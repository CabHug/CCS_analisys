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DESKTOP-EGV7T27\ccs\CCS\2.Certificado\2024\7.JULIO\"/>
    </mc:Choice>
  </mc:AlternateContent>
  <xr:revisionPtr revIDLastSave="0" documentId="13_ncr:1_{CE79FE72-6FBA-43C5-862F-D01044FA3C66}" xr6:coauthVersionLast="47" xr6:coauthVersionMax="47" xr10:uidLastSave="{00000000-0000-0000-0000-000000000000}"/>
  <bookViews>
    <workbookView xWindow="-120" yWindow="-120" windowWidth="21840" windowHeight="13140" tabRatio="574" xr2:uid="{00000000-000D-0000-FFFF-FFFF00000000}"/>
  </bookViews>
  <sheets>
    <sheet name="INSCRITOS" sheetId="1" r:id="rId1"/>
    <sheet name="POCT" sheetId="8" r:id="rId2"/>
    <sheet name="CURSOS" sheetId="2" r:id="rId3"/>
    <sheet name="LINK" sheetId="7" r:id="rId4"/>
  </sheets>
  <functionGroups builtInGroupCount="19"/>
  <definedNames>
    <definedName name="_xlnm._FilterDatabase" localSheetId="0" hidden="1">INSCRITOS!$A$1:$W$318</definedName>
    <definedName name="_xlnm._FilterDatabase" localSheetId="1" hidden="1">POCT!$A$1:$W$90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295" i="1" l="1"/>
  <c r="U295" i="1"/>
  <c r="V295" i="1" s="1"/>
  <c r="T296" i="1"/>
  <c r="U296" i="1"/>
  <c r="V296" i="1" s="1"/>
  <c r="T297" i="1"/>
  <c r="U297" i="1"/>
  <c r="V297" i="1" s="1"/>
  <c r="T298" i="1"/>
  <c r="U298" i="1"/>
  <c r="V298" i="1" s="1"/>
  <c r="T299" i="1"/>
  <c r="U299" i="1"/>
  <c r="V299" i="1" s="1"/>
  <c r="T300" i="1"/>
  <c r="U300" i="1"/>
  <c r="V300" i="1" s="1"/>
  <c r="T301" i="1"/>
  <c r="U301" i="1"/>
  <c r="V301" i="1" s="1"/>
  <c r="T302" i="1"/>
  <c r="U302" i="1"/>
  <c r="V302" i="1" s="1"/>
  <c r="T283" i="1"/>
  <c r="U283" i="1"/>
  <c r="V283" i="1" s="1"/>
  <c r="T284" i="1"/>
  <c r="U284" i="1"/>
  <c r="V284" i="1" s="1"/>
  <c r="T285" i="1"/>
  <c r="U285" i="1"/>
  <c r="V285" i="1" s="1"/>
  <c r="T286" i="1"/>
  <c r="U286" i="1"/>
  <c r="V286" i="1" s="1"/>
  <c r="T287" i="1"/>
  <c r="U287" i="1"/>
  <c r="V287" i="1" s="1"/>
  <c r="T288" i="1"/>
  <c r="U288" i="1"/>
  <c r="V288" i="1" s="1"/>
  <c r="T289" i="1"/>
  <c r="U289" i="1"/>
  <c r="V289" i="1" s="1"/>
  <c r="T290" i="1"/>
  <c r="U290" i="1"/>
  <c r="V290" i="1" s="1"/>
  <c r="T291" i="1"/>
  <c r="U291" i="1"/>
  <c r="V291" i="1" s="1"/>
  <c r="T292" i="1"/>
  <c r="U292" i="1"/>
  <c r="V292" i="1" s="1"/>
  <c r="T293" i="1"/>
  <c r="U293" i="1"/>
  <c r="V293" i="1" s="1"/>
  <c r="T294" i="1"/>
  <c r="U294" i="1"/>
  <c r="V294" i="1" s="1"/>
  <c r="W302" i="1" l="1"/>
  <c r="W301" i="1"/>
  <c r="W300" i="1"/>
  <c r="W299" i="1"/>
  <c r="W298" i="1"/>
  <c r="W297" i="1"/>
  <c r="W296" i="1"/>
  <c r="W295" i="1"/>
  <c r="W294" i="1"/>
  <c r="W293" i="1"/>
  <c r="W292" i="1"/>
  <c r="W291" i="1"/>
  <c r="W290" i="1"/>
  <c r="W289" i="1"/>
  <c r="W288" i="1"/>
  <c r="W287" i="1"/>
  <c r="W286" i="1"/>
  <c r="W285" i="1"/>
  <c r="W284" i="1"/>
  <c r="W283" i="1"/>
  <c r="A294" i="7"/>
  <c r="B294" i="7" s="1"/>
  <c r="C294" i="7"/>
  <c r="A295" i="7"/>
  <c r="B295" i="7" s="1"/>
  <c r="C295" i="7"/>
  <c r="A296" i="7"/>
  <c r="B296" i="7" s="1"/>
  <c r="C296" i="7"/>
  <c r="A297" i="7"/>
  <c r="B297" i="7" s="1"/>
  <c r="C297" i="7"/>
  <c r="A298" i="7"/>
  <c r="B298" i="7" s="1"/>
  <c r="C298" i="7"/>
  <c r="A299" i="7"/>
  <c r="B299" i="7" s="1"/>
  <c r="C299" i="7"/>
  <c r="A300" i="7"/>
  <c r="B300" i="7" s="1"/>
  <c r="C300" i="7"/>
  <c r="A301" i="7"/>
  <c r="B301" i="7" s="1"/>
  <c r="C301" i="7"/>
  <c r="A302" i="7"/>
  <c r="B302" i="7" s="1"/>
  <c r="C302" i="7"/>
  <c r="A303" i="7"/>
  <c r="B303" i="7" s="1"/>
  <c r="C303" i="7"/>
  <c r="A304" i="7"/>
  <c r="B304" i="7" s="1"/>
  <c r="C304" i="7"/>
  <c r="A305" i="7"/>
  <c r="B305" i="7" s="1"/>
  <c r="C305" i="7"/>
  <c r="A306" i="7"/>
  <c r="B306" i="7" s="1"/>
  <c r="C306" i="7"/>
  <c r="A307" i="7"/>
  <c r="B307" i="7" s="1"/>
  <c r="C307" i="7"/>
  <c r="A308" i="7"/>
  <c r="B308" i="7" s="1"/>
  <c r="C308" i="7"/>
  <c r="A309" i="7"/>
  <c r="B309" i="7" s="1"/>
  <c r="C309" i="7"/>
  <c r="A310" i="7"/>
  <c r="B310" i="7" s="1"/>
  <c r="C310" i="7"/>
  <c r="A311" i="7"/>
  <c r="B311" i="7" s="1"/>
  <c r="C311" i="7"/>
  <c r="A312" i="7"/>
  <c r="B312" i="7" s="1"/>
  <c r="C312" i="7"/>
  <c r="A313" i="7"/>
  <c r="B313" i="7" s="1"/>
  <c r="C313" i="7"/>
  <c r="A314" i="7"/>
  <c r="B314" i="7" s="1"/>
  <c r="C314" i="7"/>
  <c r="A315" i="7"/>
  <c r="B315" i="7" s="1"/>
  <c r="C315" i="7"/>
  <c r="A316" i="7"/>
  <c r="B316" i="7" s="1"/>
  <c r="C316" i="7"/>
  <c r="A317" i="7"/>
  <c r="B317" i="7" s="1"/>
  <c r="C317" i="7"/>
  <c r="A318" i="7"/>
  <c r="B318" i="7" s="1"/>
  <c r="C318" i="7"/>
  <c r="T90" i="8"/>
  <c r="U90" i="8"/>
  <c r="V90" i="8" s="1"/>
  <c r="D318" i="7" l="1"/>
  <c r="D316" i="7"/>
  <c r="D314" i="7"/>
  <c r="D312" i="7"/>
  <c r="D310" i="7"/>
  <c r="D308" i="7"/>
  <c r="D306" i="7"/>
  <c r="D304" i="7"/>
  <c r="D302" i="7"/>
  <c r="D300" i="7"/>
  <c r="D317" i="7"/>
  <c r="D315" i="7"/>
  <c r="D313" i="7"/>
  <c r="D311" i="7"/>
  <c r="D309" i="7"/>
  <c r="D307" i="7"/>
  <c r="D305" i="7"/>
  <c r="D303" i="7"/>
  <c r="D301" i="7"/>
  <c r="D299" i="7"/>
  <c r="W90" i="8"/>
  <c r="D297" i="7"/>
  <c r="D295" i="7"/>
  <c r="D298" i="7"/>
  <c r="D296" i="7"/>
  <c r="D294" i="7"/>
  <c r="A266" i="7"/>
  <c r="B266" i="7" s="1"/>
  <c r="C266" i="7"/>
  <c r="A267" i="7"/>
  <c r="B267" i="7" s="1"/>
  <c r="C267" i="7"/>
  <c r="A268" i="7"/>
  <c r="B268" i="7" s="1"/>
  <c r="C268" i="7"/>
  <c r="A269" i="7"/>
  <c r="B269" i="7" s="1"/>
  <c r="C269" i="7"/>
  <c r="A270" i="7"/>
  <c r="B270" i="7" s="1"/>
  <c r="C270" i="7"/>
  <c r="A271" i="7"/>
  <c r="B271" i="7" s="1"/>
  <c r="C271" i="7"/>
  <c r="A272" i="7"/>
  <c r="B272" i="7" s="1"/>
  <c r="C272" i="7"/>
  <c r="A273" i="7"/>
  <c r="B273" i="7" s="1"/>
  <c r="C273" i="7"/>
  <c r="A274" i="7"/>
  <c r="B274" i="7" s="1"/>
  <c r="C274" i="7"/>
  <c r="A275" i="7"/>
  <c r="B275" i="7" s="1"/>
  <c r="C275" i="7"/>
  <c r="A276" i="7"/>
  <c r="B276" i="7" s="1"/>
  <c r="C276" i="7"/>
  <c r="A277" i="7"/>
  <c r="B277" i="7" s="1"/>
  <c r="C277" i="7"/>
  <c r="A278" i="7"/>
  <c r="B278" i="7" s="1"/>
  <c r="C278" i="7"/>
  <c r="A279" i="7"/>
  <c r="B279" i="7" s="1"/>
  <c r="C279" i="7"/>
  <c r="A280" i="7"/>
  <c r="B280" i="7" s="1"/>
  <c r="C280" i="7"/>
  <c r="A281" i="7"/>
  <c r="B281" i="7" s="1"/>
  <c r="C281" i="7"/>
  <c r="A282" i="7"/>
  <c r="B282" i="7" s="1"/>
  <c r="C282" i="7"/>
  <c r="A283" i="7"/>
  <c r="B283" i="7" s="1"/>
  <c r="C283" i="7"/>
  <c r="A284" i="7"/>
  <c r="B284" i="7" s="1"/>
  <c r="C284" i="7"/>
  <c r="A285" i="7"/>
  <c r="B285" i="7" s="1"/>
  <c r="C285" i="7"/>
  <c r="A286" i="7"/>
  <c r="B286" i="7" s="1"/>
  <c r="C286" i="7"/>
  <c r="A287" i="7"/>
  <c r="B287" i="7" s="1"/>
  <c r="C287" i="7"/>
  <c r="A288" i="7"/>
  <c r="B288" i="7" s="1"/>
  <c r="C288" i="7"/>
  <c r="A289" i="7"/>
  <c r="B289" i="7" s="1"/>
  <c r="C289" i="7"/>
  <c r="A290" i="7"/>
  <c r="B290" i="7" s="1"/>
  <c r="C290" i="7"/>
  <c r="A291" i="7"/>
  <c r="B291" i="7" s="1"/>
  <c r="C291" i="7"/>
  <c r="A292" i="7"/>
  <c r="B292" i="7" s="1"/>
  <c r="C292" i="7"/>
  <c r="A293" i="7"/>
  <c r="B293" i="7" s="1"/>
  <c r="C293" i="7"/>
  <c r="U282" i="1"/>
  <c r="W282" i="1" s="1"/>
  <c r="T282" i="1"/>
  <c r="U281" i="1"/>
  <c r="W281" i="1" s="1"/>
  <c r="T281" i="1"/>
  <c r="U280" i="1"/>
  <c r="W280" i="1" s="1"/>
  <c r="T280" i="1"/>
  <c r="U279" i="1"/>
  <c r="W279" i="1" s="1"/>
  <c r="T279" i="1"/>
  <c r="U278" i="1"/>
  <c r="W278" i="1" s="1"/>
  <c r="T278" i="1"/>
  <c r="U277" i="1"/>
  <c r="W277" i="1" s="1"/>
  <c r="T277" i="1"/>
  <c r="U276" i="1"/>
  <c r="W276" i="1" s="1"/>
  <c r="T276" i="1"/>
  <c r="U275" i="1"/>
  <c r="W275" i="1" s="1"/>
  <c r="T275" i="1"/>
  <c r="U274" i="1"/>
  <c r="W274" i="1" s="1"/>
  <c r="T274" i="1"/>
  <c r="U273" i="1"/>
  <c r="W273" i="1" s="1"/>
  <c r="T273" i="1"/>
  <c r="U272" i="1"/>
  <c r="W272" i="1" s="1"/>
  <c r="T272" i="1"/>
  <c r="U271" i="1"/>
  <c r="W271" i="1" s="1"/>
  <c r="T271" i="1"/>
  <c r="U270" i="1"/>
  <c r="W270" i="1" s="1"/>
  <c r="T270" i="1"/>
  <c r="U269" i="1"/>
  <c r="W269" i="1" s="1"/>
  <c r="T269" i="1"/>
  <c r="U268" i="1"/>
  <c r="W268" i="1" s="1"/>
  <c r="T268" i="1"/>
  <c r="U267" i="1"/>
  <c r="W267" i="1" s="1"/>
  <c r="T267" i="1"/>
  <c r="U266" i="1"/>
  <c r="W266" i="1" s="1"/>
  <c r="T266" i="1"/>
  <c r="T263" i="1"/>
  <c r="U263" i="1"/>
  <c r="V263" i="1" s="1"/>
  <c r="T264" i="1"/>
  <c r="U264" i="1"/>
  <c r="V264" i="1" s="1"/>
  <c r="T265" i="1"/>
  <c r="U265" i="1"/>
  <c r="V265" i="1" s="1"/>
  <c r="T261" i="1"/>
  <c r="U261" i="1"/>
  <c r="V261" i="1" s="1"/>
  <c r="T262" i="1"/>
  <c r="U262" i="1"/>
  <c r="V262" i="1" s="1"/>
  <c r="A261" i="7"/>
  <c r="B261" i="7" s="1"/>
  <c r="C261" i="7"/>
  <c r="A262" i="7"/>
  <c r="B262" i="7" s="1"/>
  <c r="C262" i="7"/>
  <c r="A263" i="7"/>
  <c r="B263" i="7" s="1"/>
  <c r="C263" i="7"/>
  <c r="A264" i="7"/>
  <c r="B264" i="7" s="1"/>
  <c r="C264" i="7"/>
  <c r="A265" i="7"/>
  <c r="B265" i="7" s="1"/>
  <c r="C265" i="7"/>
  <c r="D292" i="7" l="1"/>
  <c r="D290" i="7"/>
  <c r="D288" i="7"/>
  <c r="D286" i="7"/>
  <c r="D284" i="7"/>
  <c r="D282" i="7"/>
  <c r="D280" i="7"/>
  <c r="D278" i="7"/>
  <c r="D276" i="7"/>
  <c r="D274" i="7"/>
  <c r="D272" i="7"/>
  <c r="D270" i="7"/>
  <c r="D268" i="7"/>
  <c r="D266" i="7"/>
  <c r="D293" i="7"/>
  <c r="D291" i="7"/>
  <c r="D289" i="7"/>
  <c r="D287" i="7"/>
  <c r="D285" i="7"/>
  <c r="D283" i="7"/>
  <c r="D281" i="7"/>
  <c r="D279" i="7"/>
  <c r="D275" i="7"/>
  <c r="D273" i="7"/>
  <c r="D271" i="7"/>
  <c r="D269" i="7"/>
  <c r="D267" i="7"/>
  <c r="D277" i="7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W262" i="1"/>
  <c r="D265" i="7"/>
  <c r="D261" i="7"/>
  <c r="D263" i="7"/>
  <c r="D264" i="7"/>
  <c r="W263" i="1"/>
  <c r="D262" i="7"/>
  <c r="W261" i="1"/>
  <c r="W264" i="1"/>
  <c r="W265" i="1"/>
  <c r="T23" i="8"/>
  <c r="U23" i="8"/>
  <c r="V23" i="8" s="1"/>
  <c r="T24" i="8"/>
  <c r="U24" i="8"/>
  <c r="V24" i="8" s="1"/>
  <c r="T25" i="8"/>
  <c r="U25" i="8"/>
  <c r="V25" i="8" s="1"/>
  <c r="W25" i="8"/>
  <c r="T26" i="8"/>
  <c r="U26" i="8"/>
  <c r="T27" i="8"/>
  <c r="U27" i="8"/>
  <c r="V27" i="8" s="1"/>
  <c r="T28" i="8"/>
  <c r="U28" i="8"/>
  <c r="T29" i="8"/>
  <c r="U29" i="8"/>
  <c r="T30" i="8"/>
  <c r="U30" i="8"/>
  <c r="V30" i="8" s="1"/>
  <c r="T31" i="8"/>
  <c r="U31" i="8"/>
  <c r="V31" i="8" s="1"/>
  <c r="T32" i="8"/>
  <c r="U32" i="8"/>
  <c r="T33" i="8"/>
  <c r="U33" i="8"/>
  <c r="T34" i="8"/>
  <c r="U34" i="8"/>
  <c r="V34" i="8" s="1"/>
  <c r="T35" i="8"/>
  <c r="U35" i="8"/>
  <c r="V35" i="8" s="1"/>
  <c r="T36" i="8"/>
  <c r="U36" i="8"/>
  <c r="T37" i="8"/>
  <c r="U37" i="8"/>
  <c r="T38" i="8"/>
  <c r="U38" i="8"/>
  <c r="T39" i="8"/>
  <c r="U39" i="8"/>
  <c r="V39" i="8" s="1"/>
  <c r="T40" i="8"/>
  <c r="U40" i="8"/>
  <c r="T41" i="8"/>
  <c r="U41" i="8"/>
  <c r="V41" i="8" s="1"/>
  <c r="T42" i="8"/>
  <c r="U42" i="8"/>
  <c r="T43" i="8"/>
  <c r="U43" i="8"/>
  <c r="V43" i="8" s="1"/>
  <c r="T44" i="8"/>
  <c r="U44" i="8"/>
  <c r="T45" i="8"/>
  <c r="U45" i="8"/>
  <c r="T46" i="8"/>
  <c r="U46" i="8"/>
  <c r="V46" i="8" s="1"/>
  <c r="W46" i="8"/>
  <c r="T47" i="8"/>
  <c r="U47" i="8"/>
  <c r="V47" i="8" s="1"/>
  <c r="T48" i="8"/>
  <c r="U48" i="8"/>
  <c r="T49" i="8"/>
  <c r="U49" i="8"/>
  <c r="T50" i="8"/>
  <c r="U50" i="8"/>
  <c r="V50" i="8" s="1"/>
  <c r="T51" i="8"/>
  <c r="U51" i="8"/>
  <c r="V51" i="8" s="1"/>
  <c r="T52" i="8"/>
  <c r="U52" i="8"/>
  <c r="T53" i="8"/>
  <c r="U53" i="8"/>
  <c r="T54" i="8"/>
  <c r="U54" i="8"/>
  <c r="T55" i="8"/>
  <c r="U55" i="8"/>
  <c r="V55" i="8" s="1"/>
  <c r="T56" i="8"/>
  <c r="U56" i="8"/>
  <c r="T57" i="8"/>
  <c r="U57" i="8"/>
  <c r="V57" i="8" s="1"/>
  <c r="T58" i="8"/>
  <c r="U58" i="8"/>
  <c r="T59" i="8"/>
  <c r="U59" i="8"/>
  <c r="V59" i="8" s="1"/>
  <c r="T60" i="8"/>
  <c r="U60" i="8"/>
  <c r="T61" i="8"/>
  <c r="U61" i="8"/>
  <c r="T62" i="8"/>
  <c r="U62" i="8"/>
  <c r="V62" i="8" s="1"/>
  <c r="T63" i="8"/>
  <c r="U63" i="8"/>
  <c r="V63" i="8" s="1"/>
  <c r="T64" i="8"/>
  <c r="U64" i="8"/>
  <c r="T65" i="8"/>
  <c r="U65" i="8"/>
  <c r="T66" i="8"/>
  <c r="U66" i="8"/>
  <c r="V66" i="8" s="1"/>
  <c r="T67" i="8"/>
  <c r="U67" i="8"/>
  <c r="V67" i="8" s="1"/>
  <c r="T68" i="8"/>
  <c r="U68" i="8"/>
  <c r="T69" i="8"/>
  <c r="U69" i="8"/>
  <c r="T70" i="8"/>
  <c r="U70" i="8"/>
  <c r="T71" i="8"/>
  <c r="U71" i="8"/>
  <c r="V71" i="8" s="1"/>
  <c r="T72" i="8"/>
  <c r="U72" i="8"/>
  <c r="T73" i="8"/>
  <c r="U73" i="8"/>
  <c r="V73" i="8" s="1"/>
  <c r="T74" i="8"/>
  <c r="U74" i="8"/>
  <c r="T75" i="8"/>
  <c r="U75" i="8"/>
  <c r="V75" i="8" s="1"/>
  <c r="T76" i="8"/>
  <c r="U76" i="8"/>
  <c r="T77" i="8"/>
  <c r="U77" i="8"/>
  <c r="T78" i="8"/>
  <c r="U78" i="8"/>
  <c r="V78" i="8" s="1"/>
  <c r="T79" i="8"/>
  <c r="U79" i="8"/>
  <c r="V79" i="8" s="1"/>
  <c r="T80" i="8"/>
  <c r="U80" i="8"/>
  <c r="T81" i="8"/>
  <c r="U81" i="8"/>
  <c r="T82" i="8"/>
  <c r="U82" i="8"/>
  <c r="V82" i="8" s="1"/>
  <c r="T83" i="8"/>
  <c r="U83" i="8"/>
  <c r="V83" i="8" s="1"/>
  <c r="T84" i="8"/>
  <c r="U84" i="8"/>
  <c r="T85" i="8"/>
  <c r="U85" i="8"/>
  <c r="T86" i="8"/>
  <c r="U86" i="8"/>
  <c r="T87" i="8"/>
  <c r="U87" i="8"/>
  <c r="V87" i="8" s="1"/>
  <c r="T88" i="8"/>
  <c r="U88" i="8"/>
  <c r="T89" i="8"/>
  <c r="U89" i="8"/>
  <c r="V89" i="8" s="1"/>
  <c r="T14" i="8"/>
  <c r="U14" i="8"/>
  <c r="V14" i="8" s="1"/>
  <c r="T15" i="8"/>
  <c r="U15" i="8"/>
  <c r="V15" i="8" s="1"/>
  <c r="T16" i="8"/>
  <c r="U16" i="8"/>
  <c r="V16" i="8" s="1"/>
  <c r="T17" i="8"/>
  <c r="U17" i="8"/>
  <c r="V17" i="8" s="1"/>
  <c r="T18" i="8"/>
  <c r="U18" i="8"/>
  <c r="V18" i="8" s="1"/>
  <c r="T19" i="8"/>
  <c r="U19" i="8"/>
  <c r="V19" i="8" s="1"/>
  <c r="T20" i="8"/>
  <c r="U20" i="8"/>
  <c r="T21" i="8"/>
  <c r="U21" i="8"/>
  <c r="W21" i="8" s="1"/>
  <c r="T22" i="8"/>
  <c r="U22" i="8"/>
  <c r="W22" i="8" s="1"/>
  <c r="V22" i="8"/>
  <c r="A252" i="7"/>
  <c r="B252" i="7" s="1"/>
  <c r="C252" i="7"/>
  <c r="A253" i="7"/>
  <c r="B253" i="7" s="1"/>
  <c r="C253" i="7"/>
  <c r="A254" i="7"/>
  <c r="B254" i="7" s="1"/>
  <c r="C254" i="7"/>
  <c r="A255" i="7"/>
  <c r="B255" i="7" s="1"/>
  <c r="C255" i="7"/>
  <c r="A256" i="7"/>
  <c r="B256" i="7" s="1"/>
  <c r="C256" i="7"/>
  <c r="T3" i="8"/>
  <c r="U3" i="8"/>
  <c r="V3" i="8" s="1"/>
  <c r="T4" i="8"/>
  <c r="U4" i="8"/>
  <c r="V4" i="8" s="1"/>
  <c r="T5" i="8"/>
  <c r="U5" i="8"/>
  <c r="V5" i="8" s="1"/>
  <c r="T6" i="8"/>
  <c r="U6" i="8"/>
  <c r="V6" i="8" s="1"/>
  <c r="T7" i="8"/>
  <c r="U7" i="8"/>
  <c r="V7" i="8" s="1"/>
  <c r="T8" i="8"/>
  <c r="U8" i="8"/>
  <c r="V8" i="8" s="1"/>
  <c r="T9" i="8"/>
  <c r="U9" i="8"/>
  <c r="V9" i="8" s="1"/>
  <c r="T10" i="8"/>
  <c r="U10" i="8"/>
  <c r="V10" i="8" s="1"/>
  <c r="T11" i="8"/>
  <c r="U11" i="8"/>
  <c r="V11" i="8" s="1"/>
  <c r="T12" i="8"/>
  <c r="U12" i="8"/>
  <c r="V12" i="8" s="1"/>
  <c r="T13" i="8"/>
  <c r="U13" i="8"/>
  <c r="V13" i="8" s="1"/>
  <c r="A257" i="7"/>
  <c r="B257" i="7" s="1"/>
  <c r="C257" i="7"/>
  <c r="A258" i="7"/>
  <c r="B258" i="7" s="1"/>
  <c r="C258" i="7"/>
  <c r="A259" i="7"/>
  <c r="B259" i="7" s="1"/>
  <c r="C259" i="7"/>
  <c r="A251" i="7"/>
  <c r="B251" i="7" s="1"/>
  <c r="C251" i="7"/>
  <c r="A232" i="7"/>
  <c r="B232" i="7" s="1"/>
  <c r="C232" i="7"/>
  <c r="A233" i="7"/>
  <c r="B233" i="7" s="1"/>
  <c r="C233" i="7"/>
  <c r="A234" i="7"/>
  <c r="B234" i="7" s="1"/>
  <c r="C234" i="7"/>
  <c r="A235" i="7"/>
  <c r="B235" i="7" s="1"/>
  <c r="C235" i="7"/>
  <c r="A236" i="7"/>
  <c r="B236" i="7" s="1"/>
  <c r="C236" i="7"/>
  <c r="A237" i="7"/>
  <c r="B237" i="7" s="1"/>
  <c r="C237" i="7"/>
  <c r="A238" i="7"/>
  <c r="B238" i="7" s="1"/>
  <c r="C238" i="7"/>
  <c r="A239" i="7"/>
  <c r="B239" i="7" s="1"/>
  <c r="C239" i="7"/>
  <c r="A240" i="7"/>
  <c r="B240" i="7" s="1"/>
  <c r="C240" i="7"/>
  <c r="A241" i="7"/>
  <c r="B241" i="7" s="1"/>
  <c r="C241" i="7"/>
  <c r="A242" i="7"/>
  <c r="B242" i="7" s="1"/>
  <c r="C242" i="7"/>
  <c r="A243" i="7"/>
  <c r="B243" i="7" s="1"/>
  <c r="C243" i="7"/>
  <c r="A244" i="7"/>
  <c r="B244" i="7" s="1"/>
  <c r="C244" i="7"/>
  <c r="A245" i="7"/>
  <c r="B245" i="7" s="1"/>
  <c r="C245" i="7"/>
  <c r="A246" i="7"/>
  <c r="B246" i="7" s="1"/>
  <c r="C246" i="7"/>
  <c r="A247" i="7"/>
  <c r="B247" i="7" s="1"/>
  <c r="C247" i="7"/>
  <c r="A248" i="7"/>
  <c r="B248" i="7" s="1"/>
  <c r="C248" i="7"/>
  <c r="A249" i="7"/>
  <c r="B249" i="7" s="1"/>
  <c r="C249" i="7"/>
  <c r="A250" i="7"/>
  <c r="B250" i="7" s="1"/>
  <c r="C250" i="7"/>
  <c r="A260" i="7"/>
  <c r="B260" i="7" s="1"/>
  <c r="C260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T3" i="1"/>
  <c r="U3" i="1"/>
  <c r="T4" i="1"/>
  <c r="U4" i="1"/>
  <c r="V4" i="1" s="1"/>
  <c r="T5" i="1"/>
  <c r="U5" i="1"/>
  <c r="T6" i="1"/>
  <c r="U6" i="1"/>
  <c r="T7" i="1"/>
  <c r="U7" i="1"/>
  <c r="T8" i="1"/>
  <c r="U8" i="1"/>
  <c r="T9" i="1"/>
  <c r="U9" i="1"/>
  <c r="V9" i="1" s="1"/>
  <c r="T10" i="1"/>
  <c r="U10" i="1"/>
  <c r="V10" i="1" s="1"/>
  <c r="T11" i="1"/>
  <c r="U11" i="1"/>
  <c r="T12" i="1"/>
  <c r="U12" i="1"/>
  <c r="T13" i="1"/>
  <c r="U13" i="1"/>
  <c r="V13" i="1" s="1"/>
  <c r="T14" i="1"/>
  <c r="U14" i="1"/>
  <c r="T15" i="1"/>
  <c r="U15" i="1"/>
  <c r="T16" i="1"/>
  <c r="U16" i="1"/>
  <c r="T17" i="1"/>
  <c r="U17" i="1"/>
  <c r="V17" i="1" s="1"/>
  <c r="T18" i="1"/>
  <c r="U18" i="1"/>
  <c r="V18" i="1" s="1"/>
  <c r="T19" i="1"/>
  <c r="U19" i="1"/>
  <c r="T20" i="1"/>
  <c r="U20" i="1"/>
  <c r="T21" i="1"/>
  <c r="U21" i="1"/>
  <c r="V21" i="1" s="1"/>
  <c r="T22" i="1"/>
  <c r="U22" i="1"/>
  <c r="T23" i="1"/>
  <c r="U23" i="1"/>
  <c r="T24" i="1"/>
  <c r="U24" i="1"/>
  <c r="T25" i="1"/>
  <c r="U25" i="1"/>
  <c r="V25" i="1" s="1"/>
  <c r="T26" i="1"/>
  <c r="U26" i="1"/>
  <c r="V26" i="1" s="1"/>
  <c r="T27" i="1"/>
  <c r="U27" i="1"/>
  <c r="T28" i="1"/>
  <c r="U28" i="1"/>
  <c r="T29" i="1"/>
  <c r="U29" i="1"/>
  <c r="V29" i="1" s="1"/>
  <c r="T30" i="1"/>
  <c r="U30" i="1"/>
  <c r="T31" i="1"/>
  <c r="U31" i="1"/>
  <c r="T32" i="1"/>
  <c r="U32" i="1"/>
  <c r="T33" i="1"/>
  <c r="U33" i="1"/>
  <c r="V33" i="1" s="1"/>
  <c r="T34" i="1"/>
  <c r="U34" i="1"/>
  <c r="V34" i="1" s="1"/>
  <c r="T35" i="1"/>
  <c r="U35" i="1"/>
  <c r="T36" i="1"/>
  <c r="U36" i="1"/>
  <c r="T37" i="1"/>
  <c r="U37" i="1"/>
  <c r="V37" i="1" s="1"/>
  <c r="T38" i="1"/>
  <c r="U38" i="1"/>
  <c r="T39" i="1"/>
  <c r="U39" i="1"/>
  <c r="T40" i="1"/>
  <c r="U40" i="1"/>
  <c r="V40" i="1" s="1"/>
  <c r="T41" i="1"/>
  <c r="U41" i="1"/>
  <c r="V41" i="1" s="1"/>
  <c r="T42" i="1"/>
  <c r="U42" i="1"/>
  <c r="V42" i="1" s="1"/>
  <c r="T43" i="1"/>
  <c r="U43" i="1"/>
  <c r="T44" i="1"/>
  <c r="U44" i="1"/>
  <c r="T45" i="1"/>
  <c r="U45" i="1"/>
  <c r="V45" i="1" s="1"/>
  <c r="T46" i="1"/>
  <c r="U46" i="1"/>
  <c r="T47" i="1"/>
  <c r="U47" i="1"/>
  <c r="T48" i="1"/>
  <c r="U48" i="1"/>
  <c r="V48" i="1" s="1"/>
  <c r="T49" i="1"/>
  <c r="U49" i="1"/>
  <c r="V49" i="1" s="1"/>
  <c r="T50" i="1"/>
  <c r="U50" i="1"/>
  <c r="V50" i="1" s="1"/>
  <c r="T51" i="1"/>
  <c r="U51" i="1"/>
  <c r="T52" i="1"/>
  <c r="U52" i="1"/>
  <c r="T53" i="1"/>
  <c r="U53" i="1"/>
  <c r="V53" i="1" s="1"/>
  <c r="T54" i="1"/>
  <c r="U54" i="1"/>
  <c r="T55" i="1"/>
  <c r="U55" i="1"/>
  <c r="T56" i="1"/>
  <c r="U56" i="1"/>
  <c r="V56" i="1" s="1"/>
  <c r="T57" i="1"/>
  <c r="U57" i="1"/>
  <c r="V57" i="1" s="1"/>
  <c r="T58" i="1"/>
  <c r="U58" i="1"/>
  <c r="V58" i="1" s="1"/>
  <c r="T59" i="1"/>
  <c r="U59" i="1"/>
  <c r="T60" i="1"/>
  <c r="U60" i="1"/>
  <c r="T61" i="1"/>
  <c r="U61" i="1"/>
  <c r="V61" i="1" s="1"/>
  <c r="T62" i="1"/>
  <c r="U62" i="1"/>
  <c r="T63" i="1"/>
  <c r="U63" i="1"/>
  <c r="T64" i="1"/>
  <c r="U64" i="1"/>
  <c r="V64" i="1" s="1"/>
  <c r="T65" i="1"/>
  <c r="U65" i="1"/>
  <c r="V65" i="1" s="1"/>
  <c r="T66" i="1"/>
  <c r="U66" i="1"/>
  <c r="V66" i="1" s="1"/>
  <c r="T67" i="1"/>
  <c r="U67" i="1"/>
  <c r="T68" i="1"/>
  <c r="U68" i="1"/>
  <c r="T69" i="1"/>
  <c r="U69" i="1"/>
  <c r="V69" i="1" s="1"/>
  <c r="T70" i="1"/>
  <c r="U70" i="1"/>
  <c r="T71" i="1"/>
  <c r="U71" i="1"/>
  <c r="T72" i="1"/>
  <c r="U72" i="1"/>
  <c r="T73" i="1"/>
  <c r="U73" i="1"/>
  <c r="V73" i="1" s="1"/>
  <c r="T74" i="1"/>
  <c r="U74" i="1"/>
  <c r="V74" i="1" s="1"/>
  <c r="T75" i="1"/>
  <c r="U75" i="1"/>
  <c r="T76" i="1"/>
  <c r="U76" i="1"/>
  <c r="T77" i="1"/>
  <c r="U77" i="1"/>
  <c r="V77" i="1" s="1"/>
  <c r="T78" i="1"/>
  <c r="U78" i="1"/>
  <c r="T79" i="1"/>
  <c r="U79" i="1"/>
  <c r="T80" i="1"/>
  <c r="U80" i="1"/>
  <c r="T81" i="1"/>
  <c r="U81" i="1"/>
  <c r="V81" i="1" s="1"/>
  <c r="T82" i="1"/>
  <c r="U82" i="1"/>
  <c r="V82" i="1" s="1"/>
  <c r="T83" i="1"/>
  <c r="U83" i="1"/>
  <c r="T84" i="1"/>
  <c r="U84" i="1"/>
  <c r="T85" i="1"/>
  <c r="U85" i="1"/>
  <c r="T86" i="1"/>
  <c r="U86" i="1"/>
  <c r="T87" i="1"/>
  <c r="U87" i="1"/>
  <c r="T88" i="1"/>
  <c r="U88" i="1"/>
  <c r="T89" i="1"/>
  <c r="U89" i="1"/>
  <c r="W89" i="1" s="1"/>
  <c r="T90" i="1"/>
  <c r="U90" i="1"/>
  <c r="T91" i="1"/>
  <c r="U91" i="1"/>
  <c r="T92" i="1"/>
  <c r="U92" i="1"/>
  <c r="T93" i="1"/>
  <c r="U93" i="1"/>
  <c r="W93" i="1" s="1"/>
  <c r="T94" i="1"/>
  <c r="U94" i="1"/>
  <c r="T95" i="1"/>
  <c r="U95" i="1"/>
  <c r="T96" i="1"/>
  <c r="U96" i="1"/>
  <c r="T97" i="1"/>
  <c r="U97" i="1"/>
  <c r="W97" i="1" s="1"/>
  <c r="T98" i="1"/>
  <c r="U98" i="1"/>
  <c r="T99" i="1"/>
  <c r="U99" i="1"/>
  <c r="T100" i="1"/>
  <c r="U100" i="1"/>
  <c r="T101" i="1"/>
  <c r="U101" i="1"/>
  <c r="W101" i="1" s="1"/>
  <c r="T102" i="1"/>
  <c r="U102" i="1"/>
  <c r="T103" i="1"/>
  <c r="U103" i="1"/>
  <c r="T104" i="1"/>
  <c r="U104" i="1"/>
  <c r="T105" i="1"/>
  <c r="U105" i="1"/>
  <c r="W105" i="1" s="1"/>
  <c r="T106" i="1"/>
  <c r="U106" i="1"/>
  <c r="T107" i="1"/>
  <c r="U107" i="1"/>
  <c r="T108" i="1"/>
  <c r="U108" i="1"/>
  <c r="T109" i="1"/>
  <c r="U109" i="1"/>
  <c r="W109" i="1" s="1"/>
  <c r="T110" i="1"/>
  <c r="U110" i="1"/>
  <c r="T111" i="1"/>
  <c r="U111" i="1"/>
  <c r="T112" i="1"/>
  <c r="U112" i="1"/>
  <c r="T113" i="1"/>
  <c r="U113" i="1"/>
  <c r="W113" i="1" s="1"/>
  <c r="T114" i="1"/>
  <c r="U114" i="1"/>
  <c r="T115" i="1"/>
  <c r="U115" i="1"/>
  <c r="T116" i="1"/>
  <c r="U116" i="1"/>
  <c r="T117" i="1"/>
  <c r="U117" i="1"/>
  <c r="W117" i="1" s="1"/>
  <c r="T118" i="1"/>
  <c r="U118" i="1"/>
  <c r="T119" i="1"/>
  <c r="U119" i="1"/>
  <c r="T120" i="1"/>
  <c r="U120" i="1"/>
  <c r="T121" i="1"/>
  <c r="U121" i="1"/>
  <c r="W121" i="1" s="1"/>
  <c r="T122" i="1"/>
  <c r="U122" i="1"/>
  <c r="W122" i="1" s="1"/>
  <c r="T123" i="1"/>
  <c r="U123" i="1"/>
  <c r="T124" i="1"/>
  <c r="U124" i="1"/>
  <c r="W124" i="1" s="1"/>
  <c r="T125" i="1"/>
  <c r="U125" i="1"/>
  <c r="T126" i="1"/>
  <c r="U126" i="1"/>
  <c r="W126" i="1" s="1"/>
  <c r="T127" i="1"/>
  <c r="U127" i="1"/>
  <c r="T128" i="1"/>
  <c r="U128" i="1"/>
  <c r="W128" i="1" s="1"/>
  <c r="T129" i="1"/>
  <c r="U129" i="1"/>
  <c r="W129" i="1" s="1"/>
  <c r="T130" i="1"/>
  <c r="U130" i="1"/>
  <c r="W130" i="1" s="1"/>
  <c r="T131" i="1"/>
  <c r="U131" i="1"/>
  <c r="T132" i="1"/>
  <c r="U132" i="1"/>
  <c r="W132" i="1" s="1"/>
  <c r="T133" i="1"/>
  <c r="U133" i="1"/>
  <c r="T134" i="1"/>
  <c r="U134" i="1"/>
  <c r="W134" i="1" s="1"/>
  <c r="T135" i="1"/>
  <c r="U135" i="1"/>
  <c r="T136" i="1"/>
  <c r="U136" i="1"/>
  <c r="W136" i="1" s="1"/>
  <c r="T137" i="1"/>
  <c r="U137" i="1"/>
  <c r="W137" i="1" s="1"/>
  <c r="T138" i="1"/>
  <c r="U138" i="1"/>
  <c r="W138" i="1" s="1"/>
  <c r="T139" i="1"/>
  <c r="U139" i="1"/>
  <c r="T140" i="1"/>
  <c r="U140" i="1"/>
  <c r="W140" i="1" s="1"/>
  <c r="T141" i="1"/>
  <c r="U141" i="1"/>
  <c r="W141" i="1" s="1"/>
  <c r="T142" i="1"/>
  <c r="U142" i="1"/>
  <c r="W142" i="1" s="1"/>
  <c r="T143" i="1"/>
  <c r="U143" i="1"/>
  <c r="T144" i="1"/>
  <c r="U144" i="1"/>
  <c r="W144" i="1" s="1"/>
  <c r="T145" i="1"/>
  <c r="U145" i="1"/>
  <c r="T146" i="1"/>
  <c r="U146" i="1"/>
  <c r="W146" i="1" s="1"/>
  <c r="T147" i="1"/>
  <c r="U147" i="1"/>
  <c r="W147" i="1" s="1"/>
  <c r="T148" i="1"/>
  <c r="U148" i="1"/>
  <c r="W148" i="1" s="1"/>
  <c r="T149" i="1"/>
  <c r="U149" i="1"/>
  <c r="W149" i="1" s="1"/>
  <c r="T150" i="1"/>
  <c r="U150" i="1"/>
  <c r="W150" i="1" s="1"/>
  <c r="T151" i="1"/>
  <c r="U151" i="1"/>
  <c r="T152" i="1"/>
  <c r="U152" i="1"/>
  <c r="W152" i="1" s="1"/>
  <c r="T153" i="1"/>
  <c r="U153" i="1"/>
  <c r="T154" i="1"/>
  <c r="U154" i="1"/>
  <c r="W154" i="1" s="1"/>
  <c r="T155" i="1"/>
  <c r="U155" i="1"/>
  <c r="W155" i="1" s="1"/>
  <c r="T156" i="1"/>
  <c r="U156" i="1"/>
  <c r="W156" i="1" s="1"/>
  <c r="T157" i="1"/>
  <c r="U157" i="1"/>
  <c r="W157" i="1" s="1"/>
  <c r="T158" i="1"/>
  <c r="U158" i="1"/>
  <c r="W158" i="1" s="1"/>
  <c r="T159" i="1"/>
  <c r="U159" i="1"/>
  <c r="T160" i="1"/>
  <c r="U160" i="1"/>
  <c r="W160" i="1" s="1"/>
  <c r="T161" i="1"/>
  <c r="U161" i="1"/>
  <c r="T162" i="1"/>
  <c r="U162" i="1"/>
  <c r="W162" i="1" s="1"/>
  <c r="T163" i="1"/>
  <c r="U163" i="1"/>
  <c r="W163" i="1" s="1"/>
  <c r="T164" i="1"/>
  <c r="U164" i="1"/>
  <c r="W164" i="1" s="1"/>
  <c r="T165" i="1"/>
  <c r="U165" i="1"/>
  <c r="W165" i="1" s="1"/>
  <c r="T166" i="1"/>
  <c r="U166" i="1"/>
  <c r="W166" i="1" s="1"/>
  <c r="T167" i="1"/>
  <c r="U167" i="1"/>
  <c r="T168" i="1"/>
  <c r="U168" i="1"/>
  <c r="W168" i="1" s="1"/>
  <c r="T169" i="1"/>
  <c r="U169" i="1"/>
  <c r="T170" i="1"/>
  <c r="U170" i="1"/>
  <c r="W170" i="1" s="1"/>
  <c r="T171" i="1"/>
  <c r="U171" i="1"/>
  <c r="W171" i="1" s="1"/>
  <c r="T172" i="1"/>
  <c r="U172" i="1"/>
  <c r="W172" i="1" s="1"/>
  <c r="T173" i="1"/>
  <c r="U173" i="1"/>
  <c r="W173" i="1" s="1"/>
  <c r="T174" i="1"/>
  <c r="U174" i="1"/>
  <c r="W174" i="1" s="1"/>
  <c r="T175" i="1"/>
  <c r="U175" i="1"/>
  <c r="T176" i="1"/>
  <c r="U176" i="1"/>
  <c r="W176" i="1" s="1"/>
  <c r="T177" i="1"/>
  <c r="U177" i="1"/>
  <c r="T178" i="1"/>
  <c r="U178" i="1"/>
  <c r="W178" i="1" s="1"/>
  <c r="T179" i="1"/>
  <c r="U179" i="1"/>
  <c r="W179" i="1" s="1"/>
  <c r="T180" i="1"/>
  <c r="U180" i="1"/>
  <c r="W180" i="1" s="1"/>
  <c r="T181" i="1"/>
  <c r="U181" i="1"/>
  <c r="W181" i="1" s="1"/>
  <c r="T182" i="1"/>
  <c r="U182" i="1"/>
  <c r="W182" i="1" s="1"/>
  <c r="T183" i="1"/>
  <c r="U183" i="1"/>
  <c r="T184" i="1"/>
  <c r="U184" i="1"/>
  <c r="W184" i="1" s="1"/>
  <c r="T185" i="1"/>
  <c r="U185" i="1"/>
  <c r="T186" i="1"/>
  <c r="U186" i="1"/>
  <c r="W186" i="1" s="1"/>
  <c r="T187" i="1"/>
  <c r="U187" i="1"/>
  <c r="W187" i="1" s="1"/>
  <c r="T188" i="1"/>
  <c r="U188" i="1"/>
  <c r="W188" i="1" s="1"/>
  <c r="T189" i="1"/>
  <c r="U189" i="1"/>
  <c r="W189" i="1" s="1"/>
  <c r="T190" i="1"/>
  <c r="U190" i="1"/>
  <c r="W190" i="1" s="1"/>
  <c r="T191" i="1"/>
  <c r="U191" i="1"/>
  <c r="T192" i="1"/>
  <c r="U192" i="1"/>
  <c r="W192" i="1" s="1"/>
  <c r="T193" i="1"/>
  <c r="U193" i="1"/>
  <c r="T194" i="1"/>
  <c r="U194" i="1"/>
  <c r="W194" i="1" s="1"/>
  <c r="T195" i="1"/>
  <c r="U195" i="1"/>
  <c r="W195" i="1" s="1"/>
  <c r="T196" i="1"/>
  <c r="U196" i="1"/>
  <c r="W196" i="1" s="1"/>
  <c r="T197" i="1"/>
  <c r="U197" i="1"/>
  <c r="W197" i="1" s="1"/>
  <c r="T198" i="1"/>
  <c r="U198" i="1"/>
  <c r="W198" i="1" s="1"/>
  <c r="T199" i="1"/>
  <c r="U199" i="1"/>
  <c r="W199" i="1" s="1"/>
  <c r="T200" i="1"/>
  <c r="U200" i="1"/>
  <c r="W200" i="1" s="1"/>
  <c r="T201" i="1"/>
  <c r="U201" i="1"/>
  <c r="T202" i="1"/>
  <c r="U202" i="1"/>
  <c r="W202" i="1" s="1"/>
  <c r="T203" i="1"/>
  <c r="U203" i="1"/>
  <c r="W203" i="1" s="1"/>
  <c r="T204" i="1"/>
  <c r="U204" i="1"/>
  <c r="W204" i="1" s="1"/>
  <c r="T205" i="1"/>
  <c r="U205" i="1"/>
  <c r="W205" i="1" s="1"/>
  <c r="T206" i="1"/>
  <c r="U206" i="1"/>
  <c r="W206" i="1" s="1"/>
  <c r="T207" i="1"/>
  <c r="U207" i="1"/>
  <c r="W207" i="1" s="1"/>
  <c r="T208" i="1"/>
  <c r="U208" i="1"/>
  <c r="W208" i="1" s="1"/>
  <c r="T209" i="1"/>
  <c r="U209" i="1"/>
  <c r="T210" i="1"/>
  <c r="U210" i="1"/>
  <c r="W210" i="1" s="1"/>
  <c r="T211" i="1"/>
  <c r="U211" i="1"/>
  <c r="W211" i="1" s="1"/>
  <c r="T212" i="1"/>
  <c r="U212" i="1"/>
  <c r="W212" i="1" s="1"/>
  <c r="T213" i="1"/>
  <c r="U213" i="1"/>
  <c r="W213" i="1" s="1"/>
  <c r="T214" i="1"/>
  <c r="U214" i="1"/>
  <c r="W214" i="1" s="1"/>
  <c r="T215" i="1"/>
  <c r="U215" i="1"/>
  <c r="W215" i="1" s="1"/>
  <c r="T216" i="1"/>
  <c r="U216" i="1"/>
  <c r="W216" i="1" s="1"/>
  <c r="T217" i="1"/>
  <c r="U217" i="1"/>
  <c r="T218" i="1"/>
  <c r="U218" i="1"/>
  <c r="W218" i="1" s="1"/>
  <c r="T219" i="1"/>
  <c r="U219" i="1"/>
  <c r="W219" i="1" s="1"/>
  <c r="T220" i="1"/>
  <c r="U220" i="1"/>
  <c r="W220" i="1" s="1"/>
  <c r="T221" i="1"/>
  <c r="U221" i="1"/>
  <c r="W221" i="1" s="1"/>
  <c r="T222" i="1"/>
  <c r="U222" i="1"/>
  <c r="W222" i="1" s="1"/>
  <c r="T223" i="1"/>
  <c r="U223" i="1"/>
  <c r="W223" i="1" s="1"/>
  <c r="T224" i="1"/>
  <c r="U224" i="1"/>
  <c r="W224" i="1" s="1"/>
  <c r="T225" i="1"/>
  <c r="U225" i="1"/>
  <c r="T226" i="1"/>
  <c r="U226" i="1"/>
  <c r="W226" i="1" s="1"/>
  <c r="T227" i="1"/>
  <c r="U227" i="1"/>
  <c r="W227" i="1" s="1"/>
  <c r="T228" i="1"/>
  <c r="U228" i="1"/>
  <c r="W228" i="1" s="1"/>
  <c r="T229" i="1"/>
  <c r="U229" i="1"/>
  <c r="W229" i="1" s="1"/>
  <c r="T230" i="1"/>
  <c r="U230" i="1"/>
  <c r="W230" i="1" s="1"/>
  <c r="T231" i="1"/>
  <c r="U231" i="1"/>
  <c r="W231" i="1" s="1"/>
  <c r="T232" i="1"/>
  <c r="U232" i="1"/>
  <c r="W232" i="1" s="1"/>
  <c r="T233" i="1"/>
  <c r="U233" i="1"/>
  <c r="T234" i="1"/>
  <c r="U234" i="1"/>
  <c r="W234" i="1" s="1"/>
  <c r="T235" i="1"/>
  <c r="U235" i="1"/>
  <c r="W235" i="1" s="1"/>
  <c r="T236" i="1"/>
  <c r="U236" i="1"/>
  <c r="W236" i="1" s="1"/>
  <c r="T237" i="1"/>
  <c r="U237" i="1"/>
  <c r="W237" i="1" s="1"/>
  <c r="T238" i="1"/>
  <c r="U238" i="1"/>
  <c r="W238" i="1" s="1"/>
  <c r="T239" i="1"/>
  <c r="U239" i="1"/>
  <c r="T240" i="1"/>
  <c r="U240" i="1"/>
  <c r="W240" i="1" s="1"/>
  <c r="T241" i="1"/>
  <c r="U241" i="1"/>
  <c r="W241" i="1" s="1"/>
  <c r="T242" i="1"/>
  <c r="U242" i="1"/>
  <c r="W242" i="1" s="1"/>
  <c r="T243" i="1"/>
  <c r="U243" i="1"/>
  <c r="T244" i="1"/>
  <c r="U244" i="1"/>
  <c r="W244" i="1" s="1"/>
  <c r="T245" i="1"/>
  <c r="U245" i="1"/>
  <c r="W245" i="1" s="1"/>
  <c r="T246" i="1"/>
  <c r="U246" i="1"/>
  <c r="W246" i="1" s="1"/>
  <c r="T247" i="1"/>
  <c r="U247" i="1"/>
  <c r="T248" i="1"/>
  <c r="U248" i="1"/>
  <c r="W248" i="1" s="1"/>
  <c r="T249" i="1"/>
  <c r="U249" i="1"/>
  <c r="W249" i="1" s="1"/>
  <c r="T250" i="1"/>
  <c r="U250" i="1"/>
  <c r="W250" i="1" s="1"/>
  <c r="T251" i="1"/>
  <c r="U251" i="1"/>
  <c r="W251" i="1" s="1"/>
  <c r="T252" i="1"/>
  <c r="U252" i="1"/>
  <c r="W252" i="1" s="1"/>
  <c r="T253" i="1"/>
  <c r="U253" i="1"/>
  <c r="W253" i="1" s="1"/>
  <c r="T254" i="1"/>
  <c r="U254" i="1"/>
  <c r="W254" i="1" s="1"/>
  <c r="T255" i="1"/>
  <c r="U255" i="1"/>
  <c r="W255" i="1" s="1"/>
  <c r="T256" i="1"/>
  <c r="U256" i="1"/>
  <c r="W256" i="1" s="1"/>
  <c r="T257" i="1"/>
  <c r="U257" i="1"/>
  <c r="T258" i="1"/>
  <c r="U258" i="1"/>
  <c r="W258" i="1" s="1"/>
  <c r="T259" i="1"/>
  <c r="U259" i="1"/>
  <c r="W259" i="1" s="1"/>
  <c r="T260" i="1"/>
  <c r="U260" i="1"/>
  <c r="W260" i="1" s="1"/>
  <c r="T2" i="1"/>
  <c r="A231" i="7"/>
  <c r="B231" i="7" s="1"/>
  <c r="A3" i="7"/>
  <c r="B3" i="7" s="1"/>
  <c r="A4" i="7"/>
  <c r="B4" i="7" s="1"/>
  <c r="A5" i="7"/>
  <c r="B5" i="7" s="1"/>
  <c r="A6" i="7"/>
  <c r="B6" i="7" s="1"/>
  <c r="A7" i="7"/>
  <c r="B7" i="7" s="1"/>
  <c r="A8" i="7"/>
  <c r="B8" i="7" s="1"/>
  <c r="A9" i="7"/>
  <c r="B9" i="7" s="1"/>
  <c r="A10" i="7"/>
  <c r="B10" i="7" s="1"/>
  <c r="A11" i="7"/>
  <c r="B11" i="7" s="1"/>
  <c r="A12" i="7"/>
  <c r="B12" i="7" s="1"/>
  <c r="A13" i="7"/>
  <c r="B13" i="7" s="1"/>
  <c r="A14" i="7"/>
  <c r="B14" i="7" s="1"/>
  <c r="A15" i="7"/>
  <c r="B15" i="7" s="1"/>
  <c r="A16" i="7"/>
  <c r="B16" i="7" s="1"/>
  <c r="A17" i="7"/>
  <c r="B17" i="7" s="1"/>
  <c r="A18" i="7"/>
  <c r="B18" i="7" s="1"/>
  <c r="A19" i="7"/>
  <c r="B19" i="7" s="1"/>
  <c r="A20" i="7"/>
  <c r="B20" i="7" s="1"/>
  <c r="A21" i="7"/>
  <c r="B21" i="7" s="1"/>
  <c r="A22" i="7"/>
  <c r="B22" i="7" s="1"/>
  <c r="A23" i="7"/>
  <c r="B23" i="7" s="1"/>
  <c r="A24" i="7"/>
  <c r="B24" i="7" s="1"/>
  <c r="A25" i="7"/>
  <c r="B25" i="7" s="1"/>
  <c r="A26" i="7"/>
  <c r="B26" i="7" s="1"/>
  <c r="A27" i="7"/>
  <c r="B27" i="7" s="1"/>
  <c r="A28" i="7"/>
  <c r="B28" i="7" s="1"/>
  <c r="A29" i="7"/>
  <c r="B29" i="7" s="1"/>
  <c r="A30" i="7"/>
  <c r="B30" i="7" s="1"/>
  <c r="A31" i="7"/>
  <c r="B31" i="7" s="1"/>
  <c r="A32" i="7"/>
  <c r="B32" i="7" s="1"/>
  <c r="A33" i="7"/>
  <c r="B33" i="7" s="1"/>
  <c r="A34" i="7"/>
  <c r="B34" i="7" s="1"/>
  <c r="A35" i="7"/>
  <c r="B35" i="7" s="1"/>
  <c r="A36" i="7"/>
  <c r="B36" i="7" s="1"/>
  <c r="A37" i="7"/>
  <c r="B37" i="7" s="1"/>
  <c r="A38" i="7"/>
  <c r="B38" i="7" s="1"/>
  <c r="A39" i="7"/>
  <c r="B39" i="7" s="1"/>
  <c r="A40" i="7"/>
  <c r="B40" i="7" s="1"/>
  <c r="A41" i="7"/>
  <c r="B41" i="7" s="1"/>
  <c r="A42" i="7"/>
  <c r="B42" i="7" s="1"/>
  <c r="A43" i="7"/>
  <c r="B43" i="7" s="1"/>
  <c r="A44" i="7"/>
  <c r="B44" i="7" s="1"/>
  <c r="A45" i="7"/>
  <c r="B45" i="7" s="1"/>
  <c r="A46" i="7"/>
  <c r="B46" i="7" s="1"/>
  <c r="A47" i="7"/>
  <c r="B47" i="7" s="1"/>
  <c r="A48" i="7"/>
  <c r="B48" i="7" s="1"/>
  <c r="A49" i="7"/>
  <c r="B49" i="7" s="1"/>
  <c r="A50" i="7"/>
  <c r="B50" i="7" s="1"/>
  <c r="A51" i="7"/>
  <c r="B51" i="7" s="1"/>
  <c r="A52" i="7"/>
  <c r="B52" i="7" s="1"/>
  <c r="A53" i="7"/>
  <c r="B53" i="7" s="1"/>
  <c r="A54" i="7"/>
  <c r="B54" i="7" s="1"/>
  <c r="A55" i="7"/>
  <c r="B55" i="7" s="1"/>
  <c r="A56" i="7"/>
  <c r="B56" i="7" s="1"/>
  <c r="A57" i="7"/>
  <c r="B57" i="7" s="1"/>
  <c r="A58" i="7"/>
  <c r="B58" i="7" s="1"/>
  <c r="A59" i="7"/>
  <c r="B59" i="7" s="1"/>
  <c r="A60" i="7"/>
  <c r="B60" i="7" s="1"/>
  <c r="A61" i="7"/>
  <c r="B61" i="7" s="1"/>
  <c r="A62" i="7"/>
  <c r="B62" i="7" s="1"/>
  <c r="A63" i="7"/>
  <c r="B63" i="7" s="1"/>
  <c r="A64" i="7"/>
  <c r="B64" i="7" s="1"/>
  <c r="A65" i="7"/>
  <c r="B65" i="7" s="1"/>
  <c r="A66" i="7"/>
  <c r="B66" i="7" s="1"/>
  <c r="A67" i="7"/>
  <c r="B67" i="7" s="1"/>
  <c r="A68" i="7"/>
  <c r="B68" i="7" s="1"/>
  <c r="A69" i="7"/>
  <c r="B69" i="7" s="1"/>
  <c r="A70" i="7"/>
  <c r="B70" i="7" s="1"/>
  <c r="A71" i="7"/>
  <c r="B71" i="7" s="1"/>
  <c r="A72" i="7"/>
  <c r="B72" i="7" s="1"/>
  <c r="A73" i="7"/>
  <c r="B73" i="7" s="1"/>
  <c r="A74" i="7"/>
  <c r="B74" i="7" s="1"/>
  <c r="A75" i="7"/>
  <c r="B75" i="7" s="1"/>
  <c r="A76" i="7"/>
  <c r="B76" i="7" s="1"/>
  <c r="A77" i="7"/>
  <c r="B77" i="7" s="1"/>
  <c r="A78" i="7"/>
  <c r="B78" i="7" s="1"/>
  <c r="A79" i="7"/>
  <c r="B79" i="7" s="1"/>
  <c r="A80" i="7"/>
  <c r="B80" i="7" s="1"/>
  <c r="A81" i="7"/>
  <c r="B81" i="7" s="1"/>
  <c r="A82" i="7"/>
  <c r="B82" i="7" s="1"/>
  <c r="A83" i="7"/>
  <c r="B83" i="7" s="1"/>
  <c r="A84" i="7"/>
  <c r="B84" i="7" s="1"/>
  <c r="A85" i="7"/>
  <c r="B85" i="7" s="1"/>
  <c r="A86" i="7"/>
  <c r="B86" i="7" s="1"/>
  <c r="A87" i="7"/>
  <c r="B87" i="7" s="1"/>
  <c r="A88" i="7"/>
  <c r="B88" i="7" s="1"/>
  <c r="A89" i="7"/>
  <c r="B89" i="7" s="1"/>
  <c r="A90" i="7"/>
  <c r="B90" i="7" s="1"/>
  <c r="A91" i="7"/>
  <c r="B91" i="7" s="1"/>
  <c r="A92" i="7"/>
  <c r="B92" i="7" s="1"/>
  <c r="A93" i="7"/>
  <c r="B93" i="7" s="1"/>
  <c r="A94" i="7"/>
  <c r="B94" i="7" s="1"/>
  <c r="A95" i="7"/>
  <c r="B95" i="7" s="1"/>
  <c r="A96" i="7"/>
  <c r="B96" i="7" s="1"/>
  <c r="A97" i="7"/>
  <c r="B97" i="7" s="1"/>
  <c r="A98" i="7"/>
  <c r="B98" i="7" s="1"/>
  <c r="A99" i="7"/>
  <c r="B99" i="7" s="1"/>
  <c r="A100" i="7"/>
  <c r="B100" i="7" s="1"/>
  <c r="A101" i="7"/>
  <c r="B101" i="7" s="1"/>
  <c r="A102" i="7"/>
  <c r="B102" i="7" s="1"/>
  <c r="A103" i="7"/>
  <c r="B103" i="7" s="1"/>
  <c r="A104" i="7"/>
  <c r="B104" i="7" s="1"/>
  <c r="A105" i="7"/>
  <c r="B105" i="7" s="1"/>
  <c r="A106" i="7"/>
  <c r="B106" i="7" s="1"/>
  <c r="A107" i="7"/>
  <c r="B107" i="7" s="1"/>
  <c r="A108" i="7"/>
  <c r="B108" i="7" s="1"/>
  <c r="A109" i="7"/>
  <c r="B109" i="7" s="1"/>
  <c r="A110" i="7"/>
  <c r="B110" i="7" s="1"/>
  <c r="A111" i="7"/>
  <c r="B111" i="7" s="1"/>
  <c r="A112" i="7"/>
  <c r="B112" i="7" s="1"/>
  <c r="A113" i="7"/>
  <c r="B113" i="7" s="1"/>
  <c r="A114" i="7"/>
  <c r="B114" i="7" s="1"/>
  <c r="A115" i="7"/>
  <c r="B115" i="7" s="1"/>
  <c r="A116" i="7"/>
  <c r="B116" i="7" s="1"/>
  <c r="A117" i="7"/>
  <c r="B117" i="7" s="1"/>
  <c r="A118" i="7"/>
  <c r="B118" i="7" s="1"/>
  <c r="A119" i="7"/>
  <c r="B119" i="7" s="1"/>
  <c r="A120" i="7"/>
  <c r="B120" i="7" s="1"/>
  <c r="A121" i="7"/>
  <c r="B121" i="7" s="1"/>
  <c r="A122" i="7"/>
  <c r="B122" i="7" s="1"/>
  <c r="A123" i="7"/>
  <c r="B123" i="7" s="1"/>
  <c r="A124" i="7"/>
  <c r="B124" i="7" s="1"/>
  <c r="A125" i="7"/>
  <c r="B125" i="7" s="1"/>
  <c r="A126" i="7"/>
  <c r="B126" i="7" s="1"/>
  <c r="A127" i="7"/>
  <c r="B127" i="7" s="1"/>
  <c r="A128" i="7"/>
  <c r="B128" i="7" s="1"/>
  <c r="A129" i="7"/>
  <c r="B129" i="7" s="1"/>
  <c r="A130" i="7"/>
  <c r="B130" i="7" s="1"/>
  <c r="A131" i="7"/>
  <c r="B131" i="7" s="1"/>
  <c r="A132" i="7"/>
  <c r="B132" i="7" s="1"/>
  <c r="A133" i="7"/>
  <c r="B133" i="7" s="1"/>
  <c r="A134" i="7"/>
  <c r="B134" i="7" s="1"/>
  <c r="A135" i="7"/>
  <c r="B135" i="7" s="1"/>
  <c r="A136" i="7"/>
  <c r="B136" i="7" s="1"/>
  <c r="A137" i="7"/>
  <c r="B137" i="7" s="1"/>
  <c r="A138" i="7"/>
  <c r="B138" i="7" s="1"/>
  <c r="A139" i="7"/>
  <c r="B139" i="7" s="1"/>
  <c r="A140" i="7"/>
  <c r="B140" i="7" s="1"/>
  <c r="A141" i="7"/>
  <c r="B141" i="7" s="1"/>
  <c r="A142" i="7"/>
  <c r="B142" i="7" s="1"/>
  <c r="A143" i="7"/>
  <c r="B143" i="7" s="1"/>
  <c r="A144" i="7"/>
  <c r="B144" i="7" s="1"/>
  <c r="A145" i="7"/>
  <c r="B145" i="7" s="1"/>
  <c r="A146" i="7"/>
  <c r="B146" i="7" s="1"/>
  <c r="A147" i="7"/>
  <c r="B147" i="7" s="1"/>
  <c r="A148" i="7"/>
  <c r="B148" i="7" s="1"/>
  <c r="A149" i="7"/>
  <c r="B149" i="7" s="1"/>
  <c r="A150" i="7"/>
  <c r="B150" i="7" s="1"/>
  <c r="A151" i="7"/>
  <c r="B151" i="7" s="1"/>
  <c r="A152" i="7"/>
  <c r="B152" i="7" s="1"/>
  <c r="A153" i="7"/>
  <c r="B153" i="7" s="1"/>
  <c r="A154" i="7"/>
  <c r="B154" i="7" s="1"/>
  <c r="A155" i="7"/>
  <c r="B155" i="7" s="1"/>
  <c r="A156" i="7"/>
  <c r="B156" i="7" s="1"/>
  <c r="A157" i="7"/>
  <c r="B157" i="7" s="1"/>
  <c r="A158" i="7"/>
  <c r="B158" i="7" s="1"/>
  <c r="A159" i="7"/>
  <c r="B159" i="7" s="1"/>
  <c r="A160" i="7"/>
  <c r="B160" i="7" s="1"/>
  <c r="A161" i="7"/>
  <c r="B161" i="7" s="1"/>
  <c r="A162" i="7"/>
  <c r="B162" i="7" s="1"/>
  <c r="A163" i="7"/>
  <c r="B163" i="7" s="1"/>
  <c r="A164" i="7"/>
  <c r="B164" i="7" s="1"/>
  <c r="A165" i="7"/>
  <c r="B165" i="7" s="1"/>
  <c r="A166" i="7"/>
  <c r="B166" i="7" s="1"/>
  <c r="A167" i="7"/>
  <c r="B167" i="7" s="1"/>
  <c r="A168" i="7"/>
  <c r="B168" i="7" s="1"/>
  <c r="A169" i="7"/>
  <c r="B169" i="7" s="1"/>
  <c r="A170" i="7"/>
  <c r="B170" i="7" s="1"/>
  <c r="A171" i="7"/>
  <c r="B171" i="7" s="1"/>
  <c r="A172" i="7"/>
  <c r="B172" i="7" s="1"/>
  <c r="A173" i="7"/>
  <c r="B173" i="7" s="1"/>
  <c r="A174" i="7"/>
  <c r="B174" i="7" s="1"/>
  <c r="A175" i="7"/>
  <c r="B175" i="7" s="1"/>
  <c r="A176" i="7"/>
  <c r="B176" i="7" s="1"/>
  <c r="A177" i="7"/>
  <c r="B177" i="7" s="1"/>
  <c r="A178" i="7"/>
  <c r="B178" i="7" s="1"/>
  <c r="A179" i="7"/>
  <c r="B179" i="7" s="1"/>
  <c r="A180" i="7"/>
  <c r="B180" i="7" s="1"/>
  <c r="A181" i="7"/>
  <c r="B181" i="7" s="1"/>
  <c r="A182" i="7"/>
  <c r="B182" i="7" s="1"/>
  <c r="A183" i="7"/>
  <c r="B183" i="7" s="1"/>
  <c r="A184" i="7"/>
  <c r="B184" i="7" s="1"/>
  <c r="A185" i="7"/>
  <c r="B185" i="7" s="1"/>
  <c r="A186" i="7"/>
  <c r="B186" i="7" s="1"/>
  <c r="A187" i="7"/>
  <c r="B187" i="7" s="1"/>
  <c r="A188" i="7"/>
  <c r="B188" i="7" s="1"/>
  <c r="A189" i="7"/>
  <c r="B189" i="7" s="1"/>
  <c r="A190" i="7"/>
  <c r="B190" i="7" s="1"/>
  <c r="A191" i="7"/>
  <c r="B191" i="7" s="1"/>
  <c r="A192" i="7"/>
  <c r="B192" i="7" s="1"/>
  <c r="A193" i="7"/>
  <c r="B193" i="7" s="1"/>
  <c r="A194" i="7"/>
  <c r="B194" i="7" s="1"/>
  <c r="A195" i="7"/>
  <c r="B195" i="7" s="1"/>
  <c r="A196" i="7"/>
  <c r="B196" i="7" s="1"/>
  <c r="A197" i="7"/>
  <c r="B197" i="7" s="1"/>
  <c r="A198" i="7"/>
  <c r="B198" i="7" s="1"/>
  <c r="A199" i="7"/>
  <c r="B199" i="7" s="1"/>
  <c r="A200" i="7"/>
  <c r="B200" i="7" s="1"/>
  <c r="A201" i="7"/>
  <c r="B201" i="7" s="1"/>
  <c r="A202" i="7"/>
  <c r="B202" i="7" s="1"/>
  <c r="A203" i="7"/>
  <c r="B203" i="7" s="1"/>
  <c r="A204" i="7"/>
  <c r="B204" i="7" s="1"/>
  <c r="A205" i="7"/>
  <c r="B205" i="7" s="1"/>
  <c r="A206" i="7"/>
  <c r="B206" i="7" s="1"/>
  <c r="A207" i="7"/>
  <c r="B207" i="7" s="1"/>
  <c r="A208" i="7"/>
  <c r="B208" i="7" s="1"/>
  <c r="A209" i="7"/>
  <c r="B209" i="7" s="1"/>
  <c r="A210" i="7"/>
  <c r="B210" i="7" s="1"/>
  <c r="A211" i="7"/>
  <c r="B211" i="7" s="1"/>
  <c r="A212" i="7"/>
  <c r="B212" i="7" s="1"/>
  <c r="A213" i="7"/>
  <c r="B213" i="7" s="1"/>
  <c r="A214" i="7"/>
  <c r="B214" i="7" s="1"/>
  <c r="A215" i="7"/>
  <c r="B215" i="7" s="1"/>
  <c r="A216" i="7"/>
  <c r="B216" i="7" s="1"/>
  <c r="A217" i="7"/>
  <c r="B217" i="7" s="1"/>
  <c r="A218" i="7"/>
  <c r="B218" i="7" s="1"/>
  <c r="A219" i="7"/>
  <c r="B219" i="7" s="1"/>
  <c r="A220" i="7"/>
  <c r="B220" i="7" s="1"/>
  <c r="A221" i="7"/>
  <c r="B221" i="7" s="1"/>
  <c r="A222" i="7"/>
  <c r="B222" i="7" s="1"/>
  <c r="A223" i="7"/>
  <c r="B223" i="7" s="1"/>
  <c r="A224" i="7"/>
  <c r="B224" i="7" s="1"/>
  <c r="A225" i="7"/>
  <c r="B225" i="7" s="1"/>
  <c r="A226" i="7"/>
  <c r="B226" i="7" s="1"/>
  <c r="A227" i="7"/>
  <c r="B227" i="7" s="1"/>
  <c r="A228" i="7"/>
  <c r="B228" i="7" s="1"/>
  <c r="A229" i="7"/>
  <c r="B229" i="7" s="1"/>
  <c r="A230" i="7"/>
  <c r="B230" i="7" s="1"/>
  <c r="U2" i="8"/>
  <c r="W2" i="8" s="1"/>
  <c r="T2" i="8"/>
  <c r="W57" i="8" l="1"/>
  <c r="W34" i="8"/>
  <c r="W66" i="8"/>
  <c r="W16" i="8"/>
  <c r="W73" i="8"/>
  <c r="W62" i="8"/>
  <c r="V21" i="8"/>
  <c r="W82" i="8"/>
  <c r="W18" i="8"/>
  <c r="W89" i="8"/>
  <c r="W78" i="8"/>
  <c r="V101" i="1"/>
  <c r="D230" i="7"/>
  <c r="D226" i="7"/>
  <c r="D222" i="7"/>
  <c r="D218" i="7"/>
  <c r="D46" i="7"/>
  <c r="D42" i="7"/>
  <c r="D38" i="7"/>
  <c r="D34" i="7"/>
  <c r="D30" i="7"/>
  <c r="D26" i="7"/>
  <c r="D22" i="7"/>
  <c r="D18" i="7"/>
  <c r="D14" i="7"/>
  <c r="D10" i="7"/>
  <c r="D6" i="7"/>
  <c r="V171" i="1"/>
  <c r="W4" i="1"/>
  <c r="W6" i="8"/>
  <c r="W17" i="8"/>
  <c r="W14" i="8"/>
  <c r="W50" i="8"/>
  <c r="W41" i="8"/>
  <c r="W30" i="8"/>
  <c r="V241" i="1"/>
  <c r="V181" i="1"/>
  <c r="W9" i="1"/>
  <c r="V113" i="1"/>
  <c r="W58" i="1"/>
  <c r="D229" i="7"/>
  <c r="D225" i="7"/>
  <c r="D221" i="7"/>
  <c r="D217" i="7"/>
  <c r="D213" i="7"/>
  <c r="D209" i="7"/>
  <c r="D205" i="7"/>
  <c r="D201" i="7"/>
  <c r="D197" i="7"/>
  <c r="D193" i="7"/>
  <c r="D189" i="7"/>
  <c r="D185" i="7"/>
  <c r="D181" i="7"/>
  <c r="D177" i="7"/>
  <c r="D173" i="7"/>
  <c r="D169" i="7"/>
  <c r="D165" i="7"/>
  <c r="D161" i="7"/>
  <c r="D157" i="7"/>
  <c r="D153" i="7"/>
  <c r="D149" i="7"/>
  <c r="D145" i="7"/>
  <c r="D141" i="7"/>
  <c r="D137" i="7"/>
  <c r="D133" i="7"/>
  <c r="D129" i="7"/>
  <c r="D125" i="7"/>
  <c r="D121" i="7"/>
  <c r="D117" i="7"/>
  <c r="D113" i="7"/>
  <c r="D109" i="7"/>
  <c r="D105" i="7"/>
  <c r="D101" i="7"/>
  <c r="D97" i="7"/>
  <c r="D93" i="7"/>
  <c r="D89" i="7"/>
  <c r="D85" i="7"/>
  <c r="D81" i="7"/>
  <c r="D77" i="7"/>
  <c r="D73" i="7"/>
  <c r="D69" i="7"/>
  <c r="D65" i="7"/>
  <c r="D61" i="7"/>
  <c r="D57" i="7"/>
  <c r="D53" i="7"/>
  <c r="D49" i="7"/>
  <c r="D45" i="7"/>
  <c r="D41" i="7"/>
  <c r="D37" i="7"/>
  <c r="D33" i="7"/>
  <c r="D29" i="7"/>
  <c r="D25" i="7"/>
  <c r="D21" i="7"/>
  <c r="D17" i="7"/>
  <c r="D13" i="7"/>
  <c r="D9" i="7"/>
  <c r="D5" i="7"/>
  <c r="V229" i="1"/>
  <c r="V149" i="1"/>
  <c r="V93" i="1"/>
  <c r="W34" i="1"/>
  <c r="V213" i="1"/>
  <c r="V117" i="1"/>
  <c r="W26" i="1"/>
  <c r="D223" i="7"/>
  <c r="D219" i="7"/>
  <c r="D215" i="7"/>
  <c r="D227" i="7"/>
  <c r="D231" i="7"/>
  <c r="V249" i="1"/>
  <c r="V197" i="1"/>
  <c r="V137" i="1"/>
  <c r="V97" i="1"/>
  <c r="W66" i="1"/>
  <c r="V259" i="1"/>
  <c r="V237" i="1"/>
  <c r="V205" i="1"/>
  <c r="D238" i="7"/>
  <c r="D236" i="7"/>
  <c r="V165" i="1"/>
  <c r="V129" i="1"/>
  <c r="V109" i="1"/>
  <c r="W82" i="1"/>
  <c r="W50" i="1"/>
  <c r="W18" i="1"/>
  <c r="D243" i="7"/>
  <c r="D256" i="7"/>
  <c r="V245" i="1"/>
  <c r="V221" i="1"/>
  <c r="V187" i="1"/>
  <c r="V155" i="1"/>
  <c r="V121" i="1"/>
  <c r="V105" i="1"/>
  <c r="V89" i="1"/>
  <c r="W74" i="1"/>
  <c r="W42" i="1"/>
  <c r="D239" i="7"/>
  <c r="D235" i="7"/>
  <c r="D44" i="7"/>
  <c r="D40" i="7"/>
  <c r="D36" i="7"/>
  <c r="D32" i="7"/>
  <c r="D28" i="7"/>
  <c r="D24" i="7"/>
  <c r="D20" i="7"/>
  <c r="D16" i="7"/>
  <c r="D12" i="7"/>
  <c r="D8" i="7"/>
  <c r="D4" i="7"/>
  <c r="D211" i="7"/>
  <c r="D207" i="7"/>
  <c r="D203" i="7"/>
  <c r="D199" i="7"/>
  <c r="D195" i="7"/>
  <c r="D191" i="7"/>
  <c r="D187" i="7"/>
  <c r="D183" i="7"/>
  <c r="D179" i="7"/>
  <c r="D175" i="7"/>
  <c r="D171" i="7"/>
  <c r="D167" i="7"/>
  <c r="D163" i="7"/>
  <c r="D159" i="7"/>
  <c r="D155" i="7"/>
  <c r="D151" i="7"/>
  <c r="D147" i="7"/>
  <c r="D143" i="7"/>
  <c r="D139" i="7"/>
  <c r="D135" i="7"/>
  <c r="D131" i="7"/>
  <c r="D127" i="7"/>
  <c r="D123" i="7"/>
  <c r="D119" i="7"/>
  <c r="D115" i="7"/>
  <c r="D111" i="7"/>
  <c r="D107" i="7"/>
  <c r="D103" i="7"/>
  <c r="D99" i="7"/>
  <c r="D95" i="7"/>
  <c r="D91" i="7"/>
  <c r="D87" i="7"/>
  <c r="D83" i="7"/>
  <c r="D79" i="7"/>
  <c r="D75" i="7"/>
  <c r="D71" i="7"/>
  <c r="D67" i="7"/>
  <c r="D63" i="7"/>
  <c r="D59" i="7"/>
  <c r="D55" i="7"/>
  <c r="D51" i="7"/>
  <c r="D47" i="7"/>
  <c r="D43" i="7"/>
  <c r="D39" i="7"/>
  <c r="D35" i="7"/>
  <c r="D31" i="7"/>
  <c r="D27" i="7"/>
  <c r="D23" i="7"/>
  <c r="D19" i="7"/>
  <c r="D15" i="7"/>
  <c r="D11" i="7"/>
  <c r="D7" i="7"/>
  <c r="D3" i="7"/>
  <c r="W185" i="1"/>
  <c r="V185" i="1"/>
  <c r="W153" i="1"/>
  <c r="V153" i="1"/>
  <c r="V70" i="1"/>
  <c r="W70" i="1"/>
  <c r="V86" i="8"/>
  <c r="W86" i="8"/>
  <c r="V33" i="8"/>
  <c r="W33" i="8"/>
  <c r="W177" i="1"/>
  <c r="V177" i="1"/>
  <c r="V38" i="8"/>
  <c r="W38" i="8"/>
  <c r="W217" i="1"/>
  <c r="V217" i="1"/>
  <c r="W103" i="1"/>
  <c r="V103" i="1"/>
  <c r="V42" i="8"/>
  <c r="W42" i="8"/>
  <c r="W145" i="1"/>
  <c r="V145" i="1"/>
  <c r="W99" i="1"/>
  <c r="V99" i="1"/>
  <c r="V62" i="1"/>
  <c r="W62" i="1"/>
  <c r="V58" i="8"/>
  <c r="W58" i="8"/>
  <c r="V49" i="8"/>
  <c r="W49" i="8"/>
  <c r="W257" i="1"/>
  <c r="V257" i="1"/>
  <c r="W233" i="1"/>
  <c r="V233" i="1"/>
  <c r="W201" i="1"/>
  <c r="V201" i="1"/>
  <c r="W169" i="1"/>
  <c r="V169" i="1"/>
  <c r="W133" i="1"/>
  <c r="V133" i="1"/>
  <c r="W111" i="1"/>
  <c r="V111" i="1"/>
  <c r="W95" i="1"/>
  <c r="V95" i="1"/>
  <c r="V86" i="1"/>
  <c r="W86" i="1"/>
  <c r="V54" i="1"/>
  <c r="W54" i="1"/>
  <c r="V22" i="1"/>
  <c r="W22" i="1"/>
  <c r="V74" i="8"/>
  <c r="W74" i="8"/>
  <c r="V65" i="8"/>
  <c r="W65" i="8"/>
  <c r="V54" i="8"/>
  <c r="W54" i="8"/>
  <c r="W243" i="1"/>
  <c r="V243" i="1"/>
  <c r="W119" i="1"/>
  <c r="V119" i="1"/>
  <c r="V38" i="1"/>
  <c r="W38" i="1"/>
  <c r="V6" i="1"/>
  <c r="W6" i="1"/>
  <c r="W239" i="1"/>
  <c r="V239" i="1"/>
  <c r="W209" i="1"/>
  <c r="V209" i="1"/>
  <c r="W115" i="1"/>
  <c r="V115" i="1"/>
  <c r="V30" i="1"/>
  <c r="W30" i="1"/>
  <c r="D234" i="7"/>
  <c r="W20" i="8"/>
  <c r="V20" i="8"/>
  <c r="D228" i="7"/>
  <c r="D224" i="7"/>
  <c r="D220" i="7"/>
  <c r="D216" i="7"/>
  <c r="W247" i="1"/>
  <c r="V247" i="1"/>
  <c r="W225" i="1"/>
  <c r="V225" i="1"/>
  <c r="W193" i="1"/>
  <c r="V193" i="1"/>
  <c r="W161" i="1"/>
  <c r="V161" i="1"/>
  <c r="W125" i="1"/>
  <c r="V125" i="1"/>
  <c r="W107" i="1"/>
  <c r="V107" i="1"/>
  <c r="W91" i="1"/>
  <c r="V91" i="1"/>
  <c r="V78" i="1"/>
  <c r="W78" i="1"/>
  <c r="V46" i="1"/>
  <c r="W46" i="1"/>
  <c r="V14" i="1"/>
  <c r="W14" i="1"/>
  <c r="W19" i="8"/>
  <c r="W15" i="8"/>
  <c r="V81" i="8"/>
  <c r="W81" i="8"/>
  <c r="V70" i="8"/>
  <c r="W70" i="8"/>
  <c r="V26" i="8"/>
  <c r="W26" i="8"/>
  <c r="D214" i="7"/>
  <c r="D210" i="7"/>
  <c r="D206" i="7"/>
  <c r="D202" i="7"/>
  <c r="D198" i="7"/>
  <c r="D194" i="7"/>
  <c r="D190" i="7"/>
  <c r="D186" i="7"/>
  <c r="D182" i="7"/>
  <c r="D178" i="7"/>
  <c r="D174" i="7"/>
  <c r="D170" i="7"/>
  <c r="D166" i="7"/>
  <c r="D162" i="7"/>
  <c r="D158" i="7"/>
  <c r="D154" i="7"/>
  <c r="D150" i="7"/>
  <c r="D146" i="7"/>
  <c r="D142" i="7"/>
  <c r="D138" i="7"/>
  <c r="D134" i="7"/>
  <c r="D130" i="7"/>
  <c r="D126" i="7"/>
  <c r="D122" i="7"/>
  <c r="D118" i="7"/>
  <c r="D114" i="7"/>
  <c r="D110" i="7"/>
  <c r="D106" i="7"/>
  <c r="D102" i="7"/>
  <c r="D98" i="7"/>
  <c r="D94" i="7"/>
  <c r="D90" i="7"/>
  <c r="D86" i="7"/>
  <c r="D82" i="7"/>
  <c r="D78" i="7"/>
  <c r="D74" i="7"/>
  <c r="D70" i="7"/>
  <c r="D66" i="7"/>
  <c r="D62" i="7"/>
  <c r="D58" i="7"/>
  <c r="D54" i="7"/>
  <c r="D50" i="7"/>
  <c r="D260" i="7"/>
  <c r="D249" i="7"/>
  <c r="D247" i="7"/>
  <c r="D212" i="7"/>
  <c r="D208" i="7"/>
  <c r="D204" i="7"/>
  <c r="D200" i="7"/>
  <c r="D196" i="7"/>
  <c r="D192" i="7"/>
  <c r="D188" i="7"/>
  <c r="D184" i="7"/>
  <c r="D180" i="7"/>
  <c r="D176" i="7"/>
  <c r="D172" i="7"/>
  <c r="D168" i="7"/>
  <c r="D164" i="7"/>
  <c r="D160" i="7"/>
  <c r="D156" i="7"/>
  <c r="D152" i="7"/>
  <c r="D148" i="7"/>
  <c r="D144" i="7"/>
  <c r="D140" i="7"/>
  <c r="D136" i="7"/>
  <c r="D132" i="7"/>
  <c r="D128" i="7"/>
  <c r="D124" i="7"/>
  <c r="D120" i="7"/>
  <c r="D116" i="7"/>
  <c r="D112" i="7"/>
  <c r="D108" i="7"/>
  <c r="D104" i="7"/>
  <c r="D100" i="7"/>
  <c r="D96" i="7"/>
  <c r="D92" i="7"/>
  <c r="D88" i="7"/>
  <c r="D84" i="7"/>
  <c r="D80" i="7"/>
  <c r="D76" i="7"/>
  <c r="D72" i="7"/>
  <c r="D68" i="7"/>
  <c r="D64" i="7"/>
  <c r="D60" i="7"/>
  <c r="D56" i="7"/>
  <c r="D52" i="7"/>
  <c r="D48" i="7"/>
  <c r="D242" i="7"/>
  <c r="D233" i="7"/>
  <c r="W131" i="1"/>
  <c r="V131" i="1"/>
  <c r="W106" i="1"/>
  <c r="V106" i="1"/>
  <c r="W98" i="1"/>
  <c r="V98" i="1"/>
  <c r="V76" i="1"/>
  <c r="W76" i="1"/>
  <c r="V44" i="1"/>
  <c r="W44" i="1"/>
  <c r="V88" i="8"/>
  <c r="W88" i="8"/>
  <c r="V61" i="8"/>
  <c r="W61" i="8"/>
  <c r="V56" i="8"/>
  <c r="W56" i="8"/>
  <c r="V29" i="8"/>
  <c r="W29" i="8"/>
  <c r="V260" i="1"/>
  <c r="V256" i="1"/>
  <c r="V246" i="1"/>
  <c r="V242" i="1"/>
  <c r="V238" i="1"/>
  <c r="V235" i="1"/>
  <c r="V227" i="1"/>
  <c r="V219" i="1"/>
  <c r="V211" i="1"/>
  <c r="V203" i="1"/>
  <c r="V195" i="1"/>
  <c r="W175" i="1"/>
  <c r="V175" i="1"/>
  <c r="V173" i="1"/>
  <c r="V163" i="1"/>
  <c r="W143" i="1"/>
  <c r="V143" i="1"/>
  <c r="V141" i="1"/>
  <c r="W127" i="1"/>
  <c r="V127" i="1"/>
  <c r="W120" i="1"/>
  <c r="V120" i="1"/>
  <c r="W112" i="1"/>
  <c r="V112" i="1"/>
  <c r="W104" i="1"/>
  <c r="V104" i="1"/>
  <c r="W96" i="1"/>
  <c r="V96" i="1"/>
  <c r="W88" i="1"/>
  <c r="V88" i="1"/>
  <c r="V72" i="1"/>
  <c r="W72" i="1"/>
  <c r="W114" i="1"/>
  <c r="V114" i="1"/>
  <c r="W90" i="1"/>
  <c r="V90" i="1"/>
  <c r="V60" i="1"/>
  <c r="W60" i="1"/>
  <c r="W183" i="1"/>
  <c r="V183" i="1"/>
  <c r="W151" i="1"/>
  <c r="V151" i="1"/>
  <c r="W139" i="1"/>
  <c r="V139" i="1"/>
  <c r="W123" i="1"/>
  <c r="V123" i="1"/>
  <c r="W118" i="1"/>
  <c r="V118" i="1"/>
  <c r="W110" i="1"/>
  <c r="V110" i="1"/>
  <c r="W102" i="1"/>
  <c r="V102" i="1"/>
  <c r="W94" i="1"/>
  <c r="V94" i="1"/>
  <c r="V84" i="1"/>
  <c r="W84" i="1"/>
  <c r="V68" i="1"/>
  <c r="W68" i="1"/>
  <c r="V52" i="1"/>
  <c r="W52" i="1"/>
  <c r="V36" i="1"/>
  <c r="W36" i="1"/>
  <c r="V20" i="1"/>
  <c r="W20" i="1"/>
  <c r="W167" i="1"/>
  <c r="V167" i="1"/>
  <c r="V258" i="1"/>
  <c r="V248" i="1"/>
  <c r="V244" i="1"/>
  <c r="V240" i="1"/>
  <c r="V231" i="1"/>
  <c r="V223" i="1"/>
  <c r="V215" i="1"/>
  <c r="V207" i="1"/>
  <c r="V199" i="1"/>
  <c r="W191" i="1"/>
  <c r="V191" i="1"/>
  <c r="V189" i="1"/>
  <c r="V179" i="1"/>
  <c r="W159" i="1"/>
  <c r="V159" i="1"/>
  <c r="V157" i="1"/>
  <c r="V147" i="1"/>
  <c r="W135" i="1"/>
  <c r="V135" i="1"/>
  <c r="W116" i="1"/>
  <c r="V116" i="1"/>
  <c r="W108" i="1"/>
  <c r="V108" i="1"/>
  <c r="W100" i="1"/>
  <c r="V100" i="1"/>
  <c r="W92" i="1"/>
  <c r="V92" i="1"/>
  <c r="V80" i="1"/>
  <c r="W80" i="1"/>
  <c r="W64" i="1"/>
  <c r="W56" i="1"/>
  <c r="W48" i="1"/>
  <c r="W40" i="1"/>
  <c r="V32" i="1"/>
  <c r="W32" i="1"/>
  <c r="V16" i="1"/>
  <c r="W16" i="1"/>
  <c r="V69" i="8"/>
  <c r="W69" i="8"/>
  <c r="V64" i="8"/>
  <c r="W64" i="8"/>
  <c r="V37" i="8"/>
  <c r="W37" i="8"/>
  <c r="V32" i="8"/>
  <c r="W32" i="8"/>
  <c r="V28" i="1"/>
  <c r="W28" i="1"/>
  <c r="V12" i="1"/>
  <c r="W12" i="1"/>
  <c r="V5" i="1"/>
  <c r="W5" i="1"/>
  <c r="V77" i="8"/>
  <c r="W77" i="8"/>
  <c r="V72" i="8"/>
  <c r="W72" i="8"/>
  <c r="V45" i="8"/>
  <c r="W45" i="8"/>
  <c r="V40" i="8"/>
  <c r="W40" i="8"/>
  <c r="V24" i="1"/>
  <c r="W24" i="1"/>
  <c r="V8" i="1"/>
  <c r="W8" i="1"/>
  <c r="V3" i="1"/>
  <c r="W3" i="1"/>
  <c r="V85" i="8"/>
  <c r="W85" i="8"/>
  <c r="V80" i="8"/>
  <c r="W80" i="8"/>
  <c r="V53" i="8"/>
  <c r="W53" i="8"/>
  <c r="V48" i="8"/>
  <c r="W48" i="8"/>
  <c r="D258" i="7"/>
  <c r="V84" i="8"/>
  <c r="W84" i="8"/>
  <c r="V76" i="8"/>
  <c r="W76" i="8"/>
  <c r="V68" i="8"/>
  <c r="W68" i="8"/>
  <c r="V60" i="8"/>
  <c r="W60" i="8"/>
  <c r="V52" i="8"/>
  <c r="W52" i="8"/>
  <c r="V44" i="8"/>
  <c r="W44" i="8"/>
  <c r="V36" i="8"/>
  <c r="W36" i="8"/>
  <c r="V28" i="8"/>
  <c r="W28" i="8"/>
  <c r="D246" i="7"/>
  <c r="D244" i="7"/>
  <c r="D241" i="7"/>
  <c r="W87" i="8"/>
  <c r="W83" i="8"/>
  <c r="W79" i="8"/>
  <c r="W75" i="8"/>
  <c r="W71" i="8"/>
  <c r="W67" i="8"/>
  <c r="W63" i="8"/>
  <c r="W59" i="8"/>
  <c r="W55" i="8"/>
  <c r="W51" i="8"/>
  <c r="W47" i="8"/>
  <c r="W43" i="8"/>
  <c r="W39" i="8"/>
  <c r="W35" i="8"/>
  <c r="W31" i="8"/>
  <c r="W27" i="8"/>
  <c r="W23" i="8"/>
  <c r="D248" i="7"/>
  <c r="D245" i="7"/>
  <c r="D240" i="7"/>
  <c r="D237" i="7"/>
  <c r="D232" i="7"/>
  <c r="D259" i="7"/>
  <c r="D257" i="7"/>
  <c r="W24" i="8"/>
  <c r="V255" i="1"/>
  <c r="D255" i="7"/>
  <c r="V254" i="1"/>
  <c r="V253" i="1"/>
  <c r="D254" i="7"/>
  <c r="D253" i="7"/>
  <c r="V252" i="1"/>
  <c r="D252" i="7"/>
  <c r="D251" i="7"/>
  <c r="V251" i="1"/>
  <c r="W10" i="8"/>
  <c r="W13" i="8"/>
  <c r="W5" i="8"/>
  <c r="W9" i="8"/>
  <c r="W11" i="8"/>
  <c r="W7" i="8"/>
  <c r="W3" i="8"/>
  <c r="W12" i="8"/>
  <c r="W8" i="8"/>
  <c r="W4" i="8"/>
  <c r="D250" i="7"/>
  <c r="V250" i="1"/>
  <c r="V59" i="1"/>
  <c r="W59" i="1"/>
  <c r="V51" i="1"/>
  <c r="W51" i="1"/>
  <c r="V43" i="1"/>
  <c r="W43" i="1"/>
  <c r="V35" i="1"/>
  <c r="W35" i="1"/>
  <c r="V27" i="1"/>
  <c r="W27" i="1"/>
  <c r="V19" i="1"/>
  <c r="W19" i="1"/>
  <c r="V11" i="1"/>
  <c r="W11" i="1"/>
  <c r="V234" i="1"/>
  <c r="V230" i="1"/>
  <c r="V226" i="1"/>
  <c r="V222" i="1"/>
  <c r="V218" i="1"/>
  <c r="V214" i="1"/>
  <c r="V210" i="1"/>
  <c r="V206" i="1"/>
  <c r="V202" i="1"/>
  <c r="V198" i="1"/>
  <c r="V194" i="1"/>
  <c r="V190" i="1"/>
  <c r="V186" i="1"/>
  <c r="V182" i="1"/>
  <c r="V178" i="1"/>
  <c r="V174" i="1"/>
  <c r="V170" i="1"/>
  <c r="V166" i="1"/>
  <c r="V162" i="1"/>
  <c r="V158" i="1"/>
  <c r="V154" i="1"/>
  <c r="V150" i="1"/>
  <c r="V146" i="1"/>
  <c r="V142" i="1"/>
  <c r="V138" i="1"/>
  <c r="V134" i="1"/>
  <c r="V130" i="1"/>
  <c r="V126" i="1"/>
  <c r="V122" i="1"/>
  <c r="V83" i="1"/>
  <c r="W83" i="1"/>
  <c r="V75" i="1"/>
  <c r="W75" i="1"/>
  <c r="V87" i="1"/>
  <c r="W87" i="1"/>
  <c r="V79" i="1"/>
  <c r="W79" i="1"/>
  <c r="V71" i="1"/>
  <c r="W71" i="1"/>
  <c r="V63" i="1"/>
  <c r="W63" i="1"/>
  <c r="V55" i="1"/>
  <c r="W55" i="1"/>
  <c r="V47" i="1"/>
  <c r="W47" i="1"/>
  <c r="V39" i="1"/>
  <c r="W39" i="1"/>
  <c r="V31" i="1"/>
  <c r="W31" i="1"/>
  <c r="V23" i="1"/>
  <c r="W23" i="1"/>
  <c r="V15" i="1"/>
  <c r="W15" i="1"/>
  <c r="V7" i="1"/>
  <c r="W7" i="1"/>
  <c r="V67" i="1"/>
  <c r="W67" i="1"/>
  <c r="V236" i="1"/>
  <c r="V232" i="1"/>
  <c r="V228" i="1"/>
  <c r="V224" i="1"/>
  <c r="V220" i="1"/>
  <c r="V216" i="1"/>
  <c r="V212" i="1"/>
  <c r="V208" i="1"/>
  <c r="V204" i="1"/>
  <c r="V200" i="1"/>
  <c r="V196" i="1"/>
  <c r="V192" i="1"/>
  <c r="V188" i="1"/>
  <c r="V184" i="1"/>
  <c r="V180" i="1"/>
  <c r="V176" i="1"/>
  <c r="V172" i="1"/>
  <c r="V168" i="1"/>
  <c r="V164" i="1"/>
  <c r="V160" i="1"/>
  <c r="V156" i="1"/>
  <c r="V152" i="1"/>
  <c r="V148" i="1"/>
  <c r="V144" i="1"/>
  <c r="V140" i="1"/>
  <c r="V136" i="1"/>
  <c r="V132" i="1"/>
  <c r="V128" i="1"/>
  <c r="V124" i="1"/>
  <c r="V85" i="1"/>
  <c r="W85" i="1"/>
  <c r="W10" i="1"/>
  <c r="W81" i="1"/>
  <c r="W77" i="1"/>
  <c r="W73" i="1"/>
  <c r="W69" i="1"/>
  <c r="W65" i="1"/>
  <c r="W61" i="1"/>
  <c r="W57" i="1"/>
  <c r="W53" i="1"/>
  <c r="W49" i="1"/>
  <c r="W45" i="1"/>
  <c r="W41" i="1"/>
  <c r="W37" i="1"/>
  <c r="W33" i="1"/>
  <c r="W29" i="1"/>
  <c r="W25" i="1"/>
  <c r="W21" i="1"/>
  <c r="W17" i="1"/>
  <c r="W13" i="1"/>
  <c r="V2" i="8"/>
  <c r="A2" i="7"/>
  <c r="B2" i="7" s="1"/>
  <c r="C2" i="7"/>
  <c r="D2" i="7" l="1"/>
  <c r="U2" i="1" l="1"/>
  <c r="V2" i="1" s="1"/>
  <c r="W2" i="1" l="1"/>
</calcChain>
</file>

<file path=xl/sharedStrings.xml><?xml version="1.0" encoding="utf-8"?>
<sst xmlns="http://schemas.openxmlformats.org/spreadsheetml/2006/main" count="4489" uniqueCount="876">
  <si>
    <t xml:space="preserve">NUMERO DE IDENTIFICACION </t>
  </si>
  <si>
    <t>PRIMER APELLIDO</t>
  </si>
  <si>
    <t>SEGUNDO APELLIDO</t>
  </si>
  <si>
    <t>PRIMER NOMBRE</t>
  </si>
  <si>
    <t>SEGUNDO NOMBRE</t>
  </si>
  <si>
    <t>DIA</t>
  </si>
  <si>
    <t>MES</t>
  </si>
  <si>
    <t>FECHA DE PAGO</t>
  </si>
  <si>
    <t>VALOR UNITARIO</t>
  </si>
  <si>
    <t>MEDIO DE PAGO</t>
  </si>
  <si>
    <t>RESPONSABLE</t>
  </si>
  <si>
    <t>CURSO</t>
  </si>
  <si>
    <t>GENERO</t>
  </si>
  <si>
    <t>PERFIL DEL PROFESIONAL</t>
  </si>
  <si>
    <t>CELULAR</t>
  </si>
  <si>
    <t>NOMBRE CURSO</t>
  </si>
  <si>
    <t>NOMBRE COMPLETO</t>
  </si>
  <si>
    <t>NOMBRE CERTIFICADO</t>
  </si>
  <si>
    <t>NOMBRE PDF</t>
  </si>
  <si>
    <t>BLS</t>
  </si>
  <si>
    <t>CODIGO</t>
  </si>
  <si>
    <t>ATENCION PRE-HOSPITALARIA</t>
  </si>
  <si>
    <t>DIPLOMADO EN ATENCION PRE-HOSPITALARIA</t>
  </si>
  <si>
    <t>DUELO</t>
  </si>
  <si>
    <t>ACOMPAÑAMIENTO Y MANEJO DEL DUELO</t>
  </si>
  <si>
    <t>QUIMICOS</t>
  </si>
  <si>
    <t xml:space="preserve">ATENCION A VICTIMAS DE ATAQUE CON AGENTES QUIMICOS </t>
  </si>
  <si>
    <t>PRIMEROS AUXILIOS</t>
  </si>
  <si>
    <t xml:space="preserve">PRIMEROS AUXILIOS </t>
  </si>
  <si>
    <t>UCI</t>
  </si>
  <si>
    <t>DIPLOMADO DE UNIDAD DE CUIDADOS INTENSIVOS (UCI)</t>
  </si>
  <si>
    <t>CODIGO VERDE</t>
  </si>
  <si>
    <t>MODELO DE ATENCION PARA EVENTOS EMERGENTES EN SALUD MENTAL (CODIGO VERDE)</t>
  </si>
  <si>
    <t>HUMANIZACION</t>
  </si>
  <si>
    <t>CLINICA DE HERIDAS</t>
  </si>
  <si>
    <t xml:space="preserve">CLINICA DE HERIDAS </t>
  </si>
  <si>
    <t>CITOLOGIA</t>
  </si>
  <si>
    <t xml:space="preserve">TOMA DE CITOLOGIA A CERVICO VAGINAL </t>
  </si>
  <si>
    <t>ACLS</t>
  </si>
  <si>
    <t>CAMILLERO</t>
  </si>
  <si>
    <t xml:space="preserve">CAMILLERO </t>
  </si>
  <si>
    <t>TOMA DE MUESTRAS</t>
  </si>
  <si>
    <t>SOPORTE VITAL BASICO (BLS)</t>
  </si>
  <si>
    <t>VIOLENCIA SEXUAL</t>
  </si>
  <si>
    <t xml:space="preserve">ATENCION A VICTIMAS DE VIOLENCIA SEXUAL </t>
  </si>
  <si>
    <t>PROGRAMADO AMPLIADO DE INMUNIZACION (PAI - COVID 19)</t>
  </si>
  <si>
    <t>AIEPI</t>
  </si>
  <si>
    <t>ATENCION INTEGRAL EN ENFERMEDADES PREVALENTES EN PRIMERA INFANCIA (AIEPI)</t>
  </si>
  <si>
    <t>ADMON DE MEDICAMENTOS</t>
  </si>
  <si>
    <t>OVE</t>
  </si>
  <si>
    <t>OPERADOR DE VEHICULOS DE EMERGENCIA (OVE)</t>
  </si>
  <si>
    <t>IAMI</t>
  </si>
  <si>
    <t>INSTITUCIONES AMIGAS DE LA MUJER Y LA INFANCIA (IAMI)</t>
  </si>
  <si>
    <t>DONANTE</t>
  </si>
  <si>
    <t>CUIDADO DEL DONANTE DE ORGANOS</t>
  </si>
  <si>
    <t>VIOLENCIA DE GENERO</t>
  </si>
  <si>
    <t>ATENCION A VICTIMAS POR VIOLENCIA DE GENERO</t>
  </si>
  <si>
    <t>IGUALDAD DE GENERO</t>
  </si>
  <si>
    <t>IGUALDAD DE GENERO EN LA SALUD</t>
  </si>
  <si>
    <t>BRIGADA</t>
  </si>
  <si>
    <t>BRIGADA DE EMERGENCIA</t>
  </si>
  <si>
    <t>PALIATIVOS</t>
  </si>
  <si>
    <t>MANEJO DEL DOLOR Y CUIDADOS PALIATIVOS</t>
  </si>
  <si>
    <t>POCT</t>
  </si>
  <si>
    <t>IMPLANTE</t>
  </si>
  <si>
    <t>SALUD MENTAL</t>
  </si>
  <si>
    <t>PRIMEROS AUXILIOS P</t>
  </si>
  <si>
    <t>PRIMEROS AUXILIOS PSICOLOGICOS</t>
  </si>
  <si>
    <t>CONFLICTO ARMADO</t>
  </si>
  <si>
    <t>ATENCION A VICTIMAS POR CONFLICTO ARMADO</t>
  </si>
  <si>
    <t>FECHA DE NACIMIENTO</t>
  </si>
  <si>
    <t>X</t>
  </si>
  <si>
    <t>ELABORO</t>
  </si>
  <si>
    <t xml:space="preserve">CORREO </t>
  </si>
  <si>
    <t>LINK BASE</t>
  </si>
  <si>
    <t>CEDULA</t>
  </si>
  <si>
    <t>LINK</t>
  </si>
  <si>
    <t>PAI</t>
  </si>
  <si>
    <t>MANIPULACION DE ALIMENTOS</t>
  </si>
  <si>
    <t>MANIPULACION DE ALIMENTOS Y BPM</t>
  </si>
  <si>
    <t xml:space="preserve">ADMINISTRACION DE MEDICAMENTOS, INYECTOLOGIA  Y CANALIZACION </t>
  </si>
  <si>
    <t>ATENCION A PERSONAS CON DISCAPACIDAD</t>
  </si>
  <si>
    <t>DISCAPACIDAD</t>
  </si>
  <si>
    <t>ADULTO MAYOR</t>
  </si>
  <si>
    <t>CUIDADO INTEGRAL DEL PACIENTE ADULTO</t>
  </si>
  <si>
    <t>Burbano</t>
  </si>
  <si>
    <t>Garcia</t>
  </si>
  <si>
    <t>Zenon</t>
  </si>
  <si>
    <t>Efrain</t>
  </si>
  <si>
    <t>Julio</t>
  </si>
  <si>
    <t>CAMILO</t>
  </si>
  <si>
    <t>M</t>
  </si>
  <si>
    <t>Zenonefrainburbano@gmail.com</t>
  </si>
  <si>
    <t>Gustin</t>
  </si>
  <si>
    <t>Portilla</t>
  </si>
  <si>
    <t>Maria</t>
  </si>
  <si>
    <t>Del Carmen</t>
  </si>
  <si>
    <t>FRANCISCO</t>
  </si>
  <si>
    <t>Galarza</t>
  </si>
  <si>
    <t>Helen</t>
  </si>
  <si>
    <t>Wyuerdy</t>
  </si>
  <si>
    <t>F</t>
  </si>
  <si>
    <t>Castillo</t>
  </si>
  <si>
    <t>Carlosama</t>
  </si>
  <si>
    <t>Chamorro</t>
  </si>
  <si>
    <t>Mauricio</t>
  </si>
  <si>
    <t>Gustavo</t>
  </si>
  <si>
    <t>Ingrid</t>
  </si>
  <si>
    <t>Joana</t>
  </si>
  <si>
    <t>Obando</t>
  </si>
  <si>
    <t>Rivera</t>
  </si>
  <si>
    <t>Katherin</t>
  </si>
  <si>
    <t>Fernanda</t>
  </si>
  <si>
    <t>kataobando95@gmail.com</t>
  </si>
  <si>
    <t>Rosero</t>
  </si>
  <si>
    <t>Florez</t>
  </si>
  <si>
    <t>Doris</t>
  </si>
  <si>
    <t>Elena</t>
  </si>
  <si>
    <t>CCS</t>
  </si>
  <si>
    <t>PSICOLOGA</t>
  </si>
  <si>
    <t xml:space="preserve">dorisflorez1983@gmail.com </t>
  </si>
  <si>
    <t>Pantoja</t>
  </si>
  <si>
    <t>Benavides</t>
  </si>
  <si>
    <t>Yaney</t>
  </si>
  <si>
    <t>Nayibe</t>
  </si>
  <si>
    <t>YURANI</t>
  </si>
  <si>
    <t>AUXILIAR DE ENFERMERIA</t>
  </si>
  <si>
    <t>nayibepantojabenavides2013@gmail.com</t>
  </si>
  <si>
    <t>Pialejo</t>
  </si>
  <si>
    <t>Viveros</t>
  </si>
  <si>
    <t>Carlos</t>
  </si>
  <si>
    <t>Andres</t>
  </si>
  <si>
    <t>LUIS PINTA</t>
  </si>
  <si>
    <t>ENFERMERO</t>
  </si>
  <si>
    <t>sgrecymilena@yahoo.com</t>
  </si>
  <si>
    <t>Yaqueno</t>
  </si>
  <si>
    <t>Criollo</t>
  </si>
  <si>
    <t>Alicia</t>
  </si>
  <si>
    <t>Johana</t>
  </si>
  <si>
    <t>Rojas</t>
  </si>
  <si>
    <t>Santacruz</t>
  </si>
  <si>
    <t>James</t>
  </si>
  <si>
    <t>Ivan</t>
  </si>
  <si>
    <t>Villa</t>
  </si>
  <si>
    <t>Bravo</t>
  </si>
  <si>
    <t>Oscar</t>
  </si>
  <si>
    <t>Alexander</t>
  </si>
  <si>
    <t>Auz</t>
  </si>
  <si>
    <t>Gelpud</t>
  </si>
  <si>
    <t>Olga</t>
  </si>
  <si>
    <t>Yamile</t>
  </si>
  <si>
    <t>Malte</t>
  </si>
  <si>
    <t>Termal</t>
  </si>
  <si>
    <t>Angela</t>
  </si>
  <si>
    <t>Patricia</t>
  </si>
  <si>
    <t>Guerrero</t>
  </si>
  <si>
    <t>Arteaga</t>
  </si>
  <si>
    <t>Arias</t>
  </si>
  <si>
    <t>Ruano</t>
  </si>
  <si>
    <t>Luis</t>
  </si>
  <si>
    <t>Alfredo</t>
  </si>
  <si>
    <t>Mesias</t>
  </si>
  <si>
    <t>Burgos</t>
  </si>
  <si>
    <t>Jairo</t>
  </si>
  <si>
    <t>Camilo</t>
  </si>
  <si>
    <t>Fuertes</t>
  </si>
  <si>
    <t>Caicedo</t>
  </si>
  <si>
    <t>Carolina</t>
  </si>
  <si>
    <t>Lucia</t>
  </si>
  <si>
    <t>Paz</t>
  </si>
  <si>
    <t>Gabriel</t>
  </si>
  <si>
    <t>Alejandro</t>
  </si>
  <si>
    <t>Lopez</t>
  </si>
  <si>
    <t>Inampues</t>
  </si>
  <si>
    <t>Molina</t>
  </si>
  <si>
    <t>Karoll</t>
  </si>
  <si>
    <t>Janeth</t>
  </si>
  <si>
    <t>Yarpaz</t>
  </si>
  <si>
    <t>Achicanoy</t>
  </si>
  <si>
    <t>Sandra</t>
  </si>
  <si>
    <t>Stella</t>
  </si>
  <si>
    <t>Morales</t>
  </si>
  <si>
    <t>Montaña</t>
  </si>
  <si>
    <t>Elizabeth</t>
  </si>
  <si>
    <t>yoanayaqueno1985@gmail.com</t>
  </si>
  <si>
    <t>djamesro@gmail.com</t>
  </si>
  <si>
    <t>alexander-112686@hotmail.com</t>
  </si>
  <si>
    <t>mileux21@hotmail.com</t>
  </si>
  <si>
    <t>angelamaltete@gmail.com</t>
  </si>
  <si>
    <t>maria.fernanda.ga@hotmail.com</t>
  </si>
  <si>
    <t>luchoaruano0315@gmail.com</t>
  </si>
  <si>
    <t>camilomesiasbur93@gmail.com</t>
  </si>
  <si>
    <t>qarofuertes@gmail.com</t>
  </si>
  <si>
    <t>gapz2099@gmail.com</t>
  </si>
  <si>
    <t>cjrl2409@gmail.com</t>
  </si>
  <si>
    <t>dikarollj25@gmail.com</t>
  </si>
  <si>
    <t>sandrayarpaz20041980@gmail.com</t>
  </si>
  <si>
    <t>eat831638@gmail.com</t>
  </si>
  <si>
    <t>TECNICO EN APOYO DE EMERGENCIAS</t>
  </si>
  <si>
    <t>OP.SS.GG LIMPIEZA</t>
  </si>
  <si>
    <t>FISIOTERAPEUTA</t>
  </si>
  <si>
    <t>PSICOLOGO</t>
  </si>
  <si>
    <t>ENFERMERA (O)</t>
  </si>
  <si>
    <t>TECNICO HOTELERIA Y SERVICIOS GENERALES</t>
  </si>
  <si>
    <t>AUXILIAR DE FACTURACION</t>
  </si>
  <si>
    <t>Rodriguez</t>
  </si>
  <si>
    <t>España</t>
  </si>
  <si>
    <t>Adria</t>
  </si>
  <si>
    <t>Marili</t>
  </si>
  <si>
    <t>adriamarilinr@gmail.com</t>
  </si>
  <si>
    <t>NEQUI</t>
  </si>
  <si>
    <t>Ricaurte</t>
  </si>
  <si>
    <t>Wilinton</t>
  </si>
  <si>
    <t>Robert</t>
  </si>
  <si>
    <t>BANCOLOMBIA</t>
  </si>
  <si>
    <t>MEDICO</t>
  </si>
  <si>
    <t>wilro0707@hotmail.com</t>
  </si>
  <si>
    <t>Alvarez</t>
  </si>
  <si>
    <t>Toro</t>
  </si>
  <si>
    <t>Deira</t>
  </si>
  <si>
    <t>Maribel</t>
  </si>
  <si>
    <t>deiraalvarez92@hotmail.com</t>
  </si>
  <si>
    <t>Ceron</t>
  </si>
  <si>
    <t>Vanessa</t>
  </si>
  <si>
    <t>Alexandra</t>
  </si>
  <si>
    <t>Moreno</t>
  </si>
  <si>
    <t>Ramirez</t>
  </si>
  <si>
    <t>Marcela</t>
  </si>
  <si>
    <t>NICOLAS</t>
  </si>
  <si>
    <t>Jmmr_0408@hotmail.com</t>
  </si>
  <si>
    <t>Ortega</t>
  </si>
  <si>
    <t>Alvarado</t>
  </si>
  <si>
    <t>Giovanni</t>
  </si>
  <si>
    <t>Andrés</t>
  </si>
  <si>
    <t>INSTRUMENTADOR QUIRUGICO</t>
  </si>
  <si>
    <t>el.gio2022@gmail.com</t>
  </si>
  <si>
    <t>Tarapues</t>
  </si>
  <si>
    <t>Diego</t>
  </si>
  <si>
    <t>Fernando</t>
  </si>
  <si>
    <t>Palacios</t>
  </si>
  <si>
    <t>Tobar</t>
  </si>
  <si>
    <t>Ricardo</t>
  </si>
  <si>
    <t>Castaño</t>
  </si>
  <si>
    <t>Sanchez</t>
  </si>
  <si>
    <t>Sebastian</t>
  </si>
  <si>
    <t>OBSEQUIO</t>
  </si>
  <si>
    <t>DAVIPLATA</t>
  </si>
  <si>
    <t>Zapata</t>
  </si>
  <si>
    <t>Johanna</t>
  </si>
  <si>
    <t>Catalina</t>
  </si>
  <si>
    <t>Katalinaflorez9606@gmail.com</t>
  </si>
  <si>
    <t>Calpa</t>
  </si>
  <si>
    <t>Zambrano</t>
  </si>
  <si>
    <t>Alvaro</t>
  </si>
  <si>
    <t>José</t>
  </si>
  <si>
    <t>alvarojose278@gmail.com</t>
  </si>
  <si>
    <t>Taramuel</t>
  </si>
  <si>
    <t>Gómez</t>
  </si>
  <si>
    <t>anlogema@hotmail.com</t>
  </si>
  <si>
    <t>Igual</t>
  </si>
  <si>
    <t>Yuri</t>
  </si>
  <si>
    <t>Dayana</t>
  </si>
  <si>
    <t xml:space="preserve">07dayanapa@gmail.com </t>
  </si>
  <si>
    <t>RULETA</t>
  </si>
  <si>
    <t>Cumbal</t>
  </si>
  <si>
    <t>Parra</t>
  </si>
  <si>
    <t>Mary</t>
  </si>
  <si>
    <t>Cristina</t>
  </si>
  <si>
    <t xml:space="preserve">marycristina9054@gmail.com </t>
  </si>
  <si>
    <t>Martinez</t>
  </si>
  <si>
    <t>Alejandra</t>
  </si>
  <si>
    <t xml:space="preserve">Malessiamartinez283@gmail.com </t>
  </si>
  <si>
    <t>Andrade</t>
  </si>
  <si>
    <t>Adriana</t>
  </si>
  <si>
    <t>Catherine</t>
  </si>
  <si>
    <t>SAN PEDRO</t>
  </si>
  <si>
    <t>Adrianaktrine@gmail.com</t>
  </si>
  <si>
    <t>Enriquez</t>
  </si>
  <si>
    <t>Montenegro</t>
  </si>
  <si>
    <t>Karen</t>
  </si>
  <si>
    <t>Andrea</t>
  </si>
  <si>
    <t>Junio</t>
  </si>
  <si>
    <t>karenenriquez0913@gmail.com</t>
  </si>
  <si>
    <t>Cuasialpud</t>
  </si>
  <si>
    <t>Ednna</t>
  </si>
  <si>
    <t>Yulieth</t>
  </si>
  <si>
    <t xml:space="preserve">Yuliethpantoja02@gmail.com </t>
  </si>
  <si>
    <t>Jhon</t>
  </si>
  <si>
    <t>Amderson</t>
  </si>
  <si>
    <t>Jandersoncv62@gmail.com</t>
  </si>
  <si>
    <t>CONDUCTOR DE AMBULANCIA</t>
  </si>
  <si>
    <t>Tatiana</t>
  </si>
  <si>
    <t>iemccp76chamorrokaren@gmail.com</t>
  </si>
  <si>
    <t>Liliana</t>
  </si>
  <si>
    <t>Gamez</t>
  </si>
  <si>
    <t>Benitez</t>
  </si>
  <si>
    <t>Alejandragb87@hotmail.com</t>
  </si>
  <si>
    <t>Esparza</t>
  </si>
  <si>
    <t>Sinsajoa</t>
  </si>
  <si>
    <t>Henry</t>
  </si>
  <si>
    <t>Eduardo</t>
  </si>
  <si>
    <t>Huertas</t>
  </si>
  <si>
    <t>Luna</t>
  </si>
  <si>
    <t>Camila</t>
  </si>
  <si>
    <t>Polo</t>
  </si>
  <si>
    <t>Castro</t>
  </si>
  <si>
    <t>Rosa</t>
  </si>
  <si>
    <t>Ceballos</t>
  </si>
  <si>
    <t>Yisseth</t>
  </si>
  <si>
    <t>Solangyi</t>
  </si>
  <si>
    <t>Coral</t>
  </si>
  <si>
    <t>Angie</t>
  </si>
  <si>
    <t>Katherine</t>
  </si>
  <si>
    <t>Giraldo</t>
  </si>
  <si>
    <t>Hernan</t>
  </si>
  <si>
    <t>Ibarra</t>
  </si>
  <si>
    <t>Pabon</t>
  </si>
  <si>
    <t>Francisco</t>
  </si>
  <si>
    <t>David</t>
  </si>
  <si>
    <t>Lucero</t>
  </si>
  <si>
    <t>De La Rosa</t>
  </si>
  <si>
    <t>Juan</t>
  </si>
  <si>
    <t>Villareal</t>
  </si>
  <si>
    <t>Jonathan</t>
  </si>
  <si>
    <t>Arturo</t>
  </si>
  <si>
    <t>Cabrera</t>
  </si>
  <si>
    <t>Montanchez</t>
  </si>
  <si>
    <t>Milena</t>
  </si>
  <si>
    <t>ENFERMERA</t>
  </si>
  <si>
    <t>Pinza</t>
  </si>
  <si>
    <t>Lasso</t>
  </si>
  <si>
    <t>Dario</t>
  </si>
  <si>
    <t>Orlando</t>
  </si>
  <si>
    <t>correo.dario.pinza0529@gmail.com</t>
  </si>
  <si>
    <t>Lizcano</t>
  </si>
  <si>
    <t>Daniel</t>
  </si>
  <si>
    <t>Felipe</t>
  </si>
  <si>
    <t>SEBASTIAN</t>
  </si>
  <si>
    <t>MANEJO DEFENSIVO</t>
  </si>
  <si>
    <t>dafebol516@gmail.com</t>
  </si>
  <si>
    <t>FORMEDICAL</t>
  </si>
  <si>
    <t>juancamilo.jcbb28@gmail.com</t>
  </si>
  <si>
    <t>Noguera</t>
  </si>
  <si>
    <t>Mora</t>
  </si>
  <si>
    <t>Iván</t>
  </si>
  <si>
    <t xml:space="preserve">flako767@hotmail.com </t>
  </si>
  <si>
    <t>Yepes</t>
  </si>
  <si>
    <t>Marin</t>
  </si>
  <si>
    <t>Leydi</t>
  </si>
  <si>
    <t>Leydi.yepes@uniminuto.edu.co</t>
  </si>
  <si>
    <t>PENDIENTE</t>
  </si>
  <si>
    <t>Claudia</t>
  </si>
  <si>
    <t>Isabel</t>
  </si>
  <si>
    <t>TERAPEUTA RESPIRATORIO</t>
  </si>
  <si>
    <t>martinezclaudiaisabel3@gmail.com</t>
  </si>
  <si>
    <t>Perez</t>
  </si>
  <si>
    <t>Renet</t>
  </si>
  <si>
    <t>Bladimir</t>
  </si>
  <si>
    <t>renatodark666@hotmail.com</t>
  </si>
  <si>
    <t xml:space="preserve">Luispinta347@gmail.com </t>
  </si>
  <si>
    <t>Pinta</t>
  </si>
  <si>
    <t>Olivares</t>
  </si>
  <si>
    <t>Montaño</t>
  </si>
  <si>
    <t>Roberto</t>
  </si>
  <si>
    <t>Tito</t>
  </si>
  <si>
    <t>Javier</t>
  </si>
  <si>
    <t>tierang@hotmail.com</t>
  </si>
  <si>
    <t>ACLSN</t>
  </si>
  <si>
    <t>SOPORTE CARDIOVASCULAR AVANZADO NEONATAL</t>
  </si>
  <si>
    <t>Paola</t>
  </si>
  <si>
    <t xml:space="preserve">andreapc321@gmail.com </t>
  </si>
  <si>
    <t>Betancourth</t>
  </si>
  <si>
    <t>Fajardo</t>
  </si>
  <si>
    <t>Harold</t>
  </si>
  <si>
    <t>Antonio</t>
  </si>
  <si>
    <t>haroldbe1484@gmail.com</t>
  </si>
  <si>
    <t>Rosada</t>
  </si>
  <si>
    <t>Lorena</t>
  </si>
  <si>
    <t>lorenita.ceron@yahoo.com.co</t>
  </si>
  <si>
    <t>1ucely24@gmail.com</t>
  </si>
  <si>
    <t>Valdez</t>
  </si>
  <si>
    <t>Ana</t>
  </si>
  <si>
    <t>Lucely</t>
  </si>
  <si>
    <t>Patiño</t>
  </si>
  <si>
    <t xml:space="preserve">anatobarpp@gmail.com </t>
  </si>
  <si>
    <t>Chapal</t>
  </si>
  <si>
    <t>Mallama</t>
  </si>
  <si>
    <t>vchapalmallama@gmail.com</t>
  </si>
  <si>
    <t>Trujillo</t>
  </si>
  <si>
    <t>Delgado</t>
  </si>
  <si>
    <t>Anabell</t>
  </si>
  <si>
    <t>lukats_9@hotmail.com</t>
  </si>
  <si>
    <t>Lida</t>
  </si>
  <si>
    <t>Giovanna</t>
  </si>
  <si>
    <t>Angely</t>
  </si>
  <si>
    <t>Giovanny</t>
  </si>
  <si>
    <t>Miguel</t>
  </si>
  <si>
    <t>Maritza</t>
  </si>
  <si>
    <t>Carmenza</t>
  </si>
  <si>
    <t>Daniela</t>
  </si>
  <si>
    <t>Angel</t>
  </si>
  <si>
    <t>Jose</t>
  </si>
  <si>
    <t>Arciniegas</t>
  </si>
  <si>
    <t>Acuña</t>
  </si>
  <si>
    <t>Vargas</t>
  </si>
  <si>
    <t>Galindres</t>
  </si>
  <si>
    <t>Hernandez</t>
  </si>
  <si>
    <t>Tenorio</t>
  </si>
  <si>
    <t>Ramos</t>
  </si>
  <si>
    <t>Rios</t>
  </si>
  <si>
    <t>Insuasty</t>
  </si>
  <si>
    <t>PROINSALUD</t>
  </si>
  <si>
    <t>HEMATOLOGO</t>
  </si>
  <si>
    <t>Fanny</t>
  </si>
  <si>
    <t>Mirta</t>
  </si>
  <si>
    <t>fannyortega2203@gmail.com</t>
  </si>
  <si>
    <t>Omar</t>
  </si>
  <si>
    <t>Ayala</t>
  </si>
  <si>
    <t>ONCOLOGO</t>
  </si>
  <si>
    <t>Barrera</t>
  </si>
  <si>
    <t>j.sebasb@hotmail.com</t>
  </si>
  <si>
    <t>Melo</t>
  </si>
  <si>
    <t>Santander</t>
  </si>
  <si>
    <t>Yohanna</t>
  </si>
  <si>
    <t>Gisella</t>
  </si>
  <si>
    <t>meloyohanna21@gmail.com</t>
  </si>
  <si>
    <t>Ponce</t>
  </si>
  <si>
    <t>Yesenia</t>
  </si>
  <si>
    <t>Lizeth</t>
  </si>
  <si>
    <t>Yolanda</t>
  </si>
  <si>
    <t>Enith</t>
  </si>
  <si>
    <t>Bucheli</t>
  </si>
  <si>
    <t>Deisy</t>
  </si>
  <si>
    <t>Gualguan</t>
  </si>
  <si>
    <t>Del carmen</t>
  </si>
  <si>
    <t>Calderon</t>
  </si>
  <si>
    <t>Leidy</t>
  </si>
  <si>
    <t>Leon</t>
  </si>
  <si>
    <t>Diana</t>
  </si>
  <si>
    <t>Cordoba</t>
  </si>
  <si>
    <t>Rocio</t>
  </si>
  <si>
    <t>Del pilar</t>
  </si>
  <si>
    <t>Hualpa</t>
  </si>
  <si>
    <t>Zulma</t>
  </si>
  <si>
    <t>Diaz</t>
  </si>
  <si>
    <t>Meneses</t>
  </si>
  <si>
    <t>Edith</t>
  </si>
  <si>
    <t>Sotelo</t>
  </si>
  <si>
    <t>Martha</t>
  </si>
  <si>
    <t>Yenifer</t>
  </si>
  <si>
    <t>Alba</t>
  </si>
  <si>
    <t>Teresa</t>
  </si>
  <si>
    <t>Nichoy</t>
  </si>
  <si>
    <t>Jojoa</t>
  </si>
  <si>
    <t>Luisa</t>
  </si>
  <si>
    <t>Vallejos</t>
  </si>
  <si>
    <t>Urbina</t>
  </si>
  <si>
    <t>Aide</t>
  </si>
  <si>
    <t>Araselis</t>
  </si>
  <si>
    <t>Pianda</t>
  </si>
  <si>
    <t>Villota</t>
  </si>
  <si>
    <t>Daza</t>
  </si>
  <si>
    <t>Mabel</t>
  </si>
  <si>
    <t>Caguazango</t>
  </si>
  <si>
    <t>Chavez</t>
  </si>
  <si>
    <t>Eugenia</t>
  </si>
  <si>
    <t>Villarreal</t>
  </si>
  <si>
    <t>Botina</t>
  </si>
  <si>
    <t>Irene</t>
  </si>
  <si>
    <t>De la cruz</t>
  </si>
  <si>
    <t>Erika</t>
  </si>
  <si>
    <t>Ruiz</t>
  </si>
  <si>
    <t>Fugi</t>
  </si>
  <si>
    <t>Savid</t>
  </si>
  <si>
    <t>Torres</t>
  </si>
  <si>
    <t>Jorge</t>
  </si>
  <si>
    <t>Fabian</t>
  </si>
  <si>
    <t>Nathaly</t>
  </si>
  <si>
    <t>Ortiz</t>
  </si>
  <si>
    <t>Xilena</t>
  </si>
  <si>
    <t>Jeraldine</t>
  </si>
  <si>
    <t>Arcos</t>
  </si>
  <si>
    <t>Viviana</t>
  </si>
  <si>
    <t>Latorre</t>
  </si>
  <si>
    <t>Bolaños</t>
  </si>
  <si>
    <t>Ayensy</t>
  </si>
  <si>
    <t>Marisol</t>
  </si>
  <si>
    <t>Sinza</t>
  </si>
  <si>
    <t>Prado</t>
  </si>
  <si>
    <t>Anabel</t>
  </si>
  <si>
    <t>Augusto</t>
  </si>
  <si>
    <t>Omayra</t>
  </si>
  <si>
    <t>Mercedes</t>
  </si>
  <si>
    <t>Getial</t>
  </si>
  <si>
    <t>Dora</t>
  </si>
  <si>
    <t>Elisa</t>
  </si>
  <si>
    <t>Paladines</t>
  </si>
  <si>
    <t>Urbano</t>
  </si>
  <si>
    <t>Jackeline</t>
  </si>
  <si>
    <t>Del hierro</t>
  </si>
  <si>
    <t>Bacca</t>
  </si>
  <si>
    <t>Cuasquer</t>
  </si>
  <si>
    <t>Steffania</t>
  </si>
  <si>
    <t>Blanca</t>
  </si>
  <si>
    <t>Ketty</t>
  </si>
  <si>
    <t>Cifuentes</t>
  </si>
  <si>
    <t>Zuikan</t>
  </si>
  <si>
    <t>Giselle</t>
  </si>
  <si>
    <t>Nathalia</t>
  </si>
  <si>
    <t>Paolittafajardo07@gmail.com</t>
  </si>
  <si>
    <t>Vásquez</t>
  </si>
  <si>
    <t>Cardenas</t>
  </si>
  <si>
    <t>yeseniavasquez98@hotmail.com</t>
  </si>
  <si>
    <t>Escobar</t>
  </si>
  <si>
    <t>Aguilar</t>
  </si>
  <si>
    <t>Valencia</t>
  </si>
  <si>
    <t>Tumal</t>
  </si>
  <si>
    <t>Edison</t>
  </si>
  <si>
    <t>Alberto</t>
  </si>
  <si>
    <t>Lara</t>
  </si>
  <si>
    <t>Narvaez</t>
  </si>
  <si>
    <t>Humberto</t>
  </si>
  <si>
    <t>Airton</t>
  </si>
  <si>
    <t>Zarama</t>
  </si>
  <si>
    <t>Guerra</t>
  </si>
  <si>
    <t>Anyelo</t>
  </si>
  <si>
    <t>Raul</t>
  </si>
  <si>
    <t>German</t>
  </si>
  <si>
    <t>Argoti</t>
  </si>
  <si>
    <t>Jimmy</t>
  </si>
  <si>
    <t>Edmundo</t>
  </si>
  <si>
    <t>Vallejo</t>
  </si>
  <si>
    <t>Chazatar</t>
  </si>
  <si>
    <t>Edwin</t>
  </si>
  <si>
    <t>William</t>
  </si>
  <si>
    <t>Gerardo</t>
  </si>
  <si>
    <t>Samaniego</t>
  </si>
  <si>
    <t>Oviedo</t>
  </si>
  <si>
    <t>Jesus</t>
  </si>
  <si>
    <t>Antidio</t>
  </si>
  <si>
    <t>Vicente</t>
  </si>
  <si>
    <t>Ruales</t>
  </si>
  <si>
    <t>Marco</t>
  </si>
  <si>
    <t>Armero</t>
  </si>
  <si>
    <t>Hector</t>
  </si>
  <si>
    <t>Ascuntar</t>
  </si>
  <si>
    <t>Angulo</t>
  </si>
  <si>
    <t>Popayan</t>
  </si>
  <si>
    <t>ESPACIO PUBLICO</t>
  </si>
  <si>
    <t>Timana</t>
  </si>
  <si>
    <t>Leizeth</t>
  </si>
  <si>
    <t xml:space="preserve">liztimana@hotmail.com </t>
  </si>
  <si>
    <t>Silva</t>
  </si>
  <si>
    <t>paoandrea90@hotmail.es</t>
  </si>
  <si>
    <t>Christian</t>
  </si>
  <si>
    <t>cdvillota11@gmail.com</t>
  </si>
  <si>
    <t>Matabajoy</t>
  </si>
  <si>
    <t>Silvia</t>
  </si>
  <si>
    <t>Constanza</t>
  </si>
  <si>
    <t>Siviamatabajoy@gmail.com</t>
  </si>
  <si>
    <t>Paredes</t>
  </si>
  <si>
    <t>Alisson</t>
  </si>
  <si>
    <t xml:space="preserve">alissson1209@hotmail.com </t>
  </si>
  <si>
    <t>Jennifer</t>
  </si>
  <si>
    <t xml:space="preserve">Jenny-9209@hotmail.com </t>
  </si>
  <si>
    <t>HOSDENAR</t>
  </si>
  <si>
    <t>liliad37@hotmail.com</t>
  </si>
  <si>
    <t>Velazques</t>
  </si>
  <si>
    <t>Lilia</t>
  </si>
  <si>
    <t>Monica</t>
  </si>
  <si>
    <t xml:space="preserve">mpati.bb@gmail.com </t>
  </si>
  <si>
    <t xml:space="preserve">HUMANIZACION EN EL SERVICIO DE LA SALUD Y BUENAS PRACTICAS EN PACIENTE </t>
  </si>
  <si>
    <t xml:space="preserve">TOMA DE MUESTRAS Y LABORATORIO </t>
  </si>
  <si>
    <t>SOPORTE CARDIOVASCULAR AVANZADO (ACLS)</t>
  </si>
  <si>
    <t>TOMA DE MUESTRAS Y LABORATORIO POCT</t>
  </si>
  <si>
    <t>IMPLANTE SUBDERMICO DE DISPOSITIVO INTRAUTERINO</t>
  </si>
  <si>
    <t>Apraez</t>
  </si>
  <si>
    <t>Erica</t>
  </si>
  <si>
    <t>normac2328@gmail.com</t>
  </si>
  <si>
    <t>Alexandrarosero34@gmail.com</t>
  </si>
  <si>
    <t>NUTRICIONISTA</t>
  </si>
  <si>
    <t>CAJA</t>
  </si>
  <si>
    <t>Barbosa</t>
  </si>
  <si>
    <t>Marcielorr_1215@hotmail.com</t>
  </si>
  <si>
    <t>Noviembre</t>
  </si>
  <si>
    <t xml:space="preserve">Escobar </t>
  </si>
  <si>
    <t xml:space="preserve">Burbano </t>
  </si>
  <si>
    <t>Vilma</t>
  </si>
  <si>
    <t xml:space="preserve"> Alicia</t>
  </si>
  <si>
    <t xml:space="preserve">Torres </t>
  </si>
  <si>
    <t xml:space="preserve">López  </t>
  </si>
  <si>
    <t>Meryland</t>
  </si>
  <si>
    <t>Stephany</t>
  </si>
  <si>
    <t xml:space="preserve">Eraso </t>
  </si>
  <si>
    <t>Bisbicus</t>
  </si>
  <si>
    <t xml:space="preserve"> Elizabeth </t>
  </si>
  <si>
    <t>del Socorro</t>
  </si>
  <si>
    <t xml:space="preserve">Mayac </t>
  </si>
  <si>
    <t xml:space="preserve">Igua </t>
  </si>
  <si>
    <t xml:space="preserve">Jenny </t>
  </si>
  <si>
    <t xml:space="preserve">Chamorro </t>
  </si>
  <si>
    <t xml:space="preserve">Velasquez </t>
  </si>
  <si>
    <t>Mercy</t>
  </si>
  <si>
    <t xml:space="preserve">Hidalgo </t>
  </si>
  <si>
    <t xml:space="preserve">Lopez </t>
  </si>
  <si>
    <t xml:space="preserve">Marly </t>
  </si>
  <si>
    <t>Isabeth</t>
  </si>
  <si>
    <t xml:space="preserve"> Zuikan</t>
  </si>
  <si>
    <t xml:space="preserve"> Giselle </t>
  </si>
  <si>
    <t xml:space="preserve">Guerrero </t>
  </si>
  <si>
    <t xml:space="preserve">Pasijojoa </t>
  </si>
  <si>
    <t xml:space="preserve">Veronica </t>
  </si>
  <si>
    <t>Magaly</t>
  </si>
  <si>
    <t xml:space="preserve">Chungana </t>
  </si>
  <si>
    <t xml:space="preserve">Potosi </t>
  </si>
  <si>
    <t xml:space="preserve">Emma </t>
  </si>
  <si>
    <t>Nohemy</t>
  </si>
  <si>
    <t xml:space="preserve">Calvache </t>
  </si>
  <si>
    <t xml:space="preserve">valencia </t>
  </si>
  <si>
    <t xml:space="preserve">Julian </t>
  </si>
  <si>
    <t>Yela</t>
  </si>
  <si>
    <t>Laureano</t>
  </si>
  <si>
    <t>Ávila</t>
  </si>
  <si>
    <t>Claderón</t>
  </si>
  <si>
    <t>carlosavilaed@hotmail.com</t>
  </si>
  <si>
    <t>Gallardo</t>
  </si>
  <si>
    <t>Geraldine</t>
  </si>
  <si>
    <t xml:space="preserve"> helengeraldine567@gmail.com</t>
  </si>
  <si>
    <t>Bastidas</t>
  </si>
  <si>
    <t>Aracely</t>
  </si>
  <si>
    <t>Del Rosario</t>
  </si>
  <si>
    <t>bastidasaracely77@gmail.com</t>
  </si>
  <si>
    <t>yesenia9320092009@hotmail.com</t>
  </si>
  <si>
    <t>mabelcris21@gmail.com</t>
  </si>
  <si>
    <t>Erazo</t>
  </si>
  <si>
    <t>Yulilith</t>
  </si>
  <si>
    <t>andreaerazo1004@gmail.com</t>
  </si>
  <si>
    <t>Tiraca</t>
  </si>
  <si>
    <t>Juancarlost2706@gmail.com</t>
  </si>
  <si>
    <t>POR NEQUI PENDIENTE OTRA MITAD</t>
  </si>
  <si>
    <t>Basante</t>
  </si>
  <si>
    <t>Uasapud</t>
  </si>
  <si>
    <t>Cortes</t>
  </si>
  <si>
    <t>Heiman</t>
  </si>
  <si>
    <t>heiman932008@hotmail.com</t>
  </si>
  <si>
    <t xml:space="preserve">basante2805@gmail.com </t>
  </si>
  <si>
    <t>Cupacan</t>
  </si>
  <si>
    <t>Chaves</t>
  </si>
  <si>
    <t>fercha24932009@hotmail.com</t>
  </si>
  <si>
    <t>Usamá</t>
  </si>
  <si>
    <t>Jiménez</t>
  </si>
  <si>
    <t>Lizbeth</t>
  </si>
  <si>
    <t xml:space="preserve">nathaliausamaa@gmail.com </t>
  </si>
  <si>
    <t>Linares</t>
  </si>
  <si>
    <t>Deyanira</t>
  </si>
  <si>
    <t xml:space="preserve">Deyslin2988@gmail.com </t>
  </si>
  <si>
    <t>Navarrete</t>
  </si>
  <si>
    <t>Pinto</t>
  </si>
  <si>
    <t>Jazmin</t>
  </si>
  <si>
    <t>Ahumada</t>
  </si>
  <si>
    <t>Cortez</t>
  </si>
  <si>
    <t>Anyelly</t>
  </si>
  <si>
    <t>Astrid</t>
  </si>
  <si>
    <t>Romero</t>
  </si>
  <si>
    <t>Mery</t>
  </si>
  <si>
    <t>anabelguerrero603@gmail.com</t>
  </si>
  <si>
    <t>tarapuezmaricruz704@gmail.com</t>
  </si>
  <si>
    <t>marcegarcis17@gmail.com</t>
  </si>
  <si>
    <t>marlenylopezm2017@gmail.com</t>
  </si>
  <si>
    <t>cifuentesgiselle64@gmail.com</t>
  </si>
  <si>
    <t>Almeida</t>
  </si>
  <si>
    <t>Cardoza</t>
  </si>
  <si>
    <t>Nubia</t>
  </si>
  <si>
    <t>Viteli</t>
  </si>
  <si>
    <t>nubiaalmeida156@gmail.com</t>
  </si>
  <si>
    <t>Josa</t>
  </si>
  <si>
    <t>Valenzuela</t>
  </si>
  <si>
    <t>juancarlos.jd2016@gmail.com</t>
  </si>
  <si>
    <t>del Rosario</t>
  </si>
  <si>
    <t>lorec681@hotmail.com</t>
  </si>
  <si>
    <t xml:space="preserve">mafesita0825@hotmail.com </t>
  </si>
  <si>
    <t>EFECTY</t>
  </si>
  <si>
    <t>anitabellbasante@outlook.com</t>
  </si>
  <si>
    <t>Eraso</t>
  </si>
  <si>
    <t>Kelly</t>
  </si>
  <si>
    <t>Jhasmin</t>
  </si>
  <si>
    <t>kelly727pok@hotmail.com</t>
  </si>
  <si>
    <t>enfermerajefeluisa@gmail.com</t>
  </si>
  <si>
    <t>Gomajoa</t>
  </si>
  <si>
    <t xml:space="preserve">marthagomajoa2@gmail.com </t>
  </si>
  <si>
    <t>Cadena</t>
  </si>
  <si>
    <t>Gavilanes</t>
  </si>
  <si>
    <t>Julia</t>
  </si>
  <si>
    <t>Del socorro</t>
  </si>
  <si>
    <t>Juan.fe2201@hotmail.com</t>
  </si>
  <si>
    <t>Solarte</t>
  </si>
  <si>
    <t>Yurani</t>
  </si>
  <si>
    <t>notasmarce@gmail.com</t>
  </si>
  <si>
    <t>Riascos</t>
  </si>
  <si>
    <t>Silvio</t>
  </si>
  <si>
    <t>morafernando0660@gmail.com</t>
  </si>
  <si>
    <t>danielappa76@gmail.com</t>
  </si>
  <si>
    <t>Casanova</t>
  </si>
  <si>
    <t>sandraeraso01@gmail.com</t>
  </si>
  <si>
    <t xml:space="preserve">diaort98@gmail.com </t>
  </si>
  <si>
    <t>Yohana</t>
  </si>
  <si>
    <t>Yuryyohanaguerrero1996@gmail.com</t>
  </si>
  <si>
    <t xml:space="preserve">Ramos </t>
  </si>
  <si>
    <t xml:space="preserve">Emilce </t>
  </si>
  <si>
    <t>GUERRERO</t>
  </si>
  <si>
    <t xml:space="preserve"> CHAPAL</t>
  </si>
  <si>
    <t>DEYSY</t>
  </si>
  <si>
    <t xml:space="preserve"> CECILIA </t>
  </si>
  <si>
    <t>Yury</t>
  </si>
  <si>
    <t xml:space="preserve"> timaran </t>
  </si>
  <si>
    <t>lopez</t>
  </si>
  <si>
    <t>Ayda</t>
  </si>
  <si>
    <t xml:space="preserve"> luz</t>
  </si>
  <si>
    <t xml:space="preserve">DELGADO </t>
  </si>
  <si>
    <t>TELLO</t>
  </si>
  <si>
    <t xml:space="preserve">PAOLA </t>
  </si>
  <si>
    <t>ANDREA</t>
  </si>
  <si>
    <t xml:space="preserve"> Ibarra</t>
  </si>
  <si>
    <t xml:space="preserve"> leiva</t>
  </si>
  <si>
    <t>Carmen</t>
  </si>
  <si>
    <t xml:space="preserve">Solarte </t>
  </si>
  <si>
    <t xml:space="preserve">Benavides </t>
  </si>
  <si>
    <t xml:space="preserve">Nelson </t>
  </si>
  <si>
    <t xml:space="preserve">Yobanny </t>
  </si>
  <si>
    <t xml:space="preserve"> Tello</t>
  </si>
  <si>
    <t xml:space="preserve"> Miño</t>
  </si>
  <si>
    <t xml:space="preserve">Mariela </t>
  </si>
  <si>
    <t>López</t>
  </si>
  <si>
    <t>maurog65@gmail.com</t>
  </si>
  <si>
    <t>Mateo</t>
  </si>
  <si>
    <t>mateoalejosan@gmail.com</t>
  </si>
  <si>
    <t>Margarita</t>
  </si>
  <si>
    <t>isamap.1971@hotmail.com</t>
  </si>
  <si>
    <t>Villacres</t>
  </si>
  <si>
    <t>Mazuera</t>
  </si>
  <si>
    <t>TECNOLOGA EN IMÁGENES DIAGNOSTICAS</t>
  </si>
  <si>
    <t>camilavillacresmazuera@gmail.com</t>
  </si>
  <si>
    <t>ignacio.jojoa@uniminuto.edu.co</t>
  </si>
  <si>
    <t>Edgardo</t>
  </si>
  <si>
    <t>Julian</t>
  </si>
  <si>
    <t>Jimenez</t>
  </si>
  <si>
    <t>Mario</t>
  </si>
  <si>
    <t>Mariooosesa469@gmail.com</t>
  </si>
  <si>
    <t>ebenavides362@gmail.com</t>
  </si>
  <si>
    <t>obsequio</t>
  </si>
  <si>
    <t>Yuval</t>
  </si>
  <si>
    <t>Hernán</t>
  </si>
  <si>
    <t>BRYAN</t>
  </si>
  <si>
    <t xml:space="preserve">yuvalher2015@gmail.com </t>
  </si>
  <si>
    <t>Guaquez</t>
  </si>
  <si>
    <t>INTERNISTA</t>
  </si>
  <si>
    <t>diego323.dm@gmail.com</t>
  </si>
  <si>
    <t>MEDICA</t>
  </si>
  <si>
    <t>johanaguerrero120815@gmail.com</t>
  </si>
  <si>
    <t>SEGURIDAD DEL PACIENTE</t>
  </si>
  <si>
    <t>PACIENTE</t>
  </si>
  <si>
    <t>TECNOLOGA EN IMÁGENES DIAGNÓSTICAS</t>
  </si>
  <si>
    <t>maridepa94@gmail.com</t>
  </si>
  <si>
    <t>Beltrán</t>
  </si>
  <si>
    <t>Salas</t>
  </si>
  <si>
    <t>Lucy</t>
  </si>
  <si>
    <t>Dalia</t>
  </si>
  <si>
    <t xml:space="preserve"> ludabels1994@gmail.com</t>
  </si>
  <si>
    <t>Tovar</t>
  </si>
  <si>
    <t>vivismarch@hotmail.com</t>
  </si>
  <si>
    <t>Maya</t>
  </si>
  <si>
    <t>María</t>
  </si>
  <si>
    <t>maleja-016@hotmail.com</t>
  </si>
  <si>
    <t>Reyes</t>
  </si>
  <si>
    <t>Pazmiño</t>
  </si>
  <si>
    <t xml:space="preserve">reyespaz496@gmail.com </t>
  </si>
  <si>
    <t>patico0660@gmail.com</t>
  </si>
  <si>
    <t>lupeburgue@gmail.com</t>
  </si>
  <si>
    <t>luzitatima@gmail.com</t>
  </si>
  <si>
    <t>pao8vale@gmail.com</t>
  </si>
  <si>
    <t>calicha943@hotmail.com</t>
  </si>
  <si>
    <t>Sandrasolarte994@gmail.com</t>
  </si>
  <si>
    <t>nelsonybenavides@gmail.com</t>
  </si>
  <si>
    <t xml:space="preserve">marielatello1372@gmail.com </t>
  </si>
  <si>
    <t xml:space="preserve">deisyruano7@gmail.com </t>
  </si>
  <si>
    <t>isab3l_22@hotmail.com</t>
  </si>
  <si>
    <t>adedmedi@gmail.com</t>
  </si>
  <si>
    <t>Nichoyj4@gmail.com</t>
  </si>
  <si>
    <t>aidemartinez1882@gmail.com</t>
  </si>
  <si>
    <t>jhoanap620@gmail.com</t>
  </si>
  <si>
    <t xml:space="preserve">anitaprado130789@gmail.com </t>
  </si>
  <si>
    <t>mcristinapmartinez@gmail.com</t>
  </si>
  <si>
    <t xml:space="preserve">omapaz30@gmail.com </t>
  </si>
  <si>
    <t>diego.92.f@hotmail.com</t>
  </si>
  <si>
    <t xml:space="preserve">alicitaburbano@gmail.com </t>
  </si>
  <si>
    <t>Vilmis1408@hotmail.com</t>
  </si>
  <si>
    <t>Jennymayac@gmail.com</t>
  </si>
  <si>
    <t xml:space="preserve">davidcalvache88@gmail.com </t>
  </si>
  <si>
    <t xml:space="preserve">bastidasaracely77@gmail.com </t>
  </si>
  <si>
    <t>caguazangochaves@gmail.com</t>
  </si>
  <si>
    <t>Hoyos</t>
  </si>
  <si>
    <t>César</t>
  </si>
  <si>
    <t>ESTUDIANTE DE OPTOMETRIA</t>
  </si>
  <si>
    <t xml:space="preserve">jcdh2703@hotmail.com </t>
  </si>
  <si>
    <t>dvasquez52@estudiantes.areandina.edu.co</t>
  </si>
  <si>
    <t xml:space="preserve">ribape17@gmail.com </t>
  </si>
  <si>
    <t>Vasquez</t>
  </si>
  <si>
    <t>Gonzales</t>
  </si>
  <si>
    <t>Balanta</t>
  </si>
  <si>
    <t>Pérez</t>
  </si>
  <si>
    <t>Cristhian</t>
  </si>
  <si>
    <t>Largo</t>
  </si>
  <si>
    <t>Orozco</t>
  </si>
  <si>
    <t>Clargo6@estudiantes.areandina.edu.co</t>
  </si>
  <si>
    <t>Juajinoy</t>
  </si>
  <si>
    <t>Etnoeducadora</t>
  </si>
  <si>
    <t>lpjuajinoye@gmail.com</t>
  </si>
  <si>
    <t>Hidalgo</t>
  </si>
  <si>
    <t xml:space="preserve">hidalgolopezmarly@gmail.com </t>
  </si>
  <si>
    <t>Salazar</t>
  </si>
  <si>
    <t>Michel</t>
  </si>
  <si>
    <t>Vanesa</t>
  </si>
  <si>
    <t>michelburbano97@gmail.com</t>
  </si>
  <si>
    <t>Marly</t>
  </si>
  <si>
    <t>Narváez</t>
  </si>
  <si>
    <t>Vivas</t>
  </si>
  <si>
    <t>lore.1602@hotmail.com</t>
  </si>
  <si>
    <t>Del castillo</t>
  </si>
  <si>
    <t>Goyes</t>
  </si>
  <si>
    <t>Carmela</t>
  </si>
  <si>
    <t>SEBAS</t>
  </si>
  <si>
    <t>Pilarika31162@hotmail.com</t>
  </si>
  <si>
    <t>Manuel</t>
  </si>
  <si>
    <t xml:space="preserve">henrypa21@hotmail.com </t>
  </si>
  <si>
    <t>Ordóñez</t>
  </si>
  <si>
    <t>Klinger</t>
  </si>
  <si>
    <t>Yina</t>
  </si>
  <si>
    <t xml:space="preserve">ginaklingermg@gmail.com </t>
  </si>
  <si>
    <t>Pastás</t>
  </si>
  <si>
    <t xml:space="preserve">rosapastas99@gmail.com </t>
  </si>
  <si>
    <t>Marquez</t>
  </si>
  <si>
    <t>Azain</t>
  </si>
  <si>
    <t xml:space="preserve">Marques.azain@gmail.com </t>
  </si>
  <si>
    <t>Lozano</t>
  </si>
  <si>
    <t>ENFERMERO JEFE</t>
  </si>
  <si>
    <t>danielfvillota@gmail.com</t>
  </si>
  <si>
    <t>Jeraldin</t>
  </si>
  <si>
    <t xml:space="preserve">jeraldincad@gmail.com </t>
  </si>
  <si>
    <t>Alexa</t>
  </si>
  <si>
    <t>Irerojas.19@gmail.com</t>
  </si>
  <si>
    <t>Anyi</t>
  </si>
  <si>
    <t>Gissela</t>
  </si>
  <si>
    <t>gisselamartinez44@gmail.com</t>
  </si>
  <si>
    <t>Victoria</t>
  </si>
  <si>
    <t xml:space="preserve">rovizamo@yahoo.es </t>
  </si>
  <si>
    <t>Gordillo</t>
  </si>
  <si>
    <t>Ofelia</t>
  </si>
  <si>
    <t>Jaramillo</t>
  </si>
  <si>
    <t>Aida</t>
  </si>
  <si>
    <t>Miramag</t>
  </si>
  <si>
    <t>Yandun</t>
  </si>
  <si>
    <t>Moncayo</t>
  </si>
  <si>
    <t>Sofia</t>
  </si>
  <si>
    <t>Gabriela</t>
  </si>
  <si>
    <t>Rosales</t>
  </si>
  <si>
    <t>Liseth</t>
  </si>
  <si>
    <t>Jessica</t>
  </si>
  <si>
    <t>Muñoz</t>
  </si>
  <si>
    <t>Esteban</t>
  </si>
  <si>
    <t>Clara</t>
  </si>
  <si>
    <t>Lizethe</t>
  </si>
  <si>
    <t>Espinosa</t>
  </si>
  <si>
    <t>Michael</t>
  </si>
  <si>
    <t>Yesid</t>
  </si>
  <si>
    <t>Aldemar</t>
  </si>
  <si>
    <t>MARCELA PINZON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</si>
</sst>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43" formatCode="_-* #,##0.00_-;\-* #,##0.00_-;_-* &quot;-&quot;??_-;_-@_-"/>
    <numFmt numFmtId="164" formatCode="_-* #,##0_-;\-* #,##0_-;_-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Arial"/>
      <family val="2"/>
    </font>
    <font>
      <u/>
      <sz val="12"/>
      <name val="Arial"/>
      <family val="2"/>
    </font>
    <font>
      <b/>
      <sz val="11"/>
      <color theme="1"/>
      <name val="Arial"/>
      <family val="2"/>
    </font>
    <font>
      <u/>
      <sz val="12"/>
      <color theme="10"/>
      <name val="Arial"/>
      <family val="2"/>
    </font>
    <font>
      <sz val="12"/>
      <color rgb="FF39420C"/>
      <name val="Arial"/>
      <family val="2"/>
    </font>
    <font>
      <sz val="12"/>
      <color rgb="FFFF0000"/>
      <name val="Arial"/>
      <family val="2"/>
    </font>
    <font>
      <b/>
      <sz val="12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0" tint="-0.14999847407452621"/>
      </patternFill>
    </fill>
    <fill>
      <patternFill patternType="solid">
        <fgColor rgb="FFFFFF00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8" fillId="0" borderId="0" applyNumberFormat="0" applyFill="0" applyBorder="0" applyAlignment="0" applyProtection="0"/>
  </cellStyleXfs>
  <cellXfs count="209">
    <xf numFmtId="0" fontId="0" fillId="0" borderId="0" xfId="0"/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left" vertical="center"/>
    </xf>
    <xf numFmtId="0" fontId="5" fillId="0" borderId="5" xfId="0" applyFont="1" applyBorder="1"/>
    <xf numFmtId="0" fontId="6" fillId="0" borderId="6" xfId="0" applyFont="1" applyBorder="1" applyAlignment="1">
      <alignment horizontal="center"/>
    </xf>
    <xf numFmtId="0" fontId="6" fillId="0" borderId="1" xfId="0" applyFont="1" applyBorder="1" applyAlignment="1">
      <alignment horizontal="left"/>
    </xf>
    <xf numFmtId="0" fontId="5" fillId="0" borderId="7" xfId="0" applyFont="1" applyBorder="1"/>
    <xf numFmtId="0" fontId="5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/>
    <xf numFmtId="0" fontId="6" fillId="0" borderId="7" xfId="0" applyFont="1" applyBorder="1" applyAlignment="1">
      <alignment horizontal="left"/>
    </xf>
    <xf numFmtId="0" fontId="5" fillId="0" borderId="7" xfId="0" applyFont="1" applyBorder="1" applyAlignment="1">
      <alignment horizontal="left"/>
    </xf>
    <xf numFmtId="0" fontId="8" fillId="0" borderId="0" xfId="3"/>
    <xf numFmtId="0" fontId="9" fillId="2" borderId="1" xfId="0" applyFont="1" applyFill="1" applyBorder="1" applyAlignment="1">
      <alignment horizontal="center"/>
    </xf>
    <xf numFmtId="0" fontId="9" fillId="2" borderId="1" xfId="0" applyFont="1" applyFill="1" applyBorder="1" applyAlignment="1">
      <alignment horizontal="left"/>
    </xf>
    <xf numFmtId="14" fontId="9" fillId="2" borderId="1" xfId="0" applyNumberFormat="1" applyFont="1" applyFill="1" applyBorder="1" applyAlignment="1">
      <alignment horizontal="center"/>
    </xf>
    <xf numFmtId="0" fontId="9" fillId="2" borderId="1" xfId="0" applyFont="1" applyFill="1" applyBorder="1"/>
    <xf numFmtId="14" fontId="9" fillId="2" borderId="1" xfId="0" applyNumberFormat="1" applyFont="1" applyFill="1" applyBorder="1"/>
    <xf numFmtId="164" fontId="9" fillId="2" borderId="1" xfId="1" applyNumberFormat="1" applyFont="1" applyFill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4" fillId="2" borderId="8" xfId="0" applyFont="1" applyFill="1" applyBorder="1"/>
    <xf numFmtId="0" fontId="2" fillId="0" borderId="10" xfId="0" applyFont="1" applyBorder="1" applyAlignment="1">
      <alignment horizontal="center"/>
    </xf>
    <xf numFmtId="0" fontId="0" fillId="4" borderId="11" xfId="0" applyFill="1" applyBorder="1"/>
    <xf numFmtId="0" fontId="0" fillId="4" borderId="12" xfId="0" applyFill="1" applyBorder="1"/>
    <xf numFmtId="0" fontId="0" fillId="4" borderId="13" xfId="0" applyFill="1" applyBorder="1"/>
    <xf numFmtId="0" fontId="3" fillId="2" borderId="1" xfId="0" applyFont="1" applyFill="1" applyBorder="1" applyAlignment="1" applyProtection="1">
      <alignment vertical="center"/>
      <protection locked="0"/>
    </xf>
    <xf numFmtId="49" fontId="3" fillId="2" borderId="1" xfId="0" applyNumberFormat="1" applyFont="1" applyFill="1" applyBorder="1" applyAlignment="1" applyProtection="1">
      <alignment horizontal="center" vertical="center"/>
      <protection locked="0"/>
    </xf>
    <xf numFmtId="14" fontId="3" fillId="2" borderId="1" xfId="2" applyNumberFormat="1" applyFont="1" applyFill="1" applyBorder="1" applyAlignment="1" applyProtection="1">
      <alignment horizontal="center" vertical="center"/>
      <protection locked="0"/>
    </xf>
    <xf numFmtId="164" fontId="3" fillId="2" borderId="1" xfId="1" applyNumberFormat="1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horizontal="left" vertical="center"/>
      <protection locked="0"/>
    </xf>
    <xf numFmtId="14" fontId="3" fillId="2" borderId="1" xfId="0" applyNumberFormat="1" applyFont="1" applyFill="1" applyBorder="1" applyAlignment="1" applyProtection="1">
      <alignment vertical="center"/>
      <protection locked="0"/>
    </xf>
    <xf numFmtId="0" fontId="3" fillId="3" borderId="1" xfId="0" applyFont="1" applyFill="1" applyBorder="1" applyAlignment="1">
      <alignment vertical="center"/>
    </xf>
    <xf numFmtId="0" fontId="11" fillId="0" borderId="2" xfId="0" applyFont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12" fillId="2" borderId="1" xfId="3" applyFont="1" applyFill="1" applyBorder="1" applyAlignment="1"/>
    <xf numFmtId="0" fontId="10" fillId="2" borderId="1" xfId="3" applyFont="1" applyFill="1" applyBorder="1" applyAlignment="1"/>
    <xf numFmtId="0" fontId="5" fillId="0" borderId="5" xfId="0" applyFont="1" applyBorder="1" applyAlignment="1">
      <alignment horizontal="left" vertical="center"/>
    </xf>
    <xf numFmtId="0" fontId="0" fillId="0" borderId="6" xfId="0" applyBorder="1" applyAlignment="1">
      <alignment horizontal="center"/>
    </xf>
    <xf numFmtId="1" fontId="9" fillId="2" borderId="1" xfId="0" applyNumberFormat="1" applyFont="1" applyFill="1" applyBorder="1"/>
    <xf numFmtId="0" fontId="9" fillId="2" borderId="14" xfId="0" applyFont="1" applyFill="1" applyBorder="1"/>
    <xf numFmtId="0" fontId="9" fillId="2" borderId="8" xfId="0" applyFont="1" applyFill="1" applyBorder="1"/>
    <xf numFmtId="0" fontId="9" fillId="2" borderId="8" xfId="0" applyFont="1" applyFill="1" applyBorder="1" applyAlignment="1">
      <alignment horizontal="center"/>
    </xf>
    <xf numFmtId="14" fontId="9" fillId="2" borderId="8" xfId="0" applyNumberFormat="1" applyFont="1" applyFill="1" applyBorder="1" applyAlignment="1">
      <alignment horizontal="center"/>
    </xf>
    <xf numFmtId="164" fontId="9" fillId="2" borderId="8" xfId="1" applyNumberFormat="1" applyFont="1" applyFill="1" applyBorder="1" applyAlignment="1">
      <alignment horizontal="center"/>
    </xf>
    <xf numFmtId="0" fontId="9" fillId="2" borderId="8" xfId="0" applyFont="1" applyFill="1" applyBorder="1" applyAlignment="1">
      <alignment horizontal="left"/>
    </xf>
    <xf numFmtId="14" fontId="9" fillId="2" borderId="8" xfId="0" applyNumberFormat="1" applyFont="1" applyFill="1" applyBorder="1"/>
    <xf numFmtId="164" fontId="9" fillId="2" borderId="0" xfId="1" applyNumberFormat="1" applyFont="1" applyFill="1" applyBorder="1" applyAlignment="1">
      <alignment horizontal="center"/>
    </xf>
    <xf numFmtId="0" fontId="3" fillId="2" borderId="14" xfId="2" applyNumberFormat="1" applyFont="1" applyFill="1" applyBorder="1" applyAlignment="1" applyProtection="1">
      <alignment vertical="center"/>
      <protection locked="0"/>
    </xf>
    <xf numFmtId="0" fontId="9" fillId="2" borderId="14" xfId="0" applyFont="1" applyFill="1" applyBorder="1" applyAlignment="1">
      <alignment vertical="center" wrapText="1"/>
    </xf>
    <xf numFmtId="0" fontId="4" fillId="2" borderId="1" xfId="0" applyFont="1" applyFill="1" applyBorder="1"/>
    <xf numFmtId="14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14" fontId="4" fillId="2" borderId="1" xfId="0" applyNumberFormat="1" applyFont="1" applyFill="1" applyBorder="1"/>
    <xf numFmtId="0" fontId="8" fillId="2" borderId="1" xfId="3" applyFill="1" applyBorder="1"/>
    <xf numFmtId="164" fontId="4" fillId="2" borderId="1" xfId="1" applyNumberFormat="1" applyFont="1" applyFill="1" applyBorder="1"/>
    <xf numFmtId="14" fontId="9" fillId="2" borderId="1" xfId="0" applyNumberFormat="1" applyFont="1" applyFill="1" applyBorder="1" applyAlignment="1">
      <alignment horizontal="right"/>
    </xf>
    <xf numFmtId="14" fontId="9" fillId="2" borderId="1" xfId="0" applyNumberFormat="1" applyFont="1" applyFill="1" applyBorder="1" applyAlignment="1">
      <alignment horizontal="right" vertical="center"/>
    </xf>
    <xf numFmtId="14" fontId="9" fillId="2" borderId="1" xfId="0" applyNumberFormat="1" applyFont="1" applyFill="1" applyBorder="1" applyAlignment="1">
      <alignment vertical="center"/>
    </xf>
    <xf numFmtId="0" fontId="8" fillId="2" borderId="1" xfId="3" applyFill="1" applyBorder="1" applyAlignment="1"/>
    <xf numFmtId="14" fontId="4" fillId="5" borderId="1" xfId="0" applyNumberFormat="1" applyFont="1" applyFill="1" applyBorder="1"/>
    <xf numFmtId="0" fontId="12" fillId="5" borderId="1" xfId="3" applyFont="1" applyFill="1" applyBorder="1"/>
    <xf numFmtId="0" fontId="4" fillId="0" borderId="1" xfId="0" applyFont="1" applyBorder="1"/>
    <xf numFmtId="0" fontId="12" fillId="2" borderId="1" xfId="3" applyFont="1" applyFill="1" applyBorder="1"/>
    <xf numFmtId="0" fontId="9" fillId="2" borderId="1" xfId="0" applyFont="1" applyFill="1" applyBorder="1" applyAlignment="1">
      <alignment horizontal="left" vertical="center" wrapText="1"/>
    </xf>
    <xf numFmtId="0" fontId="9" fillId="2" borderId="1" xfId="0" applyFont="1" applyFill="1" applyBorder="1" applyAlignment="1">
      <alignment vertical="center"/>
    </xf>
    <xf numFmtId="0" fontId="4" fillId="5" borderId="1" xfId="0" applyFont="1" applyFill="1" applyBorder="1"/>
    <xf numFmtId="0" fontId="9" fillId="2" borderId="1" xfId="0" applyFont="1" applyFill="1" applyBorder="1" applyAlignment="1">
      <alignment horizontal="center" wrapText="1"/>
    </xf>
    <xf numFmtId="0" fontId="5" fillId="0" borderId="19" xfId="0" applyFont="1" applyBorder="1" applyAlignment="1">
      <alignment horizontal="center"/>
    </xf>
    <xf numFmtId="0" fontId="5" fillId="0" borderId="18" xfId="0" applyFont="1" applyBorder="1"/>
    <xf numFmtId="0" fontId="5" fillId="0" borderId="20" xfId="0" applyFont="1" applyBorder="1"/>
    <xf numFmtId="0" fontId="9" fillId="2" borderId="1" xfId="0" applyFont="1" applyFill="1" applyBorder="1" applyAlignment="1">
      <alignment vertical="center" wrapText="1"/>
    </xf>
    <xf numFmtId="164" fontId="9" fillId="2" borderId="1" xfId="1" applyNumberFormat="1" applyFont="1" applyFill="1" applyBorder="1" applyAlignment="1">
      <alignment horizontal="center" wrapText="1"/>
    </xf>
    <xf numFmtId="14" fontId="9" fillId="2" borderId="1" xfId="0" applyNumberFormat="1" applyFont="1" applyFill="1" applyBorder="1" applyAlignment="1">
      <alignment vertical="center" wrapText="1"/>
    </xf>
    <xf numFmtId="0" fontId="9" fillId="2" borderId="1" xfId="0" applyFont="1" applyFill="1" applyBorder="1" applyAlignment="1">
      <alignment wrapText="1"/>
    </xf>
    <xf numFmtId="0" fontId="5" fillId="0" borderId="1" xfId="0" applyFont="1" applyFill="1" applyBorder="1"/>
    <xf numFmtId="0" fontId="5" fillId="0" borderId="7" xfId="0" applyFont="1" applyFill="1" applyBorder="1"/>
    <xf numFmtId="0" fontId="0" fillId="0" borderId="6" xfId="0" applyFill="1" applyBorder="1" applyAlignment="1">
      <alignment horizontal="center"/>
    </xf>
    <xf numFmtId="0" fontId="8" fillId="2" borderId="1" xfId="3" applyFill="1" applyBorder="1" applyAlignment="1">
      <alignment vertical="center" wrapText="1"/>
    </xf>
    <xf numFmtId="49" fontId="3" fillId="2" borderId="1" xfId="0" applyNumberFormat="1" applyFont="1" applyFill="1" applyBorder="1" applyAlignment="1" applyProtection="1">
      <alignment horizontal="center"/>
      <protection locked="0"/>
    </xf>
    <xf numFmtId="14" fontId="9" fillId="2" borderId="1" xfId="0" applyNumberFormat="1" applyFont="1" applyFill="1" applyBorder="1" applyAlignment="1">
      <alignment horizontal="center" wrapText="1"/>
    </xf>
    <xf numFmtId="14" fontId="9" fillId="2" borderId="1" xfId="0" applyNumberFormat="1" applyFont="1" applyFill="1" applyBorder="1" applyAlignment="1">
      <alignment wrapText="1"/>
    </xf>
    <xf numFmtId="14" fontId="9" fillId="2" borderId="1" xfId="0" applyNumberFormat="1" applyFont="1" applyFill="1" applyBorder="1" applyAlignment="1">
      <alignment horizontal="center" vertical="center" wrapText="1"/>
    </xf>
    <xf numFmtId="0" fontId="9" fillId="2" borderId="0" xfId="0" applyFont="1" applyFill="1" applyBorder="1"/>
    <xf numFmtId="0" fontId="9" fillId="2" borderId="1" xfId="0" applyFont="1" applyFill="1" applyBorder="1" applyAlignment="1">
      <alignment horizontal="left" wrapText="1"/>
    </xf>
    <xf numFmtId="0" fontId="10" fillId="2" borderId="1" xfId="3" applyFont="1" applyFill="1" applyBorder="1" applyAlignment="1">
      <alignment vertical="center"/>
    </xf>
    <xf numFmtId="0" fontId="4" fillId="2" borderId="14" xfId="0" applyFont="1" applyFill="1" applyBorder="1"/>
    <xf numFmtId="0" fontId="9" fillId="2" borderId="14" xfId="0" applyNumberFormat="1" applyFont="1" applyFill="1" applyBorder="1"/>
    <xf numFmtId="0" fontId="9" fillId="2" borderId="14" xfId="0" applyFont="1" applyFill="1" applyBorder="1" applyAlignment="1">
      <alignment vertical="center"/>
    </xf>
    <xf numFmtId="0" fontId="9" fillId="2" borderId="14" xfId="0" applyNumberFormat="1" applyFont="1" applyFill="1" applyBorder="1" applyAlignment="1">
      <alignment vertical="center"/>
    </xf>
    <xf numFmtId="0" fontId="9" fillId="2" borderId="14" xfId="0" applyFont="1" applyFill="1" applyBorder="1" applyAlignment="1">
      <alignment wrapText="1"/>
    </xf>
    <xf numFmtId="0" fontId="3" fillId="2" borderId="1" xfId="0" applyFont="1" applyFill="1" applyBorder="1" applyAlignment="1" applyProtection="1">
      <alignment vertical="center" wrapText="1"/>
      <protection locked="0"/>
    </xf>
    <xf numFmtId="0" fontId="10" fillId="2" borderId="1" xfId="3" applyFont="1" applyFill="1" applyBorder="1" applyAlignment="1">
      <alignment vertical="center" wrapText="1"/>
    </xf>
    <xf numFmtId="0" fontId="9" fillId="2" borderId="0" xfId="0" applyNumberFormat="1" applyFont="1" applyFill="1" applyBorder="1"/>
    <xf numFmtId="14" fontId="10" fillId="2" borderId="1" xfId="3" applyNumberFormat="1" applyFont="1" applyFill="1" applyBorder="1" applyAlignment="1"/>
    <xf numFmtId="0" fontId="4" fillId="0" borderId="0" xfId="0" applyFont="1"/>
    <xf numFmtId="0" fontId="9" fillId="2" borderId="1" xfId="0" applyNumberFormat="1" applyFont="1" applyFill="1" applyBorder="1"/>
    <xf numFmtId="0" fontId="9" fillId="2" borderId="1" xfId="0" applyFont="1" applyFill="1" applyBorder="1" applyAlignment="1">
      <alignment horizontal="center" vertical="center"/>
    </xf>
    <xf numFmtId="0" fontId="9" fillId="0" borderId="0" xfId="0" applyFont="1" applyFill="1" applyBorder="1"/>
    <xf numFmtId="0" fontId="4" fillId="0" borderId="0" xfId="0" applyFont="1" applyFill="1" applyBorder="1"/>
    <xf numFmtId="0" fontId="4" fillId="0" borderId="0" xfId="0" applyFont="1" applyAlignment="1">
      <alignment horizontal="center"/>
    </xf>
    <xf numFmtId="0" fontId="9" fillId="2" borderId="18" xfId="0" applyFont="1" applyFill="1" applyBorder="1"/>
    <xf numFmtId="0" fontId="9" fillId="2" borderId="18" xfId="0" applyFont="1" applyFill="1" applyBorder="1" applyAlignment="1">
      <alignment horizontal="center"/>
    </xf>
    <xf numFmtId="164" fontId="9" fillId="2" borderId="18" xfId="1" applyNumberFormat="1" applyFont="1" applyFill="1" applyBorder="1" applyAlignment="1">
      <alignment horizontal="center"/>
    </xf>
    <xf numFmtId="0" fontId="9" fillId="2" borderId="18" xfId="0" applyFont="1" applyFill="1" applyBorder="1" applyAlignment="1">
      <alignment horizontal="left"/>
    </xf>
    <xf numFmtId="14" fontId="9" fillId="2" borderId="1" xfId="0" applyNumberFormat="1" applyFont="1" applyFill="1" applyBorder="1" applyAlignment="1">
      <alignment horizontal="left" vertical="center"/>
    </xf>
    <xf numFmtId="14" fontId="4" fillId="2" borderId="1" xfId="0" applyNumberFormat="1" applyFont="1" applyFill="1" applyBorder="1" applyAlignment="1">
      <alignment horizontal="right"/>
    </xf>
    <xf numFmtId="0" fontId="4" fillId="0" borderId="0" xfId="0" applyFont="1" applyAlignment="1">
      <alignment horizontal="right"/>
    </xf>
    <xf numFmtId="1" fontId="9" fillId="2" borderId="18" xfId="0" applyNumberFormat="1" applyFont="1" applyFill="1" applyBorder="1"/>
    <xf numFmtId="14" fontId="9" fillId="2" borderId="18" xfId="0" applyNumberFormat="1" applyFont="1" applyFill="1" applyBorder="1" applyAlignment="1">
      <alignment horizontal="center"/>
    </xf>
    <xf numFmtId="14" fontId="9" fillId="2" borderId="18" xfId="0" applyNumberFormat="1" applyFont="1" applyFill="1" applyBorder="1"/>
    <xf numFmtId="0" fontId="9" fillId="2" borderId="0" xfId="0" applyNumberFormat="1" applyFont="1" applyFill="1" applyBorder="1" applyAlignment="1">
      <alignment horizontal="center"/>
    </xf>
    <xf numFmtId="0" fontId="9" fillId="2" borderId="0" xfId="0" applyNumberFormat="1" applyFont="1" applyFill="1" applyBorder="1" applyAlignment="1">
      <alignment horizontal="left"/>
    </xf>
    <xf numFmtId="0" fontId="9" fillId="3" borderId="0" xfId="0" applyNumberFormat="1" applyFont="1" applyFill="1" applyBorder="1"/>
    <xf numFmtId="0" fontId="9" fillId="2" borderId="1" xfId="0" applyNumberFormat="1" applyFont="1" applyFill="1" applyBorder="1" applyAlignment="1">
      <alignment horizontal="center"/>
    </xf>
    <xf numFmtId="0" fontId="9" fillId="2" borderId="1" xfId="0" applyNumberFormat="1" applyFont="1" applyFill="1" applyBorder="1" applyAlignment="1">
      <alignment horizontal="left"/>
    </xf>
    <xf numFmtId="0" fontId="13" fillId="2" borderId="8" xfId="0" applyFont="1" applyFill="1" applyBorder="1"/>
    <xf numFmtId="0" fontId="4" fillId="2" borderId="1" xfId="0" applyFont="1" applyFill="1" applyBorder="1" applyAlignment="1">
      <alignment horizontal="left"/>
    </xf>
    <xf numFmtId="0" fontId="9" fillId="2" borderId="1" xfId="0" applyFont="1" applyFill="1" applyBorder="1" applyAlignment="1">
      <alignment horizontal="left" vertical="center"/>
    </xf>
    <xf numFmtId="1" fontId="9" fillId="2" borderId="8" xfId="0" applyNumberFormat="1" applyFont="1" applyFill="1" applyBorder="1"/>
    <xf numFmtId="0" fontId="9" fillId="2" borderId="21" xfId="0" applyFont="1" applyFill="1" applyBorder="1"/>
    <xf numFmtId="0" fontId="9" fillId="3" borderId="8" xfId="0" applyFont="1" applyFill="1" applyBorder="1"/>
    <xf numFmtId="0" fontId="9" fillId="2" borderId="22" xfId="0" applyFont="1" applyFill="1" applyBorder="1"/>
    <xf numFmtId="164" fontId="4" fillId="0" borderId="0" xfId="1" applyNumberFormat="1" applyFont="1"/>
    <xf numFmtId="0" fontId="3" fillId="3" borderId="23" xfId="0" applyFont="1" applyFill="1" applyBorder="1" applyAlignment="1">
      <alignment vertical="center"/>
    </xf>
    <xf numFmtId="0" fontId="9" fillId="3" borderId="24" xfId="0" applyFont="1" applyFill="1" applyBorder="1"/>
    <xf numFmtId="0" fontId="9" fillId="0" borderId="0" xfId="0" applyNumberFormat="1" applyFont="1" applyFill="1" applyBorder="1" applyAlignment="1">
      <alignment vertical="center"/>
    </xf>
    <xf numFmtId="0" fontId="9" fillId="0" borderId="0" xfId="0" applyNumberFormat="1" applyFont="1" applyFill="1" applyBorder="1"/>
    <xf numFmtId="0" fontId="9" fillId="0" borderId="0" xfId="0" applyNumberFormat="1" applyFont="1" applyFill="1" applyBorder="1" applyAlignment="1">
      <alignment wrapText="1"/>
    </xf>
    <xf numFmtId="0" fontId="9" fillId="2" borderId="22" xfId="0" applyNumberFormat="1" applyFont="1" applyFill="1" applyBorder="1"/>
    <xf numFmtId="0" fontId="9" fillId="2" borderId="18" xfId="0" applyNumberFormat="1" applyFont="1" applyFill="1" applyBorder="1"/>
    <xf numFmtId="0" fontId="9" fillId="2" borderId="18" xfId="0" applyNumberFormat="1" applyFont="1" applyFill="1" applyBorder="1" applyAlignment="1">
      <alignment horizontal="center"/>
    </xf>
    <xf numFmtId="0" fontId="9" fillId="2" borderId="18" xfId="0" applyNumberFormat="1" applyFont="1" applyFill="1" applyBorder="1" applyAlignment="1">
      <alignment horizontal="left"/>
    </xf>
    <xf numFmtId="0" fontId="9" fillId="2" borderId="18" xfId="0" applyFont="1" applyFill="1" applyBorder="1" applyAlignment="1">
      <alignment wrapText="1"/>
    </xf>
    <xf numFmtId="0" fontId="8" fillId="2" borderId="1" xfId="3" applyNumberFormat="1" applyFill="1" applyBorder="1"/>
    <xf numFmtId="0" fontId="9" fillId="3" borderId="1" xfId="0" applyFont="1" applyFill="1" applyBorder="1"/>
    <xf numFmtId="0" fontId="9" fillId="6" borderId="1" xfId="0" applyFont="1" applyFill="1" applyBorder="1"/>
    <xf numFmtId="0" fontId="9" fillId="6" borderId="1" xfId="0" applyFont="1" applyFill="1" applyBorder="1" applyAlignment="1">
      <alignment horizontal="center"/>
    </xf>
    <xf numFmtId="14" fontId="9" fillId="6" borderId="1" xfId="0" applyNumberFormat="1" applyFont="1" applyFill="1" applyBorder="1" applyAlignment="1">
      <alignment horizontal="center"/>
    </xf>
    <xf numFmtId="164" fontId="9" fillId="6" borderId="1" xfId="1" applyNumberFormat="1" applyFont="1" applyFill="1" applyBorder="1" applyAlignment="1">
      <alignment horizontal="center"/>
    </xf>
    <xf numFmtId="0" fontId="9" fillId="6" borderId="1" xfId="0" applyFont="1" applyFill="1" applyBorder="1" applyAlignment="1">
      <alignment horizontal="left"/>
    </xf>
    <xf numFmtId="14" fontId="9" fillId="6" borderId="1" xfId="0" applyNumberFormat="1" applyFont="1" applyFill="1" applyBorder="1" applyAlignment="1">
      <alignment horizontal="right"/>
    </xf>
    <xf numFmtId="0" fontId="9" fillId="6" borderId="0" xfId="0" applyFont="1" applyFill="1" applyBorder="1"/>
    <xf numFmtId="0" fontId="9" fillId="6" borderId="1" xfId="0" applyFont="1" applyFill="1" applyBorder="1" applyAlignment="1">
      <alignment vertical="center" wrapText="1"/>
    </xf>
    <xf numFmtId="0" fontId="10" fillId="6" borderId="1" xfId="3" applyFont="1" applyFill="1" applyBorder="1" applyAlignment="1"/>
    <xf numFmtId="0" fontId="9" fillId="6" borderId="1" xfId="0" applyFont="1" applyFill="1" applyBorder="1" applyAlignment="1">
      <alignment horizontal="center" wrapText="1"/>
    </xf>
    <xf numFmtId="14" fontId="9" fillId="6" borderId="1" xfId="0" applyNumberFormat="1" applyFont="1" applyFill="1" applyBorder="1" applyAlignment="1">
      <alignment horizontal="center" vertical="center" wrapText="1"/>
    </xf>
    <xf numFmtId="164" fontId="9" fillId="6" borderId="1" xfId="1" applyNumberFormat="1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left" vertical="center" wrapText="1"/>
    </xf>
    <xf numFmtId="14" fontId="9" fillId="6" borderId="1" xfId="0" applyNumberFormat="1" applyFont="1" applyFill="1" applyBorder="1" applyAlignment="1">
      <alignment horizontal="right" vertical="center" wrapText="1"/>
    </xf>
    <xf numFmtId="0" fontId="4" fillId="6" borderId="1" xfId="0" applyFont="1" applyFill="1" applyBorder="1"/>
    <xf numFmtId="14" fontId="4" fillId="6" borderId="1" xfId="0" applyNumberFormat="1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14" fontId="4" fillId="6" borderId="1" xfId="0" applyNumberFormat="1" applyFont="1" applyFill="1" applyBorder="1" applyAlignment="1">
      <alignment horizontal="right"/>
    </xf>
    <xf numFmtId="0" fontId="4" fillId="6" borderId="0" xfId="0" applyFont="1" applyFill="1" applyBorder="1"/>
    <xf numFmtId="164" fontId="4" fillId="6" borderId="1" xfId="1" applyNumberFormat="1" applyFont="1" applyFill="1" applyBorder="1"/>
    <xf numFmtId="14" fontId="4" fillId="0" borderId="0" xfId="0" applyNumberFormat="1" applyFont="1" applyAlignment="1">
      <alignment horizontal="right"/>
    </xf>
    <xf numFmtId="0" fontId="4" fillId="6" borderId="18" xfId="0" applyFont="1" applyFill="1" applyBorder="1"/>
    <xf numFmtId="0" fontId="4" fillId="6" borderId="18" xfId="0" applyFont="1" applyFill="1" applyBorder="1" applyAlignment="1">
      <alignment horizontal="center"/>
    </xf>
    <xf numFmtId="164" fontId="4" fillId="6" borderId="18" xfId="1" applyNumberFormat="1" applyFont="1" applyFill="1" applyBorder="1"/>
    <xf numFmtId="14" fontId="4" fillId="6" borderId="18" xfId="0" applyNumberFormat="1" applyFont="1" applyFill="1" applyBorder="1" applyAlignment="1">
      <alignment horizontal="right"/>
    </xf>
    <xf numFmtId="0" fontId="14" fillId="2" borderId="14" xfId="0" applyFont="1" applyFill="1" applyBorder="1"/>
    <xf numFmtId="0" fontId="14" fillId="2" borderId="1" xfId="0" applyFont="1" applyFill="1" applyBorder="1"/>
    <xf numFmtId="0" fontId="14" fillId="2" borderId="1" xfId="0" applyFont="1" applyFill="1" applyBorder="1" applyAlignment="1">
      <alignment horizontal="center"/>
    </xf>
    <xf numFmtId="14" fontId="14" fillId="2" borderId="1" xfId="0" applyNumberFormat="1" applyFont="1" applyFill="1" applyBorder="1" applyAlignment="1">
      <alignment horizontal="center"/>
    </xf>
    <xf numFmtId="164" fontId="14" fillId="2" borderId="1" xfId="1" applyNumberFormat="1" applyFont="1" applyFill="1" applyBorder="1" applyAlignment="1">
      <alignment horizontal="center"/>
    </xf>
    <xf numFmtId="15" fontId="9" fillId="2" borderId="1" xfId="0" applyNumberFormat="1" applyFont="1" applyFill="1" applyBorder="1" applyAlignment="1">
      <alignment horizontal="left"/>
    </xf>
    <xf numFmtId="0" fontId="14" fillId="2" borderId="1" xfId="0" applyNumberFormat="1" applyFont="1" applyFill="1" applyBorder="1"/>
    <xf numFmtId="0" fontId="14" fillId="2" borderId="1" xfId="0" applyNumberFormat="1" applyFont="1" applyFill="1" applyBorder="1" applyAlignment="1">
      <alignment horizontal="center"/>
    </xf>
    <xf numFmtId="0" fontId="5" fillId="0" borderId="16" xfId="0" applyFont="1" applyFill="1" applyBorder="1"/>
    <xf numFmtId="0" fontId="5" fillId="0" borderId="17" xfId="0" applyFont="1" applyFill="1" applyBorder="1"/>
    <xf numFmtId="0" fontId="4" fillId="2" borderId="18" xfId="0" applyFont="1" applyFill="1" applyBorder="1"/>
    <xf numFmtId="0" fontId="4" fillId="2" borderId="18" xfId="0" applyFont="1" applyFill="1" applyBorder="1" applyAlignment="1">
      <alignment horizontal="center"/>
    </xf>
    <xf numFmtId="14" fontId="4" fillId="6" borderId="18" xfId="0" applyNumberFormat="1" applyFont="1" applyFill="1" applyBorder="1" applyAlignment="1">
      <alignment horizontal="center"/>
    </xf>
    <xf numFmtId="164" fontId="4" fillId="2" borderId="18" xfId="1" applyNumberFormat="1" applyFont="1" applyFill="1" applyBorder="1"/>
    <xf numFmtId="14" fontId="4" fillId="2" borderId="18" xfId="0" applyNumberFormat="1" applyFont="1" applyFill="1" applyBorder="1" applyAlignment="1">
      <alignment horizontal="right"/>
    </xf>
    <xf numFmtId="1" fontId="9" fillId="6" borderId="1" xfId="0" applyNumberFormat="1" applyFont="1" applyFill="1" applyBorder="1"/>
    <xf numFmtId="0" fontId="8" fillId="6" borderId="1" xfId="3" applyFill="1" applyBorder="1"/>
    <xf numFmtId="0" fontId="9" fillId="3" borderId="23" xfId="0" applyFont="1" applyFill="1" applyBorder="1"/>
    <xf numFmtId="0" fontId="9" fillId="3" borderId="1" xfId="0" applyNumberFormat="1" applyFont="1" applyFill="1" applyBorder="1"/>
    <xf numFmtId="0" fontId="9" fillId="3" borderId="18" xfId="0" applyFont="1" applyFill="1" applyBorder="1"/>
    <xf numFmtId="0" fontId="9" fillId="3" borderId="25" xfId="0" applyFont="1" applyFill="1" applyBorder="1"/>
    <xf numFmtId="0" fontId="9" fillId="0" borderId="1" xfId="0" applyNumberFormat="1" applyFont="1" applyFill="1" applyBorder="1"/>
    <xf numFmtId="0" fontId="14" fillId="2" borderId="14" xfId="0" applyNumberFormat="1" applyFont="1" applyFill="1" applyBorder="1"/>
    <xf numFmtId="0" fontId="14" fillId="7" borderId="1" xfId="0" applyFont="1" applyFill="1" applyBorder="1" applyAlignment="1">
      <alignment vertical="center"/>
    </xf>
    <xf numFmtId="0" fontId="3" fillId="2" borderId="1" xfId="0" applyNumberFormat="1" applyFont="1" applyFill="1" applyBorder="1"/>
    <xf numFmtId="49" fontId="3" fillId="2" borderId="1" xfId="0" applyNumberFormat="1" applyFont="1" applyFill="1" applyBorder="1" applyAlignment="1" applyProtection="1">
      <alignment horizontal="center" wrapText="1"/>
      <protection locked="0"/>
    </xf>
    <xf numFmtId="49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14" fontId="3" fillId="2" borderId="1" xfId="2" applyNumberFormat="1" applyFont="1" applyFill="1" applyBorder="1" applyAlignment="1" applyProtection="1">
      <alignment horizontal="center" vertical="center" wrapText="1"/>
      <protection locked="0"/>
    </xf>
    <xf numFmtId="164" fontId="3" fillId="2" borderId="1" xfId="1" applyNumberFormat="1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2" applyNumberFormat="1" applyFont="1" applyFill="1" applyBorder="1" applyAlignment="1" applyProtection="1">
      <alignment horizontal="center" vertical="center" wrapText="1"/>
      <protection locked="0"/>
    </xf>
    <xf numFmtId="14" fontId="3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3" borderId="1" xfId="0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164" fontId="15" fillId="6" borderId="1" xfId="1" applyNumberFormat="1" applyFont="1" applyFill="1" applyBorder="1"/>
    <xf numFmtId="0" fontId="15" fillId="6" borderId="1" xfId="0" applyFont="1" applyFill="1" applyBorder="1" applyAlignment="1">
      <alignment horizontal="center"/>
    </xf>
    <xf numFmtId="164" fontId="3" fillId="6" borderId="1" xfId="1" applyNumberFormat="1" applyFont="1" applyFill="1" applyBorder="1" applyAlignment="1">
      <alignment horizontal="center"/>
    </xf>
    <xf numFmtId="0" fontId="3" fillId="6" borderId="1" xfId="0" applyFont="1" applyFill="1" applyBorder="1" applyAlignment="1">
      <alignment horizontal="center"/>
    </xf>
    <xf numFmtId="164" fontId="15" fillId="6" borderId="18" xfId="1" applyNumberFormat="1" applyFont="1" applyFill="1" applyBorder="1"/>
    <xf numFmtId="0" fontId="15" fillId="6" borderId="18" xfId="0" applyFont="1" applyFill="1" applyBorder="1" applyAlignment="1">
      <alignment horizontal="center"/>
    </xf>
    <xf numFmtId="0" fontId="10" fillId="2" borderId="8" xfId="3" applyFont="1" applyFill="1" applyBorder="1" applyAlignment="1"/>
    <xf numFmtId="164" fontId="15" fillId="8" borderId="1" xfId="1" applyNumberFormat="1" applyFont="1" applyFill="1" applyBorder="1"/>
    <xf numFmtId="0" fontId="15" fillId="8" borderId="1" xfId="0" applyFont="1" applyFill="1" applyBorder="1" applyAlignment="1">
      <alignment horizontal="center"/>
    </xf>
  </cellXfs>
  <cellStyles count="4">
    <cellStyle name="Hipervínculo" xfId="3" builtinId="8"/>
    <cellStyle name="Millares" xfId="1" builtinId="3"/>
    <cellStyle name="Millares [0]" xfId="2" builtinId="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46B886E-5378-4525-9F18-895B0B50D33F}">
  <we:reference id="wa104051163" version="1.2.0.3" store="es-ES" storeType="OMEX"/>
  <we:alternateReferences>
    <we:reference id="wa104051163" version="1.2.0.3" store="wa104051163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Jandersoncv62@gmail.com" TargetMode="External"/><Relationship Id="rId13" Type="http://schemas.openxmlformats.org/officeDocument/2006/relationships/hyperlink" Target="mailto:marcegarcis17@gmail.com" TargetMode="External"/><Relationship Id="rId3" Type="http://schemas.openxmlformats.org/officeDocument/2006/relationships/hyperlink" Target="mailto:deiraalvarez92@hotmail.com" TargetMode="External"/><Relationship Id="rId7" Type="http://schemas.openxmlformats.org/officeDocument/2006/relationships/hyperlink" Target="mailto:Jandersoncv62@gmail.com" TargetMode="External"/><Relationship Id="rId12" Type="http://schemas.openxmlformats.org/officeDocument/2006/relationships/hyperlink" Target="mailto:tarapuezmaricruz704@gmail.com" TargetMode="External"/><Relationship Id="rId2" Type="http://schemas.openxmlformats.org/officeDocument/2006/relationships/hyperlink" Target="mailto:deiraalvarez92@hotmail.com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mailto:deiraalvarez92@hotmail.com" TargetMode="External"/><Relationship Id="rId6" Type="http://schemas.openxmlformats.org/officeDocument/2006/relationships/hyperlink" Target="mailto:Katalinaflorez9606@gmail.com" TargetMode="External"/><Relationship Id="rId11" Type="http://schemas.openxmlformats.org/officeDocument/2006/relationships/hyperlink" Target="mailto:anabelguerrero603@gmail.com" TargetMode="External"/><Relationship Id="rId5" Type="http://schemas.openxmlformats.org/officeDocument/2006/relationships/hyperlink" Target="mailto:Katalinaflorez9606@gmail.com" TargetMode="External"/><Relationship Id="rId15" Type="http://schemas.openxmlformats.org/officeDocument/2006/relationships/hyperlink" Target="mailto:cifuentesgiselle64@gmail.com" TargetMode="External"/><Relationship Id="rId10" Type="http://schemas.openxmlformats.org/officeDocument/2006/relationships/hyperlink" Target="mailto:lukats_9@hotmail.com" TargetMode="External"/><Relationship Id="rId4" Type="http://schemas.openxmlformats.org/officeDocument/2006/relationships/hyperlink" Target="mailto:deiraalvarez92@hotmail.com" TargetMode="External"/><Relationship Id="rId9" Type="http://schemas.openxmlformats.org/officeDocument/2006/relationships/hyperlink" Target="mailto:Jandersoncv62@gmail.com" TargetMode="External"/><Relationship Id="rId14" Type="http://schemas.openxmlformats.org/officeDocument/2006/relationships/hyperlink" Target="mailto:marlenylopezm2017@g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Paolittafajardo07@gmail.com" TargetMode="External"/><Relationship Id="rId3" Type="http://schemas.openxmlformats.org/officeDocument/2006/relationships/hyperlink" Target="mailto:adedmedi@gmail.com" TargetMode="External"/><Relationship Id="rId7" Type="http://schemas.openxmlformats.org/officeDocument/2006/relationships/hyperlink" Target="mailto:lorec681@hotmail.com" TargetMode="External"/><Relationship Id="rId2" Type="http://schemas.openxmlformats.org/officeDocument/2006/relationships/hyperlink" Target="mailto:basante2805@gmail.com" TargetMode="External"/><Relationship Id="rId1" Type="http://schemas.openxmlformats.org/officeDocument/2006/relationships/hyperlink" Target="mailto:mabelcris21@gmail.com" TargetMode="External"/><Relationship Id="rId6" Type="http://schemas.openxmlformats.org/officeDocument/2006/relationships/hyperlink" Target="mailto:mafesita0825@hotmail.com" TargetMode="External"/><Relationship Id="rId5" Type="http://schemas.openxmlformats.org/officeDocument/2006/relationships/hyperlink" Target="mailto:jhoanap620@gmail.com" TargetMode="External"/><Relationship Id="rId4" Type="http://schemas.openxmlformats.org/officeDocument/2006/relationships/hyperlink" Target="mailto:enfermerajefeluisa@gmail.com" TargetMode="External"/><Relationship Id="rId9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hyperlink" Target="https://centrodecapacitaciondelsur.com/soporte-basico-de-vida-" TargetMode="External"/><Relationship Id="rId299" Type="http://schemas.openxmlformats.org/officeDocument/2006/relationships/hyperlink" Target="https://centrodecapacitaciondelsur.com/soporte-basico-de-vida-" TargetMode="External"/><Relationship Id="rId21" Type="http://schemas.openxmlformats.org/officeDocument/2006/relationships/hyperlink" Target="https://centrodecapacitaciondelsur.com/soporte-basico-de-vida-" TargetMode="External"/><Relationship Id="rId63" Type="http://schemas.openxmlformats.org/officeDocument/2006/relationships/hyperlink" Target="https://centrodecapacitaciondelsur.com/soporte-basico-de-vida-" TargetMode="External"/><Relationship Id="rId159" Type="http://schemas.openxmlformats.org/officeDocument/2006/relationships/hyperlink" Target="https://centrodecapacitaciondelsur.com/soporte-basico-de-vida-" TargetMode="External"/><Relationship Id="rId170" Type="http://schemas.openxmlformats.org/officeDocument/2006/relationships/hyperlink" Target="https://centrodecapacitaciondelsur.com/soporte-basico-de-vida-" TargetMode="External"/><Relationship Id="rId226" Type="http://schemas.openxmlformats.org/officeDocument/2006/relationships/hyperlink" Target="https://centrodecapacitaciondelsur.com/soporte-basico-de-vida-" TargetMode="External"/><Relationship Id="rId268" Type="http://schemas.openxmlformats.org/officeDocument/2006/relationships/hyperlink" Target="https://centrodecapacitaciondelsur.com/soporte-basico-de-vida-" TargetMode="External"/><Relationship Id="rId32" Type="http://schemas.openxmlformats.org/officeDocument/2006/relationships/hyperlink" Target="https://centrodecapacitaciondelsur.com/soporte-basico-de-vida-" TargetMode="External"/><Relationship Id="rId74" Type="http://schemas.openxmlformats.org/officeDocument/2006/relationships/hyperlink" Target="https://centrodecapacitaciondelsur.com/soporte-basico-de-vida-" TargetMode="External"/><Relationship Id="rId128" Type="http://schemas.openxmlformats.org/officeDocument/2006/relationships/hyperlink" Target="https://centrodecapacitaciondelsur.com/soporte-basico-de-vida-" TargetMode="External"/><Relationship Id="rId5" Type="http://schemas.openxmlformats.org/officeDocument/2006/relationships/hyperlink" Target="https://centrodecapacitaciondelsur.com/soporte-basico-de-vida-" TargetMode="External"/><Relationship Id="rId181" Type="http://schemas.openxmlformats.org/officeDocument/2006/relationships/hyperlink" Target="https://centrodecapacitaciondelsur.com/soporte-basico-de-vida-" TargetMode="External"/><Relationship Id="rId237" Type="http://schemas.openxmlformats.org/officeDocument/2006/relationships/hyperlink" Target="https://centrodecapacitaciondelsur.com/soporte-basico-de-vida-" TargetMode="External"/><Relationship Id="rId279" Type="http://schemas.openxmlformats.org/officeDocument/2006/relationships/hyperlink" Target="https://centrodecapacitaciondelsur.com/soporte-basico-de-vida-" TargetMode="External"/><Relationship Id="rId43" Type="http://schemas.openxmlformats.org/officeDocument/2006/relationships/hyperlink" Target="https://centrodecapacitaciondelsur.com/soporte-basico-de-vida-" TargetMode="External"/><Relationship Id="rId139" Type="http://schemas.openxmlformats.org/officeDocument/2006/relationships/hyperlink" Target="https://centrodecapacitaciondelsur.com/soporte-basico-de-vida-" TargetMode="External"/><Relationship Id="rId290" Type="http://schemas.openxmlformats.org/officeDocument/2006/relationships/hyperlink" Target="https://centrodecapacitaciondelsur.com/soporte-basico-de-vida-" TargetMode="External"/><Relationship Id="rId304" Type="http://schemas.openxmlformats.org/officeDocument/2006/relationships/hyperlink" Target="https://centrodecapacitaciondelsur.com/soporte-basico-de-vida-" TargetMode="External"/><Relationship Id="rId85" Type="http://schemas.openxmlformats.org/officeDocument/2006/relationships/hyperlink" Target="https://centrodecapacitaciondelsur.com/soporte-basico-de-vida-" TargetMode="External"/><Relationship Id="rId150" Type="http://schemas.openxmlformats.org/officeDocument/2006/relationships/hyperlink" Target="https://centrodecapacitaciondelsur.com/soporte-basico-de-vida-" TargetMode="External"/><Relationship Id="rId192" Type="http://schemas.openxmlformats.org/officeDocument/2006/relationships/hyperlink" Target="https://centrodecapacitaciondelsur.com/soporte-basico-de-vida-" TargetMode="External"/><Relationship Id="rId206" Type="http://schemas.openxmlformats.org/officeDocument/2006/relationships/hyperlink" Target="https://centrodecapacitaciondelsur.com/soporte-basico-de-vida-" TargetMode="External"/><Relationship Id="rId248" Type="http://schemas.openxmlformats.org/officeDocument/2006/relationships/hyperlink" Target="https://centrodecapacitaciondelsur.com/soporte-basico-de-vida-" TargetMode="External"/><Relationship Id="rId12" Type="http://schemas.openxmlformats.org/officeDocument/2006/relationships/hyperlink" Target="https://centrodecapacitaciondelsur.com/soporte-basico-de-vida-" TargetMode="External"/><Relationship Id="rId108" Type="http://schemas.openxmlformats.org/officeDocument/2006/relationships/hyperlink" Target="https://centrodecapacitaciondelsur.com/soporte-basico-de-vida-" TargetMode="External"/><Relationship Id="rId315" Type="http://schemas.openxmlformats.org/officeDocument/2006/relationships/hyperlink" Target="https://centrodecapacitaciondelsur.com/soporte-basico-de-vida-" TargetMode="External"/><Relationship Id="rId54" Type="http://schemas.openxmlformats.org/officeDocument/2006/relationships/hyperlink" Target="https://centrodecapacitaciondelsur.com/soporte-basico-de-vida-" TargetMode="External"/><Relationship Id="rId96" Type="http://schemas.openxmlformats.org/officeDocument/2006/relationships/hyperlink" Target="https://centrodecapacitaciondelsur.com/soporte-basico-de-vida-" TargetMode="External"/><Relationship Id="rId161" Type="http://schemas.openxmlformats.org/officeDocument/2006/relationships/hyperlink" Target="https://centrodecapacitaciondelsur.com/soporte-basico-de-vida-" TargetMode="External"/><Relationship Id="rId217" Type="http://schemas.openxmlformats.org/officeDocument/2006/relationships/hyperlink" Target="https://centrodecapacitaciondelsur.com/soporte-basico-de-vida-" TargetMode="External"/><Relationship Id="rId259" Type="http://schemas.openxmlformats.org/officeDocument/2006/relationships/hyperlink" Target="https://centrodecapacitaciondelsur.com/soporte-basico-de-vida-" TargetMode="External"/><Relationship Id="rId23" Type="http://schemas.openxmlformats.org/officeDocument/2006/relationships/hyperlink" Target="https://centrodecapacitaciondelsur.com/soporte-basico-de-vida-" TargetMode="External"/><Relationship Id="rId119" Type="http://schemas.openxmlformats.org/officeDocument/2006/relationships/hyperlink" Target="https://centrodecapacitaciondelsur.com/soporte-basico-de-vida-" TargetMode="External"/><Relationship Id="rId270" Type="http://schemas.openxmlformats.org/officeDocument/2006/relationships/hyperlink" Target="https://centrodecapacitaciondelsur.com/soporte-basico-de-vida-" TargetMode="External"/><Relationship Id="rId65" Type="http://schemas.openxmlformats.org/officeDocument/2006/relationships/hyperlink" Target="https://centrodecapacitaciondelsur.com/soporte-basico-de-vida-" TargetMode="External"/><Relationship Id="rId130" Type="http://schemas.openxmlformats.org/officeDocument/2006/relationships/hyperlink" Target="https://centrodecapacitaciondelsur.com/soporte-basico-de-vida-" TargetMode="External"/><Relationship Id="rId172" Type="http://schemas.openxmlformats.org/officeDocument/2006/relationships/hyperlink" Target="https://centrodecapacitaciondelsur.com/soporte-basico-de-vida-" TargetMode="External"/><Relationship Id="rId228" Type="http://schemas.openxmlformats.org/officeDocument/2006/relationships/hyperlink" Target="https://centrodecapacitaciondelsur.com/soporte-basico-de-vida-" TargetMode="External"/><Relationship Id="rId13" Type="http://schemas.openxmlformats.org/officeDocument/2006/relationships/hyperlink" Target="https://centrodecapacitaciondelsur.com/soporte-basico-de-vida-" TargetMode="External"/><Relationship Id="rId109" Type="http://schemas.openxmlformats.org/officeDocument/2006/relationships/hyperlink" Target="https://centrodecapacitaciondelsur.com/soporte-basico-de-vida-" TargetMode="External"/><Relationship Id="rId260" Type="http://schemas.openxmlformats.org/officeDocument/2006/relationships/hyperlink" Target="https://centrodecapacitaciondelsur.com/soporte-basico-de-vida-" TargetMode="External"/><Relationship Id="rId281" Type="http://schemas.openxmlformats.org/officeDocument/2006/relationships/hyperlink" Target="https://centrodecapacitaciondelsur.com/soporte-basico-de-vida-" TargetMode="External"/><Relationship Id="rId316" Type="http://schemas.openxmlformats.org/officeDocument/2006/relationships/hyperlink" Target="https://centrodecapacitaciondelsur.com/soporte-basico-de-vida-" TargetMode="External"/><Relationship Id="rId34" Type="http://schemas.openxmlformats.org/officeDocument/2006/relationships/hyperlink" Target="https://centrodecapacitaciondelsur.com/soporte-basico-de-vida-" TargetMode="External"/><Relationship Id="rId55" Type="http://schemas.openxmlformats.org/officeDocument/2006/relationships/hyperlink" Target="https://centrodecapacitaciondelsur.com/soporte-basico-de-vida-" TargetMode="External"/><Relationship Id="rId76" Type="http://schemas.openxmlformats.org/officeDocument/2006/relationships/hyperlink" Target="https://centrodecapacitaciondelsur.com/soporte-basico-de-vida-" TargetMode="External"/><Relationship Id="rId97" Type="http://schemas.openxmlformats.org/officeDocument/2006/relationships/hyperlink" Target="https://centrodecapacitaciondelsur.com/soporte-basico-de-vida-" TargetMode="External"/><Relationship Id="rId120" Type="http://schemas.openxmlformats.org/officeDocument/2006/relationships/hyperlink" Target="https://centrodecapacitaciondelsur.com/soporte-basico-de-vida-" TargetMode="External"/><Relationship Id="rId141" Type="http://schemas.openxmlformats.org/officeDocument/2006/relationships/hyperlink" Target="https://centrodecapacitaciondelsur.com/soporte-basico-de-vida-" TargetMode="External"/><Relationship Id="rId7" Type="http://schemas.openxmlformats.org/officeDocument/2006/relationships/hyperlink" Target="https://centrodecapacitaciondelsur.com/soporte-basico-de-vida-" TargetMode="External"/><Relationship Id="rId162" Type="http://schemas.openxmlformats.org/officeDocument/2006/relationships/hyperlink" Target="https://centrodecapacitaciondelsur.com/soporte-basico-de-vida-" TargetMode="External"/><Relationship Id="rId183" Type="http://schemas.openxmlformats.org/officeDocument/2006/relationships/hyperlink" Target="https://centrodecapacitaciondelsur.com/soporte-basico-de-vida-" TargetMode="External"/><Relationship Id="rId218" Type="http://schemas.openxmlformats.org/officeDocument/2006/relationships/hyperlink" Target="https://centrodecapacitaciondelsur.com/soporte-basico-de-vida-" TargetMode="External"/><Relationship Id="rId239" Type="http://schemas.openxmlformats.org/officeDocument/2006/relationships/hyperlink" Target="https://centrodecapacitaciondelsur.com/soporte-basico-de-vida-" TargetMode="External"/><Relationship Id="rId250" Type="http://schemas.openxmlformats.org/officeDocument/2006/relationships/hyperlink" Target="https://centrodecapacitaciondelsur.com/soporte-basico-de-vida-" TargetMode="External"/><Relationship Id="rId271" Type="http://schemas.openxmlformats.org/officeDocument/2006/relationships/hyperlink" Target="https://centrodecapacitaciondelsur.com/soporte-basico-de-vida-" TargetMode="External"/><Relationship Id="rId292" Type="http://schemas.openxmlformats.org/officeDocument/2006/relationships/hyperlink" Target="https://centrodecapacitaciondelsur.com/soporte-basico-de-vida-" TargetMode="External"/><Relationship Id="rId306" Type="http://schemas.openxmlformats.org/officeDocument/2006/relationships/hyperlink" Target="https://centrodecapacitaciondelsur.com/soporte-basico-de-vida-" TargetMode="External"/><Relationship Id="rId24" Type="http://schemas.openxmlformats.org/officeDocument/2006/relationships/hyperlink" Target="https://centrodecapacitaciondelsur.com/soporte-basico-de-vida-" TargetMode="External"/><Relationship Id="rId45" Type="http://schemas.openxmlformats.org/officeDocument/2006/relationships/hyperlink" Target="https://centrodecapacitaciondelsur.com/soporte-basico-de-vida-" TargetMode="External"/><Relationship Id="rId66" Type="http://schemas.openxmlformats.org/officeDocument/2006/relationships/hyperlink" Target="https://centrodecapacitaciondelsur.com/soporte-basico-de-vida-" TargetMode="External"/><Relationship Id="rId87" Type="http://schemas.openxmlformats.org/officeDocument/2006/relationships/hyperlink" Target="https://centrodecapacitaciondelsur.com/soporte-basico-de-vida-" TargetMode="External"/><Relationship Id="rId110" Type="http://schemas.openxmlformats.org/officeDocument/2006/relationships/hyperlink" Target="https://centrodecapacitaciondelsur.com/soporte-basico-de-vida-" TargetMode="External"/><Relationship Id="rId131" Type="http://schemas.openxmlformats.org/officeDocument/2006/relationships/hyperlink" Target="https://centrodecapacitaciondelsur.com/soporte-basico-de-vida-" TargetMode="External"/><Relationship Id="rId152" Type="http://schemas.openxmlformats.org/officeDocument/2006/relationships/hyperlink" Target="https://centrodecapacitaciondelsur.com/soporte-basico-de-vida-" TargetMode="External"/><Relationship Id="rId173" Type="http://schemas.openxmlformats.org/officeDocument/2006/relationships/hyperlink" Target="https://centrodecapacitaciondelsur.com/soporte-basico-de-vida-" TargetMode="External"/><Relationship Id="rId194" Type="http://schemas.openxmlformats.org/officeDocument/2006/relationships/hyperlink" Target="https://centrodecapacitaciondelsur.com/soporte-basico-de-vida-" TargetMode="External"/><Relationship Id="rId208" Type="http://schemas.openxmlformats.org/officeDocument/2006/relationships/hyperlink" Target="https://centrodecapacitaciondelsur.com/soporte-basico-de-vida-" TargetMode="External"/><Relationship Id="rId229" Type="http://schemas.openxmlformats.org/officeDocument/2006/relationships/hyperlink" Target="https://centrodecapacitaciondelsur.com/soporte-basico-de-vida-" TargetMode="External"/><Relationship Id="rId240" Type="http://schemas.openxmlformats.org/officeDocument/2006/relationships/hyperlink" Target="https://centrodecapacitaciondelsur.com/soporte-basico-de-vida-" TargetMode="External"/><Relationship Id="rId261" Type="http://schemas.openxmlformats.org/officeDocument/2006/relationships/hyperlink" Target="https://centrodecapacitaciondelsur.com/soporte-basico-de-vida-" TargetMode="External"/><Relationship Id="rId14" Type="http://schemas.openxmlformats.org/officeDocument/2006/relationships/hyperlink" Target="https://centrodecapacitaciondelsur.com/soporte-basico-de-vida-" TargetMode="External"/><Relationship Id="rId35" Type="http://schemas.openxmlformats.org/officeDocument/2006/relationships/hyperlink" Target="https://centrodecapacitaciondelsur.com/soporte-basico-de-vida-" TargetMode="External"/><Relationship Id="rId56" Type="http://schemas.openxmlformats.org/officeDocument/2006/relationships/hyperlink" Target="https://centrodecapacitaciondelsur.com/soporte-basico-de-vida-" TargetMode="External"/><Relationship Id="rId77" Type="http://schemas.openxmlformats.org/officeDocument/2006/relationships/hyperlink" Target="https://centrodecapacitaciondelsur.com/soporte-basico-de-vida-" TargetMode="External"/><Relationship Id="rId100" Type="http://schemas.openxmlformats.org/officeDocument/2006/relationships/hyperlink" Target="https://centrodecapacitaciondelsur.com/soporte-basico-de-vida-" TargetMode="External"/><Relationship Id="rId282" Type="http://schemas.openxmlformats.org/officeDocument/2006/relationships/hyperlink" Target="https://centrodecapacitaciondelsur.com/soporte-basico-de-vida-" TargetMode="External"/><Relationship Id="rId317" Type="http://schemas.openxmlformats.org/officeDocument/2006/relationships/hyperlink" Target="https://centrodecapacitaciondelsur.com/soporte-basico-de-vida-" TargetMode="External"/><Relationship Id="rId8" Type="http://schemas.openxmlformats.org/officeDocument/2006/relationships/hyperlink" Target="https://centrodecapacitaciondelsur.com/soporte-basico-de-vida-" TargetMode="External"/><Relationship Id="rId98" Type="http://schemas.openxmlformats.org/officeDocument/2006/relationships/hyperlink" Target="https://centrodecapacitaciondelsur.com/soporte-basico-de-vida-" TargetMode="External"/><Relationship Id="rId121" Type="http://schemas.openxmlformats.org/officeDocument/2006/relationships/hyperlink" Target="https://centrodecapacitaciondelsur.com/soporte-basico-de-vida-" TargetMode="External"/><Relationship Id="rId142" Type="http://schemas.openxmlformats.org/officeDocument/2006/relationships/hyperlink" Target="https://centrodecapacitaciondelsur.com/soporte-basico-de-vida-" TargetMode="External"/><Relationship Id="rId163" Type="http://schemas.openxmlformats.org/officeDocument/2006/relationships/hyperlink" Target="https://centrodecapacitaciondelsur.com/soporte-basico-de-vida-" TargetMode="External"/><Relationship Id="rId184" Type="http://schemas.openxmlformats.org/officeDocument/2006/relationships/hyperlink" Target="https://centrodecapacitaciondelsur.com/soporte-basico-de-vida-" TargetMode="External"/><Relationship Id="rId219" Type="http://schemas.openxmlformats.org/officeDocument/2006/relationships/hyperlink" Target="https://centrodecapacitaciondelsur.com/soporte-basico-de-vida-" TargetMode="External"/><Relationship Id="rId230" Type="http://schemas.openxmlformats.org/officeDocument/2006/relationships/hyperlink" Target="https://centrodecapacitaciondelsur.com/soporte-basico-de-vida-" TargetMode="External"/><Relationship Id="rId251" Type="http://schemas.openxmlformats.org/officeDocument/2006/relationships/hyperlink" Target="https://centrodecapacitaciondelsur.com/soporte-basico-de-vida-" TargetMode="External"/><Relationship Id="rId25" Type="http://schemas.openxmlformats.org/officeDocument/2006/relationships/hyperlink" Target="https://centrodecapacitaciondelsur.com/soporte-basico-de-vida-" TargetMode="External"/><Relationship Id="rId46" Type="http://schemas.openxmlformats.org/officeDocument/2006/relationships/hyperlink" Target="https://centrodecapacitaciondelsur.com/soporte-basico-de-vida-" TargetMode="External"/><Relationship Id="rId67" Type="http://schemas.openxmlformats.org/officeDocument/2006/relationships/hyperlink" Target="https://centrodecapacitaciondelsur.com/soporte-basico-de-vida-" TargetMode="External"/><Relationship Id="rId272" Type="http://schemas.openxmlformats.org/officeDocument/2006/relationships/hyperlink" Target="https://centrodecapacitaciondelsur.com/soporte-basico-de-vida-" TargetMode="External"/><Relationship Id="rId293" Type="http://schemas.openxmlformats.org/officeDocument/2006/relationships/hyperlink" Target="https://centrodecapacitaciondelsur.com/soporte-basico-de-vida-" TargetMode="External"/><Relationship Id="rId307" Type="http://schemas.openxmlformats.org/officeDocument/2006/relationships/hyperlink" Target="https://centrodecapacitaciondelsur.com/soporte-basico-de-vida-" TargetMode="External"/><Relationship Id="rId88" Type="http://schemas.openxmlformats.org/officeDocument/2006/relationships/hyperlink" Target="https://centrodecapacitaciondelsur.com/soporte-basico-de-vida-" TargetMode="External"/><Relationship Id="rId111" Type="http://schemas.openxmlformats.org/officeDocument/2006/relationships/hyperlink" Target="https://centrodecapacitaciondelsur.com/soporte-basico-de-vida-" TargetMode="External"/><Relationship Id="rId132" Type="http://schemas.openxmlformats.org/officeDocument/2006/relationships/hyperlink" Target="https://centrodecapacitaciondelsur.com/soporte-basico-de-vida-" TargetMode="External"/><Relationship Id="rId153" Type="http://schemas.openxmlformats.org/officeDocument/2006/relationships/hyperlink" Target="https://centrodecapacitaciondelsur.com/soporte-basico-de-vida-" TargetMode="External"/><Relationship Id="rId174" Type="http://schemas.openxmlformats.org/officeDocument/2006/relationships/hyperlink" Target="https://centrodecapacitaciondelsur.com/soporte-basico-de-vida-" TargetMode="External"/><Relationship Id="rId195" Type="http://schemas.openxmlformats.org/officeDocument/2006/relationships/hyperlink" Target="https://centrodecapacitaciondelsur.com/soporte-basico-de-vida-" TargetMode="External"/><Relationship Id="rId209" Type="http://schemas.openxmlformats.org/officeDocument/2006/relationships/hyperlink" Target="https://centrodecapacitaciondelsur.com/soporte-basico-de-vida-" TargetMode="External"/><Relationship Id="rId220" Type="http://schemas.openxmlformats.org/officeDocument/2006/relationships/hyperlink" Target="https://centrodecapacitaciondelsur.com/soporte-basico-de-vida-" TargetMode="External"/><Relationship Id="rId241" Type="http://schemas.openxmlformats.org/officeDocument/2006/relationships/hyperlink" Target="https://centrodecapacitaciondelsur.com/soporte-basico-de-vida-" TargetMode="External"/><Relationship Id="rId15" Type="http://schemas.openxmlformats.org/officeDocument/2006/relationships/hyperlink" Target="https://centrodecapacitaciondelsur.com/soporte-basico-de-vida-" TargetMode="External"/><Relationship Id="rId36" Type="http://schemas.openxmlformats.org/officeDocument/2006/relationships/hyperlink" Target="https://centrodecapacitaciondelsur.com/soporte-basico-de-vida-" TargetMode="External"/><Relationship Id="rId57" Type="http://schemas.openxmlformats.org/officeDocument/2006/relationships/hyperlink" Target="https://centrodecapacitaciondelsur.com/soporte-basico-de-vida-" TargetMode="External"/><Relationship Id="rId262" Type="http://schemas.openxmlformats.org/officeDocument/2006/relationships/hyperlink" Target="https://centrodecapacitaciondelsur.com/soporte-basico-de-vida-" TargetMode="External"/><Relationship Id="rId283" Type="http://schemas.openxmlformats.org/officeDocument/2006/relationships/hyperlink" Target="https://centrodecapacitaciondelsur.com/soporte-basico-de-vida-" TargetMode="External"/><Relationship Id="rId318" Type="http://schemas.openxmlformats.org/officeDocument/2006/relationships/printerSettings" Target="../printerSettings/printerSettings4.bin"/><Relationship Id="rId78" Type="http://schemas.openxmlformats.org/officeDocument/2006/relationships/hyperlink" Target="https://centrodecapacitaciondelsur.com/soporte-basico-de-vida-" TargetMode="External"/><Relationship Id="rId99" Type="http://schemas.openxmlformats.org/officeDocument/2006/relationships/hyperlink" Target="https://centrodecapacitaciondelsur.com/soporte-basico-de-vida-" TargetMode="External"/><Relationship Id="rId101" Type="http://schemas.openxmlformats.org/officeDocument/2006/relationships/hyperlink" Target="https://centrodecapacitaciondelsur.com/soporte-basico-de-vida-" TargetMode="External"/><Relationship Id="rId122" Type="http://schemas.openxmlformats.org/officeDocument/2006/relationships/hyperlink" Target="https://centrodecapacitaciondelsur.com/soporte-basico-de-vida-" TargetMode="External"/><Relationship Id="rId143" Type="http://schemas.openxmlformats.org/officeDocument/2006/relationships/hyperlink" Target="https://centrodecapacitaciondelsur.com/soporte-basico-de-vida-" TargetMode="External"/><Relationship Id="rId164" Type="http://schemas.openxmlformats.org/officeDocument/2006/relationships/hyperlink" Target="https://centrodecapacitaciondelsur.com/soporte-basico-de-vida-" TargetMode="External"/><Relationship Id="rId185" Type="http://schemas.openxmlformats.org/officeDocument/2006/relationships/hyperlink" Target="https://centrodecapacitaciondelsur.com/soporte-basico-de-vida-" TargetMode="External"/><Relationship Id="rId9" Type="http://schemas.openxmlformats.org/officeDocument/2006/relationships/hyperlink" Target="https://centrodecapacitaciondelsur.com/soporte-basico-de-vida-" TargetMode="External"/><Relationship Id="rId210" Type="http://schemas.openxmlformats.org/officeDocument/2006/relationships/hyperlink" Target="https://centrodecapacitaciondelsur.com/soporte-basico-de-vida-" TargetMode="External"/><Relationship Id="rId26" Type="http://schemas.openxmlformats.org/officeDocument/2006/relationships/hyperlink" Target="https://centrodecapacitaciondelsur.com/soporte-basico-de-vida-" TargetMode="External"/><Relationship Id="rId231" Type="http://schemas.openxmlformats.org/officeDocument/2006/relationships/hyperlink" Target="https://centrodecapacitaciondelsur.com/soporte-basico-de-vida-" TargetMode="External"/><Relationship Id="rId252" Type="http://schemas.openxmlformats.org/officeDocument/2006/relationships/hyperlink" Target="https://centrodecapacitaciondelsur.com/soporte-basico-de-vida-" TargetMode="External"/><Relationship Id="rId273" Type="http://schemas.openxmlformats.org/officeDocument/2006/relationships/hyperlink" Target="https://centrodecapacitaciondelsur.com/soporte-basico-de-vida-" TargetMode="External"/><Relationship Id="rId294" Type="http://schemas.openxmlformats.org/officeDocument/2006/relationships/hyperlink" Target="https://centrodecapacitaciondelsur.com/soporte-basico-de-vida-" TargetMode="External"/><Relationship Id="rId308" Type="http://schemas.openxmlformats.org/officeDocument/2006/relationships/hyperlink" Target="https://centrodecapacitaciondelsur.com/soporte-basico-de-vida-" TargetMode="External"/><Relationship Id="rId47" Type="http://schemas.openxmlformats.org/officeDocument/2006/relationships/hyperlink" Target="https://centrodecapacitaciondelsur.com/soporte-basico-de-vida-" TargetMode="External"/><Relationship Id="rId68" Type="http://schemas.openxmlformats.org/officeDocument/2006/relationships/hyperlink" Target="https://centrodecapacitaciondelsur.com/soporte-basico-de-vida-" TargetMode="External"/><Relationship Id="rId89" Type="http://schemas.openxmlformats.org/officeDocument/2006/relationships/hyperlink" Target="https://centrodecapacitaciondelsur.com/soporte-basico-de-vida-" TargetMode="External"/><Relationship Id="rId112" Type="http://schemas.openxmlformats.org/officeDocument/2006/relationships/hyperlink" Target="https://centrodecapacitaciondelsur.com/soporte-basico-de-vida-" TargetMode="External"/><Relationship Id="rId133" Type="http://schemas.openxmlformats.org/officeDocument/2006/relationships/hyperlink" Target="https://centrodecapacitaciondelsur.com/soporte-basico-de-vida-" TargetMode="External"/><Relationship Id="rId154" Type="http://schemas.openxmlformats.org/officeDocument/2006/relationships/hyperlink" Target="https://centrodecapacitaciondelsur.com/soporte-basico-de-vida-" TargetMode="External"/><Relationship Id="rId175" Type="http://schemas.openxmlformats.org/officeDocument/2006/relationships/hyperlink" Target="https://centrodecapacitaciondelsur.com/soporte-basico-de-vida-" TargetMode="External"/><Relationship Id="rId196" Type="http://schemas.openxmlformats.org/officeDocument/2006/relationships/hyperlink" Target="https://centrodecapacitaciondelsur.com/soporte-basico-de-vida-" TargetMode="External"/><Relationship Id="rId200" Type="http://schemas.openxmlformats.org/officeDocument/2006/relationships/hyperlink" Target="https://centrodecapacitaciondelsur.com/soporte-basico-de-vida-" TargetMode="External"/><Relationship Id="rId16" Type="http://schemas.openxmlformats.org/officeDocument/2006/relationships/hyperlink" Target="https://centrodecapacitaciondelsur.com/soporte-basico-de-vida-" TargetMode="External"/><Relationship Id="rId221" Type="http://schemas.openxmlformats.org/officeDocument/2006/relationships/hyperlink" Target="https://centrodecapacitaciondelsur.com/soporte-basico-de-vida-" TargetMode="External"/><Relationship Id="rId242" Type="http://schemas.openxmlformats.org/officeDocument/2006/relationships/hyperlink" Target="https://centrodecapacitaciondelsur.com/soporte-basico-de-vida-" TargetMode="External"/><Relationship Id="rId263" Type="http://schemas.openxmlformats.org/officeDocument/2006/relationships/hyperlink" Target="https://centrodecapacitaciondelsur.com/soporte-basico-de-vida-" TargetMode="External"/><Relationship Id="rId284" Type="http://schemas.openxmlformats.org/officeDocument/2006/relationships/hyperlink" Target="https://centrodecapacitaciondelsur.com/soporte-basico-de-vida-" TargetMode="External"/><Relationship Id="rId37" Type="http://schemas.openxmlformats.org/officeDocument/2006/relationships/hyperlink" Target="https://centrodecapacitaciondelsur.com/soporte-basico-de-vida-" TargetMode="External"/><Relationship Id="rId58" Type="http://schemas.openxmlformats.org/officeDocument/2006/relationships/hyperlink" Target="https://centrodecapacitaciondelsur.com/soporte-basico-de-vida-" TargetMode="External"/><Relationship Id="rId79" Type="http://schemas.openxmlformats.org/officeDocument/2006/relationships/hyperlink" Target="https://centrodecapacitaciondelsur.com/soporte-basico-de-vida-" TargetMode="External"/><Relationship Id="rId102" Type="http://schemas.openxmlformats.org/officeDocument/2006/relationships/hyperlink" Target="https://centrodecapacitaciondelsur.com/soporte-basico-de-vida-" TargetMode="External"/><Relationship Id="rId123" Type="http://schemas.openxmlformats.org/officeDocument/2006/relationships/hyperlink" Target="https://centrodecapacitaciondelsur.com/soporte-basico-de-vida-" TargetMode="External"/><Relationship Id="rId144" Type="http://schemas.openxmlformats.org/officeDocument/2006/relationships/hyperlink" Target="https://centrodecapacitaciondelsur.com/soporte-basico-de-vida-" TargetMode="External"/><Relationship Id="rId90" Type="http://schemas.openxmlformats.org/officeDocument/2006/relationships/hyperlink" Target="https://centrodecapacitaciondelsur.com/soporte-basico-de-vida-" TargetMode="External"/><Relationship Id="rId165" Type="http://schemas.openxmlformats.org/officeDocument/2006/relationships/hyperlink" Target="https://centrodecapacitaciondelsur.com/soporte-basico-de-vida-" TargetMode="External"/><Relationship Id="rId186" Type="http://schemas.openxmlformats.org/officeDocument/2006/relationships/hyperlink" Target="https://centrodecapacitaciondelsur.com/soporte-basico-de-vida-" TargetMode="External"/><Relationship Id="rId211" Type="http://schemas.openxmlformats.org/officeDocument/2006/relationships/hyperlink" Target="https://centrodecapacitaciondelsur.com/soporte-basico-de-vida-" TargetMode="External"/><Relationship Id="rId232" Type="http://schemas.openxmlformats.org/officeDocument/2006/relationships/hyperlink" Target="https://centrodecapacitaciondelsur.com/soporte-basico-de-vida-" TargetMode="External"/><Relationship Id="rId253" Type="http://schemas.openxmlformats.org/officeDocument/2006/relationships/hyperlink" Target="https://centrodecapacitaciondelsur.com/soporte-basico-de-vida-" TargetMode="External"/><Relationship Id="rId274" Type="http://schemas.openxmlformats.org/officeDocument/2006/relationships/hyperlink" Target="https://centrodecapacitaciondelsur.com/soporte-basico-de-vida-" TargetMode="External"/><Relationship Id="rId295" Type="http://schemas.openxmlformats.org/officeDocument/2006/relationships/hyperlink" Target="https://centrodecapacitaciondelsur.com/soporte-basico-de-vida-" TargetMode="External"/><Relationship Id="rId309" Type="http://schemas.openxmlformats.org/officeDocument/2006/relationships/hyperlink" Target="https://centrodecapacitaciondelsur.com/soporte-basico-de-vida-" TargetMode="External"/><Relationship Id="rId27" Type="http://schemas.openxmlformats.org/officeDocument/2006/relationships/hyperlink" Target="https://centrodecapacitaciondelsur.com/soporte-basico-de-vida-" TargetMode="External"/><Relationship Id="rId48" Type="http://schemas.openxmlformats.org/officeDocument/2006/relationships/hyperlink" Target="https://centrodecapacitaciondelsur.com/soporte-basico-de-vida-" TargetMode="External"/><Relationship Id="rId69" Type="http://schemas.openxmlformats.org/officeDocument/2006/relationships/hyperlink" Target="https://centrodecapacitaciondelsur.com/soporte-basico-de-vida-" TargetMode="External"/><Relationship Id="rId113" Type="http://schemas.openxmlformats.org/officeDocument/2006/relationships/hyperlink" Target="https://centrodecapacitaciondelsur.com/soporte-basico-de-vida-" TargetMode="External"/><Relationship Id="rId134" Type="http://schemas.openxmlformats.org/officeDocument/2006/relationships/hyperlink" Target="https://centrodecapacitaciondelsur.com/soporte-basico-de-vida-" TargetMode="External"/><Relationship Id="rId80" Type="http://schemas.openxmlformats.org/officeDocument/2006/relationships/hyperlink" Target="https://centrodecapacitaciondelsur.com/soporte-basico-de-vida-" TargetMode="External"/><Relationship Id="rId155" Type="http://schemas.openxmlformats.org/officeDocument/2006/relationships/hyperlink" Target="https://centrodecapacitaciondelsur.com/soporte-basico-de-vida-" TargetMode="External"/><Relationship Id="rId176" Type="http://schemas.openxmlformats.org/officeDocument/2006/relationships/hyperlink" Target="https://centrodecapacitaciondelsur.com/soporte-basico-de-vida-" TargetMode="External"/><Relationship Id="rId197" Type="http://schemas.openxmlformats.org/officeDocument/2006/relationships/hyperlink" Target="https://centrodecapacitaciondelsur.com/soporte-basico-de-vida-" TargetMode="External"/><Relationship Id="rId201" Type="http://schemas.openxmlformats.org/officeDocument/2006/relationships/hyperlink" Target="https://centrodecapacitaciondelsur.com/soporte-basico-de-vida-" TargetMode="External"/><Relationship Id="rId222" Type="http://schemas.openxmlformats.org/officeDocument/2006/relationships/hyperlink" Target="https://centrodecapacitaciondelsur.com/soporte-basico-de-vida-" TargetMode="External"/><Relationship Id="rId243" Type="http://schemas.openxmlformats.org/officeDocument/2006/relationships/hyperlink" Target="https://centrodecapacitaciondelsur.com/soporte-basico-de-vida-" TargetMode="External"/><Relationship Id="rId264" Type="http://schemas.openxmlformats.org/officeDocument/2006/relationships/hyperlink" Target="https://centrodecapacitaciondelsur.com/soporte-basico-de-vida-" TargetMode="External"/><Relationship Id="rId285" Type="http://schemas.openxmlformats.org/officeDocument/2006/relationships/hyperlink" Target="https://centrodecapacitaciondelsur.com/soporte-basico-de-vida-" TargetMode="External"/><Relationship Id="rId17" Type="http://schemas.openxmlformats.org/officeDocument/2006/relationships/hyperlink" Target="https://centrodecapacitaciondelsur.com/soporte-basico-de-vida-" TargetMode="External"/><Relationship Id="rId38" Type="http://schemas.openxmlformats.org/officeDocument/2006/relationships/hyperlink" Target="https://centrodecapacitaciondelsur.com/soporte-basico-de-vida-" TargetMode="External"/><Relationship Id="rId59" Type="http://schemas.openxmlformats.org/officeDocument/2006/relationships/hyperlink" Target="https://centrodecapacitaciondelsur.com/soporte-basico-de-vida-" TargetMode="External"/><Relationship Id="rId103" Type="http://schemas.openxmlformats.org/officeDocument/2006/relationships/hyperlink" Target="https://centrodecapacitaciondelsur.com/soporte-basico-de-vida-" TargetMode="External"/><Relationship Id="rId124" Type="http://schemas.openxmlformats.org/officeDocument/2006/relationships/hyperlink" Target="https://centrodecapacitaciondelsur.com/soporte-basico-de-vida-" TargetMode="External"/><Relationship Id="rId310" Type="http://schemas.openxmlformats.org/officeDocument/2006/relationships/hyperlink" Target="https://centrodecapacitaciondelsur.com/soporte-basico-de-vida-" TargetMode="External"/><Relationship Id="rId70" Type="http://schemas.openxmlformats.org/officeDocument/2006/relationships/hyperlink" Target="https://centrodecapacitaciondelsur.com/soporte-basico-de-vida-" TargetMode="External"/><Relationship Id="rId91" Type="http://schemas.openxmlformats.org/officeDocument/2006/relationships/hyperlink" Target="https://centrodecapacitaciondelsur.com/soporte-basico-de-vida-" TargetMode="External"/><Relationship Id="rId145" Type="http://schemas.openxmlformats.org/officeDocument/2006/relationships/hyperlink" Target="https://centrodecapacitaciondelsur.com/soporte-basico-de-vida-" TargetMode="External"/><Relationship Id="rId166" Type="http://schemas.openxmlformats.org/officeDocument/2006/relationships/hyperlink" Target="https://centrodecapacitaciondelsur.com/soporte-basico-de-vida-" TargetMode="External"/><Relationship Id="rId187" Type="http://schemas.openxmlformats.org/officeDocument/2006/relationships/hyperlink" Target="https://centrodecapacitaciondelsur.com/soporte-basico-de-vida-" TargetMode="External"/><Relationship Id="rId1" Type="http://schemas.openxmlformats.org/officeDocument/2006/relationships/hyperlink" Target="https://centrodecapacitaciondelsur.com/soporte-basico-de-vida-" TargetMode="External"/><Relationship Id="rId212" Type="http://schemas.openxmlformats.org/officeDocument/2006/relationships/hyperlink" Target="https://centrodecapacitaciondelsur.com/soporte-basico-de-vida-" TargetMode="External"/><Relationship Id="rId233" Type="http://schemas.openxmlformats.org/officeDocument/2006/relationships/hyperlink" Target="https://centrodecapacitaciondelsur.com/soporte-basico-de-vida-" TargetMode="External"/><Relationship Id="rId254" Type="http://schemas.openxmlformats.org/officeDocument/2006/relationships/hyperlink" Target="https://centrodecapacitaciondelsur.com/soporte-basico-de-vida-" TargetMode="External"/><Relationship Id="rId28" Type="http://schemas.openxmlformats.org/officeDocument/2006/relationships/hyperlink" Target="https://centrodecapacitaciondelsur.com/soporte-basico-de-vida-" TargetMode="External"/><Relationship Id="rId49" Type="http://schemas.openxmlformats.org/officeDocument/2006/relationships/hyperlink" Target="https://centrodecapacitaciondelsur.com/soporte-basico-de-vida-" TargetMode="External"/><Relationship Id="rId114" Type="http://schemas.openxmlformats.org/officeDocument/2006/relationships/hyperlink" Target="https://centrodecapacitaciondelsur.com/soporte-basico-de-vida-" TargetMode="External"/><Relationship Id="rId275" Type="http://schemas.openxmlformats.org/officeDocument/2006/relationships/hyperlink" Target="https://centrodecapacitaciondelsur.com/soporte-basico-de-vida-" TargetMode="External"/><Relationship Id="rId296" Type="http://schemas.openxmlformats.org/officeDocument/2006/relationships/hyperlink" Target="https://centrodecapacitaciondelsur.com/soporte-basico-de-vida-" TargetMode="External"/><Relationship Id="rId300" Type="http://schemas.openxmlformats.org/officeDocument/2006/relationships/hyperlink" Target="https://centrodecapacitaciondelsur.com/soporte-basico-de-vida-" TargetMode="External"/><Relationship Id="rId60" Type="http://schemas.openxmlformats.org/officeDocument/2006/relationships/hyperlink" Target="https://centrodecapacitaciondelsur.com/soporte-basico-de-vida-" TargetMode="External"/><Relationship Id="rId81" Type="http://schemas.openxmlformats.org/officeDocument/2006/relationships/hyperlink" Target="https://centrodecapacitaciondelsur.com/soporte-basico-de-vida-" TargetMode="External"/><Relationship Id="rId135" Type="http://schemas.openxmlformats.org/officeDocument/2006/relationships/hyperlink" Target="https://centrodecapacitaciondelsur.com/soporte-basico-de-vida-" TargetMode="External"/><Relationship Id="rId156" Type="http://schemas.openxmlformats.org/officeDocument/2006/relationships/hyperlink" Target="https://centrodecapacitaciondelsur.com/soporte-basico-de-vida-" TargetMode="External"/><Relationship Id="rId177" Type="http://schemas.openxmlformats.org/officeDocument/2006/relationships/hyperlink" Target="https://centrodecapacitaciondelsur.com/soporte-basico-de-vida-" TargetMode="External"/><Relationship Id="rId198" Type="http://schemas.openxmlformats.org/officeDocument/2006/relationships/hyperlink" Target="https://centrodecapacitaciondelsur.com/soporte-basico-de-vida-" TargetMode="External"/><Relationship Id="rId202" Type="http://schemas.openxmlformats.org/officeDocument/2006/relationships/hyperlink" Target="https://centrodecapacitaciondelsur.com/soporte-basico-de-vida-" TargetMode="External"/><Relationship Id="rId223" Type="http://schemas.openxmlformats.org/officeDocument/2006/relationships/hyperlink" Target="https://centrodecapacitaciondelsur.com/soporte-basico-de-vida-" TargetMode="External"/><Relationship Id="rId244" Type="http://schemas.openxmlformats.org/officeDocument/2006/relationships/hyperlink" Target="https://centrodecapacitaciondelsur.com/soporte-basico-de-vida-" TargetMode="External"/><Relationship Id="rId18" Type="http://schemas.openxmlformats.org/officeDocument/2006/relationships/hyperlink" Target="https://centrodecapacitaciondelsur.com/soporte-basico-de-vida-" TargetMode="External"/><Relationship Id="rId39" Type="http://schemas.openxmlformats.org/officeDocument/2006/relationships/hyperlink" Target="https://centrodecapacitaciondelsur.com/soporte-basico-de-vida-" TargetMode="External"/><Relationship Id="rId265" Type="http://schemas.openxmlformats.org/officeDocument/2006/relationships/hyperlink" Target="https://centrodecapacitaciondelsur.com/soporte-basico-de-vida-" TargetMode="External"/><Relationship Id="rId286" Type="http://schemas.openxmlformats.org/officeDocument/2006/relationships/hyperlink" Target="https://centrodecapacitaciondelsur.com/soporte-basico-de-vida-" TargetMode="External"/><Relationship Id="rId50" Type="http://schemas.openxmlformats.org/officeDocument/2006/relationships/hyperlink" Target="https://centrodecapacitaciondelsur.com/soporte-basico-de-vida-" TargetMode="External"/><Relationship Id="rId104" Type="http://schemas.openxmlformats.org/officeDocument/2006/relationships/hyperlink" Target="https://centrodecapacitaciondelsur.com/soporte-basico-de-vida-" TargetMode="External"/><Relationship Id="rId125" Type="http://schemas.openxmlformats.org/officeDocument/2006/relationships/hyperlink" Target="https://centrodecapacitaciondelsur.com/soporte-basico-de-vida-" TargetMode="External"/><Relationship Id="rId146" Type="http://schemas.openxmlformats.org/officeDocument/2006/relationships/hyperlink" Target="https://centrodecapacitaciondelsur.com/soporte-basico-de-vida-" TargetMode="External"/><Relationship Id="rId167" Type="http://schemas.openxmlformats.org/officeDocument/2006/relationships/hyperlink" Target="https://centrodecapacitaciondelsur.com/soporte-basico-de-vida-" TargetMode="External"/><Relationship Id="rId188" Type="http://schemas.openxmlformats.org/officeDocument/2006/relationships/hyperlink" Target="https://centrodecapacitaciondelsur.com/soporte-basico-de-vida-" TargetMode="External"/><Relationship Id="rId311" Type="http://schemas.openxmlformats.org/officeDocument/2006/relationships/hyperlink" Target="https://centrodecapacitaciondelsur.com/soporte-basico-de-vida-" TargetMode="External"/><Relationship Id="rId71" Type="http://schemas.openxmlformats.org/officeDocument/2006/relationships/hyperlink" Target="https://centrodecapacitaciondelsur.com/soporte-basico-de-vida-" TargetMode="External"/><Relationship Id="rId92" Type="http://schemas.openxmlformats.org/officeDocument/2006/relationships/hyperlink" Target="https://centrodecapacitaciondelsur.com/soporte-basico-de-vida-" TargetMode="External"/><Relationship Id="rId213" Type="http://schemas.openxmlformats.org/officeDocument/2006/relationships/hyperlink" Target="https://centrodecapacitaciondelsur.com/soporte-basico-de-vida-" TargetMode="External"/><Relationship Id="rId234" Type="http://schemas.openxmlformats.org/officeDocument/2006/relationships/hyperlink" Target="https://centrodecapacitaciondelsur.com/soporte-basico-de-vida-" TargetMode="External"/><Relationship Id="rId2" Type="http://schemas.openxmlformats.org/officeDocument/2006/relationships/hyperlink" Target="https://centrodecapacitaciondelsur.com/soporte-basico-de-vida-" TargetMode="External"/><Relationship Id="rId29" Type="http://schemas.openxmlformats.org/officeDocument/2006/relationships/hyperlink" Target="https://centrodecapacitaciondelsur.com/soporte-basico-de-vida-" TargetMode="External"/><Relationship Id="rId255" Type="http://schemas.openxmlformats.org/officeDocument/2006/relationships/hyperlink" Target="https://centrodecapacitaciondelsur.com/soporte-basico-de-vida-" TargetMode="External"/><Relationship Id="rId276" Type="http://schemas.openxmlformats.org/officeDocument/2006/relationships/hyperlink" Target="https://centrodecapacitaciondelsur.com/soporte-basico-de-vida-" TargetMode="External"/><Relationship Id="rId297" Type="http://schemas.openxmlformats.org/officeDocument/2006/relationships/hyperlink" Target="https://centrodecapacitaciondelsur.com/soporte-basico-de-vida-" TargetMode="External"/><Relationship Id="rId40" Type="http://schemas.openxmlformats.org/officeDocument/2006/relationships/hyperlink" Target="https://centrodecapacitaciondelsur.com/soporte-basico-de-vida-" TargetMode="External"/><Relationship Id="rId115" Type="http://schemas.openxmlformats.org/officeDocument/2006/relationships/hyperlink" Target="https://centrodecapacitaciondelsur.com/soporte-basico-de-vida-" TargetMode="External"/><Relationship Id="rId136" Type="http://schemas.openxmlformats.org/officeDocument/2006/relationships/hyperlink" Target="https://centrodecapacitaciondelsur.com/soporte-basico-de-vida-" TargetMode="External"/><Relationship Id="rId157" Type="http://schemas.openxmlformats.org/officeDocument/2006/relationships/hyperlink" Target="https://centrodecapacitaciondelsur.com/soporte-basico-de-vida-" TargetMode="External"/><Relationship Id="rId178" Type="http://schemas.openxmlformats.org/officeDocument/2006/relationships/hyperlink" Target="https://centrodecapacitaciondelsur.com/soporte-basico-de-vida-" TargetMode="External"/><Relationship Id="rId301" Type="http://schemas.openxmlformats.org/officeDocument/2006/relationships/hyperlink" Target="https://centrodecapacitaciondelsur.com/soporte-basico-de-vida-" TargetMode="External"/><Relationship Id="rId61" Type="http://schemas.openxmlformats.org/officeDocument/2006/relationships/hyperlink" Target="https://centrodecapacitaciondelsur.com/soporte-basico-de-vida-" TargetMode="External"/><Relationship Id="rId82" Type="http://schemas.openxmlformats.org/officeDocument/2006/relationships/hyperlink" Target="https://centrodecapacitaciondelsur.com/soporte-basico-de-vida-" TargetMode="External"/><Relationship Id="rId199" Type="http://schemas.openxmlformats.org/officeDocument/2006/relationships/hyperlink" Target="https://centrodecapacitaciondelsur.com/soporte-basico-de-vida-" TargetMode="External"/><Relationship Id="rId203" Type="http://schemas.openxmlformats.org/officeDocument/2006/relationships/hyperlink" Target="https://centrodecapacitaciondelsur.com/soporte-basico-de-vida-" TargetMode="External"/><Relationship Id="rId19" Type="http://schemas.openxmlformats.org/officeDocument/2006/relationships/hyperlink" Target="https://centrodecapacitaciondelsur.com/soporte-basico-de-vida-" TargetMode="External"/><Relationship Id="rId224" Type="http://schemas.openxmlformats.org/officeDocument/2006/relationships/hyperlink" Target="https://centrodecapacitaciondelsur.com/soporte-basico-de-vida-" TargetMode="External"/><Relationship Id="rId245" Type="http://schemas.openxmlformats.org/officeDocument/2006/relationships/hyperlink" Target="https://centrodecapacitaciondelsur.com/soporte-basico-de-vida-" TargetMode="External"/><Relationship Id="rId266" Type="http://schemas.openxmlformats.org/officeDocument/2006/relationships/hyperlink" Target="https://centrodecapacitaciondelsur.com/soporte-basico-de-vida-" TargetMode="External"/><Relationship Id="rId287" Type="http://schemas.openxmlformats.org/officeDocument/2006/relationships/hyperlink" Target="https://centrodecapacitaciondelsur.com/soporte-basico-de-vida-" TargetMode="External"/><Relationship Id="rId30" Type="http://schemas.openxmlformats.org/officeDocument/2006/relationships/hyperlink" Target="https://centrodecapacitaciondelsur.com/soporte-basico-de-vida-" TargetMode="External"/><Relationship Id="rId105" Type="http://schemas.openxmlformats.org/officeDocument/2006/relationships/hyperlink" Target="https://centrodecapacitaciondelsur.com/soporte-basico-de-vida-" TargetMode="External"/><Relationship Id="rId126" Type="http://schemas.openxmlformats.org/officeDocument/2006/relationships/hyperlink" Target="https://centrodecapacitaciondelsur.com/soporte-basico-de-vida-" TargetMode="External"/><Relationship Id="rId147" Type="http://schemas.openxmlformats.org/officeDocument/2006/relationships/hyperlink" Target="https://centrodecapacitaciondelsur.com/soporte-basico-de-vida-" TargetMode="External"/><Relationship Id="rId168" Type="http://schemas.openxmlformats.org/officeDocument/2006/relationships/hyperlink" Target="https://centrodecapacitaciondelsur.com/soporte-basico-de-vida-" TargetMode="External"/><Relationship Id="rId312" Type="http://schemas.openxmlformats.org/officeDocument/2006/relationships/hyperlink" Target="https://centrodecapacitaciondelsur.com/soporte-basico-de-vida-" TargetMode="External"/><Relationship Id="rId51" Type="http://schemas.openxmlformats.org/officeDocument/2006/relationships/hyperlink" Target="https://centrodecapacitaciondelsur.com/soporte-basico-de-vida-" TargetMode="External"/><Relationship Id="rId72" Type="http://schemas.openxmlformats.org/officeDocument/2006/relationships/hyperlink" Target="https://centrodecapacitaciondelsur.com/soporte-basico-de-vida-" TargetMode="External"/><Relationship Id="rId93" Type="http://schemas.openxmlformats.org/officeDocument/2006/relationships/hyperlink" Target="https://centrodecapacitaciondelsur.com/soporte-basico-de-vida-" TargetMode="External"/><Relationship Id="rId189" Type="http://schemas.openxmlformats.org/officeDocument/2006/relationships/hyperlink" Target="https://centrodecapacitaciondelsur.com/soporte-basico-de-vida-" TargetMode="External"/><Relationship Id="rId3" Type="http://schemas.openxmlformats.org/officeDocument/2006/relationships/hyperlink" Target="https://centrodecapacitaciondelsur.com/soporte-basico-de-vida-" TargetMode="External"/><Relationship Id="rId214" Type="http://schemas.openxmlformats.org/officeDocument/2006/relationships/hyperlink" Target="https://centrodecapacitaciondelsur.com/soporte-basico-de-vida-" TargetMode="External"/><Relationship Id="rId235" Type="http://schemas.openxmlformats.org/officeDocument/2006/relationships/hyperlink" Target="https://centrodecapacitaciondelsur.com/soporte-basico-de-vida-" TargetMode="External"/><Relationship Id="rId256" Type="http://schemas.openxmlformats.org/officeDocument/2006/relationships/hyperlink" Target="https://centrodecapacitaciondelsur.com/soporte-basico-de-vida-" TargetMode="External"/><Relationship Id="rId277" Type="http://schemas.openxmlformats.org/officeDocument/2006/relationships/hyperlink" Target="https://centrodecapacitaciondelsur.com/soporte-basico-de-vida-" TargetMode="External"/><Relationship Id="rId298" Type="http://schemas.openxmlformats.org/officeDocument/2006/relationships/hyperlink" Target="https://centrodecapacitaciondelsur.com/soporte-basico-de-vida-" TargetMode="External"/><Relationship Id="rId116" Type="http://schemas.openxmlformats.org/officeDocument/2006/relationships/hyperlink" Target="https://centrodecapacitaciondelsur.com/soporte-basico-de-vida-" TargetMode="External"/><Relationship Id="rId137" Type="http://schemas.openxmlformats.org/officeDocument/2006/relationships/hyperlink" Target="https://centrodecapacitaciondelsur.com/soporte-basico-de-vida-" TargetMode="External"/><Relationship Id="rId158" Type="http://schemas.openxmlformats.org/officeDocument/2006/relationships/hyperlink" Target="https://centrodecapacitaciondelsur.com/soporte-basico-de-vida-" TargetMode="External"/><Relationship Id="rId302" Type="http://schemas.openxmlformats.org/officeDocument/2006/relationships/hyperlink" Target="https://centrodecapacitaciondelsur.com/soporte-basico-de-vida-" TargetMode="External"/><Relationship Id="rId20" Type="http://schemas.openxmlformats.org/officeDocument/2006/relationships/hyperlink" Target="https://centrodecapacitaciondelsur.com/soporte-basico-de-vida-" TargetMode="External"/><Relationship Id="rId41" Type="http://schemas.openxmlformats.org/officeDocument/2006/relationships/hyperlink" Target="https://centrodecapacitaciondelsur.com/soporte-basico-de-vida-" TargetMode="External"/><Relationship Id="rId62" Type="http://schemas.openxmlformats.org/officeDocument/2006/relationships/hyperlink" Target="https://centrodecapacitaciondelsur.com/soporte-basico-de-vida-" TargetMode="External"/><Relationship Id="rId83" Type="http://schemas.openxmlformats.org/officeDocument/2006/relationships/hyperlink" Target="https://centrodecapacitaciondelsur.com/soporte-basico-de-vida-" TargetMode="External"/><Relationship Id="rId179" Type="http://schemas.openxmlformats.org/officeDocument/2006/relationships/hyperlink" Target="https://centrodecapacitaciondelsur.com/soporte-basico-de-vida-" TargetMode="External"/><Relationship Id="rId190" Type="http://schemas.openxmlformats.org/officeDocument/2006/relationships/hyperlink" Target="https://centrodecapacitaciondelsur.com/soporte-basico-de-vida-" TargetMode="External"/><Relationship Id="rId204" Type="http://schemas.openxmlformats.org/officeDocument/2006/relationships/hyperlink" Target="https://centrodecapacitaciondelsur.com/soporte-basico-de-vida-" TargetMode="External"/><Relationship Id="rId225" Type="http://schemas.openxmlformats.org/officeDocument/2006/relationships/hyperlink" Target="https://centrodecapacitaciondelsur.com/soporte-basico-de-vida-" TargetMode="External"/><Relationship Id="rId246" Type="http://schemas.openxmlformats.org/officeDocument/2006/relationships/hyperlink" Target="https://centrodecapacitaciondelsur.com/soporte-basico-de-vida-" TargetMode="External"/><Relationship Id="rId267" Type="http://schemas.openxmlformats.org/officeDocument/2006/relationships/hyperlink" Target="https://centrodecapacitaciondelsur.com/soporte-basico-de-vida-" TargetMode="External"/><Relationship Id="rId288" Type="http://schemas.openxmlformats.org/officeDocument/2006/relationships/hyperlink" Target="https://centrodecapacitaciondelsur.com/soporte-basico-de-vida-" TargetMode="External"/><Relationship Id="rId106" Type="http://schemas.openxmlformats.org/officeDocument/2006/relationships/hyperlink" Target="https://centrodecapacitaciondelsur.com/soporte-basico-de-vida-" TargetMode="External"/><Relationship Id="rId127" Type="http://schemas.openxmlformats.org/officeDocument/2006/relationships/hyperlink" Target="https://centrodecapacitaciondelsur.com/soporte-basico-de-vida-" TargetMode="External"/><Relationship Id="rId313" Type="http://schemas.openxmlformats.org/officeDocument/2006/relationships/hyperlink" Target="https://centrodecapacitaciondelsur.com/soporte-basico-de-vida-" TargetMode="External"/><Relationship Id="rId10" Type="http://schemas.openxmlformats.org/officeDocument/2006/relationships/hyperlink" Target="https://centrodecapacitaciondelsur.com/soporte-basico-de-vida-" TargetMode="External"/><Relationship Id="rId31" Type="http://schemas.openxmlformats.org/officeDocument/2006/relationships/hyperlink" Target="https://centrodecapacitaciondelsur.com/soporte-basico-de-vida-" TargetMode="External"/><Relationship Id="rId52" Type="http://schemas.openxmlformats.org/officeDocument/2006/relationships/hyperlink" Target="https://centrodecapacitaciondelsur.com/soporte-basico-de-vida-" TargetMode="External"/><Relationship Id="rId73" Type="http://schemas.openxmlformats.org/officeDocument/2006/relationships/hyperlink" Target="https://centrodecapacitaciondelsur.com/soporte-basico-de-vida-" TargetMode="External"/><Relationship Id="rId94" Type="http://schemas.openxmlformats.org/officeDocument/2006/relationships/hyperlink" Target="https://centrodecapacitaciondelsur.com/soporte-basico-de-vida-" TargetMode="External"/><Relationship Id="rId148" Type="http://schemas.openxmlformats.org/officeDocument/2006/relationships/hyperlink" Target="https://centrodecapacitaciondelsur.com/soporte-basico-de-vida-" TargetMode="External"/><Relationship Id="rId169" Type="http://schemas.openxmlformats.org/officeDocument/2006/relationships/hyperlink" Target="https://centrodecapacitaciondelsur.com/soporte-basico-de-vida-" TargetMode="External"/><Relationship Id="rId4" Type="http://schemas.openxmlformats.org/officeDocument/2006/relationships/hyperlink" Target="https://centrodecapacitaciondelsur.com/soporte-basico-de-vida-" TargetMode="External"/><Relationship Id="rId180" Type="http://schemas.openxmlformats.org/officeDocument/2006/relationships/hyperlink" Target="https://centrodecapacitaciondelsur.com/soporte-basico-de-vida-" TargetMode="External"/><Relationship Id="rId215" Type="http://schemas.openxmlformats.org/officeDocument/2006/relationships/hyperlink" Target="https://centrodecapacitaciondelsur.com/soporte-basico-de-vida-" TargetMode="External"/><Relationship Id="rId236" Type="http://schemas.openxmlformats.org/officeDocument/2006/relationships/hyperlink" Target="https://centrodecapacitaciondelsur.com/soporte-basico-de-vida-" TargetMode="External"/><Relationship Id="rId257" Type="http://schemas.openxmlformats.org/officeDocument/2006/relationships/hyperlink" Target="https://centrodecapacitaciondelsur.com/soporte-basico-de-vida-" TargetMode="External"/><Relationship Id="rId278" Type="http://schemas.openxmlformats.org/officeDocument/2006/relationships/hyperlink" Target="https://centrodecapacitaciondelsur.com/soporte-basico-de-vida-" TargetMode="External"/><Relationship Id="rId303" Type="http://schemas.openxmlformats.org/officeDocument/2006/relationships/hyperlink" Target="https://centrodecapacitaciondelsur.com/soporte-basico-de-vida-" TargetMode="External"/><Relationship Id="rId42" Type="http://schemas.openxmlformats.org/officeDocument/2006/relationships/hyperlink" Target="https://centrodecapacitaciondelsur.com/soporte-basico-de-vida-" TargetMode="External"/><Relationship Id="rId84" Type="http://schemas.openxmlformats.org/officeDocument/2006/relationships/hyperlink" Target="https://centrodecapacitaciondelsur.com/soporte-basico-de-vida-" TargetMode="External"/><Relationship Id="rId138" Type="http://schemas.openxmlformats.org/officeDocument/2006/relationships/hyperlink" Target="https://centrodecapacitaciondelsur.com/soporte-basico-de-vida-" TargetMode="External"/><Relationship Id="rId191" Type="http://schemas.openxmlformats.org/officeDocument/2006/relationships/hyperlink" Target="https://centrodecapacitaciondelsur.com/soporte-basico-de-vida-" TargetMode="External"/><Relationship Id="rId205" Type="http://schemas.openxmlformats.org/officeDocument/2006/relationships/hyperlink" Target="https://centrodecapacitaciondelsur.com/soporte-basico-de-vida-" TargetMode="External"/><Relationship Id="rId247" Type="http://schemas.openxmlformats.org/officeDocument/2006/relationships/hyperlink" Target="https://centrodecapacitaciondelsur.com/soporte-basico-de-vida-" TargetMode="External"/><Relationship Id="rId107" Type="http://schemas.openxmlformats.org/officeDocument/2006/relationships/hyperlink" Target="https://centrodecapacitaciondelsur.com/soporte-basico-de-vida-" TargetMode="External"/><Relationship Id="rId289" Type="http://schemas.openxmlformats.org/officeDocument/2006/relationships/hyperlink" Target="https://centrodecapacitaciondelsur.com/soporte-basico-de-vida-" TargetMode="External"/><Relationship Id="rId11" Type="http://schemas.openxmlformats.org/officeDocument/2006/relationships/hyperlink" Target="https://centrodecapacitaciondelsur.com/soporte-basico-de-vida-" TargetMode="External"/><Relationship Id="rId53" Type="http://schemas.openxmlformats.org/officeDocument/2006/relationships/hyperlink" Target="https://centrodecapacitaciondelsur.com/soporte-basico-de-vida-" TargetMode="External"/><Relationship Id="rId149" Type="http://schemas.openxmlformats.org/officeDocument/2006/relationships/hyperlink" Target="https://centrodecapacitaciondelsur.com/soporte-basico-de-vida-" TargetMode="External"/><Relationship Id="rId314" Type="http://schemas.openxmlformats.org/officeDocument/2006/relationships/hyperlink" Target="https://centrodecapacitaciondelsur.com/soporte-basico-de-vida-" TargetMode="External"/><Relationship Id="rId95" Type="http://schemas.openxmlformats.org/officeDocument/2006/relationships/hyperlink" Target="https://centrodecapacitaciondelsur.com/soporte-basico-de-vida-" TargetMode="External"/><Relationship Id="rId160" Type="http://schemas.openxmlformats.org/officeDocument/2006/relationships/hyperlink" Target="https://centrodecapacitaciondelsur.com/soporte-basico-de-vida-" TargetMode="External"/><Relationship Id="rId216" Type="http://schemas.openxmlformats.org/officeDocument/2006/relationships/hyperlink" Target="https://centrodecapacitaciondelsur.com/soporte-basico-de-vida-" TargetMode="External"/><Relationship Id="rId258" Type="http://schemas.openxmlformats.org/officeDocument/2006/relationships/hyperlink" Target="https://centrodecapacitaciondelsur.com/soporte-basico-de-vida-" TargetMode="External"/><Relationship Id="rId22" Type="http://schemas.openxmlformats.org/officeDocument/2006/relationships/hyperlink" Target="https://centrodecapacitaciondelsur.com/soporte-basico-de-vida-" TargetMode="External"/><Relationship Id="rId64" Type="http://schemas.openxmlformats.org/officeDocument/2006/relationships/hyperlink" Target="https://centrodecapacitaciondelsur.com/soporte-basico-de-vida-" TargetMode="External"/><Relationship Id="rId118" Type="http://schemas.openxmlformats.org/officeDocument/2006/relationships/hyperlink" Target="https://centrodecapacitaciondelsur.com/soporte-basico-de-vida-" TargetMode="External"/><Relationship Id="rId171" Type="http://schemas.openxmlformats.org/officeDocument/2006/relationships/hyperlink" Target="https://centrodecapacitaciondelsur.com/soporte-basico-de-vida-" TargetMode="External"/><Relationship Id="rId227" Type="http://schemas.openxmlformats.org/officeDocument/2006/relationships/hyperlink" Target="https://centrodecapacitaciondelsur.com/soporte-basico-de-vida-" TargetMode="External"/><Relationship Id="rId269" Type="http://schemas.openxmlformats.org/officeDocument/2006/relationships/hyperlink" Target="https://centrodecapacitaciondelsur.com/soporte-basico-de-vida-" TargetMode="External"/><Relationship Id="rId33" Type="http://schemas.openxmlformats.org/officeDocument/2006/relationships/hyperlink" Target="https://centrodecapacitaciondelsur.com/soporte-basico-de-vida-" TargetMode="External"/><Relationship Id="rId129" Type="http://schemas.openxmlformats.org/officeDocument/2006/relationships/hyperlink" Target="https://centrodecapacitaciondelsur.com/soporte-basico-de-vida-" TargetMode="External"/><Relationship Id="rId280" Type="http://schemas.openxmlformats.org/officeDocument/2006/relationships/hyperlink" Target="https://centrodecapacitaciondelsur.com/soporte-basico-de-vida-" TargetMode="External"/><Relationship Id="rId75" Type="http://schemas.openxmlformats.org/officeDocument/2006/relationships/hyperlink" Target="https://centrodecapacitaciondelsur.com/soporte-basico-de-vida-" TargetMode="External"/><Relationship Id="rId140" Type="http://schemas.openxmlformats.org/officeDocument/2006/relationships/hyperlink" Target="https://centrodecapacitaciondelsur.com/soporte-basico-de-vida-" TargetMode="External"/><Relationship Id="rId182" Type="http://schemas.openxmlformats.org/officeDocument/2006/relationships/hyperlink" Target="https://centrodecapacitaciondelsur.com/soporte-basico-de-vida-" TargetMode="External"/><Relationship Id="rId6" Type="http://schemas.openxmlformats.org/officeDocument/2006/relationships/hyperlink" Target="https://centrodecapacitaciondelsur.com/soporte-basico-de-vida-" TargetMode="External"/><Relationship Id="rId238" Type="http://schemas.openxmlformats.org/officeDocument/2006/relationships/hyperlink" Target="https://centrodecapacitaciondelsur.com/soporte-basico-de-vida-" TargetMode="External"/><Relationship Id="rId291" Type="http://schemas.openxmlformats.org/officeDocument/2006/relationships/hyperlink" Target="https://centrodecapacitaciondelsur.com/soporte-basico-de-vida-" TargetMode="External"/><Relationship Id="rId305" Type="http://schemas.openxmlformats.org/officeDocument/2006/relationships/hyperlink" Target="https://centrodecapacitaciondelsur.com/soporte-basico-de-vida-" TargetMode="External"/><Relationship Id="rId44" Type="http://schemas.openxmlformats.org/officeDocument/2006/relationships/hyperlink" Target="https://centrodecapacitaciondelsur.com/soporte-basico-de-vida-" TargetMode="External"/><Relationship Id="rId86" Type="http://schemas.openxmlformats.org/officeDocument/2006/relationships/hyperlink" Target="https://centrodecapacitaciondelsur.com/soporte-basico-de-vida-" TargetMode="External"/><Relationship Id="rId151" Type="http://schemas.openxmlformats.org/officeDocument/2006/relationships/hyperlink" Target="https://centrodecapacitaciondelsur.com/soporte-basico-de-vida-" TargetMode="External"/><Relationship Id="rId193" Type="http://schemas.openxmlformats.org/officeDocument/2006/relationships/hyperlink" Target="https://centrodecapacitaciondelsur.com/soporte-basico-de-vida-" TargetMode="External"/><Relationship Id="rId207" Type="http://schemas.openxmlformats.org/officeDocument/2006/relationships/hyperlink" Target="https://centrodecapacitaciondelsur.com/soporte-basico-de-vida-" TargetMode="External"/><Relationship Id="rId249" Type="http://schemas.openxmlformats.org/officeDocument/2006/relationships/hyperlink" Target="https://centrodecapacitaciondelsur.com/soporte-basico-de-vida-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W318"/>
  <sheetViews>
    <sheetView tabSelected="1" zoomScale="55" zoomScaleNormal="55" workbookViewId="0">
      <pane xSplit="1" ySplit="1" topLeftCell="B251" activePane="bottomRight" state="frozen"/>
      <selection pane="topRight"/>
      <selection pane="bottomLeft"/>
      <selection pane="bottomRight" activeCell="N285" sqref="N285:N298"/>
    </sheetView>
  </sheetViews>
  <sheetFormatPr baseColWidth="10" defaultRowHeight="15" x14ac:dyDescent="0.2"/>
  <cols>
    <col min="1" max="1" width="6.42578125" style="99" bestFit="1" customWidth="1"/>
    <col min="2" max="2" width="38.7109375" style="96" customWidth="1"/>
    <col min="3" max="3" width="29" style="96" bestFit="1" customWidth="1"/>
    <col min="4" max="4" width="31.7109375" style="96" bestFit="1" customWidth="1"/>
    <col min="5" max="5" width="28.140625" style="96" bestFit="1" customWidth="1"/>
    <col min="6" max="6" width="30.85546875" style="96" bestFit="1" customWidth="1"/>
    <col min="7" max="7" width="7.5703125" style="114" customWidth="1"/>
    <col min="8" max="8" width="15.5703125" style="114" bestFit="1" customWidth="1"/>
    <col min="9" max="9" width="26" style="114" bestFit="1" customWidth="1"/>
    <col min="10" max="10" width="33.42578125" style="50" customWidth="1"/>
    <col min="11" max="11" width="26" style="114" bestFit="1" customWidth="1"/>
    <col min="12" max="12" width="20.7109375" style="114" bestFit="1" customWidth="1"/>
    <col min="13" max="13" width="23.7109375" style="114" bestFit="1" customWidth="1"/>
    <col min="14" max="14" width="54.7109375" style="115" bestFit="1" customWidth="1"/>
    <col min="15" max="15" width="37" style="96" bestFit="1" customWidth="1"/>
    <col min="16" max="16" width="14.42578125" style="115" bestFit="1" customWidth="1"/>
    <col min="17" max="17" width="59.140625" style="96" bestFit="1" customWidth="1"/>
    <col min="18" max="18" width="17.42578125" style="96" bestFit="1" customWidth="1"/>
    <col min="19" max="19" width="42.42578125" style="96" bestFit="1" customWidth="1"/>
    <col min="20" max="20" width="110.28515625" style="116" bestFit="1" customWidth="1"/>
    <col min="21" max="21" width="52" style="116" bestFit="1" customWidth="1"/>
    <col min="22" max="22" width="48" style="116" bestFit="1" customWidth="1"/>
    <col min="23" max="23" width="107.5703125" style="184" bestFit="1" customWidth="1"/>
    <col min="24" max="16384" width="11.42578125" style="130"/>
  </cols>
  <sheetData>
    <row r="1" spans="1:23" s="129" customFormat="1" ht="15.75" x14ac:dyDescent="0.25">
      <c r="A1" s="94" t="s">
        <v>71</v>
      </c>
      <c r="B1" s="51" t="s">
        <v>0</v>
      </c>
      <c r="C1" s="26" t="s">
        <v>1</v>
      </c>
      <c r="D1" s="26" t="s">
        <v>2</v>
      </c>
      <c r="E1" s="26" t="s">
        <v>3</v>
      </c>
      <c r="F1" s="26" t="s">
        <v>4</v>
      </c>
      <c r="G1" s="82" t="s">
        <v>5</v>
      </c>
      <c r="H1" s="27" t="s">
        <v>6</v>
      </c>
      <c r="I1" s="28" t="s">
        <v>7</v>
      </c>
      <c r="J1" s="29" t="s">
        <v>8</v>
      </c>
      <c r="K1" s="30" t="s">
        <v>9</v>
      </c>
      <c r="L1" s="30" t="s">
        <v>72</v>
      </c>
      <c r="M1" s="30" t="s">
        <v>10</v>
      </c>
      <c r="N1" s="31" t="s">
        <v>11</v>
      </c>
      <c r="O1" s="32" t="s">
        <v>70</v>
      </c>
      <c r="P1" s="31" t="s">
        <v>12</v>
      </c>
      <c r="Q1" s="26" t="s">
        <v>13</v>
      </c>
      <c r="R1" s="26" t="s">
        <v>14</v>
      </c>
      <c r="S1" s="26" t="s">
        <v>73</v>
      </c>
      <c r="T1" s="33" t="s">
        <v>15</v>
      </c>
      <c r="U1" s="33" t="s">
        <v>16</v>
      </c>
      <c r="V1" s="127" t="s">
        <v>17</v>
      </c>
      <c r="W1" s="33" t="s">
        <v>18</v>
      </c>
    </row>
    <row r="2" spans="1:23" x14ac:dyDescent="0.2">
      <c r="A2" s="42">
        <v>1</v>
      </c>
      <c r="B2" s="123">
        <v>87550138</v>
      </c>
      <c r="C2" s="44" t="s">
        <v>85</v>
      </c>
      <c r="D2" s="44" t="s">
        <v>86</v>
      </c>
      <c r="E2" s="44" t="s">
        <v>87</v>
      </c>
      <c r="F2" s="44" t="s">
        <v>88</v>
      </c>
      <c r="G2" s="45">
        <v>2</v>
      </c>
      <c r="H2" s="45" t="s">
        <v>89</v>
      </c>
      <c r="I2" s="46" t="s">
        <v>350</v>
      </c>
      <c r="J2" s="47">
        <v>25000</v>
      </c>
      <c r="K2" s="46" t="s">
        <v>210</v>
      </c>
      <c r="L2" s="45" t="s">
        <v>90</v>
      </c>
      <c r="M2" s="117" t="s">
        <v>875</v>
      </c>
      <c r="N2" s="48" t="s">
        <v>25</v>
      </c>
      <c r="O2" s="49">
        <v>22939</v>
      </c>
      <c r="P2" s="48" t="s">
        <v>91</v>
      </c>
      <c r="Q2" s="44"/>
      <c r="R2" s="44">
        <v>3166315709</v>
      </c>
      <c r="S2" s="206" t="s">
        <v>92</v>
      </c>
      <c r="T2" s="124" t="str">
        <f>IF(N2=CURSOS!$D$3,"DIPLOMADO EN ATENCION PRE-HOSPITALARIA",IF(N2=CURSOS!$D$4,"ACOMPAÑAMIENTO Y MANEJO DEL DUELO",IF(N2=CURSOS!$D$5,"ATENCION A VICTIMAS DE ATAQUE CON AGENTES QUIMICOS ",IF(N2=CURSOS!$D$6,"PRIMEROS AUXILIOS ",IF(N2=CURSOS!$D$7,"DIPLOMADO DE UNIDAD DE CUIDADOS INTENSIVOS (UCI)",IF(N2=CURSOS!$D$8,"MODELO DE ATENCION PARA EVENTOS EMERGENTES EN SALUD MENTAL (CODIGO VERDE)",IF(N2=CURSOS!$D$9,"HUMANIZACION EN EL SERVICIO DE LA SALUD Y BUENAS PRACTICAS EN PACIENTE ",IF(N2=CURSOS!$D$10,"CLINICA DE HERIDAS ",IF(N2=CURSOS!$D$11,"TOMA DE CITOLOGIA CERVICO VAGINAL ",IF(N2=CURSOS!$D$12,"SOPORTE CARDIOVASCULAR AVANZADO (ACLS) ",IF(N2=CURSOS!$D$13,"CAMILLERO ",IF(N2=CURSOS!$D$14,"TOMA DE MUESTRAS Y LABORATORIO ",IF(N2=CURSOS!$D$15,"SOPORTE VITAL BASICO (BLS)",IF(N2=CURSOS!$D$16,"ATENCION A VICTIMAS DE VIOLENCIA SEXUAL ",IF(N2=CURSOS!$D$17,"PROGRAMADO AMPLIADO DE INMUNIZACION (PAI - COVID 19)",IF(N2=CURSOS!$D$18,"ATENCION INTEGRAL EN ENFERMEDADES PREVALENTES EN PRIMERA INFANCIA (AIEPI)",IF(N2=CURSOS!$D$19,"ADMINISTRACION DE MEDICAMENTOS, INYECTOLOGIA  Y CANALIZACION ",IF(N2=CURSOS!$D$20,"OPERADOR DE VEHICULOS DE EMERGENCIA (OVE)",IF(N2=CURSOS!$D$21,"INSTITUCIONES AMIGAS DE LA MUJER Y LA INFANCIA (IAMI)",IF(N2=CURSOS!$D$22,"CUIDADO DEL DONANTE DE ORGANOS",IF(N2=CURSOS!$D$23,"ATENCION A VICTIMAS POR VIOLENCIA DE GENERO",IF(N2=CURSOS!$D$24,"IGUALDAD DE GENERO EN LA SALUD",IF(N2=CURSOS!$D$25,"BRIGADA DE EMERGENCIA",IF(N2=CURSOS!$D$26,"MANEJO DEL DOLOR Y CUIDADOS PALIATIVOS",IF(N2=CURSOS!$D$27,"TOMA DE MUESTRAS Y LABORATORIO POCT",IF(N2=CURSOS!$D$28,"IMPLANTE SUBDERMICO DE DISPOSITIVO INTRAUTERINO",IF(N2=CURSOS!$D$29,"SALUD MENTAL",IF(N2=CURSOS!$D$30,"PRIMEROS AUXILIOS PSICOLOGICOS",IF(N2=CURSOS!$D$31,"ATENCION A VICTIMAS POR CONFLICTO ARMADO",IF(N2=CURSOS!$D$32,"MANIPULACION DE ALIMENTOS Y BPM",IF(N2=CURSOS!$D$33,"ATENCION A PERSONAS CON DISCAPACIDAD",IF(N2=CURSOS!$D$34,"CUIDADO INTEGRAL DEL PACIENTE ADULTO",IF(N2=CURSOS!$D$35,"MANEJO DEFENSIVO",IF(N2=CURSOS!$D$36,"SOPORTE CARDIOVASCULAR AVANZADO NEONATAL",IF(N2=CURSOS!$D$37,"SEGURIDAD DEL PACIENTE")))))))))))))))))))))))))))))))))))</f>
        <v xml:space="preserve">ATENCION A VICTIMAS DE ATAQUE CON AGENTES QUIMICOS </v>
      </c>
      <c r="U2" s="124" t="str">
        <f t="shared" ref="U2" si="0">CONCATENATE(E2," ",F2," ",C2," ",D2)</f>
        <v>Zenon Efrain Burbano Garcia</v>
      </c>
      <c r="V2" s="128" t="str">
        <f t="shared" ref="V2" si="1">+PROPER(U2)</f>
        <v>Zenon Efrain Burbano Garcia</v>
      </c>
      <c r="W2" s="138" t="str">
        <f t="shared" ref="W2" si="2">CONCATENATE(U2,"-",B2,"-",N2)</f>
        <v>Zenon Efrain Burbano Garcia-87550138-QUIMICOS</v>
      </c>
    </row>
    <row r="3" spans="1:23" x14ac:dyDescent="0.2">
      <c r="A3" s="42">
        <v>2</v>
      </c>
      <c r="B3" s="43">
        <v>87550138</v>
      </c>
      <c r="C3" s="17" t="s">
        <v>85</v>
      </c>
      <c r="D3" s="17" t="s">
        <v>86</v>
      </c>
      <c r="E3" s="17" t="s">
        <v>87</v>
      </c>
      <c r="F3" s="17" t="s">
        <v>88</v>
      </c>
      <c r="G3" s="14">
        <v>2</v>
      </c>
      <c r="H3" s="14" t="s">
        <v>89</v>
      </c>
      <c r="I3" s="16" t="s">
        <v>350</v>
      </c>
      <c r="J3" s="19">
        <v>25000</v>
      </c>
      <c r="K3" s="16" t="s">
        <v>210</v>
      </c>
      <c r="L3" s="14" t="s">
        <v>90</v>
      </c>
      <c r="M3" s="117" t="s">
        <v>875</v>
      </c>
      <c r="N3" s="15" t="s">
        <v>23</v>
      </c>
      <c r="O3" s="18">
        <v>22939</v>
      </c>
      <c r="P3" s="15" t="s">
        <v>91</v>
      </c>
      <c r="Q3" s="17"/>
      <c r="R3" s="17">
        <v>3166315709</v>
      </c>
      <c r="S3" s="39" t="s">
        <v>92</v>
      </c>
      <c r="T3" s="124" t="str">
        <f>IF(N3=CURSOS!$D$3,"DIPLOMADO EN ATENCION PRE-HOSPITALARIA",IF(N3=CURSOS!$D$4,"ACOMPAÑAMIENTO Y MANEJO DEL DUELO",IF(N3=CURSOS!$D$5,"ATENCION A VICTIMAS DE ATAQUE CON AGENTES QUIMICOS ",IF(N3=CURSOS!$D$6,"PRIMEROS AUXILIOS ",IF(N3=CURSOS!$D$7,"DIPLOMADO DE UNIDAD DE CUIDADOS INTENSIVOS (UCI)",IF(N3=CURSOS!$D$8,"MODELO DE ATENCION PARA EVENTOS EMERGENTES EN SALUD MENTAL (CODIGO VERDE)",IF(N3=CURSOS!$D$9,"HUMANIZACION EN EL SERVICIO DE LA SALUD Y BUENAS PRACTICAS EN PACIENTE ",IF(N3=CURSOS!$D$10,"CLINICA DE HERIDAS ",IF(N3=CURSOS!$D$11,"TOMA DE CITOLOGIA CERVICO VAGINAL ",IF(N3=CURSOS!$D$12,"SOPORTE CARDIOVASCULAR AVANZADO (ACLS) ",IF(N3=CURSOS!$D$13,"CAMILLERO ",IF(N3=CURSOS!$D$14,"TOMA DE MUESTRAS Y LABORATORIO ",IF(N3=CURSOS!$D$15,"SOPORTE VITAL BASICO (BLS)",IF(N3=CURSOS!$D$16,"ATENCION A VICTIMAS DE VIOLENCIA SEXUAL ",IF(N3=CURSOS!$D$17,"PROGRAMADO AMPLIADO DE INMUNIZACION (PAI - COVID 19)",IF(N3=CURSOS!$D$18,"ATENCION INTEGRAL EN ENFERMEDADES PREVALENTES EN PRIMERA INFANCIA (AIEPI)",IF(N3=CURSOS!$D$19,"ADMINISTRACION DE MEDICAMENTOS, INYECTOLOGIA  Y CANALIZACION ",IF(N3=CURSOS!$D$20,"OPERADOR DE VEHICULOS DE EMERGENCIA (OVE)",IF(N3=CURSOS!$D$21,"INSTITUCIONES AMIGAS DE LA MUJER Y LA INFANCIA (IAMI)",IF(N3=CURSOS!$D$22,"CUIDADO DEL DONANTE DE ORGANOS",IF(N3=CURSOS!$D$23,"ATENCION A VICTIMAS POR VIOLENCIA DE GENERO",IF(N3=CURSOS!$D$24,"IGUALDAD DE GENERO EN LA SALUD",IF(N3=CURSOS!$D$25,"BRIGADA DE EMERGENCIA",IF(N3=CURSOS!$D$26,"MANEJO DEL DOLOR Y CUIDADOS PALIATIVOS",IF(N3=CURSOS!$D$27,"TOMA DE MUESTRAS Y LABORATORIO POCT",IF(N3=CURSOS!$D$28,"IMPLANTE SUBDERMICO DE DISPOSITIVO INTRAUTERINO",IF(N3=CURSOS!$D$29,"SALUD MENTAL",IF(N3=CURSOS!$D$30,"PRIMEROS AUXILIOS PSICOLOGICOS",IF(N3=CURSOS!$D$31,"ATENCION A VICTIMAS POR CONFLICTO ARMADO",IF(N3=CURSOS!$D$32,"MANIPULACION DE ALIMENTOS Y BPM",IF(N3=CURSOS!$D$33,"ATENCION A PERSONAS CON DISCAPACIDAD",IF(N3=CURSOS!$D$34,"CUIDADO INTEGRAL DEL PACIENTE ADULTO",IF(N3=CURSOS!$D$35,"MANEJO DEFENSIVO",IF(N3=CURSOS!$D$36,"SOPORTE CARDIOVASCULAR AVANZADO NEONATAL",IF(N3=CURSOS!$D$37,"SEGURIDAD DEL PACIENTE")))))))))))))))))))))))))))))))))))</f>
        <v>ACOMPAÑAMIENTO Y MANEJO DEL DUELO</v>
      </c>
      <c r="U3" s="124" t="str">
        <f t="shared" ref="U3:U66" si="3">CONCATENATE(E3," ",F3," ",C3," ",D3)</f>
        <v>Zenon Efrain Burbano Garcia</v>
      </c>
      <c r="V3" s="128" t="str">
        <f t="shared" ref="V3:V66" si="4">+PROPER(U3)</f>
        <v>Zenon Efrain Burbano Garcia</v>
      </c>
      <c r="W3" s="138" t="str">
        <f t="shared" ref="W3:W66" si="5">CONCATENATE(U3,"-",B3,"-",N3)</f>
        <v>Zenon Efrain Burbano Garcia-87550138-DUELO</v>
      </c>
    </row>
    <row r="4" spans="1:23" x14ac:dyDescent="0.2">
      <c r="A4" s="42">
        <v>3</v>
      </c>
      <c r="B4" s="43">
        <v>87550138</v>
      </c>
      <c r="C4" s="17" t="s">
        <v>85</v>
      </c>
      <c r="D4" s="17" t="s">
        <v>86</v>
      </c>
      <c r="E4" s="17" t="s">
        <v>87</v>
      </c>
      <c r="F4" s="17" t="s">
        <v>88</v>
      </c>
      <c r="G4" s="14">
        <v>2</v>
      </c>
      <c r="H4" s="14" t="s">
        <v>89</v>
      </c>
      <c r="I4" s="16" t="s">
        <v>350</v>
      </c>
      <c r="J4" s="19">
        <v>25000</v>
      </c>
      <c r="K4" s="16" t="s">
        <v>210</v>
      </c>
      <c r="L4" s="14" t="s">
        <v>90</v>
      </c>
      <c r="M4" s="117" t="s">
        <v>875</v>
      </c>
      <c r="N4" s="15" t="s">
        <v>43</v>
      </c>
      <c r="O4" s="18">
        <v>22939</v>
      </c>
      <c r="P4" s="15" t="s">
        <v>91</v>
      </c>
      <c r="Q4" s="17"/>
      <c r="R4" s="17">
        <v>3166315709</v>
      </c>
      <c r="S4" s="39" t="s">
        <v>92</v>
      </c>
      <c r="T4" s="124" t="str">
        <f>IF(N4=CURSOS!$D$3,"DIPLOMADO EN ATENCION PRE-HOSPITALARIA",IF(N4=CURSOS!$D$4,"ACOMPAÑAMIENTO Y MANEJO DEL DUELO",IF(N4=CURSOS!$D$5,"ATENCION A VICTIMAS DE ATAQUE CON AGENTES QUIMICOS ",IF(N4=CURSOS!$D$6,"PRIMEROS AUXILIOS ",IF(N4=CURSOS!$D$7,"DIPLOMADO DE UNIDAD DE CUIDADOS INTENSIVOS (UCI)",IF(N4=CURSOS!$D$8,"MODELO DE ATENCION PARA EVENTOS EMERGENTES EN SALUD MENTAL (CODIGO VERDE)",IF(N4=CURSOS!$D$9,"HUMANIZACION EN EL SERVICIO DE LA SALUD Y BUENAS PRACTICAS EN PACIENTE ",IF(N4=CURSOS!$D$10,"CLINICA DE HERIDAS ",IF(N4=CURSOS!$D$11,"TOMA DE CITOLOGIA CERVICO VAGINAL ",IF(N4=CURSOS!$D$12,"SOPORTE CARDIOVASCULAR AVANZADO (ACLS) ",IF(N4=CURSOS!$D$13,"CAMILLERO ",IF(N4=CURSOS!$D$14,"TOMA DE MUESTRAS Y LABORATORIO ",IF(N4=CURSOS!$D$15,"SOPORTE VITAL BASICO (BLS)",IF(N4=CURSOS!$D$16,"ATENCION A VICTIMAS DE VIOLENCIA SEXUAL ",IF(N4=CURSOS!$D$17,"PROGRAMADO AMPLIADO DE INMUNIZACION (PAI - COVID 19)",IF(N4=CURSOS!$D$18,"ATENCION INTEGRAL EN ENFERMEDADES PREVALENTES EN PRIMERA INFANCIA (AIEPI)",IF(N4=CURSOS!$D$19,"ADMINISTRACION DE MEDICAMENTOS, INYECTOLOGIA  Y CANALIZACION ",IF(N4=CURSOS!$D$20,"OPERADOR DE VEHICULOS DE EMERGENCIA (OVE)",IF(N4=CURSOS!$D$21,"INSTITUCIONES AMIGAS DE LA MUJER Y LA INFANCIA (IAMI)",IF(N4=CURSOS!$D$22,"CUIDADO DEL DONANTE DE ORGANOS",IF(N4=CURSOS!$D$23,"ATENCION A VICTIMAS POR VIOLENCIA DE GENERO",IF(N4=CURSOS!$D$24,"IGUALDAD DE GENERO EN LA SALUD",IF(N4=CURSOS!$D$25,"BRIGADA DE EMERGENCIA",IF(N4=CURSOS!$D$26,"MANEJO DEL DOLOR Y CUIDADOS PALIATIVOS",IF(N4=CURSOS!$D$27,"TOMA DE MUESTRAS Y LABORATORIO POCT",IF(N4=CURSOS!$D$28,"IMPLANTE SUBDERMICO DE DISPOSITIVO INTRAUTERINO",IF(N4=CURSOS!$D$29,"SALUD MENTAL",IF(N4=CURSOS!$D$30,"PRIMEROS AUXILIOS PSICOLOGICOS",IF(N4=CURSOS!$D$31,"ATENCION A VICTIMAS POR CONFLICTO ARMADO",IF(N4=CURSOS!$D$32,"MANIPULACION DE ALIMENTOS Y BPM",IF(N4=CURSOS!$D$33,"ATENCION A PERSONAS CON DISCAPACIDAD",IF(N4=CURSOS!$D$34,"CUIDADO INTEGRAL DEL PACIENTE ADULTO",IF(N4=CURSOS!$D$35,"MANEJO DEFENSIVO",IF(N4=CURSOS!$D$36,"SOPORTE CARDIOVASCULAR AVANZADO NEONATAL",IF(N4=CURSOS!$D$37,"SEGURIDAD DEL PACIENTE")))))))))))))))))))))))))))))))))))</f>
        <v xml:space="preserve">ATENCION A VICTIMAS DE VIOLENCIA SEXUAL </v>
      </c>
      <c r="U4" s="124" t="str">
        <f t="shared" si="3"/>
        <v>Zenon Efrain Burbano Garcia</v>
      </c>
      <c r="V4" s="128" t="str">
        <f t="shared" si="4"/>
        <v>Zenon Efrain Burbano Garcia</v>
      </c>
      <c r="W4" s="138" t="str">
        <f t="shared" si="5"/>
        <v>Zenon Efrain Burbano Garcia-87550138-VIOLENCIA SEXUAL</v>
      </c>
    </row>
    <row r="5" spans="1:23" x14ac:dyDescent="0.2">
      <c r="A5" s="42">
        <v>4</v>
      </c>
      <c r="B5" s="166">
        <v>59828869</v>
      </c>
      <c r="C5" s="167" t="s">
        <v>93</v>
      </c>
      <c r="D5" s="167" t="s">
        <v>94</v>
      </c>
      <c r="E5" s="167" t="s">
        <v>95</v>
      </c>
      <c r="F5" s="167" t="s">
        <v>96</v>
      </c>
      <c r="G5" s="168">
        <v>2</v>
      </c>
      <c r="H5" s="168" t="s">
        <v>89</v>
      </c>
      <c r="I5" s="169" t="s">
        <v>350</v>
      </c>
      <c r="J5" s="170"/>
      <c r="K5" s="169" t="s">
        <v>350</v>
      </c>
      <c r="L5" s="168" t="s">
        <v>90</v>
      </c>
      <c r="M5" s="173" t="s">
        <v>875</v>
      </c>
      <c r="N5" s="15" t="s">
        <v>19</v>
      </c>
      <c r="O5" s="18"/>
      <c r="P5" s="15" t="s">
        <v>101</v>
      </c>
      <c r="Q5" s="17"/>
      <c r="R5" s="17"/>
      <c r="S5" s="38"/>
      <c r="T5" s="124" t="str">
        <f>IF(N5=CURSOS!$D$3,"DIPLOMADO EN ATENCION PRE-HOSPITALARIA",IF(N5=CURSOS!$D$4,"ACOMPAÑAMIENTO Y MANEJO DEL DUELO",IF(N5=CURSOS!$D$5,"ATENCION A VICTIMAS DE ATAQUE CON AGENTES QUIMICOS ",IF(N5=CURSOS!$D$6,"PRIMEROS AUXILIOS ",IF(N5=CURSOS!$D$7,"DIPLOMADO DE UNIDAD DE CUIDADOS INTENSIVOS (UCI)",IF(N5=CURSOS!$D$8,"MODELO DE ATENCION PARA EVENTOS EMERGENTES EN SALUD MENTAL (CODIGO VERDE)",IF(N5=CURSOS!$D$9,"HUMANIZACION EN EL SERVICIO DE LA SALUD Y BUENAS PRACTICAS EN PACIENTE ",IF(N5=CURSOS!$D$10,"CLINICA DE HERIDAS ",IF(N5=CURSOS!$D$11,"TOMA DE CITOLOGIA CERVICO VAGINAL ",IF(N5=CURSOS!$D$12,"SOPORTE CARDIOVASCULAR AVANZADO (ACLS) ",IF(N5=CURSOS!$D$13,"CAMILLERO ",IF(N5=CURSOS!$D$14,"TOMA DE MUESTRAS Y LABORATORIO ",IF(N5=CURSOS!$D$15,"SOPORTE VITAL BASICO (BLS)",IF(N5=CURSOS!$D$16,"ATENCION A VICTIMAS DE VIOLENCIA SEXUAL ",IF(N5=CURSOS!$D$17,"PROGRAMADO AMPLIADO DE INMUNIZACION (PAI - COVID 19)",IF(N5=CURSOS!$D$18,"ATENCION INTEGRAL EN ENFERMEDADES PREVALENTES EN PRIMERA INFANCIA (AIEPI)",IF(N5=CURSOS!$D$19,"ADMINISTRACION DE MEDICAMENTOS, INYECTOLOGIA  Y CANALIZACION ",IF(N5=CURSOS!$D$20,"OPERADOR DE VEHICULOS DE EMERGENCIA (OVE)",IF(N5=CURSOS!$D$21,"INSTITUCIONES AMIGAS DE LA MUJER Y LA INFANCIA (IAMI)",IF(N5=CURSOS!$D$22,"CUIDADO DEL DONANTE DE ORGANOS",IF(N5=CURSOS!$D$23,"ATENCION A VICTIMAS POR VIOLENCIA DE GENERO",IF(N5=CURSOS!$D$24,"IGUALDAD DE GENERO EN LA SALUD",IF(N5=CURSOS!$D$25,"BRIGADA DE EMERGENCIA",IF(N5=CURSOS!$D$26,"MANEJO DEL DOLOR Y CUIDADOS PALIATIVOS",IF(N5=CURSOS!$D$27,"TOMA DE MUESTRAS Y LABORATORIO POCT",IF(N5=CURSOS!$D$28,"IMPLANTE SUBDERMICO DE DISPOSITIVO INTRAUTERINO",IF(N5=CURSOS!$D$29,"SALUD MENTAL",IF(N5=CURSOS!$D$30,"PRIMEROS AUXILIOS PSICOLOGICOS",IF(N5=CURSOS!$D$31,"ATENCION A VICTIMAS POR CONFLICTO ARMADO",IF(N5=CURSOS!$D$32,"MANIPULACION DE ALIMENTOS Y BPM",IF(N5=CURSOS!$D$33,"ATENCION A PERSONAS CON DISCAPACIDAD",IF(N5=CURSOS!$D$34,"CUIDADO INTEGRAL DEL PACIENTE ADULTO",IF(N5=CURSOS!$D$35,"MANEJO DEFENSIVO",IF(N5=CURSOS!$D$36,"SOPORTE CARDIOVASCULAR AVANZADO NEONATAL",IF(N5=CURSOS!$D$37,"SEGURIDAD DEL PACIENTE")))))))))))))))))))))))))))))))))))</f>
        <v>SOPORTE VITAL BASICO (BLS)</v>
      </c>
      <c r="U5" s="124" t="str">
        <f t="shared" si="3"/>
        <v>Maria Del Carmen Gustin Portilla</v>
      </c>
      <c r="V5" s="128" t="str">
        <f t="shared" si="4"/>
        <v>Maria Del Carmen Gustin Portilla</v>
      </c>
      <c r="W5" s="138" t="str">
        <f t="shared" si="5"/>
        <v>Maria Del Carmen Gustin Portilla-59828869-BLS</v>
      </c>
    </row>
    <row r="6" spans="1:23" x14ac:dyDescent="0.2">
      <c r="A6" s="42">
        <v>5</v>
      </c>
      <c r="B6" s="166">
        <v>59828869</v>
      </c>
      <c r="C6" s="167" t="s">
        <v>93</v>
      </c>
      <c r="D6" s="167" t="s">
        <v>94</v>
      </c>
      <c r="E6" s="167" t="s">
        <v>95</v>
      </c>
      <c r="F6" s="167" t="s">
        <v>96</v>
      </c>
      <c r="G6" s="168">
        <v>2</v>
      </c>
      <c r="H6" s="168" t="s">
        <v>89</v>
      </c>
      <c r="I6" s="169" t="s">
        <v>350</v>
      </c>
      <c r="J6" s="170"/>
      <c r="K6" s="169" t="s">
        <v>350</v>
      </c>
      <c r="L6" s="168" t="s">
        <v>90</v>
      </c>
      <c r="M6" s="173" t="s">
        <v>875</v>
      </c>
      <c r="N6" s="15" t="s">
        <v>23</v>
      </c>
      <c r="O6" s="18"/>
      <c r="P6" s="15" t="s">
        <v>101</v>
      </c>
      <c r="Q6" s="17"/>
      <c r="R6" s="17"/>
      <c r="S6" s="38"/>
      <c r="T6" s="124" t="str">
        <f>IF(N6=CURSOS!$D$3,"DIPLOMADO EN ATENCION PRE-HOSPITALARIA",IF(N6=CURSOS!$D$4,"ACOMPAÑAMIENTO Y MANEJO DEL DUELO",IF(N6=CURSOS!$D$5,"ATENCION A VICTIMAS DE ATAQUE CON AGENTES QUIMICOS ",IF(N6=CURSOS!$D$6,"PRIMEROS AUXILIOS ",IF(N6=CURSOS!$D$7,"DIPLOMADO DE UNIDAD DE CUIDADOS INTENSIVOS (UCI)",IF(N6=CURSOS!$D$8,"MODELO DE ATENCION PARA EVENTOS EMERGENTES EN SALUD MENTAL (CODIGO VERDE)",IF(N6=CURSOS!$D$9,"HUMANIZACION EN EL SERVICIO DE LA SALUD Y BUENAS PRACTICAS EN PACIENTE ",IF(N6=CURSOS!$D$10,"CLINICA DE HERIDAS ",IF(N6=CURSOS!$D$11,"TOMA DE CITOLOGIA CERVICO VAGINAL ",IF(N6=CURSOS!$D$12,"SOPORTE CARDIOVASCULAR AVANZADO (ACLS) ",IF(N6=CURSOS!$D$13,"CAMILLERO ",IF(N6=CURSOS!$D$14,"TOMA DE MUESTRAS Y LABORATORIO ",IF(N6=CURSOS!$D$15,"SOPORTE VITAL BASICO (BLS)",IF(N6=CURSOS!$D$16,"ATENCION A VICTIMAS DE VIOLENCIA SEXUAL ",IF(N6=CURSOS!$D$17,"PROGRAMADO AMPLIADO DE INMUNIZACION (PAI - COVID 19)",IF(N6=CURSOS!$D$18,"ATENCION INTEGRAL EN ENFERMEDADES PREVALENTES EN PRIMERA INFANCIA (AIEPI)",IF(N6=CURSOS!$D$19,"ADMINISTRACION DE MEDICAMENTOS, INYECTOLOGIA  Y CANALIZACION ",IF(N6=CURSOS!$D$20,"OPERADOR DE VEHICULOS DE EMERGENCIA (OVE)",IF(N6=CURSOS!$D$21,"INSTITUCIONES AMIGAS DE LA MUJER Y LA INFANCIA (IAMI)",IF(N6=CURSOS!$D$22,"CUIDADO DEL DONANTE DE ORGANOS",IF(N6=CURSOS!$D$23,"ATENCION A VICTIMAS POR VIOLENCIA DE GENERO",IF(N6=CURSOS!$D$24,"IGUALDAD DE GENERO EN LA SALUD",IF(N6=CURSOS!$D$25,"BRIGADA DE EMERGENCIA",IF(N6=CURSOS!$D$26,"MANEJO DEL DOLOR Y CUIDADOS PALIATIVOS",IF(N6=CURSOS!$D$27,"TOMA DE MUESTRAS Y LABORATORIO POCT",IF(N6=CURSOS!$D$28,"IMPLANTE SUBDERMICO DE DISPOSITIVO INTRAUTERINO",IF(N6=CURSOS!$D$29,"SALUD MENTAL",IF(N6=CURSOS!$D$30,"PRIMEROS AUXILIOS PSICOLOGICOS",IF(N6=CURSOS!$D$31,"ATENCION A VICTIMAS POR CONFLICTO ARMADO",IF(N6=CURSOS!$D$32,"MANIPULACION DE ALIMENTOS Y BPM",IF(N6=CURSOS!$D$33,"ATENCION A PERSONAS CON DISCAPACIDAD",IF(N6=CURSOS!$D$34,"CUIDADO INTEGRAL DEL PACIENTE ADULTO",IF(N6=CURSOS!$D$35,"MANEJO DEFENSIVO",IF(N6=CURSOS!$D$36,"SOPORTE CARDIOVASCULAR AVANZADO NEONATAL",IF(N6=CURSOS!$D$37,"SEGURIDAD DEL PACIENTE")))))))))))))))))))))))))))))))))))</f>
        <v>ACOMPAÑAMIENTO Y MANEJO DEL DUELO</v>
      </c>
      <c r="U6" s="124" t="str">
        <f t="shared" si="3"/>
        <v>Maria Del Carmen Gustin Portilla</v>
      </c>
      <c r="V6" s="128" t="str">
        <f t="shared" si="4"/>
        <v>Maria Del Carmen Gustin Portilla</v>
      </c>
      <c r="W6" s="138" t="str">
        <f t="shared" si="5"/>
        <v>Maria Del Carmen Gustin Portilla-59828869-DUELO</v>
      </c>
    </row>
    <row r="7" spans="1:23" x14ac:dyDescent="0.2">
      <c r="A7" s="42">
        <v>6</v>
      </c>
      <c r="B7" s="166">
        <v>59828869</v>
      </c>
      <c r="C7" s="167" t="s">
        <v>93</v>
      </c>
      <c r="D7" s="167" t="s">
        <v>94</v>
      </c>
      <c r="E7" s="167" t="s">
        <v>95</v>
      </c>
      <c r="F7" s="167" t="s">
        <v>96</v>
      </c>
      <c r="G7" s="168">
        <v>2</v>
      </c>
      <c r="H7" s="168" t="s">
        <v>89</v>
      </c>
      <c r="I7" s="169" t="s">
        <v>350</v>
      </c>
      <c r="J7" s="170"/>
      <c r="K7" s="169" t="s">
        <v>350</v>
      </c>
      <c r="L7" s="168" t="s">
        <v>90</v>
      </c>
      <c r="M7" s="173" t="s">
        <v>875</v>
      </c>
      <c r="N7" s="15" t="s">
        <v>25</v>
      </c>
      <c r="O7" s="18"/>
      <c r="P7" s="15" t="s">
        <v>101</v>
      </c>
      <c r="Q7" s="17"/>
      <c r="R7" s="17"/>
      <c r="S7" s="39"/>
      <c r="T7" s="124" t="str">
        <f>IF(N7=CURSOS!$D$3,"DIPLOMADO EN ATENCION PRE-HOSPITALARIA",IF(N7=CURSOS!$D$4,"ACOMPAÑAMIENTO Y MANEJO DEL DUELO",IF(N7=CURSOS!$D$5,"ATENCION A VICTIMAS DE ATAQUE CON AGENTES QUIMICOS ",IF(N7=CURSOS!$D$6,"PRIMEROS AUXILIOS ",IF(N7=CURSOS!$D$7,"DIPLOMADO DE UNIDAD DE CUIDADOS INTENSIVOS (UCI)",IF(N7=CURSOS!$D$8,"MODELO DE ATENCION PARA EVENTOS EMERGENTES EN SALUD MENTAL (CODIGO VERDE)",IF(N7=CURSOS!$D$9,"HUMANIZACION EN EL SERVICIO DE LA SALUD Y BUENAS PRACTICAS EN PACIENTE ",IF(N7=CURSOS!$D$10,"CLINICA DE HERIDAS ",IF(N7=CURSOS!$D$11,"TOMA DE CITOLOGIA CERVICO VAGINAL ",IF(N7=CURSOS!$D$12,"SOPORTE CARDIOVASCULAR AVANZADO (ACLS) ",IF(N7=CURSOS!$D$13,"CAMILLERO ",IF(N7=CURSOS!$D$14,"TOMA DE MUESTRAS Y LABORATORIO ",IF(N7=CURSOS!$D$15,"SOPORTE VITAL BASICO (BLS)",IF(N7=CURSOS!$D$16,"ATENCION A VICTIMAS DE VIOLENCIA SEXUAL ",IF(N7=CURSOS!$D$17,"PROGRAMADO AMPLIADO DE INMUNIZACION (PAI - COVID 19)",IF(N7=CURSOS!$D$18,"ATENCION INTEGRAL EN ENFERMEDADES PREVALENTES EN PRIMERA INFANCIA (AIEPI)",IF(N7=CURSOS!$D$19,"ADMINISTRACION DE MEDICAMENTOS, INYECTOLOGIA  Y CANALIZACION ",IF(N7=CURSOS!$D$20,"OPERADOR DE VEHICULOS DE EMERGENCIA (OVE)",IF(N7=CURSOS!$D$21,"INSTITUCIONES AMIGAS DE LA MUJER Y LA INFANCIA (IAMI)",IF(N7=CURSOS!$D$22,"CUIDADO DEL DONANTE DE ORGANOS",IF(N7=CURSOS!$D$23,"ATENCION A VICTIMAS POR VIOLENCIA DE GENERO",IF(N7=CURSOS!$D$24,"IGUALDAD DE GENERO EN LA SALUD",IF(N7=CURSOS!$D$25,"BRIGADA DE EMERGENCIA",IF(N7=CURSOS!$D$26,"MANEJO DEL DOLOR Y CUIDADOS PALIATIVOS",IF(N7=CURSOS!$D$27,"TOMA DE MUESTRAS Y LABORATORIO POCT",IF(N7=CURSOS!$D$28,"IMPLANTE SUBDERMICO DE DISPOSITIVO INTRAUTERINO",IF(N7=CURSOS!$D$29,"SALUD MENTAL",IF(N7=CURSOS!$D$30,"PRIMEROS AUXILIOS PSICOLOGICOS",IF(N7=CURSOS!$D$31,"ATENCION A VICTIMAS POR CONFLICTO ARMADO",IF(N7=CURSOS!$D$32,"MANIPULACION DE ALIMENTOS Y BPM",IF(N7=CURSOS!$D$33,"ATENCION A PERSONAS CON DISCAPACIDAD",IF(N7=CURSOS!$D$34,"CUIDADO INTEGRAL DEL PACIENTE ADULTO",IF(N7=CURSOS!$D$35,"MANEJO DEFENSIVO",IF(N7=CURSOS!$D$36,"SOPORTE CARDIOVASCULAR AVANZADO NEONATAL",IF(N7=CURSOS!$D$37,"SEGURIDAD DEL PACIENTE")))))))))))))))))))))))))))))))))))</f>
        <v xml:space="preserve">ATENCION A VICTIMAS DE ATAQUE CON AGENTES QUIMICOS </v>
      </c>
      <c r="U7" s="124" t="str">
        <f t="shared" si="3"/>
        <v>Maria Del Carmen Gustin Portilla</v>
      </c>
      <c r="V7" s="128" t="str">
        <f t="shared" si="4"/>
        <v>Maria Del Carmen Gustin Portilla</v>
      </c>
      <c r="W7" s="138" t="str">
        <f t="shared" si="5"/>
        <v>Maria Del Carmen Gustin Portilla-59828869-QUIMICOS</v>
      </c>
    </row>
    <row r="8" spans="1:23" x14ac:dyDescent="0.2">
      <c r="A8" s="42">
        <v>7</v>
      </c>
      <c r="B8" s="166">
        <v>59828869</v>
      </c>
      <c r="C8" s="167" t="s">
        <v>93</v>
      </c>
      <c r="D8" s="167" t="s">
        <v>94</v>
      </c>
      <c r="E8" s="167" t="s">
        <v>95</v>
      </c>
      <c r="F8" s="167" t="s">
        <v>96</v>
      </c>
      <c r="G8" s="168">
        <v>2</v>
      </c>
      <c r="H8" s="168" t="s">
        <v>89</v>
      </c>
      <c r="I8" s="169" t="s">
        <v>350</v>
      </c>
      <c r="J8" s="170"/>
      <c r="K8" s="169" t="s">
        <v>350</v>
      </c>
      <c r="L8" s="168" t="s">
        <v>90</v>
      </c>
      <c r="M8" s="173" t="s">
        <v>875</v>
      </c>
      <c r="N8" s="15" t="s">
        <v>43</v>
      </c>
      <c r="O8" s="18"/>
      <c r="P8" s="15" t="s">
        <v>101</v>
      </c>
      <c r="Q8" s="17"/>
      <c r="R8" s="17"/>
      <c r="S8" s="39"/>
      <c r="T8" s="124" t="str">
        <f>IF(N8=CURSOS!$D$3,"DIPLOMADO EN ATENCION PRE-HOSPITALARIA",IF(N8=CURSOS!$D$4,"ACOMPAÑAMIENTO Y MANEJO DEL DUELO",IF(N8=CURSOS!$D$5,"ATENCION A VICTIMAS DE ATAQUE CON AGENTES QUIMICOS ",IF(N8=CURSOS!$D$6,"PRIMEROS AUXILIOS ",IF(N8=CURSOS!$D$7,"DIPLOMADO DE UNIDAD DE CUIDADOS INTENSIVOS (UCI)",IF(N8=CURSOS!$D$8,"MODELO DE ATENCION PARA EVENTOS EMERGENTES EN SALUD MENTAL (CODIGO VERDE)",IF(N8=CURSOS!$D$9,"HUMANIZACION EN EL SERVICIO DE LA SALUD Y BUENAS PRACTICAS EN PACIENTE ",IF(N8=CURSOS!$D$10,"CLINICA DE HERIDAS ",IF(N8=CURSOS!$D$11,"TOMA DE CITOLOGIA CERVICO VAGINAL ",IF(N8=CURSOS!$D$12,"SOPORTE CARDIOVASCULAR AVANZADO (ACLS) ",IF(N8=CURSOS!$D$13,"CAMILLERO ",IF(N8=CURSOS!$D$14,"TOMA DE MUESTRAS Y LABORATORIO ",IF(N8=CURSOS!$D$15,"SOPORTE VITAL BASICO (BLS)",IF(N8=CURSOS!$D$16,"ATENCION A VICTIMAS DE VIOLENCIA SEXUAL ",IF(N8=CURSOS!$D$17,"PROGRAMADO AMPLIADO DE INMUNIZACION (PAI - COVID 19)",IF(N8=CURSOS!$D$18,"ATENCION INTEGRAL EN ENFERMEDADES PREVALENTES EN PRIMERA INFANCIA (AIEPI)",IF(N8=CURSOS!$D$19,"ADMINISTRACION DE MEDICAMENTOS, INYECTOLOGIA  Y CANALIZACION ",IF(N8=CURSOS!$D$20,"OPERADOR DE VEHICULOS DE EMERGENCIA (OVE)",IF(N8=CURSOS!$D$21,"INSTITUCIONES AMIGAS DE LA MUJER Y LA INFANCIA (IAMI)",IF(N8=CURSOS!$D$22,"CUIDADO DEL DONANTE DE ORGANOS",IF(N8=CURSOS!$D$23,"ATENCION A VICTIMAS POR VIOLENCIA DE GENERO",IF(N8=CURSOS!$D$24,"IGUALDAD DE GENERO EN LA SALUD",IF(N8=CURSOS!$D$25,"BRIGADA DE EMERGENCIA",IF(N8=CURSOS!$D$26,"MANEJO DEL DOLOR Y CUIDADOS PALIATIVOS",IF(N8=CURSOS!$D$27,"TOMA DE MUESTRAS Y LABORATORIO POCT",IF(N8=CURSOS!$D$28,"IMPLANTE SUBDERMICO DE DISPOSITIVO INTRAUTERINO",IF(N8=CURSOS!$D$29,"SALUD MENTAL",IF(N8=CURSOS!$D$30,"PRIMEROS AUXILIOS PSICOLOGICOS",IF(N8=CURSOS!$D$31,"ATENCION A VICTIMAS POR CONFLICTO ARMADO",IF(N8=CURSOS!$D$32,"MANIPULACION DE ALIMENTOS Y BPM",IF(N8=CURSOS!$D$33,"ATENCION A PERSONAS CON DISCAPACIDAD",IF(N8=CURSOS!$D$34,"CUIDADO INTEGRAL DEL PACIENTE ADULTO",IF(N8=CURSOS!$D$35,"MANEJO DEFENSIVO",IF(N8=CURSOS!$D$36,"SOPORTE CARDIOVASCULAR AVANZADO NEONATAL",IF(N8=CURSOS!$D$37,"SEGURIDAD DEL PACIENTE")))))))))))))))))))))))))))))))))))</f>
        <v xml:space="preserve">ATENCION A VICTIMAS DE VIOLENCIA SEXUAL </v>
      </c>
      <c r="U8" s="124" t="str">
        <f t="shared" si="3"/>
        <v>Maria Del Carmen Gustin Portilla</v>
      </c>
      <c r="V8" s="128" t="str">
        <f t="shared" si="4"/>
        <v>Maria Del Carmen Gustin Portilla</v>
      </c>
      <c r="W8" s="138" t="str">
        <f t="shared" si="5"/>
        <v>Maria Del Carmen Gustin Portilla-59828869-VIOLENCIA SEXUAL</v>
      </c>
    </row>
    <row r="9" spans="1:23" x14ac:dyDescent="0.2">
      <c r="A9" s="42">
        <v>8</v>
      </c>
      <c r="B9" s="166">
        <v>59828869</v>
      </c>
      <c r="C9" s="167" t="s">
        <v>93</v>
      </c>
      <c r="D9" s="167" t="s">
        <v>94</v>
      </c>
      <c r="E9" s="167" t="s">
        <v>95</v>
      </c>
      <c r="F9" s="167" t="s">
        <v>96</v>
      </c>
      <c r="G9" s="168">
        <v>2</v>
      </c>
      <c r="H9" s="168" t="s">
        <v>89</v>
      </c>
      <c r="I9" s="169" t="s">
        <v>350</v>
      </c>
      <c r="J9" s="170"/>
      <c r="K9" s="169" t="s">
        <v>350</v>
      </c>
      <c r="L9" s="168" t="s">
        <v>90</v>
      </c>
      <c r="M9" s="173" t="s">
        <v>875</v>
      </c>
      <c r="N9" s="15" t="s">
        <v>33</v>
      </c>
      <c r="O9" s="18"/>
      <c r="P9" s="15" t="s">
        <v>101</v>
      </c>
      <c r="Q9" s="17"/>
      <c r="R9" s="17"/>
      <c r="S9" s="39"/>
      <c r="T9" s="124" t="str">
        <f>IF(N9=CURSOS!$D$3,"DIPLOMADO EN ATENCION PRE-HOSPITALARIA",IF(N9=CURSOS!$D$4,"ACOMPAÑAMIENTO Y MANEJO DEL DUELO",IF(N9=CURSOS!$D$5,"ATENCION A VICTIMAS DE ATAQUE CON AGENTES QUIMICOS ",IF(N9=CURSOS!$D$6,"PRIMEROS AUXILIOS ",IF(N9=CURSOS!$D$7,"DIPLOMADO DE UNIDAD DE CUIDADOS INTENSIVOS (UCI)",IF(N9=CURSOS!$D$8,"MODELO DE ATENCION PARA EVENTOS EMERGENTES EN SALUD MENTAL (CODIGO VERDE)",IF(N9=CURSOS!$D$9,"HUMANIZACION EN EL SERVICIO DE LA SALUD Y BUENAS PRACTICAS EN PACIENTE ",IF(N9=CURSOS!$D$10,"CLINICA DE HERIDAS ",IF(N9=CURSOS!$D$11,"TOMA DE CITOLOGIA CERVICO VAGINAL ",IF(N9=CURSOS!$D$12,"SOPORTE CARDIOVASCULAR AVANZADO (ACLS) ",IF(N9=CURSOS!$D$13,"CAMILLERO ",IF(N9=CURSOS!$D$14,"TOMA DE MUESTRAS Y LABORATORIO ",IF(N9=CURSOS!$D$15,"SOPORTE VITAL BASICO (BLS)",IF(N9=CURSOS!$D$16,"ATENCION A VICTIMAS DE VIOLENCIA SEXUAL ",IF(N9=CURSOS!$D$17,"PROGRAMADO AMPLIADO DE INMUNIZACION (PAI - COVID 19)",IF(N9=CURSOS!$D$18,"ATENCION INTEGRAL EN ENFERMEDADES PREVALENTES EN PRIMERA INFANCIA (AIEPI)",IF(N9=CURSOS!$D$19,"ADMINISTRACION DE MEDICAMENTOS, INYECTOLOGIA  Y CANALIZACION ",IF(N9=CURSOS!$D$20,"OPERADOR DE VEHICULOS DE EMERGENCIA (OVE)",IF(N9=CURSOS!$D$21,"INSTITUCIONES AMIGAS DE LA MUJER Y LA INFANCIA (IAMI)",IF(N9=CURSOS!$D$22,"CUIDADO DEL DONANTE DE ORGANOS",IF(N9=CURSOS!$D$23,"ATENCION A VICTIMAS POR VIOLENCIA DE GENERO",IF(N9=CURSOS!$D$24,"IGUALDAD DE GENERO EN LA SALUD",IF(N9=CURSOS!$D$25,"BRIGADA DE EMERGENCIA",IF(N9=CURSOS!$D$26,"MANEJO DEL DOLOR Y CUIDADOS PALIATIVOS",IF(N9=CURSOS!$D$27,"TOMA DE MUESTRAS Y LABORATORIO POCT",IF(N9=CURSOS!$D$28,"IMPLANTE SUBDERMICO DE DISPOSITIVO INTRAUTERINO",IF(N9=CURSOS!$D$29,"SALUD MENTAL",IF(N9=CURSOS!$D$30,"PRIMEROS AUXILIOS PSICOLOGICOS",IF(N9=CURSOS!$D$31,"ATENCION A VICTIMAS POR CONFLICTO ARMADO",IF(N9=CURSOS!$D$32,"MANIPULACION DE ALIMENTOS Y BPM",IF(N9=CURSOS!$D$33,"ATENCION A PERSONAS CON DISCAPACIDAD",IF(N9=CURSOS!$D$34,"CUIDADO INTEGRAL DEL PACIENTE ADULTO",IF(N9=CURSOS!$D$35,"MANEJO DEFENSIVO",IF(N9=CURSOS!$D$36,"SOPORTE CARDIOVASCULAR AVANZADO NEONATAL",IF(N9=CURSOS!$D$37,"SEGURIDAD DEL PACIENTE")))))))))))))))))))))))))))))))))))</f>
        <v xml:space="preserve">HUMANIZACION EN EL SERVICIO DE LA SALUD Y BUENAS PRACTICAS EN PACIENTE </v>
      </c>
      <c r="U9" s="124" t="str">
        <f t="shared" si="3"/>
        <v>Maria Del Carmen Gustin Portilla</v>
      </c>
      <c r="V9" s="128" t="str">
        <f t="shared" si="4"/>
        <v>Maria Del Carmen Gustin Portilla</v>
      </c>
      <c r="W9" s="138" t="str">
        <f t="shared" si="5"/>
        <v>Maria Del Carmen Gustin Portilla-59828869-HUMANIZACION</v>
      </c>
    </row>
    <row r="10" spans="1:23" x14ac:dyDescent="0.2">
      <c r="A10" s="42">
        <v>9</v>
      </c>
      <c r="B10" s="166">
        <v>1085305507</v>
      </c>
      <c r="C10" s="167" t="s">
        <v>98</v>
      </c>
      <c r="D10" s="167" t="s">
        <v>93</v>
      </c>
      <c r="E10" s="167" t="s">
        <v>99</v>
      </c>
      <c r="F10" s="167" t="s">
        <v>100</v>
      </c>
      <c r="G10" s="168">
        <v>2</v>
      </c>
      <c r="H10" s="168" t="s">
        <v>89</v>
      </c>
      <c r="I10" s="169" t="s">
        <v>350</v>
      </c>
      <c r="J10" s="170"/>
      <c r="K10" s="169" t="s">
        <v>350</v>
      </c>
      <c r="L10" s="168" t="s">
        <v>90</v>
      </c>
      <c r="M10" s="173" t="s">
        <v>875</v>
      </c>
      <c r="N10" s="15" t="s">
        <v>23</v>
      </c>
      <c r="O10" s="18"/>
      <c r="P10" s="15" t="s">
        <v>101</v>
      </c>
      <c r="Q10" s="17"/>
      <c r="R10" s="17"/>
      <c r="S10" s="39"/>
      <c r="T10" s="124" t="str">
        <f>IF(N10=CURSOS!$D$3,"DIPLOMADO EN ATENCION PRE-HOSPITALARIA",IF(N10=CURSOS!$D$4,"ACOMPAÑAMIENTO Y MANEJO DEL DUELO",IF(N10=CURSOS!$D$5,"ATENCION A VICTIMAS DE ATAQUE CON AGENTES QUIMICOS ",IF(N10=CURSOS!$D$6,"PRIMEROS AUXILIOS ",IF(N10=CURSOS!$D$7,"DIPLOMADO DE UNIDAD DE CUIDADOS INTENSIVOS (UCI)",IF(N10=CURSOS!$D$8,"MODELO DE ATENCION PARA EVENTOS EMERGENTES EN SALUD MENTAL (CODIGO VERDE)",IF(N10=CURSOS!$D$9,"HUMANIZACION EN EL SERVICIO DE LA SALUD Y BUENAS PRACTICAS EN PACIENTE ",IF(N10=CURSOS!$D$10,"CLINICA DE HERIDAS ",IF(N10=CURSOS!$D$11,"TOMA DE CITOLOGIA CERVICO VAGINAL ",IF(N10=CURSOS!$D$12,"SOPORTE CARDIOVASCULAR AVANZADO (ACLS) ",IF(N10=CURSOS!$D$13,"CAMILLERO ",IF(N10=CURSOS!$D$14,"TOMA DE MUESTRAS Y LABORATORIO ",IF(N10=CURSOS!$D$15,"SOPORTE VITAL BASICO (BLS)",IF(N10=CURSOS!$D$16,"ATENCION A VICTIMAS DE VIOLENCIA SEXUAL ",IF(N10=CURSOS!$D$17,"PROGRAMADO AMPLIADO DE INMUNIZACION (PAI - COVID 19)",IF(N10=CURSOS!$D$18,"ATENCION INTEGRAL EN ENFERMEDADES PREVALENTES EN PRIMERA INFANCIA (AIEPI)",IF(N10=CURSOS!$D$19,"ADMINISTRACION DE MEDICAMENTOS, INYECTOLOGIA  Y CANALIZACION ",IF(N10=CURSOS!$D$20,"OPERADOR DE VEHICULOS DE EMERGENCIA (OVE)",IF(N10=CURSOS!$D$21,"INSTITUCIONES AMIGAS DE LA MUJER Y LA INFANCIA (IAMI)",IF(N10=CURSOS!$D$22,"CUIDADO DEL DONANTE DE ORGANOS",IF(N10=CURSOS!$D$23,"ATENCION A VICTIMAS POR VIOLENCIA DE GENERO",IF(N10=CURSOS!$D$24,"IGUALDAD DE GENERO EN LA SALUD",IF(N10=CURSOS!$D$25,"BRIGADA DE EMERGENCIA",IF(N10=CURSOS!$D$26,"MANEJO DEL DOLOR Y CUIDADOS PALIATIVOS",IF(N10=CURSOS!$D$27,"TOMA DE MUESTRAS Y LABORATORIO POCT",IF(N10=CURSOS!$D$28,"IMPLANTE SUBDERMICO DE DISPOSITIVO INTRAUTERINO",IF(N10=CURSOS!$D$29,"SALUD MENTAL",IF(N10=CURSOS!$D$30,"PRIMEROS AUXILIOS PSICOLOGICOS",IF(N10=CURSOS!$D$31,"ATENCION A VICTIMAS POR CONFLICTO ARMADO",IF(N10=CURSOS!$D$32,"MANIPULACION DE ALIMENTOS Y BPM",IF(N10=CURSOS!$D$33,"ATENCION A PERSONAS CON DISCAPACIDAD",IF(N10=CURSOS!$D$34,"CUIDADO INTEGRAL DEL PACIENTE ADULTO",IF(N10=CURSOS!$D$35,"MANEJO DEFENSIVO",IF(N10=CURSOS!$D$36,"SOPORTE CARDIOVASCULAR AVANZADO NEONATAL",IF(N10=CURSOS!$D$37,"SEGURIDAD DEL PACIENTE")))))))))))))))))))))))))))))))))))</f>
        <v>ACOMPAÑAMIENTO Y MANEJO DEL DUELO</v>
      </c>
      <c r="U10" s="124" t="str">
        <f t="shared" si="3"/>
        <v>Helen Wyuerdy Galarza Gustin</v>
      </c>
      <c r="V10" s="128" t="str">
        <f t="shared" si="4"/>
        <v>Helen Wyuerdy Galarza Gustin</v>
      </c>
      <c r="W10" s="138" t="str">
        <f t="shared" si="5"/>
        <v>Helen Wyuerdy Galarza Gustin-1085305507-DUELO</v>
      </c>
    </row>
    <row r="11" spans="1:23" x14ac:dyDescent="0.2">
      <c r="A11" s="42">
        <v>10</v>
      </c>
      <c r="B11" s="166">
        <v>1085305507</v>
      </c>
      <c r="C11" s="167" t="s">
        <v>98</v>
      </c>
      <c r="D11" s="167" t="s">
        <v>93</v>
      </c>
      <c r="E11" s="167" t="s">
        <v>99</v>
      </c>
      <c r="F11" s="167" t="s">
        <v>100</v>
      </c>
      <c r="G11" s="168">
        <v>2</v>
      </c>
      <c r="H11" s="168" t="s">
        <v>89</v>
      </c>
      <c r="I11" s="169" t="s">
        <v>350</v>
      </c>
      <c r="J11" s="170"/>
      <c r="K11" s="169" t="s">
        <v>350</v>
      </c>
      <c r="L11" s="168" t="s">
        <v>90</v>
      </c>
      <c r="M11" s="173" t="s">
        <v>875</v>
      </c>
      <c r="N11" s="15" t="s">
        <v>25</v>
      </c>
      <c r="O11" s="18"/>
      <c r="P11" s="15" t="s">
        <v>101</v>
      </c>
      <c r="Q11" s="17"/>
      <c r="R11" s="17"/>
      <c r="S11" s="38"/>
      <c r="T11" s="124" t="str">
        <f>IF(N11=CURSOS!$D$3,"DIPLOMADO EN ATENCION PRE-HOSPITALARIA",IF(N11=CURSOS!$D$4,"ACOMPAÑAMIENTO Y MANEJO DEL DUELO",IF(N11=CURSOS!$D$5,"ATENCION A VICTIMAS DE ATAQUE CON AGENTES QUIMICOS ",IF(N11=CURSOS!$D$6,"PRIMEROS AUXILIOS ",IF(N11=CURSOS!$D$7,"DIPLOMADO DE UNIDAD DE CUIDADOS INTENSIVOS (UCI)",IF(N11=CURSOS!$D$8,"MODELO DE ATENCION PARA EVENTOS EMERGENTES EN SALUD MENTAL (CODIGO VERDE)",IF(N11=CURSOS!$D$9,"HUMANIZACION EN EL SERVICIO DE LA SALUD Y BUENAS PRACTICAS EN PACIENTE ",IF(N11=CURSOS!$D$10,"CLINICA DE HERIDAS ",IF(N11=CURSOS!$D$11,"TOMA DE CITOLOGIA CERVICO VAGINAL ",IF(N11=CURSOS!$D$12,"SOPORTE CARDIOVASCULAR AVANZADO (ACLS) ",IF(N11=CURSOS!$D$13,"CAMILLERO ",IF(N11=CURSOS!$D$14,"TOMA DE MUESTRAS Y LABORATORIO ",IF(N11=CURSOS!$D$15,"SOPORTE VITAL BASICO (BLS)",IF(N11=CURSOS!$D$16,"ATENCION A VICTIMAS DE VIOLENCIA SEXUAL ",IF(N11=CURSOS!$D$17,"PROGRAMADO AMPLIADO DE INMUNIZACION (PAI - COVID 19)",IF(N11=CURSOS!$D$18,"ATENCION INTEGRAL EN ENFERMEDADES PREVALENTES EN PRIMERA INFANCIA (AIEPI)",IF(N11=CURSOS!$D$19,"ADMINISTRACION DE MEDICAMENTOS, INYECTOLOGIA  Y CANALIZACION ",IF(N11=CURSOS!$D$20,"OPERADOR DE VEHICULOS DE EMERGENCIA (OVE)",IF(N11=CURSOS!$D$21,"INSTITUCIONES AMIGAS DE LA MUJER Y LA INFANCIA (IAMI)",IF(N11=CURSOS!$D$22,"CUIDADO DEL DONANTE DE ORGANOS",IF(N11=CURSOS!$D$23,"ATENCION A VICTIMAS POR VIOLENCIA DE GENERO",IF(N11=CURSOS!$D$24,"IGUALDAD DE GENERO EN LA SALUD",IF(N11=CURSOS!$D$25,"BRIGADA DE EMERGENCIA",IF(N11=CURSOS!$D$26,"MANEJO DEL DOLOR Y CUIDADOS PALIATIVOS",IF(N11=CURSOS!$D$27,"TOMA DE MUESTRAS Y LABORATORIO POCT",IF(N11=CURSOS!$D$28,"IMPLANTE SUBDERMICO DE DISPOSITIVO INTRAUTERINO",IF(N11=CURSOS!$D$29,"SALUD MENTAL",IF(N11=CURSOS!$D$30,"PRIMEROS AUXILIOS PSICOLOGICOS",IF(N11=CURSOS!$D$31,"ATENCION A VICTIMAS POR CONFLICTO ARMADO",IF(N11=CURSOS!$D$32,"MANIPULACION DE ALIMENTOS Y BPM",IF(N11=CURSOS!$D$33,"ATENCION A PERSONAS CON DISCAPACIDAD",IF(N11=CURSOS!$D$34,"CUIDADO INTEGRAL DEL PACIENTE ADULTO",IF(N11=CURSOS!$D$35,"MANEJO DEFENSIVO",IF(N11=CURSOS!$D$36,"SOPORTE CARDIOVASCULAR AVANZADO NEONATAL",IF(N11=CURSOS!$D$37,"SEGURIDAD DEL PACIENTE")))))))))))))))))))))))))))))))))))</f>
        <v xml:space="preserve">ATENCION A VICTIMAS DE ATAQUE CON AGENTES QUIMICOS </v>
      </c>
      <c r="U11" s="124" t="str">
        <f t="shared" si="3"/>
        <v>Helen Wyuerdy Galarza Gustin</v>
      </c>
      <c r="V11" s="128" t="str">
        <f t="shared" si="4"/>
        <v>Helen Wyuerdy Galarza Gustin</v>
      </c>
      <c r="W11" s="138" t="str">
        <f t="shared" si="5"/>
        <v>Helen Wyuerdy Galarza Gustin-1085305507-QUIMICOS</v>
      </c>
    </row>
    <row r="12" spans="1:23" x14ac:dyDescent="0.2">
      <c r="A12" s="42">
        <v>11</v>
      </c>
      <c r="B12" s="166">
        <v>1085305507</v>
      </c>
      <c r="C12" s="167" t="s">
        <v>98</v>
      </c>
      <c r="D12" s="167" t="s">
        <v>93</v>
      </c>
      <c r="E12" s="167" t="s">
        <v>99</v>
      </c>
      <c r="F12" s="167" t="s">
        <v>100</v>
      </c>
      <c r="G12" s="168">
        <v>2</v>
      </c>
      <c r="H12" s="168" t="s">
        <v>89</v>
      </c>
      <c r="I12" s="169" t="s">
        <v>350</v>
      </c>
      <c r="J12" s="170"/>
      <c r="K12" s="169" t="s">
        <v>350</v>
      </c>
      <c r="L12" s="168" t="s">
        <v>90</v>
      </c>
      <c r="M12" s="173" t="s">
        <v>875</v>
      </c>
      <c r="N12" s="15" t="s">
        <v>43</v>
      </c>
      <c r="O12" s="18"/>
      <c r="P12" s="15" t="s">
        <v>101</v>
      </c>
      <c r="Q12" s="17"/>
      <c r="R12" s="17"/>
      <c r="S12" s="17"/>
      <c r="T12" s="124" t="str">
        <f>IF(N12=CURSOS!$D$3,"DIPLOMADO EN ATENCION PRE-HOSPITALARIA",IF(N12=CURSOS!$D$4,"ACOMPAÑAMIENTO Y MANEJO DEL DUELO",IF(N12=CURSOS!$D$5,"ATENCION A VICTIMAS DE ATAQUE CON AGENTES QUIMICOS ",IF(N12=CURSOS!$D$6,"PRIMEROS AUXILIOS ",IF(N12=CURSOS!$D$7,"DIPLOMADO DE UNIDAD DE CUIDADOS INTENSIVOS (UCI)",IF(N12=CURSOS!$D$8,"MODELO DE ATENCION PARA EVENTOS EMERGENTES EN SALUD MENTAL (CODIGO VERDE)",IF(N12=CURSOS!$D$9,"HUMANIZACION EN EL SERVICIO DE LA SALUD Y BUENAS PRACTICAS EN PACIENTE ",IF(N12=CURSOS!$D$10,"CLINICA DE HERIDAS ",IF(N12=CURSOS!$D$11,"TOMA DE CITOLOGIA CERVICO VAGINAL ",IF(N12=CURSOS!$D$12,"SOPORTE CARDIOVASCULAR AVANZADO (ACLS) ",IF(N12=CURSOS!$D$13,"CAMILLERO ",IF(N12=CURSOS!$D$14,"TOMA DE MUESTRAS Y LABORATORIO ",IF(N12=CURSOS!$D$15,"SOPORTE VITAL BASICO (BLS)",IF(N12=CURSOS!$D$16,"ATENCION A VICTIMAS DE VIOLENCIA SEXUAL ",IF(N12=CURSOS!$D$17,"PROGRAMADO AMPLIADO DE INMUNIZACION (PAI - COVID 19)",IF(N12=CURSOS!$D$18,"ATENCION INTEGRAL EN ENFERMEDADES PREVALENTES EN PRIMERA INFANCIA (AIEPI)",IF(N12=CURSOS!$D$19,"ADMINISTRACION DE MEDICAMENTOS, INYECTOLOGIA  Y CANALIZACION ",IF(N12=CURSOS!$D$20,"OPERADOR DE VEHICULOS DE EMERGENCIA (OVE)",IF(N12=CURSOS!$D$21,"INSTITUCIONES AMIGAS DE LA MUJER Y LA INFANCIA (IAMI)",IF(N12=CURSOS!$D$22,"CUIDADO DEL DONANTE DE ORGANOS",IF(N12=CURSOS!$D$23,"ATENCION A VICTIMAS POR VIOLENCIA DE GENERO",IF(N12=CURSOS!$D$24,"IGUALDAD DE GENERO EN LA SALUD",IF(N12=CURSOS!$D$25,"BRIGADA DE EMERGENCIA",IF(N12=CURSOS!$D$26,"MANEJO DEL DOLOR Y CUIDADOS PALIATIVOS",IF(N12=CURSOS!$D$27,"TOMA DE MUESTRAS Y LABORATORIO POCT",IF(N12=CURSOS!$D$28,"IMPLANTE SUBDERMICO DE DISPOSITIVO INTRAUTERINO",IF(N12=CURSOS!$D$29,"SALUD MENTAL",IF(N12=CURSOS!$D$30,"PRIMEROS AUXILIOS PSICOLOGICOS",IF(N12=CURSOS!$D$31,"ATENCION A VICTIMAS POR CONFLICTO ARMADO",IF(N12=CURSOS!$D$32,"MANIPULACION DE ALIMENTOS Y BPM",IF(N12=CURSOS!$D$33,"ATENCION A PERSONAS CON DISCAPACIDAD",IF(N12=CURSOS!$D$34,"CUIDADO INTEGRAL DEL PACIENTE ADULTO",IF(N12=CURSOS!$D$35,"MANEJO DEFENSIVO",IF(N12=CURSOS!$D$36,"SOPORTE CARDIOVASCULAR AVANZADO NEONATAL",IF(N12=CURSOS!$D$37,"SEGURIDAD DEL PACIENTE")))))))))))))))))))))))))))))))))))</f>
        <v xml:space="preserve">ATENCION A VICTIMAS DE VIOLENCIA SEXUAL </v>
      </c>
      <c r="U12" s="124" t="str">
        <f t="shared" si="3"/>
        <v>Helen Wyuerdy Galarza Gustin</v>
      </c>
      <c r="V12" s="128" t="str">
        <f t="shared" si="4"/>
        <v>Helen Wyuerdy Galarza Gustin</v>
      </c>
      <c r="W12" s="138" t="str">
        <f t="shared" si="5"/>
        <v>Helen Wyuerdy Galarza Gustin-1085305507-VIOLENCIA SEXUAL</v>
      </c>
    </row>
    <row r="13" spans="1:23" x14ac:dyDescent="0.2">
      <c r="A13" s="42">
        <v>12</v>
      </c>
      <c r="B13" s="166">
        <v>1085305507</v>
      </c>
      <c r="C13" s="167" t="s">
        <v>98</v>
      </c>
      <c r="D13" s="167" t="s">
        <v>93</v>
      </c>
      <c r="E13" s="167" t="s">
        <v>99</v>
      </c>
      <c r="F13" s="167" t="s">
        <v>100</v>
      </c>
      <c r="G13" s="168">
        <v>2</v>
      </c>
      <c r="H13" s="168" t="s">
        <v>89</v>
      </c>
      <c r="I13" s="169" t="s">
        <v>350</v>
      </c>
      <c r="J13" s="170"/>
      <c r="K13" s="169" t="s">
        <v>350</v>
      </c>
      <c r="L13" s="168" t="s">
        <v>90</v>
      </c>
      <c r="M13" s="173" t="s">
        <v>875</v>
      </c>
      <c r="N13" s="15" t="s">
        <v>33</v>
      </c>
      <c r="O13" s="18"/>
      <c r="P13" s="15" t="s">
        <v>101</v>
      </c>
      <c r="Q13" s="17"/>
      <c r="R13" s="17"/>
      <c r="S13" s="17"/>
      <c r="T13" s="124" t="str">
        <f>IF(N13=CURSOS!$D$3,"DIPLOMADO EN ATENCION PRE-HOSPITALARIA",IF(N13=CURSOS!$D$4,"ACOMPAÑAMIENTO Y MANEJO DEL DUELO",IF(N13=CURSOS!$D$5,"ATENCION A VICTIMAS DE ATAQUE CON AGENTES QUIMICOS ",IF(N13=CURSOS!$D$6,"PRIMEROS AUXILIOS ",IF(N13=CURSOS!$D$7,"DIPLOMADO DE UNIDAD DE CUIDADOS INTENSIVOS (UCI)",IF(N13=CURSOS!$D$8,"MODELO DE ATENCION PARA EVENTOS EMERGENTES EN SALUD MENTAL (CODIGO VERDE)",IF(N13=CURSOS!$D$9,"HUMANIZACION EN EL SERVICIO DE LA SALUD Y BUENAS PRACTICAS EN PACIENTE ",IF(N13=CURSOS!$D$10,"CLINICA DE HERIDAS ",IF(N13=CURSOS!$D$11,"TOMA DE CITOLOGIA CERVICO VAGINAL ",IF(N13=CURSOS!$D$12,"SOPORTE CARDIOVASCULAR AVANZADO (ACLS) ",IF(N13=CURSOS!$D$13,"CAMILLERO ",IF(N13=CURSOS!$D$14,"TOMA DE MUESTRAS Y LABORATORIO ",IF(N13=CURSOS!$D$15,"SOPORTE VITAL BASICO (BLS)",IF(N13=CURSOS!$D$16,"ATENCION A VICTIMAS DE VIOLENCIA SEXUAL ",IF(N13=CURSOS!$D$17,"PROGRAMADO AMPLIADO DE INMUNIZACION (PAI - COVID 19)",IF(N13=CURSOS!$D$18,"ATENCION INTEGRAL EN ENFERMEDADES PREVALENTES EN PRIMERA INFANCIA (AIEPI)",IF(N13=CURSOS!$D$19,"ADMINISTRACION DE MEDICAMENTOS, INYECTOLOGIA  Y CANALIZACION ",IF(N13=CURSOS!$D$20,"OPERADOR DE VEHICULOS DE EMERGENCIA (OVE)",IF(N13=CURSOS!$D$21,"INSTITUCIONES AMIGAS DE LA MUJER Y LA INFANCIA (IAMI)",IF(N13=CURSOS!$D$22,"CUIDADO DEL DONANTE DE ORGANOS",IF(N13=CURSOS!$D$23,"ATENCION A VICTIMAS POR VIOLENCIA DE GENERO",IF(N13=CURSOS!$D$24,"IGUALDAD DE GENERO EN LA SALUD",IF(N13=CURSOS!$D$25,"BRIGADA DE EMERGENCIA",IF(N13=CURSOS!$D$26,"MANEJO DEL DOLOR Y CUIDADOS PALIATIVOS",IF(N13=CURSOS!$D$27,"TOMA DE MUESTRAS Y LABORATORIO POCT",IF(N13=CURSOS!$D$28,"IMPLANTE SUBDERMICO DE DISPOSITIVO INTRAUTERINO",IF(N13=CURSOS!$D$29,"SALUD MENTAL",IF(N13=CURSOS!$D$30,"PRIMEROS AUXILIOS PSICOLOGICOS",IF(N13=CURSOS!$D$31,"ATENCION A VICTIMAS POR CONFLICTO ARMADO",IF(N13=CURSOS!$D$32,"MANIPULACION DE ALIMENTOS Y BPM",IF(N13=CURSOS!$D$33,"ATENCION A PERSONAS CON DISCAPACIDAD",IF(N13=CURSOS!$D$34,"CUIDADO INTEGRAL DEL PACIENTE ADULTO",IF(N13=CURSOS!$D$35,"MANEJO DEFENSIVO",IF(N13=CURSOS!$D$36,"SOPORTE CARDIOVASCULAR AVANZADO NEONATAL",IF(N13=CURSOS!$D$37,"SEGURIDAD DEL PACIENTE")))))))))))))))))))))))))))))))))))</f>
        <v xml:space="preserve">HUMANIZACION EN EL SERVICIO DE LA SALUD Y BUENAS PRACTICAS EN PACIENTE </v>
      </c>
      <c r="U13" s="124" t="str">
        <f t="shared" si="3"/>
        <v>Helen Wyuerdy Galarza Gustin</v>
      </c>
      <c r="V13" s="128" t="str">
        <f t="shared" si="4"/>
        <v>Helen Wyuerdy Galarza Gustin</v>
      </c>
      <c r="W13" s="138" t="str">
        <f t="shared" si="5"/>
        <v>Helen Wyuerdy Galarza Gustin-1085305507-HUMANIZACION</v>
      </c>
    </row>
    <row r="14" spans="1:23" x14ac:dyDescent="0.2">
      <c r="A14" s="42">
        <v>13</v>
      </c>
      <c r="B14" s="166">
        <v>1085305507</v>
      </c>
      <c r="C14" s="167" t="s">
        <v>98</v>
      </c>
      <c r="D14" s="167" t="s">
        <v>93</v>
      </c>
      <c r="E14" s="167" t="s">
        <v>99</v>
      </c>
      <c r="F14" s="167" t="s">
        <v>100</v>
      </c>
      <c r="G14" s="168">
        <v>2</v>
      </c>
      <c r="H14" s="168" t="s">
        <v>89</v>
      </c>
      <c r="I14" s="169" t="s">
        <v>350</v>
      </c>
      <c r="J14" s="170"/>
      <c r="K14" s="169" t="s">
        <v>350</v>
      </c>
      <c r="L14" s="168" t="s">
        <v>90</v>
      </c>
      <c r="M14" s="173" t="s">
        <v>875</v>
      </c>
      <c r="N14" s="15" t="s">
        <v>53</v>
      </c>
      <c r="O14" s="18"/>
      <c r="P14" s="15" t="s">
        <v>101</v>
      </c>
      <c r="Q14" s="17"/>
      <c r="R14" s="17"/>
      <c r="S14" s="17"/>
      <c r="T14" s="124" t="str">
        <f>IF(N14=CURSOS!$D$3,"DIPLOMADO EN ATENCION PRE-HOSPITALARIA",IF(N14=CURSOS!$D$4,"ACOMPAÑAMIENTO Y MANEJO DEL DUELO",IF(N14=CURSOS!$D$5,"ATENCION A VICTIMAS DE ATAQUE CON AGENTES QUIMICOS ",IF(N14=CURSOS!$D$6,"PRIMEROS AUXILIOS ",IF(N14=CURSOS!$D$7,"DIPLOMADO DE UNIDAD DE CUIDADOS INTENSIVOS (UCI)",IF(N14=CURSOS!$D$8,"MODELO DE ATENCION PARA EVENTOS EMERGENTES EN SALUD MENTAL (CODIGO VERDE)",IF(N14=CURSOS!$D$9,"HUMANIZACION EN EL SERVICIO DE LA SALUD Y BUENAS PRACTICAS EN PACIENTE ",IF(N14=CURSOS!$D$10,"CLINICA DE HERIDAS ",IF(N14=CURSOS!$D$11,"TOMA DE CITOLOGIA CERVICO VAGINAL ",IF(N14=CURSOS!$D$12,"SOPORTE CARDIOVASCULAR AVANZADO (ACLS) ",IF(N14=CURSOS!$D$13,"CAMILLERO ",IF(N14=CURSOS!$D$14,"TOMA DE MUESTRAS Y LABORATORIO ",IF(N14=CURSOS!$D$15,"SOPORTE VITAL BASICO (BLS)",IF(N14=CURSOS!$D$16,"ATENCION A VICTIMAS DE VIOLENCIA SEXUAL ",IF(N14=CURSOS!$D$17,"PROGRAMADO AMPLIADO DE INMUNIZACION (PAI - COVID 19)",IF(N14=CURSOS!$D$18,"ATENCION INTEGRAL EN ENFERMEDADES PREVALENTES EN PRIMERA INFANCIA (AIEPI)",IF(N14=CURSOS!$D$19,"ADMINISTRACION DE MEDICAMENTOS, INYECTOLOGIA  Y CANALIZACION ",IF(N14=CURSOS!$D$20,"OPERADOR DE VEHICULOS DE EMERGENCIA (OVE)",IF(N14=CURSOS!$D$21,"INSTITUCIONES AMIGAS DE LA MUJER Y LA INFANCIA (IAMI)",IF(N14=CURSOS!$D$22,"CUIDADO DEL DONANTE DE ORGANOS",IF(N14=CURSOS!$D$23,"ATENCION A VICTIMAS POR VIOLENCIA DE GENERO",IF(N14=CURSOS!$D$24,"IGUALDAD DE GENERO EN LA SALUD",IF(N14=CURSOS!$D$25,"BRIGADA DE EMERGENCIA",IF(N14=CURSOS!$D$26,"MANEJO DEL DOLOR Y CUIDADOS PALIATIVOS",IF(N14=CURSOS!$D$27,"TOMA DE MUESTRAS Y LABORATORIO POCT",IF(N14=CURSOS!$D$28,"IMPLANTE SUBDERMICO DE DISPOSITIVO INTRAUTERINO",IF(N14=CURSOS!$D$29,"SALUD MENTAL",IF(N14=CURSOS!$D$30,"PRIMEROS AUXILIOS PSICOLOGICOS",IF(N14=CURSOS!$D$31,"ATENCION A VICTIMAS POR CONFLICTO ARMADO",IF(N14=CURSOS!$D$32,"MANIPULACION DE ALIMENTOS Y BPM",IF(N14=CURSOS!$D$33,"ATENCION A PERSONAS CON DISCAPACIDAD",IF(N14=CURSOS!$D$34,"CUIDADO INTEGRAL DEL PACIENTE ADULTO",IF(N14=CURSOS!$D$35,"MANEJO DEFENSIVO",IF(N14=CURSOS!$D$36,"SOPORTE CARDIOVASCULAR AVANZADO NEONATAL",IF(N14=CURSOS!$D$37,"SEGURIDAD DEL PACIENTE")))))))))))))))))))))))))))))))))))</f>
        <v>CUIDADO DEL DONANTE DE ORGANOS</v>
      </c>
      <c r="U14" s="124" t="str">
        <f t="shared" si="3"/>
        <v>Helen Wyuerdy Galarza Gustin</v>
      </c>
      <c r="V14" s="128" t="str">
        <f t="shared" si="4"/>
        <v>Helen Wyuerdy Galarza Gustin</v>
      </c>
      <c r="W14" s="138" t="str">
        <f t="shared" si="5"/>
        <v>Helen Wyuerdy Galarza Gustin-1085305507-DONANTE</v>
      </c>
    </row>
    <row r="15" spans="1:23" x14ac:dyDescent="0.2">
      <c r="A15" s="42">
        <v>14</v>
      </c>
      <c r="B15" s="166">
        <v>13070959</v>
      </c>
      <c r="C15" s="167" t="s">
        <v>103</v>
      </c>
      <c r="D15" s="167" t="s">
        <v>104</v>
      </c>
      <c r="E15" s="167" t="s">
        <v>105</v>
      </c>
      <c r="F15" s="167" t="s">
        <v>106</v>
      </c>
      <c r="G15" s="168">
        <v>2</v>
      </c>
      <c r="H15" s="168" t="s">
        <v>89</v>
      </c>
      <c r="I15" s="169" t="s">
        <v>350</v>
      </c>
      <c r="J15" s="170"/>
      <c r="K15" s="169" t="s">
        <v>350</v>
      </c>
      <c r="L15" s="168" t="s">
        <v>90</v>
      </c>
      <c r="M15" s="173" t="s">
        <v>875</v>
      </c>
      <c r="N15" s="15" t="s">
        <v>49</v>
      </c>
      <c r="O15" s="18"/>
      <c r="P15" s="15" t="s">
        <v>91</v>
      </c>
      <c r="Q15" s="17"/>
      <c r="R15" s="17"/>
      <c r="S15" s="17"/>
      <c r="T15" s="124" t="str">
        <f>IF(N15=CURSOS!$D$3,"DIPLOMADO EN ATENCION PRE-HOSPITALARIA",IF(N15=CURSOS!$D$4,"ACOMPAÑAMIENTO Y MANEJO DEL DUELO",IF(N15=CURSOS!$D$5,"ATENCION A VICTIMAS DE ATAQUE CON AGENTES QUIMICOS ",IF(N15=CURSOS!$D$6,"PRIMEROS AUXILIOS ",IF(N15=CURSOS!$D$7,"DIPLOMADO DE UNIDAD DE CUIDADOS INTENSIVOS (UCI)",IF(N15=CURSOS!$D$8,"MODELO DE ATENCION PARA EVENTOS EMERGENTES EN SALUD MENTAL (CODIGO VERDE)",IF(N15=CURSOS!$D$9,"HUMANIZACION EN EL SERVICIO DE LA SALUD Y BUENAS PRACTICAS EN PACIENTE ",IF(N15=CURSOS!$D$10,"CLINICA DE HERIDAS ",IF(N15=CURSOS!$D$11,"TOMA DE CITOLOGIA CERVICO VAGINAL ",IF(N15=CURSOS!$D$12,"SOPORTE CARDIOVASCULAR AVANZADO (ACLS) ",IF(N15=CURSOS!$D$13,"CAMILLERO ",IF(N15=CURSOS!$D$14,"TOMA DE MUESTRAS Y LABORATORIO ",IF(N15=CURSOS!$D$15,"SOPORTE VITAL BASICO (BLS)",IF(N15=CURSOS!$D$16,"ATENCION A VICTIMAS DE VIOLENCIA SEXUAL ",IF(N15=CURSOS!$D$17,"PROGRAMADO AMPLIADO DE INMUNIZACION (PAI - COVID 19)",IF(N15=CURSOS!$D$18,"ATENCION INTEGRAL EN ENFERMEDADES PREVALENTES EN PRIMERA INFANCIA (AIEPI)",IF(N15=CURSOS!$D$19,"ADMINISTRACION DE MEDICAMENTOS, INYECTOLOGIA  Y CANALIZACION ",IF(N15=CURSOS!$D$20,"OPERADOR DE VEHICULOS DE EMERGENCIA (OVE)",IF(N15=CURSOS!$D$21,"INSTITUCIONES AMIGAS DE LA MUJER Y LA INFANCIA (IAMI)",IF(N15=CURSOS!$D$22,"CUIDADO DEL DONANTE DE ORGANOS",IF(N15=CURSOS!$D$23,"ATENCION A VICTIMAS POR VIOLENCIA DE GENERO",IF(N15=CURSOS!$D$24,"IGUALDAD DE GENERO EN LA SALUD",IF(N15=CURSOS!$D$25,"BRIGADA DE EMERGENCIA",IF(N15=CURSOS!$D$26,"MANEJO DEL DOLOR Y CUIDADOS PALIATIVOS",IF(N15=CURSOS!$D$27,"TOMA DE MUESTRAS Y LABORATORIO POCT",IF(N15=CURSOS!$D$28,"IMPLANTE SUBDERMICO DE DISPOSITIVO INTRAUTERINO",IF(N15=CURSOS!$D$29,"SALUD MENTAL",IF(N15=CURSOS!$D$30,"PRIMEROS AUXILIOS PSICOLOGICOS",IF(N15=CURSOS!$D$31,"ATENCION A VICTIMAS POR CONFLICTO ARMADO",IF(N15=CURSOS!$D$32,"MANIPULACION DE ALIMENTOS Y BPM",IF(N15=CURSOS!$D$33,"ATENCION A PERSONAS CON DISCAPACIDAD",IF(N15=CURSOS!$D$34,"CUIDADO INTEGRAL DEL PACIENTE ADULTO",IF(N15=CURSOS!$D$35,"MANEJO DEFENSIVO",IF(N15=CURSOS!$D$36,"SOPORTE CARDIOVASCULAR AVANZADO NEONATAL",IF(N15=CURSOS!$D$37,"SEGURIDAD DEL PACIENTE")))))))))))))))))))))))))))))))))))</f>
        <v>OPERADOR DE VEHICULOS DE EMERGENCIA (OVE)</v>
      </c>
      <c r="U15" s="124" t="str">
        <f t="shared" si="3"/>
        <v>Mauricio Gustavo Carlosama Chamorro</v>
      </c>
      <c r="V15" s="128" t="str">
        <f t="shared" si="4"/>
        <v>Mauricio Gustavo Carlosama Chamorro</v>
      </c>
      <c r="W15" s="138" t="str">
        <f t="shared" si="5"/>
        <v>Mauricio Gustavo Carlosama Chamorro-13070959-OVE</v>
      </c>
    </row>
    <row r="16" spans="1:23" x14ac:dyDescent="0.2">
      <c r="A16" s="42">
        <v>15</v>
      </c>
      <c r="B16" s="166">
        <v>13070959</v>
      </c>
      <c r="C16" s="167" t="s">
        <v>103</v>
      </c>
      <c r="D16" s="167" t="s">
        <v>104</v>
      </c>
      <c r="E16" s="167" t="s">
        <v>105</v>
      </c>
      <c r="F16" s="167" t="s">
        <v>106</v>
      </c>
      <c r="G16" s="168">
        <v>2</v>
      </c>
      <c r="H16" s="168" t="s">
        <v>89</v>
      </c>
      <c r="I16" s="169" t="s">
        <v>350</v>
      </c>
      <c r="J16" s="170"/>
      <c r="K16" s="169" t="s">
        <v>350</v>
      </c>
      <c r="L16" s="168" t="s">
        <v>90</v>
      </c>
      <c r="M16" s="173" t="s">
        <v>875</v>
      </c>
      <c r="N16" s="15" t="s">
        <v>25</v>
      </c>
      <c r="O16" s="18"/>
      <c r="P16" s="15" t="s">
        <v>91</v>
      </c>
      <c r="Q16" s="17"/>
      <c r="R16" s="17"/>
      <c r="S16" s="38"/>
      <c r="T16" s="124" t="str">
        <f>IF(N16=CURSOS!$D$3,"DIPLOMADO EN ATENCION PRE-HOSPITALARIA",IF(N16=CURSOS!$D$4,"ACOMPAÑAMIENTO Y MANEJO DEL DUELO",IF(N16=CURSOS!$D$5,"ATENCION A VICTIMAS DE ATAQUE CON AGENTES QUIMICOS ",IF(N16=CURSOS!$D$6,"PRIMEROS AUXILIOS ",IF(N16=CURSOS!$D$7,"DIPLOMADO DE UNIDAD DE CUIDADOS INTENSIVOS (UCI)",IF(N16=CURSOS!$D$8,"MODELO DE ATENCION PARA EVENTOS EMERGENTES EN SALUD MENTAL (CODIGO VERDE)",IF(N16=CURSOS!$D$9,"HUMANIZACION EN EL SERVICIO DE LA SALUD Y BUENAS PRACTICAS EN PACIENTE ",IF(N16=CURSOS!$D$10,"CLINICA DE HERIDAS ",IF(N16=CURSOS!$D$11,"TOMA DE CITOLOGIA CERVICO VAGINAL ",IF(N16=CURSOS!$D$12,"SOPORTE CARDIOVASCULAR AVANZADO (ACLS) ",IF(N16=CURSOS!$D$13,"CAMILLERO ",IF(N16=CURSOS!$D$14,"TOMA DE MUESTRAS Y LABORATORIO ",IF(N16=CURSOS!$D$15,"SOPORTE VITAL BASICO (BLS)",IF(N16=CURSOS!$D$16,"ATENCION A VICTIMAS DE VIOLENCIA SEXUAL ",IF(N16=CURSOS!$D$17,"PROGRAMADO AMPLIADO DE INMUNIZACION (PAI - COVID 19)",IF(N16=CURSOS!$D$18,"ATENCION INTEGRAL EN ENFERMEDADES PREVALENTES EN PRIMERA INFANCIA (AIEPI)",IF(N16=CURSOS!$D$19,"ADMINISTRACION DE MEDICAMENTOS, INYECTOLOGIA  Y CANALIZACION ",IF(N16=CURSOS!$D$20,"OPERADOR DE VEHICULOS DE EMERGENCIA (OVE)",IF(N16=CURSOS!$D$21,"INSTITUCIONES AMIGAS DE LA MUJER Y LA INFANCIA (IAMI)",IF(N16=CURSOS!$D$22,"CUIDADO DEL DONANTE DE ORGANOS",IF(N16=CURSOS!$D$23,"ATENCION A VICTIMAS POR VIOLENCIA DE GENERO",IF(N16=CURSOS!$D$24,"IGUALDAD DE GENERO EN LA SALUD",IF(N16=CURSOS!$D$25,"BRIGADA DE EMERGENCIA",IF(N16=CURSOS!$D$26,"MANEJO DEL DOLOR Y CUIDADOS PALIATIVOS",IF(N16=CURSOS!$D$27,"TOMA DE MUESTRAS Y LABORATORIO POCT",IF(N16=CURSOS!$D$28,"IMPLANTE SUBDERMICO DE DISPOSITIVO INTRAUTERINO",IF(N16=CURSOS!$D$29,"SALUD MENTAL",IF(N16=CURSOS!$D$30,"PRIMEROS AUXILIOS PSICOLOGICOS",IF(N16=CURSOS!$D$31,"ATENCION A VICTIMAS POR CONFLICTO ARMADO",IF(N16=CURSOS!$D$32,"MANIPULACION DE ALIMENTOS Y BPM",IF(N16=CURSOS!$D$33,"ATENCION A PERSONAS CON DISCAPACIDAD",IF(N16=CURSOS!$D$34,"CUIDADO INTEGRAL DEL PACIENTE ADULTO",IF(N16=CURSOS!$D$35,"MANEJO DEFENSIVO",IF(N16=CURSOS!$D$36,"SOPORTE CARDIOVASCULAR AVANZADO NEONATAL",IF(N16=CURSOS!$D$37,"SEGURIDAD DEL PACIENTE")))))))))))))))))))))))))))))))))))</f>
        <v xml:space="preserve">ATENCION A VICTIMAS DE ATAQUE CON AGENTES QUIMICOS </v>
      </c>
      <c r="U16" s="124" t="str">
        <f t="shared" si="3"/>
        <v>Mauricio Gustavo Carlosama Chamorro</v>
      </c>
      <c r="V16" s="128" t="str">
        <f t="shared" si="4"/>
        <v>Mauricio Gustavo Carlosama Chamorro</v>
      </c>
      <c r="W16" s="138" t="str">
        <f t="shared" si="5"/>
        <v>Mauricio Gustavo Carlosama Chamorro-13070959-QUIMICOS</v>
      </c>
    </row>
    <row r="17" spans="1:23" x14ac:dyDescent="0.2">
      <c r="A17" s="42">
        <v>16</v>
      </c>
      <c r="B17" s="166">
        <v>13070959</v>
      </c>
      <c r="C17" s="167" t="s">
        <v>103</v>
      </c>
      <c r="D17" s="167" t="s">
        <v>104</v>
      </c>
      <c r="E17" s="167" t="s">
        <v>105</v>
      </c>
      <c r="F17" s="167" t="s">
        <v>106</v>
      </c>
      <c r="G17" s="168">
        <v>2</v>
      </c>
      <c r="H17" s="168" t="s">
        <v>89</v>
      </c>
      <c r="I17" s="169" t="s">
        <v>350</v>
      </c>
      <c r="J17" s="170"/>
      <c r="K17" s="169" t="s">
        <v>350</v>
      </c>
      <c r="L17" s="168" t="s">
        <v>90</v>
      </c>
      <c r="M17" s="173" t="s">
        <v>875</v>
      </c>
      <c r="N17" s="15" t="s">
        <v>23</v>
      </c>
      <c r="O17" s="18"/>
      <c r="P17" s="15" t="s">
        <v>91</v>
      </c>
      <c r="Q17" s="17"/>
      <c r="R17" s="17"/>
      <c r="S17" s="38"/>
      <c r="T17" s="124" t="str">
        <f>IF(N17=CURSOS!$D$3,"DIPLOMADO EN ATENCION PRE-HOSPITALARIA",IF(N17=CURSOS!$D$4,"ACOMPAÑAMIENTO Y MANEJO DEL DUELO",IF(N17=CURSOS!$D$5,"ATENCION A VICTIMAS DE ATAQUE CON AGENTES QUIMICOS ",IF(N17=CURSOS!$D$6,"PRIMEROS AUXILIOS ",IF(N17=CURSOS!$D$7,"DIPLOMADO DE UNIDAD DE CUIDADOS INTENSIVOS (UCI)",IF(N17=CURSOS!$D$8,"MODELO DE ATENCION PARA EVENTOS EMERGENTES EN SALUD MENTAL (CODIGO VERDE)",IF(N17=CURSOS!$D$9,"HUMANIZACION EN EL SERVICIO DE LA SALUD Y BUENAS PRACTICAS EN PACIENTE ",IF(N17=CURSOS!$D$10,"CLINICA DE HERIDAS ",IF(N17=CURSOS!$D$11,"TOMA DE CITOLOGIA CERVICO VAGINAL ",IF(N17=CURSOS!$D$12,"SOPORTE CARDIOVASCULAR AVANZADO (ACLS) ",IF(N17=CURSOS!$D$13,"CAMILLERO ",IF(N17=CURSOS!$D$14,"TOMA DE MUESTRAS Y LABORATORIO ",IF(N17=CURSOS!$D$15,"SOPORTE VITAL BASICO (BLS)",IF(N17=CURSOS!$D$16,"ATENCION A VICTIMAS DE VIOLENCIA SEXUAL ",IF(N17=CURSOS!$D$17,"PROGRAMADO AMPLIADO DE INMUNIZACION (PAI - COVID 19)",IF(N17=CURSOS!$D$18,"ATENCION INTEGRAL EN ENFERMEDADES PREVALENTES EN PRIMERA INFANCIA (AIEPI)",IF(N17=CURSOS!$D$19,"ADMINISTRACION DE MEDICAMENTOS, INYECTOLOGIA  Y CANALIZACION ",IF(N17=CURSOS!$D$20,"OPERADOR DE VEHICULOS DE EMERGENCIA (OVE)",IF(N17=CURSOS!$D$21,"INSTITUCIONES AMIGAS DE LA MUJER Y LA INFANCIA (IAMI)",IF(N17=CURSOS!$D$22,"CUIDADO DEL DONANTE DE ORGANOS",IF(N17=CURSOS!$D$23,"ATENCION A VICTIMAS POR VIOLENCIA DE GENERO",IF(N17=CURSOS!$D$24,"IGUALDAD DE GENERO EN LA SALUD",IF(N17=CURSOS!$D$25,"BRIGADA DE EMERGENCIA",IF(N17=CURSOS!$D$26,"MANEJO DEL DOLOR Y CUIDADOS PALIATIVOS",IF(N17=CURSOS!$D$27,"TOMA DE MUESTRAS Y LABORATORIO POCT",IF(N17=CURSOS!$D$28,"IMPLANTE SUBDERMICO DE DISPOSITIVO INTRAUTERINO",IF(N17=CURSOS!$D$29,"SALUD MENTAL",IF(N17=CURSOS!$D$30,"PRIMEROS AUXILIOS PSICOLOGICOS",IF(N17=CURSOS!$D$31,"ATENCION A VICTIMAS POR CONFLICTO ARMADO",IF(N17=CURSOS!$D$32,"MANIPULACION DE ALIMENTOS Y BPM",IF(N17=CURSOS!$D$33,"ATENCION A PERSONAS CON DISCAPACIDAD",IF(N17=CURSOS!$D$34,"CUIDADO INTEGRAL DEL PACIENTE ADULTO",IF(N17=CURSOS!$D$35,"MANEJO DEFENSIVO",IF(N17=CURSOS!$D$36,"SOPORTE CARDIOVASCULAR AVANZADO NEONATAL",IF(N17=CURSOS!$D$37,"SEGURIDAD DEL PACIENTE")))))))))))))))))))))))))))))))))))</f>
        <v>ACOMPAÑAMIENTO Y MANEJO DEL DUELO</v>
      </c>
      <c r="U17" s="124" t="str">
        <f t="shared" si="3"/>
        <v>Mauricio Gustavo Carlosama Chamorro</v>
      </c>
      <c r="V17" s="128" t="str">
        <f t="shared" si="4"/>
        <v>Mauricio Gustavo Carlosama Chamorro</v>
      </c>
      <c r="W17" s="138" t="str">
        <f t="shared" si="5"/>
        <v>Mauricio Gustavo Carlosama Chamorro-13070959-DUELO</v>
      </c>
    </row>
    <row r="18" spans="1:23" x14ac:dyDescent="0.2">
      <c r="A18" s="42">
        <v>17</v>
      </c>
      <c r="B18" s="166">
        <v>13070959</v>
      </c>
      <c r="C18" s="167" t="s">
        <v>103</v>
      </c>
      <c r="D18" s="167" t="s">
        <v>104</v>
      </c>
      <c r="E18" s="167" t="s">
        <v>105</v>
      </c>
      <c r="F18" s="167" t="s">
        <v>106</v>
      </c>
      <c r="G18" s="168">
        <v>2</v>
      </c>
      <c r="H18" s="168" t="s">
        <v>89</v>
      </c>
      <c r="I18" s="169" t="s">
        <v>350</v>
      </c>
      <c r="J18" s="170"/>
      <c r="K18" s="169" t="s">
        <v>350</v>
      </c>
      <c r="L18" s="168" t="s">
        <v>90</v>
      </c>
      <c r="M18" s="173" t="s">
        <v>875</v>
      </c>
      <c r="N18" s="15" t="s">
        <v>43</v>
      </c>
      <c r="O18" s="18"/>
      <c r="P18" s="15" t="s">
        <v>91</v>
      </c>
      <c r="Q18" s="17"/>
      <c r="R18" s="17"/>
      <c r="S18" s="39"/>
      <c r="T18" s="124" t="str">
        <f>IF(N18=CURSOS!$D$3,"DIPLOMADO EN ATENCION PRE-HOSPITALARIA",IF(N18=CURSOS!$D$4,"ACOMPAÑAMIENTO Y MANEJO DEL DUELO",IF(N18=CURSOS!$D$5,"ATENCION A VICTIMAS DE ATAQUE CON AGENTES QUIMICOS ",IF(N18=CURSOS!$D$6,"PRIMEROS AUXILIOS ",IF(N18=CURSOS!$D$7,"DIPLOMADO DE UNIDAD DE CUIDADOS INTENSIVOS (UCI)",IF(N18=CURSOS!$D$8,"MODELO DE ATENCION PARA EVENTOS EMERGENTES EN SALUD MENTAL (CODIGO VERDE)",IF(N18=CURSOS!$D$9,"HUMANIZACION EN EL SERVICIO DE LA SALUD Y BUENAS PRACTICAS EN PACIENTE ",IF(N18=CURSOS!$D$10,"CLINICA DE HERIDAS ",IF(N18=CURSOS!$D$11,"TOMA DE CITOLOGIA CERVICO VAGINAL ",IF(N18=CURSOS!$D$12,"SOPORTE CARDIOVASCULAR AVANZADO (ACLS) ",IF(N18=CURSOS!$D$13,"CAMILLERO ",IF(N18=CURSOS!$D$14,"TOMA DE MUESTRAS Y LABORATORIO ",IF(N18=CURSOS!$D$15,"SOPORTE VITAL BASICO (BLS)",IF(N18=CURSOS!$D$16,"ATENCION A VICTIMAS DE VIOLENCIA SEXUAL ",IF(N18=CURSOS!$D$17,"PROGRAMADO AMPLIADO DE INMUNIZACION (PAI - COVID 19)",IF(N18=CURSOS!$D$18,"ATENCION INTEGRAL EN ENFERMEDADES PREVALENTES EN PRIMERA INFANCIA (AIEPI)",IF(N18=CURSOS!$D$19,"ADMINISTRACION DE MEDICAMENTOS, INYECTOLOGIA  Y CANALIZACION ",IF(N18=CURSOS!$D$20,"OPERADOR DE VEHICULOS DE EMERGENCIA (OVE)",IF(N18=CURSOS!$D$21,"INSTITUCIONES AMIGAS DE LA MUJER Y LA INFANCIA (IAMI)",IF(N18=CURSOS!$D$22,"CUIDADO DEL DONANTE DE ORGANOS",IF(N18=CURSOS!$D$23,"ATENCION A VICTIMAS POR VIOLENCIA DE GENERO",IF(N18=CURSOS!$D$24,"IGUALDAD DE GENERO EN LA SALUD",IF(N18=CURSOS!$D$25,"BRIGADA DE EMERGENCIA",IF(N18=CURSOS!$D$26,"MANEJO DEL DOLOR Y CUIDADOS PALIATIVOS",IF(N18=CURSOS!$D$27,"TOMA DE MUESTRAS Y LABORATORIO POCT",IF(N18=CURSOS!$D$28,"IMPLANTE SUBDERMICO DE DISPOSITIVO INTRAUTERINO",IF(N18=CURSOS!$D$29,"SALUD MENTAL",IF(N18=CURSOS!$D$30,"PRIMEROS AUXILIOS PSICOLOGICOS",IF(N18=CURSOS!$D$31,"ATENCION A VICTIMAS POR CONFLICTO ARMADO",IF(N18=CURSOS!$D$32,"MANIPULACION DE ALIMENTOS Y BPM",IF(N18=CURSOS!$D$33,"ATENCION A PERSONAS CON DISCAPACIDAD",IF(N18=CURSOS!$D$34,"CUIDADO INTEGRAL DEL PACIENTE ADULTO",IF(N18=CURSOS!$D$35,"MANEJO DEFENSIVO",IF(N18=CURSOS!$D$36,"SOPORTE CARDIOVASCULAR AVANZADO NEONATAL",IF(N18=CURSOS!$D$37,"SEGURIDAD DEL PACIENTE")))))))))))))))))))))))))))))))))))</f>
        <v xml:space="preserve">ATENCION A VICTIMAS DE VIOLENCIA SEXUAL </v>
      </c>
      <c r="U18" s="124" t="str">
        <f t="shared" si="3"/>
        <v>Mauricio Gustavo Carlosama Chamorro</v>
      </c>
      <c r="V18" s="128" t="str">
        <f t="shared" si="4"/>
        <v>Mauricio Gustavo Carlosama Chamorro</v>
      </c>
      <c r="W18" s="138" t="str">
        <f t="shared" si="5"/>
        <v>Mauricio Gustavo Carlosama Chamorro-13070959-VIOLENCIA SEXUAL</v>
      </c>
    </row>
    <row r="19" spans="1:23" x14ac:dyDescent="0.2">
      <c r="A19" s="42">
        <v>18</v>
      </c>
      <c r="B19" s="166">
        <v>59856252</v>
      </c>
      <c r="C19" s="167" t="s">
        <v>102</v>
      </c>
      <c r="D19" s="167" t="s">
        <v>103</v>
      </c>
      <c r="E19" s="167" t="s">
        <v>107</v>
      </c>
      <c r="F19" s="167" t="s">
        <v>108</v>
      </c>
      <c r="G19" s="168">
        <v>2</v>
      </c>
      <c r="H19" s="168" t="s">
        <v>89</v>
      </c>
      <c r="I19" s="169" t="s">
        <v>350</v>
      </c>
      <c r="J19" s="170"/>
      <c r="K19" s="169" t="s">
        <v>350</v>
      </c>
      <c r="L19" s="168" t="s">
        <v>90</v>
      </c>
      <c r="M19" s="173" t="s">
        <v>875</v>
      </c>
      <c r="N19" s="15" t="s">
        <v>19</v>
      </c>
      <c r="O19" s="18"/>
      <c r="P19" s="15" t="s">
        <v>101</v>
      </c>
      <c r="Q19" s="17"/>
      <c r="R19" s="17"/>
      <c r="S19" s="17"/>
      <c r="T19" s="124" t="str">
        <f>IF(N19=CURSOS!$D$3,"DIPLOMADO EN ATENCION PRE-HOSPITALARIA",IF(N19=CURSOS!$D$4,"ACOMPAÑAMIENTO Y MANEJO DEL DUELO",IF(N19=CURSOS!$D$5,"ATENCION A VICTIMAS DE ATAQUE CON AGENTES QUIMICOS ",IF(N19=CURSOS!$D$6,"PRIMEROS AUXILIOS ",IF(N19=CURSOS!$D$7,"DIPLOMADO DE UNIDAD DE CUIDADOS INTENSIVOS (UCI)",IF(N19=CURSOS!$D$8,"MODELO DE ATENCION PARA EVENTOS EMERGENTES EN SALUD MENTAL (CODIGO VERDE)",IF(N19=CURSOS!$D$9,"HUMANIZACION EN EL SERVICIO DE LA SALUD Y BUENAS PRACTICAS EN PACIENTE ",IF(N19=CURSOS!$D$10,"CLINICA DE HERIDAS ",IF(N19=CURSOS!$D$11,"TOMA DE CITOLOGIA CERVICO VAGINAL ",IF(N19=CURSOS!$D$12,"SOPORTE CARDIOVASCULAR AVANZADO (ACLS) ",IF(N19=CURSOS!$D$13,"CAMILLERO ",IF(N19=CURSOS!$D$14,"TOMA DE MUESTRAS Y LABORATORIO ",IF(N19=CURSOS!$D$15,"SOPORTE VITAL BASICO (BLS)",IF(N19=CURSOS!$D$16,"ATENCION A VICTIMAS DE VIOLENCIA SEXUAL ",IF(N19=CURSOS!$D$17,"PROGRAMADO AMPLIADO DE INMUNIZACION (PAI - COVID 19)",IF(N19=CURSOS!$D$18,"ATENCION INTEGRAL EN ENFERMEDADES PREVALENTES EN PRIMERA INFANCIA (AIEPI)",IF(N19=CURSOS!$D$19,"ADMINISTRACION DE MEDICAMENTOS, INYECTOLOGIA  Y CANALIZACION ",IF(N19=CURSOS!$D$20,"OPERADOR DE VEHICULOS DE EMERGENCIA (OVE)",IF(N19=CURSOS!$D$21,"INSTITUCIONES AMIGAS DE LA MUJER Y LA INFANCIA (IAMI)",IF(N19=CURSOS!$D$22,"CUIDADO DEL DONANTE DE ORGANOS",IF(N19=CURSOS!$D$23,"ATENCION A VICTIMAS POR VIOLENCIA DE GENERO",IF(N19=CURSOS!$D$24,"IGUALDAD DE GENERO EN LA SALUD",IF(N19=CURSOS!$D$25,"BRIGADA DE EMERGENCIA",IF(N19=CURSOS!$D$26,"MANEJO DEL DOLOR Y CUIDADOS PALIATIVOS",IF(N19=CURSOS!$D$27,"TOMA DE MUESTRAS Y LABORATORIO POCT",IF(N19=CURSOS!$D$28,"IMPLANTE SUBDERMICO DE DISPOSITIVO INTRAUTERINO",IF(N19=CURSOS!$D$29,"SALUD MENTAL",IF(N19=CURSOS!$D$30,"PRIMEROS AUXILIOS PSICOLOGICOS",IF(N19=CURSOS!$D$31,"ATENCION A VICTIMAS POR CONFLICTO ARMADO",IF(N19=CURSOS!$D$32,"MANIPULACION DE ALIMENTOS Y BPM",IF(N19=CURSOS!$D$33,"ATENCION A PERSONAS CON DISCAPACIDAD",IF(N19=CURSOS!$D$34,"CUIDADO INTEGRAL DEL PACIENTE ADULTO",IF(N19=CURSOS!$D$35,"MANEJO DEFENSIVO",IF(N19=CURSOS!$D$36,"SOPORTE CARDIOVASCULAR AVANZADO NEONATAL",IF(N19=CURSOS!$D$37,"SEGURIDAD DEL PACIENTE")))))))))))))))))))))))))))))))))))</f>
        <v>SOPORTE VITAL BASICO (BLS)</v>
      </c>
      <c r="U19" s="124" t="str">
        <f t="shared" si="3"/>
        <v>Ingrid Joana Castillo Carlosama</v>
      </c>
      <c r="V19" s="128" t="str">
        <f t="shared" si="4"/>
        <v>Ingrid Joana Castillo Carlosama</v>
      </c>
      <c r="W19" s="138" t="str">
        <f t="shared" si="5"/>
        <v>Ingrid Joana Castillo Carlosama-59856252-BLS</v>
      </c>
    </row>
    <row r="20" spans="1:23" x14ac:dyDescent="0.2">
      <c r="A20" s="42">
        <v>19</v>
      </c>
      <c r="B20" s="166">
        <v>59856252</v>
      </c>
      <c r="C20" s="167" t="s">
        <v>102</v>
      </c>
      <c r="D20" s="167" t="s">
        <v>103</v>
      </c>
      <c r="E20" s="167" t="s">
        <v>107</v>
      </c>
      <c r="F20" s="167" t="s">
        <v>108</v>
      </c>
      <c r="G20" s="168">
        <v>2</v>
      </c>
      <c r="H20" s="168" t="s">
        <v>89</v>
      </c>
      <c r="I20" s="169" t="s">
        <v>350</v>
      </c>
      <c r="J20" s="170"/>
      <c r="K20" s="169" t="s">
        <v>350</v>
      </c>
      <c r="L20" s="168" t="s">
        <v>90</v>
      </c>
      <c r="M20" s="173" t="s">
        <v>875</v>
      </c>
      <c r="N20" s="15" t="s">
        <v>33</v>
      </c>
      <c r="O20" s="18"/>
      <c r="P20" s="15" t="s">
        <v>101</v>
      </c>
      <c r="Q20" s="17"/>
      <c r="R20" s="17"/>
      <c r="S20" s="17"/>
      <c r="T20" s="124" t="str">
        <f>IF(N20=CURSOS!$D$3,"DIPLOMADO EN ATENCION PRE-HOSPITALARIA",IF(N20=CURSOS!$D$4,"ACOMPAÑAMIENTO Y MANEJO DEL DUELO",IF(N20=CURSOS!$D$5,"ATENCION A VICTIMAS DE ATAQUE CON AGENTES QUIMICOS ",IF(N20=CURSOS!$D$6,"PRIMEROS AUXILIOS ",IF(N20=CURSOS!$D$7,"DIPLOMADO DE UNIDAD DE CUIDADOS INTENSIVOS (UCI)",IF(N20=CURSOS!$D$8,"MODELO DE ATENCION PARA EVENTOS EMERGENTES EN SALUD MENTAL (CODIGO VERDE)",IF(N20=CURSOS!$D$9,"HUMANIZACION EN EL SERVICIO DE LA SALUD Y BUENAS PRACTICAS EN PACIENTE ",IF(N20=CURSOS!$D$10,"CLINICA DE HERIDAS ",IF(N20=CURSOS!$D$11,"TOMA DE CITOLOGIA CERVICO VAGINAL ",IF(N20=CURSOS!$D$12,"SOPORTE CARDIOVASCULAR AVANZADO (ACLS) ",IF(N20=CURSOS!$D$13,"CAMILLERO ",IF(N20=CURSOS!$D$14,"TOMA DE MUESTRAS Y LABORATORIO ",IF(N20=CURSOS!$D$15,"SOPORTE VITAL BASICO (BLS)",IF(N20=CURSOS!$D$16,"ATENCION A VICTIMAS DE VIOLENCIA SEXUAL ",IF(N20=CURSOS!$D$17,"PROGRAMADO AMPLIADO DE INMUNIZACION (PAI - COVID 19)",IF(N20=CURSOS!$D$18,"ATENCION INTEGRAL EN ENFERMEDADES PREVALENTES EN PRIMERA INFANCIA (AIEPI)",IF(N20=CURSOS!$D$19,"ADMINISTRACION DE MEDICAMENTOS, INYECTOLOGIA  Y CANALIZACION ",IF(N20=CURSOS!$D$20,"OPERADOR DE VEHICULOS DE EMERGENCIA (OVE)",IF(N20=CURSOS!$D$21,"INSTITUCIONES AMIGAS DE LA MUJER Y LA INFANCIA (IAMI)",IF(N20=CURSOS!$D$22,"CUIDADO DEL DONANTE DE ORGANOS",IF(N20=CURSOS!$D$23,"ATENCION A VICTIMAS POR VIOLENCIA DE GENERO",IF(N20=CURSOS!$D$24,"IGUALDAD DE GENERO EN LA SALUD",IF(N20=CURSOS!$D$25,"BRIGADA DE EMERGENCIA",IF(N20=CURSOS!$D$26,"MANEJO DEL DOLOR Y CUIDADOS PALIATIVOS",IF(N20=CURSOS!$D$27,"TOMA DE MUESTRAS Y LABORATORIO POCT",IF(N20=CURSOS!$D$28,"IMPLANTE SUBDERMICO DE DISPOSITIVO INTRAUTERINO",IF(N20=CURSOS!$D$29,"SALUD MENTAL",IF(N20=CURSOS!$D$30,"PRIMEROS AUXILIOS PSICOLOGICOS",IF(N20=CURSOS!$D$31,"ATENCION A VICTIMAS POR CONFLICTO ARMADO",IF(N20=CURSOS!$D$32,"MANIPULACION DE ALIMENTOS Y BPM",IF(N20=CURSOS!$D$33,"ATENCION A PERSONAS CON DISCAPACIDAD",IF(N20=CURSOS!$D$34,"CUIDADO INTEGRAL DEL PACIENTE ADULTO",IF(N20=CURSOS!$D$35,"MANEJO DEFENSIVO",IF(N20=CURSOS!$D$36,"SOPORTE CARDIOVASCULAR AVANZADO NEONATAL",IF(N20=CURSOS!$D$37,"SEGURIDAD DEL PACIENTE")))))))))))))))))))))))))))))))))))</f>
        <v xml:space="preserve">HUMANIZACION EN EL SERVICIO DE LA SALUD Y BUENAS PRACTICAS EN PACIENTE </v>
      </c>
      <c r="U20" s="124" t="str">
        <f t="shared" si="3"/>
        <v>Ingrid Joana Castillo Carlosama</v>
      </c>
      <c r="V20" s="128" t="str">
        <f t="shared" si="4"/>
        <v>Ingrid Joana Castillo Carlosama</v>
      </c>
      <c r="W20" s="138" t="str">
        <f t="shared" si="5"/>
        <v>Ingrid Joana Castillo Carlosama-59856252-HUMANIZACION</v>
      </c>
    </row>
    <row r="21" spans="1:23" x14ac:dyDescent="0.2">
      <c r="A21" s="42">
        <v>20</v>
      </c>
      <c r="B21" s="43">
        <v>1087209119</v>
      </c>
      <c r="C21" s="17" t="s">
        <v>109</v>
      </c>
      <c r="D21" s="17" t="s">
        <v>110</v>
      </c>
      <c r="E21" s="17" t="s">
        <v>111</v>
      </c>
      <c r="F21" s="17" t="s">
        <v>112</v>
      </c>
      <c r="G21" s="14">
        <v>2</v>
      </c>
      <c r="H21" s="14" t="s">
        <v>89</v>
      </c>
      <c r="I21" s="16">
        <v>45475</v>
      </c>
      <c r="J21" s="19">
        <v>40000</v>
      </c>
      <c r="K21" s="14" t="s">
        <v>214</v>
      </c>
      <c r="L21" s="14" t="s">
        <v>90</v>
      </c>
      <c r="M21" s="14" t="s">
        <v>97</v>
      </c>
      <c r="N21" s="15" t="s">
        <v>43</v>
      </c>
      <c r="O21" s="18">
        <v>35673</v>
      </c>
      <c r="P21" s="15" t="s">
        <v>101</v>
      </c>
      <c r="Q21" s="17"/>
      <c r="R21" s="17"/>
      <c r="S21" s="17" t="s">
        <v>113</v>
      </c>
      <c r="T21" s="124" t="str">
        <f>IF(N21=CURSOS!$D$3,"DIPLOMADO EN ATENCION PRE-HOSPITALARIA",IF(N21=CURSOS!$D$4,"ACOMPAÑAMIENTO Y MANEJO DEL DUELO",IF(N21=CURSOS!$D$5,"ATENCION A VICTIMAS DE ATAQUE CON AGENTES QUIMICOS ",IF(N21=CURSOS!$D$6,"PRIMEROS AUXILIOS ",IF(N21=CURSOS!$D$7,"DIPLOMADO DE UNIDAD DE CUIDADOS INTENSIVOS (UCI)",IF(N21=CURSOS!$D$8,"MODELO DE ATENCION PARA EVENTOS EMERGENTES EN SALUD MENTAL (CODIGO VERDE)",IF(N21=CURSOS!$D$9,"HUMANIZACION EN EL SERVICIO DE LA SALUD Y BUENAS PRACTICAS EN PACIENTE ",IF(N21=CURSOS!$D$10,"CLINICA DE HERIDAS ",IF(N21=CURSOS!$D$11,"TOMA DE CITOLOGIA CERVICO VAGINAL ",IF(N21=CURSOS!$D$12,"SOPORTE CARDIOVASCULAR AVANZADO (ACLS) ",IF(N21=CURSOS!$D$13,"CAMILLERO ",IF(N21=CURSOS!$D$14,"TOMA DE MUESTRAS Y LABORATORIO ",IF(N21=CURSOS!$D$15,"SOPORTE VITAL BASICO (BLS)",IF(N21=CURSOS!$D$16,"ATENCION A VICTIMAS DE VIOLENCIA SEXUAL ",IF(N21=CURSOS!$D$17,"PROGRAMADO AMPLIADO DE INMUNIZACION (PAI - COVID 19)",IF(N21=CURSOS!$D$18,"ATENCION INTEGRAL EN ENFERMEDADES PREVALENTES EN PRIMERA INFANCIA (AIEPI)",IF(N21=CURSOS!$D$19,"ADMINISTRACION DE MEDICAMENTOS, INYECTOLOGIA  Y CANALIZACION ",IF(N21=CURSOS!$D$20,"OPERADOR DE VEHICULOS DE EMERGENCIA (OVE)",IF(N21=CURSOS!$D$21,"INSTITUCIONES AMIGAS DE LA MUJER Y LA INFANCIA (IAMI)",IF(N21=CURSOS!$D$22,"CUIDADO DEL DONANTE DE ORGANOS",IF(N21=CURSOS!$D$23,"ATENCION A VICTIMAS POR VIOLENCIA DE GENERO",IF(N21=CURSOS!$D$24,"IGUALDAD DE GENERO EN LA SALUD",IF(N21=CURSOS!$D$25,"BRIGADA DE EMERGENCIA",IF(N21=CURSOS!$D$26,"MANEJO DEL DOLOR Y CUIDADOS PALIATIVOS",IF(N21=CURSOS!$D$27,"TOMA DE MUESTRAS Y LABORATORIO POCT",IF(N21=CURSOS!$D$28,"IMPLANTE SUBDERMICO DE DISPOSITIVO INTRAUTERINO",IF(N21=CURSOS!$D$29,"SALUD MENTAL",IF(N21=CURSOS!$D$30,"PRIMEROS AUXILIOS PSICOLOGICOS",IF(N21=CURSOS!$D$31,"ATENCION A VICTIMAS POR CONFLICTO ARMADO",IF(N21=CURSOS!$D$32,"MANIPULACION DE ALIMENTOS Y BPM",IF(N21=CURSOS!$D$33,"ATENCION A PERSONAS CON DISCAPACIDAD",IF(N21=CURSOS!$D$34,"CUIDADO INTEGRAL DEL PACIENTE ADULTO",IF(N21=CURSOS!$D$35,"MANEJO DEFENSIVO",IF(N21=CURSOS!$D$36,"SOPORTE CARDIOVASCULAR AVANZADO NEONATAL",IF(N21=CURSOS!$D$37,"SEGURIDAD DEL PACIENTE")))))))))))))))))))))))))))))))))))</f>
        <v xml:space="preserve">ATENCION A VICTIMAS DE VIOLENCIA SEXUAL </v>
      </c>
      <c r="U21" s="124" t="str">
        <f t="shared" si="3"/>
        <v>Katherin Fernanda Obando Rivera</v>
      </c>
      <c r="V21" s="128" t="str">
        <f t="shared" si="4"/>
        <v>Katherin Fernanda Obando Rivera</v>
      </c>
      <c r="W21" s="138" t="str">
        <f t="shared" si="5"/>
        <v>Katherin Fernanda Obando Rivera-1087209119-VIOLENCIA SEXUAL</v>
      </c>
    </row>
    <row r="22" spans="1:23" x14ac:dyDescent="0.2">
      <c r="A22" s="42">
        <v>21</v>
      </c>
      <c r="B22" s="43">
        <v>36759646</v>
      </c>
      <c r="C22" s="17" t="s">
        <v>114</v>
      </c>
      <c r="D22" s="17" t="s">
        <v>115</v>
      </c>
      <c r="E22" s="17" t="s">
        <v>116</v>
      </c>
      <c r="F22" s="17" t="s">
        <v>117</v>
      </c>
      <c r="G22" s="14">
        <v>2</v>
      </c>
      <c r="H22" s="14" t="s">
        <v>89</v>
      </c>
      <c r="I22" s="16">
        <v>45475</v>
      </c>
      <c r="J22" s="19">
        <v>40000</v>
      </c>
      <c r="K22" s="14" t="s">
        <v>246</v>
      </c>
      <c r="L22" s="14" t="s">
        <v>90</v>
      </c>
      <c r="M22" s="14" t="s">
        <v>118</v>
      </c>
      <c r="N22" s="15" t="s">
        <v>23</v>
      </c>
      <c r="O22" s="18">
        <v>30181</v>
      </c>
      <c r="P22" s="15" t="s">
        <v>101</v>
      </c>
      <c r="Q22" s="17" t="s">
        <v>119</v>
      </c>
      <c r="R22" s="17">
        <v>3104437182</v>
      </c>
      <c r="S22" s="39" t="s">
        <v>120</v>
      </c>
      <c r="T22" s="124" t="str">
        <f>IF(N22=CURSOS!$D$3,"DIPLOMADO EN ATENCION PRE-HOSPITALARIA",IF(N22=CURSOS!$D$4,"ACOMPAÑAMIENTO Y MANEJO DEL DUELO",IF(N22=CURSOS!$D$5,"ATENCION A VICTIMAS DE ATAQUE CON AGENTES QUIMICOS ",IF(N22=CURSOS!$D$6,"PRIMEROS AUXILIOS ",IF(N22=CURSOS!$D$7,"DIPLOMADO DE UNIDAD DE CUIDADOS INTENSIVOS (UCI)",IF(N22=CURSOS!$D$8,"MODELO DE ATENCION PARA EVENTOS EMERGENTES EN SALUD MENTAL (CODIGO VERDE)",IF(N22=CURSOS!$D$9,"HUMANIZACION EN EL SERVICIO DE LA SALUD Y BUENAS PRACTICAS EN PACIENTE ",IF(N22=CURSOS!$D$10,"CLINICA DE HERIDAS ",IF(N22=CURSOS!$D$11,"TOMA DE CITOLOGIA CERVICO VAGINAL ",IF(N22=CURSOS!$D$12,"SOPORTE CARDIOVASCULAR AVANZADO (ACLS) ",IF(N22=CURSOS!$D$13,"CAMILLERO ",IF(N22=CURSOS!$D$14,"TOMA DE MUESTRAS Y LABORATORIO ",IF(N22=CURSOS!$D$15,"SOPORTE VITAL BASICO (BLS)",IF(N22=CURSOS!$D$16,"ATENCION A VICTIMAS DE VIOLENCIA SEXUAL ",IF(N22=CURSOS!$D$17,"PROGRAMADO AMPLIADO DE INMUNIZACION (PAI - COVID 19)",IF(N22=CURSOS!$D$18,"ATENCION INTEGRAL EN ENFERMEDADES PREVALENTES EN PRIMERA INFANCIA (AIEPI)",IF(N22=CURSOS!$D$19,"ADMINISTRACION DE MEDICAMENTOS, INYECTOLOGIA  Y CANALIZACION ",IF(N22=CURSOS!$D$20,"OPERADOR DE VEHICULOS DE EMERGENCIA (OVE)",IF(N22=CURSOS!$D$21,"INSTITUCIONES AMIGAS DE LA MUJER Y LA INFANCIA (IAMI)",IF(N22=CURSOS!$D$22,"CUIDADO DEL DONANTE DE ORGANOS",IF(N22=CURSOS!$D$23,"ATENCION A VICTIMAS POR VIOLENCIA DE GENERO",IF(N22=CURSOS!$D$24,"IGUALDAD DE GENERO EN LA SALUD",IF(N22=CURSOS!$D$25,"BRIGADA DE EMERGENCIA",IF(N22=CURSOS!$D$26,"MANEJO DEL DOLOR Y CUIDADOS PALIATIVOS",IF(N22=CURSOS!$D$27,"TOMA DE MUESTRAS Y LABORATORIO POCT",IF(N22=CURSOS!$D$28,"IMPLANTE SUBDERMICO DE DISPOSITIVO INTRAUTERINO",IF(N22=CURSOS!$D$29,"SALUD MENTAL",IF(N22=CURSOS!$D$30,"PRIMEROS AUXILIOS PSICOLOGICOS",IF(N22=CURSOS!$D$31,"ATENCION A VICTIMAS POR CONFLICTO ARMADO",IF(N22=CURSOS!$D$32,"MANIPULACION DE ALIMENTOS Y BPM",IF(N22=CURSOS!$D$33,"ATENCION A PERSONAS CON DISCAPACIDAD",IF(N22=CURSOS!$D$34,"CUIDADO INTEGRAL DEL PACIENTE ADULTO",IF(N22=CURSOS!$D$35,"MANEJO DEFENSIVO",IF(N22=CURSOS!$D$36,"SOPORTE CARDIOVASCULAR AVANZADO NEONATAL",IF(N22=CURSOS!$D$37,"SEGURIDAD DEL PACIENTE")))))))))))))))))))))))))))))))))))</f>
        <v>ACOMPAÑAMIENTO Y MANEJO DEL DUELO</v>
      </c>
      <c r="U22" s="124" t="str">
        <f t="shared" si="3"/>
        <v>Doris Elena Rosero Florez</v>
      </c>
      <c r="V22" s="128" t="str">
        <f t="shared" si="4"/>
        <v>Doris Elena Rosero Florez</v>
      </c>
      <c r="W22" s="138" t="str">
        <f t="shared" si="5"/>
        <v>Doris Elena Rosero Florez-36759646-DUELO</v>
      </c>
    </row>
    <row r="23" spans="1:23" x14ac:dyDescent="0.2">
      <c r="A23" s="42">
        <v>22</v>
      </c>
      <c r="B23" s="43">
        <v>1088738129</v>
      </c>
      <c r="C23" s="17" t="s">
        <v>121</v>
      </c>
      <c r="D23" s="17" t="s">
        <v>122</v>
      </c>
      <c r="E23" s="17" t="s">
        <v>123</v>
      </c>
      <c r="F23" s="17" t="s">
        <v>124</v>
      </c>
      <c r="G23" s="14">
        <v>3</v>
      </c>
      <c r="H23" s="14" t="s">
        <v>89</v>
      </c>
      <c r="I23" s="16">
        <v>45476</v>
      </c>
      <c r="J23" s="19">
        <v>32000</v>
      </c>
      <c r="K23" s="14" t="s">
        <v>214</v>
      </c>
      <c r="L23" s="14" t="s">
        <v>90</v>
      </c>
      <c r="M23" s="14" t="s">
        <v>125</v>
      </c>
      <c r="N23" s="15" t="s">
        <v>25</v>
      </c>
      <c r="O23" s="18">
        <v>35666</v>
      </c>
      <c r="P23" s="15" t="s">
        <v>101</v>
      </c>
      <c r="Q23" s="17" t="s">
        <v>126</v>
      </c>
      <c r="R23" s="17">
        <v>3206519226</v>
      </c>
      <c r="S23" s="17" t="s">
        <v>127</v>
      </c>
      <c r="T23" s="124" t="str">
        <f>IF(N23=CURSOS!$D$3,"DIPLOMADO EN ATENCION PRE-HOSPITALARIA",IF(N23=CURSOS!$D$4,"ACOMPAÑAMIENTO Y MANEJO DEL DUELO",IF(N23=CURSOS!$D$5,"ATENCION A VICTIMAS DE ATAQUE CON AGENTES QUIMICOS ",IF(N23=CURSOS!$D$6,"PRIMEROS AUXILIOS ",IF(N23=CURSOS!$D$7,"DIPLOMADO DE UNIDAD DE CUIDADOS INTENSIVOS (UCI)",IF(N23=CURSOS!$D$8,"MODELO DE ATENCION PARA EVENTOS EMERGENTES EN SALUD MENTAL (CODIGO VERDE)",IF(N23=CURSOS!$D$9,"HUMANIZACION EN EL SERVICIO DE LA SALUD Y BUENAS PRACTICAS EN PACIENTE ",IF(N23=CURSOS!$D$10,"CLINICA DE HERIDAS ",IF(N23=CURSOS!$D$11,"TOMA DE CITOLOGIA CERVICO VAGINAL ",IF(N23=CURSOS!$D$12,"SOPORTE CARDIOVASCULAR AVANZADO (ACLS) ",IF(N23=CURSOS!$D$13,"CAMILLERO ",IF(N23=CURSOS!$D$14,"TOMA DE MUESTRAS Y LABORATORIO ",IF(N23=CURSOS!$D$15,"SOPORTE VITAL BASICO (BLS)",IF(N23=CURSOS!$D$16,"ATENCION A VICTIMAS DE VIOLENCIA SEXUAL ",IF(N23=CURSOS!$D$17,"PROGRAMADO AMPLIADO DE INMUNIZACION (PAI - COVID 19)",IF(N23=CURSOS!$D$18,"ATENCION INTEGRAL EN ENFERMEDADES PREVALENTES EN PRIMERA INFANCIA (AIEPI)",IF(N23=CURSOS!$D$19,"ADMINISTRACION DE MEDICAMENTOS, INYECTOLOGIA  Y CANALIZACION ",IF(N23=CURSOS!$D$20,"OPERADOR DE VEHICULOS DE EMERGENCIA (OVE)",IF(N23=CURSOS!$D$21,"INSTITUCIONES AMIGAS DE LA MUJER Y LA INFANCIA (IAMI)",IF(N23=CURSOS!$D$22,"CUIDADO DEL DONANTE DE ORGANOS",IF(N23=CURSOS!$D$23,"ATENCION A VICTIMAS POR VIOLENCIA DE GENERO",IF(N23=CURSOS!$D$24,"IGUALDAD DE GENERO EN LA SALUD",IF(N23=CURSOS!$D$25,"BRIGADA DE EMERGENCIA",IF(N23=CURSOS!$D$26,"MANEJO DEL DOLOR Y CUIDADOS PALIATIVOS",IF(N23=CURSOS!$D$27,"TOMA DE MUESTRAS Y LABORATORIO POCT",IF(N23=CURSOS!$D$28,"IMPLANTE SUBDERMICO DE DISPOSITIVO INTRAUTERINO",IF(N23=CURSOS!$D$29,"SALUD MENTAL",IF(N23=CURSOS!$D$30,"PRIMEROS AUXILIOS PSICOLOGICOS",IF(N23=CURSOS!$D$31,"ATENCION A VICTIMAS POR CONFLICTO ARMADO",IF(N23=CURSOS!$D$32,"MANIPULACION DE ALIMENTOS Y BPM",IF(N23=CURSOS!$D$33,"ATENCION A PERSONAS CON DISCAPACIDAD",IF(N23=CURSOS!$D$34,"CUIDADO INTEGRAL DEL PACIENTE ADULTO",IF(N23=CURSOS!$D$35,"MANEJO DEFENSIVO",IF(N23=CURSOS!$D$36,"SOPORTE CARDIOVASCULAR AVANZADO NEONATAL",IF(N23=CURSOS!$D$37,"SEGURIDAD DEL PACIENTE")))))))))))))))))))))))))))))))))))</f>
        <v xml:space="preserve">ATENCION A VICTIMAS DE ATAQUE CON AGENTES QUIMICOS </v>
      </c>
      <c r="U23" s="124" t="str">
        <f t="shared" si="3"/>
        <v>Yaney Nayibe Pantoja Benavides</v>
      </c>
      <c r="V23" s="128" t="str">
        <f t="shared" si="4"/>
        <v>Yaney Nayibe Pantoja Benavides</v>
      </c>
      <c r="W23" s="138" t="str">
        <f t="shared" si="5"/>
        <v>Yaney Nayibe Pantoja Benavides-1088738129-QUIMICOS</v>
      </c>
    </row>
    <row r="24" spans="1:23" x14ac:dyDescent="0.2">
      <c r="A24" s="42">
        <v>23</v>
      </c>
      <c r="B24" s="43">
        <v>1088738129</v>
      </c>
      <c r="C24" s="17" t="s">
        <v>121</v>
      </c>
      <c r="D24" s="17" t="s">
        <v>122</v>
      </c>
      <c r="E24" s="17" t="s">
        <v>123</v>
      </c>
      <c r="F24" s="17" t="s">
        <v>124</v>
      </c>
      <c r="G24" s="14">
        <v>3</v>
      </c>
      <c r="H24" s="14" t="s">
        <v>89</v>
      </c>
      <c r="I24" s="16">
        <v>45476</v>
      </c>
      <c r="J24" s="19">
        <v>32000</v>
      </c>
      <c r="K24" s="14" t="s">
        <v>214</v>
      </c>
      <c r="L24" s="14" t="s">
        <v>90</v>
      </c>
      <c r="M24" s="14" t="s">
        <v>125</v>
      </c>
      <c r="N24" s="15" t="s">
        <v>23</v>
      </c>
      <c r="O24" s="18">
        <v>35666</v>
      </c>
      <c r="P24" s="15" t="s">
        <v>101</v>
      </c>
      <c r="Q24" s="17" t="s">
        <v>126</v>
      </c>
      <c r="R24" s="17">
        <v>3206519226</v>
      </c>
      <c r="S24" s="17" t="s">
        <v>127</v>
      </c>
      <c r="T24" s="124" t="str">
        <f>IF(N24=CURSOS!$D$3,"DIPLOMADO EN ATENCION PRE-HOSPITALARIA",IF(N24=CURSOS!$D$4,"ACOMPAÑAMIENTO Y MANEJO DEL DUELO",IF(N24=CURSOS!$D$5,"ATENCION A VICTIMAS DE ATAQUE CON AGENTES QUIMICOS ",IF(N24=CURSOS!$D$6,"PRIMEROS AUXILIOS ",IF(N24=CURSOS!$D$7,"DIPLOMADO DE UNIDAD DE CUIDADOS INTENSIVOS (UCI)",IF(N24=CURSOS!$D$8,"MODELO DE ATENCION PARA EVENTOS EMERGENTES EN SALUD MENTAL (CODIGO VERDE)",IF(N24=CURSOS!$D$9,"HUMANIZACION EN EL SERVICIO DE LA SALUD Y BUENAS PRACTICAS EN PACIENTE ",IF(N24=CURSOS!$D$10,"CLINICA DE HERIDAS ",IF(N24=CURSOS!$D$11,"TOMA DE CITOLOGIA CERVICO VAGINAL ",IF(N24=CURSOS!$D$12,"SOPORTE CARDIOVASCULAR AVANZADO (ACLS) ",IF(N24=CURSOS!$D$13,"CAMILLERO ",IF(N24=CURSOS!$D$14,"TOMA DE MUESTRAS Y LABORATORIO ",IF(N24=CURSOS!$D$15,"SOPORTE VITAL BASICO (BLS)",IF(N24=CURSOS!$D$16,"ATENCION A VICTIMAS DE VIOLENCIA SEXUAL ",IF(N24=CURSOS!$D$17,"PROGRAMADO AMPLIADO DE INMUNIZACION (PAI - COVID 19)",IF(N24=CURSOS!$D$18,"ATENCION INTEGRAL EN ENFERMEDADES PREVALENTES EN PRIMERA INFANCIA (AIEPI)",IF(N24=CURSOS!$D$19,"ADMINISTRACION DE MEDICAMENTOS, INYECTOLOGIA  Y CANALIZACION ",IF(N24=CURSOS!$D$20,"OPERADOR DE VEHICULOS DE EMERGENCIA (OVE)",IF(N24=CURSOS!$D$21,"INSTITUCIONES AMIGAS DE LA MUJER Y LA INFANCIA (IAMI)",IF(N24=CURSOS!$D$22,"CUIDADO DEL DONANTE DE ORGANOS",IF(N24=CURSOS!$D$23,"ATENCION A VICTIMAS POR VIOLENCIA DE GENERO",IF(N24=CURSOS!$D$24,"IGUALDAD DE GENERO EN LA SALUD",IF(N24=CURSOS!$D$25,"BRIGADA DE EMERGENCIA",IF(N24=CURSOS!$D$26,"MANEJO DEL DOLOR Y CUIDADOS PALIATIVOS",IF(N24=CURSOS!$D$27,"TOMA DE MUESTRAS Y LABORATORIO POCT",IF(N24=CURSOS!$D$28,"IMPLANTE SUBDERMICO DE DISPOSITIVO INTRAUTERINO",IF(N24=CURSOS!$D$29,"SALUD MENTAL",IF(N24=CURSOS!$D$30,"PRIMEROS AUXILIOS PSICOLOGICOS",IF(N24=CURSOS!$D$31,"ATENCION A VICTIMAS POR CONFLICTO ARMADO",IF(N24=CURSOS!$D$32,"MANIPULACION DE ALIMENTOS Y BPM",IF(N24=CURSOS!$D$33,"ATENCION A PERSONAS CON DISCAPACIDAD",IF(N24=CURSOS!$D$34,"CUIDADO INTEGRAL DEL PACIENTE ADULTO",IF(N24=CURSOS!$D$35,"MANEJO DEFENSIVO",IF(N24=CURSOS!$D$36,"SOPORTE CARDIOVASCULAR AVANZADO NEONATAL",IF(N24=CURSOS!$D$37,"SEGURIDAD DEL PACIENTE")))))))))))))))))))))))))))))))))))</f>
        <v>ACOMPAÑAMIENTO Y MANEJO DEL DUELO</v>
      </c>
      <c r="U24" s="124" t="str">
        <f t="shared" si="3"/>
        <v>Yaney Nayibe Pantoja Benavides</v>
      </c>
      <c r="V24" s="128" t="str">
        <f t="shared" si="4"/>
        <v>Yaney Nayibe Pantoja Benavides</v>
      </c>
      <c r="W24" s="138" t="str">
        <f t="shared" si="5"/>
        <v>Yaney Nayibe Pantoja Benavides-1088738129-DUELO</v>
      </c>
    </row>
    <row r="25" spans="1:23" x14ac:dyDescent="0.2">
      <c r="A25" s="42">
        <v>24</v>
      </c>
      <c r="B25" s="43">
        <v>12753421</v>
      </c>
      <c r="C25" s="17" t="s">
        <v>128</v>
      </c>
      <c r="D25" s="17" t="s">
        <v>129</v>
      </c>
      <c r="E25" s="17" t="s">
        <v>130</v>
      </c>
      <c r="F25" s="17" t="s">
        <v>131</v>
      </c>
      <c r="G25" s="14">
        <v>3</v>
      </c>
      <c r="H25" s="14" t="s">
        <v>89</v>
      </c>
      <c r="I25" s="16">
        <v>45476</v>
      </c>
      <c r="J25" s="19">
        <v>30000</v>
      </c>
      <c r="K25" s="14" t="s">
        <v>210</v>
      </c>
      <c r="L25" s="14" t="s">
        <v>90</v>
      </c>
      <c r="M25" s="14" t="s">
        <v>132</v>
      </c>
      <c r="N25" s="15" t="s">
        <v>25</v>
      </c>
      <c r="O25" s="18">
        <v>30265</v>
      </c>
      <c r="P25" s="15" t="s">
        <v>91</v>
      </c>
      <c r="Q25" s="17" t="s">
        <v>133</v>
      </c>
      <c r="R25" s="17">
        <v>3127037697</v>
      </c>
      <c r="S25" s="17" t="s">
        <v>134</v>
      </c>
      <c r="T25" s="124" t="str">
        <f>IF(N25=CURSOS!$D$3,"DIPLOMADO EN ATENCION PRE-HOSPITALARIA",IF(N25=CURSOS!$D$4,"ACOMPAÑAMIENTO Y MANEJO DEL DUELO",IF(N25=CURSOS!$D$5,"ATENCION A VICTIMAS DE ATAQUE CON AGENTES QUIMICOS ",IF(N25=CURSOS!$D$6,"PRIMEROS AUXILIOS ",IF(N25=CURSOS!$D$7,"DIPLOMADO DE UNIDAD DE CUIDADOS INTENSIVOS (UCI)",IF(N25=CURSOS!$D$8,"MODELO DE ATENCION PARA EVENTOS EMERGENTES EN SALUD MENTAL (CODIGO VERDE)",IF(N25=CURSOS!$D$9,"HUMANIZACION EN EL SERVICIO DE LA SALUD Y BUENAS PRACTICAS EN PACIENTE ",IF(N25=CURSOS!$D$10,"CLINICA DE HERIDAS ",IF(N25=CURSOS!$D$11,"TOMA DE CITOLOGIA CERVICO VAGINAL ",IF(N25=CURSOS!$D$12,"SOPORTE CARDIOVASCULAR AVANZADO (ACLS) ",IF(N25=CURSOS!$D$13,"CAMILLERO ",IF(N25=CURSOS!$D$14,"TOMA DE MUESTRAS Y LABORATORIO ",IF(N25=CURSOS!$D$15,"SOPORTE VITAL BASICO (BLS)",IF(N25=CURSOS!$D$16,"ATENCION A VICTIMAS DE VIOLENCIA SEXUAL ",IF(N25=CURSOS!$D$17,"PROGRAMADO AMPLIADO DE INMUNIZACION (PAI - COVID 19)",IF(N25=CURSOS!$D$18,"ATENCION INTEGRAL EN ENFERMEDADES PREVALENTES EN PRIMERA INFANCIA (AIEPI)",IF(N25=CURSOS!$D$19,"ADMINISTRACION DE MEDICAMENTOS, INYECTOLOGIA  Y CANALIZACION ",IF(N25=CURSOS!$D$20,"OPERADOR DE VEHICULOS DE EMERGENCIA (OVE)",IF(N25=CURSOS!$D$21,"INSTITUCIONES AMIGAS DE LA MUJER Y LA INFANCIA (IAMI)",IF(N25=CURSOS!$D$22,"CUIDADO DEL DONANTE DE ORGANOS",IF(N25=CURSOS!$D$23,"ATENCION A VICTIMAS POR VIOLENCIA DE GENERO",IF(N25=CURSOS!$D$24,"IGUALDAD DE GENERO EN LA SALUD",IF(N25=CURSOS!$D$25,"BRIGADA DE EMERGENCIA",IF(N25=CURSOS!$D$26,"MANEJO DEL DOLOR Y CUIDADOS PALIATIVOS",IF(N25=CURSOS!$D$27,"TOMA DE MUESTRAS Y LABORATORIO POCT",IF(N25=CURSOS!$D$28,"IMPLANTE SUBDERMICO DE DISPOSITIVO INTRAUTERINO",IF(N25=CURSOS!$D$29,"SALUD MENTAL",IF(N25=CURSOS!$D$30,"PRIMEROS AUXILIOS PSICOLOGICOS",IF(N25=CURSOS!$D$31,"ATENCION A VICTIMAS POR CONFLICTO ARMADO",IF(N25=CURSOS!$D$32,"MANIPULACION DE ALIMENTOS Y BPM",IF(N25=CURSOS!$D$33,"ATENCION A PERSONAS CON DISCAPACIDAD",IF(N25=CURSOS!$D$34,"CUIDADO INTEGRAL DEL PACIENTE ADULTO",IF(N25=CURSOS!$D$35,"MANEJO DEFENSIVO",IF(N25=CURSOS!$D$36,"SOPORTE CARDIOVASCULAR AVANZADO NEONATAL",IF(N25=CURSOS!$D$37,"SEGURIDAD DEL PACIENTE")))))))))))))))))))))))))))))))))))</f>
        <v xml:space="preserve">ATENCION A VICTIMAS DE ATAQUE CON AGENTES QUIMICOS </v>
      </c>
      <c r="U25" s="124" t="str">
        <f t="shared" si="3"/>
        <v>Carlos Andres Pialejo Viveros</v>
      </c>
      <c r="V25" s="128" t="str">
        <f t="shared" si="4"/>
        <v>Carlos Andres Pialejo Viveros</v>
      </c>
      <c r="W25" s="138" t="str">
        <f t="shared" si="5"/>
        <v>Carlos Andres Pialejo Viveros-12753421-QUIMICOS</v>
      </c>
    </row>
    <row r="26" spans="1:23" x14ac:dyDescent="0.2">
      <c r="A26" s="42">
        <v>25</v>
      </c>
      <c r="B26" s="43">
        <v>12753421</v>
      </c>
      <c r="C26" s="17" t="s">
        <v>128</v>
      </c>
      <c r="D26" s="17" t="s">
        <v>129</v>
      </c>
      <c r="E26" s="17" t="s">
        <v>130</v>
      </c>
      <c r="F26" s="17" t="s">
        <v>131</v>
      </c>
      <c r="G26" s="14">
        <v>3</v>
      </c>
      <c r="H26" s="14" t="s">
        <v>89</v>
      </c>
      <c r="I26" s="16">
        <v>45476</v>
      </c>
      <c r="J26" s="19">
        <v>30000</v>
      </c>
      <c r="K26" s="14" t="s">
        <v>210</v>
      </c>
      <c r="L26" s="14" t="s">
        <v>90</v>
      </c>
      <c r="M26" s="14" t="s">
        <v>132</v>
      </c>
      <c r="N26" s="15" t="s">
        <v>53</v>
      </c>
      <c r="O26" s="18">
        <v>30265</v>
      </c>
      <c r="P26" s="15" t="s">
        <v>91</v>
      </c>
      <c r="Q26" s="17" t="s">
        <v>133</v>
      </c>
      <c r="R26" s="17">
        <v>3127037697</v>
      </c>
      <c r="S26" s="17" t="s">
        <v>134</v>
      </c>
      <c r="T26" s="124" t="str">
        <f>IF(N26=CURSOS!$D$3,"DIPLOMADO EN ATENCION PRE-HOSPITALARIA",IF(N26=CURSOS!$D$4,"ACOMPAÑAMIENTO Y MANEJO DEL DUELO",IF(N26=CURSOS!$D$5,"ATENCION A VICTIMAS DE ATAQUE CON AGENTES QUIMICOS ",IF(N26=CURSOS!$D$6,"PRIMEROS AUXILIOS ",IF(N26=CURSOS!$D$7,"DIPLOMADO DE UNIDAD DE CUIDADOS INTENSIVOS (UCI)",IF(N26=CURSOS!$D$8,"MODELO DE ATENCION PARA EVENTOS EMERGENTES EN SALUD MENTAL (CODIGO VERDE)",IF(N26=CURSOS!$D$9,"HUMANIZACION EN EL SERVICIO DE LA SALUD Y BUENAS PRACTICAS EN PACIENTE ",IF(N26=CURSOS!$D$10,"CLINICA DE HERIDAS ",IF(N26=CURSOS!$D$11,"TOMA DE CITOLOGIA CERVICO VAGINAL ",IF(N26=CURSOS!$D$12,"SOPORTE CARDIOVASCULAR AVANZADO (ACLS) ",IF(N26=CURSOS!$D$13,"CAMILLERO ",IF(N26=CURSOS!$D$14,"TOMA DE MUESTRAS Y LABORATORIO ",IF(N26=CURSOS!$D$15,"SOPORTE VITAL BASICO (BLS)",IF(N26=CURSOS!$D$16,"ATENCION A VICTIMAS DE VIOLENCIA SEXUAL ",IF(N26=CURSOS!$D$17,"PROGRAMADO AMPLIADO DE INMUNIZACION (PAI - COVID 19)",IF(N26=CURSOS!$D$18,"ATENCION INTEGRAL EN ENFERMEDADES PREVALENTES EN PRIMERA INFANCIA (AIEPI)",IF(N26=CURSOS!$D$19,"ADMINISTRACION DE MEDICAMENTOS, INYECTOLOGIA  Y CANALIZACION ",IF(N26=CURSOS!$D$20,"OPERADOR DE VEHICULOS DE EMERGENCIA (OVE)",IF(N26=CURSOS!$D$21,"INSTITUCIONES AMIGAS DE LA MUJER Y LA INFANCIA (IAMI)",IF(N26=CURSOS!$D$22,"CUIDADO DEL DONANTE DE ORGANOS",IF(N26=CURSOS!$D$23,"ATENCION A VICTIMAS POR VIOLENCIA DE GENERO",IF(N26=CURSOS!$D$24,"IGUALDAD DE GENERO EN LA SALUD",IF(N26=CURSOS!$D$25,"BRIGADA DE EMERGENCIA",IF(N26=CURSOS!$D$26,"MANEJO DEL DOLOR Y CUIDADOS PALIATIVOS",IF(N26=CURSOS!$D$27,"TOMA DE MUESTRAS Y LABORATORIO POCT",IF(N26=CURSOS!$D$28,"IMPLANTE SUBDERMICO DE DISPOSITIVO INTRAUTERINO",IF(N26=CURSOS!$D$29,"SALUD MENTAL",IF(N26=CURSOS!$D$30,"PRIMEROS AUXILIOS PSICOLOGICOS",IF(N26=CURSOS!$D$31,"ATENCION A VICTIMAS POR CONFLICTO ARMADO",IF(N26=CURSOS!$D$32,"MANIPULACION DE ALIMENTOS Y BPM",IF(N26=CURSOS!$D$33,"ATENCION A PERSONAS CON DISCAPACIDAD",IF(N26=CURSOS!$D$34,"CUIDADO INTEGRAL DEL PACIENTE ADULTO",IF(N26=CURSOS!$D$35,"MANEJO DEFENSIVO",IF(N26=CURSOS!$D$36,"SOPORTE CARDIOVASCULAR AVANZADO NEONATAL",IF(N26=CURSOS!$D$37,"SEGURIDAD DEL PACIENTE")))))))))))))))))))))))))))))))))))</f>
        <v>CUIDADO DEL DONANTE DE ORGANOS</v>
      </c>
      <c r="U26" s="124" t="str">
        <f t="shared" si="3"/>
        <v>Carlos Andres Pialejo Viveros</v>
      </c>
      <c r="V26" s="128" t="str">
        <f t="shared" si="4"/>
        <v>Carlos Andres Pialejo Viveros</v>
      </c>
      <c r="W26" s="138" t="str">
        <f t="shared" si="5"/>
        <v>Carlos Andres Pialejo Viveros-12753421-DONANTE</v>
      </c>
    </row>
    <row r="27" spans="1:23" x14ac:dyDescent="0.2">
      <c r="A27" s="42">
        <v>26</v>
      </c>
      <c r="B27" s="43">
        <v>1085250816</v>
      </c>
      <c r="C27" s="17" t="s">
        <v>135</v>
      </c>
      <c r="D27" s="17" t="s">
        <v>136</v>
      </c>
      <c r="E27" s="17" t="s">
        <v>137</v>
      </c>
      <c r="F27" s="17" t="s">
        <v>138</v>
      </c>
      <c r="G27" s="14">
        <v>4</v>
      </c>
      <c r="H27" s="14" t="s">
        <v>89</v>
      </c>
      <c r="I27" s="54">
        <v>45477</v>
      </c>
      <c r="J27" s="19">
        <v>0</v>
      </c>
      <c r="K27" s="14" t="s">
        <v>245</v>
      </c>
      <c r="L27" s="14" t="s">
        <v>90</v>
      </c>
      <c r="M27" s="14" t="s">
        <v>118</v>
      </c>
      <c r="N27" s="15" t="s">
        <v>27</v>
      </c>
      <c r="O27" s="18"/>
      <c r="P27" s="15" t="s">
        <v>101</v>
      </c>
      <c r="Q27" s="17" t="s">
        <v>126</v>
      </c>
      <c r="R27" s="17"/>
      <c r="S27" s="17" t="s">
        <v>184</v>
      </c>
      <c r="T27" s="124" t="str">
        <f>IF(N27=CURSOS!$D$3,"DIPLOMADO EN ATENCION PRE-HOSPITALARIA",IF(N27=CURSOS!$D$4,"ACOMPAÑAMIENTO Y MANEJO DEL DUELO",IF(N27=CURSOS!$D$5,"ATENCION A VICTIMAS DE ATAQUE CON AGENTES QUIMICOS ",IF(N27=CURSOS!$D$6,"PRIMEROS AUXILIOS ",IF(N27=CURSOS!$D$7,"DIPLOMADO DE UNIDAD DE CUIDADOS INTENSIVOS (UCI)",IF(N27=CURSOS!$D$8,"MODELO DE ATENCION PARA EVENTOS EMERGENTES EN SALUD MENTAL (CODIGO VERDE)",IF(N27=CURSOS!$D$9,"HUMANIZACION EN EL SERVICIO DE LA SALUD Y BUENAS PRACTICAS EN PACIENTE ",IF(N27=CURSOS!$D$10,"CLINICA DE HERIDAS ",IF(N27=CURSOS!$D$11,"TOMA DE CITOLOGIA CERVICO VAGINAL ",IF(N27=CURSOS!$D$12,"SOPORTE CARDIOVASCULAR AVANZADO (ACLS) ",IF(N27=CURSOS!$D$13,"CAMILLERO ",IF(N27=CURSOS!$D$14,"TOMA DE MUESTRAS Y LABORATORIO ",IF(N27=CURSOS!$D$15,"SOPORTE VITAL BASICO (BLS)",IF(N27=CURSOS!$D$16,"ATENCION A VICTIMAS DE VIOLENCIA SEXUAL ",IF(N27=CURSOS!$D$17,"PROGRAMADO AMPLIADO DE INMUNIZACION (PAI - COVID 19)",IF(N27=CURSOS!$D$18,"ATENCION INTEGRAL EN ENFERMEDADES PREVALENTES EN PRIMERA INFANCIA (AIEPI)",IF(N27=CURSOS!$D$19,"ADMINISTRACION DE MEDICAMENTOS, INYECTOLOGIA  Y CANALIZACION ",IF(N27=CURSOS!$D$20,"OPERADOR DE VEHICULOS DE EMERGENCIA (OVE)",IF(N27=CURSOS!$D$21,"INSTITUCIONES AMIGAS DE LA MUJER Y LA INFANCIA (IAMI)",IF(N27=CURSOS!$D$22,"CUIDADO DEL DONANTE DE ORGANOS",IF(N27=CURSOS!$D$23,"ATENCION A VICTIMAS POR VIOLENCIA DE GENERO",IF(N27=CURSOS!$D$24,"IGUALDAD DE GENERO EN LA SALUD",IF(N27=CURSOS!$D$25,"BRIGADA DE EMERGENCIA",IF(N27=CURSOS!$D$26,"MANEJO DEL DOLOR Y CUIDADOS PALIATIVOS",IF(N27=CURSOS!$D$27,"TOMA DE MUESTRAS Y LABORATORIO POCT",IF(N27=CURSOS!$D$28,"IMPLANTE SUBDERMICO DE DISPOSITIVO INTRAUTERINO",IF(N27=CURSOS!$D$29,"SALUD MENTAL",IF(N27=CURSOS!$D$30,"PRIMEROS AUXILIOS PSICOLOGICOS",IF(N27=CURSOS!$D$31,"ATENCION A VICTIMAS POR CONFLICTO ARMADO",IF(N27=CURSOS!$D$32,"MANIPULACION DE ALIMENTOS Y BPM",IF(N27=CURSOS!$D$33,"ATENCION A PERSONAS CON DISCAPACIDAD",IF(N27=CURSOS!$D$34,"CUIDADO INTEGRAL DEL PACIENTE ADULTO",IF(N27=CURSOS!$D$35,"MANEJO DEFENSIVO",IF(N27=CURSOS!$D$36,"SOPORTE CARDIOVASCULAR AVANZADO NEONATAL",IF(N27=CURSOS!$D$37,"SEGURIDAD DEL PACIENTE")))))))))))))))))))))))))))))))))))</f>
        <v xml:space="preserve">PRIMEROS AUXILIOS </v>
      </c>
      <c r="U27" s="124" t="str">
        <f t="shared" si="3"/>
        <v>Alicia Johana Yaqueno Criollo</v>
      </c>
      <c r="V27" s="128" t="str">
        <f t="shared" si="4"/>
        <v>Alicia Johana Yaqueno Criollo</v>
      </c>
      <c r="W27" s="138" t="str">
        <f t="shared" si="5"/>
        <v>Alicia Johana Yaqueno Criollo-1085250816-PRIMEROS AUXILIOS</v>
      </c>
    </row>
    <row r="28" spans="1:23" x14ac:dyDescent="0.2">
      <c r="A28" s="42">
        <v>27</v>
      </c>
      <c r="B28" s="43">
        <v>1085253092</v>
      </c>
      <c r="C28" s="17" t="s">
        <v>139</v>
      </c>
      <c r="D28" s="17" t="s">
        <v>140</v>
      </c>
      <c r="E28" s="17" t="s">
        <v>141</v>
      </c>
      <c r="F28" s="17" t="s">
        <v>142</v>
      </c>
      <c r="G28" s="14">
        <v>4</v>
      </c>
      <c r="H28" s="14" t="s">
        <v>89</v>
      </c>
      <c r="I28" s="54">
        <v>45477</v>
      </c>
      <c r="J28" s="19">
        <v>0</v>
      </c>
      <c r="K28" s="14" t="s">
        <v>245</v>
      </c>
      <c r="L28" s="14" t="s">
        <v>90</v>
      </c>
      <c r="M28" s="14" t="s">
        <v>118</v>
      </c>
      <c r="N28" s="15" t="s">
        <v>27</v>
      </c>
      <c r="O28" s="18"/>
      <c r="P28" s="15" t="s">
        <v>91</v>
      </c>
      <c r="Q28" s="17" t="s">
        <v>198</v>
      </c>
      <c r="R28" s="17"/>
      <c r="S28" s="39" t="s">
        <v>185</v>
      </c>
      <c r="T28" s="124" t="str">
        <f>IF(N28=CURSOS!$D$3,"DIPLOMADO EN ATENCION PRE-HOSPITALARIA",IF(N28=CURSOS!$D$4,"ACOMPAÑAMIENTO Y MANEJO DEL DUELO",IF(N28=CURSOS!$D$5,"ATENCION A VICTIMAS DE ATAQUE CON AGENTES QUIMICOS ",IF(N28=CURSOS!$D$6,"PRIMEROS AUXILIOS ",IF(N28=CURSOS!$D$7,"DIPLOMADO DE UNIDAD DE CUIDADOS INTENSIVOS (UCI)",IF(N28=CURSOS!$D$8,"MODELO DE ATENCION PARA EVENTOS EMERGENTES EN SALUD MENTAL (CODIGO VERDE)",IF(N28=CURSOS!$D$9,"HUMANIZACION EN EL SERVICIO DE LA SALUD Y BUENAS PRACTICAS EN PACIENTE ",IF(N28=CURSOS!$D$10,"CLINICA DE HERIDAS ",IF(N28=CURSOS!$D$11,"TOMA DE CITOLOGIA CERVICO VAGINAL ",IF(N28=CURSOS!$D$12,"SOPORTE CARDIOVASCULAR AVANZADO (ACLS) ",IF(N28=CURSOS!$D$13,"CAMILLERO ",IF(N28=CURSOS!$D$14,"TOMA DE MUESTRAS Y LABORATORIO ",IF(N28=CURSOS!$D$15,"SOPORTE VITAL BASICO (BLS)",IF(N28=CURSOS!$D$16,"ATENCION A VICTIMAS DE VIOLENCIA SEXUAL ",IF(N28=CURSOS!$D$17,"PROGRAMADO AMPLIADO DE INMUNIZACION (PAI - COVID 19)",IF(N28=CURSOS!$D$18,"ATENCION INTEGRAL EN ENFERMEDADES PREVALENTES EN PRIMERA INFANCIA (AIEPI)",IF(N28=CURSOS!$D$19,"ADMINISTRACION DE MEDICAMENTOS, INYECTOLOGIA  Y CANALIZACION ",IF(N28=CURSOS!$D$20,"OPERADOR DE VEHICULOS DE EMERGENCIA (OVE)",IF(N28=CURSOS!$D$21,"INSTITUCIONES AMIGAS DE LA MUJER Y LA INFANCIA (IAMI)",IF(N28=CURSOS!$D$22,"CUIDADO DEL DONANTE DE ORGANOS",IF(N28=CURSOS!$D$23,"ATENCION A VICTIMAS POR VIOLENCIA DE GENERO",IF(N28=CURSOS!$D$24,"IGUALDAD DE GENERO EN LA SALUD",IF(N28=CURSOS!$D$25,"BRIGADA DE EMERGENCIA",IF(N28=CURSOS!$D$26,"MANEJO DEL DOLOR Y CUIDADOS PALIATIVOS",IF(N28=CURSOS!$D$27,"TOMA DE MUESTRAS Y LABORATORIO POCT",IF(N28=CURSOS!$D$28,"IMPLANTE SUBDERMICO DE DISPOSITIVO INTRAUTERINO",IF(N28=CURSOS!$D$29,"SALUD MENTAL",IF(N28=CURSOS!$D$30,"PRIMEROS AUXILIOS PSICOLOGICOS",IF(N28=CURSOS!$D$31,"ATENCION A VICTIMAS POR CONFLICTO ARMADO",IF(N28=CURSOS!$D$32,"MANIPULACION DE ALIMENTOS Y BPM",IF(N28=CURSOS!$D$33,"ATENCION A PERSONAS CON DISCAPACIDAD",IF(N28=CURSOS!$D$34,"CUIDADO INTEGRAL DEL PACIENTE ADULTO",IF(N28=CURSOS!$D$35,"MANEJO DEFENSIVO",IF(N28=CURSOS!$D$36,"SOPORTE CARDIOVASCULAR AVANZADO NEONATAL",IF(N28=CURSOS!$D$37,"SEGURIDAD DEL PACIENTE")))))))))))))))))))))))))))))))))))</f>
        <v xml:space="preserve">PRIMEROS AUXILIOS </v>
      </c>
      <c r="U28" s="124" t="str">
        <f t="shared" si="3"/>
        <v>James Ivan Rojas Santacruz</v>
      </c>
      <c r="V28" s="128" t="str">
        <f t="shared" si="4"/>
        <v>James Ivan Rojas Santacruz</v>
      </c>
      <c r="W28" s="138" t="str">
        <f t="shared" si="5"/>
        <v>James Ivan Rojas Santacruz-1085253092-PRIMEROS AUXILIOS</v>
      </c>
    </row>
    <row r="29" spans="1:23" x14ac:dyDescent="0.2">
      <c r="A29" s="42">
        <v>28</v>
      </c>
      <c r="B29" s="43">
        <v>1085254978</v>
      </c>
      <c r="C29" s="17" t="s">
        <v>143</v>
      </c>
      <c r="D29" s="17" t="s">
        <v>144</v>
      </c>
      <c r="E29" s="17" t="s">
        <v>145</v>
      </c>
      <c r="F29" s="17" t="s">
        <v>146</v>
      </c>
      <c r="G29" s="14">
        <v>4</v>
      </c>
      <c r="H29" s="14" t="s">
        <v>89</v>
      </c>
      <c r="I29" s="54">
        <v>45477</v>
      </c>
      <c r="J29" s="19">
        <v>0</v>
      </c>
      <c r="K29" s="14" t="s">
        <v>245</v>
      </c>
      <c r="L29" s="14" t="s">
        <v>90</v>
      </c>
      <c r="M29" s="14" t="s">
        <v>118</v>
      </c>
      <c r="N29" s="15" t="s">
        <v>27</v>
      </c>
      <c r="O29" s="18"/>
      <c r="P29" s="15" t="s">
        <v>91</v>
      </c>
      <c r="Q29" s="17" t="s">
        <v>126</v>
      </c>
      <c r="R29" s="17"/>
      <c r="S29" s="39" t="s">
        <v>186</v>
      </c>
      <c r="T29" s="124" t="str">
        <f>IF(N29=CURSOS!$D$3,"DIPLOMADO EN ATENCION PRE-HOSPITALARIA",IF(N29=CURSOS!$D$4,"ACOMPAÑAMIENTO Y MANEJO DEL DUELO",IF(N29=CURSOS!$D$5,"ATENCION A VICTIMAS DE ATAQUE CON AGENTES QUIMICOS ",IF(N29=CURSOS!$D$6,"PRIMEROS AUXILIOS ",IF(N29=CURSOS!$D$7,"DIPLOMADO DE UNIDAD DE CUIDADOS INTENSIVOS (UCI)",IF(N29=CURSOS!$D$8,"MODELO DE ATENCION PARA EVENTOS EMERGENTES EN SALUD MENTAL (CODIGO VERDE)",IF(N29=CURSOS!$D$9,"HUMANIZACION EN EL SERVICIO DE LA SALUD Y BUENAS PRACTICAS EN PACIENTE ",IF(N29=CURSOS!$D$10,"CLINICA DE HERIDAS ",IF(N29=CURSOS!$D$11,"TOMA DE CITOLOGIA CERVICO VAGINAL ",IF(N29=CURSOS!$D$12,"SOPORTE CARDIOVASCULAR AVANZADO (ACLS) ",IF(N29=CURSOS!$D$13,"CAMILLERO ",IF(N29=CURSOS!$D$14,"TOMA DE MUESTRAS Y LABORATORIO ",IF(N29=CURSOS!$D$15,"SOPORTE VITAL BASICO (BLS)",IF(N29=CURSOS!$D$16,"ATENCION A VICTIMAS DE VIOLENCIA SEXUAL ",IF(N29=CURSOS!$D$17,"PROGRAMADO AMPLIADO DE INMUNIZACION (PAI - COVID 19)",IF(N29=CURSOS!$D$18,"ATENCION INTEGRAL EN ENFERMEDADES PREVALENTES EN PRIMERA INFANCIA (AIEPI)",IF(N29=CURSOS!$D$19,"ADMINISTRACION DE MEDICAMENTOS, INYECTOLOGIA  Y CANALIZACION ",IF(N29=CURSOS!$D$20,"OPERADOR DE VEHICULOS DE EMERGENCIA (OVE)",IF(N29=CURSOS!$D$21,"INSTITUCIONES AMIGAS DE LA MUJER Y LA INFANCIA (IAMI)",IF(N29=CURSOS!$D$22,"CUIDADO DEL DONANTE DE ORGANOS",IF(N29=CURSOS!$D$23,"ATENCION A VICTIMAS POR VIOLENCIA DE GENERO",IF(N29=CURSOS!$D$24,"IGUALDAD DE GENERO EN LA SALUD",IF(N29=CURSOS!$D$25,"BRIGADA DE EMERGENCIA",IF(N29=CURSOS!$D$26,"MANEJO DEL DOLOR Y CUIDADOS PALIATIVOS",IF(N29=CURSOS!$D$27,"TOMA DE MUESTRAS Y LABORATORIO POCT",IF(N29=CURSOS!$D$28,"IMPLANTE SUBDERMICO DE DISPOSITIVO INTRAUTERINO",IF(N29=CURSOS!$D$29,"SALUD MENTAL",IF(N29=CURSOS!$D$30,"PRIMEROS AUXILIOS PSICOLOGICOS",IF(N29=CURSOS!$D$31,"ATENCION A VICTIMAS POR CONFLICTO ARMADO",IF(N29=CURSOS!$D$32,"MANIPULACION DE ALIMENTOS Y BPM",IF(N29=CURSOS!$D$33,"ATENCION A PERSONAS CON DISCAPACIDAD",IF(N29=CURSOS!$D$34,"CUIDADO INTEGRAL DEL PACIENTE ADULTO",IF(N29=CURSOS!$D$35,"MANEJO DEFENSIVO",IF(N29=CURSOS!$D$36,"SOPORTE CARDIOVASCULAR AVANZADO NEONATAL",IF(N29=CURSOS!$D$37,"SEGURIDAD DEL PACIENTE")))))))))))))))))))))))))))))))))))</f>
        <v xml:space="preserve">PRIMEROS AUXILIOS </v>
      </c>
      <c r="U29" s="124" t="str">
        <f t="shared" si="3"/>
        <v>Oscar Alexander Villa Bravo</v>
      </c>
      <c r="V29" s="128" t="str">
        <f t="shared" si="4"/>
        <v>Oscar Alexander Villa Bravo</v>
      </c>
      <c r="W29" s="138" t="str">
        <f t="shared" si="5"/>
        <v>Oscar Alexander Villa Bravo-1085254978-PRIMEROS AUXILIOS</v>
      </c>
    </row>
    <row r="30" spans="1:23" x14ac:dyDescent="0.2">
      <c r="A30" s="42">
        <v>29</v>
      </c>
      <c r="B30" s="43">
        <v>1085261716</v>
      </c>
      <c r="C30" s="17" t="s">
        <v>147</v>
      </c>
      <c r="D30" s="17" t="s">
        <v>148</v>
      </c>
      <c r="E30" s="17" t="s">
        <v>149</v>
      </c>
      <c r="F30" s="17" t="s">
        <v>150</v>
      </c>
      <c r="G30" s="14">
        <v>4</v>
      </c>
      <c r="H30" s="14" t="s">
        <v>89</v>
      </c>
      <c r="I30" s="54">
        <v>45477</v>
      </c>
      <c r="J30" s="19">
        <v>0</v>
      </c>
      <c r="K30" s="14" t="s">
        <v>245</v>
      </c>
      <c r="L30" s="14" t="s">
        <v>90</v>
      </c>
      <c r="M30" s="14" t="s">
        <v>118</v>
      </c>
      <c r="N30" s="15" t="s">
        <v>27</v>
      </c>
      <c r="O30" s="18"/>
      <c r="P30" s="15" t="s">
        <v>101</v>
      </c>
      <c r="Q30" s="17" t="s">
        <v>199</v>
      </c>
      <c r="R30" s="17"/>
      <c r="S30" s="39" t="s">
        <v>187</v>
      </c>
      <c r="T30" s="124" t="str">
        <f>IF(N30=CURSOS!$D$3,"DIPLOMADO EN ATENCION PRE-HOSPITALARIA",IF(N30=CURSOS!$D$4,"ACOMPAÑAMIENTO Y MANEJO DEL DUELO",IF(N30=CURSOS!$D$5,"ATENCION A VICTIMAS DE ATAQUE CON AGENTES QUIMICOS ",IF(N30=CURSOS!$D$6,"PRIMEROS AUXILIOS ",IF(N30=CURSOS!$D$7,"DIPLOMADO DE UNIDAD DE CUIDADOS INTENSIVOS (UCI)",IF(N30=CURSOS!$D$8,"MODELO DE ATENCION PARA EVENTOS EMERGENTES EN SALUD MENTAL (CODIGO VERDE)",IF(N30=CURSOS!$D$9,"HUMANIZACION EN EL SERVICIO DE LA SALUD Y BUENAS PRACTICAS EN PACIENTE ",IF(N30=CURSOS!$D$10,"CLINICA DE HERIDAS ",IF(N30=CURSOS!$D$11,"TOMA DE CITOLOGIA CERVICO VAGINAL ",IF(N30=CURSOS!$D$12,"SOPORTE CARDIOVASCULAR AVANZADO (ACLS) ",IF(N30=CURSOS!$D$13,"CAMILLERO ",IF(N30=CURSOS!$D$14,"TOMA DE MUESTRAS Y LABORATORIO ",IF(N30=CURSOS!$D$15,"SOPORTE VITAL BASICO (BLS)",IF(N30=CURSOS!$D$16,"ATENCION A VICTIMAS DE VIOLENCIA SEXUAL ",IF(N30=CURSOS!$D$17,"PROGRAMADO AMPLIADO DE INMUNIZACION (PAI - COVID 19)",IF(N30=CURSOS!$D$18,"ATENCION INTEGRAL EN ENFERMEDADES PREVALENTES EN PRIMERA INFANCIA (AIEPI)",IF(N30=CURSOS!$D$19,"ADMINISTRACION DE MEDICAMENTOS, INYECTOLOGIA  Y CANALIZACION ",IF(N30=CURSOS!$D$20,"OPERADOR DE VEHICULOS DE EMERGENCIA (OVE)",IF(N30=CURSOS!$D$21,"INSTITUCIONES AMIGAS DE LA MUJER Y LA INFANCIA (IAMI)",IF(N30=CURSOS!$D$22,"CUIDADO DEL DONANTE DE ORGANOS",IF(N30=CURSOS!$D$23,"ATENCION A VICTIMAS POR VIOLENCIA DE GENERO",IF(N30=CURSOS!$D$24,"IGUALDAD DE GENERO EN LA SALUD",IF(N30=CURSOS!$D$25,"BRIGADA DE EMERGENCIA",IF(N30=CURSOS!$D$26,"MANEJO DEL DOLOR Y CUIDADOS PALIATIVOS",IF(N30=CURSOS!$D$27,"TOMA DE MUESTRAS Y LABORATORIO POCT",IF(N30=CURSOS!$D$28,"IMPLANTE SUBDERMICO DE DISPOSITIVO INTRAUTERINO",IF(N30=CURSOS!$D$29,"SALUD MENTAL",IF(N30=CURSOS!$D$30,"PRIMEROS AUXILIOS PSICOLOGICOS",IF(N30=CURSOS!$D$31,"ATENCION A VICTIMAS POR CONFLICTO ARMADO",IF(N30=CURSOS!$D$32,"MANIPULACION DE ALIMENTOS Y BPM",IF(N30=CURSOS!$D$33,"ATENCION A PERSONAS CON DISCAPACIDAD",IF(N30=CURSOS!$D$34,"CUIDADO INTEGRAL DEL PACIENTE ADULTO",IF(N30=CURSOS!$D$35,"MANEJO DEFENSIVO",IF(N30=CURSOS!$D$36,"SOPORTE CARDIOVASCULAR AVANZADO NEONATAL",IF(N30=CURSOS!$D$37,"SEGURIDAD DEL PACIENTE")))))))))))))))))))))))))))))))))))</f>
        <v xml:space="preserve">PRIMEROS AUXILIOS </v>
      </c>
      <c r="U30" s="124" t="str">
        <f t="shared" si="3"/>
        <v>Olga Yamile Auz Gelpud</v>
      </c>
      <c r="V30" s="128" t="str">
        <f t="shared" si="4"/>
        <v>Olga Yamile Auz Gelpud</v>
      </c>
      <c r="W30" s="138" t="str">
        <f t="shared" si="5"/>
        <v>Olga Yamile Auz Gelpud-1085261716-PRIMEROS AUXILIOS</v>
      </c>
    </row>
    <row r="31" spans="1:23" x14ac:dyDescent="0.2">
      <c r="A31" s="42">
        <v>30</v>
      </c>
      <c r="B31" s="43">
        <v>1085270065</v>
      </c>
      <c r="C31" s="17" t="s">
        <v>151</v>
      </c>
      <c r="D31" s="17" t="s">
        <v>152</v>
      </c>
      <c r="E31" s="17" t="s">
        <v>153</v>
      </c>
      <c r="F31" s="17" t="s">
        <v>154</v>
      </c>
      <c r="G31" s="14">
        <v>4</v>
      </c>
      <c r="H31" s="14" t="s">
        <v>89</v>
      </c>
      <c r="I31" s="54">
        <v>45477</v>
      </c>
      <c r="J31" s="19">
        <v>0</v>
      </c>
      <c r="K31" s="14" t="s">
        <v>245</v>
      </c>
      <c r="L31" s="14" t="s">
        <v>90</v>
      </c>
      <c r="M31" s="14" t="s">
        <v>118</v>
      </c>
      <c r="N31" s="15" t="s">
        <v>27</v>
      </c>
      <c r="O31" s="18"/>
      <c r="P31" s="15" t="s">
        <v>101</v>
      </c>
      <c r="Q31" s="17" t="s">
        <v>200</v>
      </c>
      <c r="R31" s="17"/>
      <c r="S31" s="39" t="s">
        <v>188</v>
      </c>
      <c r="T31" s="124" t="str">
        <f>IF(N31=CURSOS!$D$3,"DIPLOMADO EN ATENCION PRE-HOSPITALARIA",IF(N31=CURSOS!$D$4,"ACOMPAÑAMIENTO Y MANEJO DEL DUELO",IF(N31=CURSOS!$D$5,"ATENCION A VICTIMAS DE ATAQUE CON AGENTES QUIMICOS ",IF(N31=CURSOS!$D$6,"PRIMEROS AUXILIOS ",IF(N31=CURSOS!$D$7,"DIPLOMADO DE UNIDAD DE CUIDADOS INTENSIVOS (UCI)",IF(N31=CURSOS!$D$8,"MODELO DE ATENCION PARA EVENTOS EMERGENTES EN SALUD MENTAL (CODIGO VERDE)",IF(N31=CURSOS!$D$9,"HUMANIZACION EN EL SERVICIO DE LA SALUD Y BUENAS PRACTICAS EN PACIENTE ",IF(N31=CURSOS!$D$10,"CLINICA DE HERIDAS ",IF(N31=CURSOS!$D$11,"TOMA DE CITOLOGIA CERVICO VAGINAL ",IF(N31=CURSOS!$D$12,"SOPORTE CARDIOVASCULAR AVANZADO (ACLS) ",IF(N31=CURSOS!$D$13,"CAMILLERO ",IF(N31=CURSOS!$D$14,"TOMA DE MUESTRAS Y LABORATORIO ",IF(N31=CURSOS!$D$15,"SOPORTE VITAL BASICO (BLS)",IF(N31=CURSOS!$D$16,"ATENCION A VICTIMAS DE VIOLENCIA SEXUAL ",IF(N31=CURSOS!$D$17,"PROGRAMADO AMPLIADO DE INMUNIZACION (PAI - COVID 19)",IF(N31=CURSOS!$D$18,"ATENCION INTEGRAL EN ENFERMEDADES PREVALENTES EN PRIMERA INFANCIA (AIEPI)",IF(N31=CURSOS!$D$19,"ADMINISTRACION DE MEDICAMENTOS, INYECTOLOGIA  Y CANALIZACION ",IF(N31=CURSOS!$D$20,"OPERADOR DE VEHICULOS DE EMERGENCIA (OVE)",IF(N31=CURSOS!$D$21,"INSTITUCIONES AMIGAS DE LA MUJER Y LA INFANCIA (IAMI)",IF(N31=CURSOS!$D$22,"CUIDADO DEL DONANTE DE ORGANOS",IF(N31=CURSOS!$D$23,"ATENCION A VICTIMAS POR VIOLENCIA DE GENERO",IF(N31=CURSOS!$D$24,"IGUALDAD DE GENERO EN LA SALUD",IF(N31=CURSOS!$D$25,"BRIGADA DE EMERGENCIA",IF(N31=CURSOS!$D$26,"MANEJO DEL DOLOR Y CUIDADOS PALIATIVOS",IF(N31=CURSOS!$D$27,"TOMA DE MUESTRAS Y LABORATORIO POCT",IF(N31=CURSOS!$D$28,"IMPLANTE SUBDERMICO DE DISPOSITIVO INTRAUTERINO",IF(N31=CURSOS!$D$29,"SALUD MENTAL",IF(N31=CURSOS!$D$30,"PRIMEROS AUXILIOS PSICOLOGICOS",IF(N31=CURSOS!$D$31,"ATENCION A VICTIMAS POR CONFLICTO ARMADO",IF(N31=CURSOS!$D$32,"MANIPULACION DE ALIMENTOS Y BPM",IF(N31=CURSOS!$D$33,"ATENCION A PERSONAS CON DISCAPACIDAD",IF(N31=CURSOS!$D$34,"CUIDADO INTEGRAL DEL PACIENTE ADULTO",IF(N31=CURSOS!$D$35,"MANEJO DEFENSIVO",IF(N31=CURSOS!$D$36,"SOPORTE CARDIOVASCULAR AVANZADO NEONATAL",IF(N31=CURSOS!$D$37,"SEGURIDAD DEL PACIENTE")))))))))))))))))))))))))))))))))))</f>
        <v xml:space="preserve">PRIMEROS AUXILIOS </v>
      </c>
      <c r="U31" s="124" t="str">
        <f t="shared" si="3"/>
        <v>Angela Patricia Malte Termal</v>
      </c>
      <c r="V31" s="128" t="str">
        <f t="shared" si="4"/>
        <v>Angela Patricia Malte Termal</v>
      </c>
      <c r="W31" s="138" t="str">
        <f t="shared" si="5"/>
        <v>Angela Patricia Malte Termal-1085270065-PRIMEROS AUXILIOS</v>
      </c>
    </row>
    <row r="32" spans="1:23" x14ac:dyDescent="0.2">
      <c r="A32" s="42">
        <v>31</v>
      </c>
      <c r="B32" s="43">
        <v>1085280825</v>
      </c>
      <c r="C32" s="17" t="s">
        <v>155</v>
      </c>
      <c r="D32" s="17" t="s">
        <v>156</v>
      </c>
      <c r="E32" s="17" t="s">
        <v>95</v>
      </c>
      <c r="F32" s="17" t="s">
        <v>112</v>
      </c>
      <c r="G32" s="14">
        <v>4</v>
      </c>
      <c r="H32" s="14" t="s">
        <v>89</v>
      </c>
      <c r="I32" s="54">
        <v>45477</v>
      </c>
      <c r="J32" s="19">
        <v>0</v>
      </c>
      <c r="K32" s="14" t="s">
        <v>245</v>
      </c>
      <c r="L32" s="14" t="s">
        <v>90</v>
      </c>
      <c r="M32" s="14" t="s">
        <v>118</v>
      </c>
      <c r="N32" s="15" t="s">
        <v>27</v>
      </c>
      <c r="O32" s="18"/>
      <c r="P32" s="15" t="s">
        <v>101</v>
      </c>
      <c r="Q32" s="17" t="s">
        <v>201</v>
      </c>
      <c r="R32" s="17"/>
      <c r="S32" s="17" t="s">
        <v>189</v>
      </c>
      <c r="T32" s="124" t="str">
        <f>IF(N32=CURSOS!$D$3,"DIPLOMADO EN ATENCION PRE-HOSPITALARIA",IF(N32=CURSOS!$D$4,"ACOMPAÑAMIENTO Y MANEJO DEL DUELO",IF(N32=CURSOS!$D$5,"ATENCION A VICTIMAS DE ATAQUE CON AGENTES QUIMICOS ",IF(N32=CURSOS!$D$6,"PRIMEROS AUXILIOS ",IF(N32=CURSOS!$D$7,"DIPLOMADO DE UNIDAD DE CUIDADOS INTENSIVOS (UCI)",IF(N32=CURSOS!$D$8,"MODELO DE ATENCION PARA EVENTOS EMERGENTES EN SALUD MENTAL (CODIGO VERDE)",IF(N32=CURSOS!$D$9,"HUMANIZACION EN EL SERVICIO DE LA SALUD Y BUENAS PRACTICAS EN PACIENTE ",IF(N32=CURSOS!$D$10,"CLINICA DE HERIDAS ",IF(N32=CURSOS!$D$11,"TOMA DE CITOLOGIA CERVICO VAGINAL ",IF(N32=CURSOS!$D$12,"SOPORTE CARDIOVASCULAR AVANZADO (ACLS) ",IF(N32=CURSOS!$D$13,"CAMILLERO ",IF(N32=CURSOS!$D$14,"TOMA DE MUESTRAS Y LABORATORIO ",IF(N32=CURSOS!$D$15,"SOPORTE VITAL BASICO (BLS)",IF(N32=CURSOS!$D$16,"ATENCION A VICTIMAS DE VIOLENCIA SEXUAL ",IF(N32=CURSOS!$D$17,"PROGRAMADO AMPLIADO DE INMUNIZACION (PAI - COVID 19)",IF(N32=CURSOS!$D$18,"ATENCION INTEGRAL EN ENFERMEDADES PREVALENTES EN PRIMERA INFANCIA (AIEPI)",IF(N32=CURSOS!$D$19,"ADMINISTRACION DE MEDICAMENTOS, INYECTOLOGIA  Y CANALIZACION ",IF(N32=CURSOS!$D$20,"OPERADOR DE VEHICULOS DE EMERGENCIA (OVE)",IF(N32=CURSOS!$D$21,"INSTITUCIONES AMIGAS DE LA MUJER Y LA INFANCIA (IAMI)",IF(N32=CURSOS!$D$22,"CUIDADO DEL DONANTE DE ORGANOS",IF(N32=CURSOS!$D$23,"ATENCION A VICTIMAS POR VIOLENCIA DE GENERO",IF(N32=CURSOS!$D$24,"IGUALDAD DE GENERO EN LA SALUD",IF(N32=CURSOS!$D$25,"BRIGADA DE EMERGENCIA",IF(N32=CURSOS!$D$26,"MANEJO DEL DOLOR Y CUIDADOS PALIATIVOS",IF(N32=CURSOS!$D$27,"TOMA DE MUESTRAS Y LABORATORIO POCT",IF(N32=CURSOS!$D$28,"IMPLANTE SUBDERMICO DE DISPOSITIVO INTRAUTERINO",IF(N32=CURSOS!$D$29,"SALUD MENTAL",IF(N32=CURSOS!$D$30,"PRIMEROS AUXILIOS PSICOLOGICOS",IF(N32=CURSOS!$D$31,"ATENCION A VICTIMAS POR CONFLICTO ARMADO",IF(N32=CURSOS!$D$32,"MANIPULACION DE ALIMENTOS Y BPM",IF(N32=CURSOS!$D$33,"ATENCION A PERSONAS CON DISCAPACIDAD",IF(N32=CURSOS!$D$34,"CUIDADO INTEGRAL DEL PACIENTE ADULTO",IF(N32=CURSOS!$D$35,"MANEJO DEFENSIVO",IF(N32=CURSOS!$D$36,"SOPORTE CARDIOVASCULAR AVANZADO NEONATAL",IF(N32=CURSOS!$D$37,"SEGURIDAD DEL PACIENTE")))))))))))))))))))))))))))))))))))</f>
        <v xml:space="preserve">PRIMEROS AUXILIOS </v>
      </c>
      <c r="U32" s="124" t="str">
        <f t="shared" si="3"/>
        <v>Maria Fernanda Guerrero Arteaga</v>
      </c>
      <c r="V32" s="128" t="str">
        <f t="shared" si="4"/>
        <v>Maria Fernanda Guerrero Arteaga</v>
      </c>
      <c r="W32" s="138" t="str">
        <f t="shared" si="5"/>
        <v>Maria Fernanda Guerrero Arteaga-1085280825-PRIMEROS AUXILIOS</v>
      </c>
    </row>
    <row r="33" spans="1:23" x14ac:dyDescent="0.2">
      <c r="A33" s="42">
        <v>32</v>
      </c>
      <c r="B33" s="43">
        <v>1085281731</v>
      </c>
      <c r="C33" s="17" t="s">
        <v>157</v>
      </c>
      <c r="D33" s="17" t="s">
        <v>158</v>
      </c>
      <c r="E33" s="17" t="s">
        <v>159</v>
      </c>
      <c r="F33" s="17" t="s">
        <v>160</v>
      </c>
      <c r="G33" s="14">
        <v>4</v>
      </c>
      <c r="H33" s="14" t="s">
        <v>89</v>
      </c>
      <c r="I33" s="54">
        <v>45477</v>
      </c>
      <c r="J33" s="19">
        <v>0</v>
      </c>
      <c r="K33" s="14" t="s">
        <v>245</v>
      </c>
      <c r="L33" s="14" t="s">
        <v>90</v>
      </c>
      <c r="M33" s="14" t="s">
        <v>118</v>
      </c>
      <c r="N33" s="15" t="s">
        <v>27</v>
      </c>
      <c r="O33" s="18"/>
      <c r="P33" s="15" t="s">
        <v>91</v>
      </c>
      <c r="Q33" s="17" t="s">
        <v>202</v>
      </c>
      <c r="R33" s="17"/>
      <c r="S33" s="17" t="s">
        <v>190</v>
      </c>
      <c r="T33" s="124" t="str">
        <f>IF(N33=CURSOS!$D$3,"DIPLOMADO EN ATENCION PRE-HOSPITALARIA",IF(N33=CURSOS!$D$4,"ACOMPAÑAMIENTO Y MANEJO DEL DUELO",IF(N33=CURSOS!$D$5,"ATENCION A VICTIMAS DE ATAQUE CON AGENTES QUIMICOS ",IF(N33=CURSOS!$D$6,"PRIMEROS AUXILIOS ",IF(N33=CURSOS!$D$7,"DIPLOMADO DE UNIDAD DE CUIDADOS INTENSIVOS (UCI)",IF(N33=CURSOS!$D$8,"MODELO DE ATENCION PARA EVENTOS EMERGENTES EN SALUD MENTAL (CODIGO VERDE)",IF(N33=CURSOS!$D$9,"HUMANIZACION EN EL SERVICIO DE LA SALUD Y BUENAS PRACTICAS EN PACIENTE ",IF(N33=CURSOS!$D$10,"CLINICA DE HERIDAS ",IF(N33=CURSOS!$D$11,"TOMA DE CITOLOGIA CERVICO VAGINAL ",IF(N33=CURSOS!$D$12,"SOPORTE CARDIOVASCULAR AVANZADO (ACLS) ",IF(N33=CURSOS!$D$13,"CAMILLERO ",IF(N33=CURSOS!$D$14,"TOMA DE MUESTRAS Y LABORATORIO ",IF(N33=CURSOS!$D$15,"SOPORTE VITAL BASICO (BLS)",IF(N33=CURSOS!$D$16,"ATENCION A VICTIMAS DE VIOLENCIA SEXUAL ",IF(N33=CURSOS!$D$17,"PROGRAMADO AMPLIADO DE INMUNIZACION (PAI - COVID 19)",IF(N33=CURSOS!$D$18,"ATENCION INTEGRAL EN ENFERMEDADES PREVALENTES EN PRIMERA INFANCIA (AIEPI)",IF(N33=CURSOS!$D$19,"ADMINISTRACION DE MEDICAMENTOS, INYECTOLOGIA  Y CANALIZACION ",IF(N33=CURSOS!$D$20,"OPERADOR DE VEHICULOS DE EMERGENCIA (OVE)",IF(N33=CURSOS!$D$21,"INSTITUCIONES AMIGAS DE LA MUJER Y LA INFANCIA (IAMI)",IF(N33=CURSOS!$D$22,"CUIDADO DEL DONANTE DE ORGANOS",IF(N33=CURSOS!$D$23,"ATENCION A VICTIMAS POR VIOLENCIA DE GENERO",IF(N33=CURSOS!$D$24,"IGUALDAD DE GENERO EN LA SALUD",IF(N33=CURSOS!$D$25,"BRIGADA DE EMERGENCIA",IF(N33=CURSOS!$D$26,"MANEJO DEL DOLOR Y CUIDADOS PALIATIVOS",IF(N33=CURSOS!$D$27,"TOMA DE MUESTRAS Y LABORATORIO POCT",IF(N33=CURSOS!$D$28,"IMPLANTE SUBDERMICO DE DISPOSITIVO INTRAUTERINO",IF(N33=CURSOS!$D$29,"SALUD MENTAL",IF(N33=CURSOS!$D$30,"PRIMEROS AUXILIOS PSICOLOGICOS",IF(N33=CURSOS!$D$31,"ATENCION A VICTIMAS POR CONFLICTO ARMADO",IF(N33=CURSOS!$D$32,"MANIPULACION DE ALIMENTOS Y BPM",IF(N33=CURSOS!$D$33,"ATENCION A PERSONAS CON DISCAPACIDAD",IF(N33=CURSOS!$D$34,"CUIDADO INTEGRAL DEL PACIENTE ADULTO",IF(N33=CURSOS!$D$35,"MANEJO DEFENSIVO",IF(N33=CURSOS!$D$36,"SOPORTE CARDIOVASCULAR AVANZADO NEONATAL",IF(N33=CURSOS!$D$37,"SEGURIDAD DEL PACIENTE")))))))))))))))))))))))))))))))))))</f>
        <v xml:space="preserve">PRIMEROS AUXILIOS </v>
      </c>
      <c r="U33" s="124" t="str">
        <f t="shared" si="3"/>
        <v>Luis Alfredo Arias Ruano</v>
      </c>
      <c r="V33" s="128" t="str">
        <f t="shared" si="4"/>
        <v>Luis Alfredo Arias Ruano</v>
      </c>
      <c r="W33" s="138" t="str">
        <f t="shared" si="5"/>
        <v>Luis Alfredo Arias Ruano-1085281731-PRIMEROS AUXILIOS</v>
      </c>
    </row>
    <row r="34" spans="1:23" x14ac:dyDescent="0.2">
      <c r="A34" s="42">
        <v>33</v>
      </c>
      <c r="B34" s="43">
        <v>1085305464</v>
      </c>
      <c r="C34" s="17" t="s">
        <v>161</v>
      </c>
      <c r="D34" s="17" t="s">
        <v>162</v>
      </c>
      <c r="E34" s="17" t="s">
        <v>163</v>
      </c>
      <c r="F34" s="17" t="s">
        <v>164</v>
      </c>
      <c r="G34" s="14">
        <v>4</v>
      </c>
      <c r="H34" s="14" t="s">
        <v>89</v>
      </c>
      <c r="I34" s="54">
        <v>45477</v>
      </c>
      <c r="J34" s="19">
        <v>0</v>
      </c>
      <c r="K34" s="14" t="s">
        <v>245</v>
      </c>
      <c r="L34" s="14" t="s">
        <v>90</v>
      </c>
      <c r="M34" s="14" t="s">
        <v>118</v>
      </c>
      <c r="N34" s="15" t="s">
        <v>27</v>
      </c>
      <c r="O34" s="18"/>
      <c r="P34" s="15" t="s">
        <v>91</v>
      </c>
      <c r="Q34" s="17" t="s">
        <v>200</v>
      </c>
      <c r="R34" s="17"/>
      <c r="S34" s="39" t="s">
        <v>191</v>
      </c>
      <c r="T34" s="124" t="str">
        <f>IF(N34=CURSOS!$D$3,"DIPLOMADO EN ATENCION PRE-HOSPITALARIA",IF(N34=CURSOS!$D$4,"ACOMPAÑAMIENTO Y MANEJO DEL DUELO",IF(N34=CURSOS!$D$5,"ATENCION A VICTIMAS DE ATAQUE CON AGENTES QUIMICOS ",IF(N34=CURSOS!$D$6,"PRIMEROS AUXILIOS ",IF(N34=CURSOS!$D$7,"DIPLOMADO DE UNIDAD DE CUIDADOS INTENSIVOS (UCI)",IF(N34=CURSOS!$D$8,"MODELO DE ATENCION PARA EVENTOS EMERGENTES EN SALUD MENTAL (CODIGO VERDE)",IF(N34=CURSOS!$D$9,"HUMANIZACION EN EL SERVICIO DE LA SALUD Y BUENAS PRACTICAS EN PACIENTE ",IF(N34=CURSOS!$D$10,"CLINICA DE HERIDAS ",IF(N34=CURSOS!$D$11,"TOMA DE CITOLOGIA CERVICO VAGINAL ",IF(N34=CURSOS!$D$12,"SOPORTE CARDIOVASCULAR AVANZADO (ACLS) ",IF(N34=CURSOS!$D$13,"CAMILLERO ",IF(N34=CURSOS!$D$14,"TOMA DE MUESTRAS Y LABORATORIO ",IF(N34=CURSOS!$D$15,"SOPORTE VITAL BASICO (BLS)",IF(N34=CURSOS!$D$16,"ATENCION A VICTIMAS DE VIOLENCIA SEXUAL ",IF(N34=CURSOS!$D$17,"PROGRAMADO AMPLIADO DE INMUNIZACION (PAI - COVID 19)",IF(N34=CURSOS!$D$18,"ATENCION INTEGRAL EN ENFERMEDADES PREVALENTES EN PRIMERA INFANCIA (AIEPI)",IF(N34=CURSOS!$D$19,"ADMINISTRACION DE MEDICAMENTOS, INYECTOLOGIA  Y CANALIZACION ",IF(N34=CURSOS!$D$20,"OPERADOR DE VEHICULOS DE EMERGENCIA (OVE)",IF(N34=CURSOS!$D$21,"INSTITUCIONES AMIGAS DE LA MUJER Y LA INFANCIA (IAMI)",IF(N34=CURSOS!$D$22,"CUIDADO DEL DONANTE DE ORGANOS",IF(N34=CURSOS!$D$23,"ATENCION A VICTIMAS POR VIOLENCIA DE GENERO",IF(N34=CURSOS!$D$24,"IGUALDAD DE GENERO EN LA SALUD",IF(N34=CURSOS!$D$25,"BRIGADA DE EMERGENCIA",IF(N34=CURSOS!$D$26,"MANEJO DEL DOLOR Y CUIDADOS PALIATIVOS",IF(N34=CURSOS!$D$27,"TOMA DE MUESTRAS Y LABORATORIO POCT",IF(N34=CURSOS!$D$28,"IMPLANTE SUBDERMICO DE DISPOSITIVO INTRAUTERINO",IF(N34=CURSOS!$D$29,"SALUD MENTAL",IF(N34=CURSOS!$D$30,"PRIMEROS AUXILIOS PSICOLOGICOS",IF(N34=CURSOS!$D$31,"ATENCION A VICTIMAS POR CONFLICTO ARMADO",IF(N34=CURSOS!$D$32,"MANIPULACION DE ALIMENTOS Y BPM",IF(N34=CURSOS!$D$33,"ATENCION A PERSONAS CON DISCAPACIDAD",IF(N34=CURSOS!$D$34,"CUIDADO INTEGRAL DEL PACIENTE ADULTO",IF(N34=CURSOS!$D$35,"MANEJO DEFENSIVO",IF(N34=CURSOS!$D$36,"SOPORTE CARDIOVASCULAR AVANZADO NEONATAL",IF(N34=CURSOS!$D$37,"SEGURIDAD DEL PACIENTE")))))))))))))))))))))))))))))))))))</f>
        <v xml:space="preserve">PRIMEROS AUXILIOS </v>
      </c>
      <c r="U34" s="124" t="str">
        <f t="shared" si="3"/>
        <v>Jairo Camilo Mesias Burgos</v>
      </c>
      <c r="V34" s="128" t="str">
        <f t="shared" si="4"/>
        <v>Jairo Camilo Mesias Burgos</v>
      </c>
      <c r="W34" s="138" t="str">
        <f t="shared" si="5"/>
        <v>Jairo Camilo Mesias Burgos-1085305464-PRIMEROS AUXILIOS</v>
      </c>
    </row>
    <row r="35" spans="1:23" x14ac:dyDescent="0.2">
      <c r="A35" s="42">
        <v>34</v>
      </c>
      <c r="B35" s="89">
        <v>1085323138</v>
      </c>
      <c r="C35" s="53" t="s">
        <v>165</v>
      </c>
      <c r="D35" s="53" t="s">
        <v>166</v>
      </c>
      <c r="E35" s="53" t="s">
        <v>167</v>
      </c>
      <c r="F35" s="53" t="s">
        <v>168</v>
      </c>
      <c r="G35" s="14">
        <v>4</v>
      </c>
      <c r="H35" s="14" t="s">
        <v>89</v>
      </c>
      <c r="I35" s="54">
        <v>45477</v>
      </c>
      <c r="J35" s="58">
        <v>0</v>
      </c>
      <c r="K35" s="14" t="s">
        <v>245</v>
      </c>
      <c r="L35" s="14" t="s">
        <v>90</v>
      </c>
      <c r="M35" s="55" t="s">
        <v>118</v>
      </c>
      <c r="N35" s="15" t="s">
        <v>27</v>
      </c>
      <c r="O35" s="56"/>
      <c r="P35" s="120" t="s">
        <v>101</v>
      </c>
      <c r="Q35" s="53" t="s">
        <v>126</v>
      </c>
      <c r="R35" s="53"/>
      <c r="S35" s="53" t="s">
        <v>192</v>
      </c>
      <c r="T35" s="124" t="str">
        <f>IF(N35=CURSOS!$D$3,"DIPLOMADO EN ATENCION PRE-HOSPITALARIA",IF(N35=CURSOS!$D$4,"ACOMPAÑAMIENTO Y MANEJO DEL DUELO",IF(N35=CURSOS!$D$5,"ATENCION A VICTIMAS DE ATAQUE CON AGENTES QUIMICOS ",IF(N35=CURSOS!$D$6,"PRIMEROS AUXILIOS ",IF(N35=CURSOS!$D$7,"DIPLOMADO DE UNIDAD DE CUIDADOS INTENSIVOS (UCI)",IF(N35=CURSOS!$D$8,"MODELO DE ATENCION PARA EVENTOS EMERGENTES EN SALUD MENTAL (CODIGO VERDE)",IF(N35=CURSOS!$D$9,"HUMANIZACION EN EL SERVICIO DE LA SALUD Y BUENAS PRACTICAS EN PACIENTE ",IF(N35=CURSOS!$D$10,"CLINICA DE HERIDAS ",IF(N35=CURSOS!$D$11,"TOMA DE CITOLOGIA CERVICO VAGINAL ",IF(N35=CURSOS!$D$12,"SOPORTE CARDIOVASCULAR AVANZADO (ACLS) ",IF(N35=CURSOS!$D$13,"CAMILLERO ",IF(N35=CURSOS!$D$14,"TOMA DE MUESTRAS Y LABORATORIO ",IF(N35=CURSOS!$D$15,"SOPORTE VITAL BASICO (BLS)",IF(N35=CURSOS!$D$16,"ATENCION A VICTIMAS DE VIOLENCIA SEXUAL ",IF(N35=CURSOS!$D$17,"PROGRAMADO AMPLIADO DE INMUNIZACION (PAI - COVID 19)",IF(N35=CURSOS!$D$18,"ATENCION INTEGRAL EN ENFERMEDADES PREVALENTES EN PRIMERA INFANCIA (AIEPI)",IF(N35=CURSOS!$D$19,"ADMINISTRACION DE MEDICAMENTOS, INYECTOLOGIA  Y CANALIZACION ",IF(N35=CURSOS!$D$20,"OPERADOR DE VEHICULOS DE EMERGENCIA (OVE)",IF(N35=CURSOS!$D$21,"INSTITUCIONES AMIGAS DE LA MUJER Y LA INFANCIA (IAMI)",IF(N35=CURSOS!$D$22,"CUIDADO DEL DONANTE DE ORGANOS",IF(N35=CURSOS!$D$23,"ATENCION A VICTIMAS POR VIOLENCIA DE GENERO",IF(N35=CURSOS!$D$24,"IGUALDAD DE GENERO EN LA SALUD",IF(N35=CURSOS!$D$25,"BRIGADA DE EMERGENCIA",IF(N35=CURSOS!$D$26,"MANEJO DEL DOLOR Y CUIDADOS PALIATIVOS",IF(N35=CURSOS!$D$27,"TOMA DE MUESTRAS Y LABORATORIO POCT",IF(N35=CURSOS!$D$28,"IMPLANTE SUBDERMICO DE DISPOSITIVO INTRAUTERINO",IF(N35=CURSOS!$D$29,"SALUD MENTAL",IF(N35=CURSOS!$D$30,"PRIMEROS AUXILIOS PSICOLOGICOS",IF(N35=CURSOS!$D$31,"ATENCION A VICTIMAS POR CONFLICTO ARMADO",IF(N35=CURSOS!$D$32,"MANIPULACION DE ALIMENTOS Y BPM",IF(N35=CURSOS!$D$33,"ATENCION A PERSONAS CON DISCAPACIDAD",IF(N35=CURSOS!$D$34,"CUIDADO INTEGRAL DEL PACIENTE ADULTO",IF(N35=CURSOS!$D$35,"MANEJO DEFENSIVO",IF(N35=CURSOS!$D$36,"SOPORTE CARDIOVASCULAR AVANZADO NEONATAL",IF(N35=CURSOS!$D$37,"SEGURIDAD DEL PACIENTE")))))))))))))))))))))))))))))))))))</f>
        <v xml:space="preserve">PRIMEROS AUXILIOS </v>
      </c>
      <c r="U35" s="124" t="str">
        <f t="shared" si="3"/>
        <v>Carolina Lucia Fuertes Caicedo</v>
      </c>
      <c r="V35" s="128" t="str">
        <f t="shared" si="4"/>
        <v>Carolina Lucia Fuertes Caicedo</v>
      </c>
      <c r="W35" s="138" t="str">
        <f t="shared" si="5"/>
        <v>Carolina Lucia Fuertes Caicedo-1085323138-PRIMEROS AUXILIOS</v>
      </c>
    </row>
    <row r="36" spans="1:23" x14ac:dyDescent="0.2">
      <c r="A36" s="42">
        <v>35</v>
      </c>
      <c r="B36" s="89">
        <v>1085346372</v>
      </c>
      <c r="C36" s="53" t="s">
        <v>169</v>
      </c>
      <c r="D36" s="53" t="s">
        <v>169</v>
      </c>
      <c r="E36" s="53" t="s">
        <v>170</v>
      </c>
      <c r="F36" s="53" t="s">
        <v>171</v>
      </c>
      <c r="G36" s="14">
        <v>4</v>
      </c>
      <c r="H36" s="14" t="s">
        <v>89</v>
      </c>
      <c r="I36" s="54">
        <v>45477</v>
      </c>
      <c r="J36" s="58">
        <v>0</v>
      </c>
      <c r="K36" s="14" t="s">
        <v>245</v>
      </c>
      <c r="L36" s="14" t="s">
        <v>90</v>
      </c>
      <c r="M36" s="55" t="s">
        <v>118</v>
      </c>
      <c r="N36" s="15" t="s">
        <v>27</v>
      </c>
      <c r="O36" s="56"/>
      <c r="P36" s="120" t="s">
        <v>91</v>
      </c>
      <c r="Q36" s="53" t="s">
        <v>200</v>
      </c>
      <c r="R36" s="53"/>
      <c r="S36" s="53" t="s">
        <v>193</v>
      </c>
      <c r="T36" s="124" t="str">
        <f>IF(N36=CURSOS!$D$3,"DIPLOMADO EN ATENCION PRE-HOSPITALARIA",IF(N36=CURSOS!$D$4,"ACOMPAÑAMIENTO Y MANEJO DEL DUELO",IF(N36=CURSOS!$D$5,"ATENCION A VICTIMAS DE ATAQUE CON AGENTES QUIMICOS ",IF(N36=CURSOS!$D$6,"PRIMEROS AUXILIOS ",IF(N36=CURSOS!$D$7,"DIPLOMADO DE UNIDAD DE CUIDADOS INTENSIVOS (UCI)",IF(N36=CURSOS!$D$8,"MODELO DE ATENCION PARA EVENTOS EMERGENTES EN SALUD MENTAL (CODIGO VERDE)",IF(N36=CURSOS!$D$9,"HUMANIZACION EN EL SERVICIO DE LA SALUD Y BUENAS PRACTICAS EN PACIENTE ",IF(N36=CURSOS!$D$10,"CLINICA DE HERIDAS ",IF(N36=CURSOS!$D$11,"TOMA DE CITOLOGIA CERVICO VAGINAL ",IF(N36=CURSOS!$D$12,"SOPORTE CARDIOVASCULAR AVANZADO (ACLS) ",IF(N36=CURSOS!$D$13,"CAMILLERO ",IF(N36=CURSOS!$D$14,"TOMA DE MUESTRAS Y LABORATORIO ",IF(N36=CURSOS!$D$15,"SOPORTE VITAL BASICO (BLS)",IF(N36=CURSOS!$D$16,"ATENCION A VICTIMAS DE VIOLENCIA SEXUAL ",IF(N36=CURSOS!$D$17,"PROGRAMADO AMPLIADO DE INMUNIZACION (PAI - COVID 19)",IF(N36=CURSOS!$D$18,"ATENCION INTEGRAL EN ENFERMEDADES PREVALENTES EN PRIMERA INFANCIA (AIEPI)",IF(N36=CURSOS!$D$19,"ADMINISTRACION DE MEDICAMENTOS, INYECTOLOGIA  Y CANALIZACION ",IF(N36=CURSOS!$D$20,"OPERADOR DE VEHICULOS DE EMERGENCIA (OVE)",IF(N36=CURSOS!$D$21,"INSTITUCIONES AMIGAS DE LA MUJER Y LA INFANCIA (IAMI)",IF(N36=CURSOS!$D$22,"CUIDADO DEL DONANTE DE ORGANOS",IF(N36=CURSOS!$D$23,"ATENCION A VICTIMAS POR VIOLENCIA DE GENERO",IF(N36=CURSOS!$D$24,"IGUALDAD DE GENERO EN LA SALUD",IF(N36=CURSOS!$D$25,"BRIGADA DE EMERGENCIA",IF(N36=CURSOS!$D$26,"MANEJO DEL DOLOR Y CUIDADOS PALIATIVOS",IF(N36=CURSOS!$D$27,"TOMA DE MUESTRAS Y LABORATORIO POCT",IF(N36=CURSOS!$D$28,"IMPLANTE SUBDERMICO DE DISPOSITIVO INTRAUTERINO",IF(N36=CURSOS!$D$29,"SALUD MENTAL",IF(N36=CURSOS!$D$30,"PRIMEROS AUXILIOS PSICOLOGICOS",IF(N36=CURSOS!$D$31,"ATENCION A VICTIMAS POR CONFLICTO ARMADO",IF(N36=CURSOS!$D$32,"MANIPULACION DE ALIMENTOS Y BPM",IF(N36=CURSOS!$D$33,"ATENCION A PERSONAS CON DISCAPACIDAD",IF(N36=CURSOS!$D$34,"CUIDADO INTEGRAL DEL PACIENTE ADULTO",IF(N36=CURSOS!$D$35,"MANEJO DEFENSIVO",IF(N36=CURSOS!$D$36,"SOPORTE CARDIOVASCULAR AVANZADO NEONATAL",IF(N36=CURSOS!$D$37,"SEGURIDAD DEL PACIENTE")))))))))))))))))))))))))))))))))))</f>
        <v xml:space="preserve">PRIMEROS AUXILIOS </v>
      </c>
      <c r="U36" s="124" t="str">
        <f t="shared" si="3"/>
        <v>Gabriel Alejandro Paz Paz</v>
      </c>
      <c r="V36" s="128" t="str">
        <f t="shared" si="4"/>
        <v>Gabriel Alejandro Paz Paz</v>
      </c>
      <c r="W36" s="138" t="str">
        <f t="shared" si="5"/>
        <v>Gabriel Alejandro Paz Paz-1085346372-PRIMEROS AUXILIOS</v>
      </c>
    </row>
    <row r="37" spans="1:23" x14ac:dyDescent="0.2">
      <c r="A37" s="42">
        <v>36</v>
      </c>
      <c r="B37" s="89">
        <v>1086140525</v>
      </c>
      <c r="C37" s="53" t="s">
        <v>110</v>
      </c>
      <c r="D37" s="53" t="s">
        <v>172</v>
      </c>
      <c r="E37" s="53" t="s">
        <v>130</v>
      </c>
      <c r="F37" s="53" t="s">
        <v>89</v>
      </c>
      <c r="G37" s="14">
        <v>4</v>
      </c>
      <c r="H37" s="14" t="s">
        <v>89</v>
      </c>
      <c r="I37" s="54">
        <v>45477</v>
      </c>
      <c r="J37" s="58">
        <v>0</v>
      </c>
      <c r="K37" s="14" t="s">
        <v>245</v>
      </c>
      <c r="L37" s="14" t="s">
        <v>90</v>
      </c>
      <c r="M37" s="55" t="s">
        <v>118</v>
      </c>
      <c r="N37" s="15" t="s">
        <v>27</v>
      </c>
      <c r="O37" s="56"/>
      <c r="P37" s="120" t="s">
        <v>91</v>
      </c>
      <c r="Q37" s="53" t="s">
        <v>203</v>
      </c>
      <c r="R37" s="53"/>
      <c r="S37" s="53" t="s">
        <v>194</v>
      </c>
      <c r="T37" s="124" t="str">
        <f>IF(N37=CURSOS!$D$3,"DIPLOMADO EN ATENCION PRE-HOSPITALARIA",IF(N37=CURSOS!$D$4,"ACOMPAÑAMIENTO Y MANEJO DEL DUELO",IF(N37=CURSOS!$D$5,"ATENCION A VICTIMAS DE ATAQUE CON AGENTES QUIMICOS ",IF(N37=CURSOS!$D$6,"PRIMEROS AUXILIOS ",IF(N37=CURSOS!$D$7,"DIPLOMADO DE UNIDAD DE CUIDADOS INTENSIVOS (UCI)",IF(N37=CURSOS!$D$8,"MODELO DE ATENCION PARA EVENTOS EMERGENTES EN SALUD MENTAL (CODIGO VERDE)",IF(N37=CURSOS!$D$9,"HUMANIZACION EN EL SERVICIO DE LA SALUD Y BUENAS PRACTICAS EN PACIENTE ",IF(N37=CURSOS!$D$10,"CLINICA DE HERIDAS ",IF(N37=CURSOS!$D$11,"TOMA DE CITOLOGIA CERVICO VAGINAL ",IF(N37=CURSOS!$D$12,"SOPORTE CARDIOVASCULAR AVANZADO (ACLS) ",IF(N37=CURSOS!$D$13,"CAMILLERO ",IF(N37=CURSOS!$D$14,"TOMA DE MUESTRAS Y LABORATORIO ",IF(N37=CURSOS!$D$15,"SOPORTE VITAL BASICO (BLS)",IF(N37=CURSOS!$D$16,"ATENCION A VICTIMAS DE VIOLENCIA SEXUAL ",IF(N37=CURSOS!$D$17,"PROGRAMADO AMPLIADO DE INMUNIZACION (PAI - COVID 19)",IF(N37=CURSOS!$D$18,"ATENCION INTEGRAL EN ENFERMEDADES PREVALENTES EN PRIMERA INFANCIA (AIEPI)",IF(N37=CURSOS!$D$19,"ADMINISTRACION DE MEDICAMENTOS, INYECTOLOGIA  Y CANALIZACION ",IF(N37=CURSOS!$D$20,"OPERADOR DE VEHICULOS DE EMERGENCIA (OVE)",IF(N37=CURSOS!$D$21,"INSTITUCIONES AMIGAS DE LA MUJER Y LA INFANCIA (IAMI)",IF(N37=CURSOS!$D$22,"CUIDADO DEL DONANTE DE ORGANOS",IF(N37=CURSOS!$D$23,"ATENCION A VICTIMAS POR VIOLENCIA DE GENERO",IF(N37=CURSOS!$D$24,"IGUALDAD DE GENERO EN LA SALUD",IF(N37=CURSOS!$D$25,"BRIGADA DE EMERGENCIA",IF(N37=CURSOS!$D$26,"MANEJO DEL DOLOR Y CUIDADOS PALIATIVOS",IF(N37=CURSOS!$D$27,"TOMA DE MUESTRAS Y LABORATORIO POCT",IF(N37=CURSOS!$D$28,"IMPLANTE SUBDERMICO DE DISPOSITIVO INTRAUTERINO",IF(N37=CURSOS!$D$29,"SALUD MENTAL",IF(N37=CURSOS!$D$30,"PRIMEROS AUXILIOS PSICOLOGICOS",IF(N37=CURSOS!$D$31,"ATENCION A VICTIMAS POR CONFLICTO ARMADO",IF(N37=CURSOS!$D$32,"MANIPULACION DE ALIMENTOS Y BPM",IF(N37=CURSOS!$D$33,"ATENCION A PERSONAS CON DISCAPACIDAD",IF(N37=CURSOS!$D$34,"CUIDADO INTEGRAL DEL PACIENTE ADULTO",IF(N37=CURSOS!$D$35,"MANEJO DEFENSIVO",IF(N37=CURSOS!$D$36,"SOPORTE CARDIOVASCULAR AVANZADO NEONATAL",IF(N37=CURSOS!$D$37,"SEGURIDAD DEL PACIENTE")))))))))))))))))))))))))))))))))))</f>
        <v xml:space="preserve">PRIMEROS AUXILIOS </v>
      </c>
      <c r="U37" s="124" t="str">
        <f t="shared" si="3"/>
        <v>Carlos Julio Rivera Lopez</v>
      </c>
      <c r="V37" s="128" t="str">
        <f t="shared" si="4"/>
        <v>Carlos Julio Rivera Lopez</v>
      </c>
      <c r="W37" s="138" t="str">
        <f t="shared" si="5"/>
        <v>Carlos Julio Rivera Lopez-1086140525-PRIMEROS AUXILIOS</v>
      </c>
    </row>
    <row r="38" spans="1:23" x14ac:dyDescent="0.2">
      <c r="A38" s="42">
        <v>37</v>
      </c>
      <c r="B38" s="89">
        <v>27094002</v>
      </c>
      <c r="C38" s="53" t="s">
        <v>173</v>
      </c>
      <c r="D38" s="53" t="s">
        <v>174</v>
      </c>
      <c r="E38" s="53" t="s">
        <v>175</v>
      </c>
      <c r="F38" s="53" t="s">
        <v>176</v>
      </c>
      <c r="G38" s="14">
        <v>4</v>
      </c>
      <c r="H38" s="14" t="s">
        <v>89</v>
      </c>
      <c r="I38" s="54">
        <v>45477</v>
      </c>
      <c r="J38" s="58">
        <v>0</v>
      </c>
      <c r="K38" s="14" t="s">
        <v>245</v>
      </c>
      <c r="L38" s="14" t="s">
        <v>90</v>
      </c>
      <c r="M38" s="55" t="s">
        <v>118</v>
      </c>
      <c r="N38" s="15" t="s">
        <v>27</v>
      </c>
      <c r="O38" s="56"/>
      <c r="P38" s="120" t="s">
        <v>101</v>
      </c>
      <c r="Q38" s="53" t="s">
        <v>204</v>
      </c>
      <c r="R38" s="53"/>
      <c r="S38" s="53" t="s">
        <v>195</v>
      </c>
      <c r="T38" s="124" t="str">
        <f>IF(N38=CURSOS!$D$3,"DIPLOMADO EN ATENCION PRE-HOSPITALARIA",IF(N38=CURSOS!$D$4,"ACOMPAÑAMIENTO Y MANEJO DEL DUELO",IF(N38=CURSOS!$D$5,"ATENCION A VICTIMAS DE ATAQUE CON AGENTES QUIMICOS ",IF(N38=CURSOS!$D$6,"PRIMEROS AUXILIOS ",IF(N38=CURSOS!$D$7,"DIPLOMADO DE UNIDAD DE CUIDADOS INTENSIVOS (UCI)",IF(N38=CURSOS!$D$8,"MODELO DE ATENCION PARA EVENTOS EMERGENTES EN SALUD MENTAL (CODIGO VERDE)",IF(N38=CURSOS!$D$9,"HUMANIZACION EN EL SERVICIO DE LA SALUD Y BUENAS PRACTICAS EN PACIENTE ",IF(N38=CURSOS!$D$10,"CLINICA DE HERIDAS ",IF(N38=CURSOS!$D$11,"TOMA DE CITOLOGIA CERVICO VAGINAL ",IF(N38=CURSOS!$D$12,"SOPORTE CARDIOVASCULAR AVANZADO (ACLS) ",IF(N38=CURSOS!$D$13,"CAMILLERO ",IF(N38=CURSOS!$D$14,"TOMA DE MUESTRAS Y LABORATORIO ",IF(N38=CURSOS!$D$15,"SOPORTE VITAL BASICO (BLS)",IF(N38=CURSOS!$D$16,"ATENCION A VICTIMAS DE VIOLENCIA SEXUAL ",IF(N38=CURSOS!$D$17,"PROGRAMADO AMPLIADO DE INMUNIZACION (PAI - COVID 19)",IF(N38=CURSOS!$D$18,"ATENCION INTEGRAL EN ENFERMEDADES PREVALENTES EN PRIMERA INFANCIA (AIEPI)",IF(N38=CURSOS!$D$19,"ADMINISTRACION DE MEDICAMENTOS, INYECTOLOGIA  Y CANALIZACION ",IF(N38=CURSOS!$D$20,"OPERADOR DE VEHICULOS DE EMERGENCIA (OVE)",IF(N38=CURSOS!$D$21,"INSTITUCIONES AMIGAS DE LA MUJER Y LA INFANCIA (IAMI)",IF(N38=CURSOS!$D$22,"CUIDADO DEL DONANTE DE ORGANOS",IF(N38=CURSOS!$D$23,"ATENCION A VICTIMAS POR VIOLENCIA DE GENERO",IF(N38=CURSOS!$D$24,"IGUALDAD DE GENERO EN LA SALUD",IF(N38=CURSOS!$D$25,"BRIGADA DE EMERGENCIA",IF(N38=CURSOS!$D$26,"MANEJO DEL DOLOR Y CUIDADOS PALIATIVOS",IF(N38=CURSOS!$D$27,"TOMA DE MUESTRAS Y LABORATORIO POCT",IF(N38=CURSOS!$D$28,"IMPLANTE SUBDERMICO DE DISPOSITIVO INTRAUTERINO",IF(N38=CURSOS!$D$29,"SALUD MENTAL",IF(N38=CURSOS!$D$30,"PRIMEROS AUXILIOS PSICOLOGICOS",IF(N38=CURSOS!$D$31,"ATENCION A VICTIMAS POR CONFLICTO ARMADO",IF(N38=CURSOS!$D$32,"MANIPULACION DE ALIMENTOS Y BPM",IF(N38=CURSOS!$D$33,"ATENCION A PERSONAS CON DISCAPACIDAD",IF(N38=CURSOS!$D$34,"CUIDADO INTEGRAL DEL PACIENTE ADULTO",IF(N38=CURSOS!$D$35,"MANEJO DEFENSIVO",IF(N38=CURSOS!$D$36,"SOPORTE CARDIOVASCULAR AVANZADO NEONATAL",IF(N38=CURSOS!$D$37,"SEGURIDAD DEL PACIENTE")))))))))))))))))))))))))))))))))))</f>
        <v xml:space="preserve">PRIMEROS AUXILIOS </v>
      </c>
      <c r="U38" s="124" t="str">
        <f t="shared" si="3"/>
        <v>Karoll Janeth Inampues Molina</v>
      </c>
      <c r="V38" s="128" t="str">
        <f t="shared" si="4"/>
        <v>Karoll Janeth Inampues Molina</v>
      </c>
      <c r="W38" s="138" t="str">
        <f t="shared" si="5"/>
        <v>Karoll Janeth Inampues Molina-27094002-PRIMEROS AUXILIOS</v>
      </c>
    </row>
    <row r="39" spans="1:23" x14ac:dyDescent="0.2">
      <c r="A39" s="42">
        <v>38</v>
      </c>
      <c r="B39" s="89">
        <v>27094164</v>
      </c>
      <c r="C39" s="53" t="s">
        <v>177</v>
      </c>
      <c r="D39" s="53" t="s">
        <v>178</v>
      </c>
      <c r="E39" s="53" t="s">
        <v>179</v>
      </c>
      <c r="F39" s="53" t="s">
        <v>180</v>
      </c>
      <c r="G39" s="14">
        <v>4</v>
      </c>
      <c r="H39" s="14" t="s">
        <v>89</v>
      </c>
      <c r="I39" s="54">
        <v>45477</v>
      </c>
      <c r="J39" s="58">
        <v>0</v>
      </c>
      <c r="K39" s="14" t="s">
        <v>245</v>
      </c>
      <c r="L39" s="14" t="s">
        <v>90</v>
      </c>
      <c r="M39" s="55" t="s">
        <v>118</v>
      </c>
      <c r="N39" s="15" t="s">
        <v>27</v>
      </c>
      <c r="O39" s="56"/>
      <c r="P39" s="120" t="s">
        <v>101</v>
      </c>
      <c r="Q39" s="53" t="s">
        <v>126</v>
      </c>
      <c r="R39" s="53"/>
      <c r="S39" s="53" t="s">
        <v>196</v>
      </c>
      <c r="T39" s="124" t="str">
        <f>IF(N39=CURSOS!$D$3,"DIPLOMADO EN ATENCION PRE-HOSPITALARIA",IF(N39=CURSOS!$D$4,"ACOMPAÑAMIENTO Y MANEJO DEL DUELO",IF(N39=CURSOS!$D$5,"ATENCION A VICTIMAS DE ATAQUE CON AGENTES QUIMICOS ",IF(N39=CURSOS!$D$6,"PRIMEROS AUXILIOS ",IF(N39=CURSOS!$D$7,"DIPLOMADO DE UNIDAD DE CUIDADOS INTENSIVOS (UCI)",IF(N39=CURSOS!$D$8,"MODELO DE ATENCION PARA EVENTOS EMERGENTES EN SALUD MENTAL (CODIGO VERDE)",IF(N39=CURSOS!$D$9,"HUMANIZACION EN EL SERVICIO DE LA SALUD Y BUENAS PRACTICAS EN PACIENTE ",IF(N39=CURSOS!$D$10,"CLINICA DE HERIDAS ",IF(N39=CURSOS!$D$11,"TOMA DE CITOLOGIA CERVICO VAGINAL ",IF(N39=CURSOS!$D$12,"SOPORTE CARDIOVASCULAR AVANZADO (ACLS) ",IF(N39=CURSOS!$D$13,"CAMILLERO ",IF(N39=CURSOS!$D$14,"TOMA DE MUESTRAS Y LABORATORIO ",IF(N39=CURSOS!$D$15,"SOPORTE VITAL BASICO (BLS)",IF(N39=CURSOS!$D$16,"ATENCION A VICTIMAS DE VIOLENCIA SEXUAL ",IF(N39=CURSOS!$D$17,"PROGRAMADO AMPLIADO DE INMUNIZACION (PAI - COVID 19)",IF(N39=CURSOS!$D$18,"ATENCION INTEGRAL EN ENFERMEDADES PREVALENTES EN PRIMERA INFANCIA (AIEPI)",IF(N39=CURSOS!$D$19,"ADMINISTRACION DE MEDICAMENTOS, INYECTOLOGIA  Y CANALIZACION ",IF(N39=CURSOS!$D$20,"OPERADOR DE VEHICULOS DE EMERGENCIA (OVE)",IF(N39=CURSOS!$D$21,"INSTITUCIONES AMIGAS DE LA MUJER Y LA INFANCIA (IAMI)",IF(N39=CURSOS!$D$22,"CUIDADO DEL DONANTE DE ORGANOS",IF(N39=CURSOS!$D$23,"ATENCION A VICTIMAS POR VIOLENCIA DE GENERO",IF(N39=CURSOS!$D$24,"IGUALDAD DE GENERO EN LA SALUD",IF(N39=CURSOS!$D$25,"BRIGADA DE EMERGENCIA",IF(N39=CURSOS!$D$26,"MANEJO DEL DOLOR Y CUIDADOS PALIATIVOS",IF(N39=CURSOS!$D$27,"TOMA DE MUESTRAS Y LABORATORIO POCT",IF(N39=CURSOS!$D$28,"IMPLANTE SUBDERMICO DE DISPOSITIVO INTRAUTERINO",IF(N39=CURSOS!$D$29,"SALUD MENTAL",IF(N39=CURSOS!$D$30,"PRIMEROS AUXILIOS PSICOLOGICOS",IF(N39=CURSOS!$D$31,"ATENCION A VICTIMAS POR CONFLICTO ARMADO",IF(N39=CURSOS!$D$32,"MANIPULACION DE ALIMENTOS Y BPM",IF(N39=CURSOS!$D$33,"ATENCION A PERSONAS CON DISCAPACIDAD",IF(N39=CURSOS!$D$34,"CUIDADO INTEGRAL DEL PACIENTE ADULTO",IF(N39=CURSOS!$D$35,"MANEJO DEFENSIVO",IF(N39=CURSOS!$D$36,"SOPORTE CARDIOVASCULAR AVANZADO NEONATAL",IF(N39=CURSOS!$D$37,"SEGURIDAD DEL PACIENTE")))))))))))))))))))))))))))))))))))</f>
        <v xml:space="preserve">PRIMEROS AUXILIOS </v>
      </c>
      <c r="U39" s="124" t="str">
        <f t="shared" si="3"/>
        <v>Sandra Stella Yarpaz Achicanoy</v>
      </c>
      <c r="V39" s="128" t="str">
        <f t="shared" si="4"/>
        <v>Sandra Stella Yarpaz Achicanoy</v>
      </c>
      <c r="W39" s="138" t="str">
        <f t="shared" si="5"/>
        <v>Sandra Stella Yarpaz Achicanoy-27094164-PRIMEROS AUXILIOS</v>
      </c>
    </row>
    <row r="40" spans="1:23" x14ac:dyDescent="0.2">
      <c r="A40" s="42">
        <v>39</v>
      </c>
      <c r="B40" s="89">
        <v>59831638</v>
      </c>
      <c r="C40" s="53" t="s">
        <v>181</v>
      </c>
      <c r="D40" s="53" t="s">
        <v>182</v>
      </c>
      <c r="E40" s="53" t="s">
        <v>95</v>
      </c>
      <c r="F40" s="53" t="s">
        <v>183</v>
      </c>
      <c r="G40" s="14">
        <v>4</v>
      </c>
      <c r="H40" s="14" t="s">
        <v>89</v>
      </c>
      <c r="I40" s="54">
        <v>45477</v>
      </c>
      <c r="J40" s="58">
        <v>0</v>
      </c>
      <c r="K40" s="14" t="s">
        <v>245</v>
      </c>
      <c r="L40" s="14" t="s">
        <v>90</v>
      </c>
      <c r="M40" s="55" t="s">
        <v>118</v>
      </c>
      <c r="N40" s="15" t="s">
        <v>27</v>
      </c>
      <c r="O40" s="56"/>
      <c r="P40" s="120" t="s">
        <v>101</v>
      </c>
      <c r="Q40" s="53" t="s">
        <v>126</v>
      </c>
      <c r="R40" s="53"/>
      <c r="S40" s="53" t="s">
        <v>197</v>
      </c>
      <c r="T40" s="124" t="str">
        <f>IF(N40=CURSOS!$D$3,"DIPLOMADO EN ATENCION PRE-HOSPITALARIA",IF(N40=CURSOS!$D$4,"ACOMPAÑAMIENTO Y MANEJO DEL DUELO",IF(N40=CURSOS!$D$5,"ATENCION A VICTIMAS DE ATAQUE CON AGENTES QUIMICOS ",IF(N40=CURSOS!$D$6,"PRIMEROS AUXILIOS ",IF(N40=CURSOS!$D$7,"DIPLOMADO DE UNIDAD DE CUIDADOS INTENSIVOS (UCI)",IF(N40=CURSOS!$D$8,"MODELO DE ATENCION PARA EVENTOS EMERGENTES EN SALUD MENTAL (CODIGO VERDE)",IF(N40=CURSOS!$D$9,"HUMANIZACION EN EL SERVICIO DE LA SALUD Y BUENAS PRACTICAS EN PACIENTE ",IF(N40=CURSOS!$D$10,"CLINICA DE HERIDAS ",IF(N40=CURSOS!$D$11,"TOMA DE CITOLOGIA CERVICO VAGINAL ",IF(N40=CURSOS!$D$12,"SOPORTE CARDIOVASCULAR AVANZADO (ACLS) ",IF(N40=CURSOS!$D$13,"CAMILLERO ",IF(N40=CURSOS!$D$14,"TOMA DE MUESTRAS Y LABORATORIO ",IF(N40=CURSOS!$D$15,"SOPORTE VITAL BASICO (BLS)",IF(N40=CURSOS!$D$16,"ATENCION A VICTIMAS DE VIOLENCIA SEXUAL ",IF(N40=CURSOS!$D$17,"PROGRAMADO AMPLIADO DE INMUNIZACION (PAI - COVID 19)",IF(N40=CURSOS!$D$18,"ATENCION INTEGRAL EN ENFERMEDADES PREVALENTES EN PRIMERA INFANCIA (AIEPI)",IF(N40=CURSOS!$D$19,"ADMINISTRACION DE MEDICAMENTOS, INYECTOLOGIA  Y CANALIZACION ",IF(N40=CURSOS!$D$20,"OPERADOR DE VEHICULOS DE EMERGENCIA (OVE)",IF(N40=CURSOS!$D$21,"INSTITUCIONES AMIGAS DE LA MUJER Y LA INFANCIA (IAMI)",IF(N40=CURSOS!$D$22,"CUIDADO DEL DONANTE DE ORGANOS",IF(N40=CURSOS!$D$23,"ATENCION A VICTIMAS POR VIOLENCIA DE GENERO",IF(N40=CURSOS!$D$24,"IGUALDAD DE GENERO EN LA SALUD",IF(N40=CURSOS!$D$25,"BRIGADA DE EMERGENCIA",IF(N40=CURSOS!$D$26,"MANEJO DEL DOLOR Y CUIDADOS PALIATIVOS",IF(N40=CURSOS!$D$27,"TOMA DE MUESTRAS Y LABORATORIO POCT",IF(N40=CURSOS!$D$28,"IMPLANTE SUBDERMICO DE DISPOSITIVO INTRAUTERINO",IF(N40=CURSOS!$D$29,"SALUD MENTAL",IF(N40=CURSOS!$D$30,"PRIMEROS AUXILIOS PSICOLOGICOS",IF(N40=CURSOS!$D$31,"ATENCION A VICTIMAS POR CONFLICTO ARMADO",IF(N40=CURSOS!$D$32,"MANIPULACION DE ALIMENTOS Y BPM",IF(N40=CURSOS!$D$33,"ATENCION A PERSONAS CON DISCAPACIDAD",IF(N40=CURSOS!$D$34,"CUIDADO INTEGRAL DEL PACIENTE ADULTO",IF(N40=CURSOS!$D$35,"MANEJO DEFENSIVO",IF(N40=CURSOS!$D$36,"SOPORTE CARDIOVASCULAR AVANZADO NEONATAL",IF(N40=CURSOS!$D$37,"SEGURIDAD DEL PACIENTE")))))))))))))))))))))))))))))))))))</f>
        <v xml:space="preserve">PRIMEROS AUXILIOS </v>
      </c>
      <c r="U40" s="124" t="str">
        <f t="shared" si="3"/>
        <v>Maria Elizabeth Morales Montaña</v>
      </c>
      <c r="V40" s="128" t="str">
        <f t="shared" si="4"/>
        <v>Maria Elizabeth Morales Montaña</v>
      </c>
      <c r="W40" s="138" t="str">
        <f t="shared" si="5"/>
        <v>Maria Elizabeth Morales Montaña-59831638-PRIMEROS AUXILIOS</v>
      </c>
    </row>
    <row r="41" spans="1:23" x14ac:dyDescent="0.2">
      <c r="A41" s="42">
        <v>40</v>
      </c>
      <c r="B41" s="89">
        <v>59679057</v>
      </c>
      <c r="C41" s="53" t="s">
        <v>205</v>
      </c>
      <c r="D41" s="53" t="s">
        <v>206</v>
      </c>
      <c r="E41" s="53" t="s">
        <v>207</v>
      </c>
      <c r="F41" s="53" t="s">
        <v>208</v>
      </c>
      <c r="G41" s="55">
        <v>4</v>
      </c>
      <c r="H41" s="14" t="s">
        <v>89</v>
      </c>
      <c r="I41" s="54">
        <v>45477</v>
      </c>
      <c r="J41" s="58">
        <v>40000</v>
      </c>
      <c r="K41" s="55" t="s">
        <v>210</v>
      </c>
      <c r="L41" s="14" t="s">
        <v>90</v>
      </c>
      <c r="M41" s="55" t="s">
        <v>97</v>
      </c>
      <c r="N41" s="15" t="s">
        <v>19</v>
      </c>
      <c r="O41" s="56">
        <v>29682</v>
      </c>
      <c r="P41" s="120" t="s">
        <v>101</v>
      </c>
      <c r="Q41" s="53" t="s">
        <v>126</v>
      </c>
      <c r="R41" s="53">
        <v>3001355565</v>
      </c>
      <c r="S41" s="53" t="s">
        <v>209</v>
      </c>
      <c r="T41" s="124" t="str">
        <f>IF(N41=CURSOS!$D$3,"DIPLOMADO EN ATENCION PRE-HOSPITALARIA",IF(N41=CURSOS!$D$4,"ACOMPAÑAMIENTO Y MANEJO DEL DUELO",IF(N41=CURSOS!$D$5,"ATENCION A VICTIMAS DE ATAQUE CON AGENTES QUIMICOS ",IF(N41=CURSOS!$D$6,"PRIMEROS AUXILIOS ",IF(N41=CURSOS!$D$7,"DIPLOMADO DE UNIDAD DE CUIDADOS INTENSIVOS (UCI)",IF(N41=CURSOS!$D$8,"MODELO DE ATENCION PARA EVENTOS EMERGENTES EN SALUD MENTAL (CODIGO VERDE)",IF(N41=CURSOS!$D$9,"HUMANIZACION EN EL SERVICIO DE LA SALUD Y BUENAS PRACTICAS EN PACIENTE ",IF(N41=CURSOS!$D$10,"CLINICA DE HERIDAS ",IF(N41=CURSOS!$D$11,"TOMA DE CITOLOGIA CERVICO VAGINAL ",IF(N41=CURSOS!$D$12,"SOPORTE CARDIOVASCULAR AVANZADO (ACLS) ",IF(N41=CURSOS!$D$13,"CAMILLERO ",IF(N41=CURSOS!$D$14,"TOMA DE MUESTRAS Y LABORATORIO ",IF(N41=CURSOS!$D$15,"SOPORTE VITAL BASICO (BLS)",IF(N41=CURSOS!$D$16,"ATENCION A VICTIMAS DE VIOLENCIA SEXUAL ",IF(N41=CURSOS!$D$17,"PROGRAMADO AMPLIADO DE INMUNIZACION (PAI - COVID 19)",IF(N41=CURSOS!$D$18,"ATENCION INTEGRAL EN ENFERMEDADES PREVALENTES EN PRIMERA INFANCIA (AIEPI)",IF(N41=CURSOS!$D$19,"ADMINISTRACION DE MEDICAMENTOS, INYECTOLOGIA  Y CANALIZACION ",IF(N41=CURSOS!$D$20,"OPERADOR DE VEHICULOS DE EMERGENCIA (OVE)",IF(N41=CURSOS!$D$21,"INSTITUCIONES AMIGAS DE LA MUJER Y LA INFANCIA (IAMI)",IF(N41=CURSOS!$D$22,"CUIDADO DEL DONANTE DE ORGANOS",IF(N41=CURSOS!$D$23,"ATENCION A VICTIMAS POR VIOLENCIA DE GENERO",IF(N41=CURSOS!$D$24,"IGUALDAD DE GENERO EN LA SALUD",IF(N41=CURSOS!$D$25,"BRIGADA DE EMERGENCIA",IF(N41=CURSOS!$D$26,"MANEJO DEL DOLOR Y CUIDADOS PALIATIVOS",IF(N41=CURSOS!$D$27,"TOMA DE MUESTRAS Y LABORATORIO POCT",IF(N41=CURSOS!$D$28,"IMPLANTE SUBDERMICO DE DISPOSITIVO INTRAUTERINO",IF(N41=CURSOS!$D$29,"SALUD MENTAL",IF(N41=CURSOS!$D$30,"PRIMEROS AUXILIOS PSICOLOGICOS",IF(N41=CURSOS!$D$31,"ATENCION A VICTIMAS POR CONFLICTO ARMADO",IF(N41=CURSOS!$D$32,"MANIPULACION DE ALIMENTOS Y BPM",IF(N41=CURSOS!$D$33,"ATENCION A PERSONAS CON DISCAPACIDAD",IF(N41=CURSOS!$D$34,"CUIDADO INTEGRAL DEL PACIENTE ADULTO",IF(N41=CURSOS!$D$35,"MANEJO DEFENSIVO",IF(N41=CURSOS!$D$36,"SOPORTE CARDIOVASCULAR AVANZADO NEONATAL",IF(N41=CURSOS!$D$37,"SEGURIDAD DEL PACIENTE")))))))))))))))))))))))))))))))))))</f>
        <v>SOPORTE VITAL BASICO (BLS)</v>
      </c>
      <c r="U41" s="124" t="str">
        <f t="shared" si="3"/>
        <v>Adria Marili Rodriguez España</v>
      </c>
      <c r="V41" s="128" t="str">
        <f t="shared" si="4"/>
        <v>Adria Marili Rodriguez España</v>
      </c>
      <c r="W41" s="138" t="str">
        <f t="shared" si="5"/>
        <v>Adria Marili Rodriguez España-59679057-BLS</v>
      </c>
    </row>
    <row r="42" spans="1:23" x14ac:dyDescent="0.2">
      <c r="A42" s="42">
        <v>41</v>
      </c>
      <c r="B42" s="89">
        <v>1086017994</v>
      </c>
      <c r="C42" s="53" t="s">
        <v>211</v>
      </c>
      <c r="D42" s="53" t="s">
        <v>86</v>
      </c>
      <c r="E42" s="53" t="s">
        <v>212</v>
      </c>
      <c r="F42" s="53" t="s">
        <v>213</v>
      </c>
      <c r="G42" s="55">
        <v>4</v>
      </c>
      <c r="H42" s="14" t="s">
        <v>89</v>
      </c>
      <c r="I42" s="54">
        <v>45477</v>
      </c>
      <c r="J42" s="58">
        <v>110000</v>
      </c>
      <c r="K42" s="55" t="s">
        <v>214</v>
      </c>
      <c r="L42" s="14" t="s">
        <v>90</v>
      </c>
      <c r="M42" s="55" t="s">
        <v>118</v>
      </c>
      <c r="N42" s="53" t="s">
        <v>38</v>
      </c>
      <c r="O42" s="56">
        <v>33457</v>
      </c>
      <c r="P42" s="120" t="s">
        <v>91</v>
      </c>
      <c r="Q42" s="53" t="s">
        <v>215</v>
      </c>
      <c r="R42" s="53">
        <v>3104606148</v>
      </c>
      <c r="S42" s="53" t="s">
        <v>216</v>
      </c>
      <c r="T42" s="124" t="str">
        <f>IF(N42=CURSOS!$D$3,"DIPLOMADO EN ATENCION PRE-HOSPITALARIA",IF(N42=CURSOS!$D$4,"ACOMPAÑAMIENTO Y MANEJO DEL DUELO",IF(N42=CURSOS!$D$5,"ATENCION A VICTIMAS DE ATAQUE CON AGENTES QUIMICOS ",IF(N42=CURSOS!$D$6,"PRIMEROS AUXILIOS ",IF(N42=CURSOS!$D$7,"DIPLOMADO DE UNIDAD DE CUIDADOS INTENSIVOS (UCI)",IF(N42=CURSOS!$D$8,"MODELO DE ATENCION PARA EVENTOS EMERGENTES EN SALUD MENTAL (CODIGO VERDE)",IF(N42=CURSOS!$D$9,"HUMANIZACION EN EL SERVICIO DE LA SALUD Y BUENAS PRACTICAS EN PACIENTE ",IF(N42=CURSOS!$D$10,"CLINICA DE HERIDAS ",IF(N42=CURSOS!$D$11,"TOMA DE CITOLOGIA CERVICO VAGINAL ",IF(N42=CURSOS!$D$12,"SOPORTE CARDIOVASCULAR AVANZADO (ACLS) ",IF(N42=CURSOS!$D$13,"CAMILLERO ",IF(N42=CURSOS!$D$14,"TOMA DE MUESTRAS Y LABORATORIO ",IF(N42=CURSOS!$D$15,"SOPORTE VITAL BASICO (BLS)",IF(N42=CURSOS!$D$16,"ATENCION A VICTIMAS DE VIOLENCIA SEXUAL ",IF(N42=CURSOS!$D$17,"PROGRAMADO AMPLIADO DE INMUNIZACION (PAI - COVID 19)",IF(N42=CURSOS!$D$18,"ATENCION INTEGRAL EN ENFERMEDADES PREVALENTES EN PRIMERA INFANCIA (AIEPI)",IF(N42=CURSOS!$D$19,"ADMINISTRACION DE MEDICAMENTOS, INYECTOLOGIA  Y CANALIZACION ",IF(N42=CURSOS!$D$20,"OPERADOR DE VEHICULOS DE EMERGENCIA (OVE)",IF(N42=CURSOS!$D$21,"INSTITUCIONES AMIGAS DE LA MUJER Y LA INFANCIA (IAMI)",IF(N42=CURSOS!$D$22,"CUIDADO DEL DONANTE DE ORGANOS",IF(N42=CURSOS!$D$23,"ATENCION A VICTIMAS POR VIOLENCIA DE GENERO",IF(N42=CURSOS!$D$24,"IGUALDAD DE GENERO EN LA SALUD",IF(N42=CURSOS!$D$25,"BRIGADA DE EMERGENCIA",IF(N42=CURSOS!$D$26,"MANEJO DEL DOLOR Y CUIDADOS PALIATIVOS",IF(N42=CURSOS!$D$27,"TOMA DE MUESTRAS Y LABORATORIO POCT",IF(N42=CURSOS!$D$28,"IMPLANTE SUBDERMICO DE DISPOSITIVO INTRAUTERINO",IF(N42=CURSOS!$D$29,"SALUD MENTAL",IF(N42=CURSOS!$D$30,"PRIMEROS AUXILIOS PSICOLOGICOS",IF(N42=CURSOS!$D$31,"ATENCION A VICTIMAS POR CONFLICTO ARMADO",IF(N42=CURSOS!$D$32,"MANIPULACION DE ALIMENTOS Y BPM",IF(N42=CURSOS!$D$33,"ATENCION A PERSONAS CON DISCAPACIDAD",IF(N42=CURSOS!$D$34,"CUIDADO INTEGRAL DEL PACIENTE ADULTO",IF(N42=CURSOS!$D$35,"MANEJO DEFENSIVO",IF(N42=CURSOS!$D$36,"SOPORTE CARDIOVASCULAR AVANZADO NEONATAL",IF(N42=CURSOS!$D$37,"SEGURIDAD DEL PACIENTE")))))))))))))))))))))))))))))))))))</f>
        <v xml:space="preserve">SOPORTE CARDIOVASCULAR AVANZADO (ACLS) </v>
      </c>
      <c r="U42" s="124" t="str">
        <f t="shared" si="3"/>
        <v>Wilinton Robert Ricaurte Garcia</v>
      </c>
      <c r="V42" s="128" t="str">
        <f t="shared" si="4"/>
        <v>Wilinton Robert Ricaurte Garcia</v>
      </c>
      <c r="W42" s="138" t="str">
        <f t="shared" si="5"/>
        <v>Wilinton Robert Ricaurte Garcia-1086017994-ACLS</v>
      </c>
    </row>
    <row r="43" spans="1:23" x14ac:dyDescent="0.2">
      <c r="A43" s="42">
        <v>42</v>
      </c>
      <c r="B43" s="89">
        <v>1086017994</v>
      </c>
      <c r="C43" s="53" t="s">
        <v>211</v>
      </c>
      <c r="D43" s="53" t="s">
        <v>86</v>
      </c>
      <c r="E43" s="53" t="s">
        <v>212</v>
      </c>
      <c r="F43" s="53" t="s">
        <v>213</v>
      </c>
      <c r="G43" s="55">
        <v>4</v>
      </c>
      <c r="H43" s="14" t="s">
        <v>89</v>
      </c>
      <c r="I43" s="54">
        <v>45477</v>
      </c>
      <c r="J43" s="19">
        <v>20000</v>
      </c>
      <c r="K43" s="14" t="s">
        <v>214</v>
      </c>
      <c r="L43" s="14" t="s">
        <v>90</v>
      </c>
      <c r="M43" s="14" t="s">
        <v>118</v>
      </c>
      <c r="N43" s="15" t="s">
        <v>19</v>
      </c>
      <c r="O43" s="56">
        <v>33457</v>
      </c>
      <c r="P43" s="120" t="s">
        <v>91</v>
      </c>
      <c r="Q43" s="53" t="s">
        <v>215</v>
      </c>
      <c r="R43" s="53">
        <v>3104606148</v>
      </c>
      <c r="S43" s="53" t="s">
        <v>216</v>
      </c>
      <c r="T43" s="124" t="str">
        <f>IF(N43=CURSOS!$D$3,"DIPLOMADO EN ATENCION PRE-HOSPITALARIA",IF(N43=CURSOS!$D$4,"ACOMPAÑAMIENTO Y MANEJO DEL DUELO",IF(N43=CURSOS!$D$5,"ATENCION A VICTIMAS DE ATAQUE CON AGENTES QUIMICOS ",IF(N43=CURSOS!$D$6,"PRIMEROS AUXILIOS ",IF(N43=CURSOS!$D$7,"DIPLOMADO DE UNIDAD DE CUIDADOS INTENSIVOS (UCI)",IF(N43=CURSOS!$D$8,"MODELO DE ATENCION PARA EVENTOS EMERGENTES EN SALUD MENTAL (CODIGO VERDE)",IF(N43=CURSOS!$D$9,"HUMANIZACION EN EL SERVICIO DE LA SALUD Y BUENAS PRACTICAS EN PACIENTE ",IF(N43=CURSOS!$D$10,"CLINICA DE HERIDAS ",IF(N43=CURSOS!$D$11,"TOMA DE CITOLOGIA CERVICO VAGINAL ",IF(N43=CURSOS!$D$12,"SOPORTE CARDIOVASCULAR AVANZADO (ACLS) ",IF(N43=CURSOS!$D$13,"CAMILLERO ",IF(N43=CURSOS!$D$14,"TOMA DE MUESTRAS Y LABORATORIO ",IF(N43=CURSOS!$D$15,"SOPORTE VITAL BASICO (BLS)",IF(N43=CURSOS!$D$16,"ATENCION A VICTIMAS DE VIOLENCIA SEXUAL ",IF(N43=CURSOS!$D$17,"PROGRAMADO AMPLIADO DE INMUNIZACION (PAI - COVID 19)",IF(N43=CURSOS!$D$18,"ATENCION INTEGRAL EN ENFERMEDADES PREVALENTES EN PRIMERA INFANCIA (AIEPI)",IF(N43=CURSOS!$D$19,"ADMINISTRACION DE MEDICAMENTOS, INYECTOLOGIA  Y CANALIZACION ",IF(N43=CURSOS!$D$20,"OPERADOR DE VEHICULOS DE EMERGENCIA (OVE)",IF(N43=CURSOS!$D$21,"INSTITUCIONES AMIGAS DE LA MUJER Y LA INFANCIA (IAMI)",IF(N43=CURSOS!$D$22,"CUIDADO DEL DONANTE DE ORGANOS",IF(N43=CURSOS!$D$23,"ATENCION A VICTIMAS POR VIOLENCIA DE GENERO",IF(N43=CURSOS!$D$24,"IGUALDAD DE GENERO EN LA SALUD",IF(N43=CURSOS!$D$25,"BRIGADA DE EMERGENCIA",IF(N43=CURSOS!$D$26,"MANEJO DEL DOLOR Y CUIDADOS PALIATIVOS",IF(N43=CURSOS!$D$27,"TOMA DE MUESTRAS Y LABORATORIO POCT",IF(N43=CURSOS!$D$28,"IMPLANTE SUBDERMICO DE DISPOSITIVO INTRAUTERINO",IF(N43=CURSOS!$D$29,"SALUD MENTAL",IF(N43=CURSOS!$D$30,"PRIMEROS AUXILIOS PSICOLOGICOS",IF(N43=CURSOS!$D$31,"ATENCION A VICTIMAS POR CONFLICTO ARMADO",IF(N43=CURSOS!$D$32,"MANIPULACION DE ALIMENTOS Y BPM",IF(N43=CURSOS!$D$33,"ATENCION A PERSONAS CON DISCAPACIDAD",IF(N43=CURSOS!$D$34,"CUIDADO INTEGRAL DEL PACIENTE ADULTO",IF(N43=CURSOS!$D$35,"MANEJO DEFENSIVO",IF(N43=CURSOS!$D$36,"SOPORTE CARDIOVASCULAR AVANZADO NEONATAL",IF(N43=CURSOS!$D$37,"SEGURIDAD DEL PACIENTE")))))))))))))))))))))))))))))))))))</f>
        <v>SOPORTE VITAL BASICO (BLS)</v>
      </c>
      <c r="U43" s="124" t="str">
        <f t="shared" si="3"/>
        <v>Wilinton Robert Ricaurte Garcia</v>
      </c>
      <c r="V43" s="128" t="str">
        <f t="shared" si="4"/>
        <v>Wilinton Robert Ricaurte Garcia</v>
      </c>
      <c r="W43" s="138" t="str">
        <f t="shared" si="5"/>
        <v>Wilinton Robert Ricaurte Garcia-1086017994-BLS</v>
      </c>
    </row>
    <row r="44" spans="1:23" ht="15.75" x14ac:dyDescent="0.25">
      <c r="A44" s="42">
        <v>43</v>
      </c>
      <c r="B44" s="43">
        <v>1087027186</v>
      </c>
      <c r="C44" s="17" t="s">
        <v>217</v>
      </c>
      <c r="D44" s="17" t="s">
        <v>218</v>
      </c>
      <c r="E44" s="17" t="s">
        <v>219</v>
      </c>
      <c r="F44" s="17" t="s">
        <v>220</v>
      </c>
      <c r="G44" s="14">
        <v>4</v>
      </c>
      <c r="H44" s="14" t="s">
        <v>89</v>
      </c>
      <c r="I44" s="16">
        <v>45478</v>
      </c>
      <c r="J44" s="19">
        <v>30000</v>
      </c>
      <c r="K44" s="14" t="s">
        <v>214</v>
      </c>
      <c r="L44" s="14" t="s">
        <v>90</v>
      </c>
      <c r="M44" s="14" t="s">
        <v>125</v>
      </c>
      <c r="N44" s="15" t="s">
        <v>19</v>
      </c>
      <c r="O44" s="18">
        <v>33748</v>
      </c>
      <c r="P44" s="15" t="s">
        <v>101</v>
      </c>
      <c r="Q44" s="17" t="s">
        <v>126</v>
      </c>
      <c r="R44" s="17">
        <v>3147589731</v>
      </c>
      <c r="S44" s="57" t="s">
        <v>221</v>
      </c>
      <c r="T44" s="124" t="str">
        <f>IF(N44=CURSOS!$D$3,"DIPLOMADO EN ATENCION PRE-HOSPITALARIA",IF(N44=CURSOS!$D$4,"ACOMPAÑAMIENTO Y MANEJO DEL DUELO",IF(N44=CURSOS!$D$5,"ATENCION A VICTIMAS DE ATAQUE CON AGENTES QUIMICOS ",IF(N44=CURSOS!$D$6,"PRIMEROS AUXILIOS ",IF(N44=CURSOS!$D$7,"DIPLOMADO DE UNIDAD DE CUIDADOS INTENSIVOS (UCI)",IF(N44=CURSOS!$D$8,"MODELO DE ATENCION PARA EVENTOS EMERGENTES EN SALUD MENTAL (CODIGO VERDE)",IF(N44=CURSOS!$D$9,"HUMANIZACION EN EL SERVICIO DE LA SALUD Y BUENAS PRACTICAS EN PACIENTE ",IF(N44=CURSOS!$D$10,"CLINICA DE HERIDAS ",IF(N44=CURSOS!$D$11,"TOMA DE CITOLOGIA CERVICO VAGINAL ",IF(N44=CURSOS!$D$12,"SOPORTE CARDIOVASCULAR AVANZADO (ACLS) ",IF(N44=CURSOS!$D$13,"CAMILLERO ",IF(N44=CURSOS!$D$14,"TOMA DE MUESTRAS Y LABORATORIO ",IF(N44=CURSOS!$D$15,"SOPORTE VITAL BASICO (BLS)",IF(N44=CURSOS!$D$16,"ATENCION A VICTIMAS DE VIOLENCIA SEXUAL ",IF(N44=CURSOS!$D$17,"PROGRAMADO AMPLIADO DE INMUNIZACION (PAI - COVID 19)",IF(N44=CURSOS!$D$18,"ATENCION INTEGRAL EN ENFERMEDADES PREVALENTES EN PRIMERA INFANCIA (AIEPI)",IF(N44=CURSOS!$D$19,"ADMINISTRACION DE MEDICAMENTOS, INYECTOLOGIA  Y CANALIZACION ",IF(N44=CURSOS!$D$20,"OPERADOR DE VEHICULOS DE EMERGENCIA (OVE)",IF(N44=CURSOS!$D$21,"INSTITUCIONES AMIGAS DE LA MUJER Y LA INFANCIA (IAMI)",IF(N44=CURSOS!$D$22,"CUIDADO DEL DONANTE DE ORGANOS",IF(N44=CURSOS!$D$23,"ATENCION A VICTIMAS POR VIOLENCIA DE GENERO",IF(N44=CURSOS!$D$24,"IGUALDAD DE GENERO EN LA SALUD",IF(N44=CURSOS!$D$25,"BRIGADA DE EMERGENCIA",IF(N44=CURSOS!$D$26,"MANEJO DEL DOLOR Y CUIDADOS PALIATIVOS",IF(N44=CURSOS!$D$27,"TOMA DE MUESTRAS Y LABORATORIO POCT",IF(N44=CURSOS!$D$28,"IMPLANTE SUBDERMICO DE DISPOSITIVO INTRAUTERINO",IF(N44=CURSOS!$D$29,"SALUD MENTAL",IF(N44=CURSOS!$D$30,"PRIMEROS AUXILIOS PSICOLOGICOS",IF(N44=CURSOS!$D$31,"ATENCION A VICTIMAS POR CONFLICTO ARMADO",IF(N44=CURSOS!$D$32,"MANIPULACION DE ALIMENTOS Y BPM",IF(N44=CURSOS!$D$33,"ATENCION A PERSONAS CON DISCAPACIDAD",IF(N44=CURSOS!$D$34,"CUIDADO INTEGRAL DEL PACIENTE ADULTO",IF(N44=CURSOS!$D$35,"MANEJO DEFENSIVO",IF(N44=CURSOS!$D$36,"SOPORTE CARDIOVASCULAR AVANZADO NEONATAL",IF(N44=CURSOS!$D$37,"SEGURIDAD DEL PACIENTE")))))))))))))))))))))))))))))))))))</f>
        <v>SOPORTE VITAL BASICO (BLS)</v>
      </c>
      <c r="U44" s="124" t="str">
        <f t="shared" si="3"/>
        <v>Deira Maribel Alvarez Toro</v>
      </c>
      <c r="V44" s="128" t="str">
        <f t="shared" si="4"/>
        <v>Deira Maribel Alvarez Toro</v>
      </c>
      <c r="W44" s="138" t="str">
        <f t="shared" si="5"/>
        <v>Deira Maribel Alvarez Toro-1087027186-BLS</v>
      </c>
    </row>
    <row r="45" spans="1:23" ht="15.75" x14ac:dyDescent="0.25">
      <c r="A45" s="42">
        <v>44</v>
      </c>
      <c r="B45" s="43">
        <v>1087027186</v>
      </c>
      <c r="C45" s="17" t="s">
        <v>217</v>
      </c>
      <c r="D45" s="17" t="s">
        <v>218</v>
      </c>
      <c r="E45" s="17" t="s">
        <v>219</v>
      </c>
      <c r="F45" s="17" t="s">
        <v>220</v>
      </c>
      <c r="G45" s="14">
        <v>4</v>
      </c>
      <c r="H45" s="14" t="s">
        <v>89</v>
      </c>
      <c r="I45" s="16">
        <v>45478</v>
      </c>
      <c r="J45" s="19">
        <v>30000</v>
      </c>
      <c r="K45" s="14" t="s">
        <v>214</v>
      </c>
      <c r="L45" s="14" t="s">
        <v>90</v>
      </c>
      <c r="M45" s="14" t="s">
        <v>125</v>
      </c>
      <c r="N45" s="15" t="s">
        <v>25</v>
      </c>
      <c r="O45" s="18">
        <v>33748</v>
      </c>
      <c r="P45" s="15" t="s">
        <v>101</v>
      </c>
      <c r="Q45" s="17" t="s">
        <v>126</v>
      </c>
      <c r="R45" s="17">
        <v>3147589731</v>
      </c>
      <c r="S45" s="57" t="s">
        <v>221</v>
      </c>
      <c r="T45" s="124" t="str">
        <f>IF(N45=CURSOS!$D$3,"DIPLOMADO EN ATENCION PRE-HOSPITALARIA",IF(N45=CURSOS!$D$4,"ACOMPAÑAMIENTO Y MANEJO DEL DUELO",IF(N45=CURSOS!$D$5,"ATENCION A VICTIMAS DE ATAQUE CON AGENTES QUIMICOS ",IF(N45=CURSOS!$D$6,"PRIMEROS AUXILIOS ",IF(N45=CURSOS!$D$7,"DIPLOMADO DE UNIDAD DE CUIDADOS INTENSIVOS (UCI)",IF(N45=CURSOS!$D$8,"MODELO DE ATENCION PARA EVENTOS EMERGENTES EN SALUD MENTAL (CODIGO VERDE)",IF(N45=CURSOS!$D$9,"HUMANIZACION EN EL SERVICIO DE LA SALUD Y BUENAS PRACTICAS EN PACIENTE ",IF(N45=CURSOS!$D$10,"CLINICA DE HERIDAS ",IF(N45=CURSOS!$D$11,"TOMA DE CITOLOGIA CERVICO VAGINAL ",IF(N45=CURSOS!$D$12,"SOPORTE CARDIOVASCULAR AVANZADO (ACLS) ",IF(N45=CURSOS!$D$13,"CAMILLERO ",IF(N45=CURSOS!$D$14,"TOMA DE MUESTRAS Y LABORATORIO ",IF(N45=CURSOS!$D$15,"SOPORTE VITAL BASICO (BLS)",IF(N45=CURSOS!$D$16,"ATENCION A VICTIMAS DE VIOLENCIA SEXUAL ",IF(N45=CURSOS!$D$17,"PROGRAMADO AMPLIADO DE INMUNIZACION (PAI - COVID 19)",IF(N45=CURSOS!$D$18,"ATENCION INTEGRAL EN ENFERMEDADES PREVALENTES EN PRIMERA INFANCIA (AIEPI)",IF(N45=CURSOS!$D$19,"ADMINISTRACION DE MEDICAMENTOS, INYECTOLOGIA  Y CANALIZACION ",IF(N45=CURSOS!$D$20,"OPERADOR DE VEHICULOS DE EMERGENCIA (OVE)",IF(N45=CURSOS!$D$21,"INSTITUCIONES AMIGAS DE LA MUJER Y LA INFANCIA (IAMI)",IF(N45=CURSOS!$D$22,"CUIDADO DEL DONANTE DE ORGANOS",IF(N45=CURSOS!$D$23,"ATENCION A VICTIMAS POR VIOLENCIA DE GENERO",IF(N45=CURSOS!$D$24,"IGUALDAD DE GENERO EN LA SALUD",IF(N45=CURSOS!$D$25,"BRIGADA DE EMERGENCIA",IF(N45=CURSOS!$D$26,"MANEJO DEL DOLOR Y CUIDADOS PALIATIVOS",IF(N45=CURSOS!$D$27,"TOMA DE MUESTRAS Y LABORATORIO POCT",IF(N45=CURSOS!$D$28,"IMPLANTE SUBDERMICO DE DISPOSITIVO INTRAUTERINO",IF(N45=CURSOS!$D$29,"SALUD MENTAL",IF(N45=CURSOS!$D$30,"PRIMEROS AUXILIOS PSICOLOGICOS",IF(N45=CURSOS!$D$31,"ATENCION A VICTIMAS POR CONFLICTO ARMADO",IF(N45=CURSOS!$D$32,"MANIPULACION DE ALIMENTOS Y BPM",IF(N45=CURSOS!$D$33,"ATENCION A PERSONAS CON DISCAPACIDAD",IF(N45=CURSOS!$D$34,"CUIDADO INTEGRAL DEL PACIENTE ADULTO",IF(N45=CURSOS!$D$35,"MANEJO DEFENSIVO",IF(N45=CURSOS!$D$36,"SOPORTE CARDIOVASCULAR AVANZADO NEONATAL",IF(N45=CURSOS!$D$37,"SEGURIDAD DEL PACIENTE")))))))))))))))))))))))))))))))))))</f>
        <v xml:space="preserve">ATENCION A VICTIMAS DE ATAQUE CON AGENTES QUIMICOS </v>
      </c>
      <c r="U45" s="124" t="str">
        <f t="shared" si="3"/>
        <v>Deira Maribel Alvarez Toro</v>
      </c>
      <c r="V45" s="128" t="str">
        <f t="shared" si="4"/>
        <v>Deira Maribel Alvarez Toro</v>
      </c>
      <c r="W45" s="138" t="str">
        <f t="shared" si="5"/>
        <v>Deira Maribel Alvarez Toro-1087027186-QUIMICOS</v>
      </c>
    </row>
    <row r="46" spans="1:23" ht="15.75" x14ac:dyDescent="0.25">
      <c r="A46" s="42">
        <v>45</v>
      </c>
      <c r="B46" s="43">
        <v>1087027186</v>
      </c>
      <c r="C46" s="17" t="s">
        <v>217</v>
      </c>
      <c r="D46" s="17" t="s">
        <v>218</v>
      </c>
      <c r="E46" s="17" t="s">
        <v>219</v>
      </c>
      <c r="F46" s="17" t="s">
        <v>220</v>
      </c>
      <c r="G46" s="14">
        <v>4</v>
      </c>
      <c r="H46" s="14" t="s">
        <v>89</v>
      </c>
      <c r="I46" s="16">
        <v>45478</v>
      </c>
      <c r="J46" s="19">
        <v>30000</v>
      </c>
      <c r="K46" s="14" t="s">
        <v>214</v>
      </c>
      <c r="L46" s="14" t="s">
        <v>90</v>
      </c>
      <c r="M46" s="14" t="s">
        <v>125</v>
      </c>
      <c r="N46" s="15" t="s">
        <v>43</v>
      </c>
      <c r="O46" s="18">
        <v>33748</v>
      </c>
      <c r="P46" s="15" t="s">
        <v>101</v>
      </c>
      <c r="Q46" s="17" t="s">
        <v>126</v>
      </c>
      <c r="R46" s="17">
        <v>3147589731</v>
      </c>
      <c r="S46" s="57" t="s">
        <v>221</v>
      </c>
      <c r="T46" s="124" t="str">
        <f>IF(N46=CURSOS!$D$3,"DIPLOMADO EN ATENCION PRE-HOSPITALARIA",IF(N46=CURSOS!$D$4,"ACOMPAÑAMIENTO Y MANEJO DEL DUELO",IF(N46=CURSOS!$D$5,"ATENCION A VICTIMAS DE ATAQUE CON AGENTES QUIMICOS ",IF(N46=CURSOS!$D$6,"PRIMEROS AUXILIOS ",IF(N46=CURSOS!$D$7,"DIPLOMADO DE UNIDAD DE CUIDADOS INTENSIVOS (UCI)",IF(N46=CURSOS!$D$8,"MODELO DE ATENCION PARA EVENTOS EMERGENTES EN SALUD MENTAL (CODIGO VERDE)",IF(N46=CURSOS!$D$9,"HUMANIZACION EN EL SERVICIO DE LA SALUD Y BUENAS PRACTICAS EN PACIENTE ",IF(N46=CURSOS!$D$10,"CLINICA DE HERIDAS ",IF(N46=CURSOS!$D$11,"TOMA DE CITOLOGIA CERVICO VAGINAL ",IF(N46=CURSOS!$D$12,"SOPORTE CARDIOVASCULAR AVANZADO (ACLS) ",IF(N46=CURSOS!$D$13,"CAMILLERO ",IF(N46=CURSOS!$D$14,"TOMA DE MUESTRAS Y LABORATORIO ",IF(N46=CURSOS!$D$15,"SOPORTE VITAL BASICO (BLS)",IF(N46=CURSOS!$D$16,"ATENCION A VICTIMAS DE VIOLENCIA SEXUAL ",IF(N46=CURSOS!$D$17,"PROGRAMADO AMPLIADO DE INMUNIZACION (PAI - COVID 19)",IF(N46=CURSOS!$D$18,"ATENCION INTEGRAL EN ENFERMEDADES PREVALENTES EN PRIMERA INFANCIA (AIEPI)",IF(N46=CURSOS!$D$19,"ADMINISTRACION DE MEDICAMENTOS, INYECTOLOGIA  Y CANALIZACION ",IF(N46=CURSOS!$D$20,"OPERADOR DE VEHICULOS DE EMERGENCIA (OVE)",IF(N46=CURSOS!$D$21,"INSTITUCIONES AMIGAS DE LA MUJER Y LA INFANCIA (IAMI)",IF(N46=CURSOS!$D$22,"CUIDADO DEL DONANTE DE ORGANOS",IF(N46=CURSOS!$D$23,"ATENCION A VICTIMAS POR VIOLENCIA DE GENERO",IF(N46=CURSOS!$D$24,"IGUALDAD DE GENERO EN LA SALUD",IF(N46=CURSOS!$D$25,"BRIGADA DE EMERGENCIA",IF(N46=CURSOS!$D$26,"MANEJO DEL DOLOR Y CUIDADOS PALIATIVOS",IF(N46=CURSOS!$D$27,"TOMA DE MUESTRAS Y LABORATORIO POCT",IF(N46=CURSOS!$D$28,"IMPLANTE SUBDERMICO DE DISPOSITIVO INTRAUTERINO",IF(N46=CURSOS!$D$29,"SALUD MENTAL",IF(N46=CURSOS!$D$30,"PRIMEROS AUXILIOS PSICOLOGICOS",IF(N46=CURSOS!$D$31,"ATENCION A VICTIMAS POR CONFLICTO ARMADO",IF(N46=CURSOS!$D$32,"MANIPULACION DE ALIMENTOS Y BPM",IF(N46=CURSOS!$D$33,"ATENCION A PERSONAS CON DISCAPACIDAD",IF(N46=CURSOS!$D$34,"CUIDADO INTEGRAL DEL PACIENTE ADULTO",IF(N46=CURSOS!$D$35,"MANEJO DEFENSIVO",IF(N46=CURSOS!$D$36,"SOPORTE CARDIOVASCULAR AVANZADO NEONATAL",IF(N46=CURSOS!$D$37,"SEGURIDAD DEL PACIENTE")))))))))))))))))))))))))))))))))))</f>
        <v xml:space="preserve">ATENCION A VICTIMAS DE VIOLENCIA SEXUAL </v>
      </c>
      <c r="U46" s="124" t="str">
        <f t="shared" si="3"/>
        <v>Deira Maribel Alvarez Toro</v>
      </c>
      <c r="V46" s="128" t="str">
        <f t="shared" si="4"/>
        <v>Deira Maribel Alvarez Toro</v>
      </c>
      <c r="W46" s="138" t="str">
        <f t="shared" si="5"/>
        <v>Deira Maribel Alvarez Toro-1087027186-VIOLENCIA SEXUAL</v>
      </c>
    </row>
    <row r="47" spans="1:23" ht="15.75" x14ac:dyDescent="0.25">
      <c r="A47" s="42">
        <v>46</v>
      </c>
      <c r="B47" s="43">
        <v>1087027186</v>
      </c>
      <c r="C47" s="17" t="s">
        <v>217</v>
      </c>
      <c r="D47" s="17" t="s">
        <v>218</v>
      </c>
      <c r="E47" s="17" t="s">
        <v>219</v>
      </c>
      <c r="F47" s="17" t="s">
        <v>220</v>
      </c>
      <c r="G47" s="14">
        <v>4</v>
      </c>
      <c r="H47" s="14" t="s">
        <v>89</v>
      </c>
      <c r="I47" s="16">
        <v>45478</v>
      </c>
      <c r="J47" s="19">
        <v>30000</v>
      </c>
      <c r="K47" s="14" t="s">
        <v>214</v>
      </c>
      <c r="L47" s="14" t="s">
        <v>90</v>
      </c>
      <c r="M47" s="14" t="s">
        <v>125</v>
      </c>
      <c r="N47" s="15" t="s">
        <v>23</v>
      </c>
      <c r="O47" s="18">
        <v>33748</v>
      </c>
      <c r="P47" s="15" t="s">
        <v>101</v>
      </c>
      <c r="Q47" s="17" t="s">
        <v>126</v>
      </c>
      <c r="R47" s="17">
        <v>3147589731</v>
      </c>
      <c r="S47" s="57" t="s">
        <v>221</v>
      </c>
      <c r="T47" s="124" t="str">
        <f>IF(N47=CURSOS!$D$3,"DIPLOMADO EN ATENCION PRE-HOSPITALARIA",IF(N47=CURSOS!$D$4,"ACOMPAÑAMIENTO Y MANEJO DEL DUELO",IF(N47=CURSOS!$D$5,"ATENCION A VICTIMAS DE ATAQUE CON AGENTES QUIMICOS ",IF(N47=CURSOS!$D$6,"PRIMEROS AUXILIOS ",IF(N47=CURSOS!$D$7,"DIPLOMADO DE UNIDAD DE CUIDADOS INTENSIVOS (UCI)",IF(N47=CURSOS!$D$8,"MODELO DE ATENCION PARA EVENTOS EMERGENTES EN SALUD MENTAL (CODIGO VERDE)",IF(N47=CURSOS!$D$9,"HUMANIZACION EN EL SERVICIO DE LA SALUD Y BUENAS PRACTICAS EN PACIENTE ",IF(N47=CURSOS!$D$10,"CLINICA DE HERIDAS ",IF(N47=CURSOS!$D$11,"TOMA DE CITOLOGIA CERVICO VAGINAL ",IF(N47=CURSOS!$D$12,"SOPORTE CARDIOVASCULAR AVANZADO (ACLS) ",IF(N47=CURSOS!$D$13,"CAMILLERO ",IF(N47=CURSOS!$D$14,"TOMA DE MUESTRAS Y LABORATORIO ",IF(N47=CURSOS!$D$15,"SOPORTE VITAL BASICO (BLS)",IF(N47=CURSOS!$D$16,"ATENCION A VICTIMAS DE VIOLENCIA SEXUAL ",IF(N47=CURSOS!$D$17,"PROGRAMADO AMPLIADO DE INMUNIZACION (PAI - COVID 19)",IF(N47=CURSOS!$D$18,"ATENCION INTEGRAL EN ENFERMEDADES PREVALENTES EN PRIMERA INFANCIA (AIEPI)",IF(N47=CURSOS!$D$19,"ADMINISTRACION DE MEDICAMENTOS, INYECTOLOGIA  Y CANALIZACION ",IF(N47=CURSOS!$D$20,"OPERADOR DE VEHICULOS DE EMERGENCIA (OVE)",IF(N47=CURSOS!$D$21,"INSTITUCIONES AMIGAS DE LA MUJER Y LA INFANCIA (IAMI)",IF(N47=CURSOS!$D$22,"CUIDADO DEL DONANTE DE ORGANOS",IF(N47=CURSOS!$D$23,"ATENCION A VICTIMAS POR VIOLENCIA DE GENERO",IF(N47=CURSOS!$D$24,"IGUALDAD DE GENERO EN LA SALUD",IF(N47=CURSOS!$D$25,"BRIGADA DE EMERGENCIA",IF(N47=CURSOS!$D$26,"MANEJO DEL DOLOR Y CUIDADOS PALIATIVOS",IF(N47=CURSOS!$D$27,"TOMA DE MUESTRAS Y LABORATORIO POCT",IF(N47=CURSOS!$D$28,"IMPLANTE SUBDERMICO DE DISPOSITIVO INTRAUTERINO",IF(N47=CURSOS!$D$29,"SALUD MENTAL",IF(N47=CURSOS!$D$30,"PRIMEROS AUXILIOS PSICOLOGICOS",IF(N47=CURSOS!$D$31,"ATENCION A VICTIMAS POR CONFLICTO ARMADO",IF(N47=CURSOS!$D$32,"MANIPULACION DE ALIMENTOS Y BPM",IF(N47=CURSOS!$D$33,"ATENCION A PERSONAS CON DISCAPACIDAD",IF(N47=CURSOS!$D$34,"CUIDADO INTEGRAL DEL PACIENTE ADULTO",IF(N47=CURSOS!$D$35,"MANEJO DEFENSIVO",IF(N47=CURSOS!$D$36,"SOPORTE CARDIOVASCULAR AVANZADO NEONATAL",IF(N47=CURSOS!$D$37,"SEGURIDAD DEL PACIENTE")))))))))))))))))))))))))))))))))))</f>
        <v>ACOMPAÑAMIENTO Y MANEJO DEL DUELO</v>
      </c>
      <c r="U47" s="124" t="str">
        <f t="shared" si="3"/>
        <v>Deira Maribel Alvarez Toro</v>
      </c>
      <c r="V47" s="128" t="str">
        <f t="shared" si="4"/>
        <v>Deira Maribel Alvarez Toro</v>
      </c>
      <c r="W47" s="138" t="str">
        <f t="shared" si="5"/>
        <v>Deira Maribel Alvarez Toro-1087027186-DUELO</v>
      </c>
    </row>
    <row r="48" spans="1:23" x14ac:dyDescent="0.2">
      <c r="A48" s="42">
        <v>47</v>
      </c>
      <c r="B48" s="43">
        <v>1233189989</v>
      </c>
      <c r="C48" s="17" t="s">
        <v>225</v>
      </c>
      <c r="D48" s="17" t="s">
        <v>226</v>
      </c>
      <c r="E48" s="17" t="s">
        <v>138</v>
      </c>
      <c r="F48" s="17" t="s">
        <v>227</v>
      </c>
      <c r="G48" s="14">
        <v>4</v>
      </c>
      <c r="H48" s="14" t="s">
        <v>89</v>
      </c>
      <c r="I48" s="16">
        <v>45478</v>
      </c>
      <c r="J48" s="19">
        <v>28000</v>
      </c>
      <c r="K48" s="14" t="s">
        <v>210</v>
      </c>
      <c r="L48" s="14" t="s">
        <v>90</v>
      </c>
      <c r="M48" s="14" t="s">
        <v>228</v>
      </c>
      <c r="N48" s="15" t="s">
        <v>43</v>
      </c>
      <c r="O48" s="18">
        <v>35646</v>
      </c>
      <c r="P48" s="15" t="s">
        <v>101</v>
      </c>
      <c r="Q48" s="53" t="s">
        <v>126</v>
      </c>
      <c r="R48" s="17">
        <v>3137471267</v>
      </c>
      <c r="S48" s="17" t="s">
        <v>229</v>
      </c>
      <c r="T48" s="124" t="str">
        <f>IF(N48=CURSOS!$D$3,"DIPLOMADO EN ATENCION PRE-HOSPITALARIA",IF(N48=CURSOS!$D$4,"ACOMPAÑAMIENTO Y MANEJO DEL DUELO",IF(N48=CURSOS!$D$5,"ATENCION A VICTIMAS DE ATAQUE CON AGENTES QUIMICOS ",IF(N48=CURSOS!$D$6,"PRIMEROS AUXILIOS ",IF(N48=CURSOS!$D$7,"DIPLOMADO DE UNIDAD DE CUIDADOS INTENSIVOS (UCI)",IF(N48=CURSOS!$D$8,"MODELO DE ATENCION PARA EVENTOS EMERGENTES EN SALUD MENTAL (CODIGO VERDE)",IF(N48=CURSOS!$D$9,"HUMANIZACION EN EL SERVICIO DE LA SALUD Y BUENAS PRACTICAS EN PACIENTE ",IF(N48=CURSOS!$D$10,"CLINICA DE HERIDAS ",IF(N48=CURSOS!$D$11,"TOMA DE CITOLOGIA CERVICO VAGINAL ",IF(N48=CURSOS!$D$12,"SOPORTE CARDIOVASCULAR AVANZADO (ACLS) ",IF(N48=CURSOS!$D$13,"CAMILLERO ",IF(N48=CURSOS!$D$14,"TOMA DE MUESTRAS Y LABORATORIO ",IF(N48=CURSOS!$D$15,"SOPORTE VITAL BASICO (BLS)",IF(N48=CURSOS!$D$16,"ATENCION A VICTIMAS DE VIOLENCIA SEXUAL ",IF(N48=CURSOS!$D$17,"PROGRAMADO AMPLIADO DE INMUNIZACION (PAI - COVID 19)",IF(N48=CURSOS!$D$18,"ATENCION INTEGRAL EN ENFERMEDADES PREVALENTES EN PRIMERA INFANCIA (AIEPI)",IF(N48=CURSOS!$D$19,"ADMINISTRACION DE MEDICAMENTOS, INYECTOLOGIA  Y CANALIZACION ",IF(N48=CURSOS!$D$20,"OPERADOR DE VEHICULOS DE EMERGENCIA (OVE)",IF(N48=CURSOS!$D$21,"INSTITUCIONES AMIGAS DE LA MUJER Y LA INFANCIA (IAMI)",IF(N48=CURSOS!$D$22,"CUIDADO DEL DONANTE DE ORGANOS",IF(N48=CURSOS!$D$23,"ATENCION A VICTIMAS POR VIOLENCIA DE GENERO",IF(N48=CURSOS!$D$24,"IGUALDAD DE GENERO EN LA SALUD",IF(N48=CURSOS!$D$25,"BRIGADA DE EMERGENCIA",IF(N48=CURSOS!$D$26,"MANEJO DEL DOLOR Y CUIDADOS PALIATIVOS",IF(N48=CURSOS!$D$27,"TOMA DE MUESTRAS Y LABORATORIO POCT",IF(N48=CURSOS!$D$28,"IMPLANTE SUBDERMICO DE DISPOSITIVO INTRAUTERINO",IF(N48=CURSOS!$D$29,"SALUD MENTAL",IF(N48=CURSOS!$D$30,"PRIMEROS AUXILIOS PSICOLOGICOS",IF(N48=CURSOS!$D$31,"ATENCION A VICTIMAS POR CONFLICTO ARMADO",IF(N48=CURSOS!$D$32,"MANIPULACION DE ALIMENTOS Y BPM",IF(N48=CURSOS!$D$33,"ATENCION A PERSONAS CON DISCAPACIDAD",IF(N48=CURSOS!$D$34,"CUIDADO INTEGRAL DEL PACIENTE ADULTO",IF(N48=CURSOS!$D$35,"MANEJO DEFENSIVO",IF(N48=CURSOS!$D$36,"SOPORTE CARDIOVASCULAR AVANZADO NEONATAL",IF(N48=CURSOS!$D$37,"SEGURIDAD DEL PACIENTE")))))))))))))))))))))))))))))))))))</f>
        <v xml:space="preserve">ATENCION A VICTIMAS DE VIOLENCIA SEXUAL </v>
      </c>
      <c r="U48" s="124" t="str">
        <f t="shared" si="3"/>
        <v>Johana Marcela Moreno Ramirez</v>
      </c>
      <c r="V48" s="128" t="str">
        <f t="shared" si="4"/>
        <v>Johana Marcela Moreno Ramirez</v>
      </c>
      <c r="W48" s="138" t="str">
        <f t="shared" si="5"/>
        <v>Johana Marcela Moreno Ramirez-1233189989-VIOLENCIA SEXUAL</v>
      </c>
    </row>
    <row r="49" spans="1:23" x14ac:dyDescent="0.2">
      <c r="A49" s="42">
        <v>48</v>
      </c>
      <c r="B49" s="43">
        <v>1085257636</v>
      </c>
      <c r="C49" s="17" t="s">
        <v>230</v>
      </c>
      <c r="D49" s="17" t="s">
        <v>231</v>
      </c>
      <c r="E49" s="17" t="s">
        <v>232</v>
      </c>
      <c r="F49" s="17" t="s">
        <v>233</v>
      </c>
      <c r="G49" s="14">
        <v>4</v>
      </c>
      <c r="H49" s="14" t="s">
        <v>89</v>
      </c>
      <c r="I49" s="16">
        <v>45477</v>
      </c>
      <c r="J49" s="19">
        <v>35000</v>
      </c>
      <c r="K49" s="14" t="s">
        <v>214</v>
      </c>
      <c r="L49" s="14" t="s">
        <v>90</v>
      </c>
      <c r="M49" s="14" t="s">
        <v>118</v>
      </c>
      <c r="N49" s="15" t="s">
        <v>25</v>
      </c>
      <c r="O49" s="18">
        <v>32384</v>
      </c>
      <c r="P49" s="15" t="s">
        <v>91</v>
      </c>
      <c r="Q49" s="53" t="s">
        <v>234</v>
      </c>
      <c r="R49" s="17">
        <v>3186820976</v>
      </c>
      <c r="S49" s="17" t="s">
        <v>235</v>
      </c>
      <c r="T49" s="124" t="str">
        <f>IF(N49=CURSOS!$D$3,"DIPLOMADO EN ATENCION PRE-HOSPITALARIA",IF(N49=CURSOS!$D$4,"ACOMPAÑAMIENTO Y MANEJO DEL DUELO",IF(N49=CURSOS!$D$5,"ATENCION A VICTIMAS DE ATAQUE CON AGENTES QUIMICOS ",IF(N49=CURSOS!$D$6,"PRIMEROS AUXILIOS ",IF(N49=CURSOS!$D$7,"DIPLOMADO DE UNIDAD DE CUIDADOS INTENSIVOS (UCI)",IF(N49=CURSOS!$D$8,"MODELO DE ATENCION PARA EVENTOS EMERGENTES EN SALUD MENTAL (CODIGO VERDE)",IF(N49=CURSOS!$D$9,"HUMANIZACION EN EL SERVICIO DE LA SALUD Y BUENAS PRACTICAS EN PACIENTE ",IF(N49=CURSOS!$D$10,"CLINICA DE HERIDAS ",IF(N49=CURSOS!$D$11,"TOMA DE CITOLOGIA CERVICO VAGINAL ",IF(N49=CURSOS!$D$12,"SOPORTE CARDIOVASCULAR AVANZADO (ACLS) ",IF(N49=CURSOS!$D$13,"CAMILLERO ",IF(N49=CURSOS!$D$14,"TOMA DE MUESTRAS Y LABORATORIO ",IF(N49=CURSOS!$D$15,"SOPORTE VITAL BASICO (BLS)",IF(N49=CURSOS!$D$16,"ATENCION A VICTIMAS DE VIOLENCIA SEXUAL ",IF(N49=CURSOS!$D$17,"PROGRAMADO AMPLIADO DE INMUNIZACION (PAI - COVID 19)",IF(N49=CURSOS!$D$18,"ATENCION INTEGRAL EN ENFERMEDADES PREVALENTES EN PRIMERA INFANCIA (AIEPI)",IF(N49=CURSOS!$D$19,"ADMINISTRACION DE MEDICAMENTOS, INYECTOLOGIA  Y CANALIZACION ",IF(N49=CURSOS!$D$20,"OPERADOR DE VEHICULOS DE EMERGENCIA (OVE)",IF(N49=CURSOS!$D$21,"INSTITUCIONES AMIGAS DE LA MUJER Y LA INFANCIA (IAMI)",IF(N49=CURSOS!$D$22,"CUIDADO DEL DONANTE DE ORGANOS",IF(N49=CURSOS!$D$23,"ATENCION A VICTIMAS POR VIOLENCIA DE GENERO",IF(N49=CURSOS!$D$24,"IGUALDAD DE GENERO EN LA SALUD",IF(N49=CURSOS!$D$25,"BRIGADA DE EMERGENCIA",IF(N49=CURSOS!$D$26,"MANEJO DEL DOLOR Y CUIDADOS PALIATIVOS",IF(N49=CURSOS!$D$27,"TOMA DE MUESTRAS Y LABORATORIO POCT",IF(N49=CURSOS!$D$28,"IMPLANTE SUBDERMICO DE DISPOSITIVO INTRAUTERINO",IF(N49=CURSOS!$D$29,"SALUD MENTAL",IF(N49=CURSOS!$D$30,"PRIMEROS AUXILIOS PSICOLOGICOS",IF(N49=CURSOS!$D$31,"ATENCION A VICTIMAS POR CONFLICTO ARMADO",IF(N49=CURSOS!$D$32,"MANIPULACION DE ALIMENTOS Y BPM",IF(N49=CURSOS!$D$33,"ATENCION A PERSONAS CON DISCAPACIDAD",IF(N49=CURSOS!$D$34,"CUIDADO INTEGRAL DEL PACIENTE ADULTO",IF(N49=CURSOS!$D$35,"MANEJO DEFENSIVO",IF(N49=CURSOS!$D$36,"SOPORTE CARDIOVASCULAR AVANZADO NEONATAL",IF(N49=CURSOS!$D$37,"SEGURIDAD DEL PACIENTE")))))))))))))))))))))))))))))))))))</f>
        <v xml:space="preserve">ATENCION A VICTIMAS DE ATAQUE CON AGENTES QUIMICOS </v>
      </c>
      <c r="U49" s="124" t="str">
        <f t="shared" si="3"/>
        <v>Giovanni Andrés Ortega Alvarado</v>
      </c>
      <c r="V49" s="128" t="str">
        <f t="shared" si="4"/>
        <v>Giovanni Andrés Ortega Alvarado</v>
      </c>
      <c r="W49" s="138" t="str">
        <f t="shared" si="5"/>
        <v>Giovanni Andrés Ortega Alvarado-1085257636-QUIMICOS</v>
      </c>
    </row>
    <row r="50" spans="1:23" x14ac:dyDescent="0.2">
      <c r="A50" s="42">
        <v>49</v>
      </c>
      <c r="B50" s="43">
        <v>1143869172</v>
      </c>
      <c r="C50" s="17" t="s">
        <v>222</v>
      </c>
      <c r="D50" s="17" t="s">
        <v>236</v>
      </c>
      <c r="E50" s="17" t="s">
        <v>237</v>
      </c>
      <c r="F50" s="17" t="s">
        <v>238</v>
      </c>
      <c r="G50" s="14">
        <v>4</v>
      </c>
      <c r="H50" s="14" t="s">
        <v>89</v>
      </c>
      <c r="I50" s="16">
        <v>45477</v>
      </c>
      <c r="J50" s="19">
        <v>0</v>
      </c>
      <c r="K50" s="14" t="s">
        <v>245</v>
      </c>
      <c r="L50" s="14" t="s">
        <v>90</v>
      </c>
      <c r="M50" s="14" t="s">
        <v>228</v>
      </c>
      <c r="N50" s="15" t="s">
        <v>27</v>
      </c>
      <c r="O50" s="18"/>
      <c r="P50" s="15" t="s">
        <v>91</v>
      </c>
      <c r="Q50" s="53"/>
      <c r="R50" s="17"/>
      <c r="S50" s="17"/>
      <c r="T50" s="124" t="str">
        <f>IF(N50=CURSOS!$D$3,"DIPLOMADO EN ATENCION PRE-HOSPITALARIA",IF(N50=CURSOS!$D$4,"ACOMPAÑAMIENTO Y MANEJO DEL DUELO",IF(N50=CURSOS!$D$5,"ATENCION A VICTIMAS DE ATAQUE CON AGENTES QUIMICOS ",IF(N50=CURSOS!$D$6,"PRIMEROS AUXILIOS ",IF(N50=CURSOS!$D$7,"DIPLOMADO DE UNIDAD DE CUIDADOS INTENSIVOS (UCI)",IF(N50=CURSOS!$D$8,"MODELO DE ATENCION PARA EVENTOS EMERGENTES EN SALUD MENTAL (CODIGO VERDE)",IF(N50=CURSOS!$D$9,"HUMANIZACION EN EL SERVICIO DE LA SALUD Y BUENAS PRACTICAS EN PACIENTE ",IF(N50=CURSOS!$D$10,"CLINICA DE HERIDAS ",IF(N50=CURSOS!$D$11,"TOMA DE CITOLOGIA CERVICO VAGINAL ",IF(N50=CURSOS!$D$12,"SOPORTE CARDIOVASCULAR AVANZADO (ACLS) ",IF(N50=CURSOS!$D$13,"CAMILLERO ",IF(N50=CURSOS!$D$14,"TOMA DE MUESTRAS Y LABORATORIO ",IF(N50=CURSOS!$D$15,"SOPORTE VITAL BASICO (BLS)",IF(N50=CURSOS!$D$16,"ATENCION A VICTIMAS DE VIOLENCIA SEXUAL ",IF(N50=CURSOS!$D$17,"PROGRAMADO AMPLIADO DE INMUNIZACION (PAI - COVID 19)",IF(N50=CURSOS!$D$18,"ATENCION INTEGRAL EN ENFERMEDADES PREVALENTES EN PRIMERA INFANCIA (AIEPI)",IF(N50=CURSOS!$D$19,"ADMINISTRACION DE MEDICAMENTOS, INYECTOLOGIA  Y CANALIZACION ",IF(N50=CURSOS!$D$20,"OPERADOR DE VEHICULOS DE EMERGENCIA (OVE)",IF(N50=CURSOS!$D$21,"INSTITUCIONES AMIGAS DE LA MUJER Y LA INFANCIA (IAMI)",IF(N50=CURSOS!$D$22,"CUIDADO DEL DONANTE DE ORGANOS",IF(N50=CURSOS!$D$23,"ATENCION A VICTIMAS POR VIOLENCIA DE GENERO",IF(N50=CURSOS!$D$24,"IGUALDAD DE GENERO EN LA SALUD",IF(N50=CURSOS!$D$25,"BRIGADA DE EMERGENCIA",IF(N50=CURSOS!$D$26,"MANEJO DEL DOLOR Y CUIDADOS PALIATIVOS",IF(N50=CURSOS!$D$27,"TOMA DE MUESTRAS Y LABORATORIO POCT",IF(N50=CURSOS!$D$28,"IMPLANTE SUBDERMICO DE DISPOSITIVO INTRAUTERINO",IF(N50=CURSOS!$D$29,"SALUD MENTAL",IF(N50=CURSOS!$D$30,"PRIMEROS AUXILIOS PSICOLOGICOS",IF(N50=CURSOS!$D$31,"ATENCION A VICTIMAS POR CONFLICTO ARMADO",IF(N50=CURSOS!$D$32,"MANIPULACION DE ALIMENTOS Y BPM",IF(N50=CURSOS!$D$33,"ATENCION A PERSONAS CON DISCAPACIDAD",IF(N50=CURSOS!$D$34,"CUIDADO INTEGRAL DEL PACIENTE ADULTO",IF(N50=CURSOS!$D$35,"MANEJO DEFENSIVO",IF(N50=CURSOS!$D$36,"SOPORTE CARDIOVASCULAR AVANZADO NEONATAL",IF(N50=CURSOS!$D$37,"SEGURIDAD DEL PACIENTE")))))))))))))))))))))))))))))))))))</f>
        <v xml:space="preserve">PRIMEROS AUXILIOS </v>
      </c>
      <c r="U50" s="124" t="str">
        <f t="shared" si="3"/>
        <v>Diego Fernando Ceron Tarapues</v>
      </c>
      <c r="V50" s="128" t="str">
        <f t="shared" si="4"/>
        <v>Diego Fernando Ceron Tarapues</v>
      </c>
      <c r="W50" s="138" t="str">
        <f t="shared" si="5"/>
        <v>Diego Fernando Ceron Tarapues-1143869172-PRIMEROS AUXILIOS</v>
      </c>
    </row>
    <row r="51" spans="1:23" x14ac:dyDescent="0.2">
      <c r="A51" s="42">
        <v>50</v>
      </c>
      <c r="B51" s="43">
        <v>1085937992</v>
      </c>
      <c r="C51" s="17" t="s">
        <v>239</v>
      </c>
      <c r="D51" s="17" t="s">
        <v>240</v>
      </c>
      <c r="E51" s="17" t="s">
        <v>241</v>
      </c>
      <c r="F51" s="17" t="s">
        <v>131</v>
      </c>
      <c r="G51" s="14">
        <v>4</v>
      </c>
      <c r="H51" s="14" t="s">
        <v>89</v>
      </c>
      <c r="I51" s="16">
        <v>45477</v>
      </c>
      <c r="J51" s="19">
        <v>0</v>
      </c>
      <c r="K51" s="14" t="s">
        <v>245</v>
      </c>
      <c r="L51" s="14" t="s">
        <v>90</v>
      </c>
      <c r="M51" s="14" t="s">
        <v>228</v>
      </c>
      <c r="N51" s="15" t="s">
        <v>27</v>
      </c>
      <c r="O51" s="18"/>
      <c r="P51" s="15" t="s">
        <v>91</v>
      </c>
      <c r="Q51" s="17"/>
      <c r="R51" s="17"/>
      <c r="S51" s="17"/>
      <c r="T51" s="124" t="str">
        <f>IF(N51=CURSOS!$D$3,"DIPLOMADO EN ATENCION PRE-HOSPITALARIA",IF(N51=CURSOS!$D$4,"ACOMPAÑAMIENTO Y MANEJO DEL DUELO",IF(N51=CURSOS!$D$5,"ATENCION A VICTIMAS DE ATAQUE CON AGENTES QUIMICOS ",IF(N51=CURSOS!$D$6,"PRIMEROS AUXILIOS ",IF(N51=CURSOS!$D$7,"DIPLOMADO DE UNIDAD DE CUIDADOS INTENSIVOS (UCI)",IF(N51=CURSOS!$D$8,"MODELO DE ATENCION PARA EVENTOS EMERGENTES EN SALUD MENTAL (CODIGO VERDE)",IF(N51=CURSOS!$D$9,"HUMANIZACION EN EL SERVICIO DE LA SALUD Y BUENAS PRACTICAS EN PACIENTE ",IF(N51=CURSOS!$D$10,"CLINICA DE HERIDAS ",IF(N51=CURSOS!$D$11,"TOMA DE CITOLOGIA CERVICO VAGINAL ",IF(N51=CURSOS!$D$12,"SOPORTE CARDIOVASCULAR AVANZADO (ACLS) ",IF(N51=CURSOS!$D$13,"CAMILLERO ",IF(N51=CURSOS!$D$14,"TOMA DE MUESTRAS Y LABORATORIO ",IF(N51=CURSOS!$D$15,"SOPORTE VITAL BASICO (BLS)",IF(N51=CURSOS!$D$16,"ATENCION A VICTIMAS DE VIOLENCIA SEXUAL ",IF(N51=CURSOS!$D$17,"PROGRAMADO AMPLIADO DE INMUNIZACION (PAI - COVID 19)",IF(N51=CURSOS!$D$18,"ATENCION INTEGRAL EN ENFERMEDADES PREVALENTES EN PRIMERA INFANCIA (AIEPI)",IF(N51=CURSOS!$D$19,"ADMINISTRACION DE MEDICAMENTOS, INYECTOLOGIA  Y CANALIZACION ",IF(N51=CURSOS!$D$20,"OPERADOR DE VEHICULOS DE EMERGENCIA (OVE)",IF(N51=CURSOS!$D$21,"INSTITUCIONES AMIGAS DE LA MUJER Y LA INFANCIA (IAMI)",IF(N51=CURSOS!$D$22,"CUIDADO DEL DONANTE DE ORGANOS",IF(N51=CURSOS!$D$23,"ATENCION A VICTIMAS POR VIOLENCIA DE GENERO",IF(N51=CURSOS!$D$24,"IGUALDAD DE GENERO EN LA SALUD",IF(N51=CURSOS!$D$25,"BRIGADA DE EMERGENCIA",IF(N51=CURSOS!$D$26,"MANEJO DEL DOLOR Y CUIDADOS PALIATIVOS",IF(N51=CURSOS!$D$27,"TOMA DE MUESTRAS Y LABORATORIO POCT",IF(N51=CURSOS!$D$28,"IMPLANTE SUBDERMICO DE DISPOSITIVO INTRAUTERINO",IF(N51=CURSOS!$D$29,"SALUD MENTAL",IF(N51=CURSOS!$D$30,"PRIMEROS AUXILIOS PSICOLOGICOS",IF(N51=CURSOS!$D$31,"ATENCION A VICTIMAS POR CONFLICTO ARMADO",IF(N51=CURSOS!$D$32,"MANIPULACION DE ALIMENTOS Y BPM",IF(N51=CURSOS!$D$33,"ATENCION A PERSONAS CON DISCAPACIDAD",IF(N51=CURSOS!$D$34,"CUIDADO INTEGRAL DEL PACIENTE ADULTO",IF(N51=CURSOS!$D$35,"MANEJO DEFENSIVO",IF(N51=CURSOS!$D$36,"SOPORTE CARDIOVASCULAR AVANZADO NEONATAL",IF(N51=CURSOS!$D$37,"SEGURIDAD DEL PACIENTE")))))))))))))))))))))))))))))))))))</f>
        <v xml:space="preserve">PRIMEROS AUXILIOS </v>
      </c>
      <c r="U51" s="124" t="str">
        <f t="shared" si="3"/>
        <v>Ricardo Andres Palacios Tobar</v>
      </c>
      <c r="V51" s="128" t="str">
        <f t="shared" si="4"/>
        <v>Ricardo Andres Palacios Tobar</v>
      </c>
      <c r="W51" s="138" t="str">
        <f t="shared" si="5"/>
        <v>Ricardo Andres Palacios Tobar-1085937992-PRIMEROS AUXILIOS</v>
      </c>
    </row>
    <row r="52" spans="1:23" x14ac:dyDescent="0.2">
      <c r="A52" s="42">
        <v>51</v>
      </c>
      <c r="B52" s="43">
        <v>1085329610</v>
      </c>
      <c r="C52" s="17" t="s">
        <v>242</v>
      </c>
      <c r="D52" s="17" t="s">
        <v>243</v>
      </c>
      <c r="E52" s="17" t="s">
        <v>244</v>
      </c>
      <c r="F52" s="17"/>
      <c r="G52" s="14">
        <v>4</v>
      </c>
      <c r="H52" s="14" t="s">
        <v>89</v>
      </c>
      <c r="I52" s="16">
        <v>45477</v>
      </c>
      <c r="J52" s="19">
        <v>0</v>
      </c>
      <c r="K52" s="14" t="s">
        <v>245</v>
      </c>
      <c r="L52" s="14" t="s">
        <v>90</v>
      </c>
      <c r="M52" s="14" t="s">
        <v>228</v>
      </c>
      <c r="N52" s="15" t="s">
        <v>27</v>
      </c>
      <c r="O52" s="18"/>
      <c r="P52" s="15" t="s">
        <v>91</v>
      </c>
      <c r="Q52" s="53"/>
      <c r="R52" s="17"/>
      <c r="S52" s="17"/>
      <c r="T52" s="124" t="str">
        <f>IF(N52=CURSOS!$D$3,"DIPLOMADO EN ATENCION PRE-HOSPITALARIA",IF(N52=CURSOS!$D$4,"ACOMPAÑAMIENTO Y MANEJO DEL DUELO",IF(N52=CURSOS!$D$5,"ATENCION A VICTIMAS DE ATAQUE CON AGENTES QUIMICOS ",IF(N52=CURSOS!$D$6,"PRIMEROS AUXILIOS ",IF(N52=CURSOS!$D$7,"DIPLOMADO DE UNIDAD DE CUIDADOS INTENSIVOS (UCI)",IF(N52=CURSOS!$D$8,"MODELO DE ATENCION PARA EVENTOS EMERGENTES EN SALUD MENTAL (CODIGO VERDE)",IF(N52=CURSOS!$D$9,"HUMANIZACION EN EL SERVICIO DE LA SALUD Y BUENAS PRACTICAS EN PACIENTE ",IF(N52=CURSOS!$D$10,"CLINICA DE HERIDAS ",IF(N52=CURSOS!$D$11,"TOMA DE CITOLOGIA CERVICO VAGINAL ",IF(N52=CURSOS!$D$12,"SOPORTE CARDIOVASCULAR AVANZADO (ACLS) ",IF(N52=CURSOS!$D$13,"CAMILLERO ",IF(N52=CURSOS!$D$14,"TOMA DE MUESTRAS Y LABORATORIO ",IF(N52=CURSOS!$D$15,"SOPORTE VITAL BASICO (BLS)",IF(N52=CURSOS!$D$16,"ATENCION A VICTIMAS DE VIOLENCIA SEXUAL ",IF(N52=CURSOS!$D$17,"PROGRAMADO AMPLIADO DE INMUNIZACION (PAI - COVID 19)",IF(N52=CURSOS!$D$18,"ATENCION INTEGRAL EN ENFERMEDADES PREVALENTES EN PRIMERA INFANCIA (AIEPI)",IF(N52=CURSOS!$D$19,"ADMINISTRACION DE MEDICAMENTOS, INYECTOLOGIA  Y CANALIZACION ",IF(N52=CURSOS!$D$20,"OPERADOR DE VEHICULOS DE EMERGENCIA (OVE)",IF(N52=CURSOS!$D$21,"INSTITUCIONES AMIGAS DE LA MUJER Y LA INFANCIA (IAMI)",IF(N52=CURSOS!$D$22,"CUIDADO DEL DONANTE DE ORGANOS",IF(N52=CURSOS!$D$23,"ATENCION A VICTIMAS POR VIOLENCIA DE GENERO",IF(N52=CURSOS!$D$24,"IGUALDAD DE GENERO EN LA SALUD",IF(N52=CURSOS!$D$25,"BRIGADA DE EMERGENCIA",IF(N52=CURSOS!$D$26,"MANEJO DEL DOLOR Y CUIDADOS PALIATIVOS",IF(N52=CURSOS!$D$27,"TOMA DE MUESTRAS Y LABORATORIO POCT",IF(N52=CURSOS!$D$28,"IMPLANTE SUBDERMICO DE DISPOSITIVO INTRAUTERINO",IF(N52=CURSOS!$D$29,"SALUD MENTAL",IF(N52=CURSOS!$D$30,"PRIMEROS AUXILIOS PSICOLOGICOS",IF(N52=CURSOS!$D$31,"ATENCION A VICTIMAS POR CONFLICTO ARMADO",IF(N52=CURSOS!$D$32,"MANIPULACION DE ALIMENTOS Y BPM",IF(N52=CURSOS!$D$33,"ATENCION A PERSONAS CON DISCAPACIDAD",IF(N52=CURSOS!$D$34,"CUIDADO INTEGRAL DEL PACIENTE ADULTO",IF(N52=CURSOS!$D$35,"MANEJO DEFENSIVO",IF(N52=CURSOS!$D$36,"SOPORTE CARDIOVASCULAR AVANZADO NEONATAL",IF(N52=CURSOS!$D$37,"SEGURIDAD DEL PACIENTE")))))))))))))))))))))))))))))))))))</f>
        <v xml:space="preserve">PRIMEROS AUXILIOS </v>
      </c>
      <c r="U52" s="124" t="str">
        <f t="shared" si="3"/>
        <v>Sebastian  Castaño Sanchez</v>
      </c>
      <c r="V52" s="128" t="str">
        <f t="shared" si="4"/>
        <v>Sebastian  Castaño Sanchez</v>
      </c>
      <c r="W52" s="138" t="str">
        <f t="shared" si="5"/>
        <v>Sebastian  Castaño Sanchez-1085329610-PRIMEROS AUXILIOS</v>
      </c>
    </row>
    <row r="53" spans="1:23" x14ac:dyDescent="0.2">
      <c r="A53" s="42">
        <v>52</v>
      </c>
      <c r="B53" s="43">
        <v>1085257636</v>
      </c>
      <c r="C53" s="17" t="s">
        <v>230</v>
      </c>
      <c r="D53" s="17" t="s">
        <v>231</v>
      </c>
      <c r="E53" s="17" t="s">
        <v>232</v>
      </c>
      <c r="F53" s="17" t="s">
        <v>233</v>
      </c>
      <c r="G53" s="14">
        <v>4</v>
      </c>
      <c r="H53" s="14" t="s">
        <v>89</v>
      </c>
      <c r="I53" s="16">
        <v>45477</v>
      </c>
      <c r="J53" s="19">
        <v>35000</v>
      </c>
      <c r="K53" s="14" t="s">
        <v>214</v>
      </c>
      <c r="L53" s="14" t="s">
        <v>90</v>
      </c>
      <c r="M53" s="14" t="s">
        <v>118</v>
      </c>
      <c r="N53" s="15" t="s">
        <v>68</v>
      </c>
      <c r="O53" s="18">
        <v>32384</v>
      </c>
      <c r="P53" s="15" t="s">
        <v>91</v>
      </c>
      <c r="Q53" s="53" t="s">
        <v>234</v>
      </c>
      <c r="R53" s="17">
        <v>3186820976</v>
      </c>
      <c r="S53" s="17" t="s">
        <v>235</v>
      </c>
      <c r="T53" s="124" t="str">
        <f>IF(N53=CURSOS!$D$3,"DIPLOMADO EN ATENCION PRE-HOSPITALARIA",IF(N53=CURSOS!$D$4,"ACOMPAÑAMIENTO Y MANEJO DEL DUELO",IF(N53=CURSOS!$D$5,"ATENCION A VICTIMAS DE ATAQUE CON AGENTES QUIMICOS ",IF(N53=CURSOS!$D$6,"PRIMEROS AUXILIOS ",IF(N53=CURSOS!$D$7,"DIPLOMADO DE UNIDAD DE CUIDADOS INTENSIVOS (UCI)",IF(N53=CURSOS!$D$8,"MODELO DE ATENCION PARA EVENTOS EMERGENTES EN SALUD MENTAL (CODIGO VERDE)",IF(N53=CURSOS!$D$9,"HUMANIZACION EN EL SERVICIO DE LA SALUD Y BUENAS PRACTICAS EN PACIENTE ",IF(N53=CURSOS!$D$10,"CLINICA DE HERIDAS ",IF(N53=CURSOS!$D$11,"TOMA DE CITOLOGIA CERVICO VAGINAL ",IF(N53=CURSOS!$D$12,"SOPORTE CARDIOVASCULAR AVANZADO (ACLS) ",IF(N53=CURSOS!$D$13,"CAMILLERO ",IF(N53=CURSOS!$D$14,"TOMA DE MUESTRAS Y LABORATORIO ",IF(N53=CURSOS!$D$15,"SOPORTE VITAL BASICO (BLS)",IF(N53=CURSOS!$D$16,"ATENCION A VICTIMAS DE VIOLENCIA SEXUAL ",IF(N53=CURSOS!$D$17,"PROGRAMADO AMPLIADO DE INMUNIZACION (PAI - COVID 19)",IF(N53=CURSOS!$D$18,"ATENCION INTEGRAL EN ENFERMEDADES PREVALENTES EN PRIMERA INFANCIA (AIEPI)",IF(N53=CURSOS!$D$19,"ADMINISTRACION DE MEDICAMENTOS, INYECTOLOGIA  Y CANALIZACION ",IF(N53=CURSOS!$D$20,"OPERADOR DE VEHICULOS DE EMERGENCIA (OVE)",IF(N53=CURSOS!$D$21,"INSTITUCIONES AMIGAS DE LA MUJER Y LA INFANCIA (IAMI)",IF(N53=CURSOS!$D$22,"CUIDADO DEL DONANTE DE ORGANOS",IF(N53=CURSOS!$D$23,"ATENCION A VICTIMAS POR VIOLENCIA DE GENERO",IF(N53=CURSOS!$D$24,"IGUALDAD DE GENERO EN LA SALUD",IF(N53=CURSOS!$D$25,"BRIGADA DE EMERGENCIA",IF(N53=CURSOS!$D$26,"MANEJO DEL DOLOR Y CUIDADOS PALIATIVOS",IF(N53=CURSOS!$D$27,"TOMA DE MUESTRAS Y LABORATORIO POCT",IF(N53=CURSOS!$D$28,"IMPLANTE SUBDERMICO DE DISPOSITIVO INTRAUTERINO",IF(N53=CURSOS!$D$29,"SALUD MENTAL",IF(N53=CURSOS!$D$30,"PRIMEROS AUXILIOS PSICOLOGICOS",IF(N53=CURSOS!$D$31,"ATENCION A VICTIMAS POR CONFLICTO ARMADO",IF(N53=CURSOS!$D$32,"MANIPULACION DE ALIMENTOS Y BPM",IF(N53=CURSOS!$D$33,"ATENCION A PERSONAS CON DISCAPACIDAD",IF(N53=CURSOS!$D$34,"CUIDADO INTEGRAL DEL PACIENTE ADULTO",IF(N53=CURSOS!$D$35,"MANEJO DEFENSIVO",IF(N53=CURSOS!$D$36,"SOPORTE CARDIOVASCULAR AVANZADO NEONATAL",IF(N53=CURSOS!$D$37,"SEGURIDAD DEL PACIENTE")))))))))))))))))))))))))))))))))))</f>
        <v>ATENCION A VICTIMAS POR CONFLICTO ARMADO</v>
      </c>
      <c r="U53" s="124" t="str">
        <f t="shared" si="3"/>
        <v>Giovanni Andrés Ortega Alvarado</v>
      </c>
      <c r="V53" s="128" t="str">
        <f t="shared" si="4"/>
        <v>Giovanni Andrés Ortega Alvarado</v>
      </c>
      <c r="W53" s="138" t="str">
        <f t="shared" si="5"/>
        <v>Giovanni Andrés Ortega Alvarado-1085257636-CONFLICTO ARMADO</v>
      </c>
    </row>
    <row r="54" spans="1:23" ht="15.75" x14ac:dyDescent="0.25">
      <c r="A54" s="42">
        <v>53</v>
      </c>
      <c r="B54" s="43">
        <v>1085277200</v>
      </c>
      <c r="C54" s="17" t="s">
        <v>115</v>
      </c>
      <c r="D54" s="17" t="s">
        <v>247</v>
      </c>
      <c r="E54" s="17" t="s">
        <v>248</v>
      </c>
      <c r="F54" s="17" t="s">
        <v>249</v>
      </c>
      <c r="G54" s="14">
        <v>4</v>
      </c>
      <c r="H54" s="14" t="s">
        <v>89</v>
      </c>
      <c r="I54" s="16">
        <v>45477</v>
      </c>
      <c r="J54" s="19">
        <v>0</v>
      </c>
      <c r="K54" s="14" t="s">
        <v>245</v>
      </c>
      <c r="L54" s="14" t="s">
        <v>90</v>
      </c>
      <c r="M54" s="14" t="s">
        <v>97</v>
      </c>
      <c r="N54" s="15" t="s">
        <v>27</v>
      </c>
      <c r="O54" s="18">
        <v>32790</v>
      </c>
      <c r="P54" s="15" t="s">
        <v>101</v>
      </c>
      <c r="Q54" s="17"/>
      <c r="R54" s="17"/>
      <c r="S54" s="57" t="s">
        <v>250</v>
      </c>
      <c r="T54" s="124" t="str">
        <f>IF(N54=CURSOS!$D$3,"DIPLOMADO EN ATENCION PRE-HOSPITALARIA",IF(N54=CURSOS!$D$4,"ACOMPAÑAMIENTO Y MANEJO DEL DUELO",IF(N54=CURSOS!$D$5,"ATENCION A VICTIMAS DE ATAQUE CON AGENTES QUIMICOS ",IF(N54=CURSOS!$D$6,"PRIMEROS AUXILIOS ",IF(N54=CURSOS!$D$7,"DIPLOMADO DE UNIDAD DE CUIDADOS INTENSIVOS (UCI)",IF(N54=CURSOS!$D$8,"MODELO DE ATENCION PARA EVENTOS EMERGENTES EN SALUD MENTAL (CODIGO VERDE)",IF(N54=CURSOS!$D$9,"HUMANIZACION EN EL SERVICIO DE LA SALUD Y BUENAS PRACTICAS EN PACIENTE ",IF(N54=CURSOS!$D$10,"CLINICA DE HERIDAS ",IF(N54=CURSOS!$D$11,"TOMA DE CITOLOGIA CERVICO VAGINAL ",IF(N54=CURSOS!$D$12,"SOPORTE CARDIOVASCULAR AVANZADO (ACLS) ",IF(N54=CURSOS!$D$13,"CAMILLERO ",IF(N54=CURSOS!$D$14,"TOMA DE MUESTRAS Y LABORATORIO ",IF(N54=CURSOS!$D$15,"SOPORTE VITAL BASICO (BLS)",IF(N54=CURSOS!$D$16,"ATENCION A VICTIMAS DE VIOLENCIA SEXUAL ",IF(N54=CURSOS!$D$17,"PROGRAMADO AMPLIADO DE INMUNIZACION (PAI - COVID 19)",IF(N54=CURSOS!$D$18,"ATENCION INTEGRAL EN ENFERMEDADES PREVALENTES EN PRIMERA INFANCIA (AIEPI)",IF(N54=CURSOS!$D$19,"ADMINISTRACION DE MEDICAMENTOS, INYECTOLOGIA  Y CANALIZACION ",IF(N54=CURSOS!$D$20,"OPERADOR DE VEHICULOS DE EMERGENCIA (OVE)",IF(N54=CURSOS!$D$21,"INSTITUCIONES AMIGAS DE LA MUJER Y LA INFANCIA (IAMI)",IF(N54=CURSOS!$D$22,"CUIDADO DEL DONANTE DE ORGANOS",IF(N54=CURSOS!$D$23,"ATENCION A VICTIMAS POR VIOLENCIA DE GENERO",IF(N54=CURSOS!$D$24,"IGUALDAD DE GENERO EN LA SALUD",IF(N54=CURSOS!$D$25,"BRIGADA DE EMERGENCIA",IF(N54=CURSOS!$D$26,"MANEJO DEL DOLOR Y CUIDADOS PALIATIVOS",IF(N54=CURSOS!$D$27,"TOMA DE MUESTRAS Y LABORATORIO POCT",IF(N54=CURSOS!$D$28,"IMPLANTE SUBDERMICO DE DISPOSITIVO INTRAUTERINO",IF(N54=CURSOS!$D$29,"SALUD MENTAL",IF(N54=CURSOS!$D$30,"PRIMEROS AUXILIOS PSICOLOGICOS",IF(N54=CURSOS!$D$31,"ATENCION A VICTIMAS POR CONFLICTO ARMADO",IF(N54=CURSOS!$D$32,"MANIPULACION DE ALIMENTOS Y BPM",IF(N54=CURSOS!$D$33,"ATENCION A PERSONAS CON DISCAPACIDAD",IF(N54=CURSOS!$D$34,"CUIDADO INTEGRAL DEL PACIENTE ADULTO",IF(N54=CURSOS!$D$35,"MANEJO DEFENSIVO",IF(N54=CURSOS!$D$36,"SOPORTE CARDIOVASCULAR AVANZADO NEONATAL",IF(N54=CURSOS!$D$37,"SEGURIDAD DEL PACIENTE")))))))))))))))))))))))))))))))))))</f>
        <v xml:space="preserve">PRIMEROS AUXILIOS </v>
      </c>
      <c r="U54" s="124" t="str">
        <f t="shared" si="3"/>
        <v>Johanna Catalina Florez Zapata</v>
      </c>
      <c r="V54" s="128" t="str">
        <f t="shared" si="4"/>
        <v>Johanna Catalina Florez Zapata</v>
      </c>
      <c r="W54" s="138" t="str">
        <f t="shared" si="5"/>
        <v>Johanna Catalina Florez Zapata-1085277200-PRIMEROS AUXILIOS</v>
      </c>
    </row>
    <row r="55" spans="1:23" ht="15.75" x14ac:dyDescent="0.25">
      <c r="A55" s="42">
        <v>54</v>
      </c>
      <c r="B55" s="43">
        <v>1085277200</v>
      </c>
      <c r="C55" s="17" t="s">
        <v>115</v>
      </c>
      <c r="D55" s="17" t="s">
        <v>247</v>
      </c>
      <c r="E55" s="17" t="s">
        <v>248</v>
      </c>
      <c r="F55" s="17" t="s">
        <v>249</v>
      </c>
      <c r="G55" s="14">
        <v>4</v>
      </c>
      <c r="H55" s="14" t="s">
        <v>89</v>
      </c>
      <c r="I55" s="16">
        <v>45477</v>
      </c>
      <c r="J55" s="19">
        <v>0</v>
      </c>
      <c r="K55" s="14" t="s">
        <v>245</v>
      </c>
      <c r="L55" s="14" t="s">
        <v>90</v>
      </c>
      <c r="M55" s="14" t="s">
        <v>97</v>
      </c>
      <c r="N55" s="15" t="s">
        <v>48</v>
      </c>
      <c r="O55" s="18">
        <v>32790</v>
      </c>
      <c r="P55" s="15" t="s">
        <v>101</v>
      </c>
      <c r="Q55" s="17"/>
      <c r="R55" s="17"/>
      <c r="S55" s="57" t="s">
        <v>250</v>
      </c>
      <c r="T55" s="124" t="str">
        <f>IF(N55=CURSOS!$D$3,"DIPLOMADO EN ATENCION PRE-HOSPITALARIA",IF(N55=CURSOS!$D$4,"ACOMPAÑAMIENTO Y MANEJO DEL DUELO",IF(N55=CURSOS!$D$5,"ATENCION A VICTIMAS DE ATAQUE CON AGENTES QUIMICOS ",IF(N55=CURSOS!$D$6,"PRIMEROS AUXILIOS ",IF(N55=CURSOS!$D$7,"DIPLOMADO DE UNIDAD DE CUIDADOS INTENSIVOS (UCI)",IF(N55=CURSOS!$D$8,"MODELO DE ATENCION PARA EVENTOS EMERGENTES EN SALUD MENTAL (CODIGO VERDE)",IF(N55=CURSOS!$D$9,"HUMANIZACION EN EL SERVICIO DE LA SALUD Y BUENAS PRACTICAS EN PACIENTE ",IF(N55=CURSOS!$D$10,"CLINICA DE HERIDAS ",IF(N55=CURSOS!$D$11,"TOMA DE CITOLOGIA CERVICO VAGINAL ",IF(N55=CURSOS!$D$12,"SOPORTE CARDIOVASCULAR AVANZADO (ACLS) ",IF(N55=CURSOS!$D$13,"CAMILLERO ",IF(N55=CURSOS!$D$14,"TOMA DE MUESTRAS Y LABORATORIO ",IF(N55=CURSOS!$D$15,"SOPORTE VITAL BASICO (BLS)",IF(N55=CURSOS!$D$16,"ATENCION A VICTIMAS DE VIOLENCIA SEXUAL ",IF(N55=CURSOS!$D$17,"PROGRAMADO AMPLIADO DE INMUNIZACION (PAI - COVID 19)",IF(N55=CURSOS!$D$18,"ATENCION INTEGRAL EN ENFERMEDADES PREVALENTES EN PRIMERA INFANCIA (AIEPI)",IF(N55=CURSOS!$D$19,"ADMINISTRACION DE MEDICAMENTOS, INYECTOLOGIA  Y CANALIZACION ",IF(N55=CURSOS!$D$20,"OPERADOR DE VEHICULOS DE EMERGENCIA (OVE)",IF(N55=CURSOS!$D$21,"INSTITUCIONES AMIGAS DE LA MUJER Y LA INFANCIA (IAMI)",IF(N55=CURSOS!$D$22,"CUIDADO DEL DONANTE DE ORGANOS",IF(N55=CURSOS!$D$23,"ATENCION A VICTIMAS POR VIOLENCIA DE GENERO",IF(N55=CURSOS!$D$24,"IGUALDAD DE GENERO EN LA SALUD",IF(N55=CURSOS!$D$25,"BRIGADA DE EMERGENCIA",IF(N55=CURSOS!$D$26,"MANEJO DEL DOLOR Y CUIDADOS PALIATIVOS",IF(N55=CURSOS!$D$27,"TOMA DE MUESTRAS Y LABORATORIO POCT",IF(N55=CURSOS!$D$28,"IMPLANTE SUBDERMICO DE DISPOSITIVO INTRAUTERINO",IF(N55=CURSOS!$D$29,"SALUD MENTAL",IF(N55=CURSOS!$D$30,"PRIMEROS AUXILIOS PSICOLOGICOS",IF(N55=CURSOS!$D$31,"ATENCION A VICTIMAS POR CONFLICTO ARMADO",IF(N55=CURSOS!$D$32,"MANIPULACION DE ALIMENTOS Y BPM",IF(N55=CURSOS!$D$33,"ATENCION A PERSONAS CON DISCAPACIDAD",IF(N55=CURSOS!$D$34,"CUIDADO INTEGRAL DEL PACIENTE ADULTO",IF(N55=CURSOS!$D$35,"MANEJO DEFENSIVO",IF(N55=CURSOS!$D$36,"SOPORTE CARDIOVASCULAR AVANZADO NEONATAL",IF(N55=CURSOS!$D$37,"SEGURIDAD DEL PACIENTE")))))))))))))))))))))))))))))))))))</f>
        <v xml:space="preserve">ADMINISTRACION DE MEDICAMENTOS, INYECTOLOGIA  Y CANALIZACION </v>
      </c>
      <c r="U55" s="124" t="str">
        <f t="shared" si="3"/>
        <v>Johanna Catalina Florez Zapata</v>
      </c>
      <c r="V55" s="128" t="str">
        <f t="shared" si="4"/>
        <v>Johanna Catalina Florez Zapata</v>
      </c>
      <c r="W55" s="138" t="str">
        <f t="shared" si="5"/>
        <v>Johanna Catalina Florez Zapata-1085277200-ADMON DE MEDICAMENTOS</v>
      </c>
    </row>
    <row r="56" spans="1:23" x14ac:dyDescent="0.2">
      <c r="A56" s="42">
        <v>55</v>
      </c>
      <c r="B56" s="166">
        <v>98399410</v>
      </c>
      <c r="C56" s="167" t="s">
        <v>251</v>
      </c>
      <c r="D56" s="167" t="s">
        <v>252</v>
      </c>
      <c r="E56" s="167" t="s">
        <v>253</v>
      </c>
      <c r="F56" s="167" t="s">
        <v>254</v>
      </c>
      <c r="G56" s="168">
        <v>4</v>
      </c>
      <c r="H56" s="168" t="s">
        <v>89</v>
      </c>
      <c r="I56" s="169" t="s">
        <v>350</v>
      </c>
      <c r="J56" s="170"/>
      <c r="K56" s="168" t="s">
        <v>350</v>
      </c>
      <c r="L56" s="168" t="s">
        <v>90</v>
      </c>
      <c r="M56" s="173" t="s">
        <v>875</v>
      </c>
      <c r="N56" s="15" t="s">
        <v>38</v>
      </c>
      <c r="O56" s="18"/>
      <c r="P56" s="15" t="s">
        <v>91</v>
      </c>
      <c r="Q56" s="17"/>
      <c r="R56" s="17">
        <v>3015362108</v>
      </c>
      <c r="S56" s="17" t="s">
        <v>255</v>
      </c>
      <c r="T56" s="124" t="str">
        <f>IF(N56=CURSOS!$D$3,"DIPLOMADO EN ATENCION PRE-HOSPITALARIA",IF(N56=CURSOS!$D$4,"ACOMPAÑAMIENTO Y MANEJO DEL DUELO",IF(N56=CURSOS!$D$5,"ATENCION A VICTIMAS DE ATAQUE CON AGENTES QUIMICOS ",IF(N56=CURSOS!$D$6,"PRIMEROS AUXILIOS ",IF(N56=CURSOS!$D$7,"DIPLOMADO DE UNIDAD DE CUIDADOS INTENSIVOS (UCI)",IF(N56=CURSOS!$D$8,"MODELO DE ATENCION PARA EVENTOS EMERGENTES EN SALUD MENTAL (CODIGO VERDE)",IF(N56=CURSOS!$D$9,"HUMANIZACION EN EL SERVICIO DE LA SALUD Y BUENAS PRACTICAS EN PACIENTE ",IF(N56=CURSOS!$D$10,"CLINICA DE HERIDAS ",IF(N56=CURSOS!$D$11,"TOMA DE CITOLOGIA CERVICO VAGINAL ",IF(N56=CURSOS!$D$12,"SOPORTE CARDIOVASCULAR AVANZADO (ACLS) ",IF(N56=CURSOS!$D$13,"CAMILLERO ",IF(N56=CURSOS!$D$14,"TOMA DE MUESTRAS Y LABORATORIO ",IF(N56=CURSOS!$D$15,"SOPORTE VITAL BASICO (BLS)",IF(N56=CURSOS!$D$16,"ATENCION A VICTIMAS DE VIOLENCIA SEXUAL ",IF(N56=CURSOS!$D$17,"PROGRAMADO AMPLIADO DE INMUNIZACION (PAI - COVID 19)",IF(N56=CURSOS!$D$18,"ATENCION INTEGRAL EN ENFERMEDADES PREVALENTES EN PRIMERA INFANCIA (AIEPI)",IF(N56=CURSOS!$D$19,"ADMINISTRACION DE MEDICAMENTOS, INYECTOLOGIA  Y CANALIZACION ",IF(N56=CURSOS!$D$20,"OPERADOR DE VEHICULOS DE EMERGENCIA (OVE)",IF(N56=CURSOS!$D$21,"INSTITUCIONES AMIGAS DE LA MUJER Y LA INFANCIA (IAMI)",IF(N56=CURSOS!$D$22,"CUIDADO DEL DONANTE DE ORGANOS",IF(N56=CURSOS!$D$23,"ATENCION A VICTIMAS POR VIOLENCIA DE GENERO",IF(N56=CURSOS!$D$24,"IGUALDAD DE GENERO EN LA SALUD",IF(N56=CURSOS!$D$25,"BRIGADA DE EMERGENCIA",IF(N56=CURSOS!$D$26,"MANEJO DEL DOLOR Y CUIDADOS PALIATIVOS",IF(N56=CURSOS!$D$27,"TOMA DE MUESTRAS Y LABORATORIO POCT",IF(N56=CURSOS!$D$28,"IMPLANTE SUBDERMICO DE DISPOSITIVO INTRAUTERINO",IF(N56=CURSOS!$D$29,"SALUD MENTAL",IF(N56=CURSOS!$D$30,"PRIMEROS AUXILIOS PSICOLOGICOS",IF(N56=CURSOS!$D$31,"ATENCION A VICTIMAS POR CONFLICTO ARMADO",IF(N56=CURSOS!$D$32,"MANIPULACION DE ALIMENTOS Y BPM",IF(N56=CURSOS!$D$33,"ATENCION A PERSONAS CON DISCAPACIDAD",IF(N56=CURSOS!$D$34,"CUIDADO INTEGRAL DEL PACIENTE ADULTO",IF(N56=CURSOS!$D$35,"MANEJO DEFENSIVO",IF(N56=CURSOS!$D$36,"SOPORTE CARDIOVASCULAR AVANZADO NEONATAL",IF(N56=CURSOS!$D$37,"SEGURIDAD DEL PACIENTE")))))))))))))))))))))))))))))))))))</f>
        <v xml:space="preserve">SOPORTE CARDIOVASCULAR AVANZADO (ACLS) </v>
      </c>
      <c r="U56" s="124" t="str">
        <f t="shared" si="3"/>
        <v>Alvaro José Calpa Zambrano</v>
      </c>
      <c r="V56" s="128" t="str">
        <f t="shared" si="4"/>
        <v>Alvaro José Calpa Zambrano</v>
      </c>
      <c r="W56" s="138" t="str">
        <f t="shared" si="5"/>
        <v>Alvaro José Calpa Zambrano-98399410-ACLS</v>
      </c>
    </row>
    <row r="57" spans="1:23" x14ac:dyDescent="0.2">
      <c r="A57" s="42">
        <v>56</v>
      </c>
      <c r="B57" s="166">
        <v>98399410</v>
      </c>
      <c r="C57" s="167" t="s">
        <v>251</v>
      </c>
      <c r="D57" s="167" t="s">
        <v>252</v>
      </c>
      <c r="E57" s="167" t="s">
        <v>253</v>
      </c>
      <c r="F57" s="167" t="s">
        <v>254</v>
      </c>
      <c r="G57" s="168">
        <v>4</v>
      </c>
      <c r="H57" s="168" t="s">
        <v>89</v>
      </c>
      <c r="I57" s="169" t="s">
        <v>350</v>
      </c>
      <c r="J57" s="170"/>
      <c r="K57" s="168" t="s">
        <v>350</v>
      </c>
      <c r="L57" s="168" t="s">
        <v>90</v>
      </c>
      <c r="M57" s="173" t="s">
        <v>875</v>
      </c>
      <c r="N57" s="15" t="s">
        <v>43</v>
      </c>
      <c r="O57" s="18"/>
      <c r="P57" s="15" t="s">
        <v>91</v>
      </c>
      <c r="Q57" s="17"/>
      <c r="R57" s="17">
        <v>3015362108</v>
      </c>
      <c r="S57" s="17" t="s">
        <v>255</v>
      </c>
      <c r="T57" s="124" t="str">
        <f>IF(N57=CURSOS!$D$3,"DIPLOMADO EN ATENCION PRE-HOSPITALARIA",IF(N57=CURSOS!$D$4,"ACOMPAÑAMIENTO Y MANEJO DEL DUELO",IF(N57=CURSOS!$D$5,"ATENCION A VICTIMAS DE ATAQUE CON AGENTES QUIMICOS ",IF(N57=CURSOS!$D$6,"PRIMEROS AUXILIOS ",IF(N57=CURSOS!$D$7,"DIPLOMADO DE UNIDAD DE CUIDADOS INTENSIVOS (UCI)",IF(N57=CURSOS!$D$8,"MODELO DE ATENCION PARA EVENTOS EMERGENTES EN SALUD MENTAL (CODIGO VERDE)",IF(N57=CURSOS!$D$9,"HUMANIZACION EN EL SERVICIO DE LA SALUD Y BUENAS PRACTICAS EN PACIENTE ",IF(N57=CURSOS!$D$10,"CLINICA DE HERIDAS ",IF(N57=CURSOS!$D$11,"TOMA DE CITOLOGIA CERVICO VAGINAL ",IF(N57=CURSOS!$D$12,"SOPORTE CARDIOVASCULAR AVANZADO (ACLS) ",IF(N57=CURSOS!$D$13,"CAMILLERO ",IF(N57=CURSOS!$D$14,"TOMA DE MUESTRAS Y LABORATORIO ",IF(N57=CURSOS!$D$15,"SOPORTE VITAL BASICO (BLS)",IF(N57=CURSOS!$D$16,"ATENCION A VICTIMAS DE VIOLENCIA SEXUAL ",IF(N57=CURSOS!$D$17,"PROGRAMADO AMPLIADO DE INMUNIZACION (PAI - COVID 19)",IF(N57=CURSOS!$D$18,"ATENCION INTEGRAL EN ENFERMEDADES PREVALENTES EN PRIMERA INFANCIA (AIEPI)",IF(N57=CURSOS!$D$19,"ADMINISTRACION DE MEDICAMENTOS, INYECTOLOGIA  Y CANALIZACION ",IF(N57=CURSOS!$D$20,"OPERADOR DE VEHICULOS DE EMERGENCIA (OVE)",IF(N57=CURSOS!$D$21,"INSTITUCIONES AMIGAS DE LA MUJER Y LA INFANCIA (IAMI)",IF(N57=CURSOS!$D$22,"CUIDADO DEL DONANTE DE ORGANOS",IF(N57=CURSOS!$D$23,"ATENCION A VICTIMAS POR VIOLENCIA DE GENERO",IF(N57=CURSOS!$D$24,"IGUALDAD DE GENERO EN LA SALUD",IF(N57=CURSOS!$D$25,"BRIGADA DE EMERGENCIA",IF(N57=CURSOS!$D$26,"MANEJO DEL DOLOR Y CUIDADOS PALIATIVOS",IF(N57=CURSOS!$D$27,"TOMA DE MUESTRAS Y LABORATORIO POCT",IF(N57=CURSOS!$D$28,"IMPLANTE SUBDERMICO DE DISPOSITIVO INTRAUTERINO",IF(N57=CURSOS!$D$29,"SALUD MENTAL",IF(N57=CURSOS!$D$30,"PRIMEROS AUXILIOS PSICOLOGICOS",IF(N57=CURSOS!$D$31,"ATENCION A VICTIMAS POR CONFLICTO ARMADO",IF(N57=CURSOS!$D$32,"MANIPULACION DE ALIMENTOS Y BPM",IF(N57=CURSOS!$D$33,"ATENCION A PERSONAS CON DISCAPACIDAD",IF(N57=CURSOS!$D$34,"CUIDADO INTEGRAL DEL PACIENTE ADULTO",IF(N57=CURSOS!$D$35,"MANEJO DEFENSIVO",IF(N57=CURSOS!$D$36,"SOPORTE CARDIOVASCULAR AVANZADO NEONATAL",IF(N57=CURSOS!$D$37,"SEGURIDAD DEL PACIENTE")))))))))))))))))))))))))))))))))))</f>
        <v xml:space="preserve">ATENCION A VICTIMAS DE VIOLENCIA SEXUAL </v>
      </c>
      <c r="U57" s="124" t="str">
        <f t="shared" si="3"/>
        <v>Alvaro José Calpa Zambrano</v>
      </c>
      <c r="V57" s="128" t="str">
        <f t="shared" si="4"/>
        <v>Alvaro José Calpa Zambrano</v>
      </c>
      <c r="W57" s="138" t="str">
        <f t="shared" si="5"/>
        <v>Alvaro José Calpa Zambrano-98399410-VIOLENCIA SEXUAL</v>
      </c>
    </row>
    <row r="58" spans="1:23" x14ac:dyDescent="0.2">
      <c r="A58" s="42">
        <v>57</v>
      </c>
      <c r="B58" s="166">
        <v>98399410</v>
      </c>
      <c r="C58" s="167" t="s">
        <v>251</v>
      </c>
      <c r="D58" s="167" t="s">
        <v>252</v>
      </c>
      <c r="E58" s="167" t="s">
        <v>253</v>
      </c>
      <c r="F58" s="167" t="s">
        <v>254</v>
      </c>
      <c r="G58" s="168">
        <v>4</v>
      </c>
      <c r="H58" s="168" t="s">
        <v>89</v>
      </c>
      <c r="I58" s="169" t="s">
        <v>350</v>
      </c>
      <c r="J58" s="170"/>
      <c r="K58" s="168" t="s">
        <v>350</v>
      </c>
      <c r="L58" s="168" t="s">
        <v>90</v>
      </c>
      <c r="M58" s="173" t="s">
        <v>875</v>
      </c>
      <c r="N58" s="15" t="s">
        <v>25</v>
      </c>
      <c r="O58" s="18"/>
      <c r="P58" s="15" t="s">
        <v>91</v>
      </c>
      <c r="Q58" s="17"/>
      <c r="R58" s="17">
        <v>3015362108</v>
      </c>
      <c r="S58" s="17" t="s">
        <v>255</v>
      </c>
      <c r="T58" s="124" t="str">
        <f>IF(N58=CURSOS!$D$3,"DIPLOMADO EN ATENCION PRE-HOSPITALARIA",IF(N58=CURSOS!$D$4,"ACOMPAÑAMIENTO Y MANEJO DEL DUELO",IF(N58=CURSOS!$D$5,"ATENCION A VICTIMAS DE ATAQUE CON AGENTES QUIMICOS ",IF(N58=CURSOS!$D$6,"PRIMEROS AUXILIOS ",IF(N58=CURSOS!$D$7,"DIPLOMADO DE UNIDAD DE CUIDADOS INTENSIVOS (UCI)",IF(N58=CURSOS!$D$8,"MODELO DE ATENCION PARA EVENTOS EMERGENTES EN SALUD MENTAL (CODIGO VERDE)",IF(N58=CURSOS!$D$9,"HUMANIZACION EN EL SERVICIO DE LA SALUD Y BUENAS PRACTICAS EN PACIENTE ",IF(N58=CURSOS!$D$10,"CLINICA DE HERIDAS ",IF(N58=CURSOS!$D$11,"TOMA DE CITOLOGIA CERVICO VAGINAL ",IF(N58=CURSOS!$D$12,"SOPORTE CARDIOVASCULAR AVANZADO (ACLS) ",IF(N58=CURSOS!$D$13,"CAMILLERO ",IF(N58=CURSOS!$D$14,"TOMA DE MUESTRAS Y LABORATORIO ",IF(N58=CURSOS!$D$15,"SOPORTE VITAL BASICO (BLS)",IF(N58=CURSOS!$D$16,"ATENCION A VICTIMAS DE VIOLENCIA SEXUAL ",IF(N58=CURSOS!$D$17,"PROGRAMADO AMPLIADO DE INMUNIZACION (PAI - COVID 19)",IF(N58=CURSOS!$D$18,"ATENCION INTEGRAL EN ENFERMEDADES PREVALENTES EN PRIMERA INFANCIA (AIEPI)",IF(N58=CURSOS!$D$19,"ADMINISTRACION DE MEDICAMENTOS, INYECTOLOGIA  Y CANALIZACION ",IF(N58=CURSOS!$D$20,"OPERADOR DE VEHICULOS DE EMERGENCIA (OVE)",IF(N58=CURSOS!$D$21,"INSTITUCIONES AMIGAS DE LA MUJER Y LA INFANCIA (IAMI)",IF(N58=CURSOS!$D$22,"CUIDADO DEL DONANTE DE ORGANOS",IF(N58=CURSOS!$D$23,"ATENCION A VICTIMAS POR VIOLENCIA DE GENERO",IF(N58=CURSOS!$D$24,"IGUALDAD DE GENERO EN LA SALUD",IF(N58=CURSOS!$D$25,"BRIGADA DE EMERGENCIA",IF(N58=CURSOS!$D$26,"MANEJO DEL DOLOR Y CUIDADOS PALIATIVOS",IF(N58=CURSOS!$D$27,"TOMA DE MUESTRAS Y LABORATORIO POCT",IF(N58=CURSOS!$D$28,"IMPLANTE SUBDERMICO DE DISPOSITIVO INTRAUTERINO",IF(N58=CURSOS!$D$29,"SALUD MENTAL",IF(N58=CURSOS!$D$30,"PRIMEROS AUXILIOS PSICOLOGICOS",IF(N58=CURSOS!$D$31,"ATENCION A VICTIMAS POR CONFLICTO ARMADO",IF(N58=CURSOS!$D$32,"MANIPULACION DE ALIMENTOS Y BPM",IF(N58=CURSOS!$D$33,"ATENCION A PERSONAS CON DISCAPACIDAD",IF(N58=CURSOS!$D$34,"CUIDADO INTEGRAL DEL PACIENTE ADULTO",IF(N58=CURSOS!$D$35,"MANEJO DEFENSIVO",IF(N58=CURSOS!$D$36,"SOPORTE CARDIOVASCULAR AVANZADO NEONATAL",IF(N58=CURSOS!$D$37,"SEGURIDAD DEL PACIENTE")))))))))))))))))))))))))))))))))))</f>
        <v xml:space="preserve">ATENCION A VICTIMAS DE ATAQUE CON AGENTES QUIMICOS </v>
      </c>
      <c r="U58" s="124" t="str">
        <f t="shared" si="3"/>
        <v>Alvaro José Calpa Zambrano</v>
      </c>
      <c r="V58" s="128" t="str">
        <f t="shared" si="4"/>
        <v>Alvaro José Calpa Zambrano</v>
      </c>
      <c r="W58" s="138" t="str">
        <f t="shared" si="5"/>
        <v>Alvaro José Calpa Zambrano-98399410-QUIMICOS</v>
      </c>
    </row>
    <row r="59" spans="1:23" x14ac:dyDescent="0.2">
      <c r="A59" s="42">
        <v>58</v>
      </c>
      <c r="B59" s="43">
        <v>12753235</v>
      </c>
      <c r="C59" s="17" t="s">
        <v>256</v>
      </c>
      <c r="D59" s="17" t="s">
        <v>257</v>
      </c>
      <c r="E59" s="17" t="s">
        <v>237</v>
      </c>
      <c r="F59" s="17" t="s">
        <v>238</v>
      </c>
      <c r="G59" s="14">
        <v>4</v>
      </c>
      <c r="H59" s="14" t="s">
        <v>89</v>
      </c>
      <c r="I59" s="16">
        <v>45478</v>
      </c>
      <c r="J59" s="19">
        <v>35000</v>
      </c>
      <c r="K59" s="14" t="s">
        <v>210</v>
      </c>
      <c r="L59" s="14" t="s">
        <v>90</v>
      </c>
      <c r="M59" s="14" t="s">
        <v>118</v>
      </c>
      <c r="N59" s="15" t="s">
        <v>23</v>
      </c>
      <c r="O59" s="18">
        <v>30172</v>
      </c>
      <c r="P59" s="15" t="s">
        <v>91</v>
      </c>
      <c r="Q59" s="17" t="s">
        <v>215</v>
      </c>
      <c r="R59" s="17">
        <v>3006191926</v>
      </c>
      <c r="S59" s="17" t="s">
        <v>258</v>
      </c>
      <c r="T59" s="124" t="str">
        <f>IF(N59=CURSOS!$D$3,"DIPLOMADO EN ATENCION PRE-HOSPITALARIA",IF(N59=CURSOS!$D$4,"ACOMPAÑAMIENTO Y MANEJO DEL DUELO",IF(N59=CURSOS!$D$5,"ATENCION A VICTIMAS DE ATAQUE CON AGENTES QUIMICOS ",IF(N59=CURSOS!$D$6,"PRIMEROS AUXILIOS ",IF(N59=CURSOS!$D$7,"DIPLOMADO DE UNIDAD DE CUIDADOS INTENSIVOS (UCI)",IF(N59=CURSOS!$D$8,"MODELO DE ATENCION PARA EVENTOS EMERGENTES EN SALUD MENTAL (CODIGO VERDE)",IF(N59=CURSOS!$D$9,"HUMANIZACION EN EL SERVICIO DE LA SALUD Y BUENAS PRACTICAS EN PACIENTE ",IF(N59=CURSOS!$D$10,"CLINICA DE HERIDAS ",IF(N59=CURSOS!$D$11,"TOMA DE CITOLOGIA CERVICO VAGINAL ",IF(N59=CURSOS!$D$12,"SOPORTE CARDIOVASCULAR AVANZADO (ACLS) ",IF(N59=CURSOS!$D$13,"CAMILLERO ",IF(N59=CURSOS!$D$14,"TOMA DE MUESTRAS Y LABORATORIO ",IF(N59=CURSOS!$D$15,"SOPORTE VITAL BASICO (BLS)",IF(N59=CURSOS!$D$16,"ATENCION A VICTIMAS DE VIOLENCIA SEXUAL ",IF(N59=CURSOS!$D$17,"PROGRAMADO AMPLIADO DE INMUNIZACION (PAI - COVID 19)",IF(N59=CURSOS!$D$18,"ATENCION INTEGRAL EN ENFERMEDADES PREVALENTES EN PRIMERA INFANCIA (AIEPI)",IF(N59=CURSOS!$D$19,"ADMINISTRACION DE MEDICAMENTOS, INYECTOLOGIA  Y CANALIZACION ",IF(N59=CURSOS!$D$20,"OPERADOR DE VEHICULOS DE EMERGENCIA (OVE)",IF(N59=CURSOS!$D$21,"INSTITUCIONES AMIGAS DE LA MUJER Y LA INFANCIA (IAMI)",IF(N59=CURSOS!$D$22,"CUIDADO DEL DONANTE DE ORGANOS",IF(N59=CURSOS!$D$23,"ATENCION A VICTIMAS POR VIOLENCIA DE GENERO",IF(N59=CURSOS!$D$24,"IGUALDAD DE GENERO EN LA SALUD",IF(N59=CURSOS!$D$25,"BRIGADA DE EMERGENCIA",IF(N59=CURSOS!$D$26,"MANEJO DEL DOLOR Y CUIDADOS PALIATIVOS",IF(N59=CURSOS!$D$27,"TOMA DE MUESTRAS Y LABORATORIO POCT",IF(N59=CURSOS!$D$28,"IMPLANTE SUBDERMICO DE DISPOSITIVO INTRAUTERINO",IF(N59=CURSOS!$D$29,"SALUD MENTAL",IF(N59=CURSOS!$D$30,"PRIMEROS AUXILIOS PSICOLOGICOS",IF(N59=CURSOS!$D$31,"ATENCION A VICTIMAS POR CONFLICTO ARMADO",IF(N59=CURSOS!$D$32,"MANIPULACION DE ALIMENTOS Y BPM",IF(N59=CURSOS!$D$33,"ATENCION A PERSONAS CON DISCAPACIDAD",IF(N59=CURSOS!$D$34,"CUIDADO INTEGRAL DEL PACIENTE ADULTO",IF(N59=CURSOS!$D$35,"MANEJO DEFENSIVO",IF(N59=CURSOS!$D$36,"SOPORTE CARDIOVASCULAR AVANZADO NEONATAL",IF(N59=CURSOS!$D$37,"SEGURIDAD DEL PACIENTE")))))))))))))))))))))))))))))))))))</f>
        <v>ACOMPAÑAMIENTO Y MANEJO DEL DUELO</v>
      </c>
      <c r="U59" s="124" t="str">
        <f t="shared" si="3"/>
        <v>Diego Fernando Taramuel Gómez</v>
      </c>
      <c r="V59" s="128" t="str">
        <f t="shared" si="4"/>
        <v>Diego Fernando Taramuel Gómez</v>
      </c>
      <c r="W59" s="138" t="str">
        <f t="shared" si="5"/>
        <v>Diego Fernando Taramuel Gómez-12753235-DUELO</v>
      </c>
    </row>
    <row r="60" spans="1:23" x14ac:dyDescent="0.2">
      <c r="A60" s="42">
        <v>59</v>
      </c>
      <c r="B60" s="43">
        <v>1085346372</v>
      </c>
      <c r="C60" s="17" t="s">
        <v>169</v>
      </c>
      <c r="D60" s="17" t="s">
        <v>169</v>
      </c>
      <c r="E60" s="17" t="s">
        <v>170</v>
      </c>
      <c r="F60" s="17" t="s">
        <v>171</v>
      </c>
      <c r="G60" s="14">
        <v>4</v>
      </c>
      <c r="H60" s="14" t="s">
        <v>89</v>
      </c>
      <c r="I60" s="16">
        <v>45478</v>
      </c>
      <c r="J60" s="19">
        <v>20000</v>
      </c>
      <c r="K60" s="14" t="s">
        <v>210</v>
      </c>
      <c r="L60" s="14" t="s">
        <v>90</v>
      </c>
      <c r="M60" s="14" t="s">
        <v>118</v>
      </c>
      <c r="N60" s="15" t="s">
        <v>23</v>
      </c>
      <c r="O60" s="18">
        <v>36377</v>
      </c>
      <c r="P60" s="15" t="s">
        <v>91</v>
      </c>
      <c r="Q60" s="17" t="s">
        <v>200</v>
      </c>
      <c r="R60" s="17">
        <v>3104213412</v>
      </c>
      <c r="S60" s="17" t="s">
        <v>193</v>
      </c>
      <c r="T60" s="124" t="str">
        <f>IF(N60=CURSOS!$D$3,"DIPLOMADO EN ATENCION PRE-HOSPITALARIA",IF(N60=CURSOS!$D$4,"ACOMPAÑAMIENTO Y MANEJO DEL DUELO",IF(N60=CURSOS!$D$5,"ATENCION A VICTIMAS DE ATAQUE CON AGENTES QUIMICOS ",IF(N60=CURSOS!$D$6,"PRIMEROS AUXILIOS ",IF(N60=CURSOS!$D$7,"DIPLOMADO DE UNIDAD DE CUIDADOS INTENSIVOS (UCI)",IF(N60=CURSOS!$D$8,"MODELO DE ATENCION PARA EVENTOS EMERGENTES EN SALUD MENTAL (CODIGO VERDE)",IF(N60=CURSOS!$D$9,"HUMANIZACION EN EL SERVICIO DE LA SALUD Y BUENAS PRACTICAS EN PACIENTE ",IF(N60=CURSOS!$D$10,"CLINICA DE HERIDAS ",IF(N60=CURSOS!$D$11,"TOMA DE CITOLOGIA CERVICO VAGINAL ",IF(N60=CURSOS!$D$12,"SOPORTE CARDIOVASCULAR AVANZADO (ACLS) ",IF(N60=CURSOS!$D$13,"CAMILLERO ",IF(N60=CURSOS!$D$14,"TOMA DE MUESTRAS Y LABORATORIO ",IF(N60=CURSOS!$D$15,"SOPORTE VITAL BASICO (BLS)",IF(N60=CURSOS!$D$16,"ATENCION A VICTIMAS DE VIOLENCIA SEXUAL ",IF(N60=CURSOS!$D$17,"PROGRAMADO AMPLIADO DE INMUNIZACION (PAI - COVID 19)",IF(N60=CURSOS!$D$18,"ATENCION INTEGRAL EN ENFERMEDADES PREVALENTES EN PRIMERA INFANCIA (AIEPI)",IF(N60=CURSOS!$D$19,"ADMINISTRACION DE MEDICAMENTOS, INYECTOLOGIA  Y CANALIZACION ",IF(N60=CURSOS!$D$20,"OPERADOR DE VEHICULOS DE EMERGENCIA (OVE)",IF(N60=CURSOS!$D$21,"INSTITUCIONES AMIGAS DE LA MUJER Y LA INFANCIA (IAMI)",IF(N60=CURSOS!$D$22,"CUIDADO DEL DONANTE DE ORGANOS",IF(N60=CURSOS!$D$23,"ATENCION A VICTIMAS POR VIOLENCIA DE GENERO",IF(N60=CURSOS!$D$24,"IGUALDAD DE GENERO EN LA SALUD",IF(N60=CURSOS!$D$25,"BRIGADA DE EMERGENCIA",IF(N60=CURSOS!$D$26,"MANEJO DEL DOLOR Y CUIDADOS PALIATIVOS",IF(N60=CURSOS!$D$27,"TOMA DE MUESTRAS Y LABORATORIO POCT",IF(N60=CURSOS!$D$28,"IMPLANTE SUBDERMICO DE DISPOSITIVO INTRAUTERINO",IF(N60=CURSOS!$D$29,"SALUD MENTAL",IF(N60=CURSOS!$D$30,"PRIMEROS AUXILIOS PSICOLOGICOS",IF(N60=CURSOS!$D$31,"ATENCION A VICTIMAS POR CONFLICTO ARMADO",IF(N60=CURSOS!$D$32,"MANIPULACION DE ALIMENTOS Y BPM",IF(N60=CURSOS!$D$33,"ATENCION A PERSONAS CON DISCAPACIDAD",IF(N60=CURSOS!$D$34,"CUIDADO INTEGRAL DEL PACIENTE ADULTO",IF(N60=CURSOS!$D$35,"MANEJO DEFENSIVO",IF(N60=CURSOS!$D$36,"SOPORTE CARDIOVASCULAR AVANZADO NEONATAL",IF(N60=CURSOS!$D$37,"SEGURIDAD DEL PACIENTE")))))))))))))))))))))))))))))))))))</f>
        <v>ACOMPAÑAMIENTO Y MANEJO DEL DUELO</v>
      </c>
      <c r="U60" s="124" t="str">
        <f t="shared" si="3"/>
        <v>Gabriel Alejandro Paz Paz</v>
      </c>
      <c r="V60" s="128" t="str">
        <f t="shared" si="4"/>
        <v>Gabriel Alejandro Paz Paz</v>
      </c>
      <c r="W60" s="138" t="str">
        <f t="shared" si="5"/>
        <v>Gabriel Alejandro Paz Paz-1085346372-DUELO</v>
      </c>
    </row>
    <row r="61" spans="1:23" x14ac:dyDescent="0.2">
      <c r="A61" s="42">
        <v>60</v>
      </c>
      <c r="B61" s="43">
        <v>1085346372</v>
      </c>
      <c r="C61" s="17" t="s">
        <v>169</v>
      </c>
      <c r="D61" s="17" t="s">
        <v>169</v>
      </c>
      <c r="E61" s="17" t="s">
        <v>170</v>
      </c>
      <c r="F61" s="17" t="s">
        <v>171</v>
      </c>
      <c r="G61" s="14">
        <v>4</v>
      </c>
      <c r="H61" s="14" t="s">
        <v>89</v>
      </c>
      <c r="I61" s="16">
        <v>45478</v>
      </c>
      <c r="J61" s="19">
        <v>20000</v>
      </c>
      <c r="K61" s="14" t="s">
        <v>210</v>
      </c>
      <c r="L61" s="14" t="s">
        <v>90</v>
      </c>
      <c r="M61" s="14" t="s">
        <v>118</v>
      </c>
      <c r="N61" s="15" t="s">
        <v>43</v>
      </c>
      <c r="O61" s="18">
        <v>36377</v>
      </c>
      <c r="P61" s="15" t="s">
        <v>91</v>
      </c>
      <c r="Q61" s="17" t="s">
        <v>200</v>
      </c>
      <c r="R61" s="17">
        <v>3104213412</v>
      </c>
      <c r="S61" s="17" t="s">
        <v>193</v>
      </c>
      <c r="T61" s="124" t="str">
        <f>IF(N61=CURSOS!$D$3,"DIPLOMADO EN ATENCION PRE-HOSPITALARIA",IF(N61=CURSOS!$D$4,"ACOMPAÑAMIENTO Y MANEJO DEL DUELO",IF(N61=CURSOS!$D$5,"ATENCION A VICTIMAS DE ATAQUE CON AGENTES QUIMICOS ",IF(N61=CURSOS!$D$6,"PRIMEROS AUXILIOS ",IF(N61=CURSOS!$D$7,"DIPLOMADO DE UNIDAD DE CUIDADOS INTENSIVOS (UCI)",IF(N61=CURSOS!$D$8,"MODELO DE ATENCION PARA EVENTOS EMERGENTES EN SALUD MENTAL (CODIGO VERDE)",IF(N61=CURSOS!$D$9,"HUMANIZACION EN EL SERVICIO DE LA SALUD Y BUENAS PRACTICAS EN PACIENTE ",IF(N61=CURSOS!$D$10,"CLINICA DE HERIDAS ",IF(N61=CURSOS!$D$11,"TOMA DE CITOLOGIA CERVICO VAGINAL ",IF(N61=CURSOS!$D$12,"SOPORTE CARDIOVASCULAR AVANZADO (ACLS) ",IF(N61=CURSOS!$D$13,"CAMILLERO ",IF(N61=CURSOS!$D$14,"TOMA DE MUESTRAS Y LABORATORIO ",IF(N61=CURSOS!$D$15,"SOPORTE VITAL BASICO (BLS)",IF(N61=CURSOS!$D$16,"ATENCION A VICTIMAS DE VIOLENCIA SEXUAL ",IF(N61=CURSOS!$D$17,"PROGRAMADO AMPLIADO DE INMUNIZACION (PAI - COVID 19)",IF(N61=CURSOS!$D$18,"ATENCION INTEGRAL EN ENFERMEDADES PREVALENTES EN PRIMERA INFANCIA (AIEPI)",IF(N61=CURSOS!$D$19,"ADMINISTRACION DE MEDICAMENTOS, INYECTOLOGIA  Y CANALIZACION ",IF(N61=CURSOS!$D$20,"OPERADOR DE VEHICULOS DE EMERGENCIA (OVE)",IF(N61=CURSOS!$D$21,"INSTITUCIONES AMIGAS DE LA MUJER Y LA INFANCIA (IAMI)",IF(N61=CURSOS!$D$22,"CUIDADO DEL DONANTE DE ORGANOS",IF(N61=CURSOS!$D$23,"ATENCION A VICTIMAS POR VIOLENCIA DE GENERO",IF(N61=CURSOS!$D$24,"IGUALDAD DE GENERO EN LA SALUD",IF(N61=CURSOS!$D$25,"BRIGADA DE EMERGENCIA",IF(N61=CURSOS!$D$26,"MANEJO DEL DOLOR Y CUIDADOS PALIATIVOS",IF(N61=CURSOS!$D$27,"TOMA DE MUESTRAS Y LABORATORIO POCT",IF(N61=CURSOS!$D$28,"IMPLANTE SUBDERMICO DE DISPOSITIVO INTRAUTERINO",IF(N61=CURSOS!$D$29,"SALUD MENTAL",IF(N61=CURSOS!$D$30,"PRIMEROS AUXILIOS PSICOLOGICOS",IF(N61=CURSOS!$D$31,"ATENCION A VICTIMAS POR CONFLICTO ARMADO",IF(N61=CURSOS!$D$32,"MANIPULACION DE ALIMENTOS Y BPM",IF(N61=CURSOS!$D$33,"ATENCION A PERSONAS CON DISCAPACIDAD",IF(N61=CURSOS!$D$34,"CUIDADO INTEGRAL DEL PACIENTE ADULTO",IF(N61=CURSOS!$D$35,"MANEJO DEFENSIVO",IF(N61=CURSOS!$D$36,"SOPORTE CARDIOVASCULAR AVANZADO NEONATAL",IF(N61=CURSOS!$D$37,"SEGURIDAD DEL PACIENTE")))))))))))))))))))))))))))))))))))</f>
        <v xml:space="preserve">ATENCION A VICTIMAS DE VIOLENCIA SEXUAL </v>
      </c>
      <c r="U61" s="124" t="str">
        <f t="shared" si="3"/>
        <v>Gabriel Alejandro Paz Paz</v>
      </c>
      <c r="V61" s="128" t="str">
        <f t="shared" si="4"/>
        <v>Gabriel Alejandro Paz Paz</v>
      </c>
      <c r="W61" s="138" t="str">
        <f t="shared" si="5"/>
        <v>Gabriel Alejandro Paz Paz-1085346372-VIOLENCIA SEXUAL</v>
      </c>
    </row>
    <row r="62" spans="1:23" x14ac:dyDescent="0.2">
      <c r="A62" s="42">
        <v>61</v>
      </c>
      <c r="B62" s="43">
        <v>1085346372</v>
      </c>
      <c r="C62" s="17" t="s">
        <v>169</v>
      </c>
      <c r="D62" s="17" t="s">
        <v>169</v>
      </c>
      <c r="E62" s="17" t="s">
        <v>170</v>
      </c>
      <c r="F62" s="17" t="s">
        <v>171</v>
      </c>
      <c r="G62" s="14">
        <v>4</v>
      </c>
      <c r="H62" s="14" t="s">
        <v>89</v>
      </c>
      <c r="I62" s="16">
        <v>45478</v>
      </c>
      <c r="J62" s="19">
        <v>20000</v>
      </c>
      <c r="K62" s="14" t="s">
        <v>210</v>
      </c>
      <c r="L62" s="14" t="s">
        <v>90</v>
      </c>
      <c r="M62" s="14" t="s">
        <v>118</v>
      </c>
      <c r="N62" s="15" t="s">
        <v>33</v>
      </c>
      <c r="O62" s="59">
        <v>36377</v>
      </c>
      <c r="P62" s="15" t="s">
        <v>91</v>
      </c>
      <c r="Q62" s="17" t="s">
        <v>200</v>
      </c>
      <c r="R62" s="17">
        <v>3104213412</v>
      </c>
      <c r="S62" s="17" t="s">
        <v>193</v>
      </c>
      <c r="T62" s="124" t="str">
        <f>IF(N62=CURSOS!$D$3,"DIPLOMADO EN ATENCION PRE-HOSPITALARIA",IF(N62=CURSOS!$D$4,"ACOMPAÑAMIENTO Y MANEJO DEL DUELO",IF(N62=CURSOS!$D$5,"ATENCION A VICTIMAS DE ATAQUE CON AGENTES QUIMICOS ",IF(N62=CURSOS!$D$6,"PRIMEROS AUXILIOS ",IF(N62=CURSOS!$D$7,"DIPLOMADO DE UNIDAD DE CUIDADOS INTENSIVOS (UCI)",IF(N62=CURSOS!$D$8,"MODELO DE ATENCION PARA EVENTOS EMERGENTES EN SALUD MENTAL (CODIGO VERDE)",IF(N62=CURSOS!$D$9,"HUMANIZACION EN EL SERVICIO DE LA SALUD Y BUENAS PRACTICAS EN PACIENTE ",IF(N62=CURSOS!$D$10,"CLINICA DE HERIDAS ",IF(N62=CURSOS!$D$11,"TOMA DE CITOLOGIA CERVICO VAGINAL ",IF(N62=CURSOS!$D$12,"SOPORTE CARDIOVASCULAR AVANZADO (ACLS) ",IF(N62=CURSOS!$D$13,"CAMILLERO ",IF(N62=CURSOS!$D$14,"TOMA DE MUESTRAS Y LABORATORIO ",IF(N62=CURSOS!$D$15,"SOPORTE VITAL BASICO (BLS)",IF(N62=CURSOS!$D$16,"ATENCION A VICTIMAS DE VIOLENCIA SEXUAL ",IF(N62=CURSOS!$D$17,"PROGRAMADO AMPLIADO DE INMUNIZACION (PAI - COVID 19)",IF(N62=CURSOS!$D$18,"ATENCION INTEGRAL EN ENFERMEDADES PREVALENTES EN PRIMERA INFANCIA (AIEPI)",IF(N62=CURSOS!$D$19,"ADMINISTRACION DE MEDICAMENTOS, INYECTOLOGIA  Y CANALIZACION ",IF(N62=CURSOS!$D$20,"OPERADOR DE VEHICULOS DE EMERGENCIA (OVE)",IF(N62=CURSOS!$D$21,"INSTITUCIONES AMIGAS DE LA MUJER Y LA INFANCIA (IAMI)",IF(N62=CURSOS!$D$22,"CUIDADO DEL DONANTE DE ORGANOS",IF(N62=CURSOS!$D$23,"ATENCION A VICTIMAS POR VIOLENCIA DE GENERO",IF(N62=CURSOS!$D$24,"IGUALDAD DE GENERO EN LA SALUD",IF(N62=CURSOS!$D$25,"BRIGADA DE EMERGENCIA",IF(N62=CURSOS!$D$26,"MANEJO DEL DOLOR Y CUIDADOS PALIATIVOS",IF(N62=CURSOS!$D$27,"TOMA DE MUESTRAS Y LABORATORIO POCT",IF(N62=CURSOS!$D$28,"IMPLANTE SUBDERMICO DE DISPOSITIVO INTRAUTERINO",IF(N62=CURSOS!$D$29,"SALUD MENTAL",IF(N62=CURSOS!$D$30,"PRIMEROS AUXILIOS PSICOLOGICOS",IF(N62=CURSOS!$D$31,"ATENCION A VICTIMAS POR CONFLICTO ARMADO",IF(N62=CURSOS!$D$32,"MANIPULACION DE ALIMENTOS Y BPM",IF(N62=CURSOS!$D$33,"ATENCION A PERSONAS CON DISCAPACIDAD",IF(N62=CURSOS!$D$34,"CUIDADO INTEGRAL DEL PACIENTE ADULTO",IF(N62=CURSOS!$D$35,"MANEJO DEFENSIVO",IF(N62=CURSOS!$D$36,"SOPORTE CARDIOVASCULAR AVANZADO NEONATAL",IF(N62=CURSOS!$D$37,"SEGURIDAD DEL PACIENTE")))))))))))))))))))))))))))))))))))</f>
        <v xml:space="preserve">HUMANIZACION EN EL SERVICIO DE LA SALUD Y BUENAS PRACTICAS EN PACIENTE </v>
      </c>
      <c r="U62" s="124" t="str">
        <f t="shared" si="3"/>
        <v>Gabriel Alejandro Paz Paz</v>
      </c>
      <c r="V62" s="128" t="str">
        <f t="shared" si="4"/>
        <v>Gabriel Alejandro Paz Paz</v>
      </c>
      <c r="W62" s="138" t="str">
        <f t="shared" si="5"/>
        <v>Gabriel Alejandro Paz Paz-1085346372-HUMANIZACION</v>
      </c>
    </row>
    <row r="63" spans="1:23" x14ac:dyDescent="0.2">
      <c r="A63" s="42">
        <v>62</v>
      </c>
      <c r="B63" s="43">
        <v>1085346372</v>
      </c>
      <c r="C63" s="17" t="s">
        <v>169</v>
      </c>
      <c r="D63" s="17" t="s">
        <v>169</v>
      </c>
      <c r="E63" s="17" t="s">
        <v>170</v>
      </c>
      <c r="F63" s="17" t="s">
        <v>171</v>
      </c>
      <c r="G63" s="14">
        <v>4</v>
      </c>
      <c r="H63" s="14" t="s">
        <v>89</v>
      </c>
      <c r="I63" s="16">
        <v>45478</v>
      </c>
      <c r="J63" s="19">
        <v>125000</v>
      </c>
      <c r="K63" s="14" t="s">
        <v>210</v>
      </c>
      <c r="L63" s="14" t="s">
        <v>90</v>
      </c>
      <c r="M63" s="14" t="s">
        <v>118</v>
      </c>
      <c r="N63" s="15" t="s">
        <v>38</v>
      </c>
      <c r="O63" s="59">
        <v>36377</v>
      </c>
      <c r="P63" s="15" t="s">
        <v>91</v>
      </c>
      <c r="Q63" s="17" t="s">
        <v>200</v>
      </c>
      <c r="R63" s="17">
        <v>3104213412</v>
      </c>
      <c r="S63" s="17" t="s">
        <v>193</v>
      </c>
      <c r="T63" s="124" t="str">
        <f>IF(N63=CURSOS!$D$3,"DIPLOMADO EN ATENCION PRE-HOSPITALARIA",IF(N63=CURSOS!$D$4,"ACOMPAÑAMIENTO Y MANEJO DEL DUELO",IF(N63=CURSOS!$D$5,"ATENCION A VICTIMAS DE ATAQUE CON AGENTES QUIMICOS ",IF(N63=CURSOS!$D$6,"PRIMEROS AUXILIOS ",IF(N63=CURSOS!$D$7,"DIPLOMADO DE UNIDAD DE CUIDADOS INTENSIVOS (UCI)",IF(N63=CURSOS!$D$8,"MODELO DE ATENCION PARA EVENTOS EMERGENTES EN SALUD MENTAL (CODIGO VERDE)",IF(N63=CURSOS!$D$9,"HUMANIZACION EN EL SERVICIO DE LA SALUD Y BUENAS PRACTICAS EN PACIENTE ",IF(N63=CURSOS!$D$10,"CLINICA DE HERIDAS ",IF(N63=CURSOS!$D$11,"TOMA DE CITOLOGIA CERVICO VAGINAL ",IF(N63=CURSOS!$D$12,"SOPORTE CARDIOVASCULAR AVANZADO (ACLS) ",IF(N63=CURSOS!$D$13,"CAMILLERO ",IF(N63=CURSOS!$D$14,"TOMA DE MUESTRAS Y LABORATORIO ",IF(N63=CURSOS!$D$15,"SOPORTE VITAL BASICO (BLS)",IF(N63=CURSOS!$D$16,"ATENCION A VICTIMAS DE VIOLENCIA SEXUAL ",IF(N63=CURSOS!$D$17,"PROGRAMADO AMPLIADO DE INMUNIZACION (PAI - COVID 19)",IF(N63=CURSOS!$D$18,"ATENCION INTEGRAL EN ENFERMEDADES PREVALENTES EN PRIMERA INFANCIA (AIEPI)",IF(N63=CURSOS!$D$19,"ADMINISTRACION DE MEDICAMENTOS, INYECTOLOGIA  Y CANALIZACION ",IF(N63=CURSOS!$D$20,"OPERADOR DE VEHICULOS DE EMERGENCIA (OVE)",IF(N63=CURSOS!$D$21,"INSTITUCIONES AMIGAS DE LA MUJER Y LA INFANCIA (IAMI)",IF(N63=CURSOS!$D$22,"CUIDADO DEL DONANTE DE ORGANOS",IF(N63=CURSOS!$D$23,"ATENCION A VICTIMAS POR VIOLENCIA DE GENERO",IF(N63=CURSOS!$D$24,"IGUALDAD DE GENERO EN LA SALUD",IF(N63=CURSOS!$D$25,"BRIGADA DE EMERGENCIA",IF(N63=CURSOS!$D$26,"MANEJO DEL DOLOR Y CUIDADOS PALIATIVOS",IF(N63=CURSOS!$D$27,"TOMA DE MUESTRAS Y LABORATORIO POCT",IF(N63=CURSOS!$D$28,"IMPLANTE SUBDERMICO DE DISPOSITIVO INTRAUTERINO",IF(N63=CURSOS!$D$29,"SALUD MENTAL",IF(N63=CURSOS!$D$30,"PRIMEROS AUXILIOS PSICOLOGICOS",IF(N63=CURSOS!$D$31,"ATENCION A VICTIMAS POR CONFLICTO ARMADO",IF(N63=CURSOS!$D$32,"MANIPULACION DE ALIMENTOS Y BPM",IF(N63=CURSOS!$D$33,"ATENCION A PERSONAS CON DISCAPACIDAD",IF(N63=CURSOS!$D$34,"CUIDADO INTEGRAL DEL PACIENTE ADULTO",IF(N63=CURSOS!$D$35,"MANEJO DEFENSIVO",IF(N63=CURSOS!$D$36,"SOPORTE CARDIOVASCULAR AVANZADO NEONATAL",IF(N63=CURSOS!$D$37,"SEGURIDAD DEL PACIENTE")))))))))))))))))))))))))))))))))))</f>
        <v xml:space="preserve">SOPORTE CARDIOVASCULAR AVANZADO (ACLS) </v>
      </c>
      <c r="U63" s="124" t="str">
        <f t="shared" si="3"/>
        <v>Gabriel Alejandro Paz Paz</v>
      </c>
      <c r="V63" s="128" t="str">
        <f t="shared" si="4"/>
        <v>Gabriel Alejandro Paz Paz</v>
      </c>
      <c r="W63" s="138" t="str">
        <f t="shared" si="5"/>
        <v>Gabriel Alejandro Paz Paz-1085346372-ACLS</v>
      </c>
    </row>
    <row r="64" spans="1:23" x14ac:dyDescent="0.2">
      <c r="A64" s="42">
        <v>63</v>
      </c>
      <c r="B64" s="43">
        <v>1086498144</v>
      </c>
      <c r="C64" s="17" t="s">
        <v>239</v>
      </c>
      <c r="D64" s="17" t="s">
        <v>259</v>
      </c>
      <c r="E64" s="17" t="s">
        <v>260</v>
      </c>
      <c r="F64" s="17" t="s">
        <v>261</v>
      </c>
      <c r="G64" s="14">
        <v>5</v>
      </c>
      <c r="H64" s="14" t="s">
        <v>89</v>
      </c>
      <c r="I64" s="16">
        <v>45478</v>
      </c>
      <c r="J64" s="19">
        <v>0</v>
      </c>
      <c r="K64" s="14" t="s">
        <v>263</v>
      </c>
      <c r="L64" s="14" t="s">
        <v>90</v>
      </c>
      <c r="M64" s="14" t="s">
        <v>565</v>
      </c>
      <c r="N64" s="15" t="s">
        <v>19</v>
      </c>
      <c r="O64" s="59"/>
      <c r="P64" s="15" t="s">
        <v>101</v>
      </c>
      <c r="Q64" s="17" t="s">
        <v>126</v>
      </c>
      <c r="R64" s="17">
        <v>3178504475</v>
      </c>
      <c r="S64" s="17" t="s">
        <v>262</v>
      </c>
      <c r="T64" s="124" t="str">
        <f>IF(N64=CURSOS!$D$3,"DIPLOMADO EN ATENCION PRE-HOSPITALARIA",IF(N64=CURSOS!$D$4,"ACOMPAÑAMIENTO Y MANEJO DEL DUELO",IF(N64=CURSOS!$D$5,"ATENCION A VICTIMAS DE ATAQUE CON AGENTES QUIMICOS ",IF(N64=CURSOS!$D$6,"PRIMEROS AUXILIOS ",IF(N64=CURSOS!$D$7,"DIPLOMADO DE UNIDAD DE CUIDADOS INTENSIVOS (UCI)",IF(N64=CURSOS!$D$8,"MODELO DE ATENCION PARA EVENTOS EMERGENTES EN SALUD MENTAL (CODIGO VERDE)",IF(N64=CURSOS!$D$9,"HUMANIZACION EN EL SERVICIO DE LA SALUD Y BUENAS PRACTICAS EN PACIENTE ",IF(N64=CURSOS!$D$10,"CLINICA DE HERIDAS ",IF(N64=CURSOS!$D$11,"TOMA DE CITOLOGIA CERVICO VAGINAL ",IF(N64=CURSOS!$D$12,"SOPORTE CARDIOVASCULAR AVANZADO (ACLS) ",IF(N64=CURSOS!$D$13,"CAMILLERO ",IF(N64=CURSOS!$D$14,"TOMA DE MUESTRAS Y LABORATORIO ",IF(N64=CURSOS!$D$15,"SOPORTE VITAL BASICO (BLS)",IF(N64=CURSOS!$D$16,"ATENCION A VICTIMAS DE VIOLENCIA SEXUAL ",IF(N64=CURSOS!$D$17,"PROGRAMADO AMPLIADO DE INMUNIZACION (PAI - COVID 19)",IF(N64=CURSOS!$D$18,"ATENCION INTEGRAL EN ENFERMEDADES PREVALENTES EN PRIMERA INFANCIA (AIEPI)",IF(N64=CURSOS!$D$19,"ADMINISTRACION DE MEDICAMENTOS, INYECTOLOGIA  Y CANALIZACION ",IF(N64=CURSOS!$D$20,"OPERADOR DE VEHICULOS DE EMERGENCIA (OVE)",IF(N64=CURSOS!$D$21,"INSTITUCIONES AMIGAS DE LA MUJER Y LA INFANCIA (IAMI)",IF(N64=CURSOS!$D$22,"CUIDADO DEL DONANTE DE ORGANOS",IF(N64=CURSOS!$D$23,"ATENCION A VICTIMAS POR VIOLENCIA DE GENERO",IF(N64=CURSOS!$D$24,"IGUALDAD DE GENERO EN LA SALUD",IF(N64=CURSOS!$D$25,"BRIGADA DE EMERGENCIA",IF(N64=CURSOS!$D$26,"MANEJO DEL DOLOR Y CUIDADOS PALIATIVOS",IF(N64=CURSOS!$D$27,"TOMA DE MUESTRAS Y LABORATORIO POCT",IF(N64=CURSOS!$D$28,"IMPLANTE SUBDERMICO DE DISPOSITIVO INTRAUTERINO",IF(N64=CURSOS!$D$29,"SALUD MENTAL",IF(N64=CURSOS!$D$30,"PRIMEROS AUXILIOS PSICOLOGICOS",IF(N64=CURSOS!$D$31,"ATENCION A VICTIMAS POR CONFLICTO ARMADO",IF(N64=CURSOS!$D$32,"MANIPULACION DE ALIMENTOS Y BPM",IF(N64=CURSOS!$D$33,"ATENCION A PERSONAS CON DISCAPACIDAD",IF(N64=CURSOS!$D$34,"CUIDADO INTEGRAL DEL PACIENTE ADULTO",IF(N64=CURSOS!$D$35,"MANEJO DEFENSIVO",IF(N64=CURSOS!$D$36,"SOPORTE CARDIOVASCULAR AVANZADO NEONATAL",IF(N64=CURSOS!$D$37,"SEGURIDAD DEL PACIENTE")))))))))))))))))))))))))))))))))))</f>
        <v>SOPORTE VITAL BASICO (BLS)</v>
      </c>
      <c r="U64" s="124" t="str">
        <f t="shared" si="3"/>
        <v>Yuri Dayana Palacios Igual</v>
      </c>
      <c r="V64" s="128" t="str">
        <f t="shared" si="4"/>
        <v>Yuri Dayana Palacios Igual</v>
      </c>
      <c r="W64" s="138" t="str">
        <f t="shared" si="5"/>
        <v>Yuri Dayana Palacios Igual-1086498144-BLS</v>
      </c>
    </row>
    <row r="65" spans="1:23" x14ac:dyDescent="0.2">
      <c r="A65" s="42">
        <v>64</v>
      </c>
      <c r="B65" s="43">
        <v>1086224468</v>
      </c>
      <c r="C65" s="17" t="s">
        <v>264</v>
      </c>
      <c r="D65" s="17" t="s">
        <v>265</v>
      </c>
      <c r="E65" s="17" t="s">
        <v>266</v>
      </c>
      <c r="F65" s="17" t="s">
        <v>267</v>
      </c>
      <c r="G65" s="14">
        <v>5</v>
      </c>
      <c r="H65" s="14" t="s">
        <v>89</v>
      </c>
      <c r="I65" s="16">
        <v>45478</v>
      </c>
      <c r="J65" s="19">
        <v>40000</v>
      </c>
      <c r="K65" s="14" t="s">
        <v>246</v>
      </c>
      <c r="L65" s="14" t="s">
        <v>90</v>
      </c>
      <c r="M65" s="14" t="s">
        <v>118</v>
      </c>
      <c r="N65" s="15" t="s">
        <v>19</v>
      </c>
      <c r="O65" s="59">
        <v>34454</v>
      </c>
      <c r="P65" s="15" t="s">
        <v>101</v>
      </c>
      <c r="Q65" s="17" t="s">
        <v>126</v>
      </c>
      <c r="R65" s="17">
        <v>3166709864</v>
      </c>
      <c r="S65" s="17" t="s">
        <v>268</v>
      </c>
      <c r="T65" s="124" t="str">
        <f>IF(N65=CURSOS!$D$3,"DIPLOMADO EN ATENCION PRE-HOSPITALARIA",IF(N65=CURSOS!$D$4,"ACOMPAÑAMIENTO Y MANEJO DEL DUELO",IF(N65=CURSOS!$D$5,"ATENCION A VICTIMAS DE ATAQUE CON AGENTES QUIMICOS ",IF(N65=CURSOS!$D$6,"PRIMEROS AUXILIOS ",IF(N65=CURSOS!$D$7,"DIPLOMADO DE UNIDAD DE CUIDADOS INTENSIVOS (UCI)",IF(N65=CURSOS!$D$8,"MODELO DE ATENCION PARA EVENTOS EMERGENTES EN SALUD MENTAL (CODIGO VERDE)",IF(N65=CURSOS!$D$9,"HUMANIZACION EN EL SERVICIO DE LA SALUD Y BUENAS PRACTICAS EN PACIENTE ",IF(N65=CURSOS!$D$10,"CLINICA DE HERIDAS ",IF(N65=CURSOS!$D$11,"TOMA DE CITOLOGIA CERVICO VAGINAL ",IF(N65=CURSOS!$D$12,"SOPORTE CARDIOVASCULAR AVANZADO (ACLS) ",IF(N65=CURSOS!$D$13,"CAMILLERO ",IF(N65=CURSOS!$D$14,"TOMA DE MUESTRAS Y LABORATORIO ",IF(N65=CURSOS!$D$15,"SOPORTE VITAL BASICO (BLS)",IF(N65=CURSOS!$D$16,"ATENCION A VICTIMAS DE VIOLENCIA SEXUAL ",IF(N65=CURSOS!$D$17,"PROGRAMADO AMPLIADO DE INMUNIZACION (PAI - COVID 19)",IF(N65=CURSOS!$D$18,"ATENCION INTEGRAL EN ENFERMEDADES PREVALENTES EN PRIMERA INFANCIA (AIEPI)",IF(N65=CURSOS!$D$19,"ADMINISTRACION DE MEDICAMENTOS, INYECTOLOGIA  Y CANALIZACION ",IF(N65=CURSOS!$D$20,"OPERADOR DE VEHICULOS DE EMERGENCIA (OVE)",IF(N65=CURSOS!$D$21,"INSTITUCIONES AMIGAS DE LA MUJER Y LA INFANCIA (IAMI)",IF(N65=CURSOS!$D$22,"CUIDADO DEL DONANTE DE ORGANOS",IF(N65=CURSOS!$D$23,"ATENCION A VICTIMAS POR VIOLENCIA DE GENERO",IF(N65=CURSOS!$D$24,"IGUALDAD DE GENERO EN LA SALUD",IF(N65=CURSOS!$D$25,"BRIGADA DE EMERGENCIA",IF(N65=CURSOS!$D$26,"MANEJO DEL DOLOR Y CUIDADOS PALIATIVOS",IF(N65=CURSOS!$D$27,"TOMA DE MUESTRAS Y LABORATORIO POCT",IF(N65=CURSOS!$D$28,"IMPLANTE SUBDERMICO DE DISPOSITIVO INTRAUTERINO",IF(N65=CURSOS!$D$29,"SALUD MENTAL",IF(N65=CURSOS!$D$30,"PRIMEROS AUXILIOS PSICOLOGICOS",IF(N65=CURSOS!$D$31,"ATENCION A VICTIMAS POR CONFLICTO ARMADO",IF(N65=CURSOS!$D$32,"MANIPULACION DE ALIMENTOS Y BPM",IF(N65=CURSOS!$D$33,"ATENCION A PERSONAS CON DISCAPACIDAD",IF(N65=CURSOS!$D$34,"CUIDADO INTEGRAL DEL PACIENTE ADULTO",IF(N65=CURSOS!$D$35,"MANEJO DEFENSIVO",IF(N65=CURSOS!$D$36,"SOPORTE CARDIOVASCULAR AVANZADO NEONATAL",IF(N65=CURSOS!$D$37,"SEGURIDAD DEL PACIENTE")))))))))))))))))))))))))))))))))))</f>
        <v>SOPORTE VITAL BASICO (BLS)</v>
      </c>
      <c r="U65" s="124" t="str">
        <f t="shared" si="3"/>
        <v>Mary Cristina Cumbal Parra</v>
      </c>
      <c r="V65" s="128" t="str">
        <f t="shared" si="4"/>
        <v>Mary Cristina Cumbal Parra</v>
      </c>
      <c r="W65" s="138" t="str">
        <f t="shared" si="5"/>
        <v>Mary Cristina Cumbal Parra-1086224468-BLS</v>
      </c>
    </row>
    <row r="66" spans="1:23" x14ac:dyDescent="0.2">
      <c r="A66" s="42">
        <v>65</v>
      </c>
      <c r="B66" s="43">
        <v>1004214936</v>
      </c>
      <c r="C66" s="17" t="s">
        <v>269</v>
      </c>
      <c r="D66" s="17" t="s">
        <v>178</v>
      </c>
      <c r="E66" s="17" t="s">
        <v>95</v>
      </c>
      <c r="F66" s="17" t="s">
        <v>270</v>
      </c>
      <c r="G66" s="14">
        <v>5</v>
      </c>
      <c r="H66" s="14" t="s">
        <v>89</v>
      </c>
      <c r="I66" s="16">
        <v>45478</v>
      </c>
      <c r="J66" s="19">
        <v>25000</v>
      </c>
      <c r="K66" s="14" t="s">
        <v>210</v>
      </c>
      <c r="L66" s="14" t="s">
        <v>90</v>
      </c>
      <c r="M66" s="14" t="s">
        <v>132</v>
      </c>
      <c r="N66" s="15" t="s">
        <v>68</v>
      </c>
      <c r="O66" s="59">
        <v>36719</v>
      </c>
      <c r="P66" s="15" t="s">
        <v>101</v>
      </c>
      <c r="Q66" s="17" t="s">
        <v>126</v>
      </c>
      <c r="R66" s="17">
        <v>3157837386</v>
      </c>
      <c r="S66" s="17" t="s">
        <v>271</v>
      </c>
      <c r="T66" s="124" t="str">
        <f>IF(N66=CURSOS!$D$3,"DIPLOMADO EN ATENCION PRE-HOSPITALARIA",IF(N66=CURSOS!$D$4,"ACOMPAÑAMIENTO Y MANEJO DEL DUELO",IF(N66=CURSOS!$D$5,"ATENCION A VICTIMAS DE ATAQUE CON AGENTES QUIMICOS ",IF(N66=CURSOS!$D$6,"PRIMEROS AUXILIOS ",IF(N66=CURSOS!$D$7,"DIPLOMADO DE UNIDAD DE CUIDADOS INTENSIVOS (UCI)",IF(N66=CURSOS!$D$8,"MODELO DE ATENCION PARA EVENTOS EMERGENTES EN SALUD MENTAL (CODIGO VERDE)",IF(N66=CURSOS!$D$9,"HUMANIZACION EN EL SERVICIO DE LA SALUD Y BUENAS PRACTICAS EN PACIENTE ",IF(N66=CURSOS!$D$10,"CLINICA DE HERIDAS ",IF(N66=CURSOS!$D$11,"TOMA DE CITOLOGIA CERVICO VAGINAL ",IF(N66=CURSOS!$D$12,"SOPORTE CARDIOVASCULAR AVANZADO (ACLS) ",IF(N66=CURSOS!$D$13,"CAMILLERO ",IF(N66=CURSOS!$D$14,"TOMA DE MUESTRAS Y LABORATORIO ",IF(N66=CURSOS!$D$15,"SOPORTE VITAL BASICO (BLS)",IF(N66=CURSOS!$D$16,"ATENCION A VICTIMAS DE VIOLENCIA SEXUAL ",IF(N66=CURSOS!$D$17,"PROGRAMADO AMPLIADO DE INMUNIZACION (PAI - COVID 19)",IF(N66=CURSOS!$D$18,"ATENCION INTEGRAL EN ENFERMEDADES PREVALENTES EN PRIMERA INFANCIA (AIEPI)",IF(N66=CURSOS!$D$19,"ADMINISTRACION DE MEDICAMENTOS, INYECTOLOGIA  Y CANALIZACION ",IF(N66=CURSOS!$D$20,"OPERADOR DE VEHICULOS DE EMERGENCIA (OVE)",IF(N66=CURSOS!$D$21,"INSTITUCIONES AMIGAS DE LA MUJER Y LA INFANCIA (IAMI)",IF(N66=CURSOS!$D$22,"CUIDADO DEL DONANTE DE ORGANOS",IF(N66=CURSOS!$D$23,"ATENCION A VICTIMAS POR VIOLENCIA DE GENERO",IF(N66=CURSOS!$D$24,"IGUALDAD DE GENERO EN LA SALUD",IF(N66=CURSOS!$D$25,"BRIGADA DE EMERGENCIA",IF(N66=CURSOS!$D$26,"MANEJO DEL DOLOR Y CUIDADOS PALIATIVOS",IF(N66=CURSOS!$D$27,"TOMA DE MUESTRAS Y LABORATORIO POCT",IF(N66=CURSOS!$D$28,"IMPLANTE SUBDERMICO DE DISPOSITIVO INTRAUTERINO",IF(N66=CURSOS!$D$29,"SALUD MENTAL",IF(N66=CURSOS!$D$30,"PRIMEROS AUXILIOS PSICOLOGICOS",IF(N66=CURSOS!$D$31,"ATENCION A VICTIMAS POR CONFLICTO ARMADO",IF(N66=CURSOS!$D$32,"MANIPULACION DE ALIMENTOS Y BPM",IF(N66=CURSOS!$D$33,"ATENCION A PERSONAS CON DISCAPACIDAD",IF(N66=CURSOS!$D$34,"CUIDADO INTEGRAL DEL PACIENTE ADULTO",IF(N66=CURSOS!$D$35,"MANEJO DEFENSIVO",IF(N66=CURSOS!$D$36,"SOPORTE CARDIOVASCULAR AVANZADO NEONATAL",IF(N66=CURSOS!$D$37,"SEGURIDAD DEL PACIENTE")))))))))))))))))))))))))))))))))))</f>
        <v>ATENCION A VICTIMAS POR CONFLICTO ARMADO</v>
      </c>
      <c r="U66" s="124" t="str">
        <f t="shared" si="3"/>
        <v>Maria Alejandra Martinez Achicanoy</v>
      </c>
      <c r="V66" s="128" t="str">
        <f t="shared" si="4"/>
        <v>Maria Alejandra Martinez Achicanoy</v>
      </c>
      <c r="W66" s="138" t="str">
        <f t="shared" si="5"/>
        <v>Maria Alejandra Martinez Achicanoy-1004214936-CONFLICTO ARMADO</v>
      </c>
    </row>
    <row r="67" spans="1:23" x14ac:dyDescent="0.2">
      <c r="A67" s="42">
        <v>66</v>
      </c>
      <c r="B67" s="43">
        <v>1004214936</v>
      </c>
      <c r="C67" s="17" t="s">
        <v>269</v>
      </c>
      <c r="D67" s="17" t="s">
        <v>178</v>
      </c>
      <c r="E67" s="17" t="s">
        <v>95</v>
      </c>
      <c r="F67" s="17" t="s">
        <v>270</v>
      </c>
      <c r="G67" s="14">
        <v>5</v>
      </c>
      <c r="H67" s="14" t="s">
        <v>89</v>
      </c>
      <c r="I67" s="16">
        <v>45478</v>
      </c>
      <c r="J67" s="19">
        <v>25000</v>
      </c>
      <c r="K67" s="14" t="s">
        <v>210</v>
      </c>
      <c r="L67" s="14" t="s">
        <v>90</v>
      </c>
      <c r="M67" s="14" t="s">
        <v>132</v>
      </c>
      <c r="N67" s="15" t="s">
        <v>23</v>
      </c>
      <c r="O67" s="59">
        <v>36719</v>
      </c>
      <c r="P67" s="15" t="s">
        <v>101</v>
      </c>
      <c r="Q67" s="17" t="s">
        <v>126</v>
      </c>
      <c r="R67" s="17">
        <v>3157837386</v>
      </c>
      <c r="S67" s="17" t="s">
        <v>271</v>
      </c>
      <c r="T67" s="124" t="str">
        <f>IF(N67=CURSOS!$D$3,"DIPLOMADO EN ATENCION PRE-HOSPITALARIA",IF(N67=CURSOS!$D$4,"ACOMPAÑAMIENTO Y MANEJO DEL DUELO",IF(N67=CURSOS!$D$5,"ATENCION A VICTIMAS DE ATAQUE CON AGENTES QUIMICOS ",IF(N67=CURSOS!$D$6,"PRIMEROS AUXILIOS ",IF(N67=CURSOS!$D$7,"DIPLOMADO DE UNIDAD DE CUIDADOS INTENSIVOS (UCI)",IF(N67=CURSOS!$D$8,"MODELO DE ATENCION PARA EVENTOS EMERGENTES EN SALUD MENTAL (CODIGO VERDE)",IF(N67=CURSOS!$D$9,"HUMANIZACION EN EL SERVICIO DE LA SALUD Y BUENAS PRACTICAS EN PACIENTE ",IF(N67=CURSOS!$D$10,"CLINICA DE HERIDAS ",IF(N67=CURSOS!$D$11,"TOMA DE CITOLOGIA CERVICO VAGINAL ",IF(N67=CURSOS!$D$12,"SOPORTE CARDIOVASCULAR AVANZADO (ACLS) ",IF(N67=CURSOS!$D$13,"CAMILLERO ",IF(N67=CURSOS!$D$14,"TOMA DE MUESTRAS Y LABORATORIO ",IF(N67=CURSOS!$D$15,"SOPORTE VITAL BASICO (BLS)",IF(N67=CURSOS!$D$16,"ATENCION A VICTIMAS DE VIOLENCIA SEXUAL ",IF(N67=CURSOS!$D$17,"PROGRAMADO AMPLIADO DE INMUNIZACION (PAI - COVID 19)",IF(N67=CURSOS!$D$18,"ATENCION INTEGRAL EN ENFERMEDADES PREVALENTES EN PRIMERA INFANCIA (AIEPI)",IF(N67=CURSOS!$D$19,"ADMINISTRACION DE MEDICAMENTOS, INYECTOLOGIA  Y CANALIZACION ",IF(N67=CURSOS!$D$20,"OPERADOR DE VEHICULOS DE EMERGENCIA (OVE)",IF(N67=CURSOS!$D$21,"INSTITUCIONES AMIGAS DE LA MUJER Y LA INFANCIA (IAMI)",IF(N67=CURSOS!$D$22,"CUIDADO DEL DONANTE DE ORGANOS",IF(N67=CURSOS!$D$23,"ATENCION A VICTIMAS POR VIOLENCIA DE GENERO",IF(N67=CURSOS!$D$24,"IGUALDAD DE GENERO EN LA SALUD",IF(N67=CURSOS!$D$25,"BRIGADA DE EMERGENCIA",IF(N67=CURSOS!$D$26,"MANEJO DEL DOLOR Y CUIDADOS PALIATIVOS",IF(N67=CURSOS!$D$27,"TOMA DE MUESTRAS Y LABORATORIO POCT",IF(N67=CURSOS!$D$28,"IMPLANTE SUBDERMICO DE DISPOSITIVO INTRAUTERINO",IF(N67=CURSOS!$D$29,"SALUD MENTAL",IF(N67=CURSOS!$D$30,"PRIMEROS AUXILIOS PSICOLOGICOS",IF(N67=CURSOS!$D$31,"ATENCION A VICTIMAS POR CONFLICTO ARMADO",IF(N67=CURSOS!$D$32,"MANIPULACION DE ALIMENTOS Y BPM",IF(N67=CURSOS!$D$33,"ATENCION A PERSONAS CON DISCAPACIDAD",IF(N67=CURSOS!$D$34,"CUIDADO INTEGRAL DEL PACIENTE ADULTO",IF(N67=CURSOS!$D$35,"MANEJO DEFENSIVO",IF(N67=CURSOS!$D$36,"SOPORTE CARDIOVASCULAR AVANZADO NEONATAL",IF(N67=CURSOS!$D$37,"SEGURIDAD DEL PACIENTE")))))))))))))))))))))))))))))))))))</f>
        <v>ACOMPAÑAMIENTO Y MANEJO DEL DUELO</v>
      </c>
      <c r="U67" s="124" t="str">
        <f t="shared" ref="U67:U130" si="6">CONCATENATE(E67," ",F67," ",C67," ",D67)</f>
        <v>Maria Alejandra Martinez Achicanoy</v>
      </c>
      <c r="V67" s="128" t="str">
        <f t="shared" ref="V67:V130" si="7">+PROPER(U67)</f>
        <v>Maria Alejandra Martinez Achicanoy</v>
      </c>
      <c r="W67" s="138" t="str">
        <f t="shared" ref="W67:W130" si="8">CONCATENATE(U67,"-",B67,"-",N67)</f>
        <v>Maria Alejandra Martinez Achicanoy-1004214936-DUELO</v>
      </c>
    </row>
    <row r="68" spans="1:23" x14ac:dyDescent="0.2">
      <c r="A68" s="42">
        <v>67</v>
      </c>
      <c r="B68" s="43">
        <v>1004214936</v>
      </c>
      <c r="C68" s="17" t="s">
        <v>269</v>
      </c>
      <c r="D68" s="17" t="s">
        <v>178</v>
      </c>
      <c r="E68" s="17" t="s">
        <v>95</v>
      </c>
      <c r="F68" s="17" t="s">
        <v>270</v>
      </c>
      <c r="G68" s="14">
        <v>5</v>
      </c>
      <c r="H68" s="14" t="s">
        <v>89</v>
      </c>
      <c r="I68" s="16">
        <v>45478</v>
      </c>
      <c r="J68" s="19">
        <v>25000</v>
      </c>
      <c r="K68" s="14" t="s">
        <v>210</v>
      </c>
      <c r="L68" s="14" t="s">
        <v>90</v>
      </c>
      <c r="M68" s="14" t="s">
        <v>132</v>
      </c>
      <c r="N68" s="15" t="s">
        <v>61</v>
      </c>
      <c r="O68" s="59">
        <v>36719</v>
      </c>
      <c r="P68" s="15" t="s">
        <v>101</v>
      </c>
      <c r="Q68" s="17" t="s">
        <v>126</v>
      </c>
      <c r="R68" s="17">
        <v>3157837386</v>
      </c>
      <c r="S68" s="17" t="s">
        <v>271</v>
      </c>
      <c r="T68" s="124" t="str">
        <f>IF(N68=CURSOS!$D$3,"DIPLOMADO EN ATENCION PRE-HOSPITALARIA",IF(N68=CURSOS!$D$4,"ACOMPAÑAMIENTO Y MANEJO DEL DUELO",IF(N68=CURSOS!$D$5,"ATENCION A VICTIMAS DE ATAQUE CON AGENTES QUIMICOS ",IF(N68=CURSOS!$D$6,"PRIMEROS AUXILIOS ",IF(N68=CURSOS!$D$7,"DIPLOMADO DE UNIDAD DE CUIDADOS INTENSIVOS (UCI)",IF(N68=CURSOS!$D$8,"MODELO DE ATENCION PARA EVENTOS EMERGENTES EN SALUD MENTAL (CODIGO VERDE)",IF(N68=CURSOS!$D$9,"HUMANIZACION EN EL SERVICIO DE LA SALUD Y BUENAS PRACTICAS EN PACIENTE ",IF(N68=CURSOS!$D$10,"CLINICA DE HERIDAS ",IF(N68=CURSOS!$D$11,"TOMA DE CITOLOGIA CERVICO VAGINAL ",IF(N68=CURSOS!$D$12,"SOPORTE CARDIOVASCULAR AVANZADO (ACLS) ",IF(N68=CURSOS!$D$13,"CAMILLERO ",IF(N68=CURSOS!$D$14,"TOMA DE MUESTRAS Y LABORATORIO ",IF(N68=CURSOS!$D$15,"SOPORTE VITAL BASICO (BLS)",IF(N68=CURSOS!$D$16,"ATENCION A VICTIMAS DE VIOLENCIA SEXUAL ",IF(N68=CURSOS!$D$17,"PROGRAMADO AMPLIADO DE INMUNIZACION (PAI - COVID 19)",IF(N68=CURSOS!$D$18,"ATENCION INTEGRAL EN ENFERMEDADES PREVALENTES EN PRIMERA INFANCIA (AIEPI)",IF(N68=CURSOS!$D$19,"ADMINISTRACION DE MEDICAMENTOS, INYECTOLOGIA  Y CANALIZACION ",IF(N68=CURSOS!$D$20,"OPERADOR DE VEHICULOS DE EMERGENCIA (OVE)",IF(N68=CURSOS!$D$21,"INSTITUCIONES AMIGAS DE LA MUJER Y LA INFANCIA (IAMI)",IF(N68=CURSOS!$D$22,"CUIDADO DEL DONANTE DE ORGANOS",IF(N68=CURSOS!$D$23,"ATENCION A VICTIMAS POR VIOLENCIA DE GENERO",IF(N68=CURSOS!$D$24,"IGUALDAD DE GENERO EN LA SALUD",IF(N68=CURSOS!$D$25,"BRIGADA DE EMERGENCIA",IF(N68=CURSOS!$D$26,"MANEJO DEL DOLOR Y CUIDADOS PALIATIVOS",IF(N68=CURSOS!$D$27,"TOMA DE MUESTRAS Y LABORATORIO POCT",IF(N68=CURSOS!$D$28,"IMPLANTE SUBDERMICO DE DISPOSITIVO INTRAUTERINO",IF(N68=CURSOS!$D$29,"SALUD MENTAL",IF(N68=CURSOS!$D$30,"PRIMEROS AUXILIOS PSICOLOGICOS",IF(N68=CURSOS!$D$31,"ATENCION A VICTIMAS POR CONFLICTO ARMADO",IF(N68=CURSOS!$D$32,"MANIPULACION DE ALIMENTOS Y BPM",IF(N68=CURSOS!$D$33,"ATENCION A PERSONAS CON DISCAPACIDAD",IF(N68=CURSOS!$D$34,"CUIDADO INTEGRAL DEL PACIENTE ADULTO",IF(N68=CURSOS!$D$35,"MANEJO DEFENSIVO",IF(N68=CURSOS!$D$36,"SOPORTE CARDIOVASCULAR AVANZADO NEONATAL",IF(N68=CURSOS!$D$37,"SEGURIDAD DEL PACIENTE")))))))))))))))))))))))))))))))))))</f>
        <v>MANEJO DEL DOLOR Y CUIDADOS PALIATIVOS</v>
      </c>
      <c r="U68" s="124" t="str">
        <f t="shared" si="6"/>
        <v>Maria Alejandra Martinez Achicanoy</v>
      </c>
      <c r="V68" s="128" t="str">
        <f t="shared" si="7"/>
        <v>Maria Alejandra Martinez Achicanoy</v>
      </c>
      <c r="W68" s="138" t="str">
        <f t="shared" si="8"/>
        <v>Maria Alejandra Martinez Achicanoy-1004214936-PALIATIVOS</v>
      </c>
    </row>
    <row r="69" spans="1:23" x14ac:dyDescent="0.2">
      <c r="A69" s="42">
        <v>68</v>
      </c>
      <c r="B69" s="43">
        <v>1004214936</v>
      </c>
      <c r="C69" s="17" t="s">
        <v>269</v>
      </c>
      <c r="D69" s="17" t="s">
        <v>178</v>
      </c>
      <c r="E69" s="17" t="s">
        <v>95</v>
      </c>
      <c r="F69" s="17" t="s">
        <v>270</v>
      </c>
      <c r="G69" s="14">
        <v>5</v>
      </c>
      <c r="H69" s="14" t="s">
        <v>89</v>
      </c>
      <c r="I69" s="16">
        <v>45478</v>
      </c>
      <c r="J69" s="19">
        <v>25000</v>
      </c>
      <c r="K69" s="14" t="s">
        <v>210</v>
      </c>
      <c r="L69" s="14" t="s">
        <v>90</v>
      </c>
      <c r="M69" s="14" t="s">
        <v>132</v>
      </c>
      <c r="N69" s="15" t="s">
        <v>25</v>
      </c>
      <c r="O69" s="59">
        <v>36719</v>
      </c>
      <c r="P69" s="15" t="s">
        <v>101</v>
      </c>
      <c r="Q69" s="17" t="s">
        <v>126</v>
      </c>
      <c r="R69" s="17">
        <v>3157837386</v>
      </c>
      <c r="S69" s="17" t="s">
        <v>271</v>
      </c>
      <c r="T69" s="124" t="str">
        <f>IF(N69=CURSOS!$D$3,"DIPLOMADO EN ATENCION PRE-HOSPITALARIA",IF(N69=CURSOS!$D$4,"ACOMPAÑAMIENTO Y MANEJO DEL DUELO",IF(N69=CURSOS!$D$5,"ATENCION A VICTIMAS DE ATAQUE CON AGENTES QUIMICOS ",IF(N69=CURSOS!$D$6,"PRIMEROS AUXILIOS ",IF(N69=CURSOS!$D$7,"DIPLOMADO DE UNIDAD DE CUIDADOS INTENSIVOS (UCI)",IF(N69=CURSOS!$D$8,"MODELO DE ATENCION PARA EVENTOS EMERGENTES EN SALUD MENTAL (CODIGO VERDE)",IF(N69=CURSOS!$D$9,"HUMANIZACION EN EL SERVICIO DE LA SALUD Y BUENAS PRACTICAS EN PACIENTE ",IF(N69=CURSOS!$D$10,"CLINICA DE HERIDAS ",IF(N69=CURSOS!$D$11,"TOMA DE CITOLOGIA CERVICO VAGINAL ",IF(N69=CURSOS!$D$12,"SOPORTE CARDIOVASCULAR AVANZADO (ACLS) ",IF(N69=CURSOS!$D$13,"CAMILLERO ",IF(N69=CURSOS!$D$14,"TOMA DE MUESTRAS Y LABORATORIO ",IF(N69=CURSOS!$D$15,"SOPORTE VITAL BASICO (BLS)",IF(N69=CURSOS!$D$16,"ATENCION A VICTIMAS DE VIOLENCIA SEXUAL ",IF(N69=CURSOS!$D$17,"PROGRAMADO AMPLIADO DE INMUNIZACION (PAI - COVID 19)",IF(N69=CURSOS!$D$18,"ATENCION INTEGRAL EN ENFERMEDADES PREVALENTES EN PRIMERA INFANCIA (AIEPI)",IF(N69=CURSOS!$D$19,"ADMINISTRACION DE MEDICAMENTOS, INYECTOLOGIA  Y CANALIZACION ",IF(N69=CURSOS!$D$20,"OPERADOR DE VEHICULOS DE EMERGENCIA (OVE)",IF(N69=CURSOS!$D$21,"INSTITUCIONES AMIGAS DE LA MUJER Y LA INFANCIA (IAMI)",IF(N69=CURSOS!$D$22,"CUIDADO DEL DONANTE DE ORGANOS",IF(N69=CURSOS!$D$23,"ATENCION A VICTIMAS POR VIOLENCIA DE GENERO",IF(N69=CURSOS!$D$24,"IGUALDAD DE GENERO EN LA SALUD",IF(N69=CURSOS!$D$25,"BRIGADA DE EMERGENCIA",IF(N69=CURSOS!$D$26,"MANEJO DEL DOLOR Y CUIDADOS PALIATIVOS",IF(N69=CURSOS!$D$27,"TOMA DE MUESTRAS Y LABORATORIO POCT",IF(N69=CURSOS!$D$28,"IMPLANTE SUBDERMICO DE DISPOSITIVO INTRAUTERINO",IF(N69=CURSOS!$D$29,"SALUD MENTAL",IF(N69=CURSOS!$D$30,"PRIMEROS AUXILIOS PSICOLOGICOS",IF(N69=CURSOS!$D$31,"ATENCION A VICTIMAS POR CONFLICTO ARMADO",IF(N69=CURSOS!$D$32,"MANIPULACION DE ALIMENTOS Y BPM",IF(N69=CURSOS!$D$33,"ATENCION A PERSONAS CON DISCAPACIDAD",IF(N69=CURSOS!$D$34,"CUIDADO INTEGRAL DEL PACIENTE ADULTO",IF(N69=CURSOS!$D$35,"MANEJO DEFENSIVO",IF(N69=CURSOS!$D$36,"SOPORTE CARDIOVASCULAR AVANZADO NEONATAL",IF(N69=CURSOS!$D$37,"SEGURIDAD DEL PACIENTE")))))))))))))))))))))))))))))))))))</f>
        <v xml:space="preserve">ATENCION A VICTIMAS DE ATAQUE CON AGENTES QUIMICOS </v>
      </c>
      <c r="U69" s="124" t="str">
        <f t="shared" si="6"/>
        <v>Maria Alejandra Martinez Achicanoy</v>
      </c>
      <c r="V69" s="128" t="str">
        <f t="shared" si="7"/>
        <v>Maria Alejandra Martinez Achicanoy</v>
      </c>
      <c r="W69" s="138" t="str">
        <f t="shared" si="8"/>
        <v>Maria Alejandra Martinez Achicanoy-1004214936-QUIMICOS</v>
      </c>
    </row>
    <row r="70" spans="1:23" x14ac:dyDescent="0.2">
      <c r="A70" s="42">
        <v>69</v>
      </c>
      <c r="B70" s="43">
        <v>1233188367</v>
      </c>
      <c r="C70" s="17" t="s">
        <v>272</v>
      </c>
      <c r="D70" s="17" t="s">
        <v>121</v>
      </c>
      <c r="E70" s="17" t="s">
        <v>273</v>
      </c>
      <c r="F70" s="17" t="s">
        <v>274</v>
      </c>
      <c r="G70" s="14">
        <v>5</v>
      </c>
      <c r="H70" s="14" t="s">
        <v>89</v>
      </c>
      <c r="I70" s="16">
        <v>45478</v>
      </c>
      <c r="J70" s="19">
        <v>130000</v>
      </c>
      <c r="K70" s="14" t="s">
        <v>214</v>
      </c>
      <c r="L70" s="14" t="s">
        <v>90</v>
      </c>
      <c r="M70" s="14" t="s">
        <v>275</v>
      </c>
      <c r="N70" s="15" t="s">
        <v>38</v>
      </c>
      <c r="O70" s="60">
        <v>35243</v>
      </c>
      <c r="P70" s="15" t="s">
        <v>101</v>
      </c>
      <c r="Q70" s="17" t="s">
        <v>202</v>
      </c>
      <c r="R70" s="17">
        <v>3164139759</v>
      </c>
      <c r="S70" s="39" t="s">
        <v>276</v>
      </c>
      <c r="T70" s="124" t="str">
        <f>IF(N70=CURSOS!$D$3,"DIPLOMADO EN ATENCION PRE-HOSPITALARIA",IF(N70=CURSOS!$D$4,"ACOMPAÑAMIENTO Y MANEJO DEL DUELO",IF(N70=CURSOS!$D$5,"ATENCION A VICTIMAS DE ATAQUE CON AGENTES QUIMICOS ",IF(N70=CURSOS!$D$6,"PRIMEROS AUXILIOS ",IF(N70=CURSOS!$D$7,"DIPLOMADO DE UNIDAD DE CUIDADOS INTENSIVOS (UCI)",IF(N70=CURSOS!$D$8,"MODELO DE ATENCION PARA EVENTOS EMERGENTES EN SALUD MENTAL (CODIGO VERDE)",IF(N70=CURSOS!$D$9,"HUMANIZACION EN EL SERVICIO DE LA SALUD Y BUENAS PRACTICAS EN PACIENTE ",IF(N70=CURSOS!$D$10,"CLINICA DE HERIDAS ",IF(N70=CURSOS!$D$11,"TOMA DE CITOLOGIA CERVICO VAGINAL ",IF(N70=CURSOS!$D$12,"SOPORTE CARDIOVASCULAR AVANZADO (ACLS) ",IF(N70=CURSOS!$D$13,"CAMILLERO ",IF(N70=CURSOS!$D$14,"TOMA DE MUESTRAS Y LABORATORIO ",IF(N70=CURSOS!$D$15,"SOPORTE VITAL BASICO (BLS)",IF(N70=CURSOS!$D$16,"ATENCION A VICTIMAS DE VIOLENCIA SEXUAL ",IF(N70=CURSOS!$D$17,"PROGRAMADO AMPLIADO DE INMUNIZACION (PAI - COVID 19)",IF(N70=CURSOS!$D$18,"ATENCION INTEGRAL EN ENFERMEDADES PREVALENTES EN PRIMERA INFANCIA (AIEPI)",IF(N70=CURSOS!$D$19,"ADMINISTRACION DE MEDICAMENTOS, INYECTOLOGIA  Y CANALIZACION ",IF(N70=CURSOS!$D$20,"OPERADOR DE VEHICULOS DE EMERGENCIA (OVE)",IF(N70=CURSOS!$D$21,"INSTITUCIONES AMIGAS DE LA MUJER Y LA INFANCIA (IAMI)",IF(N70=CURSOS!$D$22,"CUIDADO DEL DONANTE DE ORGANOS",IF(N70=CURSOS!$D$23,"ATENCION A VICTIMAS POR VIOLENCIA DE GENERO",IF(N70=CURSOS!$D$24,"IGUALDAD DE GENERO EN LA SALUD",IF(N70=CURSOS!$D$25,"BRIGADA DE EMERGENCIA",IF(N70=CURSOS!$D$26,"MANEJO DEL DOLOR Y CUIDADOS PALIATIVOS",IF(N70=CURSOS!$D$27,"TOMA DE MUESTRAS Y LABORATORIO POCT",IF(N70=CURSOS!$D$28,"IMPLANTE SUBDERMICO DE DISPOSITIVO INTRAUTERINO",IF(N70=CURSOS!$D$29,"SALUD MENTAL",IF(N70=CURSOS!$D$30,"PRIMEROS AUXILIOS PSICOLOGICOS",IF(N70=CURSOS!$D$31,"ATENCION A VICTIMAS POR CONFLICTO ARMADO",IF(N70=CURSOS!$D$32,"MANIPULACION DE ALIMENTOS Y BPM",IF(N70=CURSOS!$D$33,"ATENCION A PERSONAS CON DISCAPACIDAD",IF(N70=CURSOS!$D$34,"CUIDADO INTEGRAL DEL PACIENTE ADULTO",IF(N70=CURSOS!$D$35,"MANEJO DEFENSIVO",IF(N70=CURSOS!$D$36,"SOPORTE CARDIOVASCULAR AVANZADO NEONATAL",IF(N70=CURSOS!$D$37,"SEGURIDAD DEL PACIENTE")))))))))))))))))))))))))))))))))))</f>
        <v xml:space="preserve">SOPORTE CARDIOVASCULAR AVANZADO (ACLS) </v>
      </c>
      <c r="U70" s="124" t="str">
        <f t="shared" si="6"/>
        <v>Adriana Catherine Andrade Pantoja</v>
      </c>
      <c r="V70" s="128" t="str">
        <f t="shared" si="7"/>
        <v>Adriana Catherine Andrade Pantoja</v>
      </c>
      <c r="W70" s="138" t="str">
        <f t="shared" si="8"/>
        <v>Adriana Catherine Andrade Pantoja-1233188367-ACLS</v>
      </c>
    </row>
    <row r="71" spans="1:23" x14ac:dyDescent="0.2">
      <c r="A71" s="42">
        <v>70</v>
      </c>
      <c r="B71" s="90">
        <v>1085244856</v>
      </c>
      <c r="C71" s="17" t="s">
        <v>277</v>
      </c>
      <c r="D71" s="17" t="s">
        <v>278</v>
      </c>
      <c r="E71" s="17" t="s">
        <v>279</v>
      </c>
      <c r="F71" s="17" t="s">
        <v>280</v>
      </c>
      <c r="G71" s="14">
        <v>12</v>
      </c>
      <c r="H71" s="14" t="s">
        <v>281</v>
      </c>
      <c r="I71" s="16">
        <v>45478</v>
      </c>
      <c r="J71" s="19">
        <v>30000</v>
      </c>
      <c r="K71" s="14" t="s">
        <v>210</v>
      </c>
      <c r="L71" s="14" t="s">
        <v>90</v>
      </c>
      <c r="M71" s="14" t="s">
        <v>132</v>
      </c>
      <c r="N71" s="15" t="s">
        <v>19</v>
      </c>
      <c r="O71" s="61">
        <v>31350</v>
      </c>
      <c r="P71" s="15" t="s">
        <v>101</v>
      </c>
      <c r="Q71" s="17" t="s">
        <v>126</v>
      </c>
      <c r="R71" s="17">
        <v>3105266619</v>
      </c>
      <c r="S71" s="39" t="s">
        <v>282</v>
      </c>
      <c r="T71" s="124" t="str">
        <f>IF(N71=CURSOS!$D$3,"DIPLOMADO EN ATENCION PRE-HOSPITALARIA",IF(N71=CURSOS!$D$4,"ACOMPAÑAMIENTO Y MANEJO DEL DUELO",IF(N71=CURSOS!$D$5,"ATENCION A VICTIMAS DE ATAQUE CON AGENTES QUIMICOS ",IF(N71=CURSOS!$D$6,"PRIMEROS AUXILIOS ",IF(N71=CURSOS!$D$7,"DIPLOMADO DE UNIDAD DE CUIDADOS INTENSIVOS (UCI)",IF(N71=CURSOS!$D$8,"MODELO DE ATENCION PARA EVENTOS EMERGENTES EN SALUD MENTAL (CODIGO VERDE)",IF(N71=CURSOS!$D$9,"HUMANIZACION EN EL SERVICIO DE LA SALUD Y BUENAS PRACTICAS EN PACIENTE ",IF(N71=CURSOS!$D$10,"CLINICA DE HERIDAS ",IF(N71=CURSOS!$D$11,"TOMA DE CITOLOGIA CERVICO VAGINAL ",IF(N71=CURSOS!$D$12,"SOPORTE CARDIOVASCULAR AVANZADO (ACLS) ",IF(N71=CURSOS!$D$13,"CAMILLERO ",IF(N71=CURSOS!$D$14,"TOMA DE MUESTRAS Y LABORATORIO ",IF(N71=CURSOS!$D$15,"SOPORTE VITAL BASICO (BLS)",IF(N71=CURSOS!$D$16,"ATENCION A VICTIMAS DE VIOLENCIA SEXUAL ",IF(N71=CURSOS!$D$17,"PROGRAMADO AMPLIADO DE INMUNIZACION (PAI - COVID 19)",IF(N71=CURSOS!$D$18,"ATENCION INTEGRAL EN ENFERMEDADES PREVALENTES EN PRIMERA INFANCIA (AIEPI)",IF(N71=CURSOS!$D$19,"ADMINISTRACION DE MEDICAMENTOS, INYECTOLOGIA  Y CANALIZACION ",IF(N71=CURSOS!$D$20,"OPERADOR DE VEHICULOS DE EMERGENCIA (OVE)",IF(N71=CURSOS!$D$21,"INSTITUCIONES AMIGAS DE LA MUJER Y LA INFANCIA (IAMI)",IF(N71=CURSOS!$D$22,"CUIDADO DEL DONANTE DE ORGANOS",IF(N71=CURSOS!$D$23,"ATENCION A VICTIMAS POR VIOLENCIA DE GENERO",IF(N71=CURSOS!$D$24,"IGUALDAD DE GENERO EN LA SALUD",IF(N71=CURSOS!$D$25,"BRIGADA DE EMERGENCIA",IF(N71=CURSOS!$D$26,"MANEJO DEL DOLOR Y CUIDADOS PALIATIVOS",IF(N71=CURSOS!$D$27,"TOMA DE MUESTRAS Y LABORATORIO POCT",IF(N71=CURSOS!$D$28,"IMPLANTE SUBDERMICO DE DISPOSITIVO INTRAUTERINO",IF(N71=CURSOS!$D$29,"SALUD MENTAL",IF(N71=CURSOS!$D$30,"PRIMEROS AUXILIOS PSICOLOGICOS",IF(N71=CURSOS!$D$31,"ATENCION A VICTIMAS POR CONFLICTO ARMADO",IF(N71=CURSOS!$D$32,"MANIPULACION DE ALIMENTOS Y BPM",IF(N71=CURSOS!$D$33,"ATENCION A PERSONAS CON DISCAPACIDAD",IF(N71=CURSOS!$D$34,"CUIDADO INTEGRAL DEL PACIENTE ADULTO",IF(N71=CURSOS!$D$35,"MANEJO DEFENSIVO",IF(N71=CURSOS!$D$36,"SOPORTE CARDIOVASCULAR AVANZADO NEONATAL",IF(N71=CURSOS!$D$37,"SEGURIDAD DEL PACIENTE")))))))))))))))))))))))))))))))))))</f>
        <v>SOPORTE VITAL BASICO (BLS)</v>
      </c>
      <c r="U71" s="124" t="str">
        <f t="shared" si="6"/>
        <v>Karen Andrea Enriquez Montenegro</v>
      </c>
      <c r="V71" s="128" t="str">
        <f t="shared" si="7"/>
        <v>Karen Andrea Enriquez Montenegro</v>
      </c>
      <c r="W71" s="138" t="str">
        <f t="shared" si="8"/>
        <v>Karen Andrea Enriquez Montenegro-1085244856-BLS</v>
      </c>
    </row>
    <row r="72" spans="1:23" x14ac:dyDescent="0.2">
      <c r="A72" s="42">
        <v>71</v>
      </c>
      <c r="B72" s="43">
        <v>1006998155</v>
      </c>
      <c r="C72" s="17" t="s">
        <v>121</v>
      </c>
      <c r="D72" s="17" t="s">
        <v>283</v>
      </c>
      <c r="E72" s="17" t="s">
        <v>284</v>
      </c>
      <c r="F72" s="17" t="s">
        <v>285</v>
      </c>
      <c r="G72" s="14">
        <v>5</v>
      </c>
      <c r="H72" s="14" t="s">
        <v>89</v>
      </c>
      <c r="I72" s="16">
        <v>45478</v>
      </c>
      <c r="J72" s="19">
        <v>40000</v>
      </c>
      <c r="K72" s="14" t="s">
        <v>246</v>
      </c>
      <c r="L72" s="14" t="s">
        <v>90</v>
      </c>
      <c r="M72" s="14" t="s">
        <v>118</v>
      </c>
      <c r="N72" s="15" t="s">
        <v>19</v>
      </c>
      <c r="O72" s="18">
        <v>37193</v>
      </c>
      <c r="P72" s="15" t="s">
        <v>101</v>
      </c>
      <c r="Q72" s="17" t="s">
        <v>126</v>
      </c>
      <c r="R72" s="17">
        <v>3215298448</v>
      </c>
      <c r="S72" s="39" t="s">
        <v>286</v>
      </c>
      <c r="T72" s="124" t="str">
        <f>IF(N72=CURSOS!$D$3,"DIPLOMADO EN ATENCION PRE-HOSPITALARIA",IF(N72=CURSOS!$D$4,"ACOMPAÑAMIENTO Y MANEJO DEL DUELO",IF(N72=CURSOS!$D$5,"ATENCION A VICTIMAS DE ATAQUE CON AGENTES QUIMICOS ",IF(N72=CURSOS!$D$6,"PRIMEROS AUXILIOS ",IF(N72=CURSOS!$D$7,"DIPLOMADO DE UNIDAD DE CUIDADOS INTENSIVOS (UCI)",IF(N72=CURSOS!$D$8,"MODELO DE ATENCION PARA EVENTOS EMERGENTES EN SALUD MENTAL (CODIGO VERDE)",IF(N72=CURSOS!$D$9,"HUMANIZACION EN EL SERVICIO DE LA SALUD Y BUENAS PRACTICAS EN PACIENTE ",IF(N72=CURSOS!$D$10,"CLINICA DE HERIDAS ",IF(N72=CURSOS!$D$11,"TOMA DE CITOLOGIA CERVICO VAGINAL ",IF(N72=CURSOS!$D$12,"SOPORTE CARDIOVASCULAR AVANZADO (ACLS) ",IF(N72=CURSOS!$D$13,"CAMILLERO ",IF(N72=CURSOS!$D$14,"TOMA DE MUESTRAS Y LABORATORIO ",IF(N72=CURSOS!$D$15,"SOPORTE VITAL BASICO (BLS)",IF(N72=CURSOS!$D$16,"ATENCION A VICTIMAS DE VIOLENCIA SEXUAL ",IF(N72=CURSOS!$D$17,"PROGRAMADO AMPLIADO DE INMUNIZACION (PAI - COVID 19)",IF(N72=CURSOS!$D$18,"ATENCION INTEGRAL EN ENFERMEDADES PREVALENTES EN PRIMERA INFANCIA (AIEPI)",IF(N72=CURSOS!$D$19,"ADMINISTRACION DE MEDICAMENTOS, INYECTOLOGIA  Y CANALIZACION ",IF(N72=CURSOS!$D$20,"OPERADOR DE VEHICULOS DE EMERGENCIA (OVE)",IF(N72=CURSOS!$D$21,"INSTITUCIONES AMIGAS DE LA MUJER Y LA INFANCIA (IAMI)",IF(N72=CURSOS!$D$22,"CUIDADO DEL DONANTE DE ORGANOS",IF(N72=CURSOS!$D$23,"ATENCION A VICTIMAS POR VIOLENCIA DE GENERO",IF(N72=CURSOS!$D$24,"IGUALDAD DE GENERO EN LA SALUD",IF(N72=CURSOS!$D$25,"BRIGADA DE EMERGENCIA",IF(N72=CURSOS!$D$26,"MANEJO DEL DOLOR Y CUIDADOS PALIATIVOS",IF(N72=CURSOS!$D$27,"TOMA DE MUESTRAS Y LABORATORIO POCT",IF(N72=CURSOS!$D$28,"IMPLANTE SUBDERMICO DE DISPOSITIVO INTRAUTERINO",IF(N72=CURSOS!$D$29,"SALUD MENTAL",IF(N72=CURSOS!$D$30,"PRIMEROS AUXILIOS PSICOLOGICOS",IF(N72=CURSOS!$D$31,"ATENCION A VICTIMAS POR CONFLICTO ARMADO",IF(N72=CURSOS!$D$32,"MANIPULACION DE ALIMENTOS Y BPM",IF(N72=CURSOS!$D$33,"ATENCION A PERSONAS CON DISCAPACIDAD",IF(N72=CURSOS!$D$34,"CUIDADO INTEGRAL DEL PACIENTE ADULTO",IF(N72=CURSOS!$D$35,"MANEJO DEFENSIVO",IF(N72=CURSOS!$D$36,"SOPORTE CARDIOVASCULAR AVANZADO NEONATAL",IF(N72=CURSOS!$D$37,"SEGURIDAD DEL PACIENTE")))))))))))))))))))))))))))))))))))</f>
        <v>SOPORTE VITAL BASICO (BLS)</v>
      </c>
      <c r="U72" s="124" t="str">
        <f t="shared" si="6"/>
        <v>Ednna Yulieth Pantoja Cuasialpud</v>
      </c>
      <c r="V72" s="128" t="str">
        <f t="shared" si="7"/>
        <v>Ednna Yulieth Pantoja Cuasialpud</v>
      </c>
      <c r="W72" s="138" t="str">
        <f t="shared" si="8"/>
        <v>Ednna Yulieth Pantoja Cuasialpud-1006998155-BLS</v>
      </c>
    </row>
    <row r="73" spans="1:23" ht="15.75" x14ac:dyDescent="0.25">
      <c r="A73" s="42">
        <v>72</v>
      </c>
      <c r="B73" s="43">
        <v>1085341821</v>
      </c>
      <c r="C73" s="17" t="s">
        <v>102</v>
      </c>
      <c r="D73" s="17" t="s">
        <v>129</v>
      </c>
      <c r="E73" s="17" t="s">
        <v>287</v>
      </c>
      <c r="F73" s="17" t="s">
        <v>288</v>
      </c>
      <c r="G73" s="14">
        <v>6</v>
      </c>
      <c r="H73" s="14" t="s">
        <v>89</v>
      </c>
      <c r="I73" s="16">
        <v>45479</v>
      </c>
      <c r="J73" s="19">
        <v>30000</v>
      </c>
      <c r="K73" s="14" t="s">
        <v>214</v>
      </c>
      <c r="L73" s="14" t="s">
        <v>90</v>
      </c>
      <c r="M73" s="14" t="s">
        <v>275</v>
      </c>
      <c r="N73" s="15" t="s">
        <v>43</v>
      </c>
      <c r="O73" s="18">
        <v>36036</v>
      </c>
      <c r="P73" s="15" t="s">
        <v>91</v>
      </c>
      <c r="Q73" s="17" t="s">
        <v>290</v>
      </c>
      <c r="R73" s="17">
        <v>3026095461</v>
      </c>
      <c r="S73" s="62" t="s">
        <v>289</v>
      </c>
      <c r="T73" s="124" t="str">
        <f>IF(N73=CURSOS!$D$3,"DIPLOMADO EN ATENCION PRE-HOSPITALARIA",IF(N73=CURSOS!$D$4,"ACOMPAÑAMIENTO Y MANEJO DEL DUELO",IF(N73=CURSOS!$D$5,"ATENCION A VICTIMAS DE ATAQUE CON AGENTES QUIMICOS ",IF(N73=CURSOS!$D$6,"PRIMEROS AUXILIOS ",IF(N73=CURSOS!$D$7,"DIPLOMADO DE UNIDAD DE CUIDADOS INTENSIVOS (UCI)",IF(N73=CURSOS!$D$8,"MODELO DE ATENCION PARA EVENTOS EMERGENTES EN SALUD MENTAL (CODIGO VERDE)",IF(N73=CURSOS!$D$9,"HUMANIZACION EN EL SERVICIO DE LA SALUD Y BUENAS PRACTICAS EN PACIENTE ",IF(N73=CURSOS!$D$10,"CLINICA DE HERIDAS ",IF(N73=CURSOS!$D$11,"TOMA DE CITOLOGIA CERVICO VAGINAL ",IF(N73=CURSOS!$D$12,"SOPORTE CARDIOVASCULAR AVANZADO (ACLS) ",IF(N73=CURSOS!$D$13,"CAMILLERO ",IF(N73=CURSOS!$D$14,"TOMA DE MUESTRAS Y LABORATORIO ",IF(N73=CURSOS!$D$15,"SOPORTE VITAL BASICO (BLS)",IF(N73=CURSOS!$D$16,"ATENCION A VICTIMAS DE VIOLENCIA SEXUAL ",IF(N73=CURSOS!$D$17,"PROGRAMADO AMPLIADO DE INMUNIZACION (PAI - COVID 19)",IF(N73=CURSOS!$D$18,"ATENCION INTEGRAL EN ENFERMEDADES PREVALENTES EN PRIMERA INFANCIA (AIEPI)",IF(N73=CURSOS!$D$19,"ADMINISTRACION DE MEDICAMENTOS, INYECTOLOGIA  Y CANALIZACION ",IF(N73=CURSOS!$D$20,"OPERADOR DE VEHICULOS DE EMERGENCIA (OVE)",IF(N73=CURSOS!$D$21,"INSTITUCIONES AMIGAS DE LA MUJER Y LA INFANCIA (IAMI)",IF(N73=CURSOS!$D$22,"CUIDADO DEL DONANTE DE ORGANOS",IF(N73=CURSOS!$D$23,"ATENCION A VICTIMAS POR VIOLENCIA DE GENERO",IF(N73=CURSOS!$D$24,"IGUALDAD DE GENERO EN LA SALUD",IF(N73=CURSOS!$D$25,"BRIGADA DE EMERGENCIA",IF(N73=CURSOS!$D$26,"MANEJO DEL DOLOR Y CUIDADOS PALIATIVOS",IF(N73=CURSOS!$D$27,"TOMA DE MUESTRAS Y LABORATORIO POCT",IF(N73=CURSOS!$D$28,"IMPLANTE SUBDERMICO DE DISPOSITIVO INTRAUTERINO",IF(N73=CURSOS!$D$29,"SALUD MENTAL",IF(N73=CURSOS!$D$30,"PRIMEROS AUXILIOS PSICOLOGICOS",IF(N73=CURSOS!$D$31,"ATENCION A VICTIMAS POR CONFLICTO ARMADO",IF(N73=CURSOS!$D$32,"MANIPULACION DE ALIMENTOS Y BPM",IF(N73=CURSOS!$D$33,"ATENCION A PERSONAS CON DISCAPACIDAD",IF(N73=CURSOS!$D$34,"CUIDADO INTEGRAL DEL PACIENTE ADULTO",IF(N73=CURSOS!$D$35,"MANEJO DEFENSIVO",IF(N73=CURSOS!$D$36,"SOPORTE CARDIOVASCULAR AVANZADO NEONATAL",IF(N73=CURSOS!$D$37,"SEGURIDAD DEL PACIENTE")))))))))))))))))))))))))))))))))))</f>
        <v xml:space="preserve">ATENCION A VICTIMAS DE VIOLENCIA SEXUAL </v>
      </c>
      <c r="U73" s="124" t="str">
        <f t="shared" si="6"/>
        <v>Jhon Amderson Castillo Viveros</v>
      </c>
      <c r="V73" s="128" t="str">
        <f t="shared" si="7"/>
        <v>Jhon Amderson Castillo Viveros</v>
      </c>
      <c r="W73" s="138" t="str">
        <f t="shared" si="8"/>
        <v>Jhon Amderson Castillo Viveros-1085341821-VIOLENCIA SEXUAL</v>
      </c>
    </row>
    <row r="74" spans="1:23" ht="15.75" x14ac:dyDescent="0.25">
      <c r="A74" s="42">
        <v>73</v>
      </c>
      <c r="B74" s="43">
        <v>1085341821</v>
      </c>
      <c r="C74" s="17" t="s">
        <v>102</v>
      </c>
      <c r="D74" s="17" t="s">
        <v>129</v>
      </c>
      <c r="E74" s="17" t="s">
        <v>287</v>
      </c>
      <c r="F74" s="17" t="s">
        <v>288</v>
      </c>
      <c r="G74" s="14">
        <v>6</v>
      </c>
      <c r="H74" s="14" t="s">
        <v>89</v>
      </c>
      <c r="I74" s="16">
        <v>45479</v>
      </c>
      <c r="J74" s="19">
        <v>30000</v>
      </c>
      <c r="K74" s="14" t="s">
        <v>214</v>
      </c>
      <c r="L74" s="14" t="s">
        <v>90</v>
      </c>
      <c r="M74" s="14" t="s">
        <v>275</v>
      </c>
      <c r="N74" s="15" t="s">
        <v>23</v>
      </c>
      <c r="O74" s="18">
        <v>36036</v>
      </c>
      <c r="P74" s="15" t="s">
        <v>91</v>
      </c>
      <c r="Q74" s="17" t="s">
        <v>290</v>
      </c>
      <c r="R74" s="17">
        <v>3026095461</v>
      </c>
      <c r="S74" s="62" t="s">
        <v>289</v>
      </c>
      <c r="T74" s="124" t="str">
        <f>IF(N74=CURSOS!$D$3,"DIPLOMADO EN ATENCION PRE-HOSPITALARIA",IF(N74=CURSOS!$D$4,"ACOMPAÑAMIENTO Y MANEJO DEL DUELO",IF(N74=CURSOS!$D$5,"ATENCION A VICTIMAS DE ATAQUE CON AGENTES QUIMICOS ",IF(N74=CURSOS!$D$6,"PRIMEROS AUXILIOS ",IF(N74=CURSOS!$D$7,"DIPLOMADO DE UNIDAD DE CUIDADOS INTENSIVOS (UCI)",IF(N74=CURSOS!$D$8,"MODELO DE ATENCION PARA EVENTOS EMERGENTES EN SALUD MENTAL (CODIGO VERDE)",IF(N74=CURSOS!$D$9,"HUMANIZACION EN EL SERVICIO DE LA SALUD Y BUENAS PRACTICAS EN PACIENTE ",IF(N74=CURSOS!$D$10,"CLINICA DE HERIDAS ",IF(N74=CURSOS!$D$11,"TOMA DE CITOLOGIA CERVICO VAGINAL ",IF(N74=CURSOS!$D$12,"SOPORTE CARDIOVASCULAR AVANZADO (ACLS) ",IF(N74=CURSOS!$D$13,"CAMILLERO ",IF(N74=CURSOS!$D$14,"TOMA DE MUESTRAS Y LABORATORIO ",IF(N74=CURSOS!$D$15,"SOPORTE VITAL BASICO (BLS)",IF(N74=CURSOS!$D$16,"ATENCION A VICTIMAS DE VIOLENCIA SEXUAL ",IF(N74=CURSOS!$D$17,"PROGRAMADO AMPLIADO DE INMUNIZACION (PAI - COVID 19)",IF(N74=CURSOS!$D$18,"ATENCION INTEGRAL EN ENFERMEDADES PREVALENTES EN PRIMERA INFANCIA (AIEPI)",IF(N74=CURSOS!$D$19,"ADMINISTRACION DE MEDICAMENTOS, INYECTOLOGIA  Y CANALIZACION ",IF(N74=CURSOS!$D$20,"OPERADOR DE VEHICULOS DE EMERGENCIA (OVE)",IF(N74=CURSOS!$D$21,"INSTITUCIONES AMIGAS DE LA MUJER Y LA INFANCIA (IAMI)",IF(N74=CURSOS!$D$22,"CUIDADO DEL DONANTE DE ORGANOS",IF(N74=CURSOS!$D$23,"ATENCION A VICTIMAS POR VIOLENCIA DE GENERO",IF(N74=CURSOS!$D$24,"IGUALDAD DE GENERO EN LA SALUD",IF(N74=CURSOS!$D$25,"BRIGADA DE EMERGENCIA",IF(N74=CURSOS!$D$26,"MANEJO DEL DOLOR Y CUIDADOS PALIATIVOS",IF(N74=CURSOS!$D$27,"TOMA DE MUESTRAS Y LABORATORIO POCT",IF(N74=CURSOS!$D$28,"IMPLANTE SUBDERMICO DE DISPOSITIVO INTRAUTERINO",IF(N74=CURSOS!$D$29,"SALUD MENTAL",IF(N74=CURSOS!$D$30,"PRIMEROS AUXILIOS PSICOLOGICOS",IF(N74=CURSOS!$D$31,"ATENCION A VICTIMAS POR CONFLICTO ARMADO",IF(N74=CURSOS!$D$32,"MANIPULACION DE ALIMENTOS Y BPM",IF(N74=CURSOS!$D$33,"ATENCION A PERSONAS CON DISCAPACIDAD",IF(N74=CURSOS!$D$34,"CUIDADO INTEGRAL DEL PACIENTE ADULTO",IF(N74=CURSOS!$D$35,"MANEJO DEFENSIVO",IF(N74=CURSOS!$D$36,"SOPORTE CARDIOVASCULAR AVANZADO NEONATAL",IF(N74=CURSOS!$D$37,"SEGURIDAD DEL PACIENTE")))))))))))))))))))))))))))))))))))</f>
        <v>ACOMPAÑAMIENTO Y MANEJO DEL DUELO</v>
      </c>
      <c r="U74" s="124" t="str">
        <f t="shared" si="6"/>
        <v>Jhon Amderson Castillo Viveros</v>
      </c>
      <c r="V74" s="128" t="str">
        <f t="shared" si="7"/>
        <v>Jhon Amderson Castillo Viveros</v>
      </c>
      <c r="W74" s="138" t="str">
        <f t="shared" si="8"/>
        <v>Jhon Amderson Castillo Viveros-1085341821-DUELO</v>
      </c>
    </row>
    <row r="75" spans="1:23" ht="15.75" x14ac:dyDescent="0.25">
      <c r="A75" s="42">
        <v>74</v>
      </c>
      <c r="B75" s="43">
        <v>1085341821</v>
      </c>
      <c r="C75" s="17" t="s">
        <v>102</v>
      </c>
      <c r="D75" s="17" t="s">
        <v>129</v>
      </c>
      <c r="E75" s="17" t="s">
        <v>287</v>
      </c>
      <c r="F75" s="17" t="s">
        <v>288</v>
      </c>
      <c r="G75" s="14">
        <v>6</v>
      </c>
      <c r="H75" s="14" t="s">
        <v>89</v>
      </c>
      <c r="I75" s="16">
        <v>45479</v>
      </c>
      <c r="J75" s="19">
        <v>30000</v>
      </c>
      <c r="K75" s="14" t="s">
        <v>214</v>
      </c>
      <c r="L75" s="14" t="s">
        <v>90</v>
      </c>
      <c r="M75" s="14" t="s">
        <v>275</v>
      </c>
      <c r="N75" s="15" t="s">
        <v>25</v>
      </c>
      <c r="O75" s="18">
        <v>36036</v>
      </c>
      <c r="P75" s="15" t="s">
        <v>91</v>
      </c>
      <c r="Q75" s="17" t="s">
        <v>290</v>
      </c>
      <c r="R75" s="17">
        <v>3026095461</v>
      </c>
      <c r="S75" s="62" t="s">
        <v>289</v>
      </c>
      <c r="T75" s="124" t="str">
        <f>IF(N75=CURSOS!$D$3,"DIPLOMADO EN ATENCION PRE-HOSPITALARIA",IF(N75=CURSOS!$D$4,"ACOMPAÑAMIENTO Y MANEJO DEL DUELO",IF(N75=CURSOS!$D$5,"ATENCION A VICTIMAS DE ATAQUE CON AGENTES QUIMICOS ",IF(N75=CURSOS!$D$6,"PRIMEROS AUXILIOS ",IF(N75=CURSOS!$D$7,"DIPLOMADO DE UNIDAD DE CUIDADOS INTENSIVOS (UCI)",IF(N75=CURSOS!$D$8,"MODELO DE ATENCION PARA EVENTOS EMERGENTES EN SALUD MENTAL (CODIGO VERDE)",IF(N75=CURSOS!$D$9,"HUMANIZACION EN EL SERVICIO DE LA SALUD Y BUENAS PRACTICAS EN PACIENTE ",IF(N75=CURSOS!$D$10,"CLINICA DE HERIDAS ",IF(N75=CURSOS!$D$11,"TOMA DE CITOLOGIA CERVICO VAGINAL ",IF(N75=CURSOS!$D$12,"SOPORTE CARDIOVASCULAR AVANZADO (ACLS) ",IF(N75=CURSOS!$D$13,"CAMILLERO ",IF(N75=CURSOS!$D$14,"TOMA DE MUESTRAS Y LABORATORIO ",IF(N75=CURSOS!$D$15,"SOPORTE VITAL BASICO (BLS)",IF(N75=CURSOS!$D$16,"ATENCION A VICTIMAS DE VIOLENCIA SEXUAL ",IF(N75=CURSOS!$D$17,"PROGRAMADO AMPLIADO DE INMUNIZACION (PAI - COVID 19)",IF(N75=CURSOS!$D$18,"ATENCION INTEGRAL EN ENFERMEDADES PREVALENTES EN PRIMERA INFANCIA (AIEPI)",IF(N75=CURSOS!$D$19,"ADMINISTRACION DE MEDICAMENTOS, INYECTOLOGIA  Y CANALIZACION ",IF(N75=CURSOS!$D$20,"OPERADOR DE VEHICULOS DE EMERGENCIA (OVE)",IF(N75=CURSOS!$D$21,"INSTITUCIONES AMIGAS DE LA MUJER Y LA INFANCIA (IAMI)",IF(N75=CURSOS!$D$22,"CUIDADO DEL DONANTE DE ORGANOS",IF(N75=CURSOS!$D$23,"ATENCION A VICTIMAS POR VIOLENCIA DE GENERO",IF(N75=CURSOS!$D$24,"IGUALDAD DE GENERO EN LA SALUD",IF(N75=CURSOS!$D$25,"BRIGADA DE EMERGENCIA",IF(N75=CURSOS!$D$26,"MANEJO DEL DOLOR Y CUIDADOS PALIATIVOS",IF(N75=CURSOS!$D$27,"TOMA DE MUESTRAS Y LABORATORIO POCT",IF(N75=CURSOS!$D$28,"IMPLANTE SUBDERMICO DE DISPOSITIVO INTRAUTERINO",IF(N75=CURSOS!$D$29,"SALUD MENTAL",IF(N75=CURSOS!$D$30,"PRIMEROS AUXILIOS PSICOLOGICOS",IF(N75=CURSOS!$D$31,"ATENCION A VICTIMAS POR CONFLICTO ARMADO",IF(N75=CURSOS!$D$32,"MANIPULACION DE ALIMENTOS Y BPM",IF(N75=CURSOS!$D$33,"ATENCION A PERSONAS CON DISCAPACIDAD",IF(N75=CURSOS!$D$34,"CUIDADO INTEGRAL DEL PACIENTE ADULTO",IF(N75=CURSOS!$D$35,"MANEJO DEFENSIVO",IF(N75=CURSOS!$D$36,"SOPORTE CARDIOVASCULAR AVANZADO NEONATAL",IF(N75=CURSOS!$D$37,"SEGURIDAD DEL PACIENTE")))))))))))))))))))))))))))))))))))</f>
        <v xml:space="preserve">ATENCION A VICTIMAS DE ATAQUE CON AGENTES QUIMICOS </v>
      </c>
      <c r="U75" s="124" t="str">
        <f t="shared" si="6"/>
        <v>Jhon Amderson Castillo Viveros</v>
      </c>
      <c r="V75" s="128" t="str">
        <f t="shared" si="7"/>
        <v>Jhon Amderson Castillo Viveros</v>
      </c>
      <c r="W75" s="138" t="str">
        <f t="shared" si="8"/>
        <v>Jhon Amderson Castillo Viveros-1085341821-QUIMICOS</v>
      </c>
    </row>
    <row r="76" spans="1:23" x14ac:dyDescent="0.2">
      <c r="A76" s="42">
        <v>75</v>
      </c>
      <c r="B76" s="43">
        <v>1010140050</v>
      </c>
      <c r="C76" s="17" t="s">
        <v>104</v>
      </c>
      <c r="D76" s="17" t="s">
        <v>110</v>
      </c>
      <c r="E76" s="17" t="s">
        <v>279</v>
      </c>
      <c r="F76" s="17" t="s">
        <v>291</v>
      </c>
      <c r="G76" s="14">
        <v>6</v>
      </c>
      <c r="H76" s="14" t="s">
        <v>89</v>
      </c>
      <c r="I76" s="16">
        <v>45479</v>
      </c>
      <c r="J76" s="19">
        <v>28000</v>
      </c>
      <c r="K76" s="14" t="s">
        <v>210</v>
      </c>
      <c r="L76" s="14" t="s">
        <v>90</v>
      </c>
      <c r="M76" s="14" t="s">
        <v>275</v>
      </c>
      <c r="N76" s="15" t="s">
        <v>43</v>
      </c>
      <c r="O76" s="18">
        <v>36876</v>
      </c>
      <c r="P76" s="15" t="s">
        <v>101</v>
      </c>
      <c r="Q76" s="17" t="s">
        <v>126</v>
      </c>
      <c r="R76" s="17">
        <v>3117788902</v>
      </c>
      <c r="S76" s="17" t="s">
        <v>292</v>
      </c>
      <c r="T76" s="124" t="str">
        <f>IF(N76=CURSOS!$D$3,"DIPLOMADO EN ATENCION PRE-HOSPITALARIA",IF(N76=CURSOS!$D$4,"ACOMPAÑAMIENTO Y MANEJO DEL DUELO",IF(N76=CURSOS!$D$5,"ATENCION A VICTIMAS DE ATAQUE CON AGENTES QUIMICOS ",IF(N76=CURSOS!$D$6,"PRIMEROS AUXILIOS ",IF(N76=CURSOS!$D$7,"DIPLOMADO DE UNIDAD DE CUIDADOS INTENSIVOS (UCI)",IF(N76=CURSOS!$D$8,"MODELO DE ATENCION PARA EVENTOS EMERGENTES EN SALUD MENTAL (CODIGO VERDE)",IF(N76=CURSOS!$D$9,"HUMANIZACION EN EL SERVICIO DE LA SALUD Y BUENAS PRACTICAS EN PACIENTE ",IF(N76=CURSOS!$D$10,"CLINICA DE HERIDAS ",IF(N76=CURSOS!$D$11,"TOMA DE CITOLOGIA CERVICO VAGINAL ",IF(N76=CURSOS!$D$12,"SOPORTE CARDIOVASCULAR AVANZADO (ACLS) ",IF(N76=CURSOS!$D$13,"CAMILLERO ",IF(N76=CURSOS!$D$14,"TOMA DE MUESTRAS Y LABORATORIO ",IF(N76=CURSOS!$D$15,"SOPORTE VITAL BASICO (BLS)",IF(N76=CURSOS!$D$16,"ATENCION A VICTIMAS DE VIOLENCIA SEXUAL ",IF(N76=CURSOS!$D$17,"PROGRAMADO AMPLIADO DE INMUNIZACION (PAI - COVID 19)",IF(N76=CURSOS!$D$18,"ATENCION INTEGRAL EN ENFERMEDADES PREVALENTES EN PRIMERA INFANCIA (AIEPI)",IF(N76=CURSOS!$D$19,"ADMINISTRACION DE MEDICAMENTOS, INYECTOLOGIA  Y CANALIZACION ",IF(N76=CURSOS!$D$20,"OPERADOR DE VEHICULOS DE EMERGENCIA (OVE)",IF(N76=CURSOS!$D$21,"INSTITUCIONES AMIGAS DE LA MUJER Y LA INFANCIA (IAMI)",IF(N76=CURSOS!$D$22,"CUIDADO DEL DONANTE DE ORGANOS",IF(N76=CURSOS!$D$23,"ATENCION A VICTIMAS POR VIOLENCIA DE GENERO",IF(N76=CURSOS!$D$24,"IGUALDAD DE GENERO EN LA SALUD",IF(N76=CURSOS!$D$25,"BRIGADA DE EMERGENCIA",IF(N76=CURSOS!$D$26,"MANEJO DEL DOLOR Y CUIDADOS PALIATIVOS",IF(N76=CURSOS!$D$27,"TOMA DE MUESTRAS Y LABORATORIO POCT",IF(N76=CURSOS!$D$28,"IMPLANTE SUBDERMICO DE DISPOSITIVO INTRAUTERINO",IF(N76=CURSOS!$D$29,"SALUD MENTAL",IF(N76=CURSOS!$D$30,"PRIMEROS AUXILIOS PSICOLOGICOS",IF(N76=CURSOS!$D$31,"ATENCION A VICTIMAS POR CONFLICTO ARMADO",IF(N76=CURSOS!$D$32,"MANIPULACION DE ALIMENTOS Y BPM",IF(N76=CURSOS!$D$33,"ATENCION A PERSONAS CON DISCAPACIDAD",IF(N76=CURSOS!$D$34,"CUIDADO INTEGRAL DEL PACIENTE ADULTO",IF(N76=CURSOS!$D$35,"MANEJO DEFENSIVO",IF(N76=CURSOS!$D$36,"SOPORTE CARDIOVASCULAR AVANZADO NEONATAL",IF(N76=CURSOS!$D$37,"SEGURIDAD DEL PACIENTE")))))))))))))))))))))))))))))))))))</f>
        <v xml:space="preserve">ATENCION A VICTIMAS DE VIOLENCIA SEXUAL </v>
      </c>
      <c r="U76" s="124" t="str">
        <f t="shared" si="6"/>
        <v>Karen Tatiana Chamorro Rivera</v>
      </c>
      <c r="V76" s="128" t="str">
        <f t="shared" si="7"/>
        <v>Karen Tatiana Chamorro Rivera</v>
      </c>
      <c r="W76" s="138" t="str">
        <f t="shared" si="8"/>
        <v>Karen Tatiana Chamorro Rivera-1010140050-VIOLENCIA SEXUAL</v>
      </c>
    </row>
    <row r="77" spans="1:23" x14ac:dyDescent="0.2">
      <c r="A77" s="42">
        <v>76</v>
      </c>
      <c r="B77" s="43">
        <v>1010140050</v>
      </c>
      <c r="C77" s="17" t="s">
        <v>104</v>
      </c>
      <c r="D77" s="17" t="s">
        <v>110</v>
      </c>
      <c r="E77" s="17" t="s">
        <v>279</v>
      </c>
      <c r="F77" s="17" t="s">
        <v>291</v>
      </c>
      <c r="G77" s="14">
        <v>6</v>
      </c>
      <c r="H77" s="14" t="s">
        <v>89</v>
      </c>
      <c r="I77" s="16">
        <v>45479</v>
      </c>
      <c r="J77" s="19">
        <v>28000</v>
      </c>
      <c r="K77" s="14" t="s">
        <v>210</v>
      </c>
      <c r="L77" s="14" t="s">
        <v>90</v>
      </c>
      <c r="M77" s="14" t="s">
        <v>275</v>
      </c>
      <c r="N77" s="15" t="s">
        <v>63</v>
      </c>
      <c r="O77" s="18">
        <v>36876</v>
      </c>
      <c r="P77" s="15" t="s">
        <v>101</v>
      </c>
      <c r="Q77" s="17" t="s">
        <v>126</v>
      </c>
      <c r="R77" s="17">
        <v>3117788902</v>
      </c>
      <c r="S77" s="17" t="s">
        <v>292</v>
      </c>
      <c r="T77" s="124" t="str">
        <f>IF(N77=CURSOS!$D$3,"DIPLOMADO EN ATENCION PRE-HOSPITALARIA",IF(N77=CURSOS!$D$4,"ACOMPAÑAMIENTO Y MANEJO DEL DUELO",IF(N77=CURSOS!$D$5,"ATENCION A VICTIMAS DE ATAQUE CON AGENTES QUIMICOS ",IF(N77=CURSOS!$D$6,"PRIMEROS AUXILIOS ",IF(N77=CURSOS!$D$7,"DIPLOMADO DE UNIDAD DE CUIDADOS INTENSIVOS (UCI)",IF(N77=CURSOS!$D$8,"MODELO DE ATENCION PARA EVENTOS EMERGENTES EN SALUD MENTAL (CODIGO VERDE)",IF(N77=CURSOS!$D$9,"HUMANIZACION EN EL SERVICIO DE LA SALUD Y BUENAS PRACTICAS EN PACIENTE ",IF(N77=CURSOS!$D$10,"CLINICA DE HERIDAS ",IF(N77=CURSOS!$D$11,"TOMA DE CITOLOGIA CERVICO VAGINAL ",IF(N77=CURSOS!$D$12,"SOPORTE CARDIOVASCULAR AVANZADO (ACLS) ",IF(N77=CURSOS!$D$13,"CAMILLERO ",IF(N77=CURSOS!$D$14,"TOMA DE MUESTRAS Y LABORATORIO ",IF(N77=CURSOS!$D$15,"SOPORTE VITAL BASICO (BLS)",IF(N77=CURSOS!$D$16,"ATENCION A VICTIMAS DE VIOLENCIA SEXUAL ",IF(N77=CURSOS!$D$17,"PROGRAMADO AMPLIADO DE INMUNIZACION (PAI - COVID 19)",IF(N77=CURSOS!$D$18,"ATENCION INTEGRAL EN ENFERMEDADES PREVALENTES EN PRIMERA INFANCIA (AIEPI)",IF(N77=CURSOS!$D$19,"ADMINISTRACION DE MEDICAMENTOS, INYECTOLOGIA  Y CANALIZACION ",IF(N77=CURSOS!$D$20,"OPERADOR DE VEHICULOS DE EMERGENCIA (OVE)",IF(N77=CURSOS!$D$21,"INSTITUCIONES AMIGAS DE LA MUJER Y LA INFANCIA (IAMI)",IF(N77=CURSOS!$D$22,"CUIDADO DEL DONANTE DE ORGANOS",IF(N77=CURSOS!$D$23,"ATENCION A VICTIMAS POR VIOLENCIA DE GENERO",IF(N77=CURSOS!$D$24,"IGUALDAD DE GENERO EN LA SALUD",IF(N77=CURSOS!$D$25,"BRIGADA DE EMERGENCIA",IF(N77=CURSOS!$D$26,"MANEJO DEL DOLOR Y CUIDADOS PALIATIVOS",IF(N77=CURSOS!$D$27,"TOMA DE MUESTRAS Y LABORATORIO POCT",IF(N77=CURSOS!$D$28,"IMPLANTE SUBDERMICO DE DISPOSITIVO INTRAUTERINO",IF(N77=CURSOS!$D$29,"SALUD MENTAL",IF(N77=CURSOS!$D$30,"PRIMEROS AUXILIOS PSICOLOGICOS",IF(N77=CURSOS!$D$31,"ATENCION A VICTIMAS POR CONFLICTO ARMADO",IF(N77=CURSOS!$D$32,"MANIPULACION DE ALIMENTOS Y BPM",IF(N77=CURSOS!$D$33,"ATENCION A PERSONAS CON DISCAPACIDAD",IF(N77=CURSOS!$D$34,"CUIDADO INTEGRAL DEL PACIENTE ADULTO",IF(N77=CURSOS!$D$35,"MANEJO DEFENSIVO",IF(N77=CURSOS!$D$36,"SOPORTE CARDIOVASCULAR AVANZADO NEONATAL",IF(N77=CURSOS!$D$37,"SEGURIDAD DEL PACIENTE")))))))))))))))))))))))))))))))))))</f>
        <v>TOMA DE MUESTRAS Y LABORATORIO POCT</v>
      </c>
      <c r="U77" s="124" t="str">
        <f t="shared" si="6"/>
        <v>Karen Tatiana Chamorro Rivera</v>
      </c>
      <c r="V77" s="128" t="str">
        <f t="shared" si="7"/>
        <v>Karen Tatiana Chamorro Rivera</v>
      </c>
      <c r="W77" s="138" t="str">
        <f t="shared" si="8"/>
        <v>Karen Tatiana Chamorro Rivera-1010140050-POCT</v>
      </c>
    </row>
    <row r="78" spans="1:23" x14ac:dyDescent="0.2">
      <c r="A78" s="42">
        <v>77</v>
      </c>
      <c r="B78" s="43">
        <v>1010140050</v>
      </c>
      <c r="C78" s="17" t="s">
        <v>104</v>
      </c>
      <c r="D78" s="17" t="s">
        <v>110</v>
      </c>
      <c r="E78" s="17" t="s">
        <v>279</v>
      </c>
      <c r="F78" s="17" t="s">
        <v>291</v>
      </c>
      <c r="G78" s="14">
        <v>6</v>
      </c>
      <c r="H78" s="14" t="s">
        <v>89</v>
      </c>
      <c r="I78" s="16">
        <v>45479</v>
      </c>
      <c r="J78" s="19">
        <v>28000</v>
      </c>
      <c r="K78" s="14" t="s">
        <v>210</v>
      </c>
      <c r="L78" s="14" t="s">
        <v>90</v>
      </c>
      <c r="M78" s="14" t="s">
        <v>275</v>
      </c>
      <c r="N78" s="15" t="s">
        <v>41</v>
      </c>
      <c r="O78" s="18">
        <v>36876</v>
      </c>
      <c r="P78" s="15" t="s">
        <v>101</v>
      </c>
      <c r="Q78" s="17" t="s">
        <v>126</v>
      </c>
      <c r="R78" s="17">
        <v>3117788902</v>
      </c>
      <c r="S78" s="17" t="s">
        <v>292</v>
      </c>
      <c r="T78" s="124" t="str">
        <f>IF(N78=CURSOS!$D$3,"DIPLOMADO EN ATENCION PRE-HOSPITALARIA",IF(N78=CURSOS!$D$4,"ACOMPAÑAMIENTO Y MANEJO DEL DUELO",IF(N78=CURSOS!$D$5,"ATENCION A VICTIMAS DE ATAQUE CON AGENTES QUIMICOS ",IF(N78=CURSOS!$D$6,"PRIMEROS AUXILIOS ",IF(N78=CURSOS!$D$7,"DIPLOMADO DE UNIDAD DE CUIDADOS INTENSIVOS (UCI)",IF(N78=CURSOS!$D$8,"MODELO DE ATENCION PARA EVENTOS EMERGENTES EN SALUD MENTAL (CODIGO VERDE)",IF(N78=CURSOS!$D$9,"HUMANIZACION EN EL SERVICIO DE LA SALUD Y BUENAS PRACTICAS EN PACIENTE ",IF(N78=CURSOS!$D$10,"CLINICA DE HERIDAS ",IF(N78=CURSOS!$D$11,"TOMA DE CITOLOGIA CERVICO VAGINAL ",IF(N78=CURSOS!$D$12,"SOPORTE CARDIOVASCULAR AVANZADO (ACLS) ",IF(N78=CURSOS!$D$13,"CAMILLERO ",IF(N78=CURSOS!$D$14,"TOMA DE MUESTRAS Y LABORATORIO ",IF(N78=CURSOS!$D$15,"SOPORTE VITAL BASICO (BLS)",IF(N78=CURSOS!$D$16,"ATENCION A VICTIMAS DE VIOLENCIA SEXUAL ",IF(N78=CURSOS!$D$17,"PROGRAMADO AMPLIADO DE INMUNIZACION (PAI - COVID 19)",IF(N78=CURSOS!$D$18,"ATENCION INTEGRAL EN ENFERMEDADES PREVALENTES EN PRIMERA INFANCIA (AIEPI)",IF(N78=CURSOS!$D$19,"ADMINISTRACION DE MEDICAMENTOS, INYECTOLOGIA  Y CANALIZACION ",IF(N78=CURSOS!$D$20,"OPERADOR DE VEHICULOS DE EMERGENCIA (OVE)",IF(N78=CURSOS!$D$21,"INSTITUCIONES AMIGAS DE LA MUJER Y LA INFANCIA (IAMI)",IF(N78=CURSOS!$D$22,"CUIDADO DEL DONANTE DE ORGANOS",IF(N78=CURSOS!$D$23,"ATENCION A VICTIMAS POR VIOLENCIA DE GENERO",IF(N78=CURSOS!$D$24,"IGUALDAD DE GENERO EN LA SALUD",IF(N78=CURSOS!$D$25,"BRIGADA DE EMERGENCIA",IF(N78=CURSOS!$D$26,"MANEJO DEL DOLOR Y CUIDADOS PALIATIVOS",IF(N78=CURSOS!$D$27,"TOMA DE MUESTRAS Y LABORATORIO POCT",IF(N78=CURSOS!$D$28,"IMPLANTE SUBDERMICO DE DISPOSITIVO INTRAUTERINO",IF(N78=CURSOS!$D$29,"SALUD MENTAL",IF(N78=CURSOS!$D$30,"PRIMEROS AUXILIOS PSICOLOGICOS",IF(N78=CURSOS!$D$31,"ATENCION A VICTIMAS POR CONFLICTO ARMADO",IF(N78=CURSOS!$D$32,"MANIPULACION DE ALIMENTOS Y BPM",IF(N78=CURSOS!$D$33,"ATENCION A PERSONAS CON DISCAPACIDAD",IF(N78=CURSOS!$D$34,"CUIDADO INTEGRAL DEL PACIENTE ADULTO",IF(N78=CURSOS!$D$35,"MANEJO DEFENSIVO",IF(N78=CURSOS!$D$36,"SOPORTE CARDIOVASCULAR AVANZADO NEONATAL",IF(N78=CURSOS!$D$37,"SEGURIDAD DEL PACIENTE")))))))))))))))))))))))))))))))))))</f>
        <v xml:space="preserve">TOMA DE MUESTRAS Y LABORATORIO </v>
      </c>
      <c r="U78" s="124" t="str">
        <f t="shared" si="6"/>
        <v>Karen Tatiana Chamorro Rivera</v>
      </c>
      <c r="V78" s="128" t="str">
        <f t="shared" si="7"/>
        <v>Karen Tatiana Chamorro Rivera</v>
      </c>
      <c r="W78" s="138" t="str">
        <f t="shared" si="8"/>
        <v>Karen Tatiana Chamorro Rivera-1010140050-TOMA DE MUESTRAS</v>
      </c>
    </row>
    <row r="79" spans="1:23" x14ac:dyDescent="0.2">
      <c r="A79" s="42">
        <v>78</v>
      </c>
      <c r="B79" s="43">
        <v>1010140050</v>
      </c>
      <c r="C79" s="17" t="s">
        <v>104</v>
      </c>
      <c r="D79" s="17" t="s">
        <v>110</v>
      </c>
      <c r="E79" s="17" t="s">
        <v>279</v>
      </c>
      <c r="F79" s="17" t="s">
        <v>291</v>
      </c>
      <c r="G79" s="14">
        <v>6</v>
      </c>
      <c r="H79" s="14" t="s">
        <v>89</v>
      </c>
      <c r="I79" s="16">
        <v>45479</v>
      </c>
      <c r="J79" s="19">
        <v>28000</v>
      </c>
      <c r="K79" s="14" t="s">
        <v>210</v>
      </c>
      <c r="L79" s="14" t="s">
        <v>90</v>
      </c>
      <c r="M79" s="14" t="s">
        <v>275</v>
      </c>
      <c r="N79" s="15" t="s">
        <v>33</v>
      </c>
      <c r="O79" s="18">
        <v>36876</v>
      </c>
      <c r="P79" s="15" t="s">
        <v>101</v>
      </c>
      <c r="Q79" s="17" t="s">
        <v>126</v>
      </c>
      <c r="R79" s="17">
        <v>3117788902</v>
      </c>
      <c r="S79" s="17" t="s">
        <v>292</v>
      </c>
      <c r="T79" s="124" t="str">
        <f>IF(N79=CURSOS!$D$3,"DIPLOMADO EN ATENCION PRE-HOSPITALARIA",IF(N79=CURSOS!$D$4,"ACOMPAÑAMIENTO Y MANEJO DEL DUELO",IF(N79=CURSOS!$D$5,"ATENCION A VICTIMAS DE ATAQUE CON AGENTES QUIMICOS ",IF(N79=CURSOS!$D$6,"PRIMEROS AUXILIOS ",IF(N79=CURSOS!$D$7,"DIPLOMADO DE UNIDAD DE CUIDADOS INTENSIVOS (UCI)",IF(N79=CURSOS!$D$8,"MODELO DE ATENCION PARA EVENTOS EMERGENTES EN SALUD MENTAL (CODIGO VERDE)",IF(N79=CURSOS!$D$9,"HUMANIZACION EN EL SERVICIO DE LA SALUD Y BUENAS PRACTICAS EN PACIENTE ",IF(N79=CURSOS!$D$10,"CLINICA DE HERIDAS ",IF(N79=CURSOS!$D$11,"TOMA DE CITOLOGIA CERVICO VAGINAL ",IF(N79=CURSOS!$D$12,"SOPORTE CARDIOVASCULAR AVANZADO (ACLS) ",IF(N79=CURSOS!$D$13,"CAMILLERO ",IF(N79=CURSOS!$D$14,"TOMA DE MUESTRAS Y LABORATORIO ",IF(N79=CURSOS!$D$15,"SOPORTE VITAL BASICO (BLS)",IF(N79=CURSOS!$D$16,"ATENCION A VICTIMAS DE VIOLENCIA SEXUAL ",IF(N79=CURSOS!$D$17,"PROGRAMADO AMPLIADO DE INMUNIZACION (PAI - COVID 19)",IF(N79=CURSOS!$D$18,"ATENCION INTEGRAL EN ENFERMEDADES PREVALENTES EN PRIMERA INFANCIA (AIEPI)",IF(N79=CURSOS!$D$19,"ADMINISTRACION DE MEDICAMENTOS, INYECTOLOGIA  Y CANALIZACION ",IF(N79=CURSOS!$D$20,"OPERADOR DE VEHICULOS DE EMERGENCIA (OVE)",IF(N79=CURSOS!$D$21,"INSTITUCIONES AMIGAS DE LA MUJER Y LA INFANCIA (IAMI)",IF(N79=CURSOS!$D$22,"CUIDADO DEL DONANTE DE ORGANOS",IF(N79=CURSOS!$D$23,"ATENCION A VICTIMAS POR VIOLENCIA DE GENERO",IF(N79=CURSOS!$D$24,"IGUALDAD DE GENERO EN LA SALUD",IF(N79=CURSOS!$D$25,"BRIGADA DE EMERGENCIA",IF(N79=CURSOS!$D$26,"MANEJO DEL DOLOR Y CUIDADOS PALIATIVOS",IF(N79=CURSOS!$D$27,"TOMA DE MUESTRAS Y LABORATORIO POCT",IF(N79=CURSOS!$D$28,"IMPLANTE SUBDERMICO DE DISPOSITIVO INTRAUTERINO",IF(N79=CURSOS!$D$29,"SALUD MENTAL",IF(N79=CURSOS!$D$30,"PRIMEROS AUXILIOS PSICOLOGICOS",IF(N79=CURSOS!$D$31,"ATENCION A VICTIMAS POR CONFLICTO ARMADO",IF(N79=CURSOS!$D$32,"MANIPULACION DE ALIMENTOS Y BPM",IF(N79=CURSOS!$D$33,"ATENCION A PERSONAS CON DISCAPACIDAD",IF(N79=CURSOS!$D$34,"CUIDADO INTEGRAL DEL PACIENTE ADULTO",IF(N79=CURSOS!$D$35,"MANEJO DEFENSIVO",IF(N79=CURSOS!$D$36,"SOPORTE CARDIOVASCULAR AVANZADO NEONATAL",IF(N79=CURSOS!$D$37,"SEGURIDAD DEL PACIENTE")))))))))))))))))))))))))))))))))))</f>
        <v xml:space="preserve">HUMANIZACION EN EL SERVICIO DE LA SALUD Y BUENAS PRACTICAS EN PACIENTE </v>
      </c>
      <c r="U79" s="124" t="str">
        <f t="shared" si="6"/>
        <v>Karen Tatiana Chamorro Rivera</v>
      </c>
      <c r="V79" s="128" t="str">
        <f t="shared" si="7"/>
        <v>Karen Tatiana Chamorro Rivera</v>
      </c>
      <c r="W79" s="138" t="str">
        <f t="shared" si="8"/>
        <v>Karen Tatiana Chamorro Rivera-1010140050-HUMANIZACION</v>
      </c>
    </row>
    <row r="80" spans="1:23" x14ac:dyDescent="0.2">
      <c r="A80" s="42">
        <v>79</v>
      </c>
      <c r="B80" s="43">
        <v>1085257361</v>
      </c>
      <c r="C80" s="17" t="s">
        <v>294</v>
      </c>
      <c r="D80" s="17" t="s">
        <v>295</v>
      </c>
      <c r="E80" s="17" t="s">
        <v>293</v>
      </c>
      <c r="F80" s="17" t="s">
        <v>270</v>
      </c>
      <c r="G80" s="14">
        <v>6</v>
      </c>
      <c r="H80" s="14" t="s">
        <v>89</v>
      </c>
      <c r="I80" s="16">
        <v>45479</v>
      </c>
      <c r="J80" s="19">
        <v>40000</v>
      </c>
      <c r="K80" s="14" t="s">
        <v>246</v>
      </c>
      <c r="L80" s="14" t="s">
        <v>90</v>
      </c>
      <c r="M80" s="14" t="s">
        <v>275</v>
      </c>
      <c r="N80" s="15" t="s">
        <v>19</v>
      </c>
      <c r="O80" s="18"/>
      <c r="P80" s="15" t="s">
        <v>101</v>
      </c>
      <c r="Q80" s="17" t="s">
        <v>126</v>
      </c>
      <c r="R80" s="17">
        <v>3183337752</v>
      </c>
      <c r="S80" s="17" t="s">
        <v>296</v>
      </c>
      <c r="T80" s="124" t="str">
        <f>IF(N80=CURSOS!$D$3,"DIPLOMADO EN ATENCION PRE-HOSPITALARIA",IF(N80=CURSOS!$D$4,"ACOMPAÑAMIENTO Y MANEJO DEL DUELO",IF(N80=CURSOS!$D$5,"ATENCION A VICTIMAS DE ATAQUE CON AGENTES QUIMICOS ",IF(N80=CURSOS!$D$6,"PRIMEROS AUXILIOS ",IF(N80=CURSOS!$D$7,"DIPLOMADO DE UNIDAD DE CUIDADOS INTENSIVOS (UCI)",IF(N80=CURSOS!$D$8,"MODELO DE ATENCION PARA EVENTOS EMERGENTES EN SALUD MENTAL (CODIGO VERDE)",IF(N80=CURSOS!$D$9,"HUMANIZACION EN EL SERVICIO DE LA SALUD Y BUENAS PRACTICAS EN PACIENTE ",IF(N80=CURSOS!$D$10,"CLINICA DE HERIDAS ",IF(N80=CURSOS!$D$11,"TOMA DE CITOLOGIA CERVICO VAGINAL ",IF(N80=CURSOS!$D$12,"SOPORTE CARDIOVASCULAR AVANZADO (ACLS) ",IF(N80=CURSOS!$D$13,"CAMILLERO ",IF(N80=CURSOS!$D$14,"TOMA DE MUESTRAS Y LABORATORIO ",IF(N80=CURSOS!$D$15,"SOPORTE VITAL BASICO (BLS)",IF(N80=CURSOS!$D$16,"ATENCION A VICTIMAS DE VIOLENCIA SEXUAL ",IF(N80=CURSOS!$D$17,"PROGRAMADO AMPLIADO DE INMUNIZACION (PAI - COVID 19)",IF(N80=CURSOS!$D$18,"ATENCION INTEGRAL EN ENFERMEDADES PREVALENTES EN PRIMERA INFANCIA (AIEPI)",IF(N80=CURSOS!$D$19,"ADMINISTRACION DE MEDICAMENTOS, INYECTOLOGIA  Y CANALIZACION ",IF(N80=CURSOS!$D$20,"OPERADOR DE VEHICULOS DE EMERGENCIA (OVE)",IF(N80=CURSOS!$D$21,"INSTITUCIONES AMIGAS DE LA MUJER Y LA INFANCIA (IAMI)",IF(N80=CURSOS!$D$22,"CUIDADO DEL DONANTE DE ORGANOS",IF(N80=CURSOS!$D$23,"ATENCION A VICTIMAS POR VIOLENCIA DE GENERO",IF(N80=CURSOS!$D$24,"IGUALDAD DE GENERO EN LA SALUD",IF(N80=CURSOS!$D$25,"BRIGADA DE EMERGENCIA",IF(N80=CURSOS!$D$26,"MANEJO DEL DOLOR Y CUIDADOS PALIATIVOS",IF(N80=CURSOS!$D$27,"TOMA DE MUESTRAS Y LABORATORIO POCT",IF(N80=CURSOS!$D$28,"IMPLANTE SUBDERMICO DE DISPOSITIVO INTRAUTERINO",IF(N80=CURSOS!$D$29,"SALUD MENTAL",IF(N80=CURSOS!$D$30,"PRIMEROS AUXILIOS PSICOLOGICOS",IF(N80=CURSOS!$D$31,"ATENCION A VICTIMAS POR CONFLICTO ARMADO",IF(N80=CURSOS!$D$32,"MANIPULACION DE ALIMENTOS Y BPM",IF(N80=CURSOS!$D$33,"ATENCION A PERSONAS CON DISCAPACIDAD",IF(N80=CURSOS!$D$34,"CUIDADO INTEGRAL DEL PACIENTE ADULTO",IF(N80=CURSOS!$D$35,"MANEJO DEFENSIVO",IF(N80=CURSOS!$D$36,"SOPORTE CARDIOVASCULAR AVANZADO NEONATAL",IF(N80=CURSOS!$D$37,"SEGURIDAD DEL PACIENTE")))))))))))))))))))))))))))))))))))</f>
        <v>SOPORTE VITAL BASICO (BLS)</v>
      </c>
      <c r="U80" s="124" t="str">
        <f t="shared" si="6"/>
        <v>Liliana Alejandra Gamez Benitez</v>
      </c>
      <c r="V80" s="128" t="str">
        <f t="shared" si="7"/>
        <v>Liliana Alejandra Gamez Benitez</v>
      </c>
      <c r="W80" s="138" t="str">
        <f t="shared" si="8"/>
        <v>Liliana Alejandra Gamez Benitez-1085257361-BLS</v>
      </c>
    </row>
    <row r="81" spans="1:23" x14ac:dyDescent="0.2">
      <c r="A81" s="42">
        <v>80</v>
      </c>
      <c r="B81" s="90">
        <v>16665586</v>
      </c>
      <c r="C81" s="17" t="s">
        <v>297</v>
      </c>
      <c r="D81" s="17" t="s">
        <v>298</v>
      </c>
      <c r="E81" s="17" t="s">
        <v>299</v>
      </c>
      <c r="F81" s="17" t="s">
        <v>300</v>
      </c>
      <c r="G81" s="14">
        <v>8</v>
      </c>
      <c r="H81" s="14" t="s">
        <v>89</v>
      </c>
      <c r="I81" s="16">
        <v>45481</v>
      </c>
      <c r="J81" s="19">
        <v>0</v>
      </c>
      <c r="K81" s="14" t="s">
        <v>245</v>
      </c>
      <c r="L81" s="14" t="s">
        <v>90</v>
      </c>
      <c r="M81" s="14" t="s">
        <v>118</v>
      </c>
      <c r="N81" s="15" t="s">
        <v>27</v>
      </c>
      <c r="O81" s="18"/>
      <c r="P81" s="15"/>
      <c r="Q81" s="17"/>
      <c r="R81" s="17"/>
      <c r="S81" s="17"/>
      <c r="T81" s="124" t="str">
        <f>IF(N81=CURSOS!$D$3,"DIPLOMADO EN ATENCION PRE-HOSPITALARIA",IF(N81=CURSOS!$D$4,"ACOMPAÑAMIENTO Y MANEJO DEL DUELO",IF(N81=CURSOS!$D$5,"ATENCION A VICTIMAS DE ATAQUE CON AGENTES QUIMICOS ",IF(N81=CURSOS!$D$6,"PRIMEROS AUXILIOS ",IF(N81=CURSOS!$D$7,"DIPLOMADO DE UNIDAD DE CUIDADOS INTENSIVOS (UCI)",IF(N81=CURSOS!$D$8,"MODELO DE ATENCION PARA EVENTOS EMERGENTES EN SALUD MENTAL (CODIGO VERDE)",IF(N81=CURSOS!$D$9,"HUMANIZACION EN EL SERVICIO DE LA SALUD Y BUENAS PRACTICAS EN PACIENTE ",IF(N81=CURSOS!$D$10,"CLINICA DE HERIDAS ",IF(N81=CURSOS!$D$11,"TOMA DE CITOLOGIA CERVICO VAGINAL ",IF(N81=CURSOS!$D$12,"SOPORTE CARDIOVASCULAR AVANZADO (ACLS) ",IF(N81=CURSOS!$D$13,"CAMILLERO ",IF(N81=CURSOS!$D$14,"TOMA DE MUESTRAS Y LABORATORIO ",IF(N81=CURSOS!$D$15,"SOPORTE VITAL BASICO (BLS)",IF(N81=CURSOS!$D$16,"ATENCION A VICTIMAS DE VIOLENCIA SEXUAL ",IF(N81=CURSOS!$D$17,"PROGRAMADO AMPLIADO DE INMUNIZACION (PAI - COVID 19)",IF(N81=CURSOS!$D$18,"ATENCION INTEGRAL EN ENFERMEDADES PREVALENTES EN PRIMERA INFANCIA (AIEPI)",IF(N81=CURSOS!$D$19,"ADMINISTRACION DE MEDICAMENTOS, INYECTOLOGIA  Y CANALIZACION ",IF(N81=CURSOS!$D$20,"OPERADOR DE VEHICULOS DE EMERGENCIA (OVE)",IF(N81=CURSOS!$D$21,"INSTITUCIONES AMIGAS DE LA MUJER Y LA INFANCIA (IAMI)",IF(N81=CURSOS!$D$22,"CUIDADO DEL DONANTE DE ORGANOS",IF(N81=CURSOS!$D$23,"ATENCION A VICTIMAS POR VIOLENCIA DE GENERO",IF(N81=CURSOS!$D$24,"IGUALDAD DE GENERO EN LA SALUD",IF(N81=CURSOS!$D$25,"BRIGADA DE EMERGENCIA",IF(N81=CURSOS!$D$26,"MANEJO DEL DOLOR Y CUIDADOS PALIATIVOS",IF(N81=CURSOS!$D$27,"TOMA DE MUESTRAS Y LABORATORIO POCT",IF(N81=CURSOS!$D$28,"IMPLANTE SUBDERMICO DE DISPOSITIVO INTRAUTERINO",IF(N81=CURSOS!$D$29,"SALUD MENTAL",IF(N81=CURSOS!$D$30,"PRIMEROS AUXILIOS PSICOLOGICOS",IF(N81=CURSOS!$D$31,"ATENCION A VICTIMAS POR CONFLICTO ARMADO",IF(N81=CURSOS!$D$32,"MANIPULACION DE ALIMENTOS Y BPM",IF(N81=CURSOS!$D$33,"ATENCION A PERSONAS CON DISCAPACIDAD",IF(N81=CURSOS!$D$34,"CUIDADO INTEGRAL DEL PACIENTE ADULTO",IF(N81=CURSOS!$D$35,"MANEJO DEFENSIVO",IF(N81=CURSOS!$D$36,"SOPORTE CARDIOVASCULAR AVANZADO NEONATAL",IF(N81=CURSOS!$D$37,"SEGURIDAD DEL PACIENTE")))))))))))))))))))))))))))))))))))</f>
        <v xml:space="preserve">PRIMEROS AUXILIOS </v>
      </c>
      <c r="U81" s="124" t="str">
        <f t="shared" si="6"/>
        <v>Henry Eduardo Esparza Sinsajoa</v>
      </c>
      <c r="V81" s="128" t="str">
        <f t="shared" si="7"/>
        <v>Henry Eduardo Esparza Sinsajoa</v>
      </c>
      <c r="W81" s="138" t="str">
        <f t="shared" si="8"/>
        <v>Henry Eduardo Esparza Sinsajoa-16665586-PRIMEROS AUXILIOS</v>
      </c>
    </row>
    <row r="82" spans="1:23" x14ac:dyDescent="0.2">
      <c r="A82" s="42">
        <v>81</v>
      </c>
      <c r="B82" s="43">
        <v>1085303158</v>
      </c>
      <c r="C82" s="17" t="s">
        <v>301</v>
      </c>
      <c r="D82" s="17" t="s">
        <v>302</v>
      </c>
      <c r="E82" s="17" t="s">
        <v>303</v>
      </c>
      <c r="F82" s="17" t="s">
        <v>117</v>
      </c>
      <c r="G82" s="14">
        <v>8</v>
      </c>
      <c r="H82" s="14" t="s">
        <v>89</v>
      </c>
      <c r="I82" s="16">
        <v>45481</v>
      </c>
      <c r="J82" s="19">
        <v>0</v>
      </c>
      <c r="K82" s="14" t="s">
        <v>245</v>
      </c>
      <c r="L82" s="14" t="s">
        <v>90</v>
      </c>
      <c r="M82" s="14" t="s">
        <v>118</v>
      </c>
      <c r="N82" s="15" t="s">
        <v>27</v>
      </c>
      <c r="O82" s="18"/>
      <c r="P82" s="15"/>
      <c r="Q82" s="17"/>
      <c r="R82" s="17"/>
      <c r="S82" s="17"/>
      <c r="T82" s="124" t="str">
        <f>IF(N82=CURSOS!$D$3,"DIPLOMADO EN ATENCION PRE-HOSPITALARIA",IF(N82=CURSOS!$D$4,"ACOMPAÑAMIENTO Y MANEJO DEL DUELO",IF(N82=CURSOS!$D$5,"ATENCION A VICTIMAS DE ATAQUE CON AGENTES QUIMICOS ",IF(N82=CURSOS!$D$6,"PRIMEROS AUXILIOS ",IF(N82=CURSOS!$D$7,"DIPLOMADO DE UNIDAD DE CUIDADOS INTENSIVOS (UCI)",IF(N82=CURSOS!$D$8,"MODELO DE ATENCION PARA EVENTOS EMERGENTES EN SALUD MENTAL (CODIGO VERDE)",IF(N82=CURSOS!$D$9,"HUMANIZACION EN EL SERVICIO DE LA SALUD Y BUENAS PRACTICAS EN PACIENTE ",IF(N82=CURSOS!$D$10,"CLINICA DE HERIDAS ",IF(N82=CURSOS!$D$11,"TOMA DE CITOLOGIA CERVICO VAGINAL ",IF(N82=CURSOS!$D$12,"SOPORTE CARDIOVASCULAR AVANZADO (ACLS) ",IF(N82=CURSOS!$D$13,"CAMILLERO ",IF(N82=CURSOS!$D$14,"TOMA DE MUESTRAS Y LABORATORIO ",IF(N82=CURSOS!$D$15,"SOPORTE VITAL BASICO (BLS)",IF(N82=CURSOS!$D$16,"ATENCION A VICTIMAS DE VIOLENCIA SEXUAL ",IF(N82=CURSOS!$D$17,"PROGRAMADO AMPLIADO DE INMUNIZACION (PAI - COVID 19)",IF(N82=CURSOS!$D$18,"ATENCION INTEGRAL EN ENFERMEDADES PREVALENTES EN PRIMERA INFANCIA (AIEPI)",IF(N82=CURSOS!$D$19,"ADMINISTRACION DE MEDICAMENTOS, INYECTOLOGIA  Y CANALIZACION ",IF(N82=CURSOS!$D$20,"OPERADOR DE VEHICULOS DE EMERGENCIA (OVE)",IF(N82=CURSOS!$D$21,"INSTITUCIONES AMIGAS DE LA MUJER Y LA INFANCIA (IAMI)",IF(N82=CURSOS!$D$22,"CUIDADO DEL DONANTE DE ORGANOS",IF(N82=CURSOS!$D$23,"ATENCION A VICTIMAS POR VIOLENCIA DE GENERO",IF(N82=CURSOS!$D$24,"IGUALDAD DE GENERO EN LA SALUD",IF(N82=CURSOS!$D$25,"BRIGADA DE EMERGENCIA",IF(N82=CURSOS!$D$26,"MANEJO DEL DOLOR Y CUIDADOS PALIATIVOS",IF(N82=CURSOS!$D$27,"TOMA DE MUESTRAS Y LABORATORIO POCT",IF(N82=CURSOS!$D$28,"IMPLANTE SUBDERMICO DE DISPOSITIVO INTRAUTERINO",IF(N82=CURSOS!$D$29,"SALUD MENTAL",IF(N82=CURSOS!$D$30,"PRIMEROS AUXILIOS PSICOLOGICOS",IF(N82=CURSOS!$D$31,"ATENCION A VICTIMAS POR CONFLICTO ARMADO",IF(N82=CURSOS!$D$32,"MANIPULACION DE ALIMENTOS Y BPM",IF(N82=CURSOS!$D$33,"ATENCION A PERSONAS CON DISCAPACIDAD",IF(N82=CURSOS!$D$34,"CUIDADO INTEGRAL DEL PACIENTE ADULTO",IF(N82=CURSOS!$D$35,"MANEJO DEFENSIVO",IF(N82=CURSOS!$D$36,"SOPORTE CARDIOVASCULAR AVANZADO NEONATAL",IF(N82=CURSOS!$D$37,"SEGURIDAD DEL PACIENTE")))))))))))))))))))))))))))))))))))</f>
        <v xml:space="preserve">PRIMEROS AUXILIOS </v>
      </c>
      <c r="U82" s="124" t="str">
        <f t="shared" si="6"/>
        <v>Camila Elena Huertas Luna</v>
      </c>
      <c r="V82" s="128" t="str">
        <f t="shared" si="7"/>
        <v>Camila Elena Huertas Luna</v>
      </c>
      <c r="W82" s="138" t="str">
        <f t="shared" si="8"/>
        <v>Camila Elena Huertas Luna-1085303158-PRIMEROS AUXILIOS</v>
      </c>
    </row>
    <row r="83" spans="1:23" x14ac:dyDescent="0.2">
      <c r="A83" s="42">
        <v>82</v>
      </c>
      <c r="B83" s="43">
        <v>36751549</v>
      </c>
      <c r="C83" s="17" t="s">
        <v>304</v>
      </c>
      <c r="D83" s="17" t="s">
        <v>305</v>
      </c>
      <c r="E83" s="17" t="s">
        <v>306</v>
      </c>
      <c r="F83" s="17" t="s">
        <v>293</v>
      </c>
      <c r="G83" s="14">
        <v>8</v>
      </c>
      <c r="H83" s="14" t="s">
        <v>89</v>
      </c>
      <c r="I83" s="16">
        <v>45481</v>
      </c>
      <c r="J83" s="19">
        <v>0</v>
      </c>
      <c r="K83" s="14" t="s">
        <v>245</v>
      </c>
      <c r="L83" s="14" t="s">
        <v>90</v>
      </c>
      <c r="M83" s="14" t="s">
        <v>118</v>
      </c>
      <c r="N83" s="15" t="s">
        <v>27</v>
      </c>
      <c r="O83" s="18"/>
      <c r="P83" s="15"/>
      <c r="Q83" s="17"/>
      <c r="R83" s="17"/>
      <c r="S83" s="39"/>
      <c r="T83" s="124" t="str">
        <f>IF(N83=CURSOS!$D$3,"DIPLOMADO EN ATENCION PRE-HOSPITALARIA",IF(N83=CURSOS!$D$4,"ACOMPAÑAMIENTO Y MANEJO DEL DUELO",IF(N83=CURSOS!$D$5,"ATENCION A VICTIMAS DE ATAQUE CON AGENTES QUIMICOS ",IF(N83=CURSOS!$D$6,"PRIMEROS AUXILIOS ",IF(N83=CURSOS!$D$7,"DIPLOMADO DE UNIDAD DE CUIDADOS INTENSIVOS (UCI)",IF(N83=CURSOS!$D$8,"MODELO DE ATENCION PARA EVENTOS EMERGENTES EN SALUD MENTAL (CODIGO VERDE)",IF(N83=CURSOS!$D$9,"HUMANIZACION EN EL SERVICIO DE LA SALUD Y BUENAS PRACTICAS EN PACIENTE ",IF(N83=CURSOS!$D$10,"CLINICA DE HERIDAS ",IF(N83=CURSOS!$D$11,"TOMA DE CITOLOGIA CERVICO VAGINAL ",IF(N83=CURSOS!$D$12,"SOPORTE CARDIOVASCULAR AVANZADO (ACLS) ",IF(N83=CURSOS!$D$13,"CAMILLERO ",IF(N83=CURSOS!$D$14,"TOMA DE MUESTRAS Y LABORATORIO ",IF(N83=CURSOS!$D$15,"SOPORTE VITAL BASICO (BLS)",IF(N83=CURSOS!$D$16,"ATENCION A VICTIMAS DE VIOLENCIA SEXUAL ",IF(N83=CURSOS!$D$17,"PROGRAMADO AMPLIADO DE INMUNIZACION (PAI - COVID 19)",IF(N83=CURSOS!$D$18,"ATENCION INTEGRAL EN ENFERMEDADES PREVALENTES EN PRIMERA INFANCIA (AIEPI)",IF(N83=CURSOS!$D$19,"ADMINISTRACION DE MEDICAMENTOS, INYECTOLOGIA  Y CANALIZACION ",IF(N83=CURSOS!$D$20,"OPERADOR DE VEHICULOS DE EMERGENCIA (OVE)",IF(N83=CURSOS!$D$21,"INSTITUCIONES AMIGAS DE LA MUJER Y LA INFANCIA (IAMI)",IF(N83=CURSOS!$D$22,"CUIDADO DEL DONANTE DE ORGANOS",IF(N83=CURSOS!$D$23,"ATENCION A VICTIMAS POR VIOLENCIA DE GENERO",IF(N83=CURSOS!$D$24,"IGUALDAD DE GENERO EN LA SALUD",IF(N83=CURSOS!$D$25,"BRIGADA DE EMERGENCIA",IF(N83=CURSOS!$D$26,"MANEJO DEL DOLOR Y CUIDADOS PALIATIVOS",IF(N83=CURSOS!$D$27,"TOMA DE MUESTRAS Y LABORATORIO POCT",IF(N83=CURSOS!$D$28,"IMPLANTE SUBDERMICO DE DISPOSITIVO INTRAUTERINO",IF(N83=CURSOS!$D$29,"SALUD MENTAL",IF(N83=CURSOS!$D$30,"PRIMEROS AUXILIOS PSICOLOGICOS",IF(N83=CURSOS!$D$31,"ATENCION A VICTIMAS POR CONFLICTO ARMADO",IF(N83=CURSOS!$D$32,"MANIPULACION DE ALIMENTOS Y BPM",IF(N83=CURSOS!$D$33,"ATENCION A PERSONAS CON DISCAPACIDAD",IF(N83=CURSOS!$D$34,"CUIDADO INTEGRAL DEL PACIENTE ADULTO",IF(N83=CURSOS!$D$35,"MANEJO DEFENSIVO",IF(N83=CURSOS!$D$36,"SOPORTE CARDIOVASCULAR AVANZADO NEONATAL",IF(N83=CURSOS!$D$37,"SEGURIDAD DEL PACIENTE")))))))))))))))))))))))))))))))))))</f>
        <v xml:space="preserve">PRIMEROS AUXILIOS </v>
      </c>
      <c r="U83" s="124" t="str">
        <f t="shared" si="6"/>
        <v>Rosa Liliana Polo Castro</v>
      </c>
      <c r="V83" s="128" t="str">
        <f t="shared" si="7"/>
        <v>Rosa Liliana Polo Castro</v>
      </c>
      <c r="W83" s="138" t="str">
        <f t="shared" si="8"/>
        <v>Rosa Liliana Polo Castro-36751549-PRIMEROS AUXILIOS</v>
      </c>
    </row>
    <row r="84" spans="1:23" x14ac:dyDescent="0.2">
      <c r="A84" s="42">
        <v>83</v>
      </c>
      <c r="B84" s="43">
        <v>1085295079</v>
      </c>
      <c r="C84" s="17" t="s">
        <v>85</v>
      </c>
      <c r="D84" s="17" t="s">
        <v>307</v>
      </c>
      <c r="E84" s="17" t="s">
        <v>308</v>
      </c>
      <c r="F84" s="17" t="s">
        <v>309</v>
      </c>
      <c r="G84" s="14">
        <v>8</v>
      </c>
      <c r="H84" s="14" t="s">
        <v>89</v>
      </c>
      <c r="I84" s="16">
        <v>45481</v>
      </c>
      <c r="J84" s="19">
        <v>0</v>
      </c>
      <c r="K84" s="14" t="s">
        <v>245</v>
      </c>
      <c r="L84" s="14" t="s">
        <v>90</v>
      </c>
      <c r="M84" s="14" t="s">
        <v>118</v>
      </c>
      <c r="N84" s="15" t="s">
        <v>27</v>
      </c>
      <c r="O84" s="18"/>
      <c r="P84" s="15"/>
      <c r="Q84" s="17"/>
      <c r="R84" s="17"/>
      <c r="S84" s="17"/>
      <c r="T84" s="124" t="str">
        <f>IF(N84=CURSOS!$D$3,"DIPLOMADO EN ATENCION PRE-HOSPITALARIA",IF(N84=CURSOS!$D$4,"ACOMPAÑAMIENTO Y MANEJO DEL DUELO",IF(N84=CURSOS!$D$5,"ATENCION A VICTIMAS DE ATAQUE CON AGENTES QUIMICOS ",IF(N84=CURSOS!$D$6,"PRIMEROS AUXILIOS ",IF(N84=CURSOS!$D$7,"DIPLOMADO DE UNIDAD DE CUIDADOS INTENSIVOS (UCI)",IF(N84=CURSOS!$D$8,"MODELO DE ATENCION PARA EVENTOS EMERGENTES EN SALUD MENTAL (CODIGO VERDE)",IF(N84=CURSOS!$D$9,"HUMANIZACION EN EL SERVICIO DE LA SALUD Y BUENAS PRACTICAS EN PACIENTE ",IF(N84=CURSOS!$D$10,"CLINICA DE HERIDAS ",IF(N84=CURSOS!$D$11,"TOMA DE CITOLOGIA CERVICO VAGINAL ",IF(N84=CURSOS!$D$12,"SOPORTE CARDIOVASCULAR AVANZADO (ACLS) ",IF(N84=CURSOS!$D$13,"CAMILLERO ",IF(N84=CURSOS!$D$14,"TOMA DE MUESTRAS Y LABORATORIO ",IF(N84=CURSOS!$D$15,"SOPORTE VITAL BASICO (BLS)",IF(N84=CURSOS!$D$16,"ATENCION A VICTIMAS DE VIOLENCIA SEXUAL ",IF(N84=CURSOS!$D$17,"PROGRAMADO AMPLIADO DE INMUNIZACION (PAI - COVID 19)",IF(N84=CURSOS!$D$18,"ATENCION INTEGRAL EN ENFERMEDADES PREVALENTES EN PRIMERA INFANCIA (AIEPI)",IF(N84=CURSOS!$D$19,"ADMINISTRACION DE MEDICAMENTOS, INYECTOLOGIA  Y CANALIZACION ",IF(N84=CURSOS!$D$20,"OPERADOR DE VEHICULOS DE EMERGENCIA (OVE)",IF(N84=CURSOS!$D$21,"INSTITUCIONES AMIGAS DE LA MUJER Y LA INFANCIA (IAMI)",IF(N84=CURSOS!$D$22,"CUIDADO DEL DONANTE DE ORGANOS",IF(N84=CURSOS!$D$23,"ATENCION A VICTIMAS POR VIOLENCIA DE GENERO",IF(N84=CURSOS!$D$24,"IGUALDAD DE GENERO EN LA SALUD",IF(N84=CURSOS!$D$25,"BRIGADA DE EMERGENCIA",IF(N84=CURSOS!$D$26,"MANEJO DEL DOLOR Y CUIDADOS PALIATIVOS",IF(N84=CURSOS!$D$27,"TOMA DE MUESTRAS Y LABORATORIO POCT",IF(N84=CURSOS!$D$28,"IMPLANTE SUBDERMICO DE DISPOSITIVO INTRAUTERINO",IF(N84=CURSOS!$D$29,"SALUD MENTAL",IF(N84=CURSOS!$D$30,"PRIMEROS AUXILIOS PSICOLOGICOS",IF(N84=CURSOS!$D$31,"ATENCION A VICTIMAS POR CONFLICTO ARMADO",IF(N84=CURSOS!$D$32,"MANIPULACION DE ALIMENTOS Y BPM",IF(N84=CURSOS!$D$33,"ATENCION A PERSONAS CON DISCAPACIDAD",IF(N84=CURSOS!$D$34,"CUIDADO INTEGRAL DEL PACIENTE ADULTO",IF(N84=CURSOS!$D$35,"MANEJO DEFENSIVO",IF(N84=CURSOS!$D$36,"SOPORTE CARDIOVASCULAR AVANZADO NEONATAL",IF(N84=CURSOS!$D$37,"SEGURIDAD DEL PACIENTE")))))))))))))))))))))))))))))))))))</f>
        <v xml:space="preserve">PRIMEROS AUXILIOS </v>
      </c>
      <c r="U84" s="124" t="str">
        <f t="shared" si="6"/>
        <v>Yisseth Solangyi Burbano Ceballos</v>
      </c>
      <c r="V84" s="128" t="str">
        <f t="shared" si="7"/>
        <v>Yisseth Solangyi Burbano Ceballos</v>
      </c>
      <c r="W84" s="138" t="str">
        <f t="shared" si="8"/>
        <v>Yisseth Solangyi Burbano Ceballos-1085295079-PRIMEROS AUXILIOS</v>
      </c>
    </row>
    <row r="85" spans="1:23" x14ac:dyDescent="0.2">
      <c r="A85" s="42">
        <v>84</v>
      </c>
      <c r="B85" s="90">
        <v>1085281660</v>
      </c>
      <c r="C85" s="17" t="s">
        <v>310</v>
      </c>
      <c r="D85" s="17" t="s">
        <v>155</v>
      </c>
      <c r="E85" s="17" t="s">
        <v>311</v>
      </c>
      <c r="F85" s="17" t="s">
        <v>312</v>
      </c>
      <c r="G85" s="14">
        <v>8</v>
      </c>
      <c r="H85" s="14" t="s">
        <v>89</v>
      </c>
      <c r="I85" s="16">
        <v>45481</v>
      </c>
      <c r="J85" s="19">
        <v>0</v>
      </c>
      <c r="K85" s="14" t="s">
        <v>245</v>
      </c>
      <c r="L85" s="14" t="s">
        <v>90</v>
      </c>
      <c r="M85" s="14" t="s">
        <v>118</v>
      </c>
      <c r="N85" s="15" t="s">
        <v>27</v>
      </c>
      <c r="O85" s="18"/>
      <c r="P85" s="15"/>
      <c r="Q85" s="17"/>
      <c r="R85" s="17"/>
      <c r="S85" s="39"/>
      <c r="T85" s="124" t="str">
        <f>IF(N85=CURSOS!$D$3,"DIPLOMADO EN ATENCION PRE-HOSPITALARIA",IF(N85=CURSOS!$D$4,"ACOMPAÑAMIENTO Y MANEJO DEL DUELO",IF(N85=CURSOS!$D$5,"ATENCION A VICTIMAS DE ATAQUE CON AGENTES QUIMICOS ",IF(N85=CURSOS!$D$6,"PRIMEROS AUXILIOS ",IF(N85=CURSOS!$D$7,"DIPLOMADO DE UNIDAD DE CUIDADOS INTENSIVOS (UCI)",IF(N85=CURSOS!$D$8,"MODELO DE ATENCION PARA EVENTOS EMERGENTES EN SALUD MENTAL (CODIGO VERDE)",IF(N85=CURSOS!$D$9,"HUMANIZACION EN EL SERVICIO DE LA SALUD Y BUENAS PRACTICAS EN PACIENTE ",IF(N85=CURSOS!$D$10,"CLINICA DE HERIDAS ",IF(N85=CURSOS!$D$11,"TOMA DE CITOLOGIA CERVICO VAGINAL ",IF(N85=CURSOS!$D$12,"SOPORTE CARDIOVASCULAR AVANZADO (ACLS) ",IF(N85=CURSOS!$D$13,"CAMILLERO ",IF(N85=CURSOS!$D$14,"TOMA DE MUESTRAS Y LABORATORIO ",IF(N85=CURSOS!$D$15,"SOPORTE VITAL BASICO (BLS)",IF(N85=CURSOS!$D$16,"ATENCION A VICTIMAS DE VIOLENCIA SEXUAL ",IF(N85=CURSOS!$D$17,"PROGRAMADO AMPLIADO DE INMUNIZACION (PAI - COVID 19)",IF(N85=CURSOS!$D$18,"ATENCION INTEGRAL EN ENFERMEDADES PREVALENTES EN PRIMERA INFANCIA (AIEPI)",IF(N85=CURSOS!$D$19,"ADMINISTRACION DE MEDICAMENTOS, INYECTOLOGIA  Y CANALIZACION ",IF(N85=CURSOS!$D$20,"OPERADOR DE VEHICULOS DE EMERGENCIA (OVE)",IF(N85=CURSOS!$D$21,"INSTITUCIONES AMIGAS DE LA MUJER Y LA INFANCIA (IAMI)",IF(N85=CURSOS!$D$22,"CUIDADO DEL DONANTE DE ORGANOS",IF(N85=CURSOS!$D$23,"ATENCION A VICTIMAS POR VIOLENCIA DE GENERO",IF(N85=CURSOS!$D$24,"IGUALDAD DE GENERO EN LA SALUD",IF(N85=CURSOS!$D$25,"BRIGADA DE EMERGENCIA",IF(N85=CURSOS!$D$26,"MANEJO DEL DOLOR Y CUIDADOS PALIATIVOS",IF(N85=CURSOS!$D$27,"TOMA DE MUESTRAS Y LABORATORIO POCT",IF(N85=CURSOS!$D$28,"IMPLANTE SUBDERMICO DE DISPOSITIVO INTRAUTERINO",IF(N85=CURSOS!$D$29,"SALUD MENTAL",IF(N85=CURSOS!$D$30,"PRIMEROS AUXILIOS PSICOLOGICOS",IF(N85=CURSOS!$D$31,"ATENCION A VICTIMAS POR CONFLICTO ARMADO",IF(N85=CURSOS!$D$32,"MANIPULACION DE ALIMENTOS Y BPM",IF(N85=CURSOS!$D$33,"ATENCION A PERSONAS CON DISCAPACIDAD",IF(N85=CURSOS!$D$34,"CUIDADO INTEGRAL DEL PACIENTE ADULTO",IF(N85=CURSOS!$D$35,"MANEJO DEFENSIVO",IF(N85=CURSOS!$D$36,"SOPORTE CARDIOVASCULAR AVANZADO NEONATAL",IF(N85=CURSOS!$D$37,"SEGURIDAD DEL PACIENTE")))))))))))))))))))))))))))))))))))</f>
        <v xml:space="preserve">PRIMEROS AUXILIOS </v>
      </c>
      <c r="U85" s="124" t="str">
        <f t="shared" si="6"/>
        <v>Angie Katherine Coral Guerrero</v>
      </c>
      <c r="V85" s="128" t="str">
        <f t="shared" si="7"/>
        <v>Angie Katherine Coral Guerrero</v>
      </c>
      <c r="W85" s="138" t="str">
        <f t="shared" si="8"/>
        <v>Angie Katherine Coral Guerrero-1085281660-PRIMEROS AUXILIOS</v>
      </c>
    </row>
    <row r="86" spans="1:23" x14ac:dyDescent="0.2">
      <c r="A86" s="42">
        <v>85</v>
      </c>
      <c r="B86" s="43">
        <v>12989568</v>
      </c>
      <c r="C86" s="17" t="s">
        <v>161</v>
      </c>
      <c r="D86" s="17" t="s">
        <v>313</v>
      </c>
      <c r="E86" s="17" t="s">
        <v>163</v>
      </c>
      <c r="F86" s="17" t="s">
        <v>314</v>
      </c>
      <c r="G86" s="14">
        <v>8</v>
      </c>
      <c r="H86" s="14" t="s">
        <v>89</v>
      </c>
      <c r="I86" s="16">
        <v>45481</v>
      </c>
      <c r="J86" s="19">
        <v>0</v>
      </c>
      <c r="K86" s="14" t="s">
        <v>245</v>
      </c>
      <c r="L86" s="14" t="s">
        <v>90</v>
      </c>
      <c r="M86" s="14" t="s">
        <v>118</v>
      </c>
      <c r="N86" s="15" t="s">
        <v>27</v>
      </c>
      <c r="O86" s="18"/>
      <c r="P86" s="15"/>
      <c r="Q86" s="17"/>
      <c r="R86" s="17"/>
      <c r="S86" s="39"/>
      <c r="T86" s="124" t="str">
        <f>IF(N86=CURSOS!$D$3,"DIPLOMADO EN ATENCION PRE-HOSPITALARIA",IF(N86=CURSOS!$D$4,"ACOMPAÑAMIENTO Y MANEJO DEL DUELO",IF(N86=CURSOS!$D$5,"ATENCION A VICTIMAS DE ATAQUE CON AGENTES QUIMICOS ",IF(N86=CURSOS!$D$6,"PRIMEROS AUXILIOS ",IF(N86=CURSOS!$D$7,"DIPLOMADO DE UNIDAD DE CUIDADOS INTENSIVOS (UCI)",IF(N86=CURSOS!$D$8,"MODELO DE ATENCION PARA EVENTOS EMERGENTES EN SALUD MENTAL (CODIGO VERDE)",IF(N86=CURSOS!$D$9,"HUMANIZACION EN EL SERVICIO DE LA SALUD Y BUENAS PRACTICAS EN PACIENTE ",IF(N86=CURSOS!$D$10,"CLINICA DE HERIDAS ",IF(N86=CURSOS!$D$11,"TOMA DE CITOLOGIA CERVICO VAGINAL ",IF(N86=CURSOS!$D$12,"SOPORTE CARDIOVASCULAR AVANZADO (ACLS) ",IF(N86=CURSOS!$D$13,"CAMILLERO ",IF(N86=CURSOS!$D$14,"TOMA DE MUESTRAS Y LABORATORIO ",IF(N86=CURSOS!$D$15,"SOPORTE VITAL BASICO (BLS)",IF(N86=CURSOS!$D$16,"ATENCION A VICTIMAS DE VIOLENCIA SEXUAL ",IF(N86=CURSOS!$D$17,"PROGRAMADO AMPLIADO DE INMUNIZACION (PAI - COVID 19)",IF(N86=CURSOS!$D$18,"ATENCION INTEGRAL EN ENFERMEDADES PREVALENTES EN PRIMERA INFANCIA (AIEPI)",IF(N86=CURSOS!$D$19,"ADMINISTRACION DE MEDICAMENTOS, INYECTOLOGIA  Y CANALIZACION ",IF(N86=CURSOS!$D$20,"OPERADOR DE VEHICULOS DE EMERGENCIA (OVE)",IF(N86=CURSOS!$D$21,"INSTITUCIONES AMIGAS DE LA MUJER Y LA INFANCIA (IAMI)",IF(N86=CURSOS!$D$22,"CUIDADO DEL DONANTE DE ORGANOS",IF(N86=CURSOS!$D$23,"ATENCION A VICTIMAS POR VIOLENCIA DE GENERO",IF(N86=CURSOS!$D$24,"IGUALDAD DE GENERO EN LA SALUD",IF(N86=CURSOS!$D$25,"BRIGADA DE EMERGENCIA",IF(N86=CURSOS!$D$26,"MANEJO DEL DOLOR Y CUIDADOS PALIATIVOS",IF(N86=CURSOS!$D$27,"TOMA DE MUESTRAS Y LABORATORIO POCT",IF(N86=CURSOS!$D$28,"IMPLANTE SUBDERMICO DE DISPOSITIVO INTRAUTERINO",IF(N86=CURSOS!$D$29,"SALUD MENTAL",IF(N86=CURSOS!$D$30,"PRIMEROS AUXILIOS PSICOLOGICOS",IF(N86=CURSOS!$D$31,"ATENCION A VICTIMAS POR CONFLICTO ARMADO",IF(N86=CURSOS!$D$32,"MANIPULACION DE ALIMENTOS Y BPM",IF(N86=CURSOS!$D$33,"ATENCION A PERSONAS CON DISCAPACIDAD",IF(N86=CURSOS!$D$34,"CUIDADO INTEGRAL DEL PACIENTE ADULTO",IF(N86=CURSOS!$D$35,"MANEJO DEFENSIVO",IF(N86=CURSOS!$D$36,"SOPORTE CARDIOVASCULAR AVANZADO NEONATAL",IF(N86=CURSOS!$D$37,"SEGURIDAD DEL PACIENTE")))))))))))))))))))))))))))))))))))</f>
        <v xml:space="preserve">PRIMEROS AUXILIOS </v>
      </c>
      <c r="U86" s="124" t="str">
        <f t="shared" si="6"/>
        <v>Jairo Hernan Mesias Giraldo</v>
      </c>
      <c r="V86" s="128" t="str">
        <f t="shared" si="7"/>
        <v>Jairo Hernan Mesias Giraldo</v>
      </c>
      <c r="W86" s="138" t="str">
        <f t="shared" si="8"/>
        <v>Jairo Hernan Mesias Giraldo-12989568-PRIMEROS AUXILIOS</v>
      </c>
    </row>
    <row r="87" spans="1:23" x14ac:dyDescent="0.2">
      <c r="A87" s="42">
        <v>86</v>
      </c>
      <c r="B87" s="43">
        <v>1085255237</v>
      </c>
      <c r="C87" s="17" t="s">
        <v>315</v>
      </c>
      <c r="D87" s="17" t="s">
        <v>316</v>
      </c>
      <c r="E87" s="17" t="s">
        <v>317</v>
      </c>
      <c r="F87" s="17" t="s">
        <v>318</v>
      </c>
      <c r="G87" s="14">
        <v>8</v>
      </c>
      <c r="H87" s="14" t="s">
        <v>89</v>
      </c>
      <c r="I87" s="16">
        <v>45481</v>
      </c>
      <c r="J87" s="19">
        <v>0</v>
      </c>
      <c r="K87" s="14" t="s">
        <v>245</v>
      </c>
      <c r="L87" s="14" t="s">
        <v>90</v>
      </c>
      <c r="M87" s="14" t="s">
        <v>118</v>
      </c>
      <c r="N87" s="15" t="s">
        <v>27</v>
      </c>
      <c r="O87" s="18"/>
      <c r="P87" s="15"/>
      <c r="Q87" s="17"/>
      <c r="R87" s="17"/>
      <c r="S87" s="39"/>
      <c r="T87" s="124" t="str">
        <f>IF(N87=CURSOS!$D$3,"DIPLOMADO EN ATENCION PRE-HOSPITALARIA",IF(N87=CURSOS!$D$4,"ACOMPAÑAMIENTO Y MANEJO DEL DUELO",IF(N87=CURSOS!$D$5,"ATENCION A VICTIMAS DE ATAQUE CON AGENTES QUIMICOS ",IF(N87=CURSOS!$D$6,"PRIMEROS AUXILIOS ",IF(N87=CURSOS!$D$7,"DIPLOMADO DE UNIDAD DE CUIDADOS INTENSIVOS (UCI)",IF(N87=CURSOS!$D$8,"MODELO DE ATENCION PARA EVENTOS EMERGENTES EN SALUD MENTAL (CODIGO VERDE)",IF(N87=CURSOS!$D$9,"HUMANIZACION EN EL SERVICIO DE LA SALUD Y BUENAS PRACTICAS EN PACIENTE ",IF(N87=CURSOS!$D$10,"CLINICA DE HERIDAS ",IF(N87=CURSOS!$D$11,"TOMA DE CITOLOGIA CERVICO VAGINAL ",IF(N87=CURSOS!$D$12,"SOPORTE CARDIOVASCULAR AVANZADO (ACLS) ",IF(N87=CURSOS!$D$13,"CAMILLERO ",IF(N87=CURSOS!$D$14,"TOMA DE MUESTRAS Y LABORATORIO ",IF(N87=CURSOS!$D$15,"SOPORTE VITAL BASICO (BLS)",IF(N87=CURSOS!$D$16,"ATENCION A VICTIMAS DE VIOLENCIA SEXUAL ",IF(N87=CURSOS!$D$17,"PROGRAMADO AMPLIADO DE INMUNIZACION (PAI - COVID 19)",IF(N87=CURSOS!$D$18,"ATENCION INTEGRAL EN ENFERMEDADES PREVALENTES EN PRIMERA INFANCIA (AIEPI)",IF(N87=CURSOS!$D$19,"ADMINISTRACION DE MEDICAMENTOS, INYECTOLOGIA  Y CANALIZACION ",IF(N87=CURSOS!$D$20,"OPERADOR DE VEHICULOS DE EMERGENCIA (OVE)",IF(N87=CURSOS!$D$21,"INSTITUCIONES AMIGAS DE LA MUJER Y LA INFANCIA (IAMI)",IF(N87=CURSOS!$D$22,"CUIDADO DEL DONANTE DE ORGANOS",IF(N87=CURSOS!$D$23,"ATENCION A VICTIMAS POR VIOLENCIA DE GENERO",IF(N87=CURSOS!$D$24,"IGUALDAD DE GENERO EN LA SALUD",IF(N87=CURSOS!$D$25,"BRIGADA DE EMERGENCIA",IF(N87=CURSOS!$D$26,"MANEJO DEL DOLOR Y CUIDADOS PALIATIVOS",IF(N87=CURSOS!$D$27,"TOMA DE MUESTRAS Y LABORATORIO POCT",IF(N87=CURSOS!$D$28,"IMPLANTE SUBDERMICO DE DISPOSITIVO INTRAUTERINO",IF(N87=CURSOS!$D$29,"SALUD MENTAL",IF(N87=CURSOS!$D$30,"PRIMEROS AUXILIOS PSICOLOGICOS",IF(N87=CURSOS!$D$31,"ATENCION A VICTIMAS POR CONFLICTO ARMADO",IF(N87=CURSOS!$D$32,"MANIPULACION DE ALIMENTOS Y BPM",IF(N87=CURSOS!$D$33,"ATENCION A PERSONAS CON DISCAPACIDAD",IF(N87=CURSOS!$D$34,"CUIDADO INTEGRAL DEL PACIENTE ADULTO",IF(N87=CURSOS!$D$35,"MANEJO DEFENSIVO",IF(N87=CURSOS!$D$36,"SOPORTE CARDIOVASCULAR AVANZADO NEONATAL",IF(N87=CURSOS!$D$37,"SEGURIDAD DEL PACIENTE")))))))))))))))))))))))))))))))))))</f>
        <v xml:space="preserve">PRIMEROS AUXILIOS </v>
      </c>
      <c r="U87" s="124" t="str">
        <f t="shared" si="6"/>
        <v>Francisco David Ibarra Pabon</v>
      </c>
      <c r="V87" s="128" t="str">
        <f t="shared" si="7"/>
        <v>Francisco David Ibarra Pabon</v>
      </c>
      <c r="W87" s="138" t="str">
        <f t="shared" si="8"/>
        <v>Francisco David Ibarra Pabon-1085255237-PRIMEROS AUXILIOS</v>
      </c>
    </row>
    <row r="88" spans="1:23" x14ac:dyDescent="0.2">
      <c r="A88" s="42">
        <v>87</v>
      </c>
      <c r="B88" s="43">
        <v>98386119</v>
      </c>
      <c r="C88" s="17" t="s">
        <v>319</v>
      </c>
      <c r="D88" s="17" t="s">
        <v>320</v>
      </c>
      <c r="E88" s="17" t="s">
        <v>321</v>
      </c>
      <c r="F88" s="17" t="s">
        <v>130</v>
      </c>
      <c r="G88" s="14">
        <v>8</v>
      </c>
      <c r="H88" s="14" t="s">
        <v>89</v>
      </c>
      <c r="I88" s="16">
        <v>45481</v>
      </c>
      <c r="J88" s="19">
        <v>0</v>
      </c>
      <c r="K88" s="14" t="s">
        <v>245</v>
      </c>
      <c r="L88" s="14" t="s">
        <v>90</v>
      </c>
      <c r="M88" s="14" t="s">
        <v>118</v>
      </c>
      <c r="N88" s="15" t="s">
        <v>27</v>
      </c>
      <c r="O88" s="18"/>
      <c r="P88" s="15"/>
      <c r="Q88" s="17"/>
      <c r="R88" s="17"/>
      <c r="S88" s="39"/>
      <c r="T88" s="124" t="str">
        <f>IF(N88=CURSOS!$D$3,"DIPLOMADO EN ATENCION PRE-HOSPITALARIA",IF(N88=CURSOS!$D$4,"ACOMPAÑAMIENTO Y MANEJO DEL DUELO",IF(N88=CURSOS!$D$5,"ATENCION A VICTIMAS DE ATAQUE CON AGENTES QUIMICOS ",IF(N88=CURSOS!$D$6,"PRIMEROS AUXILIOS ",IF(N88=CURSOS!$D$7,"DIPLOMADO DE UNIDAD DE CUIDADOS INTENSIVOS (UCI)",IF(N88=CURSOS!$D$8,"MODELO DE ATENCION PARA EVENTOS EMERGENTES EN SALUD MENTAL (CODIGO VERDE)",IF(N88=CURSOS!$D$9,"HUMANIZACION EN EL SERVICIO DE LA SALUD Y BUENAS PRACTICAS EN PACIENTE ",IF(N88=CURSOS!$D$10,"CLINICA DE HERIDAS ",IF(N88=CURSOS!$D$11,"TOMA DE CITOLOGIA CERVICO VAGINAL ",IF(N88=CURSOS!$D$12,"SOPORTE CARDIOVASCULAR AVANZADO (ACLS) ",IF(N88=CURSOS!$D$13,"CAMILLERO ",IF(N88=CURSOS!$D$14,"TOMA DE MUESTRAS Y LABORATORIO ",IF(N88=CURSOS!$D$15,"SOPORTE VITAL BASICO (BLS)",IF(N88=CURSOS!$D$16,"ATENCION A VICTIMAS DE VIOLENCIA SEXUAL ",IF(N88=CURSOS!$D$17,"PROGRAMADO AMPLIADO DE INMUNIZACION (PAI - COVID 19)",IF(N88=CURSOS!$D$18,"ATENCION INTEGRAL EN ENFERMEDADES PREVALENTES EN PRIMERA INFANCIA (AIEPI)",IF(N88=CURSOS!$D$19,"ADMINISTRACION DE MEDICAMENTOS, INYECTOLOGIA  Y CANALIZACION ",IF(N88=CURSOS!$D$20,"OPERADOR DE VEHICULOS DE EMERGENCIA (OVE)",IF(N88=CURSOS!$D$21,"INSTITUCIONES AMIGAS DE LA MUJER Y LA INFANCIA (IAMI)",IF(N88=CURSOS!$D$22,"CUIDADO DEL DONANTE DE ORGANOS",IF(N88=CURSOS!$D$23,"ATENCION A VICTIMAS POR VIOLENCIA DE GENERO",IF(N88=CURSOS!$D$24,"IGUALDAD DE GENERO EN LA SALUD",IF(N88=CURSOS!$D$25,"BRIGADA DE EMERGENCIA",IF(N88=CURSOS!$D$26,"MANEJO DEL DOLOR Y CUIDADOS PALIATIVOS",IF(N88=CURSOS!$D$27,"TOMA DE MUESTRAS Y LABORATORIO POCT",IF(N88=CURSOS!$D$28,"IMPLANTE SUBDERMICO DE DISPOSITIVO INTRAUTERINO",IF(N88=CURSOS!$D$29,"SALUD MENTAL",IF(N88=CURSOS!$D$30,"PRIMEROS AUXILIOS PSICOLOGICOS",IF(N88=CURSOS!$D$31,"ATENCION A VICTIMAS POR CONFLICTO ARMADO",IF(N88=CURSOS!$D$32,"MANIPULACION DE ALIMENTOS Y BPM",IF(N88=CURSOS!$D$33,"ATENCION A PERSONAS CON DISCAPACIDAD",IF(N88=CURSOS!$D$34,"CUIDADO INTEGRAL DEL PACIENTE ADULTO",IF(N88=CURSOS!$D$35,"MANEJO DEFENSIVO",IF(N88=CURSOS!$D$36,"SOPORTE CARDIOVASCULAR AVANZADO NEONATAL",IF(N88=CURSOS!$D$37,"SEGURIDAD DEL PACIENTE")))))))))))))))))))))))))))))))))))</f>
        <v xml:space="preserve">PRIMEROS AUXILIOS </v>
      </c>
      <c r="U88" s="124" t="str">
        <f t="shared" si="6"/>
        <v>Juan Carlos Lucero De La Rosa</v>
      </c>
      <c r="V88" s="128" t="str">
        <f t="shared" si="7"/>
        <v>Juan Carlos Lucero De La Rosa</v>
      </c>
      <c r="W88" s="138" t="str">
        <f t="shared" si="8"/>
        <v>Juan Carlos Lucero De La Rosa-98386119-PRIMEROS AUXILIOS</v>
      </c>
    </row>
    <row r="89" spans="1:23" x14ac:dyDescent="0.2">
      <c r="A89" s="42">
        <v>88</v>
      </c>
      <c r="B89" s="43">
        <v>1085250220</v>
      </c>
      <c r="C89" s="17" t="s">
        <v>322</v>
      </c>
      <c r="D89" s="17" t="s">
        <v>230</v>
      </c>
      <c r="E89" s="17" t="s">
        <v>323</v>
      </c>
      <c r="F89" s="17" t="s">
        <v>324</v>
      </c>
      <c r="G89" s="14">
        <v>8</v>
      </c>
      <c r="H89" s="14" t="s">
        <v>89</v>
      </c>
      <c r="I89" s="16">
        <v>45481</v>
      </c>
      <c r="J89" s="19">
        <v>0</v>
      </c>
      <c r="K89" s="14" t="s">
        <v>245</v>
      </c>
      <c r="L89" s="14" t="s">
        <v>90</v>
      </c>
      <c r="M89" s="14" t="s">
        <v>118</v>
      </c>
      <c r="N89" s="15" t="s">
        <v>27</v>
      </c>
      <c r="O89" s="63"/>
      <c r="P89" s="15"/>
      <c r="Q89" s="17"/>
      <c r="R89" s="17"/>
      <c r="S89" s="64"/>
      <c r="T89" s="124" t="str">
        <f>IF(N89=CURSOS!$D$3,"DIPLOMADO EN ATENCION PRE-HOSPITALARIA",IF(N89=CURSOS!$D$4,"ACOMPAÑAMIENTO Y MANEJO DEL DUELO",IF(N89=CURSOS!$D$5,"ATENCION A VICTIMAS DE ATAQUE CON AGENTES QUIMICOS ",IF(N89=CURSOS!$D$6,"PRIMEROS AUXILIOS ",IF(N89=CURSOS!$D$7,"DIPLOMADO DE UNIDAD DE CUIDADOS INTENSIVOS (UCI)",IF(N89=CURSOS!$D$8,"MODELO DE ATENCION PARA EVENTOS EMERGENTES EN SALUD MENTAL (CODIGO VERDE)",IF(N89=CURSOS!$D$9,"HUMANIZACION EN EL SERVICIO DE LA SALUD Y BUENAS PRACTICAS EN PACIENTE ",IF(N89=CURSOS!$D$10,"CLINICA DE HERIDAS ",IF(N89=CURSOS!$D$11,"TOMA DE CITOLOGIA CERVICO VAGINAL ",IF(N89=CURSOS!$D$12,"SOPORTE CARDIOVASCULAR AVANZADO (ACLS) ",IF(N89=CURSOS!$D$13,"CAMILLERO ",IF(N89=CURSOS!$D$14,"TOMA DE MUESTRAS Y LABORATORIO ",IF(N89=CURSOS!$D$15,"SOPORTE VITAL BASICO (BLS)",IF(N89=CURSOS!$D$16,"ATENCION A VICTIMAS DE VIOLENCIA SEXUAL ",IF(N89=CURSOS!$D$17,"PROGRAMADO AMPLIADO DE INMUNIZACION (PAI - COVID 19)",IF(N89=CURSOS!$D$18,"ATENCION INTEGRAL EN ENFERMEDADES PREVALENTES EN PRIMERA INFANCIA (AIEPI)",IF(N89=CURSOS!$D$19,"ADMINISTRACION DE MEDICAMENTOS, INYECTOLOGIA  Y CANALIZACION ",IF(N89=CURSOS!$D$20,"OPERADOR DE VEHICULOS DE EMERGENCIA (OVE)",IF(N89=CURSOS!$D$21,"INSTITUCIONES AMIGAS DE LA MUJER Y LA INFANCIA (IAMI)",IF(N89=CURSOS!$D$22,"CUIDADO DEL DONANTE DE ORGANOS",IF(N89=CURSOS!$D$23,"ATENCION A VICTIMAS POR VIOLENCIA DE GENERO",IF(N89=CURSOS!$D$24,"IGUALDAD DE GENERO EN LA SALUD",IF(N89=CURSOS!$D$25,"BRIGADA DE EMERGENCIA",IF(N89=CURSOS!$D$26,"MANEJO DEL DOLOR Y CUIDADOS PALIATIVOS",IF(N89=CURSOS!$D$27,"TOMA DE MUESTRAS Y LABORATORIO POCT",IF(N89=CURSOS!$D$28,"IMPLANTE SUBDERMICO DE DISPOSITIVO INTRAUTERINO",IF(N89=CURSOS!$D$29,"SALUD MENTAL",IF(N89=CURSOS!$D$30,"PRIMEROS AUXILIOS PSICOLOGICOS",IF(N89=CURSOS!$D$31,"ATENCION A VICTIMAS POR CONFLICTO ARMADO",IF(N89=CURSOS!$D$32,"MANIPULACION DE ALIMENTOS Y BPM",IF(N89=CURSOS!$D$33,"ATENCION A PERSONAS CON DISCAPACIDAD",IF(N89=CURSOS!$D$34,"CUIDADO INTEGRAL DEL PACIENTE ADULTO",IF(N89=CURSOS!$D$35,"MANEJO DEFENSIVO",IF(N89=CURSOS!$D$36,"SOPORTE CARDIOVASCULAR AVANZADO NEONATAL",IF(N89=CURSOS!$D$37,"SEGURIDAD DEL PACIENTE")))))))))))))))))))))))))))))))))))</f>
        <v xml:space="preserve">PRIMEROS AUXILIOS </v>
      </c>
      <c r="U89" s="124" t="str">
        <f t="shared" si="6"/>
        <v>Jonathan Arturo Villareal Ortega</v>
      </c>
      <c r="V89" s="128" t="str">
        <f t="shared" si="7"/>
        <v>Jonathan Arturo Villareal Ortega</v>
      </c>
      <c r="W89" s="138" t="str">
        <f t="shared" si="8"/>
        <v>Jonathan Arturo Villareal Ortega-1085250220-PRIMEROS AUXILIOS</v>
      </c>
    </row>
    <row r="90" spans="1:23" x14ac:dyDescent="0.2">
      <c r="A90" s="42">
        <v>89</v>
      </c>
      <c r="B90" s="43">
        <v>1085296693</v>
      </c>
      <c r="C90" s="17" t="s">
        <v>329</v>
      </c>
      <c r="D90" s="17" t="s">
        <v>330</v>
      </c>
      <c r="E90" s="17" t="s">
        <v>331</v>
      </c>
      <c r="F90" s="17" t="s">
        <v>332</v>
      </c>
      <c r="G90" s="14">
        <v>9</v>
      </c>
      <c r="H90" s="14" t="s">
        <v>89</v>
      </c>
      <c r="I90" s="16">
        <v>45482</v>
      </c>
      <c r="J90" s="19">
        <v>60000</v>
      </c>
      <c r="K90" s="14" t="s">
        <v>210</v>
      </c>
      <c r="L90" s="14" t="s">
        <v>90</v>
      </c>
      <c r="M90" s="14" t="s">
        <v>340</v>
      </c>
      <c r="N90" s="15" t="s">
        <v>49</v>
      </c>
      <c r="O90" s="56">
        <v>33745</v>
      </c>
      <c r="P90" s="15" t="s">
        <v>91</v>
      </c>
      <c r="Q90" s="17" t="s">
        <v>290</v>
      </c>
      <c r="R90" s="53">
        <v>3162652860</v>
      </c>
      <c r="S90" s="66" t="s">
        <v>333</v>
      </c>
      <c r="T90" s="124" t="str">
        <f>IF(N90=CURSOS!$D$3,"DIPLOMADO EN ATENCION PRE-HOSPITALARIA",IF(N90=CURSOS!$D$4,"ACOMPAÑAMIENTO Y MANEJO DEL DUELO",IF(N90=CURSOS!$D$5,"ATENCION A VICTIMAS DE ATAQUE CON AGENTES QUIMICOS ",IF(N90=CURSOS!$D$6,"PRIMEROS AUXILIOS ",IF(N90=CURSOS!$D$7,"DIPLOMADO DE UNIDAD DE CUIDADOS INTENSIVOS (UCI)",IF(N90=CURSOS!$D$8,"MODELO DE ATENCION PARA EVENTOS EMERGENTES EN SALUD MENTAL (CODIGO VERDE)",IF(N90=CURSOS!$D$9,"HUMANIZACION EN EL SERVICIO DE LA SALUD Y BUENAS PRACTICAS EN PACIENTE ",IF(N90=CURSOS!$D$10,"CLINICA DE HERIDAS ",IF(N90=CURSOS!$D$11,"TOMA DE CITOLOGIA CERVICO VAGINAL ",IF(N90=CURSOS!$D$12,"SOPORTE CARDIOVASCULAR AVANZADO (ACLS) ",IF(N90=CURSOS!$D$13,"CAMILLERO ",IF(N90=CURSOS!$D$14,"TOMA DE MUESTRAS Y LABORATORIO ",IF(N90=CURSOS!$D$15,"SOPORTE VITAL BASICO (BLS)",IF(N90=CURSOS!$D$16,"ATENCION A VICTIMAS DE VIOLENCIA SEXUAL ",IF(N90=CURSOS!$D$17,"PROGRAMADO AMPLIADO DE INMUNIZACION (PAI - COVID 19)",IF(N90=CURSOS!$D$18,"ATENCION INTEGRAL EN ENFERMEDADES PREVALENTES EN PRIMERA INFANCIA (AIEPI)",IF(N90=CURSOS!$D$19,"ADMINISTRACION DE MEDICAMENTOS, INYECTOLOGIA  Y CANALIZACION ",IF(N90=CURSOS!$D$20,"OPERADOR DE VEHICULOS DE EMERGENCIA (OVE)",IF(N90=CURSOS!$D$21,"INSTITUCIONES AMIGAS DE LA MUJER Y LA INFANCIA (IAMI)",IF(N90=CURSOS!$D$22,"CUIDADO DEL DONANTE DE ORGANOS",IF(N90=CURSOS!$D$23,"ATENCION A VICTIMAS POR VIOLENCIA DE GENERO",IF(N90=CURSOS!$D$24,"IGUALDAD DE GENERO EN LA SALUD",IF(N90=CURSOS!$D$25,"BRIGADA DE EMERGENCIA",IF(N90=CURSOS!$D$26,"MANEJO DEL DOLOR Y CUIDADOS PALIATIVOS",IF(N90=CURSOS!$D$27,"TOMA DE MUESTRAS Y LABORATORIO POCT",IF(N90=CURSOS!$D$28,"IMPLANTE SUBDERMICO DE DISPOSITIVO INTRAUTERINO",IF(N90=CURSOS!$D$29,"SALUD MENTAL",IF(N90=CURSOS!$D$30,"PRIMEROS AUXILIOS PSICOLOGICOS",IF(N90=CURSOS!$D$31,"ATENCION A VICTIMAS POR CONFLICTO ARMADO",IF(N90=CURSOS!$D$32,"MANIPULACION DE ALIMENTOS Y BPM",IF(N90=CURSOS!$D$33,"ATENCION A PERSONAS CON DISCAPACIDAD",IF(N90=CURSOS!$D$34,"CUIDADO INTEGRAL DEL PACIENTE ADULTO",IF(N90=CURSOS!$D$35,"MANEJO DEFENSIVO",IF(N90=CURSOS!$D$36,"SOPORTE CARDIOVASCULAR AVANZADO NEONATAL",IF(N90=CURSOS!$D$37,"SEGURIDAD DEL PACIENTE")))))))))))))))))))))))))))))))))))</f>
        <v>OPERADOR DE VEHICULOS DE EMERGENCIA (OVE)</v>
      </c>
      <c r="U90" s="124" t="str">
        <f t="shared" si="6"/>
        <v>Dario Orlando Pinza Lasso</v>
      </c>
      <c r="V90" s="128" t="str">
        <f t="shared" si="7"/>
        <v>Dario Orlando Pinza Lasso</v>
      </c>
      <c r="W90" s="138" t="str">
        <f t="shared" si="8"/>
        <v>Dario Orlando Pinza Lasso-1085296693-OVE</v>
      </c>
    </row>
    <row r="91" spans="1:23" x14ac:dyDescent="0.2">
      <c r="A91" s="42">
        <v>90</v>
      </c>
      <c r="B91" s="43">
        <v>1085296693</v>
      </c>
      <c r="C91" s="17" t="s">
        <v>329</v>
      </c>
      <c r="D91" s="17" t="s">
        <v>330</v>
      </c>
      <c r="E91" s="17" t="s">
        <v>331</v>
      </c>
      <c r="F91" s="17" t="s">
        <v>332</v>
      </c>
      <c r="G91" s="14">
        <v>9</v>
      </c>
      <c r="H91" s="14" t="s">
        <v>89</v>
      </c>
      <c r="I91" s="16">
        <v>45482</v>
      </c>
      <c r="J91" s="19">
        <v>60000</v>
      </c>
      <c r="K91" s="14" t="s">
        <v>210</v>
      </c>
      <c r="L91" s="14" t="s">
        <v>90</v>
      </c>
      <c r="M91" s="14" t="s">
        <v>340</v>
      </c>
      <c r="N91" s="15" t="s">
        <v>338</v>
      </c>
      <c r="O91" s="56">
        <v>33745</v>
      </c>
      <c r="P91" s="15" t="s">
        <v>91</v>
      </c>
      <c r="Q91" s="17" t="s">
        <v>290</v>
      </c>
      <c r="R91" s="53">
        <v>3162652860</v>
      </c>
      <c r="S91" s="66" t="s">
        <v>333</v>
      </c>
      <c r="T91" s="124" t="str">
        <f>IF(N91=CURSOS!$D$3,"DIPLOMADO EN ATENCION PRE-HOSPITALARIA",IF(N91=CURSOS!$D$4,"ACOMPAÑAMIENTO Y MANEJO DEL DUELO",IF(N91=CURSOS!$D$5,"ATENCION A VICTIMAS DE ATAQUE CON AGENTES QUIMICOS ",IF(N91=CURSOS!$D$6,"PRIMEROS AUXILIOS ",IF(N91=CURSOS!$D$7,"DIPLOMADO DE UNIDAD DE CUIDADOS INTENSIVOS (UCI)",IF(N91=CURSOS!$D$8,"MODELO DE ATENCION PARA EVENTOS EMERGENTES EN SALUD MENTAL (CODIGO VERDE)",IF(N91=CURSOS!$D$9,"HUMANIZACION EN EL SERVICIO DE LA SALUD Y BUENAS PRACTICAS EN PACIENTE ",IF(N91=CURSOS!$D$10,"CLINICA DE HERIDAS ",IF(N91=CURSOS!$D$11,"TOMA DE CITOLOGIA CERVICO VAGINAL ",IF(N91=CURSOS!$D$12,"SOPORTE CARDIOVASCULAR AVANZADO (ACLS) ",IF(N91=CURSOS!$D$13,"CAMILLERO ",IF(N91=CURSOS!$D$14,"TOMA DE MUESTRAS Y LABORATORIO ",IF(N91=CURSOS!$D$15,"SOPORTE VITAL BASICO (BLS)",IF(N91=CURSOS!$D$16,"ATENCION A VICTIMAS DE VIOLENCIA SEXUAL ",IF(N91=CURSOS!$D$17,"PROGRAMADO AMPLIADO DE INMUNIZACION (PAI - COVID 19)",IF(N91=CURSOS!$D$18,"ATENCION INTEGRAL EN ENFERMEDADES PREVALENTES EN PRIMERA INFANCIA (AIEPI)",IF(N91=CURSOS!$D$19,"ADMINISTRACION DE MEDICAMENTOS, INYECTOLOGIA  Y CANALIZACION ",IF(N91=CURSOS!$D$20,"OPERADOR DE VEHICULOS DE EMERGENCIA (OVE)",IF(N91=CURSOS!$D$21,"INSTITUCIONES AMIGAS DE LA MUJER Y LA INFANCIA (IAMI)",IF(N91=CURSOS!$D$22,"CUIDADO DEL DONANTE DE ORGANOS",IF(N91=CURSOS!$D$23,"ATENCION A VICTIMAS POR VIOLENCIA DE GENERO",IF(N91=CURSOS!$D$24,"IGUALDAD DE GENERO EN LA SALUD",IF(N91=CURSOS!$D$25,"BRIGADA DE EMERGENCIA",IF(N91=CURSOS!$D$26,"MANEJO DEL DOLOR Y CUIDADOS PALIATIVOS",IF(N91=CURSOS!$D$27,"TOMA DE MUESTRAS Y LABORATORIO POCT",IF(N91=CURSOS!$D$28,"IMPLANTE SUBDERMICO DE DISPOSITIVO INTRAUTERINO",IF(N91=CURSOS!$D$29,"SALUD MENTAL",IF(N91=CURSOS!$D$30,"PRIMEROS AUXILIOS PSICOLOGICOS",IF(N91=CURSOS!$D$31,"ATENCION A VICTIMAS POR CONFLICTO ARMADO",IF(N91=CURSOS!$D$32,"MANIPULACION DE ALIMENTOS Y BPM",IF(N91=CURSOS!$D$33,"ATENCION A PERSONAS CON DISCAPACIDAD",IF(N91=CURSOS!$D$34,"CUIDADO INTEGRAL DEL PACIENTE ADULTO",IF(N91=CURSOS!$D$35,"MANEJO DEFENSIVO",IF(N91=CURSOS!$D$36,"SOPORTE CARDIOVASCULAR AVANZADO NEONATAL",IF(N91=CURSOS!$D$37,"SEGURIDAD DEL PACIENTE")))))))))))))))))))))))))))))))))))</f>
        <v>MANEJO DEFENSIVO</v>
      </c>
      <c r="U91" s="124" t="str">
        <f t="shared" si="6"/>
        <v>Dario Orlando Pinza Lasso</v>
      </c>
      <c r="V91" s="128" t="str">
        <f t="shared" si="7"/>
        <v>Dario Orlando Pinza Lasso</v>
      </c>
      <c r="W91" s="138" t="str">
        <f t="shared" si="8"/>
        <v>Dario Orlando Pinza Lasso-1085296693-MANEJO DEFENSIVO</v>
      </c>
    </row>
    <row r="92" spans="1:23" x14ac:dyDescent="0.2">
      <c r="A92" s="42">
        <v>91</v>
      </c>
      <c r="B92" s="43">
        <v>1085334755</v>
      </c>
      <c r="C92" s="17" t="s">
        <v>85</v>
      </c>
      <c r="D92" s="17" t="s">
        <v>334</v>
      </c>
      <c r="E92" s="17" t="s">
        <v>335</v>
      </c>
      <c r="F92" s="17" t="s">
        <v>336</v>
      </c>
      <c r="G92" s="14">
        <v>8</v>
      </c>
      <c r="H92" s="14" t="s">
        <v>89</v>
      </c>
      <c r="I92" s="16">
        <v>45481</v>
      </c>
      <c r="J92" s="19">
        <v>60000</v>
      </c>
      <c r="K92" s="14" t="s">
        <v>214</v>
      </c>
      <c r="L92" s="14" t="s">
        <v>337</v>
      </c>
      <c r="M92" s="14" t="s">
        <v>340</v>
      </c>
      <c r="N92" s="15" t="s">
        <v>338</v>
      </c>
      <c r="O92" s="56">
        <v>35566</v>
      </c>
      <c r="P92" s="15" t="s">
        <v>91</v>
      </c>
      <c r="Q92" s="17" t="s">
        <v>290</v>
      </c>
      <c r="R92" s="53">
        <v>3227782329</v>
      </c>
      <c r="S92" s="66" t="s">
        <v>339</v>
      </c>
      <c r="T92" s="124" t="str">
        <f>IF(N92=CURSOS!$D$3,"DIPLOMADO EN ATENCION PRE-HOSPITALARIA",IF(N92=CURSOS!$D$4,"ACOMPAÑAMIENTO Y MANEJO DEL DUELO",IF(N92=CURSOS!$D$5,"ATENCION A VICTIMAS DE ATAQUE CON AGENTES QUIMICOS ",IF(N92=CURSOS!$D$6,"PRIMEROS AUXILIOS ",IF(N92=CURSOS!$D$7,"DIPLOMADO DE UNIDAD DE CUIDADOS INTENSIVOS (UCI)",IF(N92=CURSOS!$D$8,"MODELO DE ATENCION PARA EVENTOS EMERGENTES EN SALUD MENTAL (CODIGO VERDE)",IF(N92=CURSOS!$D$9,"HUMANIZACION EN EL SERVICIO DE LA SALUD Y BUENAS PRACTICAS EN PACIENTE ",IF(N92=CURSOS!$D$10,"CLINICA DE HERIDAS ",IF(N92=CURSOS!$D$11,"TOMA DE CITOLOGIA CERVICO VAGINAL ",IF(N92=CURSOS!$D$12,"SOPORTE CARDIOVASCULAR AVANZADO (ACLS) ",IF(N92=CURSOS!$D$13,"CAMILLERO ",IF(N92=CURSOS!$D$14,"TOMA DE MUESTRAS Y LABORATORIO ",IF(N92=CURSOS!$D$15,"SOPORTE VITAL BASICO (BLS)",IF(N92=CURSOS!$D$16,"ATENCION A VICTIMAS DE VIOLENCIA SEXUAL ",IF(N92=CURSOS!$D$17,"PROGRAMADO AMPLIADO DE INMUNIZACION (PAI - COVID 19)",IF(N92=CURSOS!$D$18,"ATENCION INTEGRAL EN ENFERMEDADES PREVALENTES EN PRIMERA INFANCIA (AIEPI)",IF(N92=CURSOS!$D$19,"ADMINISTRACION DE MEDICAMENTOS, INYECTOLOGIA  Y CANALIZACION ",IF(N92=CURSOS!$D$20,"OPERADOR DE VEHICULOS DE EMERGENCIA (OVE)",IF(N92=CURSOS!$D$21,"INSTITUCIONES AMIGAS DE LA MUJER Y LA INFANCIA (IAMI)",IF(N92=CURSOS!$D$22,"CUIDADO DEL DONANTE DE ORGANOS",IF(N92=CURSOS!$D$23,"ATENCION A VICTIMAS POR VIOLENCIA DE GENERO",IF(N92=CURSOS!$D$24,"IGUALDAD DE GENERO EN LA SALUD",IF(N92=CURSOS!$D$25,"BRIGADA DE EMERGENCIA",IF(N92=CURSOS!$D$26,"MANEJO DEL DOLOR Y CUIDADOS PALIATIVOS",IF(N92=CURSOS!$D$27,"TOMA DE MUESTRAS Y LABORATORIO POCT",IF(N92=CURSOS!$D$28,"IMPLANTE SUBDERMICO DE DISPOSITIVO INTRAUTERINO",IF(N92=CURSOS!$D$29,"SALUD MENTAL",IF(N92=CURSOS!$D$30,"PRIMEROS AUXILIOS PSICOLOGICOS",IF(N92=CURSOS!$D$31,"ATENCION A VICTIMAS POR CONFLICTO ARMADO",IF(N92=CURSOS!$D$32,"MANIPULACION DE ALIMENTOS Y BPM",IF(N92=CURSOS!$D$33,"ATENCION A PERSONAS CON DISCAPACIDAD",IF(N92=CURSOS!$D$34,"CUIDADO INTEGRAL DEL PACIENTE ADULTO",IF(N92=CURSOS!$D$35,"MANEJO DEFENSIVO",IF(N92=CURSOS!$D$36,"SOPORTE CARDIOVASCULAR AVANZADO NEONATAL",IF(N92=CURSOS!$D$37,"SEGURIDAD DEL PACIENTE")))))))))))))))))))))))))))))))))))</f>
        <v>MANEJO DEFENSIVO</v>
      </c>
      <c r="U92" s="124" t="str">
        <f t="shared" si="6"/>
        <v>Daniel Felipe Burbano Lizcano</v>
      </c>
      <c r="V92" s="128" t="str">
        <f t="shared" si="7"/>
        <v>Daniel Felipe Burbano Lizcano</v>
      </c>
      <c r="W92" s="138" t="str">
        <f t="shared" si="8"/>
        <v>Daniel Felipe Burbano Lizcano-1085334755-MANEJO DEFENSIVO</v>
      </c>
    </row>
    <row r="93" spans="1:23" x14ac:dyDescent="0.2">
      <c r="A93" s="42">
        <v>92</v>
      </c>
      <c r="B93" s="43">
        <v>1085334755</v>
      </c>
      <c r="C93" s="17" t="s">
        <v>85</v>
      </c>
      <c r="D93" s="17" t="s">
        <v>334</v>
      </c>
      <c r="E93" s="17" t="s">
        <v>335</v>
      </c>
      <c r="F93" s="17" t="s">
        <v>336</v>
      </c>
      <c r="G93" s="14">
        <v>8</v>
      </c>
      <c r="H93" s="14" t="s">
        <v>89</v>
      </c>
      <c r="I93" s="16">
        <v>45481</v>
      </c>
      <c r="J93" s="19">
        <v>60000</v>
      </c>
      <c r="K93" s="14" t="s">
        <v>214</v>
      </c>
      <c r="L93" s="14" t="s">
        <v>337</v>
      </c>
      <c r="M93" s="14" t="s">
        <v>340</v>
      </c>
      <c r="N93" s="15" t="s">
        <v>49</v>
      </c>
      <c r="O93" s="56">
        <v>35566</v>
      </c>
      <c r="P93" s="15" t="s">
        <v>91</v>
      </c>
      <c r="Q93" s="17" t="s">
        <v>290</v>
      </c>
      <c r="R93" s="53">
        <v>3227782329</v>
      </c>
      <c r="S93" s="66" t="s">
        <v>339</v>
      </c>
      <c r="T93" s="124" t="str">
        <f>IF(N93=CURSOS!$D$3,"DIPLOMADO EN ATENCION PRE-HOSPITALARIA",IF(N93=CURSOS!$D$4,"ACOMPAÑAMIENTO Y MANEJO DEL DUELO",IF(N93=CURSOS!$D$5,"ATENCION A VICTIMAS DE ATAQUE CON AGENTES QUIMICOS ",IF(N93=CURSOS!$D$6,"PRIMEROS AUXILIOS ",IF(N93=CURSOS!$D$7,"DIPLOMADO DE UNIDAD DE CUIDADOS INTENSIVOS (UCI)",IF(N93=CURSOS!$D$8,"MODELO DE ATENCION PARA EVENTOS EMERGENTES EN SALUD MENTAL (CODIGO VERDE)",IF(N93=CURSOS!$D$9,"HUMANIZACION EN EL SERVICIO DE LA SALUD Y BUENAS PRACTICAS EN PACIENTE ",IF(N93=CURSOS!$D$10,"CLINICA DE HERIDAS ",IF(N93=CURSOS!$D$11,"TOMA DE CITOLOGIA CERVICO VAGINAL ",IF(N93=CURSOS!$D$12,"SOPORTE CARDIOVASCULAR AVANZADO (ACLS) ",IF(N93=CURSOS!$D$13,"CAMILLERO ",IF(N93=CURSOS!$D$14,"TOMA DE MUESTRAS Y LABORATORIO ",IF(N93=CURSOS!$D$15,"SOPORTE VITAL BASICO (BLS)",IF(N93=CURSOS!$D$16,"ATENCION A VICTIMAS DE VIOLENCIA SEXUAL ",IF(N93=CURSOS!$D$17,"PROGRAMADO AMPLIADO DE INMUNIZACION (PAI - COVID 19)",IF(N93=CURSOS!$D$18,"ATENCION INTEGRAL EN ENFERMEDADES PREVALENTES EN PRIMERA INFANCIA (AIEPI)",IF(N93=CURSOS!$D$19,"ADMINISTRACION DE MEDICAMENTOS, INYECTOLOGIA  Y CANALIZACION ",IF(N93=CURSOS!$D$20,"OPERADOR DE VEHICULOS DE EMERGENCIA (OVE)",IF(N93=CURSOS!$D$21,"INSTITUCIONES AMIGAS DE LA MUJER Y LA INFANCIA (IAMI)",IF(N93=CURSOS!$D$22,"CUIDADO DEL DONANTE DE ORGANOS",IF(N93=CURSOS!$D$23,"ATENCION A VICTIMAS POR VIOLENCIA DE GENERO",IF(N93=CURSOS!$D$24,"IGUALDAD DE GENERO EN LA SALUD",IF(N93=CURSOS!$D$25,"BRIGADA DE EMERGENCIA",IF(N93=CURSOS!$D$26,"MANEJO DEL DOLOR Y CUIDADOS PALIATIVOS",IF(N93=CURSOS!$D$27,"TOMA DE MUESTRAS Y LABORATORIO POCT",IF(N93=CURSOS!$D$28,"IMPLANTE SUBDERMICO DE DISPOSITIVO INTRAUTERINO",IF(N93=CURSOS!$D$29,"SALUD MENTAL",IF(N93=CURSOS!$D$30,"PRIMEROS AUXILIOS PSICOLOGICOS",IF(N93=CURSOS!$D$31,"ATENCION A VICTIMAS POR CONFLICTO ARMADO",IF(N93=CURSOS!$D$32,"MANIPULACION DE ALIMENTOS Y BPM",IF(N93=CURSOS!$D$33,"ATENCION A PERSONAS CON DISCAPACIDAD",IF(N93=CURSOS!$D$34,"CUIDADO INTEGRAL DEL PACIENTE ADULTO",IF(N93=CURSOS!$D$35,"MANEJO DEFENSIVO",IF(N93=CURSOS!$D$36,"SOPORTE CARDIOVASCULAR AVANZADO NEONATAL",IF(N93=CURSOS!$D$37,"SEGURIDAD DEL PACIENTE")))))))))))))))))))))))))))))))))))</f>
        <v>OPERADOR DE VEHICULOS DE EMERGENCIA (OVE)</v>
      </c>
      <c r="U93" s="124" t="str">
        <f t="shared" si="6"/>
        <v>Daniel Felipe Burbano Lizcano</v>
      </c>
      <c r="V93" s="128" t="str">
        <f t="shared" si="7"/>
        <v>Daniel Felipe Burbano Lizcano</v>
      </c>
      <c r="W93" s="138" t="str">
        <f t="shared" si="8"/>
        <v>Daniel Felipe Burbano Lizcano-1085334755-OVE</v>
      </c>
    </row>
    <row r="94" spans="1:23" x14ac:dyDescent="0.2">
      <c r="A94" s="42">
        <v>93</v>
      </c>
      <c r="B94" s="43">
        <v>1085334755</v>
      </c>
      <c r="C94" s="17" t="s">
        <v>85</v>
      </c>
      <c r="D94" s="17" t="s">
        <v>334</v>
      </c>
      <c r="E94" s="17" t="s">
        <v>335</v>
      </c>
      <c r="F94" s="17" t="s">
        <v>336</v>
      </c>
      <c r="G94" s="14">
        <v>8</v>
      </c>
      <c r="H94" s="14" t="s">
        <v>89</v>
      </c>
      <c r="I94" s="16">
        <v>45481</v>
      </c>
      <c r="J94" s="19">
        <v>30000</v>
      </c>
      <c r="K94" s="14" t="s">
        <v>214</v>
      </c>
      <c r="L94" s="14" t="s">
        <v>337</v>
      </c>
      <c r="M94" s="14" t="s">
        <v>340</v>
      </c>
      <c r="N94" s="15" t="s">
        <v>25</v>
      </c>
      <c r="O94" s="56">
        <v>35566</v>
      </c>
      <c r="P94" s="15" t="s">
        <v>91</v>
      </c>
      <c r="Q94" s="17" t="s">
        <v>290</v>
      </c>
      <c r="R94" s="53">
        <v>3227782329</v>
      </c>
      <c r="S94" s="64" t="s">
        <v>339</v>
      </c>
      <c r="T94" s="124" t="str">
        <f>IF(N94=CURSOS!$D$3,"DIPLOMADO EN ATENCION PRE-HOSPITALARIA",IF(N94=CURSOS!$D$4,"ACOMPAÑAMIENTO Y MANEJO DEL DUELO",IF(N94=CURSOS!$D$5,"ATENCION A VICTIMAS DE ATAQUE CON AGENTES QUIMICOS ",IF(N94=CURSOS!$D$6,"PRIMEROS AUXILIOS ",IF(N94=CURSOS!$D$7,"DIPLOMADO DE UNIDAD DE CUIDADOS INTENSIVOS (UCI)",IF(N94=CURSOS!$D$8,"MODELO DE ATENCION PARA EVENTOS EMERGENTES EN SALUD MENTAL (CODIGO VERDE)",IF(N94=CURSOS!$D$9,"HUMANIZACION EN EL SERVICIO DE LA SALUD Y BUENAS PRACTICAS EN PACIENTE ",IF(N94=CURSOS!$D$10,"CLINICA DE HERIDAS ",IF(N94=CURSOS!$D$11,"TOMA DE CITOLOGIA CERVICO VAGINAL ",IF(N94=CURSOS!$D$12,"SOPORTE CARDIOVASCULAR AVANZADO (ACLS) ",IF(N94=CURSOS!$D$13,"CAMILLERO ",IF(N94=CURSOS!$D$14,"TOMA DE MUESTRAS Y LABORATORIO ",IF(N94=CURSOS!$D$15,"SOPORTE VITAL BASICO (BLS)",IF(N94=CURSOS!$D$16,"ATENCION A VICTIMAS DE VIOLENCIA SEXUAL ",IF(N94=CURSOS!$D$17,"PROGRAMADO AMPLIADO DE INMUNIZACION (PAI - COVID 19)",IF(N94=CURSOS!$D$18,"ATENCION INTEGRAL EN ENFERMEDADES PREVALENTES EN PRIMERA INFANCIA (AIEPI)",IF(N94=CURSOS!$D$19,"ADMINISTRACION DE MEDICAMENTOS, INYECTOLOGIA  Y CANALIZACION ",IF(N94=CURSOS!$D$20,"OPERADOR DE VEHICULOS DE EMERGENCIA (OVE)",IF(N94=CURSOS!$D$21,"INSTITUCIONES AMIGAS DE LA MUJER Y LA INFANCIA (IAMI)",IF(N94=CURSOS!$D$22,"CUIDADO DEL DONANTE DE ORGANOS",IF(N94=CURSOS!$D$23,"ATENCION A VICTIMAS POR VIOLENCIA DE GENERO",IF(N94=CURSOS!$D$24,"IGUALDAD DE GENERO EN LA SALUD",IF(N94=CURSOS!$D$25,"BRIGADA DE EMERGENCIA",IF(N94=CURSOS!$D$26,"MANEJO DEL DOLOR Y CUIDADOS PALIATIVOS",IF(N94=CURSOS!$D$27,"TOMA DE MUESTRAS Y LABORATORIO POCT",IF(N94=CURSOS!$D$28,"IMPLANTE SUBDERMICO DE DISPOSITIVO INTRAUTERINO",IF(N94=CURSOS!$D$29,"SALUD MENTAL",IF(N94=CURSOS!$D$30,"PRIMEROS AUXILIOS PSICOLOGICOS",IF(N94=CURSOS!$D$31,"ATENCION A VICTIMAS POR CONFLICTO ARMADO",IF(N94=CURSOS!$D$32,"MANIPULACION DE ALIMENTOS Y BPM",IF(N94=CURSOS!$D$33,"ATENCION A PERSONAS CON DISCAPACIDAD",IF(N94=CURSOS!$D$34,"CUIDADO INTEGRAL DEL PACIENTE ADULTO",IF(N94=CURSOS!$D$35,"MANEJO DEFENSIVO",IF(N94=CURSOS!$D$36,"SOPORTE CARDIOVASCULAR AVANZADO NEONATAL",IF(N94=CURSOS!$D$37,"SEGURIDAD DEL PACIENTE")))))))))))))))))))))))))))))))))))</f>
        <v xml:space="preserve">ATENCION A VICTIMAS DE ATAQUE CON AGENTES QUIMICOS </v>
      </c>
      <c r="U94" s="124" t="str">
        <f t="shared" si="6"/>
        <v>Daniel Felipe Burbano Lizcano</v>
      </c>
      <c r="V94" s="128" t="str">
        <f t="shared" si="7"/>
        <v>Daniel Felipe Burbano Lizcano</v>
      </c>
      <c r="W94" s="138" t="str">
        <f t="shared" si="8"/>
        <v>Daniel Felipe Burbano Lizcano-1085334755-QUIMICOS</v>
      </c>
    </row>
    <row r="95" spans="1:23" x14ac:dyDescent="0.2">
      <c r="A95" s="42">
        <v>94</v>
      </c>
      <c r="B95" s="43">
        <v>1085334755</v>
      </c>
      <c r="C95" s="17" t="s">
        <v>85</v>
      </c>
      <c r="D95" s="17" t="s">
        <v>334</v>
      </c>
      <c r="E95" s="17" t="s">
        <v>335</v>
      </c>
      <c r="F95" s="17" t="s">
        <v>336</v>
      </c>
      <c r="G95" s="14">
        <v>8</v>
      </c>
      <c r="H95" s="14" t="s">
        <v>89</v>
      </c>
      <c r="I95" s="16">
        <v>45481</v>
      </c>
      <c r="J95" s="19">
        <v>30000</v>
      </c>
      <c r="K95" s="14" t="s">
        <v>214</v>
      </c>
      <c r="L95" s="14" t="s">
        <v>337</v>
      </c>
      <c r="M95" s="14" t="s">
        <v>340</v>
      </c>
      <c r="N95" s="67" t="s">
        <v>23</v>
      </c>
      <c r="O95" s="56">
        <v>35566</v>
      </c>
      <c r="P95" s="15" t="s">
        <v>91</v>
      </c>
      <c r="Q95" s="17" t="s">
        <v>290</v>
      </c>
      <c r="R95" s="53">
        <v>3227782329</v>
      </c>
      <c r="S95" s="64" t="s">
        <v>339</v>
      </c>
      <c r="T95" s="124" t="str">
        <f>IF(N95=CURSOS!$D$3,"DIPLOMADO EN ATENCION PRE-HOSPITALARIA",IF(N95=CURSOS!$D$4,"ACOMPAÑAMIENTO Y MANEJO DEL DUELO",IF(N95=CURSOS!$D$5,"ATENCION A VICTIMAS DE ATAQUE CON AGENTES QUIMICOS ",IF(N95=CURSOS!$D$6,"PRIMEROS AUXILIOS ",IF(N95=CURSOS!$D$7,"DIPLOMADO DE UNIDAD DE CUIDADOS INTENSIVOS (UCI)",IF(N95=CURSOS!$D$8,"MODELO DE ATENCION PARA EVENTOS EMERGENTES EN SALUD MENTAL (CODIGO VERDE)",IF(N95=CURSOS!$D$9,"HUMANIZACION EN EL SERVICIO DE LA SALUD Y BUENAS PRACTICAS EN PACIENTE ",IF(N95=CURSOS!$D$10,"CLINICA DE HERIDAS ",IF(N95=CURSOS!$D$11,"TOMA DE CITOLOGIA CERVICO VAGINAL ",IF(N95=CURSOS!$D$12,"SOPORTE CARDIOVASCULAR AVANZADO (ACLS) ",IF(N95=CURSOS!$D$13,"CAMILLERO ",IF(N95=CURSOS!$D$14,"TOMA DE MUESTRAS Y LABORATORIO ",IF(N95=CURSOS!$D$15,"SOPORTE VITAL BASICO (BLS)",IF(N95=CURSOS!$D$16,"ATENCION A VICTIMAS DE VIOLENCIA SEXUAL ",IF(N95=CURSOS!$D$17,"PROGRAMADO AMPLIADO DE INMUNIZACION (PAI - COVID 19)",IF(N95=CURSOS!$D$18,"ATENCION INTEGRAL EN ENFERMEDADES PREVALENTES EN PRIMERA INFANCIA (AIEPI)",IF(N95=CURSOS!$D$19,"ADMINISTRACION DE MEDICAMENTOS, INYECTOLOGIA  Y CANALIZACION ",IF(N95=CURSOS!$D$20,"OPERADOR DE VEHICULOS DE EMERGENCIA (OVE)",IF(N95=CURSOS!$D$21,"INSTITUCIONES AMIGAS DE LA MUJER Y LA INFANCIA (IAMI)",IF(N95=CURSOS!$D$22,"CUIDADO DEL DONANTE DE ORGANOS",IF(N95=CURSOS!$D$23,"ATENCION A VICTIMAS POR VIOLENCIA DE GENERO",IF(N95=CURSOS!$D$24,"IGUALDAD DE GENERO EN LA SALUD",IF(N95=CURSOS!$D$25,"BRIGADA DE EMERGENCIA",IF(N95=CURSOS!$D$26,"MANEJO DEL DOLOR Y CUIDADOS PALIATIVOS",IF(N95=CURSOS!$D$27,"TOMA DE MUESTRAS Y LABORATORIO POCT",IF(N95=CURSOS!$D$28,"IMPLANTE SUBDERMICO DE DISPOSITIVO INTRAUTERINO",IF(N95=CURSOS!$D$29,"SALUD MENTAL",IF(N95=CURSOS!$D$30,"PRIMEROS AUXILIOS PSICOLOGICOS",IF(N95=CURSOS!$D$31,"ATENCION A VICTIMAS POR CONFLICTO ARMADO",IF(N95=CURSOS!$D$32,"MANIPULACION DE ALIMENTOS Y BPM",IF(N95=CURSOS!$D$33,"ATENCION A PERSONAS CON DISCAPACIDAD",IF(N95=CURSOS!$D$34,"CUIDADO INTEGRAL DEL PACIENTE ADULTO",IF(N95=CURSOS!$D$35,"MANEJO DEFENSIVO",IF(N95=CURSOS!$D$36,"SOPORTE CARDIOVASCULAR AVANZADO NEONATAL",IF(N95=CURSOS!$D$37,"SEGURIDAD DEL PACIENTE")))))))))))))))))))))))))))))))))))</f>
        <v>ACOMPAÑAMIENTO Y MANEJO DEL DUELO</v>
      </c>
      <c r="U95" s="124" t="str">
        <f t="shared" si="6"/>
        <v>Daniel Felipe Burbano Lizcano</v>
      </c>
      <c r="V95" s="128" t="str">
        <f t="shared" si="7"/>
        <v>Daniel Felipe Burbano Lizcano</v>
      </c>
      <c r="W95" s="138" t="str">
        <f t="shared" si="8"/>
        <v>Daniel Felipe Burbano Lizcano-1085334755-DUELO</v>
      </c>
    </row>
    <row r="96" spans="1:23" x14ac:dyDescent="0.2">
      <c r="A96" s="42">
        <v>95</v>
      </c>
      <c r="B96" s="43">
        <v>1085334755</v>
      </c>
      <c r="C96" s="17" t="s">
        <v>85</v>
      </c>
      <c r="D96" s="17" t="s">
        <v>334</v>
      </c>
      <c r="E96" s="17" t="s">
        <v>335</v>
      </c>
      <c r="F96" s="17" t="s">
        <v>336</v>
      </c>
      <c r="G96" s="14">
        <v>8</v>
      </c>
      <c r="H96" s="14" t="s">
        <v>89</v>
      </c>
      <c r="I96" s="16">
        <v>45481</v>
      </c>
      <c r="J96" s="19">
        <v>30000</v>
      </c>
      <c r="K96" s="14" t="s">
        <v>214</v>
      </c>
      <c r="L96" s="14" t="s">
        <v>337</v>
      </c>
      <c r="M96" s="14" t="s">
        <v>340</v>
      </c>
      <c r="N96" s="67" t="s">
        <v>43</v>
      </c>
      <c r="O96" s="56">
        <v>35566</v>
      </c>
      <c r="P96" s="15" t="s">
        <v>91</v>
      </c>
      <c r="Q96" s="17" t="s">
        <v>290</v>
      </c>
      <c r="R96" s="53">
        <v>3227782329</v>
      </c>
      <c r="S96" s="66" t="s">
        <v>339</v>
      </c>
      <c r="T96" s="124" t="str">
        <f>IF(N96=CURSOS!$D$3,"DIPLOMADO EN ATENCION PRE-HOSPITALARIA",IF(N96=CURSOS!$D$4,"ACOMPAÑAMIENTO Y MANEJO DEL DUELO",IF(N96=CURSOS!$D$5,"ATENCION A VICTIMAS DE ATAQUE CON AGENTES QUIMICOS ",IF(N96=CURSOS!$D$6,"PRIMEROS AUXILIOS ",IF(N96=CURSOS!$D$7,"DIPLOMADO DE UNIDAD DE CUIDADOS INTENSIVOS (UCI)",IF(N96=CURSOS!$D$8,"MODELO DE ATENCION PARA EVENTOS EMERGENTES EN SALUD MENTAL (CODIGO VERDE)",IF(N96=CURSOS!$D$9,"HUMANIZACION EN EL SERVICIO DE LA SALUD Y BUENAS PRACTICAS EN PACIENTE ",IF(N96=CURSOS!$D$10,"CLINICA DE HERIDAS ",IF(N96=CURSOS!$D$11,"TOMA DE CITOLOGIA CERVICO VAGINAL ",IF(N96=CURSOS!$D$12,"SOPORTE CARDIOVASCULAR AVANZADO (ACLS) ",IF(N96=CURSOS!$D$13,"CAMILLERO ",IF(N96=CURSOS!$D$14,"TOMA DE MUESTRAS Y LABORATORIO ",IF(N96=CURSOS!$D$15,"SOPORTE VITAL BASICO (BLS)",IF(N96=CURSOS!$D$16,"ATENCION A VICTIMAS DE VIOLENCIA SEXUAL ",IF(N96=CURSOS!$D$17,"PROGRAMADO AMPLIADO DE INMUNIZACION (PAI - COVID 19)",IF(N96=CURSOS!$D$18,"ATENCION INTEGRAL EN ENFERMEDADES PREVALENTES EN PRIMERA INFANCIA (AIEPI)",IF(N96=CURSOS!$D$19,"ADMINISTRACION DE MEDICAMENTOS, INYECTOLOGIA  Y CANALIZACION ",IF(N96=CURSOS!$D$20,"OPERADOR DE VEHICULOS DE EMERGENCIA (OVE)",IF(N96=CURSOS!$D$21,"INSTITUCIONES AMIGAS DE LA MUJER Y LA INFANCIA (IAMI)",IF(N96=CURSOS!$D$22,"CUIDADO DEL DONANTE DE ORGANOS",IF(N96=CURSOS!$D$23,"ATENCION A VICTIMAS POR VIOLENCIA DE GENERO",IF(N96=CURSOS!$D$24,"IGUALDAD DE GENERO EN LA SALUD",IF(N96=CURSOS!$D$25,"BRIGADA DE EMERGENCIA",IF(N96=CURSOS!$D$26,"MANEJO DEL DOLOR Y CUIDADOS PALIATIVOS",IF(N96=CURSOS!$D$27,"TOMA DE MUESTRAS Y LABORATORIO POCT",IF(N96=CURSOS!$D$28,"IMPLANTE SUBDERMICO DE DISPOSITIVO INTRAUTERINO",IF(N96=CURSOS!$D$29,"SALUD MENTAL",IF(N96=CURSOS!$D$30,"PRIMEROS AUXILIOS PSICOLOGICOS",IF(N96=CURSOS!$D$31,"ATENCION A VICTIMAS POR CONFLICTO ARMADO",IF(N96=CURSOS!$D$32,"MANIPULACION DE ALIMENTOS Y BPM",IF(N96=CURSOS!$D$33,"ATENCION A PERSONAS CON DISCAPACIDAD",IF(N96=CURSOS!$D$34,"CUIDADO INTEGRAL DEL PACIENTE ADULTO",IF(N96=CURSOS!$D$35,"MANEJO DEFENSIVO",IF(N96=CURSOS!$D$36,"SOPORTE CARDIOVASCULAR AVANZADO NEONATAL",IF(N96=CURSOS!$D$37,"SEGURIDAD DEL PACIENTE")))))))))))))))))))))))))))))))))))</f>
        <v xml:space="preserve">ATENCION A VICTIMAS DE VIOLENCIA SEXUAL </v>
      </c>
      <c r="U96" s="124" t="str">
        <f t="shared" si="6"/>
        <v>Daniel Felipe Burbano Lizcano</v>
      </c>
      <c r="V96" s="128" t="str">
        <f t="shared" si="7"/>
        <v>Daniel Felipe Burbano Lizcano</v>
      </c>
      <c r="W96" s="138" t="str">
        <f t="shared" si="8"/>
        <v>Daniel Felipe Burbano Lizcano-1085334755-VIOLENCIA SEXUAL</v>
      </c>
    </row>
    <row r="97" spans="1:23" x14ac:dyDescent="0.2">
      <c r="A97" s="42">
        <v>96</v>
      </c>
      <c r="B97" s="43">
        <v>1085319388</v>
      </c>
      <c r="C97" s="68" t="s">
        <v>162</v>
      </c>
      <c r="D97" s="68" t="s">
        <v>122</v>
      </c>
      <c r="E97" s="68" t="s">
        <v>321</v>
      </c>
      <c r="F97" s="68" t="s">
        <v>164</v>
      </c>
      <c r="G97" s="14">
        <v>8</v>
      </c>
      <c r="H97" s="14" t="s">
        <v>89</v>
      </c>
      <c r="I97" s="16">
        <v>45481</v>
      </c>
      <c r="J97" s="19">
        <v>60000</v>
      </c>
      <c r="K97" s="14" t="s">
        <v>210</v>
      </c>
      <c r="L97" s="14" t="s">
        <v>337</v>
      </c>
      <c r="M97" s="14" t="s">
        <v>340</v>
      </c>
      <c r="N97" s="67" t="s">
        <v>49</v>
      </c>
      <c r="O97" s="56">
        <v>34774</v>
      </c>
      <c r="P97" s="121" t="s">
        <v>91</v>
      </c>
      <c r="Q97" s="17" t="s">
        <v>290</v>
      </c>
      <c r="R97" s="53">
        <v>3152040433</v>
      </c>
      <c r="S97" s="17" t="s">
        <v>341</v>
      </c>
      <c r="T97" s="124" t="str">
        <f>IF(N97=CURSOS!$D$3,"DIPLOMADO EN ATENCION PRE-HOSPITALARIA",IF(N97=CURSOS!$D$4,"ACOMPAÑAMIENTO Y MANEJO DEL DUELO",IF(N97=CURSOS!$D$5,"ATENCION A VICTIMAS DE ATAQUE CON AGENTES QUIMICOS ",IF(N97=CURSOS!$D$6,"PRIMEROS AUXILIOS ",IF(N97=CURSOS!$D$7,"DIPLOMADO DE UNIDAD DE CUIDADOS INTENSIVOS (UCI)",IF(N97=CURSOS!$D$8,"MODELO DE ATENCION PARA EVENTOS EMERGENTES EN SALUD MENTAL (CODIGO VERDE)",IF(N97=CURSOS!$D$9,"HUMANIZACION EN EL SERVICIO DE LA SALUD Y BUENAS PRACTICAS EN PACIENTE ",IF(N97=CURSOS!$D$10,"CLINICA DE HERIDAS ",IF(N97=CURSOS!$D$11,"TOMA DE CITOLOGIA CERVICO VAGINAL ",IF(N97=CURSOS!$D$12,"SOPORTE CARDIOVASCULAR AVANZADO (ACLS) ",IF(N97=CURSOS!$D$13,"CAMILLERO ",IF(N97=CURSOS!$D$14,"TOMA DE MUESTRAS Y LABORATORIO ",IF(N97=CURSOS!$D$15,"SOPORTE VITAL BASICO (BLS)",IF(N97=CURSOS!$D$16,"ATENCION A VICTIMAS DE VIOLENCIA SEXUAL ",IF(N97=CURSOS!$D$17,"PROGRAMADO AMPLIADO DE INMUNIZACION (PAI - COVID 19)",IF(N97=CURSOS!$D$18,"ATENCION INTEGRAL EN ENFERMEDADES PREVALENTES EN PRIMERA INFANCIA (AIEPI)",IF(N97=CURSOS!$D$19,"ADMINISTRACION DE MEDICAMENTOS, INYECTOLOGIA  Y CANALIZACION ",IF(N97=CURSOS!$D$20,"OPERADOR DE VEHICULOS DE EMERGENCIA (OVE)",IF(N97=CURSOS!$D$21,"INSTITUCIONES AMIGAS DE LA MUJER Y LA INFANCIA (IAMI)",IF(N97=CURSOS!$D$22,"CUIDADO DEL DONANTE DE ORGANOS",IF(N97=CURSOS!$D$23,"ATENCION A VICTIMAS POR VIOLENCIA DE GENERO",IF(N97=CURSOS!$D$24,"IGUALDAD DE GENERO EN LA SALUD",IF(N97=CURSOS!$D$25,"BRIGADA DE EMERGENCIA",IF(N97=CURSOS!$D$26,"MANEJO DEL DOLOR Y CUIDADOS PALIATIVOS",IF(N97=CURSOS!$D$27,"TOMA DE MUESTRAS Y LABORATORIO POCT",IF(N97=CURSOS!$D$28,"IMPLANTE SUBDERMICO DE DISPOSITIVO INTRAUTERINO",IF(N97=CURSOS!$D$29,"SALUD MENTAL",IF(N97=CURSOS!$D$30,"PRIMEROS AUXILIOS PSICOLOGICOS",IF(N97=CURSOS!$D$31,"ATENCION A VICTIMAS POR CONFLICTO ARMADO",IF(N97=CURSOS!$D$32,"MANIPULACION DE ALIMENTOS Y BPM",IF(N97=CURSOS!$D$33,"ATENCION A PERSONAS CON DISCAPACIDAD",IF(N97=CURSOS!$D$34,"CUIDADO INTEGRAL DEL PACIENTE ADULTO",IF(N97=CURSOS!$D$35,"MANEJO DEFENSIVO",IF(N97=CURSOS!$D$36,"SOPORTE CARDIOVASCULAR AVANZADO NEONATAL",IF(N97=CURSOS!$D$37,"SEGURIDAD DEL PACIENTE")))))))))))))))))))))))))))))))))))</f>
        <v>OPERADOR DE VEHICULOS DE EMERGENCIA (OVE)</v>
      </c>
      <c r="U97" s="124" t="str">
        <f t="shared" si="6"/>
        <v>Juan Camilo Burgos Benavides</v>
      </c>
      <c r="V97" s="128" t="str">
        <f t="shared" si="7"/>
        <v>Juan Camilo Burgos Benavides</v>
      </c>
      <c r="W97" s="138" t="str">
        <f t="shared" si="8"/>
        <v>Juan Camilo Burgos Benavides-1085319388-OVE</v>
      </c>
    </row>
    <row r="98" spans="1:23" ht="15.75" x14ac:dyDescent="0.25">
      <c r="A98" s="42">
        <v>97</v>
      </c>
      <c r="B98" s="43">
        <v>1086895517</v>
      </c>
      <c r="C98" s="68" t="s">
        <v>342</v>
      </c>
      <c r="D98" s="68" t="s">
        <v>343</v>
      </c>
      <c r="E98" s="68" t="s">
        <v>344</v>
      </c>
      <c r="F98" s="68" t="s">
        <v>105</v>
      </c>
      <c r="G98" s="14">
        <v>9</v>
      </c>
      <c r="H98" s="14" t="s">
        <v>281</v>
      </c>
      <c r="I98" s="16">
        <v>45481</v>
      </c>
      <c r="J98" s="19">
        <v>50000</v>
      </c>
      <c r="K98" s="14" t="s">
        <v>210</v>
      </c>
      <c r="L98" s="14" t="s">
        <v>90</v>
      </c>
      <c r="M98" s="14" t="s">
        <v>340</v>
      </c>
      <c r="N98" s="67" t="s">
        <v>23</v>
      </c>
      <c r="O98" s="63">
        <v>33433</v>
      </c>
      <c r="P98" s="108" t="s">
        <v>91</v>
      </c>
      <c r="Q98" s="61" t="s">
        <v>290</v>
      </c>
      <c r="R98" s="69">
        <v>3104848498</v>
      </c>
      <c r="S98" s="57" t="s">
        <v>345</v>
      </c>
      <c r="T98" s="124" t="str">
        <f>IF(N98=CURSOS!$D$3,"DIPLOMADO EN ATENCION PRE-HOSPITALARIA",IF(N98=CURSOS!$D$4,"ACOMPAÑAMIENTO Y MANEJO DEL DUELO",IF(N98=CURSOS!$D$5,"ATENCION A VICTIMAS DE ATAQUE CON AGENTES QUIMICOS ",IF(N98=CURSOS!$D$6,"PRIMEROS AUXILIOS ",IF(N98=CURSOS!$D$7,"DIPLOMADO DE UNIDAD DE CUIDADOS INTENSIVOS (UCI)",IF(N98=CURSOS!$D$8,"MODELO DE ATENCION PARA EVENTOS EMERGENTES EN SALUD MENTAL (CODIGO VERDE)",IF(N98=CURSOS!$D$9,"HUMANIZACION EN EL SERVICIO DE LA SALUD Y BUENAS PRACTICAS EN PACIENTE ",IF(N98=CURSOS!$D$10,"CLINICA DE HERIDAS ",IF(N98=CURSOS!$D$11,"TOMA DE CITOLOGIA CERVICO VAGINAL ",IF(N98=CURSOS!$D$12,"SOPORTE CARDIOVASCULAR AVANZADO (ACLS) ",IF(N98=CURSOS!$D$13,"CAMILLERO ",IF(N98=CURSOS!$D$14,"TOMA DE MUESTRAS Y LABORATORIO ",IF(N98=CURSOS!$D$15,"SOPORTE VITAL BASICO (BLS)",IF(N98=CURSOS!$D$16,"ATENCION A VICTIMAS DE VIOLENCIA SEXUAL ",IF(N98=CURSOS!$D$17,"PROGRAMADO AMPLIADO DE INMUNIZACION (PAI - COVID 19)",IF(N98=CURSOS!$D$18,"ATENCION INTEGRAL EN ENFERMEDADES PREVALENTES EN PRIMERA INFANCIA (AIEPI)",IF(N98=CURSOS!$D$19,"ADMINISTRACION DE MEDICAMENTOS, INYECTOLOGIA  Y CANALIZACION ",IF(N98=CURSOS!$D$20,"OPERADOR DE VEHICULOS DE EMERGENCIA (OVE)",IF(N98=CURSOS!$D$21,"INSTITUCIONES AMIGAS DE LA MUJER Y LA INFANCIA (IAMI)",IF(N98=CURSOS!$D$22,"CUIDADO DEL DONANTE DE ORGANOS",IF(N98=CURSOS!$D$23,"ATENCION A VICTIMAS POR VIOLENCIA DE GENERO",IF(N98=CURSOS!$D$24,"IGUALDAD DE GENERO EN LA SALUD",IF(N98=CURSOS!$D$25,"BRIGADA DE EMERGENCIA",IF(N98=CURSOS!$D$26,"MANEJO DEL DOLOR Y CUIDADOS PALIATIVOS",IF(N98=CURSOS!$D$27,"TOMA DE MUESTRAS Y LABORATORIO POCT",IF(N98=CURSOS!$D$28,"IMPLANTE SUBDERMICO DE DISPOSITIVO INTRAUTERINO",IF(N98=CURSOS!$D$29,"SALUD MENTAL",IF(N98=CURSOS!$D$30,"PRIMEROS AUXILIOS PSICOLOGICOS",IF(N98=CURSOS!$D$31,"ATENCION A VICTIMAS POR CONFLICTO ARMADO",IF(N98=CURSOS!$D$32,"MANIPULACION DE ALIMENTOS Y BPM",IF(N98=CURSOS!$D$33,"ATENCION A PERSONAS CON DISCAPACIDAD",IF(N98=CURSOS!$D$34,"CUIDADO INTEGRAL DEL PACIENTE ADULTO",IF(N98=CURSOS!$D$35,"MANEJO DEFENSIVO",IF(N98=CURSOS!$D$36,"SOPORTE CARDIOVASCULAR AVANZADO NEONATAL",IF(N98=CURSOS!$D$37,"SEGURIDAD DEL PACIENTE")))))))))))))))))))))))))))))))))))</f>
        <v>ACOMPAÑAMIENTO Y MANEJO DEL DUELO</v>
      </c>
      <c r="U98" s="124" t="str">
        <f t="shared" si="6"/>
        <v>Iván Mauricio Noguera Mora</v>
      </c>
      <c r="V98" s="128" t="str">
        <f t="shared" si="7"/>
        <v>Iván Mauricio Noguera Mora</v>
      </c>
      <c r="W98" s="138" t="str">
        <f t="shared" si="8"/>
        <v>Iván Mauricio Noguera Mora-1086895517-DUELO</v>
      </c>
    </row>
    <row r="99" spans="1:23" ht="15.75" x14ac:dyDescent="0.25">
      <c r="A99" s="42">
        <v>98</v>
      </c>
      <c r="B99" s="43">
        <v>1086895517</v>
      </c>
      <c r="C99" s="68" t="s">
        <v>342</v>
      </c>
      <c r="D99" s="68" t="s">
        <v>343</v>
      </c>
      <c r="E99" s="68" t="s">
        <v>344</v>
      </c>
      <c r="F99" s="68" t="s">
        <v>105</v>
      </c>
      <c r="G99" s="14">
        <v>9</v>
      </c>
      <c r="H99" s="14" t="s">
        <v>89</v>
      </c>
      <c r="I99" s="16">
        <v>45481</v>
      </c>
      <c r="J99" s="19">
        <v>50000</v>
      </c>
      <c r="K99" s="14" t="s">
        <v>210</v>
      </c>
      <c r="L99" s="14" t="s">
        <v>90</v>
      </c>
      <c r="M99" s="14" t="s">
        <v>340</v>
      </c>
      <c r="N99" s="67" t="s">
        <v>25</v>
      </c>
      <c r="O99" s="63">
        <v>33433</v>
      </c>
      <c r="P99" s="108" t="s">
        <v>91</v>
      </c>
      <c r="Q99" s="61" t="s">
        <v>290</v>
      </c>
      <c r="R99" s="69">
        <v>3104848498</v>
      </c>
      <c r="S99" s="57" t="s">
        <v>345</v>
      </c>
      <c r="T99" s="124" t="str">
        <f>IF(N99=CURSOS!$D$3,"DIPLOMADO EN ATENCION PRE-HOSPITALARIA",IF(N99=CURSOS!$D$4,"ACOMPAÑAMIENTO Y MANEJO DEL DUELO",IF(N99=CURSOS!$D$5,"ATENCION A VICTIMAS DE ATAQUE CON AGENTES QUIMICOS ",IF(N99=CURSOS!$D$6,"PRIMEROS AUXILIOS ",IF(N99=CURSOS!$D$7,"DIPLOMADO DE UNIDAD DE CUIDADOS INTENSIVOS (UCI)",IF(N99=CURSOS!$D$8,"MODELO DE ATENCION PARA EVENTOS EMERGENTES EN SALUD MENTAL (CODIGO VERDE)",IF(N99=CURSOS!$D$9,"HUMANIZACION EN EL SERVICIO DE LA SALUD Y BUENAS PRACTICAS EN PACIENTE ",IF(N99=CURSOS!$D$10,"CLINICA DE HERIDAS ",IF(N99=CURSOS!$D$11,"TOMA DE CITOLOGIA CERVICO VAGINAL ",IF(N99=CURSOS!$D$12,"SOPORTE CARDIOVASCULAR AVANZADO (ACLS) ",IF(N99=CURSOS!$D$13,"CAMILLERO ",IF(N99=CURSOS!$D$14,"TOMA DE MUESTRAS Y LABORATORIO ",IF(N99=CURSOS!$D$15,"SOPORTE VITAL BASICO (BLS)",IF(N99=CURSOS!$D$16,"ATENCION A VICTIMAS DE VIOLENCIA SEXUAL ",IF(N99=CURSOS!$D$17,"PROGRAMADO AMPLIADO DE INMUNIZACION (PAI - COVID 19)",IF(N99=CURSOS!$D$18,"ATENCION INTEGRAL EN ENFERMEDADES PREVALENTES EN PRIMERA INFANCIA (AIEPI)",IF(N99=CURSOS!$D$19,"ADMINISTRACION DE MEDICAMENTOS, INYECTOLOGIA  Y CANALIZACION ",IF(N99=CURSOS!$D$20,"OPERADOR DE VEHICULOS DE EMERGENCIA (OVE)",IF(N99=CURSOS!$D$21,"INSTITUCIONES AMIGAS DE LA MUJER Y LA INFANCIA (IAMI)",IF(N99=CURSOS!$D$22,"CUIDADO DEL DONANTE DE ORGANOS",IF(N99=CURSOS!$D$23,"ATENCION A VICTIMAS POR VIOLENCIA DE GENERO",IF(N99=CURSOS!$D$24,"IGUALDAD DE GENERO EN LA SALUD",IF(N99=CURSOS!$D$25,"BRIGADA DE EMERGENCIA",IF(N99=CURSOS!$D$26,"MANEJO DEL DOLOR Y CUIDADOS PALIATIVOS",IF(N99=CURSOS!$D$27,"TOMA DE MUESTRAS Y LABORATORIO POCT",IF(N99=CURSOS!$D$28,"IMPLANTE SUBDERMICO DE DISPOSITIVO INTRAUTERINO",IF(N99=CURSOS!$D$29,"SALUD MENTAL",IF(N99=CURSOS!$D$30,"PRIMEROS AUXILIOS PSICOLOGICOS",IF(N99=CURSOS!$D$31,"ATENCION A VICTIMAS POR CONFLICTO ARMADO",IF(N99=CURSOS!$D$32,"MANIPULACION DE ALIMENTOS Y BPM",IF(N99=CURSOS!$D$33,"ATENCION A PERSONAS CON DISCAPACIDAD",IF(N99=CURSOS!$D$34,"CUIDADO INTEGRAL DEL PACIENTE ADULTO",IF(N99=CURSOS!$D$35,"MANEJO DEFENSIVO",IF(N99=CURSOS!$D$36,"SOPORTE CARDIOVASCULAR AVANZADO NEONATAL",IF(N99=CURSOS!$D$37,"SEGURIDAD DEL PACIENTE")))))))))))))))))))))))))))))))))))</f>
        <v xml:space="preserve">ATENCION A VICTIMAS DE ATAQUE CON AGENTES QUIMICOS </v>
      </c>
      <c r="U99" s="124" t="str">
        <f t="shared" si="6"/>
        <v>Iván Mauricio Noguera Mora</v>
      </c>
      <c r="V99" s="128" t="str">
        <f t="shared" si="7"/>
        <v>Iván Mauricio Noguera Mora</v>
      </c>
      <c r="W99" s="138" t="str">
        <f t="shared" si="8"/>
        <v>Iván Mauricio Noguera Mora-1086895517-QUIMICOS</v>
      </c>
    </row>
    <row r="100" spans="1:23" ht="15.75" x14ac:dyDescent="0.25">
      <c r="A100" s="42">
        <v>99</v>
      </c>
      <c r="B100" s="43">
        <v>1086895517</v>
      </c>
      <c r="C100" s="68" t="s">
        <v>342</v>
      </c>
      <c r="D100" s="68" t="s">
        <v>343</v>
      </c>
      <c r="E100" s="68" t="s">
        <v>344</v>
      </c>
      <c r="F100" s="68" t="s">
        <v>105</v>
      </c>
      <c r="G100" s="14">
        <v>9</v>
      </c>
      <c r="H100" s="14" t="s">
        <v>89</v>
      </c>
      <c r="I100" s="16">
        <v>45481</v>
      </c>
      <c r="J100" s="19">
        <v>50000</v>
      </c>
      <c r="K100" s="14" t="s">
        <v>210</v>
      </c>
      <c r="L100" s="14" t="s">
        <v>90</v>
      </c>
      <c r="M100" s="14" t="s">
        <v>340</v>
      </c>
      <c r="N100" s="67" t="s">
        <v>43</v>
      </c>
      <c r="O100" s="63">
        <v>33433</v>
      </c>
      <c r="P100" s="108" t="s">
        <v>91</v>
      </c>
      <c r="Q100" s="61" t="s">
        <v>290</v>
      </c>
      <c r="R100" s="69">
        <v>3104848498</v>
      </c>
      <c r="S100" s="57" t="s">
        <v>345</v>
      </c>
      <c r="T100" s="124" t="str">
        <f>IF(N100=CURSOS!$D$3,"DIPLOMADO EN ATENCION PRE-HOSPITALARIA",IF(N100=CURSOS!$D$4,"ACOMPAÑAMIENTO Y MANEJO DEL DUELO",IF(N100=CURSOS!$D$5,"ATENCION A VICTIMAS DE ATAQUE CON AGENTES QUIMICOS ",IF(N100=CURSOS!$D$6,"PRIMEROS AUXILIOS ",IF(N100=CURSOS!$D$7,"DIPLOMADO DE UNIDAD DE CUIDADOS INTENSIVOS (UCI)",IF(N100=CURSOS!$D$8,"MODELO DE ATENCION PARA EVENTOS EMERGENTES EN SALUD MENTAL (CODIGO VERDE)",IF(N100=CURSOS!$D$9,"HUMANIZACION EN EL SERVICIO DE LA SALUD Y BUENAS PRACTICAS EN PACIENTE ",IF(N100=CURSOS!$D$10,"CLINICA DE HERIDAS ",IF(N100=CURSOS!$D$11,"TOMA DE CITOLOGIA CERVICO VAGINAL ",IF(N100=CURSOS!$D$12,"SOPORTE CARDIOVASCULAR AVANZADO (ACLS) ",IF(N100=CURSOS!$D$13,"CAMILLERO ",IF(N100=CURSOS!$D$14,"TOMA DE MUESTRAS Y LABORATORIO ",IF(N100=CURSOS!$D$15,"SOPORTE VITAL BASICO (BLS)",IF(N100=CURSOS!$D$16,"ATENCION A VICTIMAS DE VIOLENCIA SEXUAL ",IF(N100=CURSOS!$D$17,"PROGRAMADO AMPLIADO DE INMUNIZACION (PAI - COVID 19)",IF(N100=CURSOS!$D$18,"ATENCION INTEGRAL EN ENFERMEDADES PREVALENTES EN PRIMERA INFANCIA (AIEPI)",IF(N100=CURSOS!$D$19,"ADMINISTRACION DE MEDICAMENTOS, INYECTOLOGIA  Y CANALIZACION ",IF(N100=CURSOS!$D$20,"OPERADOR DE VEHICULOS DE EMERGENCIA (OVE)",IF(N100=CURSOS!$D$21,"INSTITUCIONES AMIGAS DE LA MUJER Y LA INFANCIA (IAMI)",IF(N100=CURSOS!$D$22,"CUIDADO DEL DONANTE DE ORGANOS",IF(N100=CURSOS!$D$23,"ATENCION A VICTIMAS POR VIOLENCIA DE GENERO",IF(N100=CURSOS!$D$24,"IGUALDAD DE GENERO EN LA SALUD",IF(N100=CURSOS!$D$25,"BRIGADA DE EMERGENCIA",IF(N100=CURSOS!$D$26,"MANEJO DEL DOLOR Y CUIDADOS PALIATIVOS",IF(N100=CURSOS!$D$27,"TOMA DE MUESTRAS Y LABORATORIO POCT",IF(N100=CURSOS!$D$28,"IMPLANTE SUBDERMICO DE DISPOSITIVO INTRAUTERINO",IF(N100=CURSOS!$D$29,"SALUD MENTAL",IF(N100=CURSOS!$D$30,"PRIMEROS AUXILIOS PSICOLOGICOS",IF(N100=CURSOS!$D$31,"ATENCION A VICTIMAS POR CONFLICTO ARMADO",IF(N100=CURSOS!$D$32,"MANIPULACION DE ALIMENTOS Y BPM",IF(N100=CURSOS!$D$33,"ATENCION A PERSONAS CON DISCAPACIDAD",IF(N100=CURSOS!$D$34,"CUIDADO INTEGRAL DEL PACIENTE ADULTO",IF(N100=CURSOS!$D$35,"MANEJO DEFENSIVO",IF(N100=CURSOS!$D$36,"SOPORTE CARDIOVASCULAR AVANZADO NEONATAL",IF(N100=CURSOS!$D$37,"SEGURIDAD DEL PACIENTE")))))))))))))))))))))))))))))))))))</f>
        <v xml:space="preserve">ATENCION A VICTIMAS DE VIOLENCIA SEXUAL </v>
      </c>
      <c r="U100" s="124" t="str">
        <f t="shared" si="6"/>
        <v>Iván Mauricio Noguera Mora</v>
      </c>
      <c r="V100" s="128" t="str">
        <f t="shared" si="7"/>
        <v>Iván Mauricio Noguera Mora</v>
      </c>
      <c r="W100" s="138" t="str">
        <f t="shared" si="8"/>
        <v>Iván Mauricio Noguera Mora-1086895517-VIOLENCIA SEXUAL</v>
      </c>
    </row>
    <row r="101" spans="1:23" ht="15.75" x14ac:dyDescent="0.25">
      <c r="A101" s="42">
        <v>100</v>
      </c>
      <c r="B101" s="43">
        <v>1086895517</v>
      </c>
      <c r="C101" s="68" t="s">
        <v>342</v>
      </c>
      <c r="D101" s="68" t="s">
        <v>343</v>
      </c>
      <c r="E101" s="68" t="s">
        <v>344</v>
      </c>
      <c r="F101" s="68" t="s">
        <v>105</v>
      </c>
      <c r="G101" s="14">
        <v>9</v>
      </c>
      <c r="H101" s="14" t="s">
        <v>89</v>
      </c>
      <c r="I101" s="16">
        <v>45481</v>
      </c>
      <c r="J101" s="19">
        <v>50000</v>
      </c>
      <c r="K101" s="14" t="s">
        <v>210</v>
      </c>
      <c r="L101" s="14" t="s">
        <v>90</v>
      </c>
      <c r="M101" s="14" t="s">
        <v>340</v>
      </c>
      <c r="N101" s="67" t="s">
        <v>49</v>
      </c>
      <c r="O101" s="63">
        <v>33433</v>
      </c>
      <c r="P101" s="108" t="s">
        <v>91</v>
      </c>
      <c r="Q101" s="61" t="s">
        <v>290</v>
      </c>
      <c r="R101" s="69">
        <v>3104848498</v>
      </c>
      <c r="S101" s="57" t="s">
        <v>345</v>
      </c>
      <c r="T101" s="124" t="str">
        <f>IF(N101=CURSOS!$D$3,"DIPLOMADO EN ATENCION PRE-HOSPITALARIA",IF(N101=CURSOS!$D$4,"ACOMPAÑAMIENTO Y MANEJO DEL DUELO",IF(N101=CURSOS!$D$5,"ATENCION A VICTIMAS DE ATAQUE CON AGENTES QUIMICOS ",IF(N101=CURSOS!$D$6,"PRIMEROS AUXILIOS ",IF(N101=CURSOS!$D$7,"DIPLOMADO DE UNIDAD DE CUIDADOS INTENSIVOS (UCI)",IF(N101=CURSOS!$D$8,"MODELO DE ATENCION PARA EVENTOS EMERGENTES EN SALUD MENTAL (CODIGO VERDE)",IF(N101=CURSOS!$D$9,"HUMANIZACION EN EL SERVICIO DE LA SALUD Y BUENAS PRACTICAS EN PACIENTE ",IF(N101=CURSOS!$D$10,"CLINICA DE HERIDAS ",IF(N101=CURSOS!$D$11,"TOMA DE CITOLOGIA CERVICO VAGINAL ",IF(N101=CURSOS!$D$12,"SOPORTE CARDIOVASCULAR AVANZADO (ACLS) ",IF(N101=CURSOS!$D$13,"CAMILLERO ",IF(N101=CURSOS!$D$14,"TOMA DE MUESTRAS Y LABORATORIO ",IF(N101=CURSOS!$D$15,"SOPORTE VITAL BASICO (BLS)",IF(N101=CURSOS!$D$16,"ATENCION A VICTIMAS DE VIOLENCIA SEXUAL ",IF(N101=CURSOS!$D$17,"PROGRAMADO AMPLIADO DE INMUNIZACION (PAI - COVID 19)",IF(N101=CURSOS!$D$18,"ATENCION INTEGRAL EN ENFERMEDADES PREVALENTES EN PRIMERA INFANCIA (AIEPI)",IF(N101=CURSOS!$D$19,"ADMINISTRACION DE MEDICAMENTOS, INYECTOLOGIA  Y CANALIZACION ",IF(N101=CURSOS!$D$20,"OPERADOR DE VEHICULOS DE EMERGENCIA (OVE)",IF(N101=CURSOS!$D$21,"INSTITUCIONES AMIGAS DE LA MUJER Y LA INFANCIA (IAMI)",IF(N101=CURSOS!$D$22,"CUIDADO DEL DONANTE DE ORGANOS",IF(N101=CURSOS!$D$23,"ATENCION A VICTIMAS POR VIOLENCIA DE GENERO",IF(N101=CURSOS!$D$24,"IGUALDAD DE GENERO EN LA SALUD",IF(N101=CURSOS!$D$25,"BRIGADA DE EMERGENCIA",IF(N101=CURSOS!$D$26,"MANEJO DEL DOLOR Y CUIDADOS PALIATIVOS",IF(N101=CURSOS!$D$27,"TOMA DE MUESTRAS Y LABORATORIO POCT",IF(N101=CURSOS!$D$28,"IMPLANTE SUBDERMICO DE DISPOSITIVO INTRAUTERINO",IF(N101=CURSOS!$D$29,"SALUD MENTAL",IF(N101=CURSOS!$D$30,"PRIMEROS AUXILIOS PSICOLOGICOS",IF(N101=CURSOS!$D$31,"ATENCION A VICTIMAS POR CONFLICTO ARMADO",IF(N101=CURSOS!$D$32,"MANIPULACION DE ALIMENTOS Y BPM",IF(N101=CURSOS!$D$33,"ATENCION A PERSONAS CON DISCAPACIDAD",IF(N101=CURSOS!$D$34,"CUIDADO INTEGRAL DEL PACIENTE ADULTO",IF(N101=CURSOS!$D$35,"MANEJO DEFENSIVO",IF(N101=CURSOS!$D$36,"SOPORTE CARDIOVASCULAR AVANZADO NEONATAL",IF(N101=CURSOS!$D$37,"SEGURIDAD DEL PACIENTE")))))))))))))))))))))))))))))))))))</f>
        <v>OPERADOR DE VEHICULOS DE EMERGENCIA (OVE)</v>
      </c>
      <c r="U101" s="124" t="str">
        <f t="shared" si="6"/>
        <v>Iván Mauricio Noguera Mora</v>
      </c>
      <c r="V101" s="128" t="str">
        <f t="shared" si="7"/>
        <v>Iván Mauricio Noguera Mora</v>
      </c>
      <c r="W101" s="138" t="str">
        <f t="shared" si="8"/>
        <v>Iván Mauricio Noguera Mora-1086895517-OVE</v>
      </c>
    </row>
    <row r="102" spans="1:23" ht="15.75" x14ac:dyDescent="0.25">
      <c r="A102" s="42">
        <v>101</v>
      </c>
      <c r="B102" s="43">
        <v>1086895517</v>
      </c>
      <c r="C102" s="68" t="s">
        <v>342</v>
      </c>
      <c r="D102" s="68" t="s">
        <v>343</v>
      </c>
      <c r="E102" s="68" t="s">
        <v>344</v>
      </c>
      <c r="F102" s="68" t="s">
        <v>105</v>
      </c>
      <c r="G102" s="14">
        <v>9</v>
      </c>
      <c r="H102" s="14" t="s">
        <v>89</v>
      </c>
      <c r="I102" s="16">
        <v>45481</v>
      </c>
      <c r="J102" s="19">
        <v>50000</v>
      </c>
      <c r="K102" s="14" t="s">
        <v>210</v>
      </c>
      <c r="L102" s="14" t="s">
        <v>90</v>
      </c>
      <c r="M102" s="14" t="s">
        <v>340</v>
      </c>
      <c r="N102" s="15" t="s">
        <v>338</v>
      </c>
      <c r="O102" s="63">
        <v>33433</v>
      </c>
      <c r="P102" s="108" t="s">
        <v>91</v>
      </c>
      <c r="Q102" s="61" t="s">
        <v>290</v>
      </c>
      <c r="R102" s="69">
        <v>3104848498</v>
      </c>
      <c r="S102" s="57" t="s">
        <v>345</v>
      </c>
      <c r="T102" s="124" t="str">
        <f>IF(N102=CURSOS!$D$3,"DIPLOMADO EN ATENCION PRE-HOSPITALARIA",IF(N102=CURSOS!$D$4,"ACOMPAÑAMIENTO Y MANEJO DEL DUELO",IF(N102=CURSOS!$D$5,"ATENCION A VICTIMAS DE ATAQUE CON AGENTES QUIMICOS ",IF(N102=CURSOS!$D$6,"PRIMEROS AUXILIOS ",IF(N102=CURSOS!$D$7,"DIPLOMADO DE UNIDAD DE CUIDADOS INTENSIVOS (UCI)",IF(N102=CURSOS!$D$8,"MODELO DE ATENCION PARA EVENTOS EMERGENTES EN SALUD MENTAL (CODIGO VERDE)",IF(N102=CURSOS!$D$9,"HUMANIZACION EN EL SERVICIO DE LA SALUD Y BUENAS PRACTICAS EN PACIENTE ",IF(N102=CURSOS!$D$10,"CLINICA DE HERIDAS ",IF(N102=CURSOS!$D$11,"TOMA DE CITOLOGIA CERVICO VAGINAL ",IF(N102=CURSOS!$D$12,"SOPORTE CARDIOVASCULAR AVANZADO (ACLS) ",IF(N102=CURSOS!$D$13,"CAMILLERO ",IF(N102=CURSOS!$D$14,"TOMA DE MUESTRAS Y LABORATORIO ",IF(N102=CURSOS!$D$15,"SOPORTE VITAL BASICO (BLS)",IF(N102=CURSOS!$D$16,"ATENCION A VICTIMAS DE VIOLENCIA SEXUAL ",IF(N102=CURSOS!$D$17,"PROGRAMADO AMPLIADO DE INMUNIZACION (PAI - COVID 19)",IF(N102=CURSOS!$D$18,"ATENCION INTEGRAL EN ENFERMEDADES PREVALENTES EN PRIMERA INFANCIA (AIEPI)",IF(N102=CURSOS!$D$19,"ADMINISTRACION DE MEDICAMENTOS, INYECTOLOGIA  Y CANALIZACION ",IF(N102=CURSOS!$D$20,"OPERADOR DE VEHICULOS DE EMERGENCIA (OVE)",IF(N102=CURSOS!$D$21,"INSTITUCIONES AMIGAS DE LA MUJER Y LA INFANCIA (IAMI)",IF(N102=CURSOS!$D$22,"CUIDADO DEL DONANTE DE ORGANOS",IF(N102=CURSOS!$D$23,"ATENCION A VICTIMAS POR VIOLENCIA DE GENERO",IF(N102=CURSOS!$D$24,"IGUALDAD DE GENERO EN LA SALUD",IF(N102=CURSOS!$D$25,"BRIGADA DE EMERGENCIA",IF(N102=CURSOS!$D$26,"MANEJO DEL DOLOR Y CUIDADOS PALIATIVOS",IF(N102=CURSOS!$D$27,"TOMA DE MUESTRAS Y LABORATORIO POCT",IF(N102=CURSOS!$D$28,"IMPLANTE SUBDERMICO DE DISPOSITIVO INTRAUTERINO",IF(N102=CURSOS!$D$29,"SALUD MENTAL",IF(N102=CURSOS!$D$30,"PRIMEROS AUXILIOS PSICOLOGICOS",IF(N102=CURSOS!$D$31,"ATENCION A VICTIMAS POR CONFLICTO ARMADO",IF(N102=CURSOS!$D$32,"MANIPULACION DE ALIMENTOS Y BPM",IF(N102=CURSOS!$D$33,"ATENCION A PERSONAS CON DISCAPACIDAD",IF(N102=CURSOS!$D$34,"CUIDADO INTEGRAL DEL PACIENTE ADULTO",IF(N102=CURSOS!$D$35,"MANEJO DEFENSIVO",IF(N102=CURSOS!$D$36,"SOPORTE CARDIOVASCULAR AVANZADO NEONATAL",IF(N102=CURSOS!$D$37,"SEGURIDAD DEL PACIENTE")))))))))))))))))))))))))))))))))))</f>
        <v>MANEJO DEFENSIVO</v>
      </c>
      <c r="U102" s="124" t="str">
        <f t="shared" si="6"/>
        <v>Iván Mauricio Noguera Mora</v>
      </c>
      <c r="V102" s="128" t="str">
        <f t="shared" si="7"/>
        <v>Iván Mauricio Noguera Mora</v>
      </c>
      <c r="W102" s="138" t="str">
        <f t="shared" si="8"/>
        <v>Iván Mauricio Noguera Mora-1086895517-MANEJO DEFENSIVO</v>
      </c>
    </row>
    <row r="103" spans="1:23" x14ac:dyDescent="0.2">
      <c r="A103" s="42">
        <v>102</v>
      </c>
      <c r="B103" s="43">
        <v>1116248523</v>
      </c>
      <c r="C103" s="68" t="s">
        <v>346</v>
      </c>
      <c r="D103" s="68" t="s">
        <v>347</v>
      </c>
      <c r="E103" s="68" t="s">
        <v>348</v>
      </c>
      <c r="F103" s="68" t="s">
        <v>291</v>
      </c>
      <c r="G103" s="14">
        <v>12</v>
      </c>
      <c r="H103" s="14" t="s">
        <v>89</v>
      </c>
      <c r="I103" s="16">
        <v>45485</v>
      </c>
      <c r="J103" s="19">
        <v>80000</v>
      </c>
      <c r="K103" s="14" t="s">
        <v>246</v>
      </c>
      <c r="L103" s="14" t="s">
        <v>90</v>
      </c>
      <c r="M103" s="14" t="s">
        <v>118</v>
      </c>
      <c r="N103" s="67" t="s">
        <v>23</v>
      </c>
      <c r="O103" s="61">
        <v>33116</v>
      </c>
      <c r="P103" s="121" t="s">
        <v>101</v>
      </c>
      <c r="Q103" s="17" t="s">
        <v>119</v>
      </c>
      <c r="R103" s="68">
        <v>3217524228</v>
      </c>
      <c r="S103" s="68" t="s">
        <v>349</v>
      </c>
      <c r="T103" s="124" t="str">
        <f>IF(N103=CURSOS!$D$3,"DIPLOMADO EN ATENCION PRE-HOSPITALARIA",IF(N103=CURSOS!$D$4,"ACOMPAÑAMIENTO Y MANEJO DEL DUELO",IF(N103=CURSOS!$D$5,"ATENCION A VICTIMAS DE ATAQUE CON AGENTES QUIMICOS ",IF(N103=CURSOS!$D$6,"PRIMEROS AUXILIOS ",IF(N103=CURSOS!$D$7,"DIPLOMADO DE UNIDAD DE CUIDADOS INTENSIVOS (UCI)",IF(N103=CURSOS!$D$8,"MODELO DE ATENCION PARA EVENTOS EMERGENTES EN SALUD MENTAL (CODIGO VERDE)",IF(N103=CURSOS!$D$9,"HUMANIZACION EN EL SERVICIO DE LA SALUD Y BUENAS PRACTICAS EN PACIENTE ",IF(N103=CURSOS!$D$10,"CLINICA DE HERIDAS ",IF(N103=CURSOS!$D$11,"TOMA DE CITOLOGIA CERVICO VAGINAL ",IF(N103=CURSOS!$D$12,"SOPORTE CARDIOVASCULAR AVANZADO (ACLS) ",IF(N103=CURSOS!$D$13,"CAMILLERO ",IF(N103=CURSOS!$D$14,"TOMA DE MUESTRAS Y LABORATORIO ",IF(N103=CURSOS!$D$15,"SOPORTE VITAL BASICO (BLS)",IF(N103=CURSOS!$D$16,"ATENCION A VICTIMAS DE VIOLENCIA SEXUAL ",IF(N103=CURSOS!$D$17,"PROGRAMADO AMPLIADO DE INMUNIZACION (PAI - COVID 19)",IF(N103=CURSOS!$D$18,"ATENCION INTEGRAL EN ENFERMEDADES PREVALENTES EN PRIMERA INFANCIA (AIEPI)",IF(N103=CURSOS!$D$19,"ADMINISTRACION DE MEDICAMENTOS, INYECTOLOGIA  Y CANALIZACION ",IF(N103=CURSOS!$D$20,"OPERADOR DE VEHICULOS DE EMERGENCIA (OVE)",IF(N103=CURSOS!$D$21,"INSTITUCIONES AMIGAS DE LA MUJER Y LA INFANCIA (IAMI)",IF(N103=CURSOS!$D$22,"CUIDADO DEL DONANTE DE ORGANOS",IF(N103=CURSOS!$D$23,"ATENCION A VICTIMAS POR VIOLENCIA DE GENERO",IF(N103=CURSOS!$D$24,"IGUALDAD DE GENERO EN LA SALUD",IF(N103=CURSOS!$D$25,"BRIGADA DE EMERGENCIA",IF(N103=CURSOS!$D$26,"MANEJO DEL DOLOR Y CUIDADOS PALIATIVOS",IF(N103=CURSOS!$D$27,"TOMA DE MUESTRAS Y LABORATORIO POCT",IF(N103=CURSOS!$D$28,"IMPLANTE SUBDERMICO DE DISPOSITIVO INTRAUTERINO",IF(N103=CURSOS!$D$29,"SALUD MENTAL",IF(N103=CURSOS!$D$30,"PRIMEROS AUXILIOS PSICOLOGICOS",IF(N103=CURSOS!$D$31,"ATENCION A VICTIMAS POR CONFLICTO ARMADO",IF(N103=CURSOS!$D$32,"MANIPULACION DE ALIMENTOS Y BPM",IF(N103=CURSOS!$D$33,"ATENCION A PERSONAS CON DISCAPACIDAD",IF(N103=CURSOS!$D$34,"CUIDADO INTEGRAL DEL PACIENTE ADULTO",IF(N103=CURSOS!$D$35,"MANEJO DEFENSIVO",IF(N103=CURSOS!$D$36,"SOPORTE CARDIOVASCULAR AVANZADO NEONATAL",IF(N103=CURSOS!$D$37,"SEGURIDAD DEL PACIENTE")))))))))))))))))))))))))))))))))))</f>
        <v>ACOMPAÑAMIENTO Y MANEJO DEL DUELO</v>
      </c>
      <c r="U103" s="124" t="str">
        <f t="shared" si="6"/>
        <v>Leydi Tatiana Yepes Marin</v>
      </c>
      <c r="V103" s="128" t="str">
        <f t="shared" si="7"/>
        <v>Leydi Tatiana Yepes Marin</v>
      </c>
      <c r="W103" s="138" t="str">
        <f t="shared" si="8"/>
        <v>Leydi Tatiana Yepes Marin-1116248523-DUELO</v>
      </c>
    </row>
    <row r="104" spans="1:23" x14ac:dyDescent="0.2">
      <c r="A104" s="42">
        <v>103</v>
      </c>
      <c r="B104" s="43">
        <v>1085247367</v>
      </c>
      <c r="C104" s="68" t="s">
        <v>355</v>
      </c>
      <c r="D104" s="68" t="s">
        <v>155</v>
      </c>
      <c r="E104" s="68" t="s">
        <v>356</v>
      </c>
      <c r="F104" s="68" t="s">
        <v>357</v>
      </c>
      <c r="G104" s="14">
        <v>9</v>
      </c>
      <c r="H104" s="14" t="s">
        <v>89</v>
      </c>
      <c r="I104" s="16">
        <v>45482</v>
      </c>
      <c r="J104" s="19">
        <v>30000</v>
      </c>
      <c r="K104" s="14" t="s">
        <v>210</v>
      </c>
      <c r="L104" s="14" t="s">
        <v>90</v>
      </c>
      <c r="M104" s="14" t="s">
        <v>132</v>
      </c>
      <c r="N104" s="67" t="s">
        <v>41</v>
      </c>
      <c r="O104" s="61">
        <v>31473</v>
      </c>
      <c r="P104" s="121" t="s">
        <v>91</v>
      </c>
      <c r="Q104" s="17" t="s">
        <v>126</v>
      </c>
      <c r="R104" s="68">
        <v>3182700298</v>
      </c>
      <c r="S104" s="68" t="s">
        <v>358</v>
      </c>
      <c r="T104" s="124" t="str">
        <f>IF(N104=CURSOS!$D$3,"DIPLOMADO EN ATENCION PRE-HOSPITALARIA",IF(N104=CURSOS!$D$4,"ACOMPAÑAMIENTO Y MANEJO DEL DUELO",IF(N104=CURSOS!$D$5,"ATENCION A VICTIMAS DE ATAQUE CON AGENTES QUIMICOS ",IF(N104=CURSOS!$D$6,"PRIMEROS AUXILIOS ",IF(N104=CURSOS!$D$7,"DIPLOMADO DE UNIDAD DE CUIDADOS INTENSIVOS (UCI)",IF(N104=CURSOS!$D$8,"MODELO DE ATENCION PARA EVENTOS EMERGENTES EN SALUD MENTAL (CODIGO VERDE)",IF(N104=CURSOS!$D$9,"HUMANIZACION EN EL SERVICIO DE LA SALUD Y BUENAS PRACTICAS EN PACIENTE ",IF(N104=CURSOS!$D$10,"CLINICA DE HERIDAS ",IF(N104=CURSOS!$D$11,"TOMA DE CITOLOGIA CERVICO VAGINAL ",IF(N104=CURSOS!$D$12,"SOPORTE CARDIOVASCULAR AVANZADO (ACLS) ",IF(N104=CURSOS!$D$13,"CAMILLERO ",IF(N104=CURSOS!$D$14,"TOMA DE MUESTRAS Y LABORATORIO ",IF(N104=CURSOS!$D$15,"SOPORTE VITAL BASICO (BLS)",IF(N104=CURSOS!$D$16,"ATENCION A VICTIMAS DE VIOLENCIA SEXUAL ",IF(N104=CURSOS!$D$17,"PROGRAMADO AMPLIADO DE INMUNIZACION (PAI - COVID 19)",IF(N104=CURSOS!$D$18,"ATENCION INTEGRAL EN ENFERMEDADES PREVALENTES EN PRIMERA INFANCIA (AIEPI)",IF(N104=CURSOS!$D$19,"ADMINISTRACION DE MEDICAMENTOS, INYECTOLOGIA  Y CANALIZACION ",IF(N104=CURSOS!$D$20,"OPERADOR DE VEHICULOS DE EMERGENCIA (OVE)",IF(N104=CURSOS!$D$21,"INSTITUCIONES AMIGAS DE LA MUJER Y LA INFANCIA (IAMI)",IF(N104=CURSOS!$D$22,"CUIDADO DEL DONANTE DE ORGANOS",IF(N104=CURSOS!$D$23,"ATENCION A VICTIMAS POR VIOLENCIA DE GENERO",IF(N104=CURSOS!$D$24,"IGUALDAD DE GENERO EN LA SALUD",IF(N104=CURSOS!$D$25,"BRIGADA DE EMERGENCIA",IF(N104=CURSOS!$D$26,"MANEJO DEL DOLOR Y CUIDADOS PALIATIVOS",IF(N104=CURSOS!$D$27,"TOMA DE MUESTRAS Y LABORATORIO POCT",IF(N104=CURSOS!$D$28,"IMPLANTE SUBDERMICO DE DISPOSITIVO INTRAUTERINO",IF(N104=CURSOS!$D$29,"SALUD MENTAL",IF(N104=CURSOS!$D$30,"PRIMEROS AUXILIOS PSICOLOGICOS",IF(N104=CURSOS!$D$31,"ATENCION A VICTIMAS POR CONFLICTO ARMADO",IF(N104=CURSOS!$D$32,"MANIPULACION DE ALIMENTOS Y BPM",IF(N104=CURSOS!$D$33,"ATENCION A PERSONAS CON DISCAPACIDAD",IF(N104=CURSOS!$D$34,"CUIDADO INTEGRAL DEL PACIENTE ADULTO",IF(N104=CURSOS!$D$35,"MANEJO DEFENSIVO",IF(N104=CURSOS!$D$36,"SOPORTE CARDIOVASCULAR AVANZADO NEONATAL",IF(N104=CURSOS!$D$37,"SEGURIDAD DEL PACIENTE")))))))))))))))))))))))))))))))))))</f>
        <v xml:space="preserve">TOMA DE MUESTRAS Y LABORATORIO </v>
      </c>
      <c r="U104" s="124" t="str">
        <f t="shared" si="6"/>
        <v>Renet Bladimir Perez Guerrero</v>
      </c>
      <c r="V104" s="128" t="str">
        <f t="shared" si="7"/>
        <v>Renet Bladimir Perez Guerrero</v>
      </c>
      <c r="W104" s="138" t="str">
        <f t="shared" si="8"/>
        <v>Renet Bladimir Perez Guerrero-1085247367-TOMA DE MUESTRAS</v>
      </c>
    </row>
    <row r="105" spans="1:23" s="131" customFormat="1" x14ac:dyDescent="0.2">
      <c r="A105" s="42">
        <v>104</v>
      </c>
      <c r="B105" s="91">
        <v>5205151</v>
      </c>
      <c r="C105" s="68" t="s">
        <v>360</v>
      </c>
      <c r="D105" s="68" t="s">
        <v>172</v>
      </c>
      <c r="E105" s="68" t="s">
        <v>159</v>
      </c>
      <c r="F105" s="68" t="s">
        <v>361</v>
      </c>
      <c r="G105" s="14">
        <v>9</v>
      </c>
      <c r="H105" s="14" t="s">
        <v>89</v>
      </c>
      <c r="I105" s="16" t="s">
        <v>350</v>
      </c>
      <c r="J105" s="19"/>
      <c r="K105" s="14" t="s">
        <v>350</v>
      </c>
      <c r="L105" s="14" t="s">
        <v>90</v>
      </c>
      <c r="M105" s="14" t="s">
        <v>132</v>
      </c>
      <c r="N105" s="67" t="s">
        <v>41</v>
      </c>
      <c r="O105" s="61">
        <v>29488</v>
      </c>
      <c r="P105" s="121" t="s">
        <v>91</v>
      </c>
      <c r="Q105" s="17" t="s">
        <v>126</v>
      </c>
      <c r="R105" s="68">
        <v>3128235594</v>
      </c>
      <c r="S105" s="68" t="s">
        <v>359</v>
      </c>
      <c r="T105" s="124" t="str">
        <f>IF(N105=CURSOS!$D$3,"DIPLOMADO EN ATENCION PRE-HOSPITALARIA",IF(N105=CURSOS!$D$4,"ACOMPAÑAMIENTO Y MANEJO DEL DUELO",IF(N105=CURSOS!$D$5,"ATENCION A VICTIMAS DE ATAQUE CON AGENTES QUIMICOS ",IF(N105=CURSOS!$D$6,"PRIMEROS AUXILIOS ",IF(N105=CURSOS!$D$7,"DIPLOMADO DE UNIDAD DE CUIDADOS INTENSIVOS (UCI)",IF(N105=CURSOS!$D$8,"MODELO DE ATENCION PARA EVENTOS EMERGENTES EN SALUD MENTAL (CODIGO VERDE)",IF(N105=CURSOS!$D$9,"HUMANIZACION EN EL SERVICIO DE LA SALUD Y BUENAS PRACTICAS EN PACIENTE ",IF(N105=CURSOS!$D$10,"CLINICA DE HERIDAS ",IF(N105=CURSOS!$D$11,"TOMA DE CITOLOGIA CERVICO VAGINAL ",IF(N105=CURSOS!$D$12,"SOPORTE CARDIOVASCULAR AVANZADO (ACLS) ",IF(N105=CURSOS!$D$13,"CAMILLERO ",IF(N105=CURSOS!$D$14,"TOMA DE MUESTRAS Y LABORATORIO ",IF(N105=CURSOS!$D$15,"SOPORTE VITAL BASICO (BLS)",IF(N105=CURSOS!$D$16,"ATENCION A VICTIMAS DE VIOLENCIA SEXUAL ",IF(N105=CURSOS!$D$17,"PROGRAMADO AMPLIADO DE INMUNIZACION (PAI - COVID 19)",IF(N105=CURSOS!$D$18,"ATENCION INTEGRAL EN ENFERMEDADES PREVALENTES EN PRIMERA INFANCIA (AIEPI)",IF(N105=CURSOS!$D$19,"ADMINISTRACION DE MEDICAMENTOS, INYECTOLOGIA  Y CANALIZACION ",IF(N105=CURSOS!$D$20,"OPERADOR DE VEHICULOS DE EMERGENCIA (OVE)",IF(N105=CURSOS!$D$21,"INSTITUCIONES AMIGAS DE LA MUJER Y LA INFANCIA (IAMI)",IF(N105=CURSOS!$D$22,"CUIDADO DEL DONANTE DE ORGANOS",IF(N105=CURSOS!$D$23,"ATENCION A VICTIMAS POR VIOLENCIA DE GENERO",IF(N105=CURSOS!$D$24,"IGUALDAD DE GENERO EN LA SALUD",IF(N105=CURSOS!$D$25,"BRIGADA DE EMERGENCIA",IF(N105=CURSOS!$D$26,"MANEJO DEL DOLOR Y CUIDADOS PALIATIVOS",IF(N105=CURSOS!$D$27,"TOMA DE MUESTRAS Y LABORATORIO POCT",IF(N105=CURSOS!$D$28,"IMPLANTE SUBDERMICO DE DISPOSITIVO INTRAUTERINO",IF(N105=CURSOS!$D$29,"SALUD MENTAL",IF(N105=CURSOS!$D$30,"PRIMEROS AUXILIOS PSICOLOGICOS",IF(N105=CURSOS!$D$31,"ATENCION A VICTIMAS POR CONFLICTO ARMADO",IF(N105=CURSOS!$D$32,"MANIPULACION DE ALIMENTOS Y BPM",IF(N105=CURSOS!$D$33,"ATENCION A PERSONAS CON DISCAPACIDAD",IF(N105=CURSOS!$D$34,"CUIDADO INTEGRAL DEL PACIENTE ADULTO",IF(N105=CURSOS!$D$35,"MANEJO DEFENSIVO",IF(N105=CURSOS!$D$36,"SOPORTE CARDIOVASCULAR AVANZADO NEONATAL",IF(N105=CURSOS!$D$37,"SEGURIDAD DEL PACIENTE")))))))))))))))))))))))))))))))))))</f>
        <v xml:space="preserve">TOMA DE MUESTRAS Y LABORATORIO </v>
      </c>
      <c r="U105" s="124" t="str">
        <f t="shared" si="6"/>
        <v>Luis Olivares Pinta Lopez</v>
      </c>
      <c r="V105" s="128" t="str">
        <f t="shared" si="7"/>
        <v>Luis Olivares Pinta Lopez</v>
      </c>
      <c r="W105" s="138" t="str">
        <f t="shared" si="8"/>
        <v>Luis Olivares Pinta Lopez-5205151-TOMA DE MUESTRAS</v>
      </c>
    </row>
    <row r="106" spans="1:23" s="131" customFormat="1" x14ac:dyDescent="0.2">
      <c r="A106" s="42">
        <v>105</v>
      </c>
      <c r="B106" s="91">
        <v>87940265</v>
      </c>
      <c r="C106" s="68" t="s">
        <v>205</v>
      </c>
      <c r="D106" s="68" t="s">
        <v>362</v>
      </c>
      <c r="E106" s="68" t="s">
        <v>363</v>
      </c>
      <c r="F106" s="68" t="s">
        <v>130</v>
      </c>
      <c r="G106" s="14">
        <v>9</v>
      </c>
      <c r="H106" s="14" t="s">
        <v>89</v>
      </c>
      <c r="I106" s="16">
        <v>45482</v>
      </c>
      <c r="J106" s="19">
        <v>130000</v>
      </c>
      <c r="K106" s="19" t="s">
        <v>210</v>
      </c>
      <c r="L106" s="14" t="s">
        <v>90</v>
      </c>
      <c r="M106" s="14" t="s">
        <v>118</v>
      </c>
      <c r="N106" s="67" t="s">
        <v>38</v>
      </c>
      <c r="O106" s="61">
        <v>29313</v>
      </c>
      <c r="P106" s="121" t="s">
        <v>91</v>
      </c>
      <c r="Q106" s="17" t="s">
        <v>215</v>
      </c>
      <c r="R106" s="68">
        <v>3217829607</v>
      </c>
      <c r="S106" s="68"/>
      <c r="T106" s="124" t="str">
        <f>IF(N106=CURSOS!$D$3,"DIPLOMADO EN ATENCION PRE-HOSPITALARIA",IF(N106=CURSOS!$D$4,"ACOMPAÑAMIENTO Y MANEJO DEL DUELO",IF(N106=CURSOS!$D$5,"ATENCION A VICTIMAS DE ATAQUE CON AGENTES QUIMICOS ",IF(N106=CURSOS!$D$6,"PRIMEROS AUXILIOS ",IF(N106=CURSOS!$D$7,"DIPLOMADO DE UNIDAD DE CUIDADOS INTENSIVOS (UCI)",IF(N106=CURSOS!$D$8,"MODELO DE ATENCION PARA EVENTOS EMERGENTES EN SALUD MENTAL (CODIGO VERDE)",IF(N106=CURSOS!$D$9,"HUMANIZACION EN EL SERVICIO DE LA SALUD Y BUENAS PRACTICAS EN PACIENTE ",IF(N106=CURSOS!$D$10,"CLINICA DE HERIDAS ",IF(N106=CURSOS!$D$11,"TOMA DE CITOLOGIA CERVICO VAGINAL ",IF(N106=CURSOS!$D$12,"SOPORTE CARDIOVASCULAR AVANZADO (ACLS) ",IF(N106=CURSOS!$D$13,"CAMILLERO ",IF(N106=CURSOS!$D$14,"TOMA DE MUESTRAS Y LABORATORIO ",IF(N106=CURSOS!$D$15,"SOPORTE VITAL BASICO (BLS)",IF(N106=CURSOS!$D$16,"ATENCION A VICTIMAS DE VIOLENCIA SEXUAL ",IF(N106=CURSOS!$D$17,"PROGRAMADO AMPLIADO DE INMUNIZACION (PAI - COVID 19)",IF(N106=CURSOS!$D$18,"ATENCION INTEGRAL EN ENFERMEDADES PREVALENTES EN PRIMERA INFANCIA (AIEPI)",IF(N106=CURSOS!$D$19,"ADMINISTRACION DE MEDICAMENTOS, INYECTOLOGIA  Y CANALIZACION ",IF(N106=CURSOS!$D$20,"OPERADOR DE VEHICULOS DE EMERGENCIA (OVE)",IF(N106=CURSOS!$D$21,"INSTITUCIONES AMIGAS DE LA MUJER Y LA INFANCIA (IAMI)",IF(N106=CURSOS!$D$22,"CUIDADO DEL DONANTE DE ORGANOS",IF(N106=CURSOS!$D$23,"ATENCION A VICTIMAS POR VIOLENCIA DE GENERO",IF(N106=CURSOS!$D$24,"IGUALDAD DE GENERO EN LA SALUD",IF(N106=CURSOS!$D$25,"BRIGADA DE EMERGENCIA",IF(N106=CURSOS!$D$26,"MANEJO DEL DOLOR Y CUIDADOS PALIATIVOS",IF(N106=CURSOS!$D$27,"TOMA DE MUESTRAS Y LABORATORIO POCT",IF(N106=CURSOS!$D$28,"IMPLANTE SUBDERMICO DE DISPOSITIVO INTRAUTERINO",IF(N106=CURSOS!$D$29,"SALUD MENTAL",IF(N106=CURSOS!$D$30,"PRIMEROS AUXILIOS PSICOLOGICOS",IF(N106=CURSOS!$D$31,"ATENCION A VICTIMAS POR CONFLICTO ARMADO",IF(N106=CURSOS!$D$32,"MANIPULACION DE ALIMENTOS Y BPM",IF(N106=CURSOS!$D$33,"ATENCION A PERSONAS CON DISCAPACIDAD",IF(N106=CURSOS!$D$34,"CUIDADO INTEGRAL DEL PACIENTE ADULTO",IF(N106=CURSOS!$D$35,"MANEJO DEFENSIVO",IF(N106=CURSOS!$D$36,"SOPORTE CARDIOVASCULAR AVANZADO NEONATAL",IF(N106=CURSOS!$D$37,"SEGURIDAD DEL PACIENTE")))))))))))))))))))))))))))))))))))</f>
        <v xml:space="preserve">SOPORTE CARDIOVASCULAR AVANZADO (ACLS) </v>
      </c>
      <c r="U106" s="124" t="str">
        <f t="shared" si="6"/>
        <v>Roberto Carlos Rodriguez Montaño</v>
      </c>
      <c r="V106" s="128" t="str">
        <f t="shared" si="7"/>
        <v>Roberto Carlos Rodriguez Montaño</v>
      </c>
      <c r="W106" s="138" t="str">
        <f t="shared" si="8"/>
        <v>Roberto Carlos Rodriguez Montaño-87940265-ACLS</v>
      </c>
    </row>
    <row r="107" spans="1:23" s="131" customFormat="1" x14ac:dyDescent="0.2">
      <c r="A107" s="42">
        <v>106</v>
      </c>
      <c r="B107" s="91">
        <v>87940265</v>
      </c>
      <c r="C107" s="68" t="s">
        <v>205</v>
      </c>
      <c r="D107" s="68" t="s">
        <v>362</v>
      </c>
      <c r="E107" s="68" t="s">
        <v>363</v>
      </c>
      <c r="F107" s="68" t="s">
        <v>130</v>
      </c>
      <c r="G107" s="14">
        <v>9</v>
      </c>
      <c r="H107" s="14" t="s">
        <v>89</v>
      </c>
      <c r="I107" s="16">
        <v>45482</v>
      </c>
      <c r="J107" s="19">
        <v>40000</v>
      </c>
      <c r="K107" s="14" t="s">
        <v>210</v>
      </c>
      <c r="L107" s="14" t="s">
        <v>90</v>
      </c>
      <c r="M107" s="14" t="s">
        <v>118</v>
      </c>
      <c r="N107" s="67" t="s">
        <v>23</v>
      </c>
      <c r="O107" s="61">
        <v>29313</v>
      </c>
      <c r="P107" s="121" t="s">
        <v>91</v>
      </c>
      <c r="Q107" s="17" t="s">
        <v>215</v>
      </c>
      <c r="R107" s="68">
        <v>3217829607</v>
      </c>
      <c r="S107" s="68"/>
      <c r="T107" s="124" t="str">
        <f>IF(N107=CURSOS!$D$3,"DIPLOMADO EN ATENCION PRE-HOSPITALARIA",IF(N107=CURSOS!$D$4,"ACOMPAÑAMIENTO Y MANEJO DEL DUELO",IF(N107=CURSOS!$D$5,"ATENCION A VICTIMAS DE ATAQUE CON AGENTES QUIMICOS ",IF(N107=CURSOS!$D$6,"PRIMEROS AUXILIOS ",IF(N107=CURSOS!$D$7,"DIPLOMADO DE UNIDAD DE CUIDADOS INTENSIVOS (UCI)",IF(N107=CURSOS!$D$8,"MODELO DE ATENCION PARA EVENTOS EMERGENTES EN SALUD MENTAL (CODIGO VERDE)",IF(N107=CURSOS!$D$9,"HUMANIZACION EN EL SERVICIO DE LA SALUD Y BUENAS PRACTICAS EN PACIENTE ",IF(N107=CURSOS!$D$10,"CLINICA DE HERIDAS ",IF(N107=CURSOS!$D$11,"TOMA DE CITOLOGIA CERVICO VAGINAL ",IF(N107=CURSOS!$D$12,"SOPORTE CARDIOVASCULAR AVANZADO (ACLS) ",IF(N107=CURSOS!$D$13,"CAMILLERO ",IF(N107=CURSOS!$D$14,"TOMA DE MUESTRAS Y LABORATORIO ",IF(N107=CURSOS!$D$15,"SOPORTE VITAL BASICO (BLS)",IF(N107=CURSOS!$D$16,"ATENCION A VICTIMAS DE VIOLENCIA SEXUAL ",IF(N107=CURSOS!$D$17,"PROGRAMADO AMPLIADO DE INMUNIZACION (PAI - COVID 19)",IF(N107=CURSOS!$D$18,"ATENCION INTEGRAL EN ENFERMEDADES PREVALENTES EN PRIMERA INFANCIA (AIEPI)",IF(N107=CURSOS!$D$19,"ADMINISTRACION DE MEDICAMENTOS, INYECTOLOGIA  Y CANALIZACION ",IF(N107=CURSOS!$D$20,"OPERADOR DE VEHICULOS DE EMERGENCIA (OVE)",IF(N107=CURSOS!$D$21,"INSTITUCIONES AMIGAS DE LA MUJER Y LA INFANCIA (IAMI)",IF(N107=CURSOS!$D$22,"CUIDADO DEL DONANTE DE ORGANOS",IF(N107=CURSOS!$D$23,"ATENCION A VICTIMAS POR VIOLENCIA DE GENERO",IF(N107=CURSOS!$D$24,"IGUALDAD DE GENERO EN LA SALUD",IF(N107=CURSOS!$D$25,"BRIGADA DE EMERGENCIA",IF(N107=CURSOS!$D$26,"MANEJO DEL DOLOR Y CUIDADOS PALIATIVOS",IF(N107=CURSOS!$D$27,"TOMA DE MUESTRAS Y LABORATORIO POCT",IF(N107=CURSOS!$D$28,"IMPLANTE SUBDERMICO DE DISPOSITIVO INTRAUTERINO",IF(N107=CURSOS!$D$29,"SALUD MENTAL",IF(N107=CURSOS!$D$30,"PRIMEROS AUXILIOS PSICOLOGICOS",IF(N107=CURSOS!$D$31,"ATENCION A VICTIMAS POR CONFLICTO ARMADO",IF(N107=CURSOS!$D$32,"MANIPULACION DE ALIMENTOS Y BPM",IF(N107=CURSOS!$D$33,"ATENCION A PERSONAS CON DISCAPACIDAD",IF(N107=CURSOS!$D$34,"CUIDADO INTEGRAL DEL PACIENTE ADULTO",IF(N107=CURSOS!$D$35,"MANEJO DEFENSIVO",IF(N107=CURSOS!$D$36,"SOPORTE CARDIOVASCULAR AVANZADO NEONATAL",IF(N107=CURSOS!$D$37,"SEGURIDAD DEL PACIENTE")))))))))))))))))))))))))))))))))))</f>
        <v>ACOMPAÑAMIENTO Y MANEJO DEL DUELO</v>
      </c>
      <c r="U107" s="124" t="str">
        <f t="shared" si="6"/>
        <v>Roberto Carlos Rodriguez Montaño</v>
      </c>
      <c r="V107" s="128" t="str">
        <f t="shared" si="7"/>
        <v>Roberto Carlos Rodriguez Montaño</v>
      </c>
      <c r="W107" s="138" t="str">
        <f t="shared" si="8"/>
        <v>Roberto Carlos Rodriguez Montaño-87940265-DUELO</v>
      </c>
    </row>
    <row r="108" spans="1:23" s="131" customFormat="1" x14ac:dyDescent="0.2">
      <c r="A108" s="42">
        <v>107</v>
      </c>
      <c r="B108" s="91">
        <v>87940265</v>
      </c>
      <c r="C108" s="68" t="s">
        <v>205</v>
      </c>
      <c r="D108" s="68" t="s">
        <v>362</v>
      </c>
      <c r="E108" s="68" t="s">
        <v>363</v>
      </c>
      <c r="F108" s="68" t="s">
        <v>130</v>
      </c>
      <c r="G108" s="14">
        <v>9</v>
      </c>
      <c r="H108" s="14" t="s">
        <v>89</v>
      </c>
      <c r="I108" s="16">
        <v>45482</v>
      </c>
      <c r="J108" s="19">
        <v>40000</v>
      </c>
      <c r="K108" s="14" t="s">
        <v>210</v>
      </c>
      <c r="L108" s="14" t="s">
        <v>90</v>
      </c>
      <c r="M108" s="14" t="s">
        <v>118</v>
      </c>
      <c r="N108" s="67" t="s">
        <v>33</v>
      </c>
      <c r="O108" s="61">
        <v>29313</v>
      </c>
      <c r="P108" s="121" t="s">
        <v>91</v>
      </c>
      <c r="Q108" s="17" t="s">
        <v>215</v>
      </c>
      <c r="R108" s="68">
        <v>3217829607</v>
      </c>
      <c r="S108" s="68"/>
      <c r="T108" s="124" t="str">
        <f>IF(N108=CURSOS!$D$3,"DIPLOMADO EN ATENCION PRE-HOSPITALARIA",IF(N108=CURSOS!$D$4,"ACOMPAÑAMIENTO Y MANEJO DEL DUELO",IF(N108=CURSOS!$D$5,"ATENCION A VICTIMAS DE ATAQUE CON AGENTES QUIMICOS ",IF(N108=CURSOS!$D$6,"PRIMEROS AUXILIOS ",IF(N108=CURSOS!$D$7,"DIPLOMADO DE UNIDAD DE CUIDADOS INTENSIVOS (UCI)",IF(N108=CURSOS!$D$8,"MODELO DE ATENCION PARA EVENTOS EMERGENTES EN SALUD MENTAL (CODIGO VERDE)",IF(N108=CURSOS!$D$9,"HUMANIZACION EN EL SERVICIO DE LA SALUD Y BUENAS PRACTICAS EN PACIENTE ",IF(N108=CURSOS!$D$10,"CLINICA DE HERIDAS ",IF(N108=CURSOS!$D$11,"TOMA DE CITOLOGIA CERVICO VAGINAL ",IF(N108=CURSOS!$D$12,"SOPORTE CARDIOVASCULAR AVANZADO (ACLS) ",IF(N108=CURSOS!$D$13,"CAMILLERO ",IF(N108=CURSOS!$D$14,"TOMA DE MUESTRAS Y LABORATORIO ",IF(N108=CURSOS!$D$15,"SOPORTE VITAL BASICO (BLS)",IF(N108=CURSOS!$D$16,"ATENCION A VICTIMAS DE VIOLENCIA SEXUAL ",IF(N108=CURSOS!$D$17,"PROGRAMADO AMPLIADO DE INMUNIZACION (PAI - COVID 19)",IF(N108=CURSOS!$D$18,"ATENCION INTEGRAL EN ENFERMEDADES PREVALENTES EN PRIMERA INFANCIA (AIEPI)",IF(N108=CURSOS!$D$19,"ADMINISTRACION DE MEDICAMENTOS, INYECTOLOGIA  Y CANALIZACION ",IF(N108=CURSOS!$D$20,"OPERADOR DE VEHICULOS DE EMERGENCIA (OVE)",IF(N108=CURSOS!$D$21,"INSTITUCIONES AMIGAS DE LA MUJER Y LA INFANCIA (IAMI)",IF(N108=CURSOS!$D$22,"CUIDADO DEL DONANTE DE ORGANOS",IF(N108=CURSOS!$D$23,"ATENCION A VICTIMAS POR VIOLENCIA DE GENERO",IF(N108=CURSOS!$D$24,"IGUALDAD DE GENERO EN LA SALUD",IF(N108=CURSOS!$D$25,"BRIGADA DE EMERGENCIA",IF(N108=CURSOS!$D$26,"MANEJO DEL DOLOR Y CUIDADOS PALIATIVOS",IF(N108=CURSOS!$D$27,"TOMA DE MUESTRAS Y LABORATORIO POCT",IF(N108=CURSOS!$D$28,"IMPLANTE SUBDERMICO DE DISPOSITIVO INTRAUTERINO",IF(N108=CURSOS!$D$29,"SALUD MENTAL",IF(N108=CURSOS!$D$30,"PRIMEROS AUXILIOS PSICOLOGICOS",IF(N108=CURSOS!$D$31,"ATENCION A VICTIMAS POR CONFLICTO ARMADO",IF(N108=CURSOS!$D$32,"MANIPULACION DE ALIMENTOS Y BPM",IF(N108=CURSOS!$D$33,"ATENCION A PERSONAS CON DISCAPACIDAD",IF(N108=CURSOS!$D$34,"CUIDADO INTEGRAL DEL PACIENTE ADULTO",IF(N108=CURSOS!$D$35,"MANEJO DEFENSIVO",IF(N108=CURSOS!$D$36,"SOPORTE CARDIOVASCULAR AVANZADO NEONATAL",IF(N108=CURSOS!$D$37,"SEGURIDAD DEL PACIENTE")))))))))))))))))))))))))))))))))))</f>
        <v xml:space="preserve">HUMANIZACION EN EL SERVICIO DE LA SALUD Y BUENAS PRACTICAS EN PACIENTE </v>
      </c>
      <c r="U108" s="124" t="str">
        <f t="shared" si="6"/>
        <v>Roberto Carlos Rodriguez Montaño</v>
      </c>
      <c r="V108" s="128" t="str">
        <f t="shared" si="7"/>
        <v>Roberto Carlos Rodriguez Montaño</v>
      </c>
      <c r="W108" s="138" t="str">
        <f t="shared" si="8"/>
        <v>Roberto Carlos Rodriguez Montaño-87940265-HUMANIZACION</v>
      </c>
    </row>
    <row r="109" spans="1:23" s="131" customFormat="1" x14ac:dyDescent="0.2">
      <c r="A109" s="42">
        <v>108</v>
      </c>
      <c r="B109" s="91">
        <v>87940265</v>
      </c>
      <c r="C109" s="68" t="s">
        <v>205</v>
      </c>
      <c r="D109" s="68" t="s">
        <v>362</v>
      </c>
      <c r="E109" s="68" t="s">
        <v>363</v>
      </c>
      <c r="F109" s="68" t="s">
        <v>130</v>
      </c>
      <c r="G109" s="14">
        <v>9</v>
      </c>
      <c r="H109" s="14" t="s">
        <v>89</v>
      </c>
      <c r="I109" s="16">
        <v>45482</v>
      </c>
      <c r="J109" s="19">
        <v>35000</v>
      </c>
      <c r="K109" s="14" t="s">
        <v>210</v>
      </c>
      <c r="L109" s="14" t="s">
        <v>90</v>
      </c>
      <c r="M109" s="14" t="s">
        <v>118</v>
      </c>
      <c r="N109" s="67" t="s">
        <v>43</v>
      </c>
      <c r="O109" s="61">
        <v>29313</v>
      </c>
      <c r="P109" s="121" t="s">
        <v>91</v>
      </c>
      <c r="Q109" s="17" t="s">
        <v>215</v>
      </c>
      <c r="R109" s="68">
        <v>3217829607</v>
      </c>
      <c r="S109" s="68"/>
      <c r="T109" s="124" t="str">
        <f>IF(N109=CURSOS!$D$3,"DIPLOMADO EN ATENCION PRE-HOSPITALARIA",IF(N109=CURSOS!$D$4,"ACOMPAÑAMIENTO Y MANEJO DEL DUELO",IF(N109=CURSOS!$D$5,"ATENCION A VICTIMAS DE ATAQUE CON AGENTES QUIMICOS ",IF(N109=CURSOS!$D$6,"PRIMEROS AUXILIOS ",IF(N109=CURSOS!$D$7,"DIPLOMADO DE UNIDAD DE CUIDADOS INTENSIVOS (UCI)",IF(N109=CURSOS!$D$8,"MODELO DE ATENCION PARA EVENTOS EMERGENTES EN SALUD MENTAL (CODIGO VERDE)",IF(N109=CURSOS!$D$9,"HUMANIZACION EN EL SERVICIO DE LA SALUD Y BUENAS PRACTICAS EN PACIENTE ",IF(N109=CURSOS!$D$10,"CLINICA DE HERIDAS ",IF(N109=CURSOS!$D$11,"TOMA DE CITOLOGIA CERVICO VAGINAL ",IF(N109=CURSOS!$D$12,"SOPORTE CARDIOVASCULAR AVANZADO (ACLS) ",IF(N109=CURSOS!$D$13,"CAMILLERO ",IF(N109=CURSOS!$D$14,"TOMA DE MUESTRAS Y LABORATORIO ",IF(N109=CURSOS!$D$15,"SOPORTE VITAL BASICO (BLS)",IF(N109=CURSOS!$D$16,"ATENCION A VICTIMAS DE VIOLENCIA SEXUAL ",IF(N109=CURSOS!$D$17,"PROGRAMADO AMPLIADO DE INMUNIZACION (PAI - COVID 19)",IF(N109=CURSOS!$D$18,"ATENCION INTEGRAL EN ENFERMEDADES PREVALENTES EN PRIMERA INFANCIA (AIEPI)",IF(N109=CURSOS!$D$19,"ADMINISTRACION DE MEDICAMENTOS, INYECTOLOGIA  Y CANALIZACION ",IF(N109=CURSOS!$D$20,"OPERADOR DE VEHICULOS DE EMERGENCIA (OVE)",IF(N109=CURSOS!$D$21,"INSTITUCIONES AMIGAS DE LA MUJER Y LA INFANCIA (IAMI)",IF(N109=CURSOS!$D$22,"CUIDADO DEL DONANTE DE ORGANOS",IF(N109=CURSOS!$D$23,"ATENCION A VICTIMAS POR VIOLENCIA DE GENERO",IF(N109=CURSOS!$D$24,"IGUALDAD DE GENERO EN LA SALUD",IF(N109=CURSOS!$D$25,"BRIGADA DE EMERGENCIA",IF(N109=CURSOS!$D$26,"MANEJO DEL DOLOR Y CUIDADOS PALIATIVOS",IF(N109=CURSOS!$D$27,"TOMA DE MUESTRAS Y LABORATORIO POCT",IF(N109=CURSOS!$D$28,"IMPLANTE SUBDERMICO DE DISPOSITIVO INTRAUTERINO",IF(N109=CURSOS!$D$29,"SALUD MENTAL",IF(N109=CURSOS!$D$30,"PRIMEROS AUXILIOS PSICOLOGICOS",IF(N109=CURSOS!$D$31,"ATENCION A VICTIMAS POR CONFLICTO ARMADO",IF(N109=CURSOS!$D$32,"MANIPULACION DE ALIMENTOS Y BPM",IF(N109=CURSOS!$D$33,"ATENCION A PERSONAS CON DISCAPACIDAD",IF(N109=CURSOS!$D$34,"CUIDADO INTEGRAL DEL PACIENTE ADULTO",IF(N109=CURSOS!$D$35,"MANEJO DEFENSIVO",IF(N109=CURSOS!$D$36,"SOPORTE CARDIOVASCULAR AVANZADO NEONATAL",IF(N109=CURSOS!$D$37,"SEGURIDAD DEL PACIENTE")))))))))))))))))))))))))))))))))))</f>
        <v xml:space="preserve">ATENCION A VICTIMAS DE VIOLENCIA SEXUAL </v>
      </c>
      <c r="U109" s="124" t="str">
        <f t="shared" si="6"/>
        <v>Roberto Carlos Rodriguez Montaño</v>
      </c>
      <c r="V109" s="128" t="str">
        <f t="shared" si="7"/>
        <v>Roberto Carlos Rodriguez Montaño</v>
      </c>
      <c r="W109" s="138" t="str">
        <f t="shared" si="8"/>
        <v>Roberto Carlos Rodriguez Montaño-87940265-VIOLENCIA SEXUAL</v>
      </c>
    </row>
    <row r="110" spans="1:23" s="131" customFormat="1" x14ac:dyDescent="0.2">
      <c r="A110" s="42">
        <v>109</v>
      </c>
      <c r="B110" s="43">
        <v>1085319388</v>
      </c>
      <c r="C110" s="68" t="s">
        <v>162</v>
      </c>
      <c r="D110" s="68" t="s">
        <v>122</v>
      </c>
      <c r="E110" s="68" t="s">
        <v>321</v>
      </c>
      <c r="F110" s="68" t="s">
        <v>164</v>
      </c>
      <c r="G110" s="14">
        <v>9</v>
      </c>
      <c r="H110" s="14" t="s">
        <v>89</v>
      </c>
      <c r="I110" s="16">
        <v>45482</v>
      </c>
      <c r="J110" s="19">
        <v>35000</v>
      </c>
      <c r="K110" s="14" t="s">
        <v>210</v>
      </c>
      <c r="L110" s="14" t="s">
        <v>90</v>
      </c>
      <c r="M110" s="14" t="s">
        <v>340</v>
      </c>
      <c r="N110" s="67" t="s">
        <v>25</v>
      </c>
      <c r="O110" s="56">
        <v>34774</v>
      </c>
      <c r="P110" s="121" t="s">
        <v>91</v>
      </c>
      <c r="Q110" s="17" t="s">
        <v>290</v>
      </c>
      <c r="R110" s="53">
        <v>3152040433</v>
      </c>
      <c r="S110" s="17" t="s">
        <v>341</v>
      </c>
      <c r="T110" s="124" t="str">
        <f>IF(N110=CURSOS!$D$3,"DIPLOMADO EN ATENCION PRE-HOSPITALARIA",IF(N110=CURSOS!$D$4,"ACOMPAÑAMIENTO Y MANEJO DEL DUELO",IF(N110=CURSOS!$D$5,"ATENCION A VICTIMAS DE ATAQUE CON AGENTES QUIMICOS ",IF(N110=CURSOS!$D$6,"PRIMEROS AUXILIOS ",IF(N110=CURSOS!$D$7,"DIPLOMADO DE UNIDAD DE CUIDADOS INTENSIVOS (UCI)",IF(N110=CURSOS!$D$8,"MODELO DE ATENCION PARA EVENTOS EMERGENTES EN SALUD MENTAL (CODIGO VERDE)",IF(N110=CURSOS!$D$9,"HUMANIZACION EN EL SERVICIO DE LA SALUD Y BUENAS PRACTICAS EN PACIENTE ",IF(N110=CURSOS!$D$10,"CLINICA DE HERIDAS ",IF(N110=CURSOS!$D$11,"TOMA DE CITOLOGIA CERVICO VAGINAL ",IF(N110=CURSOS!$D$12,"SOPORTE CARDIOVASCULAR AVANZADO (ACLS) ",IF(N110=CURSOS!$D$13,"CAMILLERO ",IF(N110=CURSOS!$D$14,"TOMA DE MUESTRAS Y LABORATORIO ",IF(N110=CURSOS!$D$15,"SOPORTE VITAL BASICO (BLS)",IF(N110=CURSOS!$D$16,"ATENCION A VICTIMAS DE VIOLENCIA SEXUAL ",IF(N110=CURSOS!$D$17,"PROGRAMADO AMPLIADO DE INMUNIZACION (PAI - COVID 19)",IF(N110=CURSOS!$D$18,"ATENCION INTEGRAL EN ENFERMEDADES PREVALENTES EN PRIMERA INFANCIA (AIEPI)",IF(N110=CURSOS!$D$19,"ADMINISTRACION DE MEDICAMENTOS, INYECTOLOGIA  Y CANALIZACION ",IF(N110=CURSOS!$D$20,"OPERADOR DE VEHICULOS DE EMERGENCIA (OVE)",IF(N110=CURSOS!$D$21,"INSTITUCIONES AMIGAS DE LA MUJER Y LA INFANCIA (IAMI)",IF(N110=CURSOS!$D$22,"CUIDADO DEL DONANTE DE ORGANOS",IF(N110=CURSOS!$D$23,"ATENCION A VICTIMAS POR VIOLENCIA DE GENERO",IF(N110=CURSOS!$D$24,"IGUALDAD DE GENERO EN LA SALUD",IF(N110=CURSOS!$D$25,"BRIGADA DE EMERGENCIA",IF(N110=CURSOS!$D$26,"MANEJO DEL DOLOR Y CUIDADOS PALIATIVOS",IF(N110=CURSOS!$D$27,"TOMA DE MUESTRAS Y LABORATORIO POCT",IF(N110=CURSOS!$D$28,"IMPLANTE SUBDERMICO DE DISPOSITIVO INTRAUTERINO",IF(N110=CURSOS!$D$29,"SALUD MENTAL",IF(N110=CURSOS!$D$30,"PRIMEROS AUXILIOS PSICOLOGICOS",IF(N110=CURSOS!$D$31,"ATENCION A VICTIMAS POR CONFLICTO ARMADO",IF(N110=CURSOS!$D$32,"MANIPULACION DE ALIMENTOS Y BPM",IF(N110=CURSOS!$D$33,"ATENCION A PERSONAS CON DISCAPACIDAD",IF(N110=CURSOS!$D$34,"CUIDADO INTEGRAL DEL PACIENTE ADULTO",IF(N110=CURSOS!$D$35,"MANEJO DEFENSIVO",IF(N110=CURSOS!$D$36,"SOPORTE CARDIOVASCULAR AVANZADO NEONATAL",IF(N110=CURSOS!$D$37,"SEGURIDAD DEL PACIENTE")))))))))))))))))))))))))))))))))))</f>
        <v xml:space="preserve">ATENCION A VICTIMAS DE ATAQUE CON AGENTES QUIMICOS </v>
      </c>
      <c r="U110" s="124" t="str">
        <f t="shared" si="6"/>
        <v>Juan Camilo Burgos Benavides</v>
      </c>
      <c r="V110" s="128" t="str">
        <f t="shared" si="7"/>
        <v>Juan Camilo Burgos Benavides</v>
      </c>
      <c r="W110" s="138" t="str">
        <f t="shared" si="8"/>
        <v>Juan Camilo Burgos Benavides-1085319388-QUIMICOS</v>
      </c>
    </row>
    <row r="111" spans="1:23" s="131" customFormat="1" x14ac:dyDescent="0.2">
      <c r="A111" s="42">
        <v>110</v>
      </c>
      <c r="B111" s="43">
        <v>1085319388</v>
      </c>
      <c r="C111" s="68" t="s">
        <v>162</v>
      </c>
      <c r="D111" s="68" t="s">
        <v>122</v>
      </c>
      <c r="E111" s="68" t="s">
        <v>321</v>
      </c>
      <c r="F111" s="68" t="s">
        <v>164</v>
      </c>
      <c r="G111" s="14">
        <v>9</v>
      </c>
      <c r="H111" s="14" t="s">
        <v>89</v>
      </c>
      <c r="I111" s="16">
        <v>45482</v>
      </c>
      <c r="J111" s="19">
        <v>35000</v>
      </c>
      <c r="K111" s="14" t="s">
        <v>210</v>
      </c>
      <c r="L111" s="14" t="s">
        <v>90</v>
      </c>
      <c r="M111" s="14" t="s">
        <v>340</v>
      </c>
      <c r="N111" s="67" t="s">
        <v>23</v>
      </c>
      <c r="O111" s="56">
        <v>34774</v>
      </c>
      <c r="P111" s="121" t="s">
        <v>91</v>
      </c>
      <c r="Q111" s="17" t="s">
        <v>290</v>
      </c>
      <c r="R111" s="53">
        <v>3152040433</v>
      </c>
      <c r="S111" s="17" t="s">
        <v>341</v>
      </c>
      <c r="T111" s="124" t="str">
        <f>IF(N111=CURSOS!$D$3,"DIPLOMADO EN ATENCION PRE-HOSPITALARIA",IF(N111=CURSOS!$D$4,"ACOMPAÑAMIENTO Y MANEJO DEL DUELO",IF(N111=CURSOS!$D$5,"ATENCION A VICTIMAS DE ATAQUE CON AGENTES QUIMICOS ",IF(N111=CURSOS!$D$6,"PRIMEROS AUXILIOS ",IF(N111=CURSOS!$D$7,"DIPLOMADO DE UNIDAD DE CUIDADOS INTENSIVOS (UCI)",IF(N111=CURSOS!$D$8,"MODELO DE ATENCION PARA EVENTOS EMERGENTES EN SALUD MENTAL (CODIGO VERDE)",IF(N111=CURSOS!$D$9,"HUMANIZACION EN EL SERVICIO DE LA SALUD Y BUENAS PRACTICAS EN PACIENTE ",IF(N111=CURSOS!$D$10,"CLINICA DE HERIDAS ",IF(N111=CURSOS!$D$11,"TOMA DE CITOLOGIA CERVICO VAGINAL ",IF(N111=CURSOS!$D$12,"SOPORTE CARDIOVASCULAR AVANZADO (ACLS) ",IF(N111=CURSOS!$D$13,"CAMILLERO ",IF(N111=CURSOS!$D$14,"TOMA DE MUESTRAS Y LABORATORIO ",IF(N111=CURSOS!$D$15,"SOPORTE VITAL BASICO (BLS)",IF(N111=CURSOS!$D$16,"ATENCION A VICTIMAS DE VIOLENCIA SEXUAL ",IF(N111=CURSOS!$D$17,"PROGRAMADO AMPLIADO DE INMUNIZACION (PAI - COVID 19)",IF(N111=CURSOS!$D$18,"ATENCION INTEGRAL EN ENFERMEDADES PREVALENTES EN PRIMERA INFANCIA (AIEPI)",IF(N111=CURSOS!$D$19,"ADMINISTRACION DE MEDICAMENTOS, INYECTOLOGIA  Y CANALIZACION ",IF(N111=CURSOS!$D$20,"OPERADOR DE VEHICULOS DE EMERGENCIA (OVE)",IF(N111=CURSOS!$D$21,"INSTITUCIONES AMIGAS DE LA MUJER Y LA INFANCIA (IAMI)",IF(N111=CURSOS!$D$22,"CUIDADO DEL DONANTE DE ORGANOS",IF(N111=CURSOS!$D$23,"ATENCION A VICTIMAS POR VIOLENCIA DE GENERO",IF(N111=CURSOS!$D$24,"IGUALDAD DE GENERO EN LA SALUD",IF(N111=CURSOS!$D$25,"BRIGADA DE EMERGENCIA",IF(N111=CURSOS!$D$26,"MANEJO DEL DOLOR Y CUIDADOS PALIATIVOS",IF(N111=CURSOS!$D$27,"TOMA DE MUESTRAS Y LABORATORIO POCT",IF(N111=CURSOS!$D$28,"IMPLANTE SUBDERMICO DE DISPOSITIVO INTRAUTERINO",IF(N111=CURSOS!$D$29,"SALUD MENTAL",IF(N111=CURSOS!$D$30,"PRIMEROS AUXILIOS PSICOLOGICOS",IF(N111=CURSOS!$D$31,"ATENCION A VICTIMAS POR CONFLICTO ARMADO",IF(N111=CURSOS!$D$32,"MANIPULACION DE ALIMENTOS Y BPM",IF(N111=CURSOS!$D$33,"ATENCION A PERSONAS CON DISCAPACIDAD",IF(N111=CURSOS!$D$34,"CUIDADO INTEGRAL DEL PACIENTE ADULTO",IF(N111=CURSOS!$D$35,"MANEJO DEFENSIVO",IF(N111=CURSOS!$D$36,"SOPORTE CARDIOVASCULAR AVANZADO NEONATAL",IF(N111=CURSOS!$D$37,"SEGURIDAD DEL PACIENTE")))))))))))))))))))))))))))))))))))</f>
        <v>ACOMPAÑAMIENTO Y MANEJO DEL DUELO</v>
      </c>
      <c r="U111" s="124" t="str">
        <f t="shared" si="6"/>
        <v>Juan Camilo Burgos Benavides</v>
      </c>
      <c r="V111" s="128" t="str">
        <f t="shared" si="7"/>
        <v>Juan Camilo Burgos Benavides</v>
      </c>
      <c r="W111" s="138" t="str">
        <f t="shared" si="8"/>
        <v>Juan Camilo Burgos Benavides-1085319388-DUELO</v>
      </c>
    </row>
    <row r="112" spans="1:23" s="131" customFormat="1" x14ac:dyDescent="0.2">
      <c r="A112" s="42">
        <v>111</v>
      </c>
      <c r="B112" s="43">
        <v>1085319388</v>
      </c>
      <c r="C112" s="68" t="s">
        <v>162</v>
      </c>
      <c r="D112" s="68" t="s">
        <v>122</v>
      </c>
      <c r="E112" s="68" t="s">
        <v>321</v>
      </c>
      <c r="F112" s="68" t="s">
        <v>164</v>
      </c>
      <c r="G112" s="14">
        <v>9</v>
      </c>
      <c r="H112" s="14" t="s">
        <v>89</v>
      </c>
      <c r="I112" s="16">
        <v>45482</v>
      </c>
      <c r="J112" s="19">
        <v>35000</v>
      </c>
      <c r="K112" s="14" t="s">
        <v>210</v>
      </c>
      <c r="L112" s="14" t="s">
        <v>90</v>
      </c>
      <c r="M112" s="14" t="s">
        <v>340</v>
      </c>
      <c r="N112" s="67" t="s">
        <v>43</v>
      </c>
      <c r="O112" s="56">
        <v>34774</v>
      </c>
      <c r="P112" s="121" t="s">
        <v>91</v>
      </c>
      <c r="Q112" s="17" t="s">
        <v>290</v>
      </c>
      <c r="R112" s="53">
        <v>3152040433</v>
      </c>
      <c r="S112" s="17" t="s">
        <v>341</v>
      </c>
      <c r="T112" s="124" t="str">
        <f>IF(N112=CURSOS!$D$3,"DIPLOMADO EN ATENCION PRE-HOSPITALARIA",IF(N112=CURSOS!$D$4,"ACOMPAÑAMIENTO Y MANEJO DEL DUELO",IF(N112=CURSOS!$D$5,"ATENCION A VICTIMAS DE ATAQUE CON AGENTES QUIMICOS ",IF(N112=CURSOS!$D$6,"PRIMEROS AUXILIOS ",IF(N112=CURSOS!$D$7,"DIPLOMADO DE UNIDAD DE CUIDADOS INTENSIVOS (UCI)",IF(N112=CURSOS!$D$8,"MODELO DE ATENCION PARA EVENTOS EMERGENTES EN SALUD MENTAL (CODIGO VERDE)",IF(N112=CURSOS!$D$9,"HUMANIZACION EN EL SERVICIO DE LA SALUD Y BUENAS PRACTICAS EN PACIENTE ",IF(N112=CURSOS!$D$10,"CLINICA DE HERIDAS ",IF(N112=CURSOS!$D$11,"TOMA DE CITOLOGIA CERVICO VAGINAL ",IF(N112=CURSOS!$D$12,"SOPORTE CARDIOVASCULAR AVANZADO (ACLS) ",IF(N112=CURSOS!$D$13,"CAMILLERO ",IF(N112=CURSOS!$D$14,"TOMA DE MUESTRAS Y LABORATORIO ",IF(N112=CURSOS!$D$15,"SOPORTE VITAL BASICO (BLS)",IF(N112=CURSOS!$D$16,"ATENCION A VICTIMAS DE VIOLENCIA SEXUAL ",IF(N112=CURSOS!$D$17,"PROGRAMADO AMPLIADO DE INMUNIZACION (PAI - COVID 19)",IF(N112=CURSOS!$D$18,"ATENCION INTEGRAL EN ENFERMEDADES PREVALENTES EN PRIMERA INFANCIA (AIEPI)",IF(N112=CURSOS!$D$19,"ADMINISTRACION DE MEDICAMENTOS, INYECTOLOGIA  Y CANALIZACION ",IF(N112=CURSOS!$D$20,"OPERADOR DE VEHICULOS DE EMERGENCIA (OVE)",IF(N112=CURSOS!$D$21,"INSTITUCIONES AMIGAS DE LA MUJER Y LA INFANCIA (IAMI)",IF(N112=CURSOS!$D$22,"CUIDADO DEL DONANTE DE ORGANOS",IF(N112=CURSOS!$D$23,"ATENCION A VICTIMAS POR VIOLENCIA DE GENERO",IF(N112=CURSOS!$D$24,"IGUALDAD DE GENERO EN LA SALUD",IF(N112=CURSOS!$D$25,"BRIGADA DE EMERGENCIA",IF(N112=CURSOS!$D$26,"MANEJO DEL DOLOR Y CUIDADOS PALIATIVOS",IF(N112=CURSOS!$D$27,"TOMA DE MUESTRAS Y LABORATORIO POCT",IF(N112=CURSOS!$D$28,"IMPLANTE SUBDERMICO DE DISPOSITIVO INTRAUTERINO",IF(N112=CURSOS!$D$29,"SALUD MENTAL",IF(N112=CURSOS!$D$30,"PRIMEROS AUXILIOS PSICOLOGICOS",IF(N112=CURSOS!$D$31,"ATENCION A VICTIMAS POR CONFLICTO ARMADO",IF(N112=CURSOS!$D$32,"MANIPULACION DE ALIMENTOS Y BPM",IF(N112=CURSOS!$D$33,"ATENCION A PERSONAS CON DISCAPACIDAD",IF(N112=CURSOS!$D$34,"CUIDADO INTEGRAL DEL PACIENTE ADULTO",IF(N112=CURSOS!$D$35,"MANEJO DEFENSIVO",IF(N112=CURSOS!$D$36,"SOPORTE CARDIOVASCULAR AVANZADO NEONATAL",IF(N112=CURSOS!$D$37,"SEGURIDAD DEL PACIENTE")))))))))))))))))))))))))))))))))))</f>
        <v xml:space="preserve">ATENCION A VICTIMAS DE VIOLENCIA SEXUAL </v>
      </c>
      <c r="U112" s="124" t="str">
        <f t="shared" si="6"/>
        <v>Juan Camilo Burgos Benavides</v>
      </c>
      <c r="V112" s="128" t="str">
        <f t="shared" si="7"/>
        <v>Juan Camilo Burgos Benavides</v>
      </c>
      <c r="W112" s="138" t="str">
        <f t="shared" si="8"/>
        <v>Juan Camilo Burgos Benavides-1085319388-VIOLENCIA SEXUAL</v>
      </c>
    </row>
    <row r="113" spans="1:23" s="131" customFormat="1" x14ac:dyDescent="0.2">
      <c r="A113" s="42">
        <v>112</v>
      </c>
      <c r="B113" s="43">
        <v>1085319388</v>
      </c>
      <c r="C113" s="68" t="s">
        <v>162</v>
      </c>
      <c r="D113" s="68" t="s">
        <v>122</v>
      </c>
      <c r="E113" s="68" t="s">
        <v>321</v>
      </c>
      <c r="F113" s="68" t="s">
        <v>164</v>
      </c>
      <c r="G113" s="14">
        <v>9</v>
      </c>
      <c r="H113" s="14" t="s">
        <v>89</v>
      </c>
      <c r="I113" s="16">
        <v>45482</v>
      </c>
      <c r="J113" s="19">
        <v>35000</v>
      </c>
      <c r="K113" s="14" t="s">
        <v>210</v>
      </c>
      <c r="L113" s="70" t="s">
        <v>90</v>
      </c>
      <c r="M113" s="14" t="s">
        <v>340</v>
      </c>
      <c r="N113" s="67" t="s">
        <v>33</v>
      </c>
      <c r="O113" s="56">
        <v>34774</v>
      </c>
      <c r="P113" s="121" t="s">
        <v>91</v>
      </c>
      <c r="Q113" s="17" t="s">
        <v>290</v>
      </c>
      <c r="R113" s="53">
        <v>3152040433</v>
      </c>
      <c r="S113" s="17" t="s">
        <v>341</v>
      </c>
      <c r="T113" s="124" t="str">
        <f>IF(N113=CURSOS!$D$3,"DIPLOMADO EN ATENCION PRE-HOSPITALARIA",IF(N113=CURSOS!$D$4,"ACOMPAÑAMIENTO Y MANEJO DEL DUELO",IF(N113=CURSOS!$D$5,"ATENCION A VICTIMAS DE ATAQUE CON AGENTES QUIMICOS ",IF(N113=CURSOS!$D$6,"PRIMEROS AUXILIOS ",IF(N113=CURSOS!$D$7,"DIPLOMADO DE UNIDAD DE CUIDADOS INTENSIVOS (UCI)",IF(N113=CURSOS!$D$8,"MODELO DE ATENCION PARA EVENTOS EMERGENTES EN SALUD MENTAL (CODIGO VERDE)",IF(N113=CURSOS!$D$9,"HUMANIZACION EN EL SERVICIO DE LA SALUD Y BUENAS PRACTICAS EN PACIENTE ",IF(N113=CURSOS!$D$10,"CLINICA DE HERIDAS ",IF(N113=CURSOS!$D$11,"TOMA DE CITOLOGIA CERVICO VAGINAL ",IF(N113=CURSOS!$D$12,"SOPORTE CARDIOVASCULAR AVANZADO (ACLS) ",IF(N113=CURSOS!$D$13,"CAMILLERO ",IF(N113=CURSOS!$D$14,"TOMA DE MUESTRAS Y LABORATORIO ",IF(N113=CURSOS!$D$15,"SOPORTE VITAL BASICO (BLS)",IF(N113=CURSOS!$D$16,"ATENCION A VICTIMAS DE VIOLENCIA SEXUAL ",IF(N113=CURSOS!$D$17,"PROGRAMADO AMPLIADO DE INMUNIZACION (PAI - COVID 19)",IF(N113=CURSOS!$D$18,"ATENCION INTEGRAL EN ENFERMEDADES PREVALENTES EN PRIMERA INFANCIA (AIEPI)",IF(N113=CURSOS!$D$19,"ADMINISTRACION DE MEDICAMENTOS, INYECTOLOGIA  Y CANALIZACION ",IF(N113=CURSOS!$D$20,"OPERADOR DE VEHICULOS DE EMERGENCIA (OVE)",IF(N113=CURSOS!$D$21,"INSTITUCIONES AMIGAS DE LA MUJER Y LA INFANCIA (IAMI)",IF(N113=CURSOS!$D$22,"CUIDADO DEL DONANTE DE ORGANOS",IF(N113=CURSOS!$D$23,"ATENCION A VICTIMAS POR VIOLENCIA DE GENERO",IF(N113=CURSOS!$D$24,"IGUALDAD DE GENERO EN LA SALUD",IF(N113=CURSOS!$D$25,"BRIGADA DE EMERGENCIA",IF(N113=CURSOS!$D$26,"MANEJO DEL DOLOR Y CUIDADOS PALIATIVOS",IF(N113=CURSOS!$D$27,"TOMA DE MUESTRAS Y LABORATORIO POCT",IF(N113=CURSOS!$D$28,"IMPLANTE SUBDERMICO DE DISPOSITIVO INTRAUTERINO",IF(N113=CURSOS!$D$29,"SALUD MENTAL",IF(N113=CURSOS!$D$30,"PRIMEROS AUXILIOS PSICOLOGICOS",IF(N113=CURSOS!$D$31,"ATENCION A VICTIMAS POR CONFLICTO ARMADO",IF(N113=CURSOS!$D$32,"MANIPULACION DE ALIMENTOS Y BPM",IF(N113=CURSOS!$D$33,"ATENCION A PERSONAS CON DISCAPACIDAD",IF(N113=CURSOS!$D$34,"CUIDADO INTEGRAL DEL PACIENTE ADULTO",IF(N113=CURSOS!$D$35,"MANEJO DEFENSIVO",IF(N113=CURSOS!$D$36,"SOPORTE CARDIOVASCULAR AVANZADO NEONATAL",IF(N113=CURSOS!$D$37,"SEGURIDAD DEL PACIENTE")))))))))))))))))))))))))))))))))))</f>
        <v xml:space="preserve">HUMANIZACION EN EL SERVICIO DE LA SALUD Y BUENAS PRACTICAS EN PACIENTE </v>
      </c>
      <c r="U113" s="124" t="str">
        <f t="shared" si="6"/>
        <v>Juan Camilo Burgos Benavides</v>
      </c>
      <c r="V113" s="128" t="str">
        <f t="shared" si="7"/>
        <v>Juan Camilo Burgos Benavides</v>
      </c>
      <c r="W113" s="138" t="str">
        <f t="shared" si="8"/>
        <v>Juan Camilo Burgos Benavides-1085319388-HUMANIZACION</v>
      </c>
    </row>
    <row r="114" spans="1:23" s="131" customFormat="1" x14ac:dyDescent="0.2">
      <c r="A114" s="42">
        <v>113</v>
      </c>
      <c r="B114" s="43">
        <v>1085319388</v>
      </c>
      <c r="C114" s="68" t="s">
        <v>162</v>
      </c>
      <c r="D114" s="68" t="s">
        <v>122</v>
      </c>
      <c r="E114" s="68" t="s">
        <v>321</v>
      </c>
      <c r="F114" s="68" t="s">
        <v>164</v>
      </c>
      <c r="G114" s="14">
        <v>9</v>
      </c>
      <c r="H114" s="14" t="s">
        <v>89</v>
      </c>
      <c r="I114" s="16">
        <v>45482</v>
      </c>
      <c r="J114" s="19">
        <v>35000</v>
      </c>
      <c r="K114" s="14" t="s">
        <v>210</v>
      </c>
      <c r="L114" s="70" t="s">
        <v>90</v>
      </c>
      <c r="M114" s="14" t="s">
        <v>340</v>
      </c>
      <c r="N114" s="67" t="s">
        <v>53</v>
      </c>
      <c r="O114" s="56">
        <v>34774</v>
      </c>
      <c r="P114" s="121" t="s">
        <v>91</v>
      </c>
      <c r="Q114" s="17" t="s">
        <v>290</v>
      </c>
      <c r="R114" s="53">
        <v>3152040433</v>
      </c>
      <c r="S114" s="17" t="s">
        <v>341</v>
      </c>
      <c r="T114" s="124" t="str">
        <f>IF(N114=CURSOS!$D$3,"DIPLOMADO EN ATENCION PRE-HOSPITALARIA",IF(N114=CURSOS!$D$4,"ACOMPAÑAMIENTO Y MANEJO DEL DUELO",IF(N114=CURSOS!$D$5,"ATENCION A VICTIMAS DE ATAQUE CON AGENTES QUIMICOS ",IF(N114=CURSOS!$D$6,"PRIMEROS AUXILIOS ",IF(N114=CURSOS!$D$7,"DIPLOMADO DE UNIDAD DE CUIDADOS INTENSIVOS (UCI)",IF(N114=CURSOS!$D$8,"MODELO DE ATENCION PARA EVENTOS EMERGENTES EN SALUD MENTAL (CODIGO VERDE)",IF(N114=CURSOS!$D$9,"HUMANIZACION EN EL SERVICIO DE LA SALUD Y BUENAS PRACTICAS EN PACIENTE ",IF(N114=CURSOS!$D$10,"CLINICA DE HERIDAS ",IF(N114=CURSOS!$D$11,"TOMA DE CITOLOGIA CERVICO VAGINAL ",IF(N114=CURSOS!$D$12,"SOPORTE CARDIOVASCULAR AVANZADO (ACLS) ",IF(N114=CURSOS!$D$13,"CAMILLERO ",IF(N114=CURSOS!$D$14,"TOMA DE MUESTRAS Y LABORATORIO ",IF(N114=CURSOS!$D$15,"SOPORTE VITAL BASICO (BLS)",IF(N114=CURSOS!$D$16,"ATENCION A VICTIMAS DE VIOLENCIA SEXUAL ",IF(N114=CURSOS!$D$17,"PROGRAMADO AMPLIADO DE INMUNIZACION (PAI - COVID 19)",IF(N114=CURSOS!$D$18,"ATENCION INTEGRAL EN ENFERMEDADES PREVALENTES EN PRIMERA INFANCIA (AIEPI)",IF(N114=CURSOS!$D$19,"ADMINISTRACION DE MEDICAMENTOS, INYECTOLOGIA  Y CANALIZACION ",IF(N114=CURSOS!$D$20,"OPERADOR DE VEHICULOS DE EMERGENCIA (OVE)",IF(N114=CURSOS!$D$21,"INSTITUCIONES AMIGAS DE LA MUJER Y LA INFANCIA (IAMI)",IF(N114=CURSOS!$D$22,"CUIDADO DEL DONANTE DE ORGANOS",IF(N114=CURSOS!$D$23,"ATENCION A VICTIMAS POR VIOLENCIA DE GENERO",IF(N114=CURSOS!$D$24,"IGUALDAD DE GENERO EN LA SALUD",IF(N114=CURSOS!$D$25,"BRIGADA DE EMERGENCIA",IF(N114=CURSOS!$D$26,"MANEJO DEL DOLOR Y CUIDADOS PALIATIVOS",IF(N114=CURSOS!$D$27,"TOMA DE MUESTRAS Y LABORATORIO POCT",IF(N114=CURSOS!$D$28,"IMPLANTE SUBDERMICO DE DISPOSITIVO INTRAUTERINO",IF(N114=CURSOS!$D$29,"SALUD MENTAL",IF(N114=CURSOS!$D$30,"PRIMEROS AUXILIOS PSICOLOGICOS",IF(N114=CURSOS!$D$31,"ATENCION A VICTIMAS POR CONFLICTO ARMADO",IF(N114=CURSOS!$D$32,"MANIPULACION DE ALIMENTOS Y BPM",IF(N114=CURSOS!$D$33,"ATENCION A PERSONAS CON DISCAPACIDAD",IF(N114=CURSOS!$D$34,"CUIDADO INTEGRAL DEL PACIENTE ADULTO",IF(N114=CURSOS!$D$35,"MANEJO DEFENSIVO",IF(N114=CURSOS!$D$36,"SOPORTE CARDIOVASCULAR AVANZADO NEONATAL",IF(N114=CURSOS!$D$37,"SEGURIDAD DEL PACIENTE")))))))))))))))))))))))))))))))))))</f>
        <v>CUIDADO DEL DONANTE DE ORGANOS</v>
      </c>
      <c r="U114" s="124" t="str">
        <f t="shared" si="6"/>
        <v>Juan Camilo Burgos Benavides</v>
      </c>
      <c r="V114" s="128" t="str">
        <f t="shared" si="7"/>
        <v>Juan Camilo Burgos Benavides</v>
      </c>
      <c r="W114" s="138" t="str">
        <f t="shared" si="8"/>
        <v>Juan Camilo Burgos Benavides-1085319388-DONANTE</v>
      </c>
    </row>
    <row r="115" spans="1:23" s="131" customFormat="1" x14ac:dyDescent="0.2">
      <c r="A115" s="42">
        <v>114</v>
      </c>
      <c r="B115" s="43">
        <v>1085319388</v>
      </c>
      <c r="C115" s="68" t="s">
        <v>162</v>
      </c>
      <c r="D115" s="68" t="s">
        <v>122</v>
      </c>
      <c r="E115" s="68" t="s">
        <v>321</v>
      </c>
      <c r="F115" s="68" t="s">
        <v>164</v>
      </c>
      <c r="G115" s="14">
        <v>9</v>
      </c>
      <c r="H115" s="14" t="s">
        <v>89</v>
      </c>
      <c r="I115" s="16">
        <v>45482</v>
      </c>
      <c r="J115" s="19">
        <v>35000</v>
      </c>
      <c r="K115" s="14" t="s">
        <v>210</v>
      </c>
      <c r="L115" s="70" t="s">
        <v>90</v>
      </c>
      <c r="M115" s="14" t="s">
        <v>340</v>
      </c>
      <c r="N115" s="67" t="s">
        <v>338</v>
      </c>
      <c r="O115" s="56">
        <v>34774</v>
      </c>
      <c r="P115" s="121" t="s">
        <v>91</v>
      </c>
      <c r="Q115" s="17" t="s">
        <v>290</v>
      </c>
      <c r="R115" s="53">
        <v>3152040433</v>
      </c>
      <c r="S115" s="17" t="s">
        <v>341</v>
      </c>
      <c r="T115" s="124" t="str">
        <f>IF(N115=CURSOS!$D$3,"DIPLOMADO EN ATENCION PRE-HOSPITALARIA",IF(N115=CURSOS!$D$4,"ACOMPAÑAMIENTO Y MANEJO DEL DUELO",IF(N115=CURSOS!$D$5,"ATENCION A VICTIMAS DE ATAQUE CON AGENTES QUIMICOS ",IF(N115=CURSOS!$D$6,"PRIMEROS AUXILIOS ",IF(N115=CURSOS!$D$7,"DIPLOMADO DE UNIDAD DE CUIDADOS INTENSIVOS (UCI)",IF(N115=CURSOS!$D$8,"MODELO DE ATENCION PARA EVENTOS EMERGENTES EN SALUD MENTAL (CODIGO VERDE)",IF(N115=CURSOS!$D$9,"HUMANIZACION EN EL SERVICIO DE LA SALUD Y BUENAS PRACTICAS EN PACIENTE ",IF(N115=CURSOS!$D$10,"CLINICA DE HERIDAS ",IF(N115=CURSOS!$D$11,"TOMA DE CITOLOGIA CERVICO VAGINAL ",IF(N115=CURSOS!$D$12,"SOPORTE CARDIOVASCULAR AVANZADO (ACLS) ",IF(N115=CURSOS!$D$13,"CAMILLERO ",IF(N115=CURSOS!$D$14,"TOMA DE MUESTRAS Y LABORATORIO ",IF(N115=CURSOS!$D$15,"SOPORTE VITAL BASICO (BLS)",IF(N115=CURSOS!$D$16,"ATENCION A VICTIMAS DE VIOLENCIA SEXUAL ",IF(N115=CURSOS!$D$17,"PROGRAMADO AMPLIADO DE INMUNIZACION (PAI - COVID 19)",IF(N115=CURSOS!$D$18,"ATENCION INTEGRAL EN ENFERMEDADES PREVALENTES EN PRIMERA INFANCIA (AIEPI)",IF(N115=CURSOS!$D$19,"ADMINISTRACION DE MEDICAMENTOS, INYECTOLOGIA  Y CANALIZACION ",IF(N115=CURSOS!$D$20,"OPERADOR DE VEHICULOS DE EMERGENCIA (OVE)",IF(N115=CURSOS!$D$21,"INSTITUCIONES AMIGAS DE LA MUJER Y LA INFANCIA (IAMI)",IF(N115=CURSOS!$D$22,"CUIDADO DEL DONANTE DE ORGANOS",IF(N115=CURSOS!$D$23,"ATENCION A VICTIMAS POR VIOLENCIA DE GENERO",IF(N115=CURSOS!$D$24,"IGUALDAD DE GENERO EN LA SALUD",IF(N115=CURSOS!$D$25,"BRIGADA DE EMERGENCIA",IF(N115=CURSOS!$D$26,"MANEJO DEL DOLOR Y CUIDADOS PALIATIVOS",IF(N115=CURSOS!$D$27,"TOMA DE MUESTRAS Y LABORATORIO POCT",IF(N115=CURSOS!$D$28,"IMPLANTE SUBDERMICO DE DISPOSITIVO INTRAUTERINO",IF(N115=CURSOS!$D$29,"SALUD MENTAL",IF(N115=CURSOS!$D$30,"PRIMEROS AUXILIOS PSICOLOGICOS",IF(N115=CURSOS!$D$31,"ATENCION A VICTIMAS POR CONFLICTO ARMADO",IF(N115=CURSOS!$D$32,"MANIPULACION DE ALIMENTOS Y BPM",IF(N115=CURSOS!$D$33,"ATENCION A PERSONAS CON DISCAPACIDAD",IF(N115=CURSOS!$D$34,"CUIDADO INTEGRAL DEL PACIENTE ADULTO",IF(N115=CURSOS!$D$35,"MANEJO DEFENSIVO",IF(N115=CURSOS!$D$36,"SOPORTE CARDIOVASCULAR AVANZADO NEONATAL",IF(N115=CURSOS!$D$37,"SEGURIDAD DEL PACIENTE")))))))))))))))))))))))))))))))))))</f>
        <v>MANEJO DEFENSIVO</v>
      </c>
      <c r="U115" s="124" t="str">
        <f t="shared" si="6"/>
        <v>Juan Camilo Burgos Benavides</v>
      </c>
      <c r="V115" s="128" t="str">
        <f t="shared" si="7"/>
        <v>Juan Camilo Burgos Benavides</v>
      </c>
      <c r="W115" s="138" t="str">
        <f t="shared" si="8"/>
        <v>Juan Camilo Burgos Benavides-1085319388-MANEJO DEFENSIVO</v>
      </c>
    </row>
    <row r="116" spans="1:23" s="131" customFormat="1" x14ac:dyDescent="0.2">
      <c r="A116" s="42">
        <v>115</v>
      </c>
      <c r="B116" s="91">
        <v>12994862</v>
      </c>
      <c r="C116" s="74" t="s">
        <v>257</v>
      </c>
      <c r="D116" s="74" t="s">
        <v>269</v>
      </c>
      <c r="E116" s="74" t="s">
        <v>364</v>
      </c>
      <c r="F116" s="74" t="s">
        <v>365</v>
      </c>
      <c r="G116" s="70">
        <v>9</v>
      </c>
      <c r="H116" s="14" t="s">
        <v>89</v>
      </c>
      <c r="I116" s="16">
        <v>45482</v>
      </c>
      <c r="J116" s="75">
        <v>130000</v>
      </c>
      <c r="K116" s="70" t="s">
        <v>214</v>
      </c>
      <c r="L116" s="70" t="s">
        <v>90</v>
      </c>
      <c r="M116" s="14" t="s">
        <v>118</v>
      </c>
      <c r="N116" s="67" t="s">
        <v>367</v>
      </c>
      <c r="O116" s="76">
        <v>24586</v>
      </c>
      <c r="P116" s="67" t="s">
        <v>91</v>
      </c>
      <c r="Q116" s="77" t="s">
        <v>133</v>
      </c>
      <c r="R116" s="74"/>
      <c r="S116" s="74" t="s">
        <v>366</v>
      </c>
      <c r="T116" s="124" t="str">
        <f>IF(N116=CURSOS!$D$3,"DIPLOMADO EN ATENCION PRE-HOSPITALARIA",IF(N116=CURSOS!$D$4,"ACOMPAÑAMIENTO Y MANEJO DEL DUELO",IF(N116=CURSOS!$D$5,"ATENCION A VICTIMAS DE ATAQUE CON AGENTES QUIMICOS ",IF(N116=CURSOS!$D$6,"PRIMEROS AUXILIOS ",IF(N116=CURSOS!$D$7,"DIPLOMADO DE UNIDAD DE CUIDADOS INTENSIVOS (UCI)",IF(N116=CURSOS!$D$8,"MODELO DE ATENCION PARA EVENTOS EMERGENTES EN SALUD MENTAL (CODIGO VERDE)",IF(N116=CURSOS!$D$9,"HUMANIZACION EN EL SERVICIO DE LA SALUD Y BUENAS PRACTICAS EN PACIENTE ",IF(N116=CURSOS!$D$10,"CLINICA DE HERIDAS ",IF(N116=CURSOS!$D$11,"TOMA DE CITOLOGIA CERVICO VAGINAL ",IF(N116=CURSOS!$D$12,"SOPORTE CARDIOVASCULAR AVANZADO (ACLS) ",IF(N116=CURSOS!$D$13,"CAMILLERO ",IF(N116=CURSOS!$D$14,"TOMA DE MUESTRAS Y LABORATORIO ",IF(N116=CURSOS!$D$15,"SOPORTE VITAL BASICO (BLS)",IF(N116=CURSOS!$D$16,"ATENCION A VICTIMAS DE VIOLENCIA SEXUAL ",IF(N116=CURSOS!$D$17,"PROGRAMADO AMPLIADO DE INMUNIZACION (PAI - COVID 19)",IF(N116=CURSOS!$D$18,"ATENCION INTEGRAL EN ENFERMEDADES PREVALENTES EN PRIMERA INFANCIA (AIEPI)",IF(N116=CURSOS!$D$19,"ADMINISTRACION DE MEDICAMENTOS, INYECTOLOGIA  Y CANALIZACION ",IF(N116=CURSOS!$D$20,"OPERADOR DE VEHICULOS DE EMERGENCIA (OVE)",IF(N116=CURSOS!$D$21,"INSTITUCIONES AMIGAS DE LA MUJER Y LA INFANCIA (IAMI)",IF(N116=CURSOS!$D$22,"CUIDADO DEL DONANTE DE ORGANOS",IF(N116=CURSOS!$D$23,"ATENCION A VICTIMAS POR VIOLENCIA DE GENERO",IF(N116=CURSOS!$D$24,"IGUALDAD DE GENERO EN LA SALUD",IF(N116=CURSOS!$D$25,"BRIGADA DE EMERGENCIA",IF(N116=CURSOS!$D$26,"MANEJO DEL DOLOR Y CUIDADOS PALIATIVOS",IF(N116=CURSOS!$D$27,"TOMA DE MUESTRAS Y LABORATORIO POCT",IF(N116=CURSOS!$D$28,"IMPLANTE SUBDERMICO DE DISPOSITIVO INTRAUTERINO",IF(N116=CURSOS!$D$29,"SALUD MENTAL",IF(N116=CURSOS!$D$30,"PRIMEROS AUXILIOS PSICOLOGICOS",IF(N116=CURSOS!$D$31,"ATENCION A VICTIMAS POR CONFLICTO ARMADO",IF(N116=CURSOS!$D$32,"MANIPULACION DE ALIMENTOS Y BPM",IF(N116=CURSOS!$D$33,"ATENCION A PERSONAS CON DISCAPACIDAD",IF(N116=CURSOS!$D$34,"CUIDADO INTEGRAL DEL PACIENTE ADULTO",IF(N116=CURSOS!$D$35,"MANEJO DEFENSIVO",IF(N116=CURSOS!$D$36,"SOPORTE CARDIOVASCULAR AVANZADO NEONATAL",IF(N116=CURSOS!$D$37,"SEGURIDAD DEL PACIENTE")))))))))))))))))))))))))))))))))))</f>
        <v>SOPORTE CARDIOVASCULAR AVANZADO NEONATAL</v>
      </c>
      <c r="U116" s="124" t="str">
        <f t="shared" si="6"/>
        <v>Tito Javier Gómez Martinez</v>
      </c>
      <c r="V116" s="128" t="str">
        <f t="shared" si="7"/>
        <v>Tito Javier Gómez Martinez</v>
      </c>
      <c r="W116" s="138" t="str">
        <f t="shared" si="8"/>
        <v>Tito Javier Gómez Martinez-12994862-ACLSN</v>
      </c>
    </row>
    <row r="117" spans="1:23" s="131" customFormat="1" x14ac:dyDescent="0.2">
      <c r="A117" s="42">
        <v>116</v>
      </c>
      <c r="B117" s="92">
        <v>1007180708</v>
      </c>
      <c r="C117" s="74" t="s">
        <v>121</v>
      </c>
      <c r="D117" s="74" t="s">
        <v>325</v>
      </c>
      <c r="E117" s="74" t="s">
        <v>369</v>
      </c>
      <c r="F117" s="74" t="s">
        <v>280</v>
      </c>
      <c r="G117" s="70">
        <v>9</v>
      </c>
      <c r="H117" s="14" t="s">
        <v>89</v>
      </c>
      <c r="I117" s="16">
        <v>45482</v>
      </c>
      <c r="J117" s="75">
        <v>30000</v>
      </c>
      <c r="K117" s="70" t="s">
        <v>210</v>
      </c>
      <c r="L117" s="70" t="s">
        <v>90</v>
      </c>
      <c r="M117" s="14" t="s">
        <v>132</v>
      </c>
      <c r="N117" s="67" t="s">
        <v>41</v>
      </c>
      <c r="O117" s="76">
        <v>35987</v>
      </c>
      <c r="P117" s="67" t="s">
        <v>101</v>
      </c>
      <c r="Q117" s="77" t="s">
        <v>126</v>
      </c>
      <c r="R117" s="74">
        <v>3133104486</v>
      </c>
      <c r="S117" s="81" t="s">
        <v>370</v>
      </c>
      <c r="T117" s="124" t="str">
        <f>IF(N117=CURSOS!$D$3,"DIPLOMADO EN ATENCION PRE-HOSPITALARIA",IF(N117=CURSOS!$D$4,"ACOMPAÑAMIENTO Y MANEJO DEL DUELO",IF(N117=CURSOS!$D$5,"ATENCION A VICTIMAS DE ATAQUE CON AGENTES QUIMICOS ",IF(N117=CURSOS!$D$6,"PRIMEROS AUXILIOS ",IF(N117=CURSOS!$D$7,"DIPLOMADO DE UNIDAD DE CUIDADOS INTENSIVOS (UCI)",IF(N117=CURSOS!$D$8,"MODELO DE ATENCION PARA EVENTOS EMERGENTES EN SALUD MENTAL (CODIGO VERDE)",IF(N117=CURSOS!$D$9,"HUMANIZACION EN EL SERVICIO DE LA SALUD Y BUENAS PRACTICAS EN PACIENTE ",IF(N117=CURSOS!$D$10,"CLINICA DE HERIDAS ",IF(N117=CURSOS!$D$11,"TOMA DE CITOLOGIA CERVICO VAGINAL ",IF(N117=CURSOS!$D$12,"SOPORTE CARDIOVASCULAR AVANZADO (ACLS) ",IF(N117=CURSOS!$D$13,"CAMILLERO ",IF(N117=CURSOS!$D$14,"TOMA DE MUESTRAS Y LABORATORIO ",IF(N117=CURSOS!$D$15,"SOPORTE VITAL BASICO (BLS)",IF(N117=CURSOS!$D$16,"ATENCION A VICTIMAS DE VIOLENCIA SEXUAL ",IF(N117=CURSOS!$D$17,"PROGRAMADO AMPLIADO DE INMUNIZACION (PAI - COVID 19)",IF(N117=CURSOS!$D$18,"ATENCION INTEGRAL EN ENFERMEDADES PREVALENTES EN PRIMERA INFANCIA (AIEPI)",IF(N117=CURSOS!$D$19,"ADMINISTRACION DE MEDICAMENTOS, INYECTOLOGIA  Y CANALIZACION ",IF(N117=CURSOS!$D$20,"OPERADOR DE VEHICULOS DE EMERGENCIA (OVE)",IF(N117=CURSOS!$D$21,"INSTITUCIONES AMIGAS DE LA MUJER Y LA INFANCIA (IAMI)",IF(N117=CURSOS!$D$22,"CUIDADO DEL DONANTE DE ORGANOS",IF(N117=CURSOS!$D$23,"ATENCION A VICTIMAS POR VIOLENCIA DE GENERO",IF(N117=CURSOS!$D$24,"IGUALDAD DE GENERO EN LA SALUD",IF(N117=CURSOS!$D$25,"BRIGADA DE EMERGENCIA",IF(N117=CURSOS!$D$26,"MANEJO DEL DOLOR Y CUIDADOS PALIATIVOS",IF(N117=CURSOS!$D$27,"TOMA DE MUESTRAS Y LABORATORIO POCT",IF(N117=CURSOS!$D$28,"IMPLANTE SUBDERMICO DE DISPOSITIVO INTRAUTERINO",IF(N117=CURSOS!$D$29,"SALUD MENTAL",IF(N117=CURSOS!$D$30,"PRIMEROS AUXILIOS PSICOLOGICOS",IF(N117=CURSOS!$D$31,"ATENCION A VICTIMAS POR CONFLICTO ARMADO",IF(N117=CURSOS!$D$32,"MANIPULACION DE ALIMENTOS Y BPM",IF(N117=CURSOS!$D$33,"ATENCION A PERSONAS CON DISCAPACIDAD",IF(N117=CURSOS!$D$34,"CUIDADO INTEGRAL DEL PACIENTE ADULTO",IF(N117=CURSOS!$D$35,"MANEJO DEFENSIVO",IF(N117=CURSOS!$D$36,"SOPORTE CARDIOVASCULAR AVANZADO NEONATAL",IF(N117=CURSOS!$D$37,"SEGURIDAD DEL PACIENTE")))))))))))))))))))))))))))))))))))</f>
        <v xml:space="preserve">TOMA DE MUESTRAS Y LABORATORIO </v>
      </c>
      <c r="U117" s="124" t="str">
        <f t="shared" si="6"/>
        <v>Paola Andrea Pantoja Cabrera</v>
      </c>
      <c r="V117" s="128" t="str">
        <f t="shared" si="7"/>
        <v>Paola Andrea Pantoja Cabrera</v>
      </c>
      <c r="W117" s="138" t="str">
        <f t="shared" si="8"/>
        <v>Paola Andrea Pantoja Cabrera-1007180708-TOMA DE MUESTRAS</v>
      </c>
    </row>
    <row r="118" spans="1:23" s="131" customFormat="1" x14ac:dyDescent="0.2">
      <c r="A118" s="42">
        <v>117</v>
      </c>
      <c r="B118" s="91">
        <v>87217660</v>
      </c>
      <c r="C118" s="74" t="s">
        <v>371</v>
      </c>
      <c r="D118" s="74" t="s">
        <v>372</v>
      </c>
      <c r="E118" s="74" t="s">
        <v>373</v>
      </c>
      <c r="F118" s="74" t="s">
        <v>374</v>
      </c>
      <c r="G118" s="70">
        <v>10</v>
      </c>
      <c r="H118" s="14" t="s">
        <v>89</v>
      </c>
      <c r="I118" s="83">
        <v>45483</v>
      </c>
      <c r="J118" s="75">
        <v>35000</v>
      </c>
      <c r="K118" s="70" t="s">
        <v>210</v>
      </c>
      <c r="L118" s="70" t="s">
        <v>90</v>
      </c>
      <c r="M118" s="14" t="s">
        <v>118</v>
      </c>
      <c r="N118" s="67" t="s">
        <v>61</v>
      </c>
      <c r="O118" s="76">
        <v>30877</v>
      </c>
      <c r="P118" s="67" t="s">
        <v>91</v>
      </c>
      <c r="Q118" s="77" t="s">
        <v>215</v>
      </c>
      <c r="R118" s="74">
        <v>3215437248</v>
      </c>
      <c r="S118" s="81" t="s">
        <v>375</v>
      </c>
      <c r="T118" s="124" t="str">
        <f>IF(N118=CURSOS!$D$3,"DIPLOMADO EN ATENCION PRE-HOSPITALARIA",IF(N118=CURSOS!$D$4,"ACOMPAÑAMIENTO Y MANEJO DEL DUELO",IF(N118=CURSOS!$D$5,"ATENCION A VICTIMAS DE ATAQUE CON AGENTES QUIMICOS ",IF(N118=CURSOS!$D$6,"PRIMEROS AUXILIOS ",IF(N118=CURSOS!$D$7,"DIPLOMADO DE UNIDAD DE CUIDADOS INTENSIVOS (UCI)",IF(N118=CURSOS!$D$8,"MODELO DE ATENCION PARA EVENTOS EMERGENTES EN SALUD MENTAL (CODIGO VERDE)",IF(N118=CURSOS!$D$9,"HUMANIZACION EN EL SERVICIO DE LA SALUD Y BUENAS PRACTICAS EN PACIENTE ",IF(N118=CURSOS!$D$10,"CLINICA DE HERIDAS ",IF(N118=CURSOS!$D$11,"TOMA DE CITOLOGIA CERVICO VAGINAL ",IF(N118=CURSOS!$D$12,"SOPORTE CARDIOVASCULAR AVANZADO (ACLS) ",IF(N118=CURSOS!$D$13,"CAMILLERO ",IF(N118=CURSOS!$D$14,"TOMA DE MUESTRAS Y LABORATORIO ",IF(N118=CURSOS!$D$15,"SOPORTE VITAL BASICO (BLS)",IF(N118=CURSOS!$D$16,"ATENCION A VICTIMAS DE VIOLENCIA SEXUAL ",IF(N118=CURSOS!$D$17,"PROGRAMADO AMPLIADO DE INMUNIZACION (PAI - COVID 19)",IF(N118=CURSOS!$D$18,"ATENCION INTEGRAL EN ENFERMEDADES PREVALENTES EN PRIMERA INFANCIA (AIEPI)",IF(N118=CURSOS!$D$19,"ADMINISTRACION DE MEDICAMENTOS, INYECTOLOGIA  Y CANALIZACION ",IF(N118=CURSOS!$D$20,"OPERADOR DE VEHICULOS DE EMERGENCIA (OVE)",IF(N118=CURSOS!$D$21,"INSTITUCIONES AMIGAS DE LA MUJER Y LA INFANCIA (IAMI)",IF(N118=CURSOS!$D$22,"CUIDADO DEL DONANTE DE ORGANOS",IF(N118=CURSOS!$D$23,"ATENCION A VICTIMAS POR VIOLENCIA DE GENERO",IF(N118=CURSOS!$D$24,"IGUALDAD DE GENERO EN LA SALUD",IF(N118=CURSOS!$D$25,"BRIGADA DE EMERGENCIA",IF(N118=CURSOS!$D$26,"MANEJO DEL DOLOR Y CUIDADOS PALIATIVOS",IF(N118=CURSOS!$D$27,"TOMA DE MUESTRAS Y LABORATORIO POCT",IF(N118=CURSOS!$D$28,"IMPLANTE SUBDERMICO DE DISPOSITIVO INTRAUTERINO",IF(N118=CURSOS!$D$29,"SALUD MENTAL",IF(N118=CURSOS!$D$30,"PRIMEROS AUXILIOS PSICOLOGICOS",IF(N118=CURSOS!$D$31,"ATENCION A VICTIMAS POR CONFLICTO ARMADO",IF(N118=CURSOS!$D$32,"MANIPULACION DE ALIMENTOS Y BPM",IF(N118=CURSOS!$D$33,"ATENCION A PERSONAS CON DISCAPACIDAD",IF(N118=CURSOS!$D$34,"CUIDADO INTEGRAL DEL PACIENTE ADULTO",IF(N118=CURSOS!$D$35,"MANEJO DEFENSIVO",IF(N118=CURSOS!$D$36,"SOPORTE CARDIOVASCULAR AVANZADO NEONATAL",IF(N118=CURSOS!$D$37,"SEGURIDAD DEL PACIENTE")))))))))))))))))))))))))))))))))))</f>
        <v>MANEJO DEL DOLOR Y CUIDADOS PALIATIVOS</v>
      </c>
      <c r="U118" s="124" t="str">
        <f t="shared" si="6"/>
        <v>Harold Antonio Betancourth Fajardo</v>
      </c>
      <c r="V118" s="128" t="str">
        <f t="shared" si="7"/>
        <v>Harold Antonio Betancourth Fajardo</v>
      </c>
      <c r="W118" s="138" t="str">
        <f t="shared" si="8"/>
        <v>Harold Antonio Betancourth Fajardo-87217660-PALIATIVOS</v>
      </c>
    </row>
    <row r="119" spans="1:23" s="131" customFormat="1" x14ac:dyDescent="0.2">
      <c r="A119" s="42">
        <v>118</v>
      </c>
      <c r="B119" s="91">
        <v>87217660</v>
      </c>
      <c r="C119" s="74" t="s">
        <v>371</v>
      </c>
      <c r="D119" s="74" t="s">
        <v>372</v>
      </c>
      <c r="E119" s="74" t="s">
        <v>373</v>
      </c>
      <c r="F119" s="74" t="s">
        <v>374</v>
      </c>
      <c r="G119" s="70">
        <v>10</v>
      </c>
      <c r="H119" s="14" t="s">
        <v>89</v>
      </c>
      <c r="I119" s="83">
        <v>45483</v>
      </c>
      <c r="J119" s="75">
        <v>35000</v>
      </c>
      <c r="K119" s="70" t="s">
        <v>210</v>
      </c>
      <c r="L119" s="70" t="s">
        <v>90</v>
      </c>
      <c r="M119" s="14" t="s">
        <v>118</v>
      </c>
      <c r="N119" s="67" t="s">
        <v>43</v>
      </c>
      <c r="O119" s="76">
        <v>30877</v>
      </c>
      <c r="P119" s="67" t="s">
        <v>91</v>
      </c>
      <c r="Q119" s="77" t="s">
        <v>215</v>
      </c>
      <c r="R119" s="74">
        <v>3215437248</v>
      </c>
      <c r="S119" s="81" t="s">
        <v>375</v>
      </c>
      <c r="T119" s="124" t="str">
        <f>IF(N119=CURSOS!$D$3,"DIPLOMADO EN ATENCION PRE-HOSPITALARIA",IF(N119=CURSOS!$D$4,"ACOMPAÑAMIENTO Y MANEJO DEL DUELO",IF(N119=CURSOS!$D$5,"ATENCION A VICTIMAS DE ATAQUE CON AGENTES QUIMICOS ",IF(N119=CURSOS!$D$6,"PRIMEROS AUXILIOS ",IF(N119=CURSOS!$D$7,"DIPLOMADO DE UNIDAD DE CUIDADOS INTENSIVOS (UCI)",IF(N119=CURSOS!$D$8,"MODELO DE ATENCION PARA EVENTOS EMERGENTES EN SALUD MENTAL (CODIGO VERDE)",IF(N119=CURSOS!$D$9,"HUMANIZACION EN EL SERVICIO DE LA SALUD Y BUENAS PRACTICAS EN PACIENTE ",IF(N119=CURSOS!$D$10,"CLINICA DE HERIDAS ",IF(N119=CURSOS!$D$11,"TOMA DE CITOLOGIA CERVICO VAGINAL ",IF(N119=CURSOS!$D$12,"SOPORTE CARDIOVASCULAR AVANZADO (ACLS) ",IF(N119=CURSOS!$D$13,"CAMILLERO ",IF(N119=CURSOS!$D$14,"TOMA DE MUESTRAS Y LABORATORIO ",IF(N119=CURSOS!$D$15,"SOPORTE VITAL BASICO (BLS)",IF(N119=CURSOS!$D$16,"ATENCION A VICTIMAS DE VIOLENCIA SEXUAL ",IF(N119=CURSOS!$D$17,"PROGRAMADO AMPLIADO DE INMUNIZACION (PAI - COVID 19)",IF(N119=CURSOS!$D$18,"ATENCION INTEGRAL EN ENFERMEDADES PREVALENTES EN PRIMERA INFANCIA (AIEPI)",IF(N119=CURSOS!$D$19,"ADMINISTRACION DE MEDICAMENTOS, INYECTOLOGIA  Y CANALIZACION ",IF(N119=CURSOS!$D$20,"OPERADOR DE VEHICULOS DE EMERGENCIA (OVE)",IF(N119=CURSOS!$D$21,"INSTITUCIONES AMIGAS DE LA MUJER Y LA INFANCIA (IAMI)",IF(N119=CURSOS!$D$22,"CUIDADO DEL DONANTE DE ORGANOS",IF(N119=CURSOS!$D$23,"ATENCION A VICTIMAS POR VIOLENCIA DE GENERO",IF(N119=CURSOS!$D$24,"IGUALDAD DE GENERO EN LA SALUD",IF(N119=CURSOS!$D$25,"BRIGADA DE EMERGENCIA",IF(N119=CURSOS!$D$26,"MANEJO DEL DOLOR Y CUIDADOS PALIATIVOS",IF(N119=CURSOS!$D$27,"TOMA DE MUESTRAS Y LABORATORIO POCT",IF(N119=CURSOS!$D$28,"IMPLANTE SUBDERMICO DE DISPOSITIVO INTRAUTERINO",IF(N119=CURSOS!$D$29,"SALUD MENTAL",IF(N119=CURSOS!$D$30,"PRIMEROS AUXILIOS PSICOLOGICOS",IF(N119=CURSOS!$D$31,"ATENCION A VICTIMAS POR CONFLICTO ARMADO",IF(N119=CURSOS!$D$32,"MANIPULACION DE ALIMENTOS Y BPM",IF(N119=CURSOS!$D$33,"ATENCION A PERSONAS CON DISCAPACIDAD",IF(N119=CURSOS!$D$34,"CUIDADO INTEGRAL DEL PACIENTE ADULTO",IF(N119=CURSOS!$D$35,"MANEJO DEFENSIVO",IF(N119=CURSOS!$D$36,"SOPORTE CARDIOVASCULAR AVANZADO NEONATAL",IF(N119=CURSOS!$D$37,"SEGURIDAD DEL PACIENTE")))))))))))))))))))))))))))))))))))</f>
        <v xml:space="preserve">ATENCION A VICTIMAS DE VIOLENCIA SEXUAL </v>
      </c>
      <c r="U119" s="124" t="str">
        <f t="shared" si="6"/>
        <v>Harold Antonio Betancourth Fajardo</v>
      </c>
      <c r="V119" s="128" t="str">
        <f t="shared" si="7"/>
        <v>Harold Antonio Betancourth Fajardo</v>
      </c>
      <c r="W119" s="138" t="str">
        <f t="shared" si="8"/>
        <v>Harold Antonio Betancourth Fajardo-87217660-VIOLENCIA SEXUAL</v>
      </c>
    </row>
    <row r="120" spans="1:23" s="131" customFormat="1" x14ac:dyDescent="0.2">
      <c r="A120" s="42">
        <v>119</v>
      </c>
      <c r="B120" s="52">
        <v>34327037</v>
      </c>
      <c r="C120" s="74" t="s">
        <v>222</v>
      </c>
      <c r="D120" s="74" t="s">
        <v>376</v>
      </c>
      <c r="E120" s="74" t="s">
        <v>154</v>
      </c>
      <c r="F120" s="74" t="s">
        <v>377</v>
      </c>
      <c r="G120" s="70">
        <v>19</v>
      </c>
      <c r="H120" s="14" t="s">
        <v>89</v>
      </c>
      <c r="I120" s="83">
        <v>45483</v>
      </c>
      <c r="J120" s="75">
        <v>35000</v>
      </c>
      <c r="K120" s="70" t="s">
        <v>214</v>
      </c>
      <c r="L120" s="70" t="s">
        <v>90</v>
      </c>
      <c r="M120" s="14" t="s">
        <v>275</v>
      </c>
      <c r="N120" s="67" t="s">
        <v>63</v>
      </c>
      <c r="O120" s="84">
        <v>30862</v>
      </c>
      <c r="P120" s="67" t="s">
        <v>101</v>
      </c>
      <c r="Q120" s="77" t="s">
        <v>126</v>
      </c>
      <c r="R120" s="74">
        <v>3128826424</v>
      </c>
      <c r="S120" s="95" t="s">
        <v>378</v>
      </c>
      <c r="T120" s="124" t="str">
        <f>IF(N120=CURSOS!$D$3,"DIPLOMADO EN ATENCION PRE-HOSPITALARIA",IF(N120=CURSOS!$D$4,"ACOMPAÑAMIENTO Y MANEJO DEL DUELO",IF(N120=CURSOS!$D$5,"ATENCION A VICTIMAS DE ATAQUE CON AGENTES QUIMICOS ",IF(N120=CURSOS!$D$6,"PRIMEROS AUXILIOS ",IF(N120=CURSOS!$D$7,"DIPLOMADO DE UNIDAD DE CUIDADOS INTENSIVOS (UCI)",IF(N120=CURSOS!$D$8,"MODELO DE ATENCION PARA EVENTOS EMERGENTES EN SALUD MENTAL (CODIGO VERDE)",IF(N120=CURSOS!$D$9,"HUMANIZACION EN EL SERVICIO DE LA SALUD Y BUENAS PRACTICAS EN PACIENTE ",IF(N120=CURSOS!$D$10,"CLINICA DE HERIDAS ",IF(N120=CURSOS!$D$11,"TOMA DE CITOLOGIA CERVICO VAGINAL ",IF(N120=CURSOS!$D$12,"SOPORTE CARDIOVASCULAR AVANZADO (ACLS) ",IF(N120=CURSOS!$D$13,"CAMILLERO ",IF(N120=CURSOS!$D$14,"TOMA DE MUESTRAS Y LABORATORIO ",IF(N120=CURSOS!$D$15,"SOPORTE VITAL BASICO (BLS)",IF(N120=CURSOS!$D$16,"ATENCION A VICTIMAS DE VIOLENCIA SEXUAL ",IF(N120=CURSOS!$D$17,"PROGRAMADO AMPLIADO DE INMUNIZACION (PAI - COVID 19)",IF(N120=CURSOS!$D$18,"ATENCION INTEGRAL EN ENFERMEDADES PREVALENTES EN PRIMERA INFANCIA (AIEPI)",IF(N120=CURSOS!$D$19,"ADMINISTRACION DE MEDICAMENTOS, INYECTOLOGIA  Y CANALIZACION ",IF(N120=CURSOS!$D$20,"OPERADOR DE VEHICULOS DE EMERGENCIA (OVE)",IF(N120=CURSOS!$D$21,"INSTITUCIONES AMIGAS DE LA MUJER Y LA INFANCIA (IAMI)",IF(N120=CURSOS!$D$22,"CUIDADO DEL DONANTE DE ORGANOS",IF(N120=CURSOS!$D$23,"ATENCION A VICTIMAS POR VIOLENCIA DE GENERO",IF(N120=CURSOS!$D$24,"IGUALDAD DE GENERO EN LA SALUD",IF(N120=CURSOS!$D$25,"BRIGADA DE EMERGENCIA",IF(N120=CURSOS!$D$26,"MANEJO DEL DOLOR Y CUIDADOS PALIATIVOS",IF(N120=CURSOS!$D$27,"TOMA DE MUESTRAS Y LABORATORIO POCT",IF(N120=CURSOS!$D$28,"IMPLANTE SUBDERMICO DE DISPOSITIVO INTRAUTERINO",IF(N120=CURSOS!$D$29,"SALUD MENTAL",IF(N120=CURSOS!$D$30,"PRIMEROS AUXILIOS PSICOLOGICOS",IF(N120=CURSOS!$D$31,"ATENCION A VICTIMAS POR CONFLICTO ARMADO",IF(N120=CURSOS!$D$32,"MANIPULACION DE ALIMENTOS Y BPM",IF(N120=CURSOS!$D$33,"ATENCION A PERSONAS CON DISCAPACIDAD",IF(N120=CURSOS!$D$34,"CUIDADO INTEGRAL DEL PACIENTE ADULTO",IF(N120=CURSOS!$D$35,"MANEJO DEFENSIVO",IF(N120=CURSOS!$D$36,"SOPORTE CARDIOVASCULAR AVANZADO NEONATAL",IF(N120=CURSOS!$D$37,"SEGURIDAD DEL PACIENTE")))))))))))))))))))))))))))))))))))</f>
        <v>TOMA DE MUESTRAS Y LABORATORIO POCT</v>
      </c>
      <c r="U120" s="124" t="str">
        <f t="shared" si="6"/>
        <v>Patricia Lorena Ceron Rosada</v>
      </c>
      <c r="V120" s="128" t="str">
        <f t="shared" si="7"/>
        <v>Patricia Lorena Ceron Rosada</v>
      </c>
      <c r="W120" s="138" t="str">
        <f t="shared" si="8"/>
        <v>Patricia Lorena Ceron Rosada-34327037-POCT</v>
      </c>
    </row>
    <row r="121" spans="1:23" s="131" customFormat="1" x14ac:dyDescent="0.2">
      <c r="A121" s="42">
        <v>120</v>
      </c>
      <c r="B121" s="52">
        <v>1085663367</v>
      </c>
      <c r="C121" s="74" t="s">
        <v>94</v>
      </c>
      <c r="D121" s="74" t="s">
        <v>380</v>
      </c>
      <c r="E121" s="74" t="s">
        <v>381</v>
      </c>
      <c r="F121" s="74" t="s">
        <v>382</v>
      </c>
      <c r="G121" s="70">
        <v>19</v>
      </c>
      <c r="H121" s="14" t="s">
        <v>89</v>
      </c>
      <c r="I121" s="83">
        <v>45483</v>
      </c>
      <c r="J121" s="75">
        <v>35000</v>
      </c>
      <c r="K121" s="70" t="s">
        <v>214</v>
      </c>
      <c r="L121" s="70" t="s">
        <v>90</v>
      </c>
      <c r="M121" s="14" t="s">
        <v>275</v>
      </c>
      <c r="N121" s="67" t="s">
        <v>63</v>
      </c>
      <c r="O121" s="84">
        <v>35423</v>
      </c>
      <c r="P121" s="67" t="s">
        <v>101</v>
      </c>
      <c r="Q121" s="77" t="s">
        <v>126</v>
      </c>
      <c r="R121" s="74">
        <v>3184960443</v>
      </c>
      <c r="S121" s="74" t="s">
        <v>379</v>
      </c>
      <c r="T121" s="124" t="str">
        <f>IF(N121=CURSOS!$D$3,"DIPLOMADO EN ATENCION PRE-HOSPITALARIA",IF(N121=CURSOS!$D$4,"ACOMPAÑAMIENTO Y MANEJO DEL DUELO",IF(N121=CURSOS!$D$5,"ATENCION A VICTIMAS DE ATAQUE CON AGENTES QUIMICOS ",IF(N121=CURSOS!$D$6,"PRIMEROS AUXILIOS ",IF(N121=CURSOS!$D$7,"DIPLOMADO DE UNIDAD DE CUIDADOS INTENSIVOS (UCI)",IF(N121=CURSOS!$D$8,"MODELO DE ATENCION PARA EVENTOS EMERGENTES EN SALUD MENTAL (CODIGO VERDE)",IF(N121=CURSOS!$D$9,"HUMANIZACION EN EL SERVICIO DE LA SALUD Y BUENAS PRACTICAS EN PACIENTE ",IF(N121=CURSOS!$D$10,"CLINICA DE HERIDAS ",IF(N121=CURSOS!$D$11,"TOMA DE CITOLOGIA CERVICO VAGINAL ",IF(N121=CURSOS!$D$12,"SOPORTE CARDIOVASCULAR AVANZADO (ACLS) ",IF(N121=CURSOS!$D$13,"CAMILLERO ",IF(N121=CURSOS!$D$14,"TOMA DE MUESTRAS Y LABORATORIO ",IF(N121=CURSOS!$D$15,"SOPORTE VITAL BASICO (BLS)",IF(N121=CURSOS!$D$16,"ATENCION A VICTIMAS DE VIOLENCIA SEXUAL ",IF(N121=CURSOS!$D$17,"PROGRAMADO AMPLIADO DE INMUNIZACION (PAI - COVID 19)",IF(N121=CURSOS!$D$18,"ATENCION INTEGRAL EN ENFERMEDADES PREVALENTES EN PRIMERA INFANCIA (AIEPI)",IF(N121=CURSOS!$D$19,"ADMINISTRACION DE MEDICAMENTOS, INYECTOLOGIA  Y CANALIZACION ",IF(N121=CURSOS!$D$20,"OPERADOR DE VEHICULOS DE EMERGENCIA (OVE)",IF(N121=CURSOS!$D$21,"INSTITUCIONES AMIGAS DE LA MUJER Y LA INFANCIA (IAMI)",IF(N121=CURSOS!$D$22,"CUIDADO DEL DONANTE DE ORGANOS",IF(N121=CURSOS!$D$23,"ATENCION A VICTIMAS POR VIOLENCIA DE GENERO",IF(N121=CURSOS!$D$24,"IGUALDAD DE GENERO EN LA SALUD",IF(N121=CURSOS!$D$25,"BRIGADA DE EMERGENCIA",IF(N121=CURSOS!$D$26,"MANEJO DEL DOLOR Y CUIDADOS PALIATIVOS",IF(N121=CURSOS!$D$27,"TOMA DE MUESTRAS Y LABORATORIO POCT",IF(N121=CURSOS!$D$28,"IMPLANTE SUBDERMICO DE DISPOSITIVO INTRAUTERINO",IF(N121=CURSOS!$D$29,"SALUD MENTAL",IF(N121=CURSOS!$D$30,"PRIMEROS AUXILIOS PSICOLOGICOS",IF(N121=CURSOS!$D$31,"ATENCION A VICTIMAS POR CONFLICTO ARMADO",IF(N121=CURSOS!$D$32,"MANIPULACION DE ALIMENTOS Y BPM",IF(N121=CURSOS!$D$33,"ATENCION A PERSONAS CON DISCAPACIDAD",IF(N121=CURSOS!$D$34,"CUIDADO INTEGRAL DEL PACIENTE ADULTO",IF(N121=CURSOS!$D$35,"MANEJO DEFENSIVO",IF(N121=CURSOS!$D$36,"SOPORTE CARDIOVASCULAR AVANZADO NEONATAL",IF(N121=CURSOS!$D$37,"SEGURIDAD DEL PACIENTE")))))))))))))))))))))))))))))))))))</f>
        <v>TOMA DE MUESTRAS Y LABORATORIO POCT</v>
      </c>
      <c r="U121" s="124" t="str">
        <f t="shared" si="6"/>
        <v>Ana Lucely Portilla Valdez</v>
      </c>
      <c r="V121" s="128" t="str">
        <f t="shared" si="7"/>
        <v>Ana Lucely Portilla Valdez</v>
      </c>
      <c r="W121" s="138" t="str">
        <f t="shared" si="8"/>
        <v>Ana Lucely Portilla Valdez-1085663367-POCT</v>
      </c>
    </row>
    <row r="122" spans="1:23" s="131" customFormat="1" x14ac:dyDescent="0.2">
      <c r="A122" s="42">
        <v>121</v>
      </c>
      <c r="B122" s="93">
        <v>1085267687</v>
      </c>
      <c r="C122" s="77" t="s">
        <v>240</v>
      </c>
      <c r="D122" s="77" t="s">
        <v>383</v>
      </c>
      <c r="E122" s="77" t="s">
        <v>381</v>
      </c>
      <c r="F122" s="77" t="s">
        <v>168</v>
      </c>
      <c r="G122" s="70">
        <v>10</v>
      </c>
      <c r="H122" s="14" t="s">
        <v>89</v>
      </c>
      <c r="I122" s="83">
        <v>45483</v>
      </c>
      <c r="J122" s="75">
        <v>30000</v>
      </c>
      <c r="K122" s="70" t="s">
        <v>210</v>
      </c>
      <c r="L122" s="70" t="s">
        <v>90</v>
      </c>
      <c r="M122" s="14" t="s">
        <v>132</v>
      </c>
      <c r="N122" s="67" t="s">
        <v>41</v>
      </c>
      <c r="O122" s="84">
        <v>32231</v>
      </c>
      <c r="P122" s="67" t="s">
        <v>101</v>
      </c>
      <c r="Q122" s="77" t="s">
        <v>126</v>
      </c>
      <c r="R122" s="74">
        <v>3183106885</v>
      </c>
      <c r="S122" s="74" t="s">
        <v>384</v>
      </c>
      <c r="T122" s="124" t="str">
        <f>IF(N122=CURSOS!$D$3,"DIPLOMADO EN ATENCION PRE-HOSPITALARIA",IF(N122=CURSOS!$D$4,"ACOMPAÑAMIENTO Y MANEJO DEL DUELO",IF(N122=CURSOS!$D$5,"ATENCION A VICTIMAS DE ATAQUE CON AGENTES QUIMICOS ",IF(N122=CURSOS!$D$6,"PRIMEROS AUXILIOS ",IF(N122=CURSOS!$D$7,"DIPLOMADO DE UNIDAD DE CUIDADOS INTENSIVOS (UCI)",IF(N122=CURSOS!$D$8,"MODELO DE ATENCION PARA EVENTOS EMERGENTES EN SALUD MENTAL (CODIGO VERDE)",IF(N122=CURSOS!$D$9,"HUMANIZACION EN EL SERVICIO DE LA SALUD Y BUENAS PRACTICAS EN PACIENTE ",IF(N122=CURSOS!$D$10,"CLINICA DE HERIDAS ",IF(N122=CURSOS!$D$11,"TOMA DE CITOLOGIA CERVICO VAGINAL ",IF(N122=CURSOS!$D$12,"SOPORTE CARDIOVASCULAR AVANZADO (ACLS) ",IF(N122=CURSOS!$D$13,"CAMILLERO ",IF(N122=CURSOS!$D$14,"TOMA DE MUESTRAS Y LABORATORIO ",IF(N122=CURSOS!$D$15,"SOPORTE VITAL BASICO (BLS)",IF(N122=CURSOS!$D$16,"ATENCION A VICTIMAS DE VIOLENCIA SEXUAL ",IF(N122=CURSOS!$D$17,"PROGRAMADO AMPLIADO DE INMUNIZACION (PAI - COVID 19)",IF(N122=CURSOS!$D$18,"ATENCION INTEGRAL EN ENFERMEDADES PREVALENTES EN PRIMERA INFANCIA (AIEPI)",IF(N122=CURSOS!$D$19,"ADMINISTRACION DE MEDICAMENTOS, INYECTOLOGIA  Y CANALIZACION ",IF(N122=CURSOS!$D$20,"OPERADOR DE VEHICULOS DE EMERGENCIA (OVE)",IF(N122=CURSOS!$D$21,"INSTITUCIONES AMIGAS DE LA MUJER Y LA INFANCIA (IAMI)",IF(N122=CURSOS!$D$22,"CUIDADO DEL DONANTE DE ORGANOS",IF(N122=CURSOS!$D$23,"ATENCION A VICTIMAS POR VIOLENCIA DE GENERO",IF(N122=CURSOS!$D$24,"IGUALDAD DE GENERO EN LA SALUD",IF(N122=CURSOS!$D$25,"BRIGADA DE EMERGENCIA",IF(N122=CURSOS!$D$26,"MANEJO DEL DOLOR Y CUIDADOS PALIATIVOS",IF(N122=CURSOS!$D$27,"TOMA DE MUESTRAS Y LABORATORIO POCT",IF(N122=CURSOS!$D$28,"IMPLANTE SUBDERMICO DE DISPOSITIVO INTRAUTERINO",IF(N122=CURSOS!$D$29,"SALUD MENTAL",IF(N122=CURSOS!$D$30,"PRIMEROS AUXILIOS PSICOLOGICOS",IF(N122=CURSOS!$D$31,"ATENCION A VICTIMAS POR CONFLICTO ARMADO",IF(N122=CURSOS!$D$32,"MANIPULACION DE ALIMENTOS Y BPM",IF(N122=CURSOS!$D$33,"ATENCION A PERSONAS CON DISCAPACIDAD",IF(N122=CURSOS!$D$34,"CUIDADO INTEGRAL DEL PACIENTE ADULTO",IF(N122=CURSOS!$D$35,"MANEJO DEFENSIVO",IF(N122=CURSOS!$D$36,"SOPORTE CARDIOVASCULAR AVANZADO NEONATAL",IF(N122=CURSOS!$D$37,"SEGURIDAD DEL PACIENTE")))))))))))))))))))))))))))))))))))</f>
        <v xml:space="preserve">TOMA DE MUESTRAS Y LABORATORIO </v>
      </c>
      <c r="U122" s="124" t="str">
        <f t="shared" si="6"/>
        <v>Ana Lucia Tobar Patiño</v>
      </c>
      <c r="V122" s="128" t="str">
        <f t="shared" si="7"/>
        <v>Ana Lucia Tobar Patiño</v>
      </c>
      <c r="W122" s="138" t="str">
        <f t="shared" si="8"/>
        <v>Ana Lucia Tobar Patiño-1085267687-TOMA DE MUESTRAS</v>
      </c>
    </row>
    <row r="123" spans="1:23" s="131" customFormat="1" x14ac:dyDescent="0.2">
      <c r="A123" s="42">
        <v>122</v>
      </c>
      <c r="B123" s="52">
        <v>59314424</v>
      </c>
      <c r="C123" s="74" t="s">
        <v>388</v>
      </c>
      <c r="D123" s="74" t="s">
        <v>389</v>
      </c>
      <c r="E123" s="74" t="s">
        <v>312</v>
      </c>
      <c r="F123" s="74" t="s">
        <v>390</v>
      </c>
      <c r="G123" s="70">
        <v>10</v>
      </c>
      <c r="H123" s="14" t="s">
        <v>89</v>
      </c>
      <c r="I123" s="85">
        <v>45483</v>
      </c>
      <c r="J123" s="75">
        <v>130000</v>
      </c>
      <c r="K123" s="70" t="s">
        <v>214</v>
      </c>
      <c r="L123" s="70" t="s">
        <v>90</v>
      </c>
      <c r="M123" s="14" t="s">
        <v>118</v>
      </c>
      <c r="N123" s="67" t="s">
        <v>367</v>
      </c>
      <c r="O123" s="84">
        <v>31002</v>
      </c>
      <c r="P123" s="67" t="s">
        <v>101</v>
      </c>
      <c r="Q123" s="77" t="s">
        <v>328</v>
      </c>
      <c r="R123" s="74">
        <v>3167402241</v>
      </c>
      <c r="S123" s="81" t="s">
        <v>391</v>
      </c>
      <c r="T123" s="124" t="str">
        <f>IF(N123=CURSOS!$D$3,"DIPLOMADO EN ATENCION PRE-HOSPITALARIA",IF(N123=CURSOS!$D$4,"ACOMPAÑAMIENTO Y MANEJO DEL DUELO",IF(N123=CURSOS!$D$5,"ATENCION A VICTIMAS DE ATAQUE CON AGENTES QUIMICOS ",IF(N123=CURSOS!$D$6,"PRIMEROS AUXILIOS ",IF(N123=CURSOS!$D$7,"DIPLOMADO DE UNIDAD DE CUIDADOS INTENSIVOS (UCI)",IF(N123=CURSOS!$D$8,"MODELO DE ATENCION PARA EVENTOS EMERGENTES EN SALUD MENTAL (CODIGO VERDE)",IF(N123=CURSOS!$D$9,"HUMANIZACION EN EL SERVICIO DE LA SALUD Y BUENAS PRACTICAS EN PACIENTE ",IF(N123=CURSOS!$D$10,"CLINICA DE HERIDAS ",IF(N123=CURSOS!$D$11,"TOMA DE CITOLOGIA CERVICO VAGINAL ",IF(N123=CURSOS!$D$12,"SOPORTE CARDIOVASCULAR AVANZADO (ACLS) ",IF(N123=CURSOS!$D$13,"CAMILLERO ",IF(N123=CURSOS!$D$14,"TOMA DE MUESTRAS Y LABORATORIO ",IF(N123=CURSOS!$D$15,"SOPORTE VITAL BASICO (BLS)",IF(N123=CURSOS!$D$16,"ATENCION A VICTIMAS DE VIOLENCIA SEXUAL ",IF(N123=CURSOS!$D$17,"PROGRAMADO AMPLIADO DE INMUNIZACION (PAI - COVID 19)",IF(N123=CURSOS!$D$18,"ATENCION INTEGRAL EN ENFERMEDADES PREVALENTES EN PRIMERA INFANCIA (AIEPI)",IF(N123=CURSOS!$D$19,"ADMINISTRACION DE MEDICAMENTOS, INYECTOLOGIA  Y CANALIZACION ",IF(N123=CURSOS!$D$20,"OPERADOR DE VEHICULOS DE EMERGENCIA (OVE)",IF(N123=CURSOS!$D$21,"INSTITUCIONES AMIGAS DE LA MUJER Y LA INFANCIA (IAMI)",IF(N123=CURSOS!$D$22,"CUIDADO DEL DONANTE DE ORGANOS",IF(N123=CURSOS!$D$23,"ATENCION A VICTIMAS POR VIOLENCIA DE GENERO",IF(N123=CURSOS!$D$24,"IGUALDAD DE GENERO EN LA SALUD",IF(N123=CURSOS!$D$25,"BRIGADA DE EMERGENCIA",IF(N123=CURSOS!$D$26,"MANEJO DEL DOLOR Y CUIDADOS PALIATIVOS",IF(N123=CURSOS!$D$27,"TOMA DE MUESTRAS Y LABORATORIO POCT",IF(N123=CURSOS!$D$28,"IMPLANTE SUBDERMICO DE DISPOSITIVO INTRAUTERINO",IF(N123=CURSOS!$D$29,"SALUD MENTAL",IF(N123=CURSOS!$D$30,"PRIMEROS AUXILIOS PSICOLOGICOS",IF(N123=CURSOS!$D$31,"ATENCION A VICTIMAS POR CONFLICTO ARMADO",IF(N123=CURSOS!$D$32,"MANIPULACION DE ALIMENTOS Y BPM",IF(N123=CURSOS!$D$33,"ATENCION A PERSONAS CON DISCAPACIDAD",IF(N123=CURSOS!$D$34,"CUIDADO INTEGRAL DEL PACIENTE ADULTO",IF(N123=CURSOS!$D$35,"MANEJO DEFENSIVO",IF(N123=CURSOS!$D$36,"SOPORTE CARDIOVASCULAR AVANZADO NEONATAL",IF(N123=CURSOS!$D$37,"SEGURIDAD DEL PACIENTE")))))))))))))))))))))))))))))))))))</f>
        <v>SOPORTE CARDIOVASCULAR AVANZADO NEONATAL</v>
      </c>
      <c r="U123" s="124" t="str">
        <f t="shared" si="6"/>
        <v>Katherine Anabell Trujillo Delgado</v>
      </c>
      <c r="V123" s="128" t="str">
        <f t="shared" si="7"/>
        <v>Katherine Anabell Trujillo Delgado</v>
      </c>
      <c r="W123" s="138" t="str">
        <f t="shared" si="8"/>
        <v>Katherine Anabell Trujillo Delgado-59314424-ACLSN</v>
      </c>
    </row>
    <row r="124" spans="1:23" s="131" customFormat="1" x14ac:dyDescent="0.2">
      <c r="A124" s="42">
        <v>123</v>
      </c>
      <c r="B124" s="93">
        <v>59653690</v>
      </c>
      <c r="C124" s="74" t="s">
        <v>402</v>
      </c>
      <c r="D124" s="74" t="s">
        <v>406</v>
      </c>
      <c r="E124" s="74" t="s">
        <v>381</v>
      </c>
      <c r="F124" s="74" t="s">
        <v>397</v>
      </c>
      <c r="G124" s="70">
        <v>5</v>
      </c>
      <c r="H124" s="14" t="s">
        <v>89</v>
      </c>
      <c r="I124" s="85">
        <v>45499</v>
      </c>
      <c r="J124" s="75">
        <v>30000</v>
      </c>
      <c r="K124" s="14" t="s">
        <v>214</v>
      </c>
      <c r="L124" s="70" t="s">
        <v>90</v>
      </c>
      <c r="M124" s="14" t="s">
        <v>411</v>
      </c>
      <c r="N124" s="67" t="s">
        <v>43</v>
      </c>
      <c r="O124" s="84"/>
      <c r="P124" s="67" t="s">
        <v>101</v>
      </c>
      <c r="Q124" s="77" t="s">
        <v>126</v>
      </c>
      <c r="R124" s="74"/>
      <c r="S124" s="81"/>
      <c r="T124" s="124" t="str">
        <f>IF(N124=CURSOS!$D$3,"DIPLOMADO EN ATENCION PRE-HOSPITALARIA",IF(N124=CURSOS!$D$4,"ACOMPAÑAMIENTO Y MANEJO DEL DUELO",IF(N124=CURSOS!$D$5,"ATENCION A VICTIMAS DE ATAQUE CON AGENTES QUIMICOS ",IF(N124=CURSOS!$D$6,"PRIMEROS AUXILIOS ",IF(N124=CURSOS!$D$7,"DIPLOMADO DE UNIDAD DE CUIDADOS INTENSIVOS (UCI)",IF(N124=CURSOS!$D$8,"MODELO DE ATENCION PARA EVENTOS EMERGENTES EN SALUD MENTAL (CODIGO VERDE)",IF(N124=CURSOS!$D$9,"HUMANIZACION EN EL SERVICIO DE LA SALUD Y BUENAS PRACTICAS EN PACIENTE ",IF(N124=CURSOS!$D$10,"CLINICA DE HERIDAS ",IF(N124=CURSOS!$D$11,"TOMA DE CITOLOGIA CERVICO VAGINAL ",IF(N124=CURSOS!$D$12,"SOPORTE CARDIOVASCULAR AVANZADO (ACLS) ",IF(N124=CURSOS!$D$13,"CAMILLERO ",IF(N124=CURSOS!$D$14,"TOMA DE MUESTRAS Y LABORATORIO ",IF(N124=CURSOS!$D$15,"SOPORTE VITAL BASICO (BLS)",IF(N124=CURSOS!$D$16,"ATENCION A VICTIMAS DE VIOLENCIA SEXUAL ",IF(N124=CURSOS!$D$17,"PROGRAMADO AMPLIADO DE INMUNIZACION (PAI - COVID 19)",IF(N124=CURSOS!$D$18,"ATENCION INTEGRAL EN ENFERMEDADES PREVALENTES EN PRIMERA INFANCIA (AIEPI)",IF(N124=CURSOS!$D$19,"ADMINISTRACION DE MEDICAMENTOS, INYECTOLOGIA  Y CANALIZACION ",IF(N124=CURSOS!$D$20,"OPERADOR DE VEHICULOS DE EMERGENCIA (OVE)",IF(N124=CURSOS!$D$21,"INSTITUCIONES AMIGAS DE LA MUJER Y LA INFANCIA (IAMI)",IF(N124=CURSOS!$D$22,"CUIDADO DEL DONANTE DE ORGANOS",IF(N124=CURSOS!$D$23,"ATENCION A VICTIMAS POR VIOLENCIA DE GENERO",IF(N124=CURSOS!$D$24,"IGUALDAD DE GENERO EN LA SALUD",IF(N124=CURSOS!$D$25,"BRIGADA DE EMERGENCIA",IF(N124=CURSOS!$D$26,"MANEJO DEL DOLOR Y CUIDADOS PALIATIVOS",IF(N124=CURSOS!$D$27,"TOMA DE MUESTRAS Y LABORATORIO POCT",IF(N124=CURSOS!$D$28,"IMPLANTE SUBDERMICO DE DISPOSITIVO INTRAUTERINO",IF(N124=CURSOS!$D$29,"SALUD MENTAL",IF(N124=CURSOS!$D$30,"PRIMEROS AUXILIOS PSICOLOGICOS",IF(N124=CURSOS!$D$31,"ATENCION A VICTIMAS POR CONFLICTO ARMADO",IF(N124=CURSOS!$D$32,"MANIPULACION DE ALIMENTOS Y BPM",IF(N124=CURSOS!$D$33,"ATENCION A PERSONAS CON DISCAPACIDAD",IF(N124=CURSOS!$D$34,"CUIDADO INTEGRAL DEL PACIENTE ADULTO",IF(N124=CURSOS!$D$35,"MANEJO DEFENSIVO",IF(N124=CURSOS!$D$36,"SOPORTE CARDIOVASCULAR AVANZADO NEONATAL",IF(N124=CURSOS!$D$37,"SEGURIDAD DEL PACIENTE")))))))))))))))))))))))))))))))))))</f>
        <v xml:space="preserve">ATENCION A VICTIMAS DE VIOLENCIA SEXUAL </v>
      </c>
      <c r="U124" s="124" t="str">
        <f t="shared" si="6"/>
        <v>Ana Maritza Arciniegas Hernandez</v>
      </c>
      <c r="V124" s="128" t="str">
        <f t="shared" si="7"/>
        <v>Ana Maritza Arciniegas Hernandez</v>
      </c>
      <c r="W124" s="138" t="str">
        <f t="shared" si="8"/>
        <v>Ana Maritza Arciniegas Hernandez-59653690-VIOLENCIA SEXUAL</v>
      </c>
    </row>
    <row r="125" spans="1:23" s="131" customFormat="1" x14ac:dyDescent="0.2">
      <c r="A125" s="42">
        <v>124</v>
      </c>
      <c r="B125" s="93">
        <v>59653690</v>
      </c>
      <c r="C125" s="74" t="s">
        <v>402</v>
      </c>
      <c r="D125" s="74" t="s">
        <v>406</v>
      </c>
      <c r="E125" s="74" t="s">
        <v>381</v>
      </c>
      <c r="F125" s="74" t="s">
        <v>397</v>
      </c>
      <c r="G125" s="70">
        <v>6</v>
      </c>
      <c r="H125" s="14" t="s">
        <v>89</v>
      </c>
      <c r="I125" s="85">
        <v>45499</v>
      </c>
      <c r="J125" s="75">
        <v>40000</v>
      </c>
      <c r="K125" s="14" t="s">
        <v>214</v>
      </c>
      <c r="L125" s="70" t="s">
        <v>90</v>
      </c>
      <c r="M125" s="14" t="s">
        <v>411</v>
      </c>
      <c r="N125" s="67" t="s">
        <v>68</v>
      </c>
      <c r="O125" s="84"/>
      <c r="P125" s="67" t="s">
        <v>101</v>
      </c>
      <c r="Q125" s="77" t="s">
        <v>126</v>
      </c>
      <c r="R125" s="74"/>
      <c r="S125" s="81"/>
      <c r="T125" s="124" t="str">
        <f>IF(N125=CURSOS!$D$3,"DIPLOMADO EN ATENCION PRE-HOSPITALARIA",IF(N125=CURSOS!$D$4,"ACOMPAÑAMIENTO Y MANEJO DEL DUELO",IF(N125=CURSOS!$D$5,"ATENCION A VICTIMAS DE ATAQUE CON AGENTES QUIMICOS ",IF(N125=CURSOS!$D$6,"PRIMEROS AUXILIOS ",IF(N125=CURSOS!$D$7,"DIPLOMADO DE UNIDAD DE CUIDADOS INTENSIVOS (UCI)",IF(N125=CURSOS!$D$8,"MODELO DE ATENCION PARA EVENTOS EMERGENTES EN SALUD MENTAL (CODIGO VERDE)",IF(N125=CURSOS!$D$9,"HUMANIZACION EN EL SERVICIO DE LA SALUD Y BUENAS PRACTICAS EN PACIENTE ",IF(N125=CURSOS!$D$10,"CLINICA DE HERIDAS ",IF(N125=CURSOS!$D$11,"TOMA DE CITOLOGIA CERVICO VAGINAL ",IF(N125=CURSOS!$D$12,"SOPORTE CARDIOVASCULAR AVANZADO (ACLS) ",IF(N125=CURSOS!$D$13,"CAMILLERO ",IF(N125=CURSOS!$D$14,"TOMA DE MUESTRAS Y LABORATORIO ",IF(N125=CURSOS!$D$15,"SOPORTE VITAL BASICO (BLS)",IF(N125=CURSOS!$D$16,"ATENCION A VICTIMAS DE VIOLENCIA SEXUAL ",IF(N125=CURSOS!$D$17,"PROGRAMADO AMPLIADO DE INMUNIZACION (PAI - COVID 19)",IF(N125=CURSOS!$D$18,"ATENCION INTEGRAL EN ENFERMEDADES PREVALENTES EN PRIMERA INFANCIA (AIEPI)",IF(N125=CURSOS!$D$19,"ADMINISTRACION DE MEDICAMENTOS, INYECTOLOGIA  Y CANALIZACION ",IF(N125=CURSOS!$D$20,"OPERADOR DE VEHICULOS DE EMERGENCIA (OVE)",IF(N125=CURSOS!$D$21,"INSTITUCIONES AMIGAS DE LA MUJER Y LA INFANCIA (IAMI)",IF(N125=CURSOS!$D$22,"CUIDADO DEL DONANTE DE ORGANOS",IF(N125=CURSOS!$D$23,"ATENCION A VICTIMAS POR VIOLENCIA DE GENERO",IF(N125=CURSOS!$D$24,"IGUALDAD DE GENERO EN LA SALUD",IF(N125=CURSOS!$D$25,"BRIGADA DE EMERGENCIA",IF(N125=CURSOS!$D$26,"MANEJO DEL DOLOR Y CUIDADOS PALIATIVOS",IF(N125=CURSOS!$D$27,"TOMA DE MUESTRAS Y LABORATORIO POCT",IF(N125=CURSOS!$D$28,"IMPLANTE SUBDERMICO DE DISPOSITIVO INTRAUTERINO",IF(N125=CURSOS!$D$29,"SALUD MENTAL",IF(N125=CURSOS!$D$30,"PRIMEROS AUXILIOS PSICOLOGICOS",IF(N125=CURSOS!$D$31,"ATENCION A VICTIMAS POR CONFLICTO ARMADO",IF(N125=CURSOS!$D$32,"MANIPULACION DE ALIMENTOS Y BPM",IF(N125=CURSOS!$D$33,"ATENCION A PERSONAS CON DISCAPACIDAD",IF(N125=CURSOS!$D$34,"CUIDADO INTEGRAL DEL PACIENTE ADULTO",IF(N125=CURSOS!$D$35,"MANEJO DEFENSIVO",IF(N125=CURSOS!$D$36,"SOPORTE CARDIOVASCULAR AVANZADO NEONATAL",IF(N125=CURSOS!$D$37,"SEGURIDAD DEL PACIENTE")))))))))))))))))))))))))))))))))))</f>
        <v>ATENCION A VICTIMAS POR CONFLICTO ARMADO</v>
      </c>
      <c r="U125" s="124" t="str">
        <f t="shared" si="6"/>
        <v>Ana Maritza Arciniegas Hernandez</v>
      </c>
      <c r="V125" s="128" t="str">
        <f t="shared" si="7"/>
        <v>Ana Maritza Arciniegas Hernandez</v>
      </c>
      <c r="W125" s="138" t="str">
        <f t="shared" si="8"/>
        <v>Ana Maritza Arciniegas Hernandez-59653690-CONFLICTO ARMADO</v>
      </c>
    </row>
    <row r="126" spans="1:23" s="131" customFormat="1" x14ac:dyDescent="0.2">
      <c r="A126" s="42">
        <v>125</v>
      </c>
      <c r="B126" s="93">
        <v>59653690</v>
      </c>
      <c r="C126" s="74" t="s">
        <v>402</v>
      </c>
      <c r="D126" s="74" t="s">
        <v>406</v>
      </c>
      <c r="E126" s="74" t="s">
        <v>381</v>
      </c>
      <c r="F126" s="74" t="s">
        <v>397</v>
      </c>
      <c r="G126" s="70">
        <v>8</v>
      </c>
      <c r="H126" s="14" t="s">
        <v>89</v>
      </c>
      <c r="I126" s="85">
        <v>45499</v>
      </c>
      <c r="J126" s="75">
        <v>30000</v>
      </c>
      <c r="K126" s="14" t="s">
        <v>214</v>
      </c>
      <c r="L126" s="70" t="s">
        <v>90</v>
      </c>
      <c r="M126" s="14" t="s">
        <v>411</v>
      </c>
      <c r="N126" s="87" t="s">
        <v>33</v>
      </c>
      <c r="O126" s="61"/>
      <c r="P126" s="67" t="s">
        <v>101</v>
      </c>
      <c r="Q126" s="77" t="s">
        <v>126</v>
      </c>
      <c r="R126" s="74"/>
      <c r="S126" s="74"/>
      <c r="T126" s="124" t="str">
        <f>IF(N126=CURSOS!$D$3,"DIPLOMADO EN ATENCION PRE-HOSPITALARIA",IF(N126=CURSOS!$D$4,"ACOMPAÑAMIENTO Y MANEJO DEL DUELO",IF(N126=CURSOS!$D$5,"ATENCION A VICTIMAS DE ATAQUE CON AGENTES QUIMICOS ",IF(N126=CURSOS!$D$6,"PRIMEROS AUXILIOS ",IF(N126=CURSOS!$D$7,"DIPLOMADO DE UNIDAD DE CUIDADOS INTENSIVOS (UCI)",IF(N126=CURSOS!$D$8,"MODELO DE ATENCION PARA EVENTOS EMERGENTES EN SALUD MENTAL (CODIGO VERDE)",IF(N126=CURSOS!$D$9,"HUMANIZACION EN EL SERVICIO DE LA SALUD Y BUENAS PRACTICAS EN PACIENTE ",IF(N126=CURSOS!$D$10,"CLINICA DE HERIDAS ",IF(N126=CURSOS!$D$11,"TOMA DE CITOLOGIA CERVICO VAGINAL ",IF(N126=CURSOS!$D$12,"SOPORTE CARDIOVASCULAR AVANZADO (ACLS) ",IF(N126=CURSOS!$D$13,"CAMILLERO ",IF(N126=CURSOS!$D$14,"TOMA DE MUESTRAS Y LABORATORIO ",IF(N126=CURSOS!$D$15,"SOPORTE VITAL BASICO (BLS)",IF(N126=CURSOS!$D$16,"ATENCION A VICTIMAS DE VIOLENCIA SEXUAL ",IF(N126=CURSOS!$D$17,"PROGRAMADO AMPLIADO DE INMUNIZACION (PAI - COVID 19)",IF(N126=CURSOS!$D$18,"ATENCION INTEGRAL EN ENFERMEDADES PREVALENTES EN PRIMERA INFANCIA (AIEPI)",IF(N126=CURSOS!$D$19,"ADMINISTRACION DE MEDICAMENTOS, INYECTOLOGIA  Y CANALIZACION ",IF(N126=CURSOS!$D$20,"OPERADOR DE VEHICULOS DE EMERGENCIA (OVE)",IF(N126=CURSOS!$D$21,"INSTITUCIONES AMIGAS DE LA MUJER Y LA INFANCIA (IAMI)",IF(N126=CURSOS!$D$22,"CUIDADO DEL DONANTE DE ORGANOS",IF(N126=CURSOS!$D$23,"ATENCION A VICTIMAS POR VIOLENCIA DE GENERO",IF(N126=CURSOS!$D$24,"IGUALDAD DE GENERO EN LA SALUD",IF(N126=CURSOS!$D$25,"BRIGADA DE EMERGENCIA",IF(N126=CURSOS!$D$26,"MANEJO DEL DOLOR Y CUIDADOS PALIATIVOS",IF(N126=CURSOS!$D$27,"TOMA DE MUESTRAS Y LABORATORIO POCT",IF(N126=CURSOS!$D$28,"IMPLANTE SUBDERMICO DE DISPOSITIVO INTRAUTERINO",IF(N126=CURSOS!$D$29,"SALUD MENTAL",IF(N126=CURSOS!$D$30,"PRIMEROS AUXILIOS PSICOLOGICOS",IF(N126=CURSOS!$D$31,"ATENCION A VICTIMAS POR CONFLICTO ARMADO",IF(N126=CURSOS!$D$32,"MANIPULACION DE ALIMENTOS Y BPM",IF(N126=CURSOS!$D$33,"ATENCION A PERSONAS CON DISCAPACIDAD",IF(N126=CURSOS!$D$34,"CUIDADO INTEGRAL DEL PACIENTE ADULTO",IF(N126=CURSOS!$D$35,"MANEJO DEFENSIVO",IF(N126=CURSOS!$D$36,"SOPORTE CARDIOVASCULAR AVANZADO NEONATAL",IF(N126=CURSOS!$D$37,"SEGURIDAD DEL PACIENTE")))))))))))))))))))))))))))))))))))</f>
        <v xml:space="preserve">HUMANIZACION EN EL SERVICIO DE LA SALUD Y BUENAS PRACTICAS EN PACIENTE </v>
      </c>
      <c r="U126" s="124" t="str">
        <f t="shared" si="6"/>
        <v>Ana Maritza Arciniegas Hernandez</v>
      </c>
      <c r="V126" s="128" t="str">
        <f t="shared" si="7"/>
        <v>Ana Maritza Arciniegas Hernandez</v>
      </c>
      <c r="W126" s="138" t="str">
        <f t="shared" si="8"/>
        <v>Ana Maritza Arciniegas Hernandez-59653690-HUMANIZACION</v>
      </c>
    </row>
    <row r="127" spans="1:23" x14ac:dyDescent="0.2">
      <c r="A127" s="42">
        <v>126</v>
      </c>
      <c r="B127" s="93">
        <v>59825509</v>
      </c>
      <c r="C127" s="74" t="s">
        <v>205</v>
      </c>
      <c r="D127" s="74" t="s">
        <v>144</v>
      </c>
      <c r="E127" s="77" t="s">
        <v>392</v>
      </c>
      <c r="F127" s="74" t="s">
        <v>398</v>
      </c>
      <c r="G127" s="70">
        <v>5</v>
      </c>
      <c r="H127" s="14" t="s">
        <v>89</v>
      </c>
      <c r="I127" s="85">
        <v>45499</v>
      </c>
      <c r="J127" s="75">
        <v>30000</v>
      </c>
      <c r="K127" s="14" t="s">
        <v>214</v>
      </c>
      <c r="L127" s="70" t="s">
        <v>90</v>
      </c>
      <c r="M127" s="14" t="s">
        <v>411</v>
      </c>
      <c r="N127" s="67" t="s">
        <v>43</v>
      </c>
      <c r="O127" s="61"/>
      <c r="P127" s="121" t="s">
        <v>101</v>
      </c>
      <c r="Q127" s="77" t="s">
        <v>126</v>
      </c>
      <c r="R127" s="68"/>
      <c r="S127" s="88"/>
      <c r="T127" s="124" t="str">
        <f>IF(N127=CURSOS!$D$3,"DIPLOMADO EN ATENCION PRE-HOSPITALARIA",IF(N127=CURSOS!$D$4,"ACOMPAÑAMIENTO Y MANEJO DEL DUELO",IF(N127=CURSOS!$D$5,"ATENCION A VICTIMAS DE ATAQUE CON AGENTES QUIMICOS ",IF(N127=CURSOS!$D$6,"PRIMEROS AUXILIOS ",IF(N127=CURSOS!$D$7,"DIPLOMADO DE UNIDAD DE CUIDADOS INTENSIVOS (UCI)",IF(N127=CURSOS!$D$8,"MODELO DE ATENCION PARA EVENTOS EMERGENTES EN SALUD MENTAL (CODIGO VERDE)",IF(N127=CURSOS!$D$9,"HUMANIZACION EN EL SERVICIO DE LA SALUD Y BUENAS PRACTICAS EN PACIENTE ",IF(N127=CURSOS!$D$10,"CLINICA DE HERIDAS ",IF(N127=CURSOS!$D$11,"TOMA DE CITOLOGIA CERVICO VAGINAL ",IF(N127=CURSOS!$D$12,"SOPORTE CARDIOVASCULAR AVANZADO (ACLS) ",IF(N127=CURSOS!$D$13,"CAMILLERO ",IF(N127=CURSOS!$D$14,"TOMA DE MUESTRAS Y LABORATORIO ",IF(N127=CURSOS!$D$15,"SOPORTE VITAL BASICO (BLS)",IF(N127=CURSOS!$D$16,"ATENCION A VICTIMAS DE VIOLENCIA SEXUAL ",IF(N127=CURSOS!$D$17,"PROGRAMADO AMPLIADO DE INMUNIZACION (PAI - COVID 19)",IF(N127=CURSOS!$D$18,"ATENCION INTEGRAL EN ENFERMEDADES PREVALENTES EN PRIMERA INFANCIA (AIEPI)",IF(N127=CURSOS!$D$19,"ADMINISTRACION DE MEDICAMENTOS, INYECTOLOGIA  Y CANALIZACION ",IF(N127=CURSOS!$D$20,"OPERADOR DE VEHICULOS DE EMERGENCIA (OVE)",IF(N127=CURSOS!$D$21,"INSTITUCIONES AMIGAS DE LA MUJER Y LA INFANCIA (IAMI)",IF(N127=CURSOS!$D$22,"CUIDADO DEL DONANTE DE ORGANOS",IF(N127=CURSOS!$D$23,"ATENCION A VICTIMAS POR VIOLENCIA DE GENERO",IF(N127=CURSOS!$D$24,"IGUALDAD DE GENERO EN LA SALUD",IF(N127=CURSOS!$D$25,"BRIGADA DE EMERGENCIA",IF(N127=CURSOS!$D$26,"MANEJO DEL DOLOR Y CUIDADOS PALIATIVOS",IF(N127=CURSOS!$D$27,"TOMA DE MUESTRAS Y LABORATORIO POCT",IF(N127=CURSOS!$D$28,"IMPLANTE SUBDERMICO DE DISPOSITIVO INTRAUTERINO",IF(N127=CURSOS!$D$29,"SALUD MENTAL",IF(N127=CURSOS!$D$30,"PRIMEROS AUXILIOS PSICOLOGICOS",IF(N127=CURSOS!$D$31,"ATENCION A VICTIMAS POR CONFLICTO ARMADO",IF(N127=CURSOS!$D$32,"MANIPULACION DE ALIMENTOS Y BPM",IF(N127=CURSOS!$D$33,"ATENCION A PERSONAS CON DISCAPACIDAD",IF(N127=CURSOS!$D$34,"CUIDADO INTEGRAL DEL PACIENTE ADULTO",IF(N127=CURSOS!$D$35,"MANEJO DEFENSIVO",IF(N127=CURSOS!$D$36,"SOPORTE CARDIOVASCULAR AVANZADO NEONATAL",IF(N127=CURSOS!$D$37,"SEGURIDAD DEL PACIENTE")))))))))))))))))))))))))))))))))))</f>
        <v xml:space="preserve">ATENCION A VICTIMAS DE VIOLENCIA SEXUAL </v>
      </c>
      <c r="U127" s="124" t="str">
        <f t="shared" si="6"/>
        <v>Lida Carmenza Rodriguez Bravo</v>
      </c>
      <c r="V127" s="128" t="str">
        <f t="shared" si="7"/>
        <v>Lida Carmenza Rodriguez Bravo</v>
      </c>
      <c r="W127" s="138" t="str">
        <f t="shared" si="8"/>
        <v>Lida Carmenza Rodriguez Bravo-59825509-VIOLENCIA SEXUAL</v>
      </c>
    </row>
    <row r="128" spans="1:23" x14ac:dyDescent="0.2">
      <c r="A128" s="42">
        <v>127</v>
      </c>
      <c r="B128" s="93">
        <v>59825509</v>
      </c>
      <c r="C128" s="74" t="s">
        <v>205</v>
      </c>
      <c r="D128" s="74" t="s">
        <v>144</v>
      </c>
      <c r="E128" s="77" t="s">
        <v>392</v>
      </c>
      <c r="F128" s="74" t="s">
        <v>398</v>
      </c>
      <c r="G128" s="70">
        <v>8</v>
      </c>
      <c r="H128" s="14" t="s">
        <v>89</v>
      </c>
      <c r="I128" s="85">
        <v>45499</v>
      </c>
      <c r="J128" s="75">
        <v>30000</v>
      </c>
      <c r="K128" s="14" t="s">
        <v>214</v>
      </c>
      <c r="L128" s="70" t="s">
        <v>90</v>
      </c>
      <c r="M128" s="14" t="s">
        <v>411</v>
      </c>
      <c r="N128" s="87" t="s">
        <v>33</v>
      </c>
      <c r="O128" s="61"/>
      <c r="P128" s="121" t="s">
        <v>101</v>
      </c>
      <c r="Q128" s="77" t="s">
        <v>126</v>
      </c>
      <c r="R128" s="68"/>
      <c r="S128" s="88"/>
      <c r="T128" s="124" t="str">
        <f>IF(N128=CURSOS!$D$3,"DIPLOMADO EN ATENCION PRE-HOSPITALARIA",IF(N128=CURSOS!$D$4,"ACOMPAÑAMIENTO Y MANEJO DEL DUELO",IF(N128=CURSOS!$D$5,"ATENCION A VICTIMAS DE ATAQUE CON AGENTES QUIMICOS ",IF(N128=CURSOS!$D$6,"PRIMEROS AUXILIOS ",IF(N128=CURSOS!$D$7,"DIPLOMADO DE UNIDAD DE CUIDADOS INTENSIVOS (UCI)",IF(N128=CURSOS!$D$8,"MODELO DE ATENCION PARA EVENTOS EMERGENTES EN SALUD MENTAL (CODIGO VERDE)",IF(N128=CURSOS!$D$9,"HUMANIZACION EN EL SERVICIO DE LA SALUD Y BUENAS PRACTICAS EN PACIENTE ",IF(N128=CURSOS!$D$10,"CLINICA DE HERIDAS ",IF(N128=CURSOS!$D$11,"TOMA DE CITOLOGIA CERVICO VAGINAL ",IF(N128=CURSOS!$D$12,"SOPORTE CARDIOVASCULAR AVANZADO (ACLS) ",IF(N128=CURSOS!$D$13,"CAMILLERO ",IF(N128=CURSOS!$D$14,"TOMA DE MUESTRAS Y LABORATORIO ",IF(N128=CURSOS!$D$15,"SOPORTE VITAL BASICO (BLS)",IF(N128=CURSOS!$D$16,"ATENCION A VICTIMAS DE VIOLENCIA SEXUAL ",IF(N128=CURSOS!$D$17,"PROGRAMADO AMPLIADO DE INMUNIZACION (PAI - COVID 19)",IF(N128=CURSOS!$D$18,"ATENCION INTEGRAL EN ENFERMEDADES PREVALENTES EN PRIMERA INFANCIA (AIEPI)",IF(N128=CURSOS!$D$19,"ADMINISTRACION DE MEDICAMENTOS, INYECTOLOGIA  Y CANALIZACION ",IF(N128=CURSOS!$D$20,"OPERADOR DE VEHICULOS DE EMERGENCIA (OVE)",IF(N128=CURSOS!$D$21,"INSTITUCIONES AMIGAS DE LA MUJER Y LA INFANCIA (IAMI)",IF(N128=CURSOS!$D$22,"CUIDADO DEL DONANTE DE ORGANOS",IF(N128=CURSOS!$D$23,"ATENCION A VICTIMAS POR VIOLENCIA DE GENERO",IF(N128=CURSOS!$D$24,"IGUALDAD DE GENERO EN LA SALUD",IF(N128=CURSOS!$D$25,"BRIGADA DE EMERGENCIA",IF(N128=CURSOS!$D$26,"MANEJO DEL DOLOR Y CUIDADOS PALIATIVOS",IF(N128=CURSOS!$D$27,"TOMA DE MUESTRAS Y LABORATORIO POCT",IF(N128=CURSOS!$D$28,"IMPLANTE SUBDERMICO DE DISPOSITIVO INTRAUTERINO",IF(N128=CURSOS!$D$29,"SALUD MENTAL",IF(N128=CURSOS!$D$30,"PRIMEROS AUXILIOS PSICOLOGICOS",IF(N128=CURSOS!$D$31,"ATENCION A VICTIMAS POR CONFLICTO ARMADO",IF(N128=CURSOS!$D$32,"MANIPULACION DE ALIMENTOS Y BPM",IF(N128=CURSOS!$D$33,"ATENCION A PERSONAS CON DISCAPACIDAD",IF(N128=CURSOS!$D$34,"CUIDADO INTEGRAL DEL PACIENTE ADULTO",IF(N128=CURSOS!$D$35,"MANEJO DEFENSIVO",IF(N128=CURSOS!$D$36,"SOPORTE CARDIOVASCULAR AVANZADO NEONATAL",IF(N128=CURSOS!$D$37,"SEGURIDAD DEL PACIENTE")))))))))))))))))))))))))))))))))))</f>
        <v xml:space="preserve">HUMANIZACION EN EL SERVICIO DE LA SALUD Y BUENAS PRACTICAS EN PACIENTE </v>
      </c>
      <c r="U128" s="124" t="str">
        <f t="shared" si="6"/>
        <v>Lida Carmenza Rodriguez Bravo</v>
      </c>
      <c r="V128" s="128" t="str">
        <f t="shared" si="7"/>
        <v>Lida Carmenza Rodriguez Bravo</v>
      </c>
      <c r="W128" s="138" t="str">
        <f t="shared" si="8"/>
        <v>Lida Carmenza Rodriguez Bravo-59825509-HUMANIZACION</v>
      </c>
    </row>
    <row r="129" spans="1:23" x14ac:dyDescent="0.2">
      <c r="A129" s="42">
        <v>128</v>
      </c>
      <c r="B129" s="93">
        <v>59825509</v>
      </c>
      <c r="C129" s="74" t="s">
        <v>205</v>
      </c>
      <c r="D129" s="74" t="s">
        <v>144</v>
      </c>
      <c r="E129" s="77" t="s">
        <v>392</v>
      </c>
      <c r="F129" s="74" t="s">
        <v>398</v>
      </c>
      <c r="G129" s="70">
        <v>4</v>
      </c>
      <c r="H129" s="14" t="s">
        <v>89</v>
      </c>
      <c r="I129" s="85">
        <v>45499</v>
      </c>
      <c r="J129" s="75">
        <v>30000</v>
      </c>
      <c r="K129" s="14" t="s">
        <v>214</v>
      </c>
      <c r="L129" s="70" t="s">
        <v>90</v>
      </c>
      <c r="M129" s="14" t="s">
        <v>411</v>
      </c>
      <c r="N129" s="15" t="s">
        <v>23</v>
      </c>
      <c r="O129" s="61"/>
      <c r="P129" s="121" t="s">
        <v>101</v>
      </c>
      <c r="Q129" s="77" t="s">
        <v>126</v>
      </c>
      <c r="R129" s="68"/>
      <c r="S129" s="88"/>
      <c r="T129" s="124" t="str">
        <f>IF(N129=CURSOS!$D$3,"DIPLOMADO EN ATENCION PRE-HOSPITALARIA",IF(N129=CURSOS!$D$4,"ACOMPAÑAMIENTO Y MANEJO DEL DUELO",IF(N129=CURSOS!$D$5,"ATENCION A VICTIMAS DE ATAQUE CON AGENTES QUIMICOS ",IF(N129=CURSOS!$D$6,"PRIMEROS AUXILIOS ",IF(N129=CURSOS!$D$7,"DIPLOMADO DE UNIDAD DE CUIDADOS INTENSIVOS (UCI)",IF(N129=CURSOS!$D$8,"MODELO DE ATENCION PARA EVENTOS EMERGENTES EN SALUD MENTAL (CODIGO VERDE)",IF(N129=CURSOS!$D$9,"HUMANIZACION EN EL SERVICIO DE LA SALUD Y BUENAS PRACTICAS EN PACIENTE ",IF(N129=CURSOS!$D$10,"CLINICA DE HERIDAS ",IF(N129=CURSOS!$D$11,"TOMA DE CITOLOGIA CERVICO VAGINAL ",IF(N129=CURSOS!$D$12,"SOPORTE CARDIOVASCULAR AVANZADO (ACLS) ",IF(N129=CURSOS!$D$13,"CAMILLERO ",IF(N129=CURSOS!$D$14,"TOMA DE MUESTRAS Y LABORATORIO ",IF(N129=CURSOS!$D$15,"SOPORTE VITAL BASICO (BLS)",IF(N129=CURSOS!$D$16,"ATENCION A VICTIMAS DE VIOLENCIA SEXUAL ",IF(N129=CURSOS!$D$17,"PROGRAMADO AMPLIADO DE INMUNIZACION (PAI - COVID 19)",IF(N129=CURSOS!$D$18,"ATENCION INTEGRAL EN ENFERMEDADES PREVALENTES EN PRIMERA INFANCIA (AIEPI)",IF(N129=CURSOS!$D$19,"ADMINISTRACION DE MEDICAMENTOS, INYECTOLOGIA  Y CANALIZACION ",IF(N129=CURSOS!$D$20,"OPERADOR DE VEHICULOS DE EMERGENCIA (OVE)",IF(N129=CURSOS!$D$21,"INSTITUCIONES AMIGAS DE LA MUJER Y LA INFANCIA (IAMI)",IF(N129=CURSOS!$D$22,"CUIDADO DEL DONANTE DE ORGANOS",IF(N129=CURSOS!$D$23,"ATENCION A VICTIMAS POR VIOLENCIA DE GENERO",IF(N129=CURSOS!$D$24,"IGUALDAD DE GENERO EN LA SALUD",IF(N129=CURSOS!$D$25,"BRIGADA DE EMERGENCIA",IF(N129=CURSOS!$D$26,"MANEJO DEL DOLOR Y CUIDADOS PALIATIVOS",IF(N129=CURSOS!$D$27,"TOMA DE MUESTRAS Y LABORATORIO POCT",IF(N129=CURSOS!$D$28,"IMPLANTE SUBDERMICO DE DISPOSITIVO INTRAUTERINO",IF(N129=CURSOS!$D$29,"SALUD MENTAL",IF(N129=CURSOS!$D$30,"PRIMEROS AUXILIOS PSICOLOGICOS",IF(N129=CURSOS!$D$31,"ATENCION A VICTIMAS POR CONFLICTO ARMADO",IF(N129=CURSOS!$D$32,"MANIPULACION DE ALIMENTOS Y BPM",IF(N129=CURSOS!$D$33,"ATENCION A PERSONAS CON DISCAPACIDAD",IF(N129=CURSOS!$D$34,"CUIDADO INTEGRAL DEL PACIENTE ADULTO",IF(N129=CURSOS!$D$35,"MANEJO DEFENSIVO",IF(N129=CURSOS!$D$36,"SOPORTE CARDIOVASCULAR AVANZADO NEONATAL",IF(N129=CURSOS!$D$37,"SEGURIDAD DEL PACIENTE")))))))))))))))))))))))))))))))))))</f>
        <v>ACOMPAÑAMIENTO Y MANEJO DEL DUELO</v>
      </c>
      <c r="U129" s="124" t="str">
        <f t="shared" si="6"/>
        <v>Lida Carmenza Rodriguez Bravo</v>
      </c>
      <c r="V129" s="128" t="str">
        <f t="shared" si="7"/>
        <v>Lida Carmenza Rodriguez Bravo</v>
      </c>
      <c r="W129" s="138" t="str">
        <f t="shared" si="8"/>
        <v>Lida Carmenza Rodriguez Bravo-59825509-DUELO</v>
      </c>
    </row>
    <row r="130" spans="1:23" x14ac:dyDescent="0.2">
      <c r="A130" s="42">
        <v>129</v>
      </c>
      <c r="B130" s="43">
        <v>27109229</v>
      </c>
      <c r="C130" s="74" t="s">
        <v>403</v>
      </c>
      <c r="D130" s="74" t="s">
        <v>172</v>
      </c>
      <c r="E130" s="74" t="s">
        <v>393</v>
      </c>
      <c r="F130" s="74" t="s">
        <v>183</v>
      </c>
      <c r="G130" s="70">
        <v>5</v>
      </c>
      <c r="H130" s="14" t="s">
        <v>89</v>
      </c>
      <c r="I130" s="85">
        <v>45499</v>
      </c>
      <c r="J130" s="75">
        <v>30000</v>
      </c>
      <c r="K130" s="14" t="s">
        <v>214</v>
      </c>
      <c r="L130" s="70" t="s">
        <v>90</v>
      </c>
      <c r="M130" s="14" t="s">
        <v>411</v>
      </c>
      <c r="N130" s="15" t="s">
        <v>43</v>
      </c>
      <c r="O130" s="61"/>
      <c r="P130" s="121" t="s">
        <v>101</v>
      </c>
      <c r="Q130" s="77" t="s">
        <v>133</v>
      </c>
      <c r="R130" s="68"/>
      <c r="S130" s="88"/>
      <c r="T130" s="124" t="str">
        <f>IF(N130=CURSOS!$D$3,"DIPLOMADO EN ATENCION PRE-HOSPITALARIA",IF(N130=CURSOS!$D$4,"ACOMPAÑAMIENTO Y MANEJO DEL DUELO",IF(N130=CURSOS!$D$5,"ATENCION A VICTIMAS DE ATAQUE CON AGENTES QUIMICOS ",IF(N130=CURSOS!$D$6,"PRIMEROS AUXILIOS ",IF(N130=CURSOS!$D$7,"DIPLOMADO DE UNIDAD DE CUIDADOS INTENSIVOS (UCI)",IF(N130=CURSOS!$D$8,"MODELO DE ATENCION PARA EVENTOS EMERGENTES EN SALUD MENTAL (CODIGO VERDE)",IF(N130=CURSOS!$D$9,"HUMANIZACION EN EL SERVICIO DE LA SALUD Y BUENAS PRACTICAS EN PACIENTE ",IF(N130=CURSOS!$D$10,"CLINICA DE HERIDAS ",IF(N130=CURSOS!$D$11,"TOMA DE CITOLOGIA CERVICO VAGINAL ",IF(N130=CURSOS!$D$12,"SOPORTE CARDIOVASCULAR AVANZADO (ACLS) ",IF(N130=CURSOS!$D$13,"CAMILLERO ",IF(N130=CURSOS!$D$14,"TOMA DE MUESTRAS Y LABORATORIO ",IF(N130=CURSOS!$D$15,"SOPORTE VITAL BASICO (BLS)",IF(N130=CURSOS!$D$16,"ATENCION A VICTIMAS DE VIOLENCIA SEXUAL ",IF(N130=CURSOS!$D$17,"PROGRAMADO AMPLIADO DE INMUNIZACION (PAI - COVID 19)",IF(N130=CURSOS!$D$18,"ATENCION INTEGRAL EN ENFERMEDADES PREVALENTES EN PRIMERA INFANCIA (AIEPI)",IF(N130=CURSOS!$D$19,"ADMINISTRACION DE MEDICAMENTOS, INYECTOLOGIA  Y CANALIZACION ",IF(N130=CURSOS!$D$20,"OPERADOR DE VEHICULOS DE EMERGENCIA (OVE)",IF(N130=CURSOS!$D$21,"INSTITUCIONES AMIGAS DE LA MUJER Y LA INFANCIA (IAMI)",IF(N130=CURSOS!$D$22,"CUIDADO DEL DONANTE DE ORGANOS",IF(N130=CURSOS!$D$23,"ATENCION A VICTIMAS POR VIOLENCIA DE GENERO",IF(N130=CURSOS!$D$24,"IGUALDAD DE GENERO EN LA SALUD",IF(N130=CURSOS!$D$25,"BRIGADA DE EMERGENCIA",IF(N130=CURSOS!$D$26,"MANEJO DEL DOLOR Y CUIDADOS PALIATIVOS",IF(N130=CURSOS!$D$27,"TOMA DE MUESTRAS Y LABORATORIO POCT",IF(N130=CURSOS!$D$28,"IMPLANTE SUBDERMICO DE DISPOSITIVO INTRAUTERINO",IF(N130=CURSOS!$D$29,"SALUD MENTAL",IF(N130=CURSOS!$D$30,"PRIMEROS AUXILIOS PSICOLOGICOS",IF(N130=CURSOS!$D$31,"ATENCION A VICTIMAS POR CONFLICTO ARMADO",IF(N130=CURSOS!$D$32,"MANIPULACION DE ALIMENTOS Y BPM",IF(N130=CURSOS!$D$33,"ATENCION A PERSONAS CON DISCAPACIDAD",IF(N130=CURSOS!$D$34,"CUIDADO INTEGRAL DEL PACIENTE ADULTO",IF(N130=CURSOS!$D$35,"MANEJO DEFENSIVO",IF(N130=CURSOS!$D$36,"SOPORTE CARDIOVASCULAR AVANZADO NEONATAL",IF(N130=CURSOS!$D$37,"SEGURIDAD DEL PACIENTE")))))))))))))))))))))))))))))))))))</f>
        <v xml:space="preserve">ATENCION A VICTIMAS DE VIOLENCIA SEXUAL </v>
      </c>
      <c r="U130" s="124" t="str">
        <f t="shared" si="6"/>
        <v>Giovanna Elizabeth Acuña Lopez</v>
      </c>
      <c r="V130" s="128" t="str">
        <f t="shared" si="7"/>
        <v>Giovanna Elizabeth Acuña Lopez</v>
      </c>
      <c r="W130" s="138" t="str">
        <f t="shared" si="8"/>
        <v>Giovanna Elizabeth Acuña Lopez-27109229-VIOLENCIA SEXUAL</v>
      </c>
    </row>
    <row r="131" spans="1:23" x14ac:dyDescent="0.2">
      <c r="A131" s="42">
        <v>130</v>
      </c>
      <c r="B131" s="43">
        <v>27109229</v>
      </c>
      <c r="C131" s="74" t="s">
        <v>403</v>
      </c>
      <c r="D131" s="74" t="s">
        <v>172</v>
      </c>
      <c r="E131" s="74" t="s">
        <v>393</v>
      </c>
      <c r="F131" s="74" t="s">
        <v>183</v>
      </c>
      <c r="G131" s="70">
        <v>8</v>
      </c>
      <c r="H131" s="14" t="s">
        <v>89</v>
      </c>
      <c r="I131" s="85">
        <v>45499</v>
      </c>
      <c r="J131" s="75">
        <v>30000</v>
      </c>
      <c r="K131" s="14" t="s">
        <v>214</v>
      </c>
      <c r="L131" s="70" t="s">
        <v>90</v>
      </c>
      <c r="M131" s="14" t="s">
        <v>411</v>
      </c>
      <c r="N131" s="15" t="s">
        <v>33</v>
      </c>
      <c r="O131" s="18"/>
      <c r="P131" s="15" t="s">
        <v>101</v>
      </c>
      <c r="Q131" s="77" t="s">
        <v>133</v>
      </c>
      <c r="R131" s="17"/>
      <c r="S131" s="17"/>
      <c r="T131" s="124" t="str">
        <f>IF(N131=CURSOS!$D$3,"DIPLOMADO EN ATENCION PRE-HOSPITALARIA",IF(N131=CURSOS!$D$4,"ACOMPAÑAMIENTO Y MANEJO DEL DUELO",IF(N131=CURSOS!$D$5,"ATENCION A VICTIMAS DE ATAQUE CON AGENTES QUIMICOS ",IF(N131=CURSOS!$D$6,"PRIMEROS AUXILIOS ",IF(N131=CURSOS!$D$7,"DIPLOMADO DE UNIDAD DE CUIDADOS INTENSIVOS (UCI)",IF(N131=CURSOS!$D$8,"MODELO DE ATENCION PARA EVENTOS EMERGENTES EN SALUD MENTAL (CODIGO VERDE)",IF(N131=CURSOS!$D$9,"HUMANIZACION EN EL SERVICIO DE LA SALUD Y BUENAS PRACTICAS EN PACIENTE ",IF(N131=CURSOS!$D$10,"CLINICA DE HERIDAS ",IF(N131=CURSOS!$D$11,"TOMA DE CITOLOGIA CERVICO VAGINAL ",IF(N131=CURSOS!$D$12,"SOPORTE CARDIOVASCULAR AVANZADO (ACLS) ",IF(N131=CURSOS!$D$13,"CAMILLERO ",IF(N131=CURSOS!$D$14,"TOMA DE MUESTRAS Y LABORATORIO ",IF(N131=CURSOS!$D$15,"SOPORTE VITAL BASICO (BLS)",IF(N131=CURSOS!$D$16,"ATENCION A VICTIMAS DE VIOLENCIA SEXUAL ",IF(N131=CURSOS!$D$17,"PROGRAMADO AMPLIADO DE INMUNIZACION (PAI - COVID 19)",IF(N131=CURSOS!$D$18,"ATENCION INTEGRAL EN ENFERMEDADES PREVALENTES EN PRIMERA INFANCIA (AIEPI)",IF(N131=CURSOS!$D$19,"ADMINISTRACION DE MEDICAMENTOS, INYECTOLOGIA  Y CANALIZACION ",IF(N131=CURSOS!$D$20,"OPERADOR DE VEHICULOS DE EMERGENCIA (OVE)",IF(N131=CURSOS!$D$21,"INSTITUCIONES AMIGAS DE LA MUJER Y LA INFANCIA (IAMI)",IF(N131=CURSOS!$D$22,"CUIDADO DEL DONANTE DE ORGANOS",IF(N131=CURSOS!$D$23,"ATENCION A VICTIMAS POR VIOLENCIA DE GENERO",IF(N131=CURSOS!$D$24,"IGUALDAD DE GENERO EN LA SALUD",IF(N131=CURSOS!$D$25,"BRIGADA DE EMERGENCIA",IF(N131=CURSOS!$D$26,"MANEJO DEL DOLOR Y CUIDADOS PALIATIVOS",IF(N131=CURSOS!$D$27,"TOMA DE MUESTRAS Y LABORATORIO POCT",IF(N131=CURSOS!$D$28,"IMPLANTE SUBDERMICO DE DISPOSITIVO INTRAUTERINO",IF(N131=CURSOS!$D$29,"SALUD MENTAL",IF(N131=CURSOS!$D$30,"PRIMEROS AUXILIOS PSICOLOGICOS",IF(N131=CURSOS!$D$31,"ATENCION A VICTIMAS POR CONFLICTO ARMADO",IF(N131=CURSOS!$D$32,"MANIPULACION DE ALIMENTOS Y BPM",IF(N131=CURSOS!$D$33,"ATENCION A PERSONAS CON DISCAPACIDAD",IF(N131=CURSOS!$D$34,"CUIDADO INTEGRAL DEL PACIENTE ADULTO",IF(N131=CURSOS!$D$35,"MANEJO DEFENSIVO",IF(N131=CURSOS!$D$36,"SOPORTE CARDIOVASCULAR AVANZADO NEONATAL",IF(N131=CURSOS!$D$37,"SEGURIDAD DEL PACIENTE")))))))))))))))))))))))))))))))))))</f>
        <v xml:space="preserve">HUMANIZACION EN EL SERVICIO DE LA SALUD Y BUENAS PRACTICAS EN PACIENTE </v>
      </c>
      <c r="U131" s="124" t="str">
        <f t="shared" ref="U131:U194" si="9">CONCATENATE(E131," ",F131," ",C131," ",D131)</f>
        <v>Giovanna Elizabeth Acuña Lopez</v>
      </c>
      <c r="V131" s="128" t="str">
        <f t="shared" ref="V131:V194" si="10">+PROPER(U131)</f>
        <v>Giovanna Elizabeth Acuña Lopez</v>
      </c>
      <c r="W131" s="138" t="str">
        <f t="shared" ref="W131:W194" si="11">CONCATENATE(U131,"-",B131,"-",N131)</f>
        <v>Giovanna Elizabeth Acuña Lopez-27109229-HUMANIZACION</v>
      </c>
    </row>
    <row r="132" spans="1:23" x14ac:dyDescent="0.2">
      <c r="A132" s="42">
        <v>131</v>
      </c>
      <c r="B132" s="43">
        <v>27109229</v>
      </c>
      <c r="C132" s="74" t="s">
        <v>403</v>
      </c>
      <c r="D132" s="74" t="s">
        <v>172</v>
      </c>
      <c r="E132" s="74" t="s">
        <v>393</v>
      </c>
      <c r="F132" s="74" t="s">
        <v>183</v>
      </c>
      <c r="G132" s="70">
        <v>5</v>
      </c>
      <c r="H132" s="14" t="s">
        <v>89</v>
      </c>
      <c r="I132" s="85">
        <v>45499</v>
      </c>
      <c r="J132" s="75">
        <v>30000</v>
      </c>
      <c r="K132" s="14" t="s">
        <v>214</v>
      </c>
      <c r="L132" s="70" t="s">
        <v>90</v>
      </c>
      <c r="M132" s="14" t="s">
        <v>411</v>
      </c>
      <c r="N132" s="15" t="s">
        <v>25</v>
      </c>
      <c r="O132" s="18"/>
      <c r="P132" s="15" t="s">
        <v>101</v>
      </c>
      <c r="Q132" s="77" t="s">
        <v>133</v>
      </c>
      <c r="R132" s="17"/>
      <c r="S132" s="17"/>
      <c r="T132" s="124" t="str">
        <f>IF(N132=CURSOS!$D$3,"DIPLOMADO EN ATENCION PRE-HOSPITALARIA",IF(N132=CURSOS!$D$4,"ACOMPAÑAMIENTO Y MANEJO DEL DUELO",IF(N132=CURSOS!$D$5,"ATENCION A VICTIMAS DE ATAQUE CON AGENTES QUIMICOS ",IF(N132=CURSOS!$D$6,"PRIMEROS AUXILIOS ",IF(N132=CURSOS!$D$7,"DIPLOMADO DE UNIDAD DE CUIDADOS INTENSIVOS (UCI)",IF(N132=CURSOS!$D$8,"MODELO DE ATENCION PARA EVENTOS EMERGENTES EN SALUD MENTAL (CODIGO VERDE)",IF(N132=CURSOS!$D$9,"HUMANIZACION EN EL SERVICIO DE LA SALUD Y BUENAS PRACTICAS EN PACIENTE ",IF(N132=CURSOS!$D$10,"CLINICA DE HERIDAS ",IF(N132=CURSOS!$D$11,"TOMA DE CITOLOGIA CERVICO VAGINAL ",IF(N132=CURSOS!$D$12,"SOPORTE CARDIOVASCULAR AVANZADO (ACLS) ",IF(N132=CURSOS!$D$13,"CAMILLERO ",IF(N132=CURSOS!$D$14,"TOMA DE MUESTRAS Y LABORATORIO ",IF(N132=CURSOS!$D$15,"SOPORTE VITAL BASICO (BLS)",IF(N132=CURSOS!$D$16,"ATENCION A VICTIMAS DE VIOLENCIA SEXUAL ",IF(N132=CURSOS!$D$17,"PROGRAMADO AMPLIADO DE INMUNIZACION (PAI - COVID 19)",IF(N132=CURSOS!$D$18,"ATENCION INTEGRAL EN ENFERMEDADES PREVALENTES EN PRIMERA INFANCIA (AIEPI)",IF(N132=CURSOS!$D$19,"ADMINISTRACION DE MEDICAMENTOS, INYECTOLOGIA  Y CANALIZACION ",IF(N132=CURSOS!$D$20,"OPERADOR DE VEHICULOS DE EMERGENCIA (OVE)",IF(N132=CURSOS!$D$21,"INSTITUCIONES AMIGAS DE LA MUJER Y LA INFANCIA (IAMI)",IF(N132=CURSOS!$D$22,"CUIDADO DEL DONANTE DE ORGANOS",IF(N132=CURSOS!$D$23,"ATENCION A VICTIMAS POR VIOLENCIA DE GENERO",IF(N132=CURSOS!$D$24,"IGUALDAD DE GENERO EN LA SALUD",IF(N132=CURSOS!$D$25,"BRIGADA DE EMERGENCIA",IF(N132=CURSOS!$D$26,"MANEJO DEL DOLOR Y CUIDADOS PALIATIVOS",IF(N132=CURSOS!$D$27,"TOMA DE MUESTRAS Y LABORATORIO POCT",IF(N132=CURSOS!$D$28,"IMPLANTE SUBDERMICO DE DISPOSITIVO INTRAUTERINO",IF(N132=CURSOS!$D$29,"SALUD MENTAL",IF(N132=CURSOS!$D$30,"PRIMEROS AUXILIOS PSICOLOGICOS",IF(N132=CURSOS!$D$31,"ATENCION A VICTIMAS POR CONFLICTO ARMADO",IF(N132=CURSOS!$D$32,"MANIPULACION DE ALIMENTOS Y BPM",IF(N132=CURSOS!$D$33,"ATENCION A PERSONAS CON DISCAPACIDAD",IF(N132=CURSOS!$D$34,"CUIDADO INTEGRAL DEL PACIENTE ADULTO",IF(N132=CURSOS!$D$35,"MANEJO DEFENSIVO",IF(N132=CURSOS!$D$36,"SOPORTE CARDIOVASCULAR AVANZADO NEONATAL",IF(N132=CURSOS!$D$37,"SEGURIDAD DEL PACIENTE")))))))))))))))))))))))))))))))))))</f>
        <v xml:space="preserve">ATENCION A VICTIMAS DE ATAQUE CON AGENTES QUIMICOS </v>
      </c>
      <c r="U132" s="124" t="str">
        <f t="shared" si="9"/>
        <v>Giovanna Elizabeth Acuña Lopez</v>
      </c>
      <c r="V132" s="128" t="str">
        <f t="shared" si="10"/>
        <v>Giovanna Elizabeth Acuña Lopez</v>
      </c>
      <c r="W132" s="138" t="str">
        <f t="shared" si="11"/>
        <v>Giovanna Elizabeth Acuña Lopez-27109229-QUIMICOS</v>
      </c>
    </row>
    <row r="133" spans="1:23" x14ac:dyDescent="0.2">
      <c r="A133" s="42">
        <v>132</v>
      </c>
      <c r="B133" s="43">
        <v>27109229</v>
      </c>
      <c r="C133" s="74" t="s">
        <v>403</v>
      </c>
      <c r="D133" s="74" t="s">
        <v>172</v>
      </c>
      <c r="E133" s="74" t="s">
        <v>393</v>
      </c>
      <c r="F133" s="74" t="s">
        <v>183</v>
      </c>
      <c r="G133" s="70">
        <v>4</v>
      </c>
      <c r="H133" s="14" t="s">
        <v>89</v>
      </c>
      <c r="I133" s="85">
        <v>45499</v>
      </c>
      <c r="J133" s="75">
        <v>30000</v>
      </c>
      <c r="K133" s="14" t="s">
        <v>214</v>
      </c>
      <c r="L133" s="70" t="s">
        <v>90</v>
      </c>
      <c r="M133" s="14" t="s">
        <v>411</v>
      </c>
      <c r="N133" s="15" t="s">
        <v>23</v>
      </c>
      <c r="O133" s="18"/>
      <c r="P133" s="121" t="s">
        <v>101</v>
      </c>
      <c r="Q133" s="77" t="s">
        <v>133</v>
      </c>
      <c r="R133" s="17"/>
      <c r="S133" s="17"/>
      <c r="T133" s="124" t="str">
        <f>IF(N133=CURSOS!$D$3,"DIPLOMADO EN ATENCION PRE-HOSPITALARIA",IF(N133=CURSOS!$D$4,"ACOMPAÑAMIENTO Y MANEJO DEL DUELO",IF(N133=CURSOS!$D$5,"ATENCION A VICTIMAS DE ATAQUE CON AGENTES QUIMICOS ",IF(N133=CURSOS!$D$6,"PRIMEROS AUXILIOS ",IF(N133=CURSOS!$D$7,"DIPLOMADO DE UNIDAD DE CUIDADOS INTENSIVOS (UCI)",IF(N133=CURSOS!$D$8,"MODELO DE ATENCION PARA EVENTOS EMERGENTES EN SALUD MENTAL (CODIGO VERDE)",IF(N133=CURSOS!$D$9,"HUMANIZACION EN EL SERVICIO DE LA SALUD Y BUENAS PRACTICAS EN PACIENTE ",IF(N133=CURSOS!$D$10,"CLINICA DE HERIDAS ",IF(N133=CURSOS!$D$11,"TOMA DE CITOLOGIA CERVICO VAGINAL ",IF(N133=CURSOS!$D$12,"SOPORTE CARDIOVASCULAR AVANZADO (ACLS) ",IF(N133=CURSOS!$D$13,"CAMILLERO ",IF(N133=CURSOS!$D$14,"TOMA DE MUESTRAS Y LABORATORIO ",IF(N133=CURSOS!$D$15,"SOPORTE VITAL BASICO (BLS)",IF(N133=CURSOS!$D$16,"ATENCION A VICTIMAS DE VIOLENCIA SEXUAL ",IF(N133=CURSOS!$D$17,"PROGRAMADO AMPLIADO DE INMUNIZACION (PAI - COVID 19)",IF(N133=CURSOS!$D$18,"ATENCION INTEGRAL EN ENFERMEDADES PREVALENTES EN PRIMERA INFANCIA (AIEPI)",IF(N133=CURSOS!$D$19,"ADMINISTRACION DE MEDICAMENTOS, INYECTOLOGIA  Y CANALIZACION ",IF(N133=CURSOS!$D$20,"OPERADOR DE VEHICULOS DE EMERGENCIA (OVE)",IF(N133=CURSOS!$D$21,"INSTITUCIONES AMIGAS DE LA MUJER Y LA INFANCIA (IAMI)",IF(N133=CURSOS!$D$22,"CUIDADO DEL DONANTE DE ORGANOS",IF(N133=CURSOS!$D$23,"ATENCION A VICTIMAS POR VIOLENCIA DE GENERO",IF(N133=CURSOS!$D$24,"IGUALDAD DE GENERO EN LA SALUD",IF(N133=CURSOS!$D$25,"BRIGADA DE EMERGENCIA",IF(N133=CURSOS!$D$26,"MANEJO DEL DOLOR Y CUIDADOS PALIATIVOS",IF(N133=CURSOS!$D$27,"TOMA DE MUESTRAS Y LABORATORIO POCT",IF(N133=CURSOS!$D$28,"IMPLANTE SUBDERMICO DE DISPOSITIVO INTRAUTERINO",IF(N133=CURSOS!$D$29,"SALUD MENTAL",IF(N133=CURSOS!$D$30,"PRIMEROS AUXILIOS PSICOLOGICOS",IF(N133=CURSOS!$D$31,"ATENCION A VICTIMAS POR CONFLICTO ARMADO",IF(N133=CURSOS!$D$32,"MANIPULACION DE ALIMENTOS Y BPM",IF(N133=CURSOS!$D$33,"ATENCION A PERSONAS CON DISCAPACIDAD",IF(N133=CURSOS!$D$34,"CUIDADO INTEGRAL DEL PACIENTE ADULTO",IF(N133=CURSOS!$D$35,"MANEJO DEFENSIVO",IF(N133=CURSOS!$D$36,"SOPORTE CARDIOVASCULAR AVANZADO NEONATAL",IF(N133=CURSOS!$D$37,"SEGURIDAD DEL PACIENTE")))))))))))))))))))))))))))))))))))</f>
        <v>ACOMPAÑAMIENTO Y MANEJO DEL DUELO</v>
      </c>
      <c r="U133" s="124" t="str">
        <f t="shared" si="9"/>
        <v>Giovanna Elizabeth Acuña Lopez</v>
      </c>
      <c r="V133" s="128" t="str">
        <f t="shared" si="10"/>
        <v>Giovanna Elizabeth Acuña Lopez</v>
      </c>
      <c r="W133" s="138" t="str">
        <f t="shared" si="11"/>
        <v>Giovanna Elizabeth Acuña Lopez-27109229-DUELO</v>
      </c>
    </row>
    <row r="134" spans="1:23" x14ac:dyDescent="0.2">
      <c r="A134" s="42">
        <v>133</v>
      </c>
      <c r="B134" s="43">
        <v>27109229</v>
      </c>
      <c r="C134" s="74" t="s">
        <v>403</v>
      </c>
      <c r="D134" s="74" t="s">
        <v>172</v>
      </c>
      <c r="E134" s="74" t="s">
        <v>393</v>
      </c>
      <c r="F134" s="74" t="s">
        <v>183</v>
      </c>
      <c r="G134" s="70">
        <v>6</v>
      </c>
      <c r="H134" s="14" t="s">
        <v>89</v>
      </c>
      <c r="I134" s="85">
        <v>45499</v>
      </c>
      <c r="J134" s="19">
        <v>130000</v>
      </c>
      <c r="K134" s="14" t="s">
        <v>214</v>
      </c>
      <c r="L134" s="70" t="s">
        <v>90</v>
      </c>
      <c r="M134" s="14" t="s">
        <v>411</v>
      </c>
      <c r="N134" s="15" t="s">
        <v>38</v>
      </c>
      <c r="O134" s="18"/>
      <c r="P134" s="121" t="s">
        <v>101</v>
      </c>
      <c r="Q134" s="77" t="s">
        <v>133</v>
      </c>
      <c r="R134" s="17"/>
      <c r="S134" s="17"/>
      <c r="T134" s="124" t="str">
        <f>IF(N134=CURSOS!$D$3,"DIPLOMADO EN ATENCION PRE-HOSPITALARIA",IF(N134=CURSOS!$D$4,"ACOMPAÑAMIENTO Y MANEJO DEL DUELO",IF(N134=CURSOS!$D$5,"ATENCION A VICTIMAS DE ATAQUE CON AGENTES QUIMICOS ",IF(N134=CURSOS!$D$6,"PRIMEROS AUXILIOS ",IF(N134=CURSOS!$D$7,"DIPLOMADO DE UNIDAD DE CUIDADOS INTENSIVOS (UCI)",IF(N134=CURSOS!$D$8,"MODELO DE ATENCION PARA EVENTOS EMERGENTES EN SALUD MENTAL (CODIGO VERDE)",IF(N134=CURSOS!$D$9,"HUMANIZACION EN EL SERVICIO DE LA SALUD Y BUENAS PRACTICAS EN PACIENTE ",IF(N134=CURSOS!$D$10,"CLINICA DE HERIDAS ",IF(N134=CURSOS!$D$11,"TOMA DE CITOLOGIA CERVICO VAGINAL ",IF(N134=CURSOS!$D$12,"SOPORTE CARDIOVASCULAR AVANZADO (ACLS) ",IF(N134=CURSOS!$D$13,"CAMILLERO ",IF(N134=CURSOS!$D$14,"TOMA DE MUESTRAS Y LABORATORIO ",IF(N134=CURSOS!$D$15,"SOPORTE VITAL BASICO (BLS)",IF(N134=CURSOS!$D$16,"ATENCION A VICTIMAS DE VIOLENCIA SEXUAL ",IF(N134=CURSOS!$D$17,"PROGRAMADO AMPLIADO DE INMUNIZACION (PAI - COVID 19)",IF(N134=CURSOS!$D$18,"ATENCION INTEGRAL EN ENFERMEDADES PREVALENTES EN PRIMERA INFANCIA (AIEPI)",IF(N134=CURSOS!$D$19,"ADMINISTRACION DE MEDICAMENTOS, INYECTOLOGIA  Y CANALIZACION ",IF(N134=CURSOS!$D$20,"OPERADOR DE VEHICULOS DE EMERGENCIA (OVE)",IF(N134=CURSOS!$D$21,"INSTITUCIONES AMIGAS DE LA MUJER Y LA INFANCIA (IAMI)",IF(N134=CURSOS!$D$22,"CUIDADO DEL DONANTE DE ORGANOS",IF(N134=CURSOS!$D$23,"ATENCION A VICTIMAS POR VIOLENCIA DE GENERO",IF(N134=CURSOS!$D$24,"IGUALDAD DE GENERO EN LA SALUD",IF(N134=CURSOS!$D$25,"BRIGADA DE EMERGENCIA",IF(N134=CURSOS!$D$26,"MANEJO DEL DOLOR Y CUIDADOS PALIATIVOS",IF(N134=CURSOS!$D$27,"TOMA DE MUESTRAS Y LABORATORIO POCT",IF(N134=CURSOS!$D$28,"IMPLANTE SUBDERMICO DE DISPOSITIVO INTRAUTERINO",IF(N134=CURSOS!$D$29,"SALUD MENTAL",IF(N134=CURSOS!$D$30,"PRIMEROS AUXILIOS PSICOLOGICOS",IF(N134=CURSOS!$D$31,"ATENCION A VICTIMAS POR CONFLICTO ARMADO",IF(N134=CURSOS!$D$32,"MANIPULACION DE ALIMENTOS Y BPM",IF(N134=CURSOS!$D$33,"ATENCION A PERSONAS CON DISCAPACIDAD",IF(N134=CURSOS!$D$34,"CUIDADO INTEGRAL DEL PACIENTE ADULTO",IF(N134=CURSOS!$D$35,"MANEJO DEFENSIVO",IF(N134=CURSOS!$D$36,"SOPORTE CARDIOVASCULAR AVANZADO NEONATAL",IF(N134=CURSOS!$D$37,"SEGURIDAD DEL PACIENTE")))))))))))))))))))))))))))))))))))</f>
        <v xml:space="preserve">SOPORTE CARDIOVASCULAR AVANZADO (ACLS) </v>
      </c>
      <c r="U134" s="124" t="str">
        <f t="shared" si="9"/>
        <v>Giovanna Elizabeth Acuña Lopez</v>
      </c>
      <c r="V134" s="128" t="str">
        <f t="shared" si="10"/>
        <v>Giovanna Elizabeth Acuña Lopez</v>
      </c>
      <c r="W134" s="138" t="str">
        <f t="shared" si="11"/>
        <v>Giovanna Elizabeth Acuña Lopez-27109229-ACLS</v>
      </c>
    </row>
    <row r="135" spans="1:23" x14ac:dyDescent="0.2">
      <c r="A135" s="42">
        <v>134</v>
      </c>
      <c r="B135" s="43">
        <v>27109229</v>
      </c>
      <c r="C135" s="74" t="s">
        <v>403</v>
      </c>
      <c r="D135" s="74" t="s">
        <v>172</v>
      </c>
      <c r="E135" s="74" t="s">
        <v>393</v>
      </c>
      <c r="F135" s="74" t="s">
        <v>183</v>
      </c>
      <c r="G135" s="70">
        <v>6</v>
      </c>
      <c r="H135" s="14" t="s">
        <v>89</v>
      </c>
      <c r="I135" s="85">
        <v>45499</v>
      </c>
      <c r="J135" s="75">
        <v>30000</v>
      </c>
      <c r="K135" s="14" t="s">
        <v>214</v>
      </c>
      <c r="L135" s="70" t="s">
        <v>90</v>
      </c>
      <c r="M135" s="14" t="s">
        <v>411</v>
      </c>
      <c r="N135" s="15" t="s">
        <v>61</v>
      </c>
      <c r="O135" s="18"/>
      <c r="P135" s="15" t="s">
        <v>101</v>
      </c>
      <c r="Q135" s="77" t="s">
        <v>133</v>
      </c>
      <c r="R135" s="17"/>
      <c r="S135" s="17"/>
      <c r="T135" s="124" t="str">
        <f>IF(N135=CURSOS!$D$3,"DIPLOMADO EN ATENCION PRE-HOSPITALARIA",IF(N135=CURSOS!$D$4,"ACOMPAÑAMIENTO Y MANEJO DEL DUELO",IF(N135=CURSOS!$D$5,"ATENCION A VICTIMAS DE ATAQUE CON AGENTES QUIMICOS ",IF(N135=CURSOS!$D$6,"PRIMEROS AUXILIOS ",IF(N135=CURSOS!$D$7,"DIPLOMADO DE UNIDAD DE CUIDADOS INTENSIVOS (UCI)",IF(N135=CURSOS!$D$8,"MODELO DE ATENCION PARA EVENTOS EMERGENTES EN SALUD MENTAL (CODIGO VERDE)",IF(N135=CURSOS!$D$9,"HUMANIZACION EN EL SERVICIO DE LA SALUD Y BUENAS PRACTICAS EN PACIENTE ",IF(N135=CURSOS!$D$10,"CLINICA DE HERIDAS ",IF(N135=CURSOS!$D$11,"TOMA DE CITOLOGIA CERVICO VAGINAL ",IF(N135=CURSOS!$D$12,"SOPORTE CARDIOVASCULAR AVANZADO (ACLS) ",IF(N135=CURSOS!$D$13,"CAMILLERO ",IF(N135=CURSOS!$D$14,"TOMA DE MUESTRAS Y LABORATORIO ",IF(N135=CURSOS!$D$15,"SOPORTE VITAL BASICO (BLS)",IF(N135=CURSOS!$D$16,"ATENCION A VICTIMAS DE VIOLENCIA SEXUAL ",IF(N135=CURSOS!$D$17,"PROGRAMADO AMPLIADO DE INMUNIZACION (PAI - COVID 19)",IF(N135=CURSOS!$D$18,"ATENCION INTEGRAL EN ENFERMEDADES PREVALENTES EN PRIMERA INFANCIA (AIEPI)",IF(N135=CURSOS!$D$19,"ADMINISTRACION DE MEDICAMENTOS, INYECTOLOGIA  Y CANALIZACION ",IF(N135=CURSOS!$D$20,"OPERADOR DE VEHICULOS DE EMERGENCIA (OVE)",IF(N135=CURSOS!$D$21,"INSTITUCIONES AMIGAS DE LA MUJER Y LA INFANCIA (IAMI)",IF(N135=CURSOS!$D$22,"CUIDADO DEL DONANTE DE ORGANOS",IF(N135=CURSOS!$D$23,"ATENCION A VICTIMAS POR VIOLENCIA DE GENERO",IF(N135=CURSOS!$D$24,"IGUALDAD DE GENERO EN LA SALUD",IF(N135=CURSOS!$D$25,"BRIGADA DE EMERGENCIA",IF(N135=CURSOS!$D$26,"MANEJO DEL DOLOR Y CUIDADOS PALIATIVOS",IF(N135=CURSOS!$D$27,"TOMA DE MUESTRAS Y LABORATORIO POCT",IF(N135=CURSOS!$D$28,"IMPLANTE SUBDERMICO DE DISPOSITIVO INTRAUTERINO",IF(N135=CURSOS!$D$29,"SALUD MENTAL",IF(N135=CURSOS!$D$30,"PRIMEROS AUXILIOS PSICOLOGICOS",IF(N135=CURSOS!$D$31,"ATENCION A VICTIMAS POR CONFLICTO ARMADO",IF(N135=CURSOS!$D$32,"MANIPULACION DE ALIMENTOS Y BPM",IF(N135=CURSOS!$D$33,"ATENCION A PERSONAS CON DISCAPACIDAD",IF(N135=CURSOS!$D$34,"CUIDADO INTEGRAL DEL PACIENTE ADULTO",IF(N135=CURSOS!$D$35,"MANEJO DEFENSIVO",IF(N135=CURSOS!$D$36,"SOPORTE CARDIOVASCULAR AVANZADO NEONATAL",IF(N135=CURSOS!$D$37,"SEGURIDAD DEL PACIENTE")))))))))))))))))))))))))))))))))))</f>
        <v>MANEJO DEL DOLOR Y CUIDADOS PALIATIVOS</v>
      </c>
      <c r="U135" s="124" t="str">
        <f t="shared" si="9"/>
        <v>Giovanna Elizabeth Acuña Lopez</v>
      </c>
      <c r="V135" s="128" t="str">
        <f t="shared" si="10"/>
        <v>Giovanna Elizabeth Acuña Lopez</v>
      </c>
      <c r="W135" s="138" t="str">
        <f t="shared" si="11"/>
        <v>Giovanna Elizabeth Acuña Lopez-27109229-PALIATIVOS</v>
      </c>
    </row>
    <row r="136" spans="1:23" x14ac:dyDescent="0.2">
      <c r="A136" s="42">
        <v>135</v>
      </c>
      <c r="B136" s="43">
        <v>1085312568</v>
      </c>
      <c r="C136" s="74" t="s">
        <v>278</v>
      </c>
      <c r="D136" s="74" t="s">
        <v>407</v>
      </c>
      <c r="E136" s="74" t="s">
        <v>394</v>
      </c>
      <c r="F136" s="74" t="s">
        <v>399</v>
      </c>
      <c r="G136" s="70">
        <v>5</v>
      </c>
      <c r="H136" s="14" t="s">
        <v>89</v>
      </c>
      <c r="I136" s="85">
        <v>45499</v>
      </c>
      <c r="J136" s="75">
        <v>30000</v>
      </c>
      <c r="K136" s="14" t="s">
        <v>214</v>
      </c>
      <c r="L136" s="70" t="s">
        <v>90</v>
      </c>
      <c r="M136" s="14" t="s">
        <v>411</v>
      </c>
      <c r="N136" s="15" t="s">
        <v>43</v>
      </c>
      <c r="O136" s="18"/>
      <c r="P136" s="15" t="s">
        <v>101</v>
      </c>
      <c r="Q136" s="77" t="s">
        <v>200</v>
      </c>
      <c r="R136" s="17"/>
      <c r="S136" s="39"/>
      <c r="T136" s="124" t="str">
        <f>IF(N136=CURSOS!$D$3,"DIPLOMADO EN ATENCION PRE-HOSPITALARIA",IF(N136=CURSOS!$D$4,"ACOMPAÑAMIENTO Y MANEJO DEL DUELO",IF(N136=CURSOS!$D$5,"ATENCION A VICTIMAS DE ATAQUE CON AGENTES QUIMICOS ",IF(N136=CURSOS!$D$6,"PRIMEROS AUXILIOS ",IF(N136=CURSOS!$D$7,"DIPLOMADO DE UNIDAD DE CUIDADOS INTENSIVOS (UCI)",IF(N136=CURSOS!$D$8,"MODELO DE ATENCION PARA EVENTOS EMERGENTES EN SALUD MENTAL (CODIGO VERDE)",IF(N136=CURSOS!$D$9,"HUMANIZACION EN EL SERVICIO DE LA SALUD Y BUENAS PRACTICAS EN PACIENTE ",IF(N136=CURSOS!$D$10,"CLINICA DE HERIDAS ",IF(N136=CURSOS!$D$11,"TOMA DE CITOLOGIA CERVICO VAGINAL ",IF(N136=CURSOS!$D$12,"SOPORTE CARDIOVASCULAR AVANZADO (ACLS) ",IF(N136=CURSOS!$D$13,"CAMILLERO ",IF(N136=CURSOS!$D$14,"TOMA DE MUESTRAS Y LABORATORIO ",IF(N136=CURSOS!$D$15,"SOPORTE VITAL BASICO (BLS)",IF(N136=CURSOS!$D$16,"ATENCION A VICTIMAS DE VIOLENCIA SEXUAL ",IF(N136=CURSOS!$D$17,"PROGRAMADO AMPLIADO DE INMUNIZACION (PAI - COVID 19)",IF(N136=CURSOS!$D$18,"ATENCION INTEGRAL EN ENFERMEDADES PREVALENTES EN PRIMERA INFANCIA (AIEPI)",IF(N136=CURSOS!$D$19,"ADMINISTRACION DE MEDICAMENTOS, INYECTOLOGIA  Y CANALIZACION ",IF(N136=CURSOS!$D$20,"OPERADOR DE VEHICULOS DE EMERGENCIA (OVE)",IF(N136=CURSOS!$D$21,"INSTITUCIONES AMIGAS DE LA MUJER Y LA INFANCIA (IAMI)",IF(N136=CURSOS!$D$22,"CUIDADO DEL DONANTE DE ORGANOS",IF(N136=CURSOS!$D$23,"ATENCION A VICTIMAS POR VIOLENCIA DE GENERO",IF(N136=CURSOS!$D$24,"IGUALDAD DE GENERO EN LA SALUD",IF(N136=CURSOS!$D$25,"BRIGADA DE EMERGENCIA",IF(N136=CURSOS!$D$26,"MANEJO DEL DOLOR Y CUIDADOS PALIATIVOS",IF(N136=CURSOS!$D$27,"TOMA DE MUESTRAS Y LABORATORIO POCT",IF(N136=CURSOS!$D$28,"IMPLANTE SUBDERMICO DE DISPOSITIVO INTRAUTERINO",IF(N136=CURSOS!$D$29,"SALUD MENTAL",IF(N136=CURSOS!$D$30,"PRIMEROS AUXILIOS PSICOLOGICOS",IF(N136=CURSOS!$D$31,"ATENCION A VICTIMAS POR CONFLICTO ARMADO",IF(N136=CURSOS!$D$32,"MANIPULACION DE ALIMENTOS Y BPM",IF(N136=CURSOS!$D$33,"ATENCION A PERSONAS CON DISCAPACIDAD",IF(N136=CURSOS!$D$34,"CUIDADO INTEGRAL DEL PACIENTE ADULTO",IF(N136=CURSOS!$D$35,"MANEJO DEFENSIVO",IF(N136=CURSOS!$D$36,"SOPORTE CARDIOVASCULAR AVANZADO NEONATAL",IF(N136=CURSOS!$D$37,"SEGURIDAD DEL PACIENTE")))))))))))))))))))))))))))))))))))</f>
        <v xml:space="preserve">ATENCION A VICTIMAS DE VIOLENCIA SEXUAL </v>
      </c>
      <c r="U136" s="124" t="str">
        <f t="shared" si="9"/>
        <v>Angely Daniela Montenegro Tenorio</v>
      </c>
      <c r="V136" s="128" t="str">
        <f t="shared" si="10"/>
        <v>Angely Daniela Montenegro Tenorio</v>
      </c>
      <c r="W136" s="138" t="str">
        <f t="shared" si="11"/>
        <v>Angely Daniela Montenegro Tenorio-1085312568-VIOLENCIA SEXUAL</v>
      </c>
    </row>
    <row r="137" spans="1:23" x14ac:dyDescent="0.2">
      <c r="A137" s="42">
        <v>136</v>
      </c>
      <c r="B137" s="43">
        <v>1085312568</v>
      </c>
      <c r="C137" s="74" t="s">
        <v>278</v>
      </c>
      <c r="D137" s="74" t="s">
        <v>407</v>
      </c>
      <c r="E137" s="74" t="s">
        <v>394</v>
      </c>
      <c r="F137" s="74" t="s">
        <v>399</v>
      </c>
      <c r="G137" s="70">
        <v>8</v>
      </c>
      <c r="H137" s="14" t="s">
        <v>89</v>
      </c>
      <c r="I137" s="85">
        <v>45499</v>
      </c>
      <c r="J137" s="75">
        <v>30000</v>
      </c>
      <c r="K137" s="14" t="s">
        <v>214</v>
      </c>
      <c r="L137" s="70" t="s">
        <v>90</v>
      </c>
      <c r="M137" s="14" t="s">
        <v>411</v>
      </c>
      <c r="N137" s="15" t="s">
        <v>33</v>
      </c>
      <c r="O137" s="18"/>
      <c r="P137" s="121" t="s">
        <v>101</v>
      </c>
      <c r="Q137" s="77" t="s">
        <v>200</v>
      </c>
      <c r="R137" s="17"/>
      <c r="S137" s="39"/>
      <c r="T137" s="124" t="str">
        <f>IF(N137=CURSOS!$D$3,"DIPLOMADO EN ATENCION PRE-HOSPITALARIA",IF(N137=CURSOS!$D$4,"ACOMPAÑAMIENTO Y MANEJO DEL DUELO",IF(N137=CURSOS!$D$5,"ATENCION A VICTIMAS DE ATAQUE CON AGENTES QUIMICOS ",IF(N137=CURSOS!$D$6,"PRIMEROS AUXILIOS ",IF(N137=CURSOS!$D$7,"DIPLOMADO DE UNIDAD DE CUIDADOS INTENSIVOS (UCI)",IF(N137=CURSOS!$D$8,"MODELO DE ATENCION PARA EVENTOS EMERGENTES EN SALUD MENTAL (CODIGO VERDE)",IF(N137=CURSOS!$D$9,"HUMANIZACION EN EL SERVICIO DE LA SALUD Y BUENAS PRACTICAS EN PACIENTE ",IF(N137=CURSOS!$D$10,"CLINICA DE HERIDAS ",IF(N137=CURSOS!$D$11,"TOMA DE CITOLOGIA CERVICO VAGINAL ",IF(N137=CURSOS!$D$12,"SOPORTE CARDIOVASCULAR AVANZADO (ACLS) ",IF(N137=CURSOS!$D$13,"CAMILLERO ",IF(N137=CURSOS!$D$14,"TOMA DE MUESTRAS Y LABORATORIO ",IF(N137=CURSOS!$D$15,"SOPORTE VITAL BASICO (BLS)",IF(N137=CURSOS!$D$16,"ATENCION A VICTIMAS DE VIOLENCIA SEXUAL ",IF(N137=CURSOS!$D$17,"PROGRAMADO AMPLIADO DE INMUNIZACION (PAI - COVID 19)",IF(N137=CURSOS!$D$18,"ATENCION INTEGRAL EN ENFERMEDADES PREVALENTES EN PRIMERA INFANCIA (AIEPI)",IF(N137=CURSOS!$D$19,"ADMINISTRACION DE MEDICAMENTOS, INYECTOLOGIA  Y CANALIZACION ",IF(N137=CURSOS!$D$20,"OPERADOR DE VEHICULOS DE EMERGENCIA (OVE)",IF(N137=CURSOS!$D$21,"INSTITUCIONES AMIGAS DE LA MUJER Y LA INFANCIA (IAMI)",IF(N137=CURSOS!$D$22,"CUIDADO DEL DONANTE DE ORGANOS",IF(N137=CURSOS!$D$23,"ATENCION A VICTIMAS POR VIOLENCIA DE GENERO",IF(N137=CURSOS!$D$24,"IGUALDAD DE GENERO EN LA SALUD",IF(N137=CURSOS!$D$25,"BRIGADA DE EMERGENCIA",IF(N137=CURSOS!$D$26,"MANEJO DEL DOLOR Y CUIDADOS PALIATIVOS",IF(N137=CURSOS!$D$27,"TOMA DE MUESTRAS Y LABORATORIO POCT",IF(N137=CURSOS!$D$28,"IMPLANTE SUBDERMICO DE DISPOSITIVO INTRAUTERINO",IF(N137=CURSOS!$D$29,"SALUD MENTAL",IF(N137=CURSOS!$D$30,"PRIMEROS AUXILIOS PSICOLOGICOS",IF(N137=CURSOS!$D$31,"ATENCION A VICTIMAS POR CONFLICTO ARMADO",IF(N137=CURSOS!$D$32,"MANIPULACION DE ALIMENTOS Y BPM",IF(N137=CURSOS!$D$33,"ATENCION A PERSONAS CON DISCAPACIDAD",IF(N137=CURSOS!$D$34,"CUIDADO INTEGRAL DEL PACIENTE ADULTO",IF(N137=CURSOS!$D$35,"MANEJO DEFENSIVO",IF(N137=CURSOS!$D$36,"SOPORTE CARDIOVASCULAR AVANZADO NEONATAL",IF(N137=CURSOS!$D$37,"SEGURIDAD DEL PACIENTE")))))))))))))))))))))))))))))))))))</f>
        <v xml:space="preserve">HUMANIZACION EN EL SERVICIO DE LA SALUD Y BUENAS PRACTICAS EN PACIENTE </v>
      </c>
      <c r="U137" s="124" t="str">
        <f t="shared" si="9"/>
        <v>Angely Daniela Montenegro Tenorio</v>
      </c>
      <c r="V137" s="128" t="str">
        <f t="shared" si="10"/>
        <v>Angely Daniela Montenegro Tenorio</v>
      </c>
      <c r="W137" s="138" t="str">
        <f t="shared" si="11"/>
        <v>Angely Daniela Montenegro Tenorio-1085312568-HUMANIZACION</v>
      </c>
    </row>
    <row r="138" spans="1:23" x14ac:dyDescent="0.2">
      <c r="A138" s="42">
        <v>137</v>
      </c>
      <c r="B138" s="43">
        <v>1085312568</v>
      </c>
      <c r="C138" s="74" t="s">
        <v>278</v>
      </c>
      <c r="D138" s="74" t="s">
        <v>407</v>
      </c>
      <c r="E138" s="74" t="s">
        <v>394</v>
      </c>
      <c r="F138" s="74" t="s">
        <v>399</v>
      </c>
      <c r="G138" s="70">
        <v>5</v>
      </c>
      <c r="H138" s="14" t="s">
        <v>89</v>
      </c>
      <c r="I138" s="85">
        <v>45499</v>
      </c>
      <c r="J138" s="75">
        <v>30000</v>
      </c>
      <c r="K138" s="14" t="s">
        <v>214</v>
      </c>
      <c r="L138" s="70" t="s">
        <v>90</v>
      </c>
      <c r="M138" s="14" t="s">
        <v>411</v>
      </c>
      <c r="N138" s="15" t="s">
        <v>25</v>
      </c>
      <c r="O138" s="18"/>
      <c r="P138" s="121" t="s">
        <v>101</v>
      </c>
      <c r="Q138" s="77" t="s">
        <v>200</v>
      </c>
      <c r="R138" s="17"/>
      <c r="S138" s="39"/>
      <c r="T138" s="124" t="str">
        <f>IF(N138=CURSOS!$D$3,"DIPLOMADO EN ATENCION PRE-HOSPITALARIA",IF(N138=CURSOS!$D$4,"ACOMPAÑAMIENTO Y MANEJO DEL DUELO",IF(N138=CURSOS!$D$5,"ATENCION A VICTIMAS DE ATAQUE CON AGENTES QUIMICOS ",IF(N138=CURSOS!$D$6,"PRIMEROS AUXILIOS ",IF(N138=CURSOS!$D$7,"DIPLOMADO DE UNIDAD DE CUIDADOS INTENSIVOS (UCI)",IF(N138=CURSOS!$D$8,"MODELO DE ATENCION PARA EVENTOS EMERGENTES EN SALUD MENTAL (CODIGO VERDE)",IF(N138=CURSOS!$D$9,"HUMANIZACION EN EL SERVICIO DE LA SALUD Y BUENAS PRACTICAS EN PACIENTE ",IF(N138=CURSOS!$D$10,"CLINICA DE HERIDAS ",IF(N138=CURSOS!$D$11,"TOMA DE CITOLOGIA CERVICO VAGINAL ",IF(N138=CURSOS!$D$12,"SOPORTE CARDIOVASCULAR AVANZADO (ACLS) ",IF(N138=CURSOS!$D$13,"CAMILLERO ",IF(N138=CURSOS!$D$14,"TOMA DE MUESTRAS Y LABORATORIO ",IF(N138=CURSOS!$D$15,"SOPORTE VITAL BASICO (BLS)",IF(N138=CURSOS!$D$16,"ATENCION A VICTIMAS DE VIOLENCIA SEXUAL ",IF(N138=CURSOS!$D$17,"PROGRAMADO AMPLIADO DE INMUNIZACION (PAI - COVID 19)",IF(N138=CURSOS!$D$18,"ATENCION INTEGRAL EN ENFERMEDADES PREVALENTES EN PRIMERA INFANCIA (AIEPI)",IF(N138=CURSOS!$D$19,"ADMINISTRACION DE MEDICAMENTOS, INYECTOLOGIA  Y CANALIZACION ",IF(N138=CURSOS!$D$20,"OPERADOR DE VEHICULOS DE EMERGENCIA (OVE)",IF(N138=CURSOS!$D$21,"INSTITUCIONES AMIGAS DE LA MUJER Y LA INFANCIA (IAMI)",IF(N138=CURSOS!$D$22,"CUIDADO DEL DONANTE DE ORGANOS",IF(N138=CURSOS!$D$23,"ATENCION A VICTIMAS POR VIOLENCIA DE GENERO",IF(N138=CURSOS!$D$24,"IGUALDAD DE GENERO EN LA SALUD",IF(N138=CURSOS!$D$25,"BRIGADA DE EMERGENCIA",IF(N138=CURSOS!$D$26,"MANEJO DEL DOLOR Y CUIDADOS PALIATIVOS",IF(N138=CURSOS!$D$27,"TOMA DE MUESTRAS Y LABORATORIO POCT",IF(N138=CURSOS!$D$28,"IMPLANTE SUBDERMICO DE DISPOSITIVO INTRAUTERINO",IF(N138=CURSOS!$D$29,"SALUD MENTAL",IF(N138=CURSOS!$D$30,"PRIMEROS AUXILIOS PSICOLOGICOS",IF(N138=CURSOS!$D$31,"ATENCION A VICTIMAS POR CONFLICTO ARMADO",IF(N138=CURSOS!$D$32,"MANIPULACION DE ALIMENTOS Y BPM",IF(N138=CURSOS!$D$33,"ATENCION A PERSONAS CON DISCAPACIDAD",IF(N138=CURSOS!$D$34,"CUIDADO INTEGRAL DEL PACIENTE ADULTO",IF(N138=CURSOS!$D$35,"MANEJO DEFENSIVO",IF(N138=CURSOS!$D$36,"SOPORTE CARDIOVASCULAR AVANZADO NEONATAL",IF(N138=CURSOS!$D$37,"SEGURIDAD DEL PACIENTE")))))))))))))))))))))))))))))))))))</f>
        <v xml:space="preserve">ATENCION A VICTIMAS DE ATAQUE CON AGENTES QUIMICOS </v>
      </c>
      <c r="U138" s="124" t="str">
        <f t="shared" si="9"/>
        <v>Angely Daniela Montenegro Tenorio</v>
      </c>
      <c r="V138" s="128" t="str">
        <f t="shared" si="10"/>
        <v>Angely Daniela Montenegro Tenorio</v>
      </c>
      <c r="W138" s="138" t="str">
        <f t="shared" si="11"/>
        <v>Angely Daniela Montenegro Tenorio-1085312568-QUIMICOS</v>
      </c>
    </row>
    <row r="139" spans="1:23" x14ac:dyDescent="0.2">
      <c r="A139" s="42">
        <v>138</v>
      </c>
      <c r="B139" s="43">
        <v>1085312568</v>
      </c>
      <c r="C139" s="74" t="s">
        <v>278</v>
      </c>
      <c r="D139" s="74" t="s">
        <v>407</v>
      </c>
      <c r="E139" s="74" t="s">
        <v>394</v>
      </c>
      <c r="F139" s="74" t="s">
        <v>399</v>
      </c>
      <c r="G139" s="70">
        <v>4</v>
      </c>
      <c r="H139" s="14" t="s">
        <v>89</v>
      </c>
      <c r="I139" s="85">
        <v>45499</v>
      </c>
      <c r="J139" s="75">
        <v>30000</v>
      </c>
      <c r="K139" s="14" t="s">
        <v>214</v>
      </c>
      <c r="L139" s="70" t="s">
        <v>90</v>
      </c>
      <c r="M139" s="14" t="s">
        <v>411</v>
      </c>
      <c r="N139" s="15" t="s">
        <v>23</v>
      </c>
      <c r="O139" s="18"/>
      <c r="P139" s="15" t="s">
        <v>101</v>
      </c>
      <c r="Q139" s="77" t="s">
        <v>200</v>
      </c>
      <c r="R139" s="17"/>
      <c r="S139" s="39"/>
      <c r="T139" s="124" t="str">
        <f>IF(N139=CURSOS!$D$3,"DIPLOMADO EN ATENCION PRE-HOSPITALARIA",IF(N139=CURSOS!$D$4,"ACOMPAÑAMIENTO Y MANEJO DEL DUELO",IF(N139=CURSOS!$D$5,"ATENCION A VICTIMAS DE ATAQUE CON AGENTES QUIMICOS ",IF(N139=CURSOS!$D$6,"PRIMEROS AUXILIOS ",IF(N139=CURSOS!$D$7,"DIPLOMADO DE UNIDAD DE CUIDADOS INTENSIVOS (UCI)",IF(N139=CURSOS!$D$8,"MODELO DE ATENCION PARA EVENTOS EMERGENTES EN SALUD MENTAL (CODIGO VERDE)",IF(N139=CURSOS!$D$9,"HUMANIZACION EN EL SERVICIO DE LA SALUD Y BUENAS PRACTICAS EN PACIENTE ",IF(N139=CURSOS!$D$10,"CLINICA DE HERIDAS ",IF(N139=CURSOS!$D$11,"TOMA DE CITOLOGIA CERVICO VAGINAL ",IF(N139=CURSOS!$D$12,"SOPORTE CARDIOVASCULAR AVANZADO (ACLS) ",IF(N139=CURSOS!$D$13,"CAMILLERO ",IF(N139=CURSOS!$D$14,"TOMA DE MUESTRAS Y LABORATORIO ",IF(N139=CURSOS!$D$15,"SOPORTE VITAL BASICO (BLS)",IF(N139=CURSOS!$D$16,"ATENCION A VICTIMAS DE VIOLENCIA SEXUAL ",IF(N139=CURSOS!$D$17,"PROGRAMADO AMPLIADO DE INMUNIZACION (PAI - COVID 19)",IF(N139=CURSOS!$D$18,"ATENCION INTEGRAL EN ENFERMEDADES PREVALENTES EN PRIMERA INFANCIA (AIEPI)",IF(N139=CURSOS!$D$19,"ADMINISTRACION DE MEDICAMENTOS, INYECTOLOGIA  Y CANALIZACION ",IF(N139=CURSOS!$D$20,"OPERADOR DE VEHICULOS DE EMERGENCIA (OVE)",IF(N139=CURSOS!$D$21,"INSTITUCIONES AMIGAS DE LA MUJER Y LA INFANCIA (IAMI)",IF(N139=CURSOS!$D$22,"CUIDADO DEL DONANTE DE ORGANOS",IF(N139=CURSOS!$D$23,"ATENCION A VICTIMAS POR VIOLENCIA DE GENERO",IF(N139=CURSOS!$D$24,"IGUALDAD DE GENERO EN LA SALUD",IF(N139=CURSOS!$D$25,"BRIGADA DE EMERGENCIA",IF(N139=CURSOS!$D$26,"MANEJO DEL DOLOR Y CUIDADOS PALIATIVOS",IF(N139=CURSOS!$D$27,"TOMA DE MUESTRAS Y LABORATORIO POCT",IF(N139=CURSOS!$D$28,"IMPLANTE SUBDERMICO DE DISPOSITIVO INTRAUTERINO",IF(N139=CURSOS!$D$29,"SALUD MENTAL",IF(N139=CURSOS!$D$30,"PRIMEROS AUXILIOS PSICOLOGICOS",IF(N139=CURSOS!$D$31,"ATENCION A VICTIMAS POR CONFLICTO ARMADO",IF(N139=CURSOS!$D$32,"MANIPULACION DE ALIMENTOS Y BPM",IF(N139=CURSOS!$D$33,"ATENCION A PERSONAS CON DISCAPACIDAD",IF(N139=CURSOS!$D$34,"CUIDADO INTEGRAL DEL PACIENTE ADULTO",IF(N139=CURSOS!$D$35,"MANEJO DEFENSIVO",IF(N139=CURSOS!$D$36,"SOPORTE CARDIOVASCULAR AVANZADO NEONATAL",IF(N139=CURSOS!$D$37,"SEGURIDAD DEL PACIENTE")))))))))))))))))))))))))))))))))))</f>
        <v>ACOMPAÑAMIENTO Y MANEJO DEL DUELO</v>
      </c>
      <c r="U139" s="124" t="str">
        <f t="shared" si="9"/>
        <v>Angely Daniela Montenegro Tenorio</v>
      </c>
      <c r="V139" s="128" t="str">
        <f t="shared" si="10"/>
        <v>Angely Daniela Montenegro Tenorio</v>
      </c>
      <c r="W139" s="138" t="str">
        <f t="shared" si="11"/>
        <v>Angely Daniela Montenegro Tenorio-1085312568-DUELO</v>
      </c>
    </row>
    <row r="140" spans="1:23" x14ac:dyDescent="0.2">
      <c r="A140" s="42">
        <v>139</v>
      </c>
      <c r="B140" s="43">
        <v>1085312568</v>
      </c>
      <c r="C140" s="74" t="s">
        <v>278</v>
      </c>
      <c r="D140" s="74" t="s">
        <v>407</v>
      </c>
      <c r="E140" s="74" t="s">
        <v>394</v>
      </c>
      <c r="F140" s="74" t="s">
        <v>399</v>
      </c>
      <c r="G140" s="70">
        <v>6</v>
      </c>
      <c r="H140" s="14" t="s">
        <v>89</v>
      </c>
      <c r="I140" s="85">
        <v>45499</v>
      </c>
      <c r="J140" s="19">
        <v>130000</v>
      </c>
      <c r="K140" s="14" t="s">
        <v>214</v>
      </c>
      <c r="L140" s="70" t="s">
        <v>90</v>
      </c>
      <c r="M140" s="14" t="s">
        <v>411</v>
      </c>
      <c r="N140" s="67" t="s">
        <v>38</v>
      </c>
      <c r="O140" s="84"/>
      <c r="P140" s="15" t="s">
        <v>101</v>
      </c>
      <c r="Q140" s="77" t="s">
        <v>200</v>
      </c>
      <c r="R140" s="74"/>
      <c r="S140" s="74"/>
      <c r="T140" s="124" t="str">
        <f>IF(N140=CURSOS!$D$3,"DIPLOMADO EN ATENCION PRE-HOSPITALARIA",IF(N140=CURSOS!$D$4,"ACOMPAÑAMIENTO Y MANEJO DEL DUELO",IF(N140=CURSOS!$D$5,"ATENCION A VICTIMAS DE ATAQUE CON AGENTES QUIMICOS ",IF(N140=CURSOS!$D$6,"PRIMEROS AUXILIOS ",IF(N140=CURSOS!$D$7,"DIPLOMADO DE UNIDAD DE CUIDADOS INTENSIVOS (UCI)",IF(N140=CURSOS!$D$8,"MODELO DE ATENCION PARA EVENTOS EMERGENTES EN SALUD MENTAL (CODIGO VERDE)",IF(N140=CURSOS!$D$9,"HUMANIZACION EN EL SERVICIO DE LA SALUD Y BUENAS PRACTICAS EN PACIENTE ",IF(N140=CURSOS!$D$10,"CLINICA DE HERIDAS ",IF(N140=CURSOS!$D$11,"TOMA DE CITOLOGIA CERVICO VAGINAL ",IF(N140=CURSOS!$D$12,"SOPORTE CARDIOVASCULAR AVANZADO (ACLS) ",IF(N140=CURSOS!$D$13,"CAMILLERO ",IF(N140=CURSOS!$D$14,"TOMA DE MUESTRAS Y LABORATORIO ",IF(N140=CURSOS!$D$15,"SOPORTE VITAL BASICO (BLS)",IF(N140=CURSOS!$D$16,"ATENCION A VICTIMAS DE VIOLENCIA SEXUAL ",IF(N140=CURSOS!$D$17,"PROGRAMADO AMPLIADO DE INMUNIZACION (PAI - COVID 19)",IF(N140=CURSOS!$D$18,"ATENCION INTEGRAL EN ENFERMEDADES PREVALENTES EN PRIMERA INFANCIA (AIEPI)",IF(N140=CURSOS!$D$19,"ADMINISTRACION DE MEDICAMENTOS, INYECTOLOGIA  Y CANALIZACION ",IF(N140=CURSOS!$D$20,"OPERADOR DE VEHICULOS DE EMERGENCIA (OVE)",IF(N140=CURSOS!$D$21,"INSTITUCIONES AMIGAS DE LA MUJER Y LA INFANCIA (IAMI)",IF(N140=CURSOS!$D$22,"CUIDADO DEL DONANTE DE ORGANOS",IF(N140=CURSOS!$D$23,"ATENCION A VICTIMAS POR VIOLENCIA DE GENERO",IF(N140=CURSOS!$D$24,"IGUALDAD DE GENERO EN LA SALUD",IF(N140=CURSOS!$D$25,"BRIGADA DE EMERGENCIA",IF(N140=CURSOS!$D$26,"MANEJO DEL DOLOR Y CUIDADOS PALIATIVOS",IF(N140=CURSOS!$D$27,"TOMA DE MUESTRAS Y LABORATORIO POCT",IF(N140=CURSOS!$D$28,"IMPLANTE SUBDERMICO DE DISPOSITIVO INTRAUTERINO",IF(N140=CURSOS!$D$29,"SALUD MENTAL",IF(N140=CURSOS!$D$30,"PRIMEROS AUXILIOS PSICOLOGICOS",IF(N140=CURSOS!$D$31,"ATENCION A VICTIMAS POR CONFLICTO ARMADO",IF(N140=CURSOS!$D$32,"MANIPULACION DE ALIMENTOS Y BPM",IF(N140=CURSOS!$D$33,"ATENCION A PERSONAS CON DISCAPACIDAD",IF(N140=CURSOS!$D$34,"CUIDADO INTEGRAL DEL PACIENTE ADULTO",IF(N140=CURSOS!$D$35,"MANEJO DEFENSIVO",IF(N140=CURSOS!$D$36,"SOPORTE CARDIOVASCULAR AVANZADO NEONATAL",IF(N140=CURSOS!$D$37,"SEGURIDAD DEL PACIENTE")))))))))))))))))))))))))))))))))))</f>
        <v xml:space="preserve">SOPORTE CARDIOVASCULAR AVANZADO (ACLS) </v>
      </c>
      <c r="U140" s="124" t="str">
        <f t="shared" si="9"/>
        <v>Angely Daniela Montenegro Tenorio</v>
      </c>
      <c r="V140" s="128" t="str">
        <f t="shared" si="10"/>
        <v>Angely Daniela Montenegro Tenorio</v>
      </c>
      <c r="W140" s="138" t="str">
        <f t="shared" si="11"/>
        <v>Angely Daniela Montenegro Tenorio-1085312568-ACLS</v>
      </c>
    </row>
    <row r="141" spans="1:23" x14ac:dyDescent="0.2">
      <c r="A141" s="42">
        <v>140</v>
      </c>
      <c r="B141" s="43">
        <v>98396643</v>
      </c>
      <c r="C141" s="74" t="s">
        <v>166</v>
      </c>
      <c r="D141" s="74" t="s">
        <v>408</v>
      </c>
      <c r="E141" s="74" t="s">
        <v>395</v>
      </c>
      <c r="F141" s="74" t="s">
        <v>105</v>
      </c>
      <c r="G141" s="70">
        <v>6</v>
      </c>
      <c r="H141" s="14" t="s">
        <v>89</v>
      </c>
      <c r="I141" s="85">
        <v>45499</v>
      </c>
      <c r="J141" s="19">
        <v>130000</v>
      </c>
      <c r="K141" s="14" t="s">
        <v>214</v>
      </c>
      <c r="L141" s="70" t="s">
        <v>90</v>
      </c>
      <c r="M141" s="14" t="s">
        <v>411</v>
      </c>
      <c r="N141" s="67" t="s">
        <v>38</v>
      </c>
      <c r="O141" s="84"/>
      <c r="P141" s="121" t="s">
        <v>91</v>
      </c>
      <c r="Q141" s="77" t="s">
        <v>412</v>
      </c>
      <c r="R141" s="74"/>
      <c r="S141" s="74"/>
      <c r="T141" s="124" t="str">
        <f>IF(N141=CURSOS!$D$3,"DIPLOMADO EN ATENCION PRE-HOSPITALARIA",IF(N141=CURSOS!$D$4,"ACOMPAÑAMIENTO Y MANEJO DEL DUELO",IF(N141=CURSOS!$D$5,"ATENCION A VICTIMAS DE ATAQUE CON AGENTES QUIMICOS ",IF(N141=CURSOS!$D$6,"PRIMEROS AUXILIOS ",IF(N141=CURSOS!$D$7,"DIPLOMADO DE UNIDAD DE CUIDADOS INTENSIVOS (UCI)",IF(N141=CURSOS!$D$8,"MODELO DE ATENCION PARA EVENTOS EMERGENTES EN SALUD MENTAL (CODIGO VERDE)",IF(N141=CURSOS!$D$9,"HUMANIZACION EN EL SERVICIO DE LA SALUD Y BUENAS PRACTICAS EN PACIENTE ",IF(N141=CURSOS!$D$10,"CLINICA DE HERIDAS ",IF(N141=CURSOS!$D$11,"TOMA DE CITOLOGIA CERVICO VAGINAL ",IF(N141=CURSOS!$D$12,"SOPORTE CARDIOVASCULAR AVANZADO (ACLS) ",IF(N141=CURSOS!$D$13,"CAMILLERO ",IF(N141=CURSOS!$D$14,"TOMA DE MUESTRAS Y LABORATORIO ",IF(N141=CURSOS!$D$15,"SOPORTE VITAL BASICO (BLS)",IF(N141=CURSOS!$D$16,"ATENCION A VICTIMAS DE VIOLENCIA SEXUAL ",IF(N141=CURSOS!$D$17,"PROGRAMADO AMPLIADO DE INMUNIZACION (PAI - COVID 19)",IF(N141=CURSOS!$D$18,"ATENCION INTEGRAL EN ENFERMEDADES PREVALENTES EN PRIMERA INFANCIA (AIEPI)",IF(N141=CURSOS!$D$19,"ADMINISTRACION DE MEDICAMENTOS, INYECTOLOGIA  Y CANALIZACION ",IF(N141=CURSOS!$D$20,"OPERADOR DE VEHICULOS DE EMERGENCIA (OVE)",IF(N141=CURSOS!$D$21,"INSTITUCIONES AMIGAS DE LA MUJER Y LA INFANCIA (IAMI)",IF(N141=CURSOS!$D$22,"CUIDADO DEL DONANTE DE ORGANOS",IF(N141=CURSOS!$D$23,"ATENCION A VICTIMAS POR VIOLENCIA DE GENERO",IF(N141=CURSOS!$D$24,"IGUALDAD DE GENERO EN LA SALUD",IF(N141=CURSOS!$D$25,"BRIGADA DE EMERGENCIA",IF(N141=CURSOS!$D$26,"MANEJO DEL DOLOR Y CUIDADOS PALIATIVOS",IF(N141=CURSOS!$D$27,"TOMA DE MUESTRAS Y LABORATORIO POCT",IF(N141=CURSOS!$D$28,"IMPLANTE SUBDERMICO DE DISPOSITIVO INTRAUTERINO",IF(N141=CURSOS!$D$29,"SALUD MENTAL",IF(N141=CURSOS!$D$30,"PRIMEROS AUXILIOS PSICOLOGICOS",IF(N141=CURSOS!$D$31,"ATENCION A VICTIMAS POR CONFLICTO ARMADO",IF(N141=CURSOS!$D$32,"MANIPULACION DE ALIMENTOS Y BPM",IF(N141=CURSOS!$D$33,"ATENCION A PERSONAS CON DISCAPACIDAD",IF(N141=CURSOS!$D$34,"CUIDADO INTEGRAL DEL PACIENTE ADULTO",IF(N141=CURSOS!$D$35,"MANEJO DEFENSIVO",IF(N141=CURSOS!$D$36,"SOPORTE CARDIOVASCULAR AVANZADO NEONATAL",IF(N141=CURSOS!$D$37,"SEGURIDAD DEL PACIENTE")))))))))))))))))))))))))))))))))))</f>
        <v xml:space="preserve">SOPORTE CARDIOVASCULAR AVANZADO (ACLS) </v>
      </c>
      <c r="U141" s="124" t="str">
        <f t="shared" si="9"/>
        <v>Giovanny Mauricio Caicedo Ramos</v>
      </c>
      <c r="V141" s="128" t="str">
        <f t="shared" si="10"/>
        <v>Giovanny Mauricio Caicedo Ramos</v>
      </c>
      <c r="W141" s="138" t="str">
        <f t="shared" si="11"/>
        <v>Giovanny Mauricio Caicedo Ramos-98396643-ACLS</v>
      </c>
    </row>
    <row r="142" spans="1:23" x14ac:dyDescent="0.2">
      <c r="A142" s="42">
        <v>141</v>
      </c>
      <c r="B142" s="43">
        <v>98396643</v>
      </c>
      <c r="C142" s="74" t="s">
        <v>166</v>
      </c>
      <c r="D142" s="74" t="s">
        <v>408</v>
      </c>
      <c r="E142" s="74" t="s">
        <v>395</v>
      </c>
      <c r="F142" s="74" t="s">
        <v>105</v>
      </c>
      <c r="G142" s="70">
        <v>6</v>
      </c>
      <c r="H142" s="14" t="s">
        <v>89</v>
      </c>
      <c r="I142" s="85">
        <v>45499</v>
      </c>
      <c r="J142" s="19">
        <v>30000</v>
      </c>
      <c r="K142" s="14" t="s">
        <v>214</v>
      </c>
      <c r="L142" s="70" t="s">
        <v>90</v>
      </c>
      <c r="M142" s="14" t="s">
        <v>411</v>
      </c>
      <c r="N142" s="67" t="s">
        <v>61</v>
      </c>
      <c r="O142" s="84"/>
      <c r="P142" s="121" t="s">
        <v>91</v>
      </c>
      <c r="Q142" s="77" t="s">
        <v>412</v>
      </c>
      <c r="R142" s="74"/>
      <c r="S142" s="74"/>
      <c r="T142" s="124" t="str">
        <f>IF(N142=CURSOS!$D$3,"DIPLOMADO EN ATENCION PRE-HOSPITALARIA",IF(N142=CURSOS!$D$4,"ACOMPAÑAMIENTO Y MANEJO DEL DUELO",IF(N142=CURSOS!$D$5,"ATENCION A VICTIMAS DE ATAQUE CON AGENTES QUIMICOS ",IF(N142=CURSOS!$D$6,"PRIMEROS AUXILIOS ",IF(N142=CURSOS!$D$7,"DIPLOMADO DE UNIDAD DE CUIDADOS INTENSIVOS (UCI)",IF(N142=CURSOS!$D$8,"MODELO DE ATENCION PARA EVENTOS EMERGENTES EN SALUD MENTAL (CODIGO VERDE)",IF(N142=CURSOS!$D$9,"HUMANIZACION EN EL SERVICIO DE LA SALUD Y BUENAS PRACTICAS EN PACIENTE ",IF(N142=CURSOS!$D$10,"CLINICA DE HERIDAS ",IF(N142=CURSOS!$D$11,"TOMA DE CITOLOGIA CERVICO VAGINAL ",IF(N142=CURSOS!$D$12,"SOPORTE CARDIOVASCULAR AVANZADO (ACLS) ",IF(N142=CURSOS!$D$13,"CAMILLERO ",IF(N142=CURSOS!$D$14,"TOMA DE MUESTRAS Y LABORATORIO ",IF(N142=CURSOS!$D$15,"SOPORTE VITAL BASICO (BLS)",IF(N142=CURSOS!$D$16,"ATENCION A VICTIMAS DE VIOLENCIA SEXUAL ",IF(N142=CURSOS!$D$17,"PROGRAMADO AMPLIADO DE INMUNIZACION (PAI - COVID 19)",IF(N142=CURSOS!$D$18,"ATENCION INTEGRAL EN ENFERMEDADES PREVALENTES EN PRIMERA INFANCIA (AIEPI)",IF(N142=CURSOS!$D$19,"ADMINISTRACION DE MEDICAMENTOS, INYECTOLOGIA  Y CANALIZACION ",IF(N142=CURSOS!$D$20,"OPERADOR DE VEHICULOS DE EMERGENCIA (OVE)",IF(N142=CURSOS!$D$21,"INSTITUCIONES AMIGAS DE LA MUJER Y LA INFANCIA (IAMI)",IF(N142=CURSOS!$D$22,"CUIDADO DEL DONANTE DE ORGANOS",IF(N142=CURSOS!$D$23,"ATENCION A VICTIMAS POR VIOLENCIA DE GENERO",IF(N142=CURSOS!$D$24,"IGUALDAD DE GENERO EN LA SALUD",IF(N142=CURSOS!$D$25,"BRIGADA DE EMERGENCIA",IF(N142=CURSOS!$D$26,"MANEJO DEL DOLOR Y CUIDADOS PALIATIVOS",IF(N142=CURSOS!$D$27,"TOMA DE MUESTRAS Y LABORATORIO POCT",IF(N142=CURSOS!$D$28,"IMPLANTE SUBDERMICO DE DISPOSITIVO INTRAUTERINO",IF(N142=CURSOS!$D$29,"SALUD MENTAL",IF(N142=CURSOS!$D$30,"PRIMEROS AUXILIOS PSICOLOGICOS",IF(N142=CURSOS!$D$31,"ATENCION A VICTIMAS POR CONFLICTO ARMADO",IF(N142=CURSOS!$D$32,"MANIPULACION DE ALIMENTOS Y BPM",IF(N142=CURSOS!$D$33,"ATENCION A PERSONAS CON DISCAPACIDAD",IF(N142=CURSOS!$D$34,"CUIDADO INTEGRAL DEL PACIENTE ADULTO",IF(N142=CURSOS!$D$35,"MANEJO DEFENSIVO",IF(N142=CURSOS!$D$36,"SOPORTE CARDIOVASCULAR AVANZADO NEONATAL",IF(N142=CURSOS!$D$37,"SEGURIDAD DEL PACIENTE")))))))))))))))))))))))))))))))))))</f>
        <v>MANEJO DEL DOLOR Y CUIDADOS PALIATIVOS</v>
      </c>
      <c r="U142" s="124" t="str">
        <f t="shared" si="9"/>
        <v>Giovanny Mauricio Caicedo Ramos</v>
      </c>
      <c r="V142" s="128" t="str">
        <f t="shared" si="10"/>
        <v>Giovanny Mauricio Caicedo Ramos</v>
      </c>
      <c r="W142" s="138" t="str">
        <f t="shared" si="11"/>
        <v>Giovanny Mauricio Caicedo Ramos-98396643-PALIATIVOS</v>
      </c>
    </row>
    <row r="143" spans="1:23" x14ac:dyDescent="0.2">
      <c r="A143" s="42">
        <v>142</v>
      </c>
      <c r="B143" s="43">
        <v>88195662</v>
      </c>
      <c r="C143" s="74" t="s">
        <v>404</v>
      </c>
      <c r="D143" s="74" t="s">
        <v>409</v>
      </c>
      <c r="E143" s="74" t="s">
        <v>396</v>
      </c>
      <c r="F143" s="74" t="s">
        <v>400</v>
      </c>
      <c r="G143" s="70">
        <v>5</v>
      </c>
      <c r="H143" s="14" t="s">
        <v>89</v>
      </c>
      <c r="I143" s="85">
        <v>45499</v>
      </c>
      <c r="J143" s="19">
        <v>30000</v>
      </c>
      <c r="K143" s="14" t="s">
        <v>214</v>
      </c>
      <c r="L143" s="70" t="s">
        <v>90</v>
      </c>
      <c r="M143" s="14" t="s">
        <v>411</v>
      </c>
      <c r="N143" s="15" t="s">
        <v>43</v>
      </c>
      <c r="O143" s="18"/>
      <c r="P143" s="15" t="s">
        <v>91</v>
      </c>
      <c r="Q143" s="77" t="s">
        <v>215</v>
      </c>
      <c r="R143" s="17"/>
      <c r="S143" s="17"/>
      <c r="T143" s="124" t="str">
        <f>IF(N143=CURSOS!$D$3,"DIPLOMADO EN ATENCION PRE-HOSPITALARIA",IF(N143=CURSOS!$D$4,"ACOMPAÑAMIENTO Y MANEJO DEL DUELO",IF(N143=CURSOS!$D$5,"ATENCION A VICTIMAS DE ATAQUE CON AGENTES QUIMICOS ",IF(N143=CURSOS!$D$6,"PRIMEROS AUXILIOS ",IF(N143=CURSOS!$D$7,"DIPLOMADO DE UNIDAD DE CUIDADOS INTENSIVOS (UCI)",IF(N143=CURSOS!$D$8,"MODELO DE ATENCION PARA EVENTOS EMERGENTES EN SALUD MENTAL (CODIGO VERDE)",IF(N143=CURSOS!$D$9,"HUMANIZACION EN EL SERVICIO DE LA SALUD Y BUENAS PRACTICAS EN PACIENTE ",IF(N143=CURSOS!$D$10,"CLINICA DE HERIDAS ",IF(N143=CURSOS!$D$11,"TOMA DE CITOLOGIA CERVICO VAGINAL ",IF(N143=CURSOS!$D$12,"SOPORTE CARDIOVASCULAR AVANZADO (ACLS) ",IF(N143=CURSOS!$D$13,"CAMILLERO ",IF(N143=CURSOS!$D$14,"TOMA DE MUESTRAS Y LABORATORIO ",IF(N143=CURSOS!$D$15,"SOPORTE VITAL BASICO (BLS)",IF(N143=CURSOS!$D$16,"ATENCION A VICTIMAS DE VIOLENCIA SEXUAL ",IF(N143=CURSOS!$D$17,"PROGRAMADO AMPLIADO DE INMUNIZACION (PAI - COVID 19)",IF(N143=CURSOS!$D$18,"ATENCION INTEGRAL EN ENFERMEDADES PREVALENTES EN PRIMERA INFANCIA (AIEPI)",IF(N143=CURSOS!$D$19,"ADMINISTRACION DE MEDICAMENTOS, INYECTOLOGIA  Y CANALIZACION ",IF(N143=CURSOS!$D$20,"OPERADOR DE VEHICULOS DE EMERGENCIA (OVE)",IF(N143=CURSOS!$D$21,"INSTITUCIONES AMIGAS DE LA MUJER Y LA INFANCIA (IAMI)",IF(N143=CURSOS!$D$22,"CUIDADO DEL DONANTE DE ORGANOS",IF(N143=CURSOS!$D$23,"ATENCION A VICTIMAS POR VIOLENCIA DE GENERO",IF(N143=CURSOS!$D$24,"IGUALDAD DE GENERO EN LA SALUD",IF(N143=CURSOS!$D$25,"BRIGADA DE EMERGENCIA",IF(N143=CURSOS!$D$26,"MANEJO DEL DOLOR Y CUIDADOS PALIATIVOS",IF(N143=CURSOS!$D$27,"TOMA DE MUESTRAS Y LABORATORIO POCT",IF(N143=CURSOS!$D$28,"IMPLANTE SUBDERMICO DE DISPOSITIVO INTRAUTERINO",IF(N143=CURSOS!$D$29,"SALUD MENTAL",IF(N143=CURSOS!$D$30,"PRIMEROS AUXILIOS PSICOLOGICOS",IF(N143=CURSOS!$D$31,"ATENCION A VICTIMAS POR CONFLICTO ARMADO",IF(N143=CURSOS!$D$32,"MANIPULACION DE ALIMENTOS Y BPM",IF(N143=CURSOS!$D$33,"ATENCION A PERSONAS CON DISCAPACIDAD",IF(N143=CURSOS!$D$34,"CUIDADO INTEGRAL DEL PACIENTE ADULTO",IF(N143=CURSOS!$D$35,"MANEJO DEFENSIVO",IF(N143=CURSOS!$D$36,"SOPORTE CARDIOVASCULAR AVANZADO NEONATAL",IF(N143=CURSOS!$D$37,"SEGURIDAD DEL PACIENTE")))))))))))))))))))))))))))))))))))</f>
        <v xml:space="preserve">ATENCION A VICTIMAS DE VIOLENCIA SEXUAL </v>
      </c>
      <c r="U143" s="124" t="str">
        <f t="shared" si="9"/>
        <v>Miguel Angel Vargas Rios</v>
      </c>
      <c r="V143" s="128" t="str">
        <f t="shared" si="10"/>
        <v>Miguel Angel Vargas Rios</v>
      </c>
      <c r="W143" s="138" t="str">
        <f t="shared" si="11"/>
        <v>Miguel Angel Vargas Rios-88195662-VIOLENCIA SEXUAL</v>
      </c>
    </row>
    <row r="144" spans="1:23" x14ac:dyDescent="0.2">
      <c r="A144" s="42">
        <v>143</v>
      </c>
      <c r="B144" s="43">
        <v>88195662</v>
      </c>
      <c r="C144" s="74" t="s">
        <v>404</v>
      </c>
      <c r="D144" s="74" t="s">
        <v>409</v>
      </c>
      <c r="E144" s="74" t="s">
        <v>396</v>
      </c>
      <c r="F144" s="74" t="s">
        <v>400</v>
      </c>
      <c r="G144" s="70">
        <v>8</v>
      </c>
      <c r="H144" s="14" t="s">
        <v>89</v>
      </c>
      <c r="I144" s="85">
        <v>45499</v>
      </c>
      <c r="J144" s="19">
        <v>30000</v>
      </c>
      <c r="K144" s="14" t="s">
        <v>214</v>
      </c>
      <c r="L144" s="70" t="s">
        <v>90</v>
      </c>
      <c r="M144" s="14" t="s">
        <v>411</v>
      </c>
      <c r="N144" s="15" t="s">
        <v>33</v>
      </c>
      <c r="O144" s="18"/>
      <c r="P144" s="15" t="s">
        <v>91</v>
      </c>
      <c r="Q144" s="77" t="s">
        <v>215</v>
      </c>
      <c r="R144" s="17"/>
      <c r="S144" s="17"/>
      <c r="T144" s="124" t="str">
        <f>IF(N144=CURSOS!$D$3,"DIPLOMADO EN ATENCION PRE-HOSPITALARIA",IF(N144=CURSOS!$D$4,"ACOMPAÑAMIENTO Y MANEJO DEL DUELO",IF(N144=CURSOS!$D$5,"ATENCION A VICTIMAS DE ATAQUE CON AGENTES QUIMICOS ",IF(N144=CURSOS!$D$6,"PRIMEROS AUXILIOS ",IF(N144=CURSOS!$D$7,"DIPLOMADO DE UNIDAD DE CUIDADOS INTENSIVOS (UCI)",IF(N144=CURSOS!$D$8,"MODELO DE ATENCION PARA EVENTOS EMERGENTES EN SALUD MENTAL (CODIGO VERDE)",IF(N144=CURSOS!$D$9,"HUMANIZACION EN EL SERVICIO DE LA SALUD Y BUENAS PRACTICAS EN PACIENTE ",IF(N144=CURSOS!$D$10,"CLINICA DE HERIDAS ",IF(N144=CURSOS!$D$11,"TOMA DE CITOLOGIA CERVICO VAGINAL ",IF(N144=CURSOS!$D$12,"SOPORTE CARDIOVASCULAR AVANZADO (ACLS) ",IF(N144=CURSOS!$D$13,"CAMILLERO ",IF(N144=CURSOS!$D$14,"TOMA DE MUESTRAS Y LABORATORIO ",IF(N144=CURSOS!$D$15,"SOPORTE VITAL BASICO (BLS)",IF(N144=CURSOS!$D$16,"ATENCION A VICTIMAS DE VIOLENCIA SEXUAL ",IF(N144=CURSOS!$D$17,"PROGRAMADO AMPLIADO DE INMUNIZACION (PAI - COVID 19)",IF(N144=CURSOS!$D$18,"ATENCION INTEGRAL EN ENFERMEDADES PREVALENTES EN PRIMERA INFANCIA (AIEPI)",IF(N144=CURSOS!$D$19,"ADMINISTRACION DE MEDICAMENTOS, INYECTOLOGIA  Y CANALIZACION ",IF(N144=CURSOS!$D$20,"OPERADOR DE VEHICULOS DE EMERGENCIA (OVE)",IF(N144=CURSOS!$D$21,"INSTITUCIONES AMIGAS DE LA MUJER Y LA INFANCIA (IAMI)",IF(N144=CURSOS!$D$22,"CUIDADO DEL DONANTE DE ORGANOS",IF(N144=CURSOS!$D$23,"ATENCION A VICTIMAS POR VIOLENCIA DE GENERO",IF(N144=CURSOS!$D$24,"IGUALDAD DE GENERO EN LA SALUD",IF(N144=CURSOS!$D$25,"BRIGADA DE EMERGENCIA",IF(N144=CURSOS!$D$26,"MANEJO DEL DOLOR Y CUIDADOS PALIATIVOS",IF(N144=CURSOS!$D$27,"TOMA DE MUESTRAS Y LABORATORIO POCT",IF(N144=CURSOS!$D$28,"IMPLANTE SUBDERMICO DE DISPOSITIVO INTRAUTERINO",IF(N144=CURSOS!$D$29,"SALUD MENTAL",IF(N144=CURSOS!$D$30,"PRIMEROS AUXILIOS PSICOLOGICOS",IF(N144=CURSOS!$D$31,"ATENCION A VICTIMAS POR CONFLICTO ARMADO",IF(N144=CURSOS!$D$32,"MANIPULACION DE ALIMENTOS Y BPM",IF(N144=CURSOS!$D$33,"ATENCION A PERSONAS CON DISCAPACIDAD",IF(N144=CURSOS!$D$34,"CUIDADO INTEGRAL DEL PACIENTE ADULTO",IF(N144=CURSOS!$D$35,"MANEJO DEFENSIVO",IF(N144=CURSOS!$D$36,"SOPORTE CARDIOVASCULAR AVANZADO NEONATAL",IF(N144=CURSOS!$D$37,"SEGURIDAD DEL PACIENTE")))))))))))))))))))))))))))))))))))</f>
        <v xml:space="preserve">HUMANIZACION EN EL SERVICIO DE LA SALUD Y BUENAS PRACTICAS EN PACIENTE </v>
      </c>
      <c r="U144" s="124" t="str">
        <f t="shared" si="9"/>
        <v>Miguel Angel Vargas Rios</v>
      </c>
      <c r="V144" s="128" t="str">
        <f t="shared" si="10"/>
        <v>Miguel Angel Vargas Rios</v>
      </c>
      <c r="W144" s="138" t="str">
        <f t="shared" si="11"/>
        <v>Miguel Angel Vargas Rios-88195662-HUMANIZACION</v>
      </c>
    </row>
    <row r="145" spans="1:23" x14ac:dyDescent="0.2">
      <c r="A145" s="42">
        <v>144</v>
      </c>
      <c r="B145" s="43">
        <v>88195662</v>
      </c>
      <c r="C145" s="74" t="s">
        <v>404</v>
      </c>
      <c r="D145" s="74" t="s">
        <v>409</v>
      </c>
      <c r="E145" s="74" t="s">
        <v>396</v>
      </c>
      <c r="F145" s="74" t="s">
        <v>400</v>
      </c>
      <c r="G145" s="70">
        <v>5</v>
      </c>
      <c r="H145" s="14" t="s">
        <v>89</v>
      </c>
      <c r="I145" s="85">
        <v>45499</v>
      </c>
      <c r="J145" s="19">
        <v>30000</v>
      </c>
      <c r="K145" s="14" t="s">
        <v>214</v>
      </c>
      <c r="L145" s="70" t="s">
        <v>90</v>
      </c>
      <c r="M145" s="14" t="s">
        <v>411</v>
      </c>
      <c r="N145" s="15" t="s">
        <v>25</v>
      </c>
      <c r="O145" s="18"/>
      <c r="P145" s="121" t="s">
        <v>91</v>
      </c>
      <c r="Q145" s="77" t="s">
        <v>215</v>
      </c>
      <c r="R145" s="17"/>
      <c r="S145" s="17"/>
      <c r="T145" s="124" t="str">
        <f>IF(N145=CURSOS!$D$3,"DIPLOMADO EN ATENCION PRE-HOSPITALARIA",IF(N145=CURSOS!$D$4,"ACOMPAÑAMIENTO Y MANEJO DEL DUELO",IF(N145=CURSOS!$D$5,"ATENCION A VICTIMAS DE ATAQUE CON AGENTES QUIMICOS ",IF(N145=CURSOS!$D$6,"PRIMEROS AUXILIOS ",IF(N145=CURSOS!$D$7,"DIPLOMADO DE UNIDAD DE CUIDADOS INTENSIVOS (UCI)",IF(N145=CURSOS!$D$8,"MODELO DE ATENCION PARA EVENTOS EMERGENTES EN SALUD MENTAL (CODIGO VERDE)",IF(N145=CURSOS!$D$9,"HUMANIZACION EN EL SERVICIO DE LA SALUD Y BUENAS PRACTICAS EN PACIENTE ",IF(N145=CURSOS!$D$10,"CLINICA DE HERIDAS ",IF(N145=CURSOS!$D$11,"TOMA DE CITOLOGIA CERVICO VAGINAL ",IF(N145=CURSOS!$D$12,"SOPORTE CARDIOVASCULAR AVANZADO (ACLS) ",IF(N145=CURSOS!$D$13,"CAMILLERO ",IF(N145=CURSOS!$D$14,"TOMA DE MUESTRAS Y LABORATORIO ",IF(N145=CURSOS!$D$15,"SOPORTE VITAL BASICO (BLS)",IF(N145=CURSOS!$D$16,"ATENCION A VICTIMAS DE VIOLENCIA SEXUAL ",IF(N145=CURSOS!$D$17,"PROGRAMADO AMPLIADO DE INMUNIZACION (PAI - COVID 19)",IF(N145=CURSOS!$D$18,"ATENCION INTEGRAL EN ENFERMEDADES PREVALENTES EN PRIMERA INFANCIA (AIEPI)",IF(N145=CURSOS!$D$19,"ADMINISTRACION DE MEDICAMENTOS, INYECTOLOGIA  Y CANALIZACION ",IF(N145=CURSOS!$D$20,"OPERADOR DE VEHICULOS DE EMERGENCIA (OVE)",IF(N145=CURSOS!$D$21,"INSTITUCIONES AMIGAS DE LA MUJER Y LA INFANCIA (IAMI)",IF(N145=CURSOS!$D$22,"CUIDADO DEL DONANTE DE ORGANOS",IF(N145=CURSOS!$D$23,"ATENCION A VICTIMAS POR VIOLENCIA DE GENERO",IF(N145=CURSOS!$D$24,"IGUALDAD DE GENERO EN LA SALUD",IF(N145=CURSOS!$D$25,"BRIGADA DE EMERGENCIA",IF(N145=CURSOS!$D$26,"MANEJO DEL DOLOR Y CUIDADOS PALIATIVOS",IF(N145=CURSOS!$D$27,"TOMA DE MUESTRAS Y LABORATORIO POCT",IF(N145=CURSOS!$D$28,"IMPLANTE SUBDERMICO DE DISPOSITIVO INTRAUTERINO",IF(N145=CURSOS!$D$29,"SALUD MENTAL",IF(N145=CURSOS!$D$30,"PRIMEROS AUXILIOS PSICOLOGICOS",IF(N145=CURSOS!$D$31,"ATENCION A VICTIMAS POR CONFLICTO ARMADO",IF(N145=CURSOS!$D$32,"MANIPULACION DE ALIMENTOS Y BPM",IF(N145=CURSOS!$D$33,"ATENCION A PERSONAS CON DISCAPACIDAD",IF(N145=CURSOS!$D$34,"CUIDADO INTEGRAL DEL PACIENTE ADULTO",IF(N145=CURSOS!$D$35,"MANEJO DEFENSIVO",IF(N145=CURSOS!$D$36,"SOPORTE CARDIOVASCULAR AVANZADO NEONATAL",IF(N145=CURSOS!$D$37,"SEGURIDAD DEL PACIENTE")))))))))))))))))))))))))))))))))))</f>
        <v xml:space="preserve">ATENCION A VICTIMAS DE ATAQUE CON AGENTES QUIMICOS </v>
      </c>
      <c r="U145" s="124" t="str">
        <f t="shared" si="9"/>
        <v>Miguel Angel Vargas Rios</v>
      </c>
      <c r="V145" s="128" t="str">
        <f t="shared" si="10"/>
        <v>Miguel Angel Vargas Rios</v>
      </c>
      <c r="W145" s="138" t="str">
        <f t="shared" si="11"/>
        <v>Miguel Angel Vargas Rios-88195662-QUIMICOS</v>
      </c>
    </row>
    <row r="146" spans="1:23" x14ac:dyDescent="0.2">
      <c r="A146" s="42">
        <v>145</v>
      </c>
      <c r="B146" s="43">
        <v>88195662</v>
      </c>
      <c r="C146" s="74" t="s">
        <v>404</v>
      </c>
      <c r="D146" s="74" t="s">
        <v>409</v>
      </c>
      <c r="E146" s="74" t="s">
        <v>396</v>
      </c>
      <c r="F146" s="74" t="s">
        <v>400</v>
      </c>
      <c r="G146" s="70">
        <v>4</v>
      </c>
      <c r="H146" s="14" t="s">
        <v>89</v>
      </c>
      <c r="I146" s="85">
        <v>45499</v>
      </c>
      <c r="J146" s="19">
        <v>30000</v>
      </c>
      <c r="K146" s="14" t="s">
        <v>214</v>
      </c>
      <c r="L146" s="70" t="s">
        <v>90</v>
      </c>
      <c r="M146" s="14" t="s">
        <v>411</v>
      </c>
      <c r="N146" s="15" t="s">
        <v>23</v>
      </c>
      <c r="O146" s="18"/>
      <c r="P146" s="121" t="s">
        <v>91</v>
      </c>
      <c r="Q146" s="77" t="s">
        <v>215</v>
      </c>
      <c r="R146" s="17"/>
      <c r="S146" s="17"/>
      <c r="T146" s="124" t="str">
        <f>IF(N146=CURSOS!$D$3,"DIPLOMADO EN ATENCION PRE-HOSPITALARIA",IF(N146=CURSOS!$D$4,"ACOMPAÑAMIENTO Y MANEJO DEL DUELO",IF(N146=CURSOS!$D$5,"ATENCION A VICTIMAS DE ATAQUE CON AGENTES QUIMICOS ",IF(N146=CURSOS!$D$6,"PRIMEROS AUXILIOS ",IF(N146=CURSOS!$D$7,"DIPLOMADO DE UNIDAD DE CUIDADOS INTENSIVOS (UCI)",IF(N146=CURSOS!$D$8,"MODELO DE ATENCION PARA EVENTOS EMERGENTES EN SALUD MENTAL (CODIGO VERDE)",IF(N146=CURSOS!$D$9,"HUMANIZACION EN EL SERVICIO DE LA SALUD Y BUENAS PRACTICAS EN PACIENTE ",IF(N146=CURSOS!$D$10,"CLINICA DE HERIDAS ",IF(N146=CURSOS!$D$11,"TOMA DE CITOLOGIA CERVICO VAGINAL ",IF(N146=CURSOS!$D$12,"SOPORTE CARDIOVASCULAR AVANZADO (ACLS) ",IF(N146=CURSOS!$D$13,"CAMILLERO ",IF(N146=CURSOS!$D$14,"TOMA DE MUESTRAS Y LABORATORIO ",IF(N146=CURSOS!$D$15,"SOPORTE VITAL BASICO (BLS)",IF(N146=CURSOS!$D$16,"ATENCION A VICTIMAS DE VIOLENCIA SEXUAL ",IF(N146=CURSOS!$D$17,"PROGRAMADO AMPLIADO DE INMUNIZACION (PAI - COVID 19)",IF(N146=CURSOS!$D$18,"ATENCION INTEGRAL EN ENFERMEDADES PREVALENTES EN PRIMERA INFANCIA (AIEPI)",IF(N146=CURSOS!$D$19,"ADMINISTRACION DE MEDICAMENTOS, INYECTOLOGIA  Y CANALIZACION ",IF(N146=CURSOS!$D$20,"OPERADOR DE VEHICULOS DE EMERGENCIA (OVE)",IF(N146=CURSOS!$D$21,"INSTITUCIONES AMIGAS DE LA MUJER Y LA INFANCIA (IAMI)",IF(N146=CURSOS!$D$22,"CUIDADO DEL DONANTE DE ORGANOS",IF(N146=CURSOS!$D$23,"ATENCION A VICTIMAS POR VIOLENCIA DE GENERO",IF(N146=CURSOS!$D$24,"IGUALDAD DE GENERO EN LA SALUD",IF(N146=CURSOS!$D$25,"BRIGADA DE EMERGENCIA",IF(N146=CURSOS!$D$26,"MANEJO DEL DOLOR Y CUIDADOS PALIATIVOS",IF(N146=CURSOS!$D$27,"TOMA DE MUESTRAS Y LABORATORIO POCT",IF(N146=CURSOS!$D$28,"IMPLANTE SUBDERMICO DE DISPOSITIVO INTRAUTERINO",IF(N146=CURSOS!$D$29,"SALUD MENTAL",IF(N146=CURSOS!$D$30,"PRIMEROS AUXILIOS PSICOLOGICOS",IF(N146=CURSOS!$D$31,"ATENCION A VICTIMAS POR CONFLICTO ARMADO",IF(N146=CURSOS!$D$32,"MANIPULACION DE ALIMENTOS Y BPM",IF(N146=CURSOS!$D$33,"ATENCION A PERSONAS CON DISCAPACIDAD",IF(N146=CURSOS!$D$34,"CUIDADO INTEGRAL DEL PACIENTE ADULTO",IF(N146=CURSOS!$D$35,"MANEJO DEFENSIVO",IF(N146=CURSOS!$D$36,"SOPORTE CARDIOVASCULAR AVANZADO NEONATAL",IF(N146=CURSOS!$D$37,"SEGURIDAD DEL PACIENTE")))))))))))))))))))))))))))))))))))</f>
        <v>ACOMPAÑAMIENTO Y MANEJO DEL DUELO</v>
      </c>
      <c r="U146" s="124" t="str">
        <f t="shared" si="9"/>
        <v>Miguel Angel Vargas Rios</v>
      </c>
      <c r="V146" s="128" t="str">
        <f t="shared" si="10"/>
        <v>Miguel Angel Vargas Rios</v>
      </c>
      <c r="W146" s="138" t="str">
        <f t="shared" si="11"/>
        <v>Miguel Angel Vargas Rios-88195662-DUELO</v>
      </c>
    </row>
    <row r="147" spans="1:23" x14ac:dyDescent="0.2">
      <c r="A147" s="42">
        <v>146</v>
      </c>
      <c r="B147" s="43">
        <v>88195662</v>
      </c>
      <c r="C147" s="74" t="s">
        <v>404</v>
      </c>
      <c r="D147" s="74" t="s">
        <v>409</v>
      </c>
      <c r="E147" s="74" t="s">
        <v>396</v>
      </c>
      <c r="F147" s="74" t="s">
        <v>400</v>
      </c>
      <c r="G147" s="70">
        <v>6</v>
      </c>
      <c r="H147" s="14" t="s">
        <v>89</v>
      </c>
      <c r="I147" s="85">
        <v>45499</v>
      </c>
      <c r="J147" s="19">
        <v>130000</v>
      </c>
      <c r="K147" s="14" t="s">
        <v>214</v>
      </c>
      <c r="L147" s="70" t="s">
        <v>90</v>
      </c>
      <c r="M147" s="14" t="s">
        <v>411</v>
      </c>
      <c r="N147" s="15" t="s">
        <v>38</v>
      </c>
      <c r="O147" s="18"/>
      <c r="P147" s="15" t="s">
        <v>91</v>
      </c>
      <c r="Q147" s="77" t="s">
        <v>215</v>
      </c>
      <c r="R147" s="17"/>
      <c r="S147" s="17"/>
      <c r="T147" s="124" t="str">
        <f>IF(N147=CURSOS!$D$3,"DIPLOMADO EN ATENCION PRE-HOSPITALARIA",IF(N147=CURSOS!$D$4,"ACOMPAÑAMIENTO Y MANEJO DEL DUELO",IF(N147=CURSOS!$D$5,"ATENCION A VICTIMAS DE ATAQUE CON AGENTES QUIMICOS ",IF(N147=CURSOS!$D$6,"PRIMEROS AUXILIOS ",IF(N147=CURSOS!$D$7,"DIPLOMADO DE UNIDAD DE CUIDADOS INTENSIVOS (UCI)",IF(N147=CURSOS!$D$8,"MODELO DE ATENCION PARA EVENTOS EMERGENTES EN SALUD MENTAL (CODIGO VERDE)",IF(N147=CURSOS!$D$9,"HUMANIZACION EN EL SERVICIO DE LA SALUD Y BUENAS PRACTICAS EN PACIENTE ",IF(N147=CURSOS!$D$10,"CLINICA DE HERIDAS ",IF(N147=CURSOS!$D$11,"TOMA DE CITOLOGIA CERVICO VAGINAL ",IF(N147=CURSOS!$D$12,"SOPORTE CARDIOVASCULAR AVANZADO (ACLS) ",IF(N147=CURSOS!$D$13,"CAMILLERO ",IF(N147=CURSOS!$D$14,"TOMA DE MUESTRAS Y LABORATORIO ",IF(N147=CURSOS!$D$15,"SOPORTE VITAL BASICO (BLS)",IF(N147=CURSOS!$D$16,"ATENCION A VICTIMAS DE VIOLENCIA SEXUAL ",IF(N147=CURSOS!$D$17,"PROGRAMADO AMPLIADO DE INMUNIZACION (PAI - COVID 19)",IF(N147=CURSOS!$D$18,"ATENCION INTEGRAL EN ENFERMEDADES PREVALENTES EN PRIMERA INFANCIA (AIEPI)",IF(N147=CURSOS!$D$19,"ADMINISTRACION DE MEDICAMENTOS, INYECTOLOGIA  Y CANALIZACION ",IF(N147=CURSOS!$D$20,"OPERADOR DE VEHICULOS DE EMERGENCIA (OVE)",IF(N147=CURSOS!$D$21,"INSTITUCIONES AMIGAS DE LA MUJER Y LA INFANCIA (IAMI)",IF(N147=CURSOS!$D$22,"CUIDADO DEL DONANTE DE ORGANOS",IF(N147=CURSOS!$D$23,"ATENCION A VICTIMAS POR VIOLENCIA DE GENERO",IF(N147=CURSOS!$D$24,"IGUALDAD DE GENERO EN LA SALUD",IF(N147=CURSOS!$D$25,"BRIGADA DE EMERGENCIA",IF(N147=CURSOS!$D$26,"MANEJO DEL DOLOR Y CUIDADOS PALIATIVOS",IF(N147=CURSOS!$D$27,"TOMA DE MUESTRAS Y LABORATORIO POCT",IF(N147=CURSOS!$D$28,"IMPLANTE SUBDERMICO DE DISPOSITIVO INTRAUTERINO",IF(N147=CURSOS!$D$29,"SALUD MENTAL",IF(N147=CURSOS!$D$30,"PRIMEROS AUXILIOS PSICOLOGICOS",IF(N147=CURSOS!$D$31,"ATENCION A VICTIMAS POR CONFLICTO ARMADO",IF(N147=CURSOS!$D$32,"MANIPULACION DE ALIMENTOS Y BPM",IF(N147=CURSOS!$D$33,"ATENCION A PERSONAS CON DISCAPACIDAD",IF(N147=CURSOS!$D$34,"CUIDADO INTEGRAL DEL PACIENTE ADULTO",IF(N147=CURSOS!$D$35,"MANEJO DEFENSIVO",IF(N147=CURSOS!$D$36,"SOPORTE CARDIOVASCULAR AVANZADO NEONATAL",IF(N147=CURSOS!$D$37,"SEGURIDAD DEL PACIENTE")))))))))))))))))))))))))))))))))))</f>
        <v xml:space="preserve">SOPORTE CARDIOVASCULAR AVANZADO (ACLS) </v>
      </c>
      <c r="U147" s="124" t="str">
        <f t="shared" si="9"/>
        <v>Miguel Angel Vargas Rios</v>
      </c>
      <c r="V147" s="128" t="str">
        <f t="shared" si="10"/>
        <v>Miguel Angel Vargas Rios</v>
      </c>
      <c r="W147" s="138" t="str">
        <f t="shared" si="11"/>
        <v>Miguel Angel Vargas Rios-88195662-ACLS</v>
      </c>
    </row>
    <row r="148" spans="1:23" x14ac:dyDescent="0.2">
      <c r="A148" s="42">
        <v>147</v>
      </c>
      <c r="B148" s="43">
        <v>88195662</v>
      </c>
      <c r="C148" s="74" t="s">
        <v>404</v>
      </c>
      <c r="D148" s="74" t="s">
        <v>409</v>
      </c>
      <c r="E148" s="74" t="s">
        <v>396</v>
      </c>
      <c r="F148" s="74" t="s">
        <v>400</v>
      </c>
      <c r="G148" s="70">
        <v>6</v>
      </c>
      <c r="H148" s="14" t="s">
        <v>89</v>
      </c>
      <c r="I148" s="85">
        <v>45499</v>
      </c>
      <c r="J148" s="19">
        <v>30000</v>
      </c>
      <c r="K148" s="14" t="s">
        <v>214</v>
      </c>
      <c r="L148" s="70" t="s">
        <v>90</v>
      </c>
      <c r="M148" s="14" t="s">
        <v>411</v>
      </c>
      <c r="N148" s="15" t="s">
        <v>61</v>
      </c>
      <c r="O148" s="18"/>
      <c r="P148" s="15" t="s">
        <v>91</v>
      </c>
      <c r="Q148" s="77" t="s">
        <v>215</v>
      </c>
      <c r="R148" s="17"/>
      <c r="S148" s="17"/>
      <c r="T148" s="124" t="str">
        <f>IF(N148=CURSOS!$D$3,"DIPLOMADO EN ATENCION PRE-HOSPITALARIA",IF(N148=CURSOS!$D$4,"ACOMPAÑAMIENTO Y MANEJO DEL DUELO",IF(N148=CURSOS!$D$5,"ATENCION A VICTIMAS DE ATAQUE CON AGENTES QUIMICOS ",IF(N148=CURSOS!$D$6,"PRIMEROS AUXILIOS ",IF(N148=CURSOS!$D$7,"DIPLOMADO DE UNIDAD DE CUIDADOS INTENSIVOS (UCI)",IF(N148=CURSOS!$D$8,"MODELO DE ATENCION PARA EVENTOS EMERGENTES EN SALUD MENTAL (CODIGO VERDE)",IF(N148=CURSOS!$D$9,"HUMANIZACION EN EL SERVICIO DE LA SALUD Y BUENAS PRACTICAS EN PACIENTE ",IF(N148=CURSOS!$D$10,"CLINICA DE HERIDAS ",IF(N148=CURSOS!$D$11,"TOMA DE CITOLOGIA CERVICO VAGINAL ",IF(N148=CURSOS!$D$12,"SOPORTE CARDIOVASCULAR AVANZADO (ACLS) ",IF(N148=CURSOS!$D$13,"CAMILLERO ",IF(N148=CURSOS!$D$14,"TOMA DE MUESTRAS Y LABORATORIO ",IF(N148=CURSOS!$D$15,"SOPORTE VITAL BASICO (BLS)",IF(N148=CURSOS!$D$16,"ATENCION A VICTIMAS DE VIOLENCIA SEXUAL ",IF(N148=CURSOS!$D$17,"PROGRAMADO AMPLIADO DE INMUNIZACION (PAI - COVID 19)",IF(N148=CURSOS!$D$18,"ATENCION INTEGRAL EN ENFERMEDADES PREVALENTES EN PRIMERA INFANCIA (AIEPI)",IF(N148=CURSOS!$D$19,"ADMINISTRACION DE MEDICAMENTOS, INYECTOLOGIA  Y CANALIZACION ",IF(N148=CURSOS!$D$20,"OPERADOR DE VEHICULOS DE EMERGENCIA (OVE)",IF(N148=CURSOS!$D$21,"INSTITUCIONES AMIGAS DE LA MUJER Y LA INFANCIA (IAMI)",IF(N148=CURSOS!$D$22,"CUIDADO DEL DONANTE DE ORGANOS",IF(N148=CURSOS!$D$23,"ATENCION A VICTIMAS POR VIOLENCIA DE GENERO",IF(N148=CURSOS!$D$24,"IGUALDAD DE GENERO EN LA SALUD",IF(N148=CURSOS!$D$25,"BRIGADA DE EMERGENCIA",IF(N148=CURSOS!$D$26,"MANEJO DEL DOLOR Y CUIDADOS PALIATIVOS",IF(N148=CURSOS!$D$27,"TOMA DE MUESTRAS Y LABORATORIO POCT",IF(N148=CURSOS!$D$28,"IMPLANTE SUBDERMICO DE DISPOSITIVO INTRAUTERINO",IF(N148=CURSOS!$D$29,"SALUD MENTAL",IF(N148=CURSOS!$D$30,"PRIMEROS AUXILIOS PSICOLOGICOS",IF(N148=CURSOS!$D$31,"ATENCION A VICTIMAS POR CONFLICTO ARMADO",IF(N148=CURSOS!$D$32,"MANIPULACION DE ALIMENTOS Y BPM",IF(N148=CURSOS!$D$33,"ATENCION A PERSONAS CON DISCAPACIDAD",IF(N148=CURSOS!$D$34,"CUIDADO INTEGRAL DEL PACIENTE ADULTO",IF(N148=CURSOS!$D$35,"MANEJO DEFENSIVO",IF(N148=CURSOS!$D$36,"SOPORTE CARDIOVASCULAR AVANZADO NEONATAL",IF(N148=CURSOS!$D$37,"SEGURIDAD DEL PACIENTE")))))))))))))))))))))))))))))))))))</f>
        <v>MANEJO DEL DOLOR Y CUIDADOS PALIATIVOS</v>
      </c>
      <c r="U148" s="124" t="str">
        <f t="shared" si="9"/>
        <v>Miguel Angel Vargas Rios</v>
      </c>
      <c r="V148" s="128" t="str">
        <f t="shared" si="10"/>
        <v>Miguel Angel Vargas Rios</v>
      </c>
      <c r="W148" s="138" t="str">
        <f t="shared" si="11"/>
        <v>Miguel Angel Vargas Rios-88195662-PALIATIVOS</v>
      </c>
    </row>
    <row r="149" spans="1:23" x14ac:dyDescent="0.2">
      <c r="A149" s="42">
        <v>148</v>
      </c>
      <c r="B149" s="43">
        <v>1085317150</v>
      </c>
      <c r="C149" s="17" t="s">
        <v>405</v>
      </c>
      <c r="D149" s="17" t="s">
        <v>410</v>
      </c>
      <c r="E149" s="74" t="s">
        <v>95</v>
      </c>
      <c r="F149" s="17" t="s">
        <v>401</v>
      </c>
      <c r="G149" s="70">
        <v>6</v>
      </c>
      <c r="H149" s="14" t="s">
        <v>89</v>
      </c>
      <c r="I149" s="85">
        <v>45499</v>
      </c>
      <c r="J149" s="19">
        <v>30000</v>
      </c>
      <c r="K149" s="14" t="s">
        <v>214</v>
      </c>
      <c r="L149" s="70" t="s">
        <v>90</v>
      </c>
      <c r="M149" s="14" t="s">
        <v>411</v>
      </c>
      <c r="N149" s="15" t="s">
        <v>19</v>
      </c>
      <c r="O149" s="18"/>
      <c r="P149" s="121" t="s">
        <v>101</v>
      </c>
      <c r="Q149" s="17" t="s">
        <v>126</v>
      </c>
      <c r="R149" s="17"/>
      <c r="S149" s="17"/>
      <c r="T149" s="124" t="str">
        <f>IF(N149=CURSOS!$D$3,"DIPLOMADO EN ATENCION PRE-HOSPITALARIA",IF(N149=CURSOS!$D$4,"ACOMPAÑAMIENTO Y MANEJO DEL DUELO",IF(N149=CURSOS!$D$5,"ATENCION A VICTIMAS DE ATAQUE CON AGENTES QUIMICOS ",IF(N149=CURSOS!$D$6,"PRIMEROS AUXILIOS ",IF(N149=CURSOS!$D$7,"DIPLOMADO DE UNIDAD DE CUIDADOS INTENSIVOS (UCI)",IF(N149=CURSOS!$D$8,"MODELO DE ATENCION PARA EVENTOS EMERGENTES EN SALUD MENTAL (CODIGO VERDE)",IF(N149=CURSOS!$D$9,"HUMANIZACION EN EL SERVICIO DE LA SALUD Y BUENAS PRACTICAS EN PACIENTE ",IF(N149=CURSOS!$D$10,"CLINICA DE HERIDAS ",IF(N149=CURSOS!$D$11,"TOMA DE CITOLOGIA CERVICO VAGINAL ",IF(N149=CURSOS!$D$12,"SOPORTE CARDIOVASCULAR AVANZADO (ACLS) ",IF(N149=CURSOS!$D$13,"CAMILLERO ",IF(N149=CURSOS!$D$14,"TOMA DE MUESTRAS Y LABORATORIO ",IF(N149=CURSOS!$D$15,"SOPORTE VITAL BASICO (BLS)",IF(N149=CURSOS!$D$16,"ATENCION A VICTIMAS DE VIOLENCIA SEXUAL ",IF(N149=CURSOS!$D$17,"PROGRAMADO AMPLIADO DE INMUNIZACION (PAI - COVID 19)",IF(N149=CURSOS!$D$18,"ATENCION INTEGRAL EN ENFERMEDADES PREVALENTES EN PRIMERA INFANCIA (AIEPI)",IF(N149=CURSOS!$D$19,"ADMINISTRACION DE MEDICAMENTOS, INYECTOLOGIA  Y CANALIZACION ",IF(N149=CURSOS!$D$20,"OPERADOR DE VEHICULOS DE EMERGENCIA (OVE)",IF(N149=CURSOS!$D$21,"INSTITUCIONES AMIGAS DE LA MUJER Y LA INFANCIA (IAMI)",IF(N149=CURSOS!$D$22,"CUIDADO DEL DONANTE DE ORGANOS",IF(N149=CURSOS!$D$23,"ATENCION A VICTIMAS POR VIOLENCIA DE GENERO",IF(N149=CURSOS!$D$24,"IGUALDAD DE GENERO EN LA SALUD",IF(N149=CURSOS!$D$25,"BRIGADA DE EMERGENCIA",IF(N149=CURSOS!$D$26,"MANEJO DEL DOLOR Y CUIDADOS PALIATIVOS",IF(N149=CURSOS!$D$27,"TOMA DE MUESTRAS Y LABORATORIO POCT",IF(N149=CURSOS!$D$28,"IMPLANTE SUBDERMICO DE DISPOSITIVO INTRAUTERINO",IF(N149=CURSOS!$D$29,"SALUD MENTAL",IF(N149=CURSOS!$D$30,"PRIMEROS AUXILIOS PSICOLOGICOS",IF(N149=CURSOS!$D$31,"ATENCION A VICTIMAS POR CONFLICTO ARMADO",IF(N149=CURSOS!$D$32,"MANIPULACION DE ALIMENTOS Y BPM",IF(N149=CURSOS!$D$33,"ATENCION A PERSONAS CON DISCAPACIDAD",IF(N149=CURSOS!$D$34,"CUIDADO INTEGRAL DEL PACIENTE ADULTO",IF(N149=CURSOS!$D$35,"MANEJO DEFENSIVO",IF(N149=CURSOS!$D$36,"SOPORTE CARDIOVASCULAR AVANZADO NEONATAL",IF(N149=CURSOS!$D$37,"SEGURIDAD DEL PACIENTE")))))))))))))))))))))))))))))))))))</f>
        <v>SOPORTE VITAL BASICO (BLS)</v>
      </c>
      <c r="U149" s="124" t="str">
        <f t="shared" si="9"/>
        <v>Maria Jose Galindres Insuasty</v>
      </c>
      <c r="V149" s="128" t="str">
        <f t="shared" si="10"/>
        <v>Maria Jose Galindres Insuasty</v>
      </c>
      <c r="W149" s="138" t="str">
        <f t="shared" si="11"/>
        <v>Maria Jose Galindres Insuasty-1085317150-BLS</v>
      </c>
    </row>
    <row r="150" spans="1:23" x14ac:dyDescent="0.2">
      <c r="A150" s="42">
        <v>149</v>
      </c>
      <c r="B150" s="43">
        <v>59832474</v>
      </c>
      <c r="C150" s="17" t="s">
        <v>230</v>
      </c>
      <c r="D150" s="17" t="s">
        <v>230</v>
      </c>
      <c r="E150" s="17" t="s">
        <v>413</v>
      </c>
      <c r="F150" s="17" t="s">
        <v>414</v>
      </c>
      <c r="G150" s="14">
        <v>10</v>
      </c>
      <c r="H150" s="14" t="s">
        <v>89</v>
      </c>
      <c r="I150" s="16">
        <v>45483</v>
      </c>
      <c r="J150" s="19">
        <v>30000</v>
      </c>
      <c r="K150" s="14" t="s">
        <v>210</v>
      </c>
      <c r="L150" s="70" t="s">
        <v>90</v>
      </c>
      <c r="M150" s="14" t="s">
        <v>132</v>
      </c>
      <c r="N150" s="15" t="s">
        <v>63</v>
      </c>
      <c r="O150" s="18"/>
      <c r="P150" s="15" t="s">
        <v>101</v>
      </c>
      <c r="Q150" s="17" t="s">
        <v>126</v>
      </c>
      <c r="R150" s="17">
        <v>3156482095</v>
      </c>
      <c r="S150" s="39" t="s">
        <v>415</v>
      </c>
      <c r="T150" s="124" t="str">
        <f>IF(N150=CURSOS!$D$3,"DIPLOMADO EN ATENCION PRE-HOSPITALARIA",IF(N150=CURSOS!$D$4,"ACOMPAÑAMIENTO Y MANEJO DEL DUELO",IF(N150=CURSOS!$D$5,"ATENCION A VICTIMAS DE ATAQUE CON AGENTES QUIMICOS ",IF(N150=CURSOS!$D$6,"PRIMEROS AUXILIOS ",IF(N150=CURSOS!$D$7,"DIPLOMADO DE UNIDAD DE CUIDADOS INTENSIVOS (UCI)",IF(N150=CURSOS!$D$8,"MODELO DE ATENCION PARA EVENTOS EMERGENTES EN SALUD MENTAL (CODIGO VERDE)",IF(N150=CURSOS!$D$9,"HUMANIZACION EN EL SERVICIO DE LA SALUD Y BUENAS PRACTICAS EN PACIENTE ",IF(N150=CURSOS!$D$10,"CLINICA DE HERIDAS ",IF(N150=CURSOS!$D$11,"TOMA DE CITOLOGIA CERVICO VAGINAL ",IF(N150=CURSOS!$D$12,"SOPORTE CARDIOVASCULAR AVANZADO (ACLS) ",IF(N150=CURSOS!$D$13,"CAMILLERO ",IF(N150=CURSOS!$D$14,"TOMA DE MUESTRAS Y LABORATORIO ",IF(N150=CURSOS!$D$15,"SOPORTE VITAL BASICO (BLS)",IF(N150=CURSOS!$D$16,"ATENCION A VICTIMAS DE VIOLENCIA SEXUAL ",IF(N150=CURSOS!$D$17,"PROGRAMADO AMPLIADO DE INMUNIZACION (PAI - COVID 19)",IF(N150=CURSOS!$D$18,"ATENCION INTEGRAL EN ENFERMEDADES PREVALENTES EN PRIMERA INFANCIA (AIEPI)",IF(N150=CURSOS!$D$19,"ADMINISTRACION DE MEDICAMENTOS, INYECTOLOGIA  Y CANALIZACION ",IF(N150=CURSOS!$D$20,"OPERADOR DE VEHICULOS DE EMERGENCIA (OVE)",IF(N150=CURSOS!$D$21,"INSTITUCIONES AMIGAS DE LA MUJER Y LA INFANCIA (IAMI)",IF(N150=CURSOS!$D$22,"CUIDADO DEL DONANTE DE ORGANOS",IF(N150=CURSOS!$D$23,"ATENCION A VICTIMAS POR VIOLENCIA DE GENERO",IF(N150=CURSOS!$D$24,"IGUALDAD DE GENERO EN LA SALUD",IF(N150=CURSOS!$D$25,"BRIGADA DE EMERGENCIA",IF(N150=CURSOS!$D$26,"MANEJO DEL DOLOR Y CUIDADOS PALIATIVOS",IF(N150=CURSOS!$D$27,"TOMA DE MUESTRAS Y LABORATORIO POCT",IF(N150=CURSOS!$D$28,"IMPLANTE SUBDERMICO DE DISPOSITIVO INTRAUTERINO",IF(N150=CURSOS!$D$29,"SALUD MENTAL",IF(N150=CURSOS!$D$30,"PRIMEROS AUXILIOS PSICOLOGICOS",IF(N150=CURSOS!$D$31,"ATENCION A VICTIMAS POR CONFLICTO ARMADO",IF(N150=CURSOS!$D$32,"MANIPULACION DE ALIMENTOS Y BPM",IF(N150=CURSOS!$D$33,"ATENCION A PERSONAS CON DISCAPACIDAD",IF(N150=CURSOS!$D$34,"CUIDADO INTEGRAL DEL PACIENTE ADULTO",IF(N150=CURSOS!$D$35,"MANEJO DEFENSIVO",IF(N150=CURSOS!$D$36,"SOPORTE CARDIOVASCULAR AVANZADO NEONATAL",IF(N150=CURSOS!$D$37,"SEGURIDAD DEL PACIENTE")))))))))))))))))))))))))))))))))))</f>
        <v>TOMA DE MUESTRAS Y LABORATORIO POCT</v>
      </c>
      <c r="U150" s="124" t="str">
        <f t="shared" si="9"/>
        <v>Fanny Mirta Ortega Ortega</v>
      </c>
      <c r="V150" s="128" t="str">
        <f t="shared" si="10"/>
        <v>Fanny Mirta Ortega Ortega</v>
      </c>
      <c r="W150" s="138" t="str">
        <f t="shared" si="11"/>
        <v>Fanny Mirta Ortega Ortega-59832474-POCT</v>
      </c>
    </row>
    <row r="151" spans="1:23" x14ac:dyDescent="0.2">
      <c r="A151" s="42">
        <v>150</v>
      </c>
      <c r="B151" s="43">
        <v>98364079</v>
      </c>
      <c r="C151" s="17" t="s">
        <v>122</v>
      </c>
      <c r="D151" s="17" t="s">
        <v>417</v>
      </c>
      <c r="E151" s="17" t="s">
        <v>416</v>
      </c>
      <c r="F151" s="17" t="s">
        <v>300</v>
      </c>
      <c r="G151" s="14">
        <v>6</v>
      </c>
      <c r="H151" s="14" t="s">
        <v>89</v>
      </c>
      <c r="I151" s="85">
        <v>45499</v>
      </c>
      <c r="J151" s="19">
        <v>130000</v>
      </c>
      <c r="K151" s="14" t="s">
        <v>214</v>
      </c>
      <c r="L151" s="14" t="s">
        <v>90</v>
      </c>
      <c r="M151" s="14" t="s">
        <v>411</v>
      </c>
      <c r="N151" s="15" t="s">
        <v>38</v>
      </c>
      <c r="O151" s="18"/>
      <c r="P151" s="15" t="s">
        <v>91</v>
      </c>
      <c r="Q151" s="17" t="s">
        <v>418</v>
      </c>
      <c r="R151" s="17"/>
      <c r="S151" s="39"/>
      <c r="T151" s="124" t="str">
        <f>IF(N151=CURSOS!$D$3,"DIPLOMADO EN ATENCION PRE-HOSPITALARIA",IF(N151=CURSOS!$D$4,"ACOMPAÑAMIENTO Y MANEJO DEL DUELO",IF(N151=CURSOS!$D$5,"ATENCION A VICTIMAS DE ATAQUE CON AGENTES QUIMICOS ",IF(N151=CURSOS!$D$6,"PRIMEROS AUXILIOS ",IF(N151=CURSOS!$D$7,"DIPLOMADO DE UNIDAD DE CUIDADOS INTENSIVOS (UCI)",IF(N151=CURSOS!$D$8,"MODELO DE ATENCION PARA EVENTOS EMERGENTES EN SALUD MENTAL (CODIGO VERDE)",IF(N151=CURSOS!$D$9,"HUMANIZACION EN EL SERVICIO DE LA SALUD Y BUENAS PRACTICAS EN PACIENTE ",IF(N151=CURSOS!$D$10,"CLINICA DE HERIDAS ",IF(N151=CURSOS!$D$11,"TOMA DE CITOLOGIA CERVICO VAGINAL ",IF(N151=CURSOS!$D$12,"SOPORTE CARDIOVASCULAR AVANZADO (ACLS) ",IF(N151=CURSOS!$D$13,"CAMILLERO ",IF(N151=CURSOS!$D$14,"TOMA DE MUESTRAS Y LABORATORIO ",IF(N151=CURSOS!$D$15,"SOPORTE VITAL BASICO (BLS)",IF(N151=CURSOS!$D$16,"ATENCION A VICTIMAS DE VIOLENCIA SEXUAL ",IF(N151=CURSOS!$D$17,"PROGRAMADO AMPLIADO DE INMUNIZACION (PAI - COVID 19)",IF(N151=CURSOS!$D$18,"ATENCION INTEGRAL EN ENFERMEDADES PREVALENTES EN PRIMERA INFANCIA (AIEPI)",IF(N151=CURSOS!$D$19,"ADMINISTRACION DE MEDICAMENTOS, INYECTOLOGIA  Y CANALIZACION ",IF(N151=CURSOS!$D$20,"OPERADOR DE VEHICULOS DE EMERGENCIA (OVE)",IF(N151=CURSOS!$D$21,"INSTITUCIONES AMIGAS DE LA MUJER Y LA INFANCIA (IAMI)",IF(N151=CURSOS!$D$22,"CUIDADO DEL DONANTE DE ORGANOS",IF(N151=CURSOS!$D$23,"ATENCION A VICTIMAS POR VIOLENCIA DE GENERO",IF(N151=CURSOS!$D$24,"IGUALDAD DE GENERO EN LA SALUD",IF(N151=CURSOS!$D$25,"BRIGADA DE EMERGENCIA",IF(N151=CURSOS!$D$26,"MANEJO DEL DOLOR Y CUIDADOS PALIATIVOS",IF(N151=CURSOS!$D$27,"TOMA DE MUESTRAS Y LABORATORIO POCT",IF(N151=CURSOS!$D$28,"IMPLANTE SUBDERMICO DE DISPOSITIVO INTRAUTERINO",IF(N151=CURSOS!$D$29,"SALUD MENTAL",IF(N151=CURSOS!$D$30,"PRIMEROS AUXILIOS PSICOLOGICOS",IF(N151=CURSOS!$D$31,"ATENCION A VICTIMAS POR CONFLICTO ARMADO",IF(N151=CURSOS!$D$32,"MANIPULACION DE ALIMENTOS Y BPM",IF(N151=CURSOS!$D$33,"ATENCION A PERSONAS CON DISCAPACIDAD",IF(N151=CURSOS!$D$34,"CUIDADO INTEGRAL DEL PACIENTE ADULTO",IF(N151=CURSOS!$D$35,"MANEJO DEFENSIVO",IF(N151=CURSOS!$D$36,"SOPORTE CARDIOVASCULAR AVANZADO NEONATAL",IF(N151=CURSOS!$D$37,"SEGURIDAD DEL PACIENTE")))))))))))))))))))))))))))))))))))</f>
        <v xml:space="preserve">SOPORTE CARDIOVASCULAR AVANZADO (ACLS) </v>
      </c>
      <c r="U151" s="124" t="str">
        <f t="shared" si="9"/>
        <v>Omar Eduardo Benavides Ayala</v>
      </c>
      <c r="V151" s="128" t="str">
        <f t="shared" si="10"/>
        <v>Omar Eduardo Benavides Ayala</v>
      </c>
      <c r="W151" s="138" t="str">
        <f t="shared" si="11"/>
        <v>Omar Eduardo Benavides Ayala-98364079-ACLS</v>
      </c>
    </row>
    <row r="152" spans="1:23" x14ac:dyDescent="0.2">
      <c r="A152" s="42">
        <v>151</v>
      </c>
      <c r="B152" s="43">
        <v>98364079</v>
      </c>
      <c r="C152" s="17" t="s">
        <v>122</v>
      </c>
      <c r="D152" s="17" t="s">
        <v>417</v>
      </c>
      <c r="E152" s="17" t="s">
        <v>416</v>
      </c>
      <c r="F152" s="17" t="s">
        <v>300</v>
      </c>
      <c r="G152" s="14">
        <v>5</v>
      </c>
      <c r="H152" s="14" t="s">
        <v>89</v>
      </c>
      <c r="I152" s="85">
        <v>45499</v>
      </c>
      <c r="J152" s="19">
        <v>30000</v>
      </c>
      <c r="K152" s="14" t="s">
        <v>214</v>
      </c>
      <c r="L152" s="14" t="s">
        <v>90</v>
      </c>
      <c r="M152" s="14" t="s">
        <v>411</v>
      </c>
      <c r="N152" s="15" t="s">
        <v>25</v>
      </c>
      <c r="O152" s="18"/>
      <c r="P152" s="15" t="s">
        <v>91</v>
      </c>
      <c r="Q152" s="17" t="s">
        <v>418</v>
      </c>
      <c r="R152" s="17"/>
      <c r="S152" s="39"/>
      <c r="T152" s="124" t="str">
        <f>IF(N152=CURSOS!$D$3,"DIPLOMADO EN ATENCION PRE-HOSPITALARIA",IF(N152=CURSOS!$D$4,"ACOMPAÑAMIENTO Y MANEJO DEL DUELO",IF(N152=CURSOS!$D$5,"ATENCION A VICTIMAS DE ATAQUE CON AGENTES QUIMICOS ",IF(N152=CURSOS!$D$6,"PRIMEROS AUXILIOS ",IF(N152=CURSOS!$D$7,"DIPLOMADO DE UNIDAD DE CUIDADOS INTENSIVOS (UCI)",IF(N152=CURSOS!$D$8,"MODELO DE ATENCION PARA EVENTOS EMERGENTES EN SALUD MENTAL (CODIGO VERDE)",IF(N152=CURSOS!$D$9,"HUMANIZACION EN EL SERVICIO DE LA SALUD Y BUENAS PRACTICAS EN PACIENTE ",IF(N152=CURSOS!$D$10,"CLINICA DE HERIDAS ",IF(N152=CURSOS!$D$11,"TOMA DE CITOLOGIA CERVICO VAGINAL ",IF(N152=CURSOS!$D$12,"SOPORTE CARDIOVASCULAR AVANZADO (ACLS) ",IF(N152=CURSOS!$D$13,"CAMILLERO ",IF(N152=CURSOS!$D$14,"TOMA DE MUESTRAS Y LABORATORIO ",IF(N152=CURSOS!$D$15,"SOPORTE VITAL BASICO (BLS)",IF(N152=CURSOS!$D$16,"ATENCION A VICTIMAS DE VIOLENCIA SEXUAL ",IF(N152=CURSOS!$D$17,"PROGRAMADO AMPLIADO DE INMUNIZACION (PAI - COVID 19)",IF(N152=CURSOS!$D$18,"ATENCION INTEGRAL EN ENFERMEDADES PREVALENTES EN PRIMERA INFANCIA (AIEPI)",IF(N152=CURSOS!$D$19,"ADMINISTRACION DE MEDICAMENTOS, INYECTOLOGIA  Y CANALIZACION ",IF(N152=CURSOS!$D$20,"OPERADOR DE VEHICULOS DE EMERGENCIA (OVE)",IF(N152=CURSOS!$D$21,"INSTITUCIONES AMIGAS DE LA MUJER Y LA INFANCIA (IAMI)",IF(N152=CURSOS!$D$22,"CUIDADO DEL DONANTE DE ORGANOS",IF(N152=CURSOS!$D$23,"ATENCION A VICTIMAS POR VIOLENCIA DE GENERO",IF(N152=CURSOS!$D$24,"IGUALDAD DE GENERO EN LA SALUD",IF(N152=CURSOS!$D$25,"BRIGADA DE EMERGENCIA",IF(N152=CURSOS!$D$26,"MANEJO DEL DOLOR Y CUIDADOS PALIATIVOS",IF(N152=CURSOS!$D$27,"TOMA DE MUESTRAS Y LABORATORIO POCT",IF(N152=CURSOS!$D$28,"IMPLANTE SUBDERMICO DE DISPOSITIVO INTRAUTERINO",IF(N152=CURSOS!$D$29,"SALUD MENTAL",IF(N152=CURSOS!$D$30,"PRIMEROS AUXILIOS PSICOLOGICOS",IF(N152=CURSOS!$D$31,"ATENCION A VICTIMAS POR CONFLICTO ARMADO",IF(N152=CURSOS!$D$32,"MANIPULACION DE ALIMENTOS Y BPM",IF(N152=CURSOS!$D$33,"ATENCION A PERSONAS CON DISCAPACIDAD",IF(N152=CURSOS!$D$34,"CUIDADO INTEGRAL DEL PACIENTE ADULTO",IF(N152=CURSOS!$D$35,"MANEJO DEFENSIVO",IF(N152=CURSOS!$D$36,"SOPORTE CARDIOVASCULAR AVANZADO NEONATAL",IF(N152=CURSOS!$D$37,"SEGURIDAD DEL PACIENTE")))))))))))))))))))))))))))))))))))</f>
        <v xml:space="preserve">ATENCION A VICTIMAS DE ATAQUE CON AGENTES QUIMICOS </v>
      </c>
      <c r="U152" s="124" t="str">
        <f t="shared" si="9"/>
        <v>Omar Eduardo Benavides Ayala</v>
      </c>
      <c r="V152" s="128" t="str">
        <f t="shared" si="10"/>
        <v>Omar Eduardo Benavides Ayala</v>
      </c>
      <c r="W152" s="138" t="str">
        <f t="shared" si="11"/>
        <v>Omar Eduardo Benavides Ayala-98364079-QUIMICOS</v>
      </c>
    </row>
    <row r="153" spans="1:23" x14ac:dyDescent="0.2">
      <c r="A153" s="42">
        <v>152</v>
      </c>
      <c r="B153" s="43">
        <v>98364079</v>
      </c>
      <c r="C153" s="17" t="s">
        <v>122</v>
      </c>
      <c r="D153" s="17" t="s">
        <v>417</v>
      </c>
      <c r="E153" s="17" t="s">
        <v>416</v>
      </c>
      <c r="F153" s="17" t="s">
        <v>300</v>
      </c>
      <c r="G153" s="14">
        <v>4</v>
      </c>
      <c r="H153" s="14" t="s">
        <v>89</v>
      </c>
      <c r="I153" s="85">
        <v>45499</v>
      </c>
      <c r="J153" s="19">
        <v>30000</v>
      </c>
      <c r="K153" s="14" t="s">
        <v>214</v>
      </c>
      <c r="L153" s="14" t="s">
        <v>90</v>
      </c>
      <c r="M153" s="14" t="s">
        <v>411</v>
      </c>
      <c r="N153" s="15" t="s">
        <v>23</v>
      </c>
      <c r="O153" s="18"/>
      <c r="P153" s="15" t="s">
        <v>91</v>
      </c>
      <c r="Q153" s="17" t="s">
        <v>418</v>
      </c>
      <c r="R153" s="17"/>
      <c r="S153" s="17"/>
      <c r="T153" s="124" t="str">
        <f>IF(N153=CURSOS!$D$3,"DIPLOMADO EN ATENCION PRE-HOSPITALARIA",IF(N153=CURSOS!$D$4,"ACOMPAÑAMIENTO Y MANEJO DEL DUELO",IF(N153=CURSOS!$D$5,"ATENCION A VICTIMAS DE ATAQUE CON AGENTES QUIMICOS ",IF(N153=CURSOS!$D$6,"PRIMEROS AUXILIOS ",IF(N153=CURSOS!$D$7,"DIPLOMADO DE UNIDAD DE CUIDADOS INTENSIVOS (UCI)",IF(N153=CURSOS!$D$8,"MODELO DE ATENCION PARA EVENTOS EMERGENTES EN SALUD MENTAL (CODIGO VERDE)",IF(N153=CURSOS!$D$9,"HUMANIZACION EN EL SERVICIO DE LA SALUD Y BUENAS PRACTICAS EN PACIENTE ",IF(N153=CURSOS!$D$10,"CLINICA DE HERIDAS ",IF(N153=CURSOS!$D$11,"TOMA DE CITOLOGIA CERVICO VAGINAL ",IF(N153=CURSOS!$D$12,"SOPORTE CARDIOVASCULAR AVANZADO (ACLS) ",IF(N153=CURSOS!$D$13,"CAMILLERO ",IF(N153=CURSOS!$D$14,"TOMA DE MUESTRAS Y LABORATORIO ",IF(N153=CURSOS!$D$15,"SOPORTE VITAL BASICO (BLS)",IF(N153=CURSOS!$D$16,"ATENCION A VICTIMAS DE VIOLENCIA SEXUAL ",IF(N153=CURSOS!$D$17,"PROGRAMADO AMPLIADO DE INMUNIZACION (PAI - COVID 19)",IF(N153=CURSOS!$D$18,"ATENCION INTEGRAL EN ENFERMEDADES PREVALENTES EN PRIMERA INFANCIA (AIEPI)",IF(N153=CURSOS!$D$19,"ADMINISTRACION DE MEDICAMENTOS, INYECTOLOGIA  Y CANALIZACION ",IF(N153=CURSOS!$D$20,"OPERADOR DE VEHICULOS DE EMERGENCIA (OVE)",IF(N153=CURSOS!$D$21,"INSTITUCIONES AMIGAS DE LA MUJER Y LA INFANCIA (IAMI)",IF(N153=CURSOS!$D$22,"CUIDADO DEL DONANTE DE ORGANOS",IF(N153=CURSOS!$D$23,"ATENCION A VICTIMAS POR VIOLENCIA DE GENERO",IF(N153=CURSOS!$D$24,"IGUALDAD DE GENERO EN LA SALUD",IF(N153=CURSOS!$D$25,"BRIGADA DE EMERGENCIA",IF(N153=CURSOS!$D$26,"MANEJO DEL DOLOR Y CUIDADOS PALIATIVOS",IF(N153=CURSOS!$D$27,"TOMA DE MUESTRAS Y LABORATORIO POCT",IF(N153=CURSOS!$D$28,"IMPLANTE SUBDERMICO DE DISPOSITIVO INTRAUTERINO",IF(N153=CURSOS!$D$29,"SALUD MENTAL",IF(N153=CURSOS!$D$30,"PRIMEROS AUXILIOS PSICOLOGICOS",IF(N153=CURSOS!$D$31,"ATENCION A VICTIMAS POR CONFLICTO ARMADO",IF(N153=CURSOS!$D$32,"MANIPULACION DE ALIMENTOS Y BPM",IF(N153=CURSOS!$D$33,"ATENCION A PERSONAS CON DISCAPACIDAD",IF(N153=CURSOS!$D$34,"CUIDADO INTEGRAL DEL PACIENTE ADULTO",IF(N153=CURSOS!$D$35,"MANEJO DEFENSIVO",IF(N153=CURSOS!$D$36,"SOPORTE CARDIOVASCULAR AVANZADO NEONATAL",IF(N153=CURSOS!$D$37,"SEGURIDAD DEL PACIENTE")))))))))))))))))))))))))))))))))))</f>
        <v>ACOMPAÑAMIENTO Y MANEJO DEL DUELO</v>
      </c>
      <c r="U153" s="124" t="str">
        <f t="shared" si="9"/>
        <v>Omar Eduardo Benavides Ayala</v>
      </c>
      <c r="V153" s="128" t="str">
        <f t="shared" si="10"/>
        <v>Omar Eduardo Benavides Ayala</v>
      </c>
      <c r="W153" s="138" t="str">
        <f t="shared" si="11"/>
        <v>Omar Eduardo Benavides Ayala-98364079-DUELO</v>
      </c>
    </row>
    <row r="154" spans="1:23" x14ac:dyDescent="0.2">
      <c r="A154" s="42">
        <v>153</v>
      </c>
      <c r="B154" s="43">
        <v>98364079</v>
      </c>
      <c r="C154" s="17" t="s">
        <v>122</v>
      </c>
      <c r="D154" s="17" t="s">
        <v>417</v>
      </c>
      <c r="E154" s="17" t="s">
        <v>416</v>
      </c>
      <c r="F154" s="17" t="s">
        <v>300</v>
      </c>
      <c r="G154" s="14">
        <v>5</v>
      </c>
      <c r="H154" s="14" t="s">
        <v>89</v>
      </c>
      <c r="I154" s="85">
        <v>45499</v>
      </c>
      <c r="J154" s="19">
        <v>30000</v>
      </c>
      <c r="K154" s="14" t="s">
        <v>214</v>
      </c>
      <c r="L154" s="14" t="s">
        <v>90</v>
      </c>
      <c r="M154" s="14" t="s">
        <v>411</v>
      </c>
      <c r="N154" s="15" t="s">
        <v>43</v>
      </c>
      <c r="O154" s="18"/>
      <c r="P154" s="15" t="s">
        <v>91</v>
      </c>
      <c r="Q154" s="17" t="s">
        <v>418</v>
      </c>
      <c r="R154" s="17"/>
      <c r="S154" s="17"/>
      <c r="T154" s="124" t="str">
        <f>IF(N154=CURSOS!$D$3,"DIPLOMADO EN ATENCION PRE-HOSPITALARIA",IF(N154=CURSOS!$D$4,"ACOMPAÑAMIENTO Y MANEJO DEL DUELO",IF(N154=CURSOS!$D$5,"ATENCION A VICTIMAS DE ATAQUE CON AGENTES QUIMICOS ",IF(N154=CURSOS!$D$6,"PRIMEROS AUXILIOS ",IF(N154=CURSOS!$D$7,"DIPLOMADO DE UNIDAD DE CUIDADOS INTENSIVOS (UCI)",IF(N154=CURSOS!$D$8,"MODELO DE ATENCION PARA EVENTOS EMERGENTES EN SALUD MENTAL (CODIGO VERDE)",IF(N154=CURSOS!$D$9,"HUMANIZACION EN EL SERVICIO DE LA SALUD Y BUENAS PRACTICAS EN PACIENTE ",IF(N154=CURSOS!$D$10,"CLINICA DE HERIDAS ",IF(N154=CURSOS!$D$11,"TOMA DE CITOLOGIA CERVICO VAGINAL ",IF(N154=CURSOS!$D$12,"SOPORTE CARDIOVASCULAR AVANZADO (ACLS) ",IF(N154=CURSOS!$D$13,"CAMILLERO ",IF(N154=CURSOS!$D$14,"TOMA DE MUESTRAS Y LABORATORIO ",IF(N154=CURSOS!$D$15,"SOPORTE VITAL BASICO (BLS)",IF(N154=CURSOS!$D$16,"ATENCION A VICTIMAS DE VIOLENCIA SEXUAL ",IF(N154=CURSOS!$D$17,"PROGRAMADO AMPLIADO DE INMUNIZACION (PAI - COVID 19)",IF(N154=CURSOS!$D$18,"ATENCION INTEGRAL EN ENFERMEDADES PREVALENTES EN PRIMERA INFANCIA (AIEPI)",IF(N154=CURSOS!$D$19,"ADMINISTRACION DE MEDICAMENTOS, INYECTOLOGIA  Y CANALIZACION ",IF(N154=CURSOS!$D$20,"OPERADOR DE VEHICULOS DE EMERGENCIA (OVE)",IF(N154=CURSOS!$D$21,"INSTITUCIONES AMIGAS DE LA MUJER Y LA INFANCIA (IAMI)",IF(N154=CURSOS!$D$22,"CUIDADO DEL DONANTE DE ORGANOS",IF(N154=CURSOS!$D$23,"ATENCION A VICTIMAS POR VIOLENCIA DE GENERO",IF(N154=CURSOS!$D$24,"IGUALDAD DE GENERO EN LA SALUD",IF(N154=CURSOS!$D$25,"BRIGADA DE EMERGENCIA",IF(N154=CURSOS!$D$26,"MANEJO DEL DOLOR Y CUIDADOS PALIATIVOS",IF(N154=CURSOS!$D$27,"TOMA DE MUESTRAS Y LABORATORIO POCT",IF(N154=CURSOS!$D$28,"IMPLANTE SUBDERMICO DE DISPOSITIVO INTRAUTERINO",IF(N154=CURSOS!$D$29,"SALUD MENTAL",IF(N154=CURSOS!$D$30,"PRIMEROS AUXILIOS PSICOLOGICOS",IF(N154=CURSOS!$D$31,"ATENCION A VICTIMAS POR CONFLICTO ARMADO",IF(N154=CURSOS!$D$32,"MANIPULACION DE ALIMENTOS Y BPM",IF(N154=CURSOS!$D$33,"ATENCION A PERSONAS CON DISCAPACIDAD",IF(N154=CURSOS!$D$34,"CUIDADO INTEGRAL DEL PACIENTE ADULTO",IF(N154=CURSOS!$D$35,"MANEJO DEFENSIVO",IF(N154=CURSOS!$D$36,"SOPORTE CARDIOVASCULAR AVANZADO NEONATAL",IF(N154=CURSOS!$D$37,"SEGURIDAD DEL PACIENTE")))))))))))))))))))))))))))))))))))</f>
        <v xml:space="preserve">ATENCION A VICTIMAS DE VIOLENCIA SEXUAL </v>
      </c>
      <c r="U154" s="124" t="str">
        <f t="shared" si="9"/>
        <v>Omar Eduardo Benavides Ayala</v>
      </c>
      <c r="V154" s="128" t="str">
        <f t="shared" si="10"/>
        <v>Omar Eduardo Benavides Ayala</v>
      </c>
      <c r="W154" s="138" t="str">
        <f t="shared" si="11"/>
        <v>Omar Eduardo Benavides Ayala-98364079-VIOLENCIA SEXUAL</v>
      </c>
    </row>
    <row r="155" spans="1:23" x14ac:dyDescent="0.2">
      <c r="A155" s="42">
        <v>154</v>
      </c>
      <c r="B155" s="43">
        <v>98364079</v>
      </c>
      <c r="C155" s="17" t="s">
        <v>122</v>
      </c>
      <c r="D155" s="17" t="s">
        <v>417</v>
      </c>
      <c r="E155" s="17" t="s">
        <v>416</v>
      </c>
      <c r="F155" s="17" t="s">
        <v>300</v>
      </c>
      <c r="G155" s="14">
        <v>8</v>
      </c>
      <c r="H155" s="14" t="s">
        <v>89</v>
      </c>
      <c r="I155" s="85">
        <v>45499</v>
      </c>
      <c r="J155" s="19">
        <v>30000</v>
      </c>
      <c r="K155" s="14" t="s">
        <v>214</v>
      </c>
      <c r="L155" s="14" t="s">
        <v>90</v>
      </c>
      <c r="M155" s="14" t="s">
        <v>411</v>
      </c>
      <c r="N155" s="15" t="s">
        <v>33</v>
      </c>
      <c r="O155" s="18"/>
      <c r="P155" s="15" t="s">
        <v>91</v>
      </c>
      <c r="Q155" s="17" t="s">
        <v>418</v>
      </c>
      <c r="R155" s="17"/>
      <c r="S155" s="17"/>
      <c r="T155" s="124" t="str">
        <f>IF(N155=CURSOS!$D$3,"DIPLOMADO EN ATENCION PRE-HOSPITALARIA",IF(N155=CURSOS!$D$4,"ACOMPAÑAMIENTO Y MANEJO DEL DUELO",IF(N155=CURSOS!$D$5,"ATENCION A VICTIMAS DE ATAQUE CON AGENTES QUIMICOS ",IF(N155=CURSOS!$D$6,"PRIMEROS AUXILIOS ",IF(N155=CURSOS!$D$7,"DIPLOMADO DE UNIDAD DE CUIDADOS INTENSIVOS (UCI)",IF(N155=CURSOS!$D$8,"MODELO DE ATENCION PARA EVENTOS EMERGENTES EN SALUD MENTAL (CODIGO VERDE)",IF(N155=CURSOS!$D$9,"HUMANIZACION EN EL SERVICIO DE LA SALUD Y BUENAS PRACTICAS EN PACIENTE ",IF(N155=CURSOS!$D$10,"CLINICA DE HERIDAS ",IF(N155=CURSOS!$D$11,"TOMA DE CITOLOGIA CERVICO VAGINAL ",IF(N155=CURSOS!$D$12,"SOPORTE CARDIOVASCULAR AVANZADO (ACLS) ",IF(N155=CURSOS!$D$13,"CAMILLERO ",IF(N155=CURSOS!$D$14,"TOMA DE MUESTRAS Y LABORATORIO ",IF(N155=CURSOS!$D$15,"SOPORTE VITAL BASICO (BLS)",IF(N155=CURSOS!$D$16,"ATENCION A VICTIMAS DE VIOLENCIA SEXUAL ",IF(N155=CURSOS!$D$17,"PROGRAMADO AMPLIADO DE INMUNIZACION (PAI - COVID 19)",IF(N155=CURSOS!$D$18,"ATENCION INTEGRAL EN ENFERMEDADES PREVALENTES EN PRIMERA INFANCIA (AIEPI)",IF(N155=CURSOS!$D$19,"ADMINISTRACION DE MEDICAMENTOS, INYECTOLOGIA  Y CANALIZACION ",IF(N155=CURSOS!$D$20,"OPERADOR DE VEHICULOS DE EMERGENCIA (OVE)",IF(N155=CURSOS!$D$21,"INSTITUCIONES AMIGAS DE LA MUJER Y LA INFANCIA (IAMI)",IF(N155=CURSOS!$D$22,"CUIDADO DEL DONANTE DE ORGANOS",IF(N155=CURSOS!$D$23,"ATENCION A VICTIMAS POR VIOLENCIA DE GENERO",IF(N155=CURSOS!$D$24,"IGUALDAD DE GENERO EN LA SALUD",IF(N155=CURSOS!$D$25,"BRIGADA DE EMERGENCIA",IF(N155=CURSOS!$D$26,"MANEJO DEL DOLOR Y CUIDADOS PALIATIVOS",IF(N155=CURSOS!$D$27,"TOMA DE MUESTRAS Y LABORATORIO POCT",IF(N155=CURSOS!$D$28,"IMPLANTE SUBDERMICO DE DISPOSITIVO INTRAUTERINO",IF(N155=CURSOS!$D$29,"SALUD MENTAL",IF(N155=CURSOS!$D$30,"PRIMEROS AUXILIOS PSICOLOGICOS",IF(N155=CURSOS!$D$31,"ATENCION A VICTIMAS POR CONFLICTO ARMADO",IF(N155=CURSOS!$D$32,"MANIPULACION DE ALIMENTOS Y BPM",IF(N155=CURSOS!$D$33,"ATENCION A PERSONAS CON DISCAPACIDAD",IF(N155=CURSOS!$D$34,"CUIDADO INTEGRAL DEL PACIENTE ADULTO",IF(N155=CURSOS!$D$35,"MANEJO DEFENSIVO",IF(N155=CURSOS!$D$36,"SOPORTE CARDIOVASCULAR AVANZADO NEONATAL",IF(N155=CURSOS!$D$37,"SEGURIDAD DEL PACIENTE")))))))))))))))))))))))))))))))))))</f>
        <v xml:space="preserve">HUMANIZACION EN EL SERVICIO DE LA SALUD Y BUENAS PRACTICAS EN PACIENTE </v>
      </c>
      <c r="U155" s="124" t="str">
        <f t="shared" si="9"/>
        <v>Omar Eduardo Benavides Ayala</v>
      </c>
      <c r="V155" s="128" t="str">
        <f t="shared" si="10"/>
        <v>Omar Eduardo Benavides Ayala</v>
      </c>
      <c r="W155" s="138" t="str">
        <f t="shared" si="11"/>
        <v>Omar Eduardo Benavides Ayala-98364079-HUMANIZACION</v>
      </c>
    </row>
    <row r="156" spans="1:23" x14ac:dyDescent="0.2">
      <c r="A156" s="42">
        <v>155</v>
      </c>
      <c r="B156" s="43">
        <v>98364079</v>
      </c>
      <c r="C156" s="17" t="s">
        <v>122</v>
      </c>
      <c r="D156" s="17" t="s">
        <v>417</v>
      </c>
      <c r="E156" s="17" t="s">
        <v>416</v>
      </c>
      <c r="F156" s="17" t="s">
        <v>300</v>
      </c>
      <c r="G156" s="14">
        <v>6</v>
      </c>
      <c r="H156" s="14" t="s">
        <v>89</v>
      </c>
      <c r="I156" s="85">
        <v>45499</v>
      </c>
      <c r="J156" s="19">
        <v>30000</v>
      </c>
      <c r="K156" s="14" t="s">
        <v>214</v>
      </c>
      <c r="L156" s="14" t="s">
        <v>90</v>
      </c>
      <c r="M156" s="14" t="s">
        <v>411</v>
      </c>
      <c r="N156" s="15" t="s">
        <v>61</v>
      </c>
      <c r="O156" s="18"/>
      <c r="P156" s="15" t="s">
        <v>91</v>
      </c>
      <c r="Q156" s="17" t="s">
        <v>418</v>
      </c>
      <c r="R156" s="17"/>
      <c r="S156" s="17"/>
      <c r="T156" s="124" t="str">
        <f>IF(N156=CURSOS!$D$3,"DIPLOMADO EN ATENCION PRE-HOSPITALARIA",IF(N156=CURSOS!$D$4,"ACOMPAÑAMIENTO Y MANEJO DEL DUELO",IF(N156=CURSOS!$D$5,"ATENCION A VICTIMAS DE ATAQUE CON AGENTES QUIMICOS ",IF(N156=CURSOS!$D$6,"PRIMEROS AUXILIOS ",IF(N156=CURSOS!$D$7,"DIPLOMADO DE UNIDAD DE CUIDADOS INTENSIVOS (UCI)",IF(N156=CURSOS!$D$8,"MODELO DE ATENCION PARA EVENTOS EMERGENTES EN SALUD MENTAL (CODIGO VERDE)",IF(N156=CURSOS!$D$9,"HUMANIZACION EN EL SERVICIO DE LA SALUD Y BUENAS PRACTICAS EN PACIENTE ",IF(N156=CURSOS!$D$10,"CLINICA DE HERIDAS ",IF(N156=CURSOS!$D$11,"TOMA DE CITOLOGIA CERVICO VAGINAL ",IF(N156=CURSOS!$D$12,"SOPORTE CARDIOVASCULAR AVANZADO (ACLS) ",IF(N156=CURSOS!$D$13,"CAMILLERO ",IF(N156=CURSOS!$D$14,"TOMA DE MUESTRAS Y LABORATORIO ",IF(N156=CURSOS!$D$15,"SOPORTE VITAL BASICO (BLS)",IF(N156=CURSOS!$D$16,"ATENCION A VICTIMAS DE VIOLENCIA SEXUAL ",IF(N156=CURSOS!$D$17,"PROGRAMADO AMPLIADO DE INMUNIZACION (PAI - COVID 19)",IF(N156=CURSOS!$D$18,"ATENCION INTEGRAL EN ENFERMEDADES PREVALENTES EN PRIMERA INFANCIA (AIEPI)",IF(N156=CURSOS!$D$19,"ADMINISTRACION DE MEDICAMENTOS, INYECTOLOGIA  Y CANALIZACION ",IF(N156=CURSOS!$D$20,"OPERADOR DE VEHICULOS DE EMERGENCIA (OVE)",IF(N156=CURSOS!$D$21,"INSTITUCIONES AMIGAS DE LA MUJER Y LA INFANCIA (IAMI)",IF(N156=CURSOS!$D$22,"CUIDADO DEL DONANTE DE ORGANOS",IF(N156=CURSOS!$D$23,"ATENCION A VICTIMAS POR VIOLENCIA DE GENERO",IF(N156=CURSOS!$D$24,"IGUALDAD DE GENERO EN LA SALUD",IF(N156=CURSOS!$D$25,"BRIGADA DE EMERGENCIA",IF(N156=CURSOS!$D$26,"MANEJO DEL DOLOR Y CUIDADOS PALIATIVOS",IF(N156=CURSOS!$D$27,"TOMA DE MUESTRAS Y LABORATORIO POCT",IF(N156=CURSOS!$D$28,"IMPLANTE SUBDERMICO DE DISPOSITIVO INTRAUTERINO",IF(N156=CURSOS!$D$29,"SALUD MENTAL",IF(N156=CURSOS!$D$30,"PRIMEROS AUXILIOS PSICOLOGICOS",IF(N156=CURSOS!$D$31,"ATENCION A VICTIMAS POR CONFLICTO ARMADO",IF(N156=CURSOS!$D$32,"MANIPULACION DE ALIMENTOS Y BPM",IF(N156=CURSOS!$D$33,"ATENCION A PERSONAS CON DISCAPACIDAD",IF(N156=CURSOS!$D$34,"CUIDADO INTEGRAL DEL PACIENTE ADULTO",IF(N156=CURSOS!$D$35,"MANEJO DEFENSIVO",IF(N156=CURSOS!$D$36,"SOPORTE CARDIOVASCULAR AVANZADO NEONATAL",IF(N156=CURSOS!$D$37,"SEGURIDAD DEL PACIENTE")))))))))))))))))))))))))))))))))))</f>
        <v>MANEJO DEL DOLOR Y CUIDADOS PALIATIVOS</v>
      </c>
      <c r="U156" s="124" t="str">
        <f t="shared" si="9"/>
        <v>Omar Eduardo Benavides Ayala</v>
      </c>
      <c r="V156" s="128" t="str">
        <f t="shared" si="10"/>
        <v>Omar Eduardo Benavides Ayala</v>
      </c>
      <c r="W156" s="138" t="str">
        <f t="shared" si="11"/>
        <v>Omar Eduardo Benavides Ayala-98364079-PALIATIVOS</v>
      </c>
    </row>
    <row r="157" spans="1:23" x14ac:dyDescent="0.2">
      <c r="A157" s="42">
        <v>156</v>
      </c>
      <c r="B157" s="43">
        <v>1085297387</v>
      </c>
      <c r="C157" s="17" t="s">
        <v>419</v>
      </c>
      <c r="D157" s="17" t="s">
        <v>325</v>
      </c>
      <c r="E157" s="17" t="s">
        <v>321</v>
      </c>
      <c r="F157" s="17" t="s">
        <v>244</v>
      </c>
      <c r="G157" s="14">
        <v>10</v>
      </c>
      <c r="H157" s="14" t="s">
        <v>89</v>
      </c>
      <c r="I157" s="16">
        <v>45483</v>
      </c>
      <c r="J157" s="19">
        <v>40000</v>
      </c>
      <c r="K157" s="14" t="s">
        <v>210</v>
      </c>
      <c r="L157" s="14" t="s">
        <v>90</v>
      </c>
      <c r="M157" s="14" t="s">
        <v>275</v>
      </c>
      <c r="N157" s="15" t="s">
        <v>63</v>
      </c>
      <c r="O157" s="18">
        <v>33707</v>
      </c>
      <c r="P157" s="15" t="s">
        <v>91</v>
      </c>
      <c r="Q157" s="17" t="s">
        <v>215</v>
      </c>
      <c r="R157" s="17">
        <v>3006450520</v>
      </c>
      <c r="S157" s="17" t="s">
        <v>420</v>
      </c>
      <c r="T157" s="124" t="str">
        <f>IF(N157=CURSOS!$D$3,"DIPLOMADO EN ATENCION PRE-HOSPITALARIA",IF(N157=CURSOS!$D$4,"ACOMPAÑAMIENTO Y MANEJO DEL DUELO",IF(N157=CURSOS!$D$5,"ATENCION A VICTIMAS DE ATAQUE CON AGENTES QUIMICOS ",IF(N157=CURSOS!$D$6,"PRIMEROS AUXILIOS ",IF(N157=CURSOS!$D$7,"DIPLOMADO DE UNIDAD DE CUIDADOS INTENSIVOS (UCI)",IF(N157=CURSOS!$D$8,"MODELO DE ATENCION PARA EVENTOS EMERGENTES EN SALUD MENTAL (CODIGO VERDE)",IF(N157=CURSOS!$D$9,"HUMANIZACION EN EL SERVICIO DE LA SALUD Y BUENAS PRACTICAS EN PACIENTE ",IF(N157=CURSOS!$D$10,"CLINICA DE HERIDAS ",IF(N157=CURSOS!$D$11,"TOMA DE CITOLOGIA CERVICO VAGINAL ",IF(N157=CURSOS!$D$12,"SOPORTE CARDIOVASCULAR AVANZADO (ACLS) ",IF(N157=CURSOS!$D$13,"CAMILLERO ",IF(N157=CURSOS!$D$14,"TOMA DE MUESTRAS Y LABORATORIO ",IF(N157=CURSOS!$D$15,"SOPORTE VITAL BASICO (BLS)",IF(N157=CURSOS!$D$16,"ATENCION A VICTIMAS DE VIOLENCIA SEXUAL ",IF(N157=CURSOS!$D$17,"PROGRAMADO AMPLIADO DE INMUNIZACION (PAI - COVID 19)",IF(N157=CURSOS!$D$18,"ATENCION INTEGRAL EN ENFERMEDADES PREVALENTES EN PRIMERA INFANCIA (AIEPI)",IF(N157=CURSOS!$D$19,"ADMINISTRACION DE MEDICAMENTOS, INYECTOLOGIA  Y CANALIZACION ",IF(N157=CURSOS!$D$20,"OPERADOR DE VEHICULOS DE EMERGENCIA (OVE)",IF(N157=CURSOS!$D$21,"INSTITUCIONES AMIGAS DE LA MUJER Y LA INFANCIA (IAMI)",IF(N157=CURSOS!$D$22,"CUIDADO DEL DONANTE DE ORGANOS",IF(N157=CURSOS!$D$23,"ATENCION A VICTIMAS POR VIOLENCIA DE GENERO",IF(N157=CURSOS!$D$24,"IGUALDAD DE GENERO EN LA SALUD",IF(N157=CURSOS!$D$25,"BRIGADA DE EMERGENCIA",IF(N157=CURSOS!$D$26,"MANEJO DEL DOLOR Y CUIDADOS PALIATIVOS",IF(N157=CURSOS!$D$27,"TOMA DE MUESTRAS Y LABORATORIO POCT",IF(N157=CURSOS!$D$28,"IMPLANTE SUBDERMICO DE DISPOSITIVO INTRAUTERINO",IF(N157=CURSOS!$D$29,"SALUD MENTAL",IF(N157=CURSOS!$D$30,"PRIMEROS AUXILIOS PSICOLOGICOS",IF(N157=CURSOS!$D$31,"ATENCION A VICTIMAS POR CONFLICTO ARMADO",IF(N157=CURSOS!$D$32,"MANIPULACION DE ALIMENTOS Y BPM",IF(N157=CURSOS!$D$33,"ATENCION A PERSONAS CON DISCAPACIDAD",IF(N157=CURSOS!$D$34,"CUIDADO INTEGRAL DEL PACIENTE ADULTO",IF(N157=CURSOS!$D$35,"MANEJO DEFENSIVO",IF(N157=CURSOS!$D$36,"SOPORTE CARDIOVASCULAR AVANZADO NEONATAL",IF(N157=CURSOS!$D$37,"SEGURIDAD DEL PACIENTE")))))))))))))))))))))))))))))))))))</f>
        <v>TOMA DE MUESTRAS Y LABORATORIO POCT</v>
      </c>
      <c r="U157" s="124" t="str">
        <f t="shared" si="9"/>
        <v>Juan Sebastian Barrera Cabrera</v>
      </c>
      <c r="V157" s="128" t="str">
        <f t="shared" si="10"/>
        <v>Juan Sebastian Barrera Cabrera</v>
      </c>
      <c r="W157" s="138" t="str">
        <f t="shared" si="11"/>
        <v>Juan Sebastian Barrera Cabrera-1085297387-POCT</v>
      </c>
    </row>
    <row r="158" spans="1:23" x14ac:dyDescent="0.2">
      <c r="A158" s="42">
        <v>157</v>
      </c>
      <c r="B158" s="43">
        <v>1004694891</v>
      </c>
      <c r="C158" s="17" t="s">
        <v>421</v>
      </c>
      <c r="D158" s="17" t="s">
        <v>422</v>
      </c>
      <c r="E158" s="17" t="s">
        <v>423</v>
      </c>
      <c r="F158" s="17" t="s">
        <v>424</v>
      </c>
      <c r="G158" s="14">
        <v>11</v>
      </c>
      <c r="H158" s="14" t="s">
        <v>89</v>
      </c>
      <c r="I158" s="16">
        <v>45488</v>
      </c>
      <c r="J158" s="19">
        <v>32000</v>
      </c>
      <c r="K158" s="14" t="s">
        <v>214</v>
      </c>
      <c r="L158" s="14" t="s">
        <v>90</v>
      </c>
      <c r="M158" s="14" t="s">
        <v>125</v>
      </c>
      <c r="N158" s="15" t="s">
        <v>25</v>
      </c>
      <c r="O158" s="18">
        <v>36740</v>
      </c>
      <c r="P158" s="15" t="s">
        <v>101</v>
      </c>
      <c r="Q158" s="17" t="s">
        <v>126</v>
      </c>
      <c r="R158" s="17">
        <v>3216514386</v>
      </c>
      <c r="S158" s="17" t="s">
        <v>425</v>
      </c>
      <c r="T158" s="124" t="str">
        <f>IF(N158=CURSOS!$D$3,"DIPLOMADO EN ATENCION PRE-HOSPITALARIA",IF(N158=CURSOS!$D$4,"ACOMPAÑAMIENTO Y MANEJO DEL DUELO",IF(N158=CURSOS!$D$5,"ATENCION A VICTIMAS DE ATAQUE CON AGENTES QUIMICOS ",IF(N158=CURSOS!$D$6,"PRIMEROS AUXILIOS ",IF(N158=CURSOS!$D$7,"DIPLOMADO DE UNIDAD DE CUIDADOS INTENSIVOS (UCI)",IF(N158=CURSOS!$D$8,"MODELO DE ATENCION PARA EVENTOS EMERGENTES EN SALUD MENTAL (CODIGO VERDE)",IF(N158=CURSOS!$D$9,"HUMANIZACION EN EL SERVICIO DE LA SALUD Y BUENAS PRACTICAS EN PACIENTE ",IF(N158=CURSOS!$D$10,"CLINICA DE HERIDAS ",IF(N158=CURSOS!$D$11,"TOMA DE CITOLOGIA CERVICO VAGINAL ",IF(N158=CURSOS!$D$12,"SOPORTE CARDIOVASCULAR AVANZADO (ACLS) ",IF(N158=CURSOS!$D$13,"CAMILLERO ",IF(N158=CURSOS!$D$14,"TOMA DE MUESTRAS Y LABORATORIO ",IF(N158=CURSOS!$D$15,"SOPORTE VITAL BASICO (BLS)",IF(N158=CURSOS!$D$16,"ATENCION A VICTIMAS DE VIOLENCIA SEXUAL ",IF(N158=CURSOS!$D$17,"PROGRAMADO AMPLIADO DE INMUNIZACION (PAI - COVID 19)",IF(N158=CURSOS!$D$18,"ATENCION INTEGRAL EN ENFERMEDADES PREVALENTES EN PRIMERA INFANCIA (AIEPI)",IF(N158=CURSOS!$D$19,"ADMINISTRACION DE MEDICAMENTOS, INYECTOLOGIA  Y CANALIZACION ",IF(N158=CURSOS!$D$20,"OPERADOR DE VEHICULOS DE EMERGENCIA (OVE)",IF(N158=CURSOS!$D$21,"INSTITUCIONES AMIGAS DE LA MUJER Y LA INFANCIA (IAMI)",IF(N158=CURSOS!$D$22,"CUIDADO DEL DONANTE DE ORGANOS",IF(N158=CURSOS!$D$23,"ATENCION A VICTIMAS POR VIOLENCIA DE GENERO",IF(N158=CURSOS!$D$24,"IGUALDAD DE GENERO EN LA SALUD",IF(N158=CURSOS!$D$25,"BRIGADA DE EMERGENCIA",IF(N158=CURSOS!$D$26,"MANEJO DEL DOLOR Y CUIDADOS PALIATIVOS",IF(N158=CURSOS!$D$27,"TOMA DE MUESTRAS Y LABORATORIO POCT",IF(N158=CURSOS!$D$28,"IMPLANTE SUBDERMICO DE DISPOSITIVO INTRAUTERINO",IF(N158=CURSOS!$D$29,"SALUD MENTAL",IF(N158=CURSOS!$D$30,"PRIMEROS AUXILIOS PSICOLOGICOS",IF(N158=CURSOS!$D$31,"ATENCION A VICTIMAS POR CONFLICTO ARMADO",IF(N158=CURSOS!$D$32,"MANIPULACION DE ALIMENTOS Y BPM",IF(N158=CURSOS!$D$33,"ATENCION A PERSONAS CON DISCAPACIDAD",IF(N158=CURSOS!$D$34,"CUIDADO INTEGRAL DEL PACIENTE ADULTO",IF(N158=CURSOS!$D$35,"MANEJO DEFENSIVO",IF(N158=CURSOS!$D$36,"SOPORTE CARDIOVASCULAR AVANZADO NEONATAL",IF(N158=CURSOS!$D$37,"SEGURIDAD DEL PACIENTE")))))))))))))))))))))))))))))))))))</f>
        <v xml:space="preserve">ATENCION A VICTIMAS DE ATAQUE CON AGENTES QUIMICOS </v>
      </c>
      <c r="U158" s="124" t="str">
        <f t="shared" si="9"/>
        <v>Yohanna Gisella Melo Santander</v>
      </c>
      <c r="V158" s="128" t="str">
        <f t="shared" si="10"/>
        <v>Yohanna Gisella Melo Santander</v>
      </c>
      <c r="W158" s="138" t="str">
        <f t="shared" si="11"/>
        <v>Yohanna Gisella Melo Santander-1004694891-QUIMICOS</v>
      </c>
    </row>
    <row r="159" spans="1:23" x14ac:dyDescent="0.2">
      <c r="A159" s="42">
        <v>158</v>
      </c>
      <c r="B159" s="125">
        <v>1004694891</v>
      </c>
      <c r="C159" s="104" t="s">
        <v>421</v>
      </c>
      <c r="D159" s="104" t="s">
        <v>422</v>
      </c>
      <c r="E159" s="104" t="s">
        <v>423</v>
      </c>
      <c r="F159" s="104" t="s">
        <v>424</v>
      </c>
      <c r="G159" s="105">
        <v>11</v>
      </c>
      <c r="H159" s="105" t="s">
        <v>89</v>
      </c>
      <c r="I159" s="112">
        <v>45488</v>
      </c>
      <c r="J159" s="106">
        <v>32000</v>
      </c>
      <c r="K159" s="105" t="s">
        <v>214</v>
      </c>
      <c r="L159" s="105" t="s">
        <v>90</v>
      </c>
      <c r="M159" s="105" t="s">
        <v>125</v>
      </c>
      <c r="N159" s="107" t="s">
        <v>23</v>
      </c>
      <c r="O159" s="113">
        <v>36740</v>
      </c>
      <c r="P159" s="107" t="s">
        <v>101</v>
      </c>
      <c r="Q159" s="136" t="s">
        <v>126</v>
      </c>
      <c r="R159" s="104">
        <v>3216514386</v>
      </c>
      <c r="S159" s="104" t="s">
        <v>425</v>
      </c>
      <c r="T159" s="124" t="str">
        <f>IF(N159=CURSOS!$D$3,"DIPLOMADO EN ATENCION PRE-HOSPITALARIA",IF(N159=CURSOS!$D$4,"ACOMPAÑAMIENTO Y MANEJO DEL DUELO",IF(N159=CURSOS!$D$5,"ATENCION A VICTIMAS DE ATAQUE CON AGENTES QUIMICOS ",IF(N159=CURSOS!$D$6,"PRIMEROS AUXILIOS ",IF(N159=CURSOS!$D$7,"DIPLOMADO DE UNIDAD DE CUIDADOS INTENSIVOS (UCI)",IF(N159=CURSOS!$D$8,"MODELO DE ATENCION PARA EVENTOS EMERGENTES EN SALUD MENTAL (CODIGO VERDE)",IF(N159=CURSOS!$D$9,"HUMANIZACION EN EL SERVICIO DE LA SALUD Y BUENAS PRACTICAS EN PACIENTE ",IF(N159=CURSOS!$D$10,"CLINICA DE HERIDAS ",IF(N159=CURSOS!$D$11,"TOMA DE CITOLOGIA CERVICO VAGINAL ",IF(N159=CURSOS!$D$12,"SOPORTE CARDIOVASCULAR AVANZADO (ACLS) ",IF(N159=CURSOS!$D$13,"CAMILLERO ",IF(N159=CURSOS!$D$14,"TOMA DE MUESTRAS Y LABORATORIO ",IF(N159=CURSOS!$D$15,"SOPORTE VITAL BASICO (BLS)",IF(N159=CURSOS!$D$16,"ATENCION A VICTIMAS DE VIOLENCIA SEXUAL ",IF(N159=CURSOS!$D$17,"PROGRAMADO AMPLIADO DE INMUNIZACION (PAI - COVID 19)",IF(N159=CURSOS!$D$18,"ATENCION INTEGRAL EN ENFERMEDADES PREVALENTES EN PRIMERA INFANCIA (AIEPI)",IF(N159=CURSOS!$D$19,"ADMINISTRACION DE MEDICAMENTOS, INYECTOLOGIA  Y CANALIZACION ",IF(N159=CURSOS!$D$20,"OPERADOR DE VEHICULOS DE EMERGENCIA (OVE)",IF(N159=CURSOS!$D$21,"INSTITUCIONES AMIGAS DE LA MUJER Y LA INFANCIA (IAMI)",IF(N159=CURSOS!$D$22,"CUIDADO DEL DONANTE DE ORGANOS",IF(N159=CURSOS!$D$23,"ATENCION A VICTIMAS POR VIOLENCIA DE GENERO",IF(N159=CURSOS!$D$24,"IGUALDAD DE GENERO EN LA SALUD",IF(N159=CURSOS!$D$25,"BRIGADA DE EMERGENCIA",IF(N159=CURSOS!$D$26,"MANEJO DEL DOLOR Y CUIDADOS PALIATIVOS",IF(N159=CURSOS!$D$27,"TOMA DE MUESTRAS Y LABORATORIO POCT",IF(N159=CURSOS!$D$28,"IMPLANTE SUBDERMICO DE DISPOSITIVO INTRAUTERINO",IF(N159=CURSOS!$D$29,"SALUD MENTAL",IF(N159=CURSOS!$D$30,"PRIMEROS AUXILIOS PSICOLOGICOS",IF(N159=CURSOS!$D$31,"ATENCION A VICTIMAS POR CONFLICTO ARMADO",IF(N159=CURSOS!$D$32,"MANIPULACION DE ALIMENTOS Y BPM",IF(N159=CURSOS!$D$33,"ATENCION A PERSONAS CON DISCAPACIDAD",IF(N159=CURSOS!$D$34,"CUIDADO INTEGRAL DEL PACIENTE ADULTO",IF(N159=CURSOS!$D$35,"MANEJO DEFENSIVO",IF(N159=CURSOS!$D$36,"SOPORTE CARDIOVASCULAR AVANZADO NEONATAL",IF(N159=CURSOS!$D$37,"SEGURIDAD DEL PACIENTE")))))))))))))))))))))))))))))))))))</f>
        <v>ACOMPAÑAMIENTO Y MANEJO DEL DUELO</v>
      </c>
      <c r="U159" s="124" t="str">
        <f t="shared" si="9"/>
        <v>Yohanna Gisella Melo Santander</v>
      </c>
      <c r="V159" s="128" t="str">
        <f t="shared" si="10"/>
        <v>Yohanna Gisella Melo Santander</v>
      </c>
      <c r="W159" s="138" t="str">
        <f t="shared" si="11"/>
        <v>Yohanna Gisella Melo Santander-1004694891-DUELO</v>
      </c>
    </row>
    <row r="160" spans="1:23" x14ac:dyDescent="0.2">
      <c r="A160" s="42">
        <v>159</v>
      </c>
      <c r="B160" s="43">
        <v>1085259836</v>
      </c>
      <c r="C160" s="17" t="s">
        <v>513</v>
      </c>
      <c r="D160" s="17" t="s">
        <v>514</v>
      </c>
      <c r="E160" s="17" t="s">
        <v>159</v>
      </c>
      <c r="F160" s="17" t="s">
        <v>396</v>
      </c>
      <c r="G160" s="14">
        <v>12</v>
      </c>
      <c r="H160" s="14" t="s">
        <v>89</v>
      </c>
      <c r="I160" s="16">
        <v>45484</v>
      </c>
      <c r="J160" s="19">
        <v>0</v>
      </c>
      <c r="K160" s="14" t="s">
        <v>245</v>
      </c>
      <c r="L160" s="14" t="s">
        <v>90</v>
      </c>
      <c r="M160" s="14" t="s">
        <v>548</v>
      </c>
      <c r="N160" s="15" t="s">
        <v>27</v>
      </c>
      <c r="O160" s="18"/>
      <c r="P160" s="15" t="s">
        <v>91</v>
      </c>
      <c r="Q160" s="17"/>
      <c r="R160" s="17"/>
      <c r="S160" s="17"/>
      <c r="T160" s="124" t="str">
        <f>IF(N160=CURSOS!$D$3,"DIPLOMADO EN ATENCION PRE-HOSPITALARIA",IF(N160=CURSOS!$D$4,"ACOMPAÑAMIENTO Y MANEJO DEL DUELO",IF(N160=CURSOS!$D$5,"ATENCION A VICTIMAS DE ATAQUE CON AGENTES QUIMICOS ",IF(N160=CURSOS!$D$6,"PRIMEROS AUXILIOS ",IF(N160=CURSOS!$D$7,"DIPLOMADO DE UNIDAD DE CUIDADOS INTENSIVOS (UCI)",IF(N160=CURSOS!$D$8,"MODELO DE ATENCION PARA EVENTOS EMERGENTES EN SALUD MENTAL (CODIGO VERDE)",IF(N160=CURSOS!$D$9,"HUMANIZACION EN EL SERVICIO DE LA SALUD Y BUENAS PRACTICAS EN PACIENTE ",IF(N160=CURSOS!$D$10,"CLINICA DE HERIDAS ",IF(N160=CURSOS!$D$11,"TOMA DE CITOLOGIA CERVICO VAGINAL ",IF(N160=CURSOS!$D$12,"SOPORTE CARDIOVASCULAR AVANZADO (ACLS) ",IF(N160=CURSOS!$D$13,"CAMILLERO ",IF(N160=CURSOS!$D$14,"TOMA DE MUESTRAS Y LABORATORIO ",IF(N160=CURSOS!$D$15,"SOPORTE VITAL BASICO (BLS)",IF(N160=CURSOS!$D$16,"ATENCION A VICTIMAS DE VIOLENCIA SEXUAL ",IF(N160=CURSOS!$D$17,"PROGRAMADO AMPLIADO DE INMUNIZACION (PAI - COVID 19)",IF(N160=CURSOS!$D$18,"ATENCION INTEGRAL EN ENFERMEDADES PREVALENTES EN PRIMERA INFANCIA (AIEPI)",IF(N160=CURSOS!$D$19,"ADMINISTRACION DE MEDICAMENTOS, INYECTOLOGIA  Y CANALIZACION ",IF(N160=CURSOS!$D$20,"OPERADOR DE VEHICULOS DE EMERGENCIA (OVE)",IF(N160=CURSOS!$D$21,"INSTITUCIONES AMIGAS DE LA MUJER Y LA INFANCIA (IAMI)",IF(N160=CURSOS!$D$22,"CUIDADO DEL DONANTE DE ORGANOS",IF(N160=CURSOS!$D$23,"ATENCION A VICTIMAS POR VIOLENCIA DE GENERO",IF(N160=CURSOS!$D$24,"IGUALDAD DE GENERO EN LA SALUD",IF(N160=CURSOS!$D$25,"BRIGADA DE EMERGENCIA",IF(N160=CURSOS!$D$26,"MANEJO DEL DOLOR Y CUIDADOS PALIATIVOS",IF(N160=CURSOS!$D$27,"TOMA DE MUESTRAS Y LABORATORIO POCT",IF(N160=CURSOS!$D$28,"IMPLANTE SUBDERMICO DE DISPOSITIVO INTRAUTERINO",IF(N160=CURSOS!$D$29,"SALUD MENTAL",IF(N160=CURSOS!$D$30,"PRIMEROS AUXILIOS PSICOLOGICOS",IF(N160=CURSOS!$D$31,"ATENCION A VICTIMAS POR CONFLICTO ARMADO",IF(N160=CURSOS!$D$32,"MANIPULACION DE ALIMENTOS Y BPM",IF(N160=CURSOS!$D$33,"ATENCION A PERSONAS CON DISCAPACIDAD",IF(N160=CURSOS!$D$34,"CUIDADO INTEGRAL DEL PACIENTE ADULTO",IF(N160=CURSOS!$D$35,"MANEJO DEFENSIVO",IF(N160=CURSOS!$D$36,"SOPORTE CARDIOVASCULAR AVANZADO NEONATAL",IF(N160=CURSOS!$D$37,"SEGURIDAD DEL PACIENTE")))))))))))))))))))))))))))))))))))</f>
        <v xml:space="preserve">PRIMEROS AUXILIOS </v>
      </c>
      <c r="U160" s="124" t="str">
        <f t="shared" si="9"/>
        <v>Luis Miguel Escobar Aguilar</v>
      </c>
      <c r="V160" s="128" t="str">
        <f t="shared" si="10"/>
        <v>Luis Miguel Escobar Aguilar</v>
      </c>
      <c r="W160" s="138" t="str">
        <f t="shared" si="11"/>
        <v>Luis Miguel Escobar Aguilar-1085259836-PRIMEROS AUXILIOS</v>
      </c>
    </row>
    <row r="161" spans="1:23" x14ac:dyDescent="0.2">
      <c r="A161" s="42">
        <v>160</v>
      </c>
      <c r="B161" s="123">
        <v>12749705</v>
      </c>
      <c r="C161" s="119" t="s">
        <v>515</v>
      </c>
      <c r="D161" s="44" t="s">
        <v>85</v>
      </c>
      <c r="E161" s="44" t="s">
        <v>475</v>
      </c>
      <c r="F161" s="44" t="s">
        <v>131</v>
      </c>
      <c r="G161" s="45">
        <v>12</v>
      </c>
      <c r="H161" s="45" t="s">
        <v>89</v>
      </c>
      <c r="I161" s="46">
        <v>45484</v>
      </c>
      <c r="J161" s="47">
        <v>0</v>
      </c>
      <c r="K161" s="45" t="s">
        <v>245</v>
      </c>
      <c r="L161" s="45" t="s">
        <v>90</v>
      </c>
      <c r="M161" s="45" t="s">
        <v>548</v>
      </c>
      <c r="N161" s="48" t="s">
        <v>27</v>
      </c>
      <c r="O161" s="49"/>
      <c r="P161" s="48" t="s">
        <v>91</v>
      </c>
      <c r="Q161" s="44"/>
      <c r="R161" s="44"/>
      <c r="S161" s="44"/>
      <c r="T161" s="124" t="str">
        <f>IF(N161=CURSOS!$D$3,"DIPLOMADO EN ATENCION PRE-HOSPITALARIA",IF(N161=CURSOS!$D$4,"ACOMPAÑAMIENTO Y MANEJO DEL DUELO",IF(N161=CURSOS!$D$5,"ATENCION A VICTIMAS DE ATAQUE CON AGENTES QUIMICOS ",IF(N161=CURSOS!$D$6,"PRIMEROS AUXILIOS ",IF(N161=CURSOS!$D$7,"DIPLOMADO DE UNIDAD DE CUIDADOS INTENSIVOS (UCI)",IF(N161=CURSOS!$D$8,"MODELO DE ATENCION PARA EVENTOS EMERGENTES EN SALUD MENTAL (CODIGO VERDE)",IF(N161=CURSOS!$D$9,"HUMANIZACION EN EL SERVICIO DE LA SALUD Y BUENAS PRACTICAS EN PACIENTE ",IF(N161=CURSOS!$D$10,"CLINICA DE HERIDAS ",IF(N161=CURSOS!$D$11,"TOMA DE CITOLOGIA CERVICO VAGINAL ",IF(N161=CURSOS!$D$12,"SOPORTE CARDIOVASCULAR AVANZADO (ACLS) ",IF(N161=CURSOS!$D$13,"CAMILLERO ",IF(N161=CURSOS!$D$14,"TOMA DE MUESTRAS Y LABORATORIO ",IF(N161=CURSOS!$D$15,"SOPORTE VITAL BASICO (BLS)",IF(N161=CURSOS!$D$16,"ATENCION A VICTIMAS DE VIOLENCIA SEXUAL ",IF(N161=CURSOS!$D$17,"PROGRAMADO AMPLIADO DE INMUNIZACION (PAI - COVID 19)",IF(N161=CURSOS!$D$18,"ATENCION INTEGRAL EN ENFERMEDADES PREVALENTES EN PRIMERA INFANCIA (AIEPI)",IF(N161=CURSOS!$D$19,"ADMINISTRACION DE MEDICAMENTOS, INYECTOLOGIA  Y CANALIZACION ",IF(N161=CURSOS!$D$20,"OPERADOR DE VEHICULOS DE EMERGENCIA (OVE)",IF(N161=CURSOS!$D$21,"INSTITUCIONES AMIGAS DE LA MUJER Y LA INFANCIA (IAMI)",IF(N161=CURSOS!$D$22,"CUIDADO DEL DONANTE DE ORGANOS",IF(N161=CURSOS!$D$23,"ATENCION A VICTIMAS POR VIOLENCIA DE GENERO",IF(N161=CURSOS!$D$24,"IGUALDAD DE GENERO EN LA SALUD",IF(N161=CURSOS!$D$25,"BRIGADA DE EMERGENCIA",IF(N161=CURSOS!$D$26,"MANEJO DEL DOLOR Y CUIDADOS PALIATIVOS",IF(N161=CURSOS!$D$27,"TOMA DE MUESTRAS Y LABORATORIO POCT",IF(N161=CURSOS!$D$28,"IMPLANTE SUBDERMICO DE DISPOSITIVO INTRAUTERINO",IF(N161=CURSOS!$D$29,"SALUD MENTAL",IF(N161=CURSOS!$D$30,"PRIMEROS AUXILIOS PSICOLOGICOS",IF(N161=CURSOS!$D$31,"ATENCION A VICTIMAS POR CONFLICTO ARMADO",IF(N161=CURSOS!$D$32,"MANIPULACION DE ALIMENTOS Y BPM",IF(N161=CURSOS!$D$33,"ATENCION A PERSONAS CON DISCAPACIDAD",IF(N161=CURSOS!$D$34,"CUIDADO INTEGRAL DEL PACIENTE ADULTO",IF(N161=CURSOS!$D$35,"MANEJO DEFENSIVO",IF(N161=CURSOS!$D$36,"SOPORTE CARDIOVASCULAR AVANZADO NEONATAL",IF(N161=CURSOS!$D$37,"SEGURIDAD DEL PACIENTE")))))))))))))))))))))))))))))))))))</f>
        <v xml:space="preserve">PRIMEROS AUXILIOS </v>
      </c>
      <c r="U161" s="124" t="str">
        <f t="shared" si="9"/>
        <v>Jorge Andres Valencia Burbano</v>
      </c>
      <c r="V161" s="128" t="str">
        <f t="shared" si="10"/>
        <v>Jorge Andres Valencia Burbano</v>
      </c>
      <c r="W161" s="138" t="str">
        <f t="shared" si="11"/>
        <v>Jorge Andres Valencia Burbano-12749705-PRIMEROS AUXILIOS</v>
      </c>
    </row>
    <row r="162" spans="1:23" x14ac:dyDescent="0.2">
      <c r="A162" s="42">
        <v>161</v>
      </c>
      <c r="B162" s="43">
        <v>1131085837</v>
      </c>
      <c r="C162" s="17" t="s">
        <v>459</v>
      </c>
      <c r="D162" s="17" t="s">
        <v>467</v>
      </c>
      <c r="E162" s="17" t="s">
        <v>436</v>
      </c>
      <c r="F162" s="17" t="s">
        <v>482</v>
      </c>
      <c r="G162" s="14">
        <v>12</v>
      </c>
      <c r="H162" s="14" t="s">
        <v>89</v>
      </c>
      <c r="I162" s="16">
        <v>45484</v>
      </c>
      <c r="J162" s="19">
        <v>0</v>
      </c>
      <c r="K162" s="14" t="s">
        <v>245</v>
      </c>
      <c r="L162" s="14" t="s">
        <v>90</v>
      </c>
      <c r="M162" s="14" t="s">
        <v>548</v>
      </c>
      <c r="N162" s="15" t="s">
        <v>27</v>
      </c>
      <c r="O162" s="18"/>
      <c r="P162" s="15" t="s">
        <v>101</v>
      </c>
      <c r="Q162" s="17"/>
      <c r="R162" s="17"/>
      <c r="S162" s="17"/>
      <c r="T162" s="124" t="str">
        <f>IF(N162=CURSOS!$D$3,"DIPLOMADO EN ATENCION PRE-HOSPITALARIA",IF(N162=CURSOS!$D$4,"ACOMPAÑAMIENTO Y MANEJO DEL DUELO",IF(N162=CURSOS!$D$5,"ATENCION A VICTIMAS DE ATAQUE CON AGENTES QUIMICOS ",IF(N162=CURSOS!$D$6,"PRIMEROS AUXILIOS ",IF(N162=CURSOS!$D$7,"DIPLOMADO DE UNIDAD DE CUIDADOS INTENSIVOS (UCI)",IF(N162=CURSOS!$D$8,"MODELO DE ATENCION PARA EVENTOS EMERGENTES EN SALUD MENTAL (CODIGO VERDE)",IF(N162=CURSOS!$D$9,"HUMANIZACION EN EL SERVICIO DE LA SALUD Y BUENAS PRACTICAS EN PACIENTE ",IF(N162=CURSOS!$D$10,"CLINICA DE HERIDAS ",IF(N162=CURSOS!$D$11,"TOMA DE CITOLOGIA CERVICO VAGINAL ",IF(N162=CURSOS!$D$12,"SOPORTE CARDIOVASCULAR AVANZADO (ACLS) ",IF(N162=CURSOS!$D$13,"CAMILLERO ",IF(N162=CURSOS!$D$14,"TOMA DE MUESTRAS Y LABORATORIO ",IF(N162=CURSOS!$D$15,"SOPORTE VITAL BASICO (BLS)",IF(N162=CURSOS!$D$16,"ATENCION A VICTIMAS DE VIOLENCIA SEXUAL ",IF(N162=CURSOS!$D$17,"PROGRAMADO AMPLIADO DE INMUNIZACION (PAI - COVID 19)",IF(N162=CURSOS!$D$18,"ATENCION INTEGRAL EN ENFERMEDADES PREVALENTES EN PRIMERA INFANCIA (AIEPI)",IF(N162=CURSOS!$D$19,"ADMINISTRACION DE MEDICAMENTOS, INYECTOLOGIA  Y CANALIZACION ",IF(N162=CURSOS!$D$20,"OPERADOR DE VEHICULOS DE EMERGENCIA (OVE)",IF(N162=CURSOS!$D$21,"INSTITUCIONES AMIGAS DE LA MUJER Y LA INFANCIA (IAMI)",IF(N162=CURSOS!$D$22,"CUIDADO DEL DONANTE DE ORGANOS",IF(N162=CURSOS!$D$23,"ATENCION A VICTIMAS POR VIOLENCIA DE GENERO",IF(N162=CURSOS!$D$24,"IGUALDAD DE GENERO EN LA SALUD",IF(N162=CURSOS!$D$25,"BRIGADA DE EMERGENCIA",IF(N162=CURSOS!$D$26,"MANEJO DEL DOLOR Y CUIDADOS PALIATIVOS",IF(N162=CURSOS!$D$27,"TOMA DE MUESTRAS Y LABORATORIO POCT",IF(N162=CURSOS!$D$28,"IMPLANTE SUBDERMICO DE DISPOSITIVO INTRAUTERINO",IF(N162=CURSOS!$D$29,"SALUD MENTAL",IF(N162=CURSOS!$D$30,"PRIMEROS AUXILIOS PSICOLOGICOS",IF(N162=CURSOS!$D$31,"ATENCION A VICTIMAS POR CONFLICTO ARMADO",IF(N162=CURSOS!$D$32,"MANIPULACION DE ALIMENTOS Y BPM",IF(N162=CURSOS!$D$33,"ATENCION A PERSONAS CON DISCAPACIDAD",IF(N162=CURSOS!$D$34,"CUIDADO INTEGRAL DEL PACIENTE ADULTO",IF(N162=CURSOS!$D$35,"MANEJO DEFENSIVO",IF(N162=CURSOS!$D$36,"SOPORTE CARDIOVASCULAR AVANZADO NEONATAL",IF(N162=CURSOS!$D$37,"SEGURIDAD DEL PACIENTE")))))))))))))))))))))))))))))))))))</f>
        <v xml:space="preserve">PRIMEROS AUXILIOS </v>
      </c>
      <c r="U162" s="124" t="str">
        <f t="shared" si="9"/>
        <v>Leidy Viviana Pianda Botina</v>
      </c>
      <c r="V162" s="128" t="str">
        <f t="shared" si="10"/>
        <v>Leidy Viviana Pianda Botina</v>
      </c>
      <c r="W162" s="138" t="str">
        <f t="shared" si="11"/>
        <v>Leidy Viviana Pianda Botina-1131085837-PRIMEROS AUXILIOS</v>
      </c>
    </row>
    <row r="163" spans="1:23" x14ac:dyDescent="0.2">
      <c r="A163" s="42">
        <v>162</v>
      </c>
      <c r="B163" s="43">
        <v>12998916</v>
      </c>
      <c r="C163" s="17" t="s">
        <v>94</v>
      </c>
      <c r="D163" s="17" t="s">
        <v>516</v>
      </c>
      <c r="E163" s="17" t="s">
        <v>517</v>
      </c>
      <c r="F163" s="17" t="s">
        <v>518</v>
      </c>
      <c r="G163" s="14">
        <v>12</v>
      </c>
      <c r="H163" s="14" t="s">
        <v>89</v>
      </c>
      <c r="I163" s="16">
        <v>45484</v>
      </c>
      <c r="J163" s="19">
        <v>0</v>
      </c>
      <c r="K163" s="14" t="s">
        <v>245</v>
      </c>
      <c r="L163" s="14" t="s">
        <v>90</v>
      </c>
      <c r="M163" s="14" t="s">
        <v>548</v>
      </c>
      <c r="N163" s="15" t="s">
        <v>27</v>
      </c>
      <c r="O163" s="18"/>
      <c r="P163" s="15" t="s">
        <v>91</v>
      </c>
      <c r="Q163" s="17"/>
      <c r="R163" s="17"/>
      <c r="S163" s="39"/>
      <c r="T163" s="124" t="str">
        <f>IF(N163=CURSOS!$D$3,"DIPLOMADO EN ATENCION PRE-HOSPITALARIA",IF(N163=CURSOS!$D$4,"ACOMPAÑAMIENTO Y MANEJO DEL DUELO",IF(N163=CURSOS!$D$5,"ATENCION A VICTIMAS DE ATAQUE CON AGENTES QUIMICOS ",IF(N163=CURSOS!$D$6,"PRIMEROS AUXILIOS ",IF(N163=CURSOS!$D$7,"DIPLOMADO DE UNIDAD DE CUIDADOS INTENSIVOS (UCI)",IF(N163=CURSOS!$D$8,"MODELO DE ATENCION PARA EVENTOS EMERGENTES EN SALUD MENTAL (CODIGO VERDE)",IF(N163=CURSOS!$D$9,"HUMANIZACION EN EL SERVICIO DE LA SALUD Y BUENAS PRACTICAS EN PACIENTE ",IF(N163=CURSOS!$D$10,"CLINICA DE HERIDAS ",IF(N163=CURSOS!$D$11,"TOMA DE CITOLOGIA CERVICO VAGINAL ",IF(N163=CURSOS!$D$12,"SOPORTE CARDIOVASCULAR AVANZADO (ACLS) ",IF(N163=CURSOS!$D$13,"CAMILLERO ",IF(N163=CURSOS!$D$14,"TOMA DE MUESTRAS Y LABORATORIO ",IF(N163=CURSOS!$D$15,"SOPORTE VITAL BASICO (BLS)",IF(N163=CURSOS!$D$16,"ATENCION A VICTIMAS DE VIOLENCIA SEXUAL ",IF(N163=CURSOS!$D$17,"PROGRAMADO AMPLIADO DE INMUNIZACION (PAI - COVID 19)",IF(N163=CURSOS!$D$18,"ATENCION INTEGRAL EN ENFERMEDADES PREVALENTES EN PRIMERA INFANCIA (AIEPI)",IF(N163=CURSOS!$D$19,"ADMINISTRACION DE MEDICAMENTOS, INYECTOLOGIA  Y CANALIZACION ",IF(N163=CURSOS!$D$20,"OPERADOR DE VEHICULOS DE EMERGENCIA (OVE)",IF(N163=CURSOS!$D$21,"INSTITUCIONES AMIGAS DE LA MUJER Y LA INFANCIA (IAMI)",IF(N163=CURSOS!$D$22,"CUIDADO DEL DONANTE DE ORGANOS",IF(N163=CURSOS!$D$23,"ATENCION A VICTIMAS POR VIOLENCIA DE GENERO",IF(N163=CURSOS!$D$24,"IGUALDAD DE GENERO EN LA SALUD",IF(N163=CURSOS!$D$25,"BRIGADA DE EMERGENCIA",IF(N163=CURSOS!$D$26,"MANEJO DEL DOLOR Y CUIDADOS PALIATIVOS",IF(N163=CURSOS!$D$27,"TOMA DE MUESTRAS Y LABORATORIO POCT",IF(N163=CURSOS!$D$28,"IMPLANTE SUBDERMICO DE DISPOSITIVO INTRAUTERINO",IF(N163=CURSOS!$D$29,"SALUD MENTAL",IF(N163=CURSOS!$D$30,"PRIMEROS AUXILIOS PSICOLOGICOS",IF(N163=CURSOS!$D$31,"ATENCION A VICTIMAS POR CONFLICTO ARMADO",IF(N163=CURSOS!$D$32,"MANIPULACION DE ALIMENTOS Y BPM",IF(N163=CURSOS!$D$33,"ATENCION A PERSONAS CON DISCAPACIDAD",IF(N163=CURSOS!$D$34,"CUIDADO INTEGRAL DEL PACIENTE ADULTO",IF(N163=CURSOS!$D$35,"MANEJO DEFENSIVO",IF(N163=CURSOS!$D$36,"SOPORTE CARDIOVASCULAR AVANZADO NEONATAL",IF(N163=CURSOS!$D$37,"SEGURIDAD DEL PACIENTE")))))))))))))))))))))))))))))))))))</f>
        <v xml:space="preserve">PRIMEROS AUXILIOS </v>
      </c>
      <c r="U163" s="124" t="str">
        <f t="shared" si="9"/>
        <v>Edison Alberto Portilla Tumal</v>
      </c>
      <c r="V163" s="128" t="str">
        <f t="shared" si="10"/>
        <v>Edison Alberto Portilla Tumal</v>
      </c>
      <c r="W163" s="138" t="str">
        <f t="shared" si="11"/>
        <v>Edison Alberto Portilla Tumal-12998916-PRIMEROS AUXILIOS</v>
      </c>
    </row>
    <row r="164" spans="1:23" x14ac:dyDescent="0.2">
      <c r="A164" s="42">
        <v>163</v>
      </c>
      <c r="B164" s="43">
        <v>1085268543</v>
      </c>
      <c r="C164" s="17" t="s">
        <v>355</v>
      </c>
      <c r="D164" s="17" t="s">
        <v>519</v>
      </c>
      <c r="E164" s="17" t="s">
        <v>131</v>
      </c>
      <c r="F164" s="17" t="s">
        <v>105</v>
      </c>
      <c r="G164" s="14">
        <v>12</v>
      </c>
      <c r="H164" s="14" t="s">
        <v>89</v>
      </c>
      <c r="I164" s="16">
        <v>45484</v>
      </c>
      <c r="J164" s="19">
        <v>0</v>
      </c>
      <c r="K164" s="14" t="s">
        <v>245</v>
      </c>
      <c r="L164" s="14" t="s">
        <v>90</v>
      </c>
      <c r="M164" s="14" t="s">
        <v>548</v>
      </c>
      <c r="N164" s="15" t="s">
        <v>27</v>
      </c>
      <c r="O164" s="97"/>
      <c r="P164" s="15" t="s">
        <v>91</v>
      </c>
      <c r="Q164" s="17"/>
      <c r="R164" s="17"/>
      <c r="S164" s="39"/>
      <c r="T164" s="124" t="str">
        <f>IF(N164=CURSOS!$D$3,"DIPLOMADO EN ATENCION PRE-HOSPITALARIA",IF(N164=CURSOS!$D$4,"ACOMPAÑAMIENTO Y MANEJO DEL DUELO",IF(N164=CURSOS!$D$5,"ATENCION A VICTIMAS DE ATAQUE CON AGENTES QUIMICOS ",IF(N164=CURSOS!$D$6,"PRIMEROS AUXILIOS ",IF(N164=CURSOS!$D$7,"DIPLOMADO DE UNIDAD DE CUIDADOS INTENSIVOS (UCI)",IF(N164=CURSOS!$D$8,"MODELO DE ATENCION PARA EVENTOS EMERGENTES EN SALUD MENTAL (CODIGO VERDE)",IF(N164=CURSOS!$D$9,"HUMANIZACION EN EL SERVICIO DE LA SALUD Y BUENAS PRACTICAS EN PACIENTE ",IF(N164=CURSOS!$D$10,"CLINICA DE HERIDAS ",IF(N164=CURSOS!$D$11,"TOMA DE CITOLOGIA CERVICO VAGINAL ",IF(N164=CURSOS!$D$12,"SOPORTE CARDIOVASCULAR AVANZADO (ACLS) ",IF(N164=CURSOS!$D$13,"CAMILLERO ",IF(N164=CURSOS!$D$14,"TOMA DE MUESTRAS Y LABORATORIO ",IF(N164=CURSOS!$D$15,"SOPORTE VITAL BASICO (BLS)",IF(N164=CURSOS!$D$16,"ATENCION A VICTIMAS DE VIOLENCIA SEXUAL ",IF(N164=CURSOS!$D$17,"PROGRAMADO AMPLIADO DE INMUNIZACION (PAI - COVID 19)",IF(N164=CURSOS!$D$18,"ATENCION INTEGRAL EN ENFERMEDADES PREVALENTES EN PRIMERA INFANCIA (AIEPI)",IF(N164=CURSOS!$D$19,"ADMINISTRACION DE MEDICAMENTOS, INYECTOLOGIA  Y CANALIZACION ",IF(N164=CURSOS!$D$20,"OPERADOR DE VEHICULOS DE EMERGENCIA (OVE)",IF(N164=CURSOS!$D$21,"INSTITUCIONES AMIGAS DE LA MUJER Y LA INFANCIA (IAMI)",IF(N164=CURSOS!$D$22,"CUIDADO DEL DONANTE DE ORGANOS",IF(N164=CURSOS!$D$23,"ATENCION A VICTIMAS POR VIOLENCIA DE GENERO",IF(N164=CURSOS!$D$24,"IGUALDAD DE GENERO EN LA SALUD",IF(N164=CURSOS!$D$25,"BRIGADA DE EMERGENCIA",IF(N164=CURSOS!$D$26,"MANEJO DEL DOLOR Y CUIDADOS PALIATIVOS",IF(N164=CURSOS!$D$27,"TOMA DE MUESTRAS Y LABORATORIO POCT",IF(N164=CURSOS!$D$28,"IMPLANTE SUBDERMICO DE DISPOSITIVO INTRAUTERINO",IF(N164=CURSOS!$D$29,"SALUD MENTAL",IF(N164=CURSOS!$D$30,"PRIMEROS AUXILIOS PSICOLOGICOS",IF(N164=CURSOS!$D$31,"ATENCION A VICTIMAS POR CONFLICTO ARMADO",IF(N164=CURSOS!$D$32,"MANIPULACION DE ALIMENTOS Y BPM",IF(N164=CURSOS!$D$33,"ATENCION A PERSONAS CON DISCAPACIDAD",IF(N164=CURSOS!$D$34,"CUIDADO INTEGRAL DEL PACIENTE ADULTO",IF(N164=CURSOS!$D$35,"MANEJO DEFENSIVO",IF(N164=CURSOS!$D$36,"SOPORTE CARDIOVASCULAR AVANZADO NEONATAL",IF(N164=CURSOS!$D$37,"SEGURIDAD DEL PACIENTE")))))))))))))))))))))))))))))))))))</f>
        <v xml:space="preserve">PRIMEROS AUXILIOS </v>
      </c>
      <c r="U164" s="124" t="str">
        <f t="shared" si="9"/>
        <v>Andres Mauricio Perez Lara</v>
      </c>
      <c r="V164" s="128" t="str">
        <f t="shared" si="10"/>
        <v>Andres Mauricio Perez Lara</v>
      </c>
      <c r="W164" s="138" t="str">
        <f t="shared" si="11"/>
        <v>Andres Mauricio Perez Lara-1085268543-PRIMEROS AUXILIOS</v>
      </c>
    </row>
    <row r="165" spans="1:23" x14ac:dyDescent="0.2">
      <c r="A165" s="42">
        <v>164</v>
      </c>
      <c r="B165" s="43">
        <v>98381679</v>
      </c>
      <c r="C165" s="17" t="s">
        <v>520</v>
      </c>
      <c r="D165" s="17" t="s">
        <v>460</v>
      </c>
      <c r="E165" s="17" t="s">
        <v>521</v>
      </c>
      <c r="F165" s="17"/>
      <c r="G165" s="14">
        <v>12</v>
      </c>
      <c r="H165" s="14" t="s">
        <v>89</v>
      </c>
      <c r="I165" s="16">
        <v>45484</v>
      </c>
      <c r="J165" s="19">
        <v>0</v>
      </c>
      <c r="K165" s="14" t="s">
        <v>245</v>
      </c>
      <c r="L165" s="14" t="s">
        <v>90</v>
      </c>
      <c r="M165" s="14" t="s">
        <v>548</v>
      </c>
      <c r="N165" s="15" t="s">
        <v>27</v>
      </c>
      <c r="O165" s="18"/>
      <c r="P165" s="15" t="s">
        <v>91</v>
      </c>
      <c r="Q165" s="17"/>
      <c r="R165" s="17"/>
      <c r="S165" s="39"/>
      <c r="T165" s="124" t="str">
        <f>IF(N165=CURSOS!$D$3,"DIPLOMADO EN ATENCION PRE-HOSPITALARIA",IF(N165=CURSOS!$D$4,"ACOMPAÑAMIENTO Y MANEJO DEL DUELO",IF(N165=CURSOS!$D$5,"ATENCION A VICTIMAS DE ATAQUE CON AGENTES QUIMICOS ",IF(N165=CURSOS!$D$6,"PRIMEROS AUXILIOS ",IF(N165=CURSOS!$D$7,"DIPLOMADO DE UNIDAD DE CUIDADOS INTENSIVOS (UCI)",IF(N165=CURSOS!$D$8,"MODELO DE ATENCION PARA EVENTOS EMERGENTES EN SALUD MENTAL (CODIGO VERDE)",IF(N165=CURSOS!$D$9,"HUMANIZACION EN EL SERVICIO DE LA SALUD Y BUENAS PRACTICAS EN PACIENTE ",IF(N165=CURSOS!$D$10,"CLINICA DE HERIDAS ",IF(N165=CURSOS!$D$11,"TOMA DE CITOLOGIA CERVICO VAGINAL ",IF(N165=CURSOS!$D$12,"SOPORTE CARDIOVASCULAR AVANZADO (ACLS) ",IF(N165=CURSOS!$D$13,"CAMILLERO ",IF(N165=CURSOS!$D$14,"TOMA DE MUESTRAS Y LABORATORIO ",IF(N165=CURSOS!$D$15,"SOPORTE VITAL BASICO (BLS)",IF(N165=CURSOS!$D$16,"ATENCION A VICTIMAS DE VIOLENCIA SEXUAL ",IF(N165=CURSOS!$D$17,"PROGRAMADO AMPLIADO DE INMUNIZACION (PAI - COVID 19)",IF(N165=CURSOS!$D$18,"ATENCION INTEGRAL EN ENFERMEDADES PREVALENTES EN PRIMERA INFANCIA (AIEPI)",IF(N165=CURSOS!$D$19,"ADMINISTRACION DE MEDICAMENTOS, INYECTOLOGIA  Y CANALIZACION ",IF(N165=CURSOS!$D$20,"OPERADOR DE VEHICULOS DE EMERGENCIA (OVE)",IF(N165=CURSOS!$D$21,"INSTITUCIONES AMIGAS DE LA MUJER Y LA INFANCIA (IAMI)",IF(N165=CURSOS!$D$22,"CUIDADO DEL DONANTE DE ORGANOS",IF(N165=CURSOS!$D$23,"ATENCION A VICTIMAS POR VIOLENCIA DE GENERO",IF(N165=CURSOS!$D$24,"IGUALDAD DE GENERO EN LA SALUD",IF(N165=CURSOS!$D$25,"BRIGADA DE EMERGENCIA",IF(N165=CURSOS!$D$26,"MANEJO DEL DOLOR Y CUIDADOS PALIATIVOS",IF(N165=CURSOS!$D$27,"TOMA DE MUESTRAS Y LABORATORIO POCT",IF(N165=CURSOS!$D$28,"IMPLANTE SUBDERMICO DE DISPOSITIVO INTRAUTERINO",IF(N165=CURSOS!$D$29,"SALUD MENTAL",IF(N165=CURSOS!$D$30,"PRIMEROS AUXILIOS PSICOLOGICOS",IF(N165=CURSOS!$D$31,"ATENCION A VICTIMAS POR CONFLICTO ARMADO",IF(N165=CURSOS!$D$32,"MANIPULACION DE ALIMENTOS Y BPM",IF(N165=CURSOS!$D$33,"ATENCION A PERSONAS CON DISCAPACIDAD",IF(N165=CURSOS!$D$34,"CUIDADO INTEGRAL DEL PACIENTE ADULTO",IF(N165=CURSOS!$D$35,"MANEJO DEFENSIVO",IF(N165=CURSOS!$D$36,"SOPORTE CARDIOVASCULAR AVANZADO NEONATAL",IF(N165=CURSOS!$D$37,"SEGURIDAD DEL PACIENTE")))))))))))))))))))))))))))))))))))</f>
        <v xml:space="preserve">PRIMEROS AUXILIOS </v>
      </c>
      <c r="U165" s="124" t="str">
        <f t="shared" si="9"/>
        <v>Humberto  Narvaez Villota</v>
      </c>
      <c r="V165" s="128" t="str">
        <f t="shared" si="10"/>
        <v>Humberto  Narvaez Villota</v>
      </c>
      <c r="W165" s="138" t="str">
        <f t="shared" si="11"/>
        <v>Humberto  Narvaez Villota-98381679-PRIMEROS AUXILIOS</v>
      </c>
    </row>
    <row r="166" spans="1:23" x14ac:dyDescent="0.2">
      <c r="A166" s="42">
        <v>165</v>
      </c>
      <c r="B166" s="43">
        <v>1085317935</v>
      </c>
      <c r="C166" s="17" t="s">
        <v>478</v>
      </c>
      <c r="D166" s="17" t="s">
        <v>301</v>
      </c>
      <c r="E166" s="17" t="s">
        <v>335</v>
      </c>
      <c r="F166" s="17" t="s">
        <v>522</v>
      </c>
      <c r="G166" s="14">
        <v>12</v>
      </c>
      <c r="H166" s="14" t="s">
        <v>89</v>
      </c>
      <c r="I166" s="16">
        <v>45484</v>
      </c>
      <c r="J166" s="19">
        <v>0</v>
      </c>
      <c r="K166" s="14" t="s">
        <v>245</v>
      </c>
      <c r="L166" s="14" t="s">
        <v>90</v>
      </c>
      <c r="M166" s="14" t="s">
        <v>548</v>
      </c>
      <c r="N166" s="15" t="s">
        <v>27</v>
      </c>
      <c r="O166" s="18"/>
      <c r="P166" s="15" t="s">
        <v>91</v>
      </c>
      <c r="Q166" s="17"/>
      <c r="R166" s="17"/>
      <c r="S166" s="39"/>
      <c r="T166" s="124" t="str">
        <f>IF(N166=CURSOS!$D$3,"DIPLOMADO EN ATENCION PRE-HOSPITALARIA",IF(N166=CURSOS!$D$4,"ACOMPAÑAMIENTO Y MANEJO DEL DUELO",IF(N166=CURSOS!$D$5,"ATENCION A VICTIMAS DE ATAQUE CON AGENTES QUIMICOS ",IF(N166=CURSOS!$D$6,"PRIMEROS AUXILIOS ",IF(N166=CURSOS!$D$7,"DIPLOMADO DE UNIDAD DE CUIDADOS INTENSIVOS (UCI)",IF(N166=CURSOS!$D$8,"MODELO DE ATENCION PARA EVENTOS EMERGENTES EN SALUD MENTAL (CODIGO VERDE)",IF(N166=CURSOS!$D$9,"HUMANIZACION EN EL SERVICIO DE LA SALUD Y BUENAS PRACTICAS EN PACIENTE ",IF(N166=CURSOS!$D$10,"CLINICA DE HERIDAS ",IF(N166=CURSOS!$D$11,"TOMA DE CITOLOGIA CERVICO VAGINAL ",IF(N166=CURSOS!$D$12,"SOPORTE CARDIOVASCULAR AVANZADO (ACLS) ",IF(N166=CURSOS!$D$13,"CAMILLERO ",IF(N166=CURSOS!$D$14,"TOMA DE MUESTRAS Y LABORATORIO ",IF(N166=CURSOS!$D$15,"SOPORTE VITAL BASICO (BLS)",IF(N166=CURSOS!$D$16,"ATENCION A VICTIMAS DE VIOLENCIA SEXUAL ",IF(N166=CURSOS!$D$17,"PROGRAMADO AMPLIADO DE INMUNIZACION (PAI - COVID 19)",IF(N166=CURSOS!$D$18,"ATENCION INTEGRAL EN ENFERMEDADES PREVALENTES EN PRIMERA INFANCIA (AIEPI)",IF(N166=CURSOS!$D$19,"ADMINISTRACION DE MEDICAMENTOS, INYECTOLOGIA  Y CANALIZACION ",IF(N166=CURSOS!$D$20,"OPERADOR DE VEHICULOS DE EMERGENCIA (OVE)",IF(N166=CURSOS!$D$21,"INSTITUCIONES AMIGAS DE LA MUJER Y LA INFANCIA (IAMI)",IF(N166=CURSOS!$D$22,"CUIDADO DEL DONANTE DE ORGANOS",IF(N166=CURSOS!$D$23,"ATENCION A VICTIMAS POR VIOLENCIA DE GENERO",IF(N166=CURSOS!$D$24,"IGUALDAD DE GENERO EN LA SALUD",IF(N166=CURSOS!$D$25,"BRIGADA DE EMERGENCIA",IF(N166=CURSOS!$D$26,"MANEJO DEL DOLOR Y CUIDADOS PALIATIVOS",IF(N166=CURSOS!$D$27,"TOMA DE MUESTRAS Y LABORATORIO POCT",IF(N166=CURSOS!$D$28,"IMPLANTE SUBDERMICO DE DISPOSITIVO INTRAUTERINO",IF(N166=CURSOS!$D$29,"SALUD MENTAL",IF(N166=CURSOS!$D$30,"PRIMEROS AUXILIOS PSICOLOGICOS",IF(N166=CURSOS!$D$31,"ATENCION A VICTIMAS POR CONFLICTO ARMADO",IF(N166=CURSOS!$D$32,"MANIPULACION DE ALIMENTOS Y BPM",IF(N166=CURSOS!$D$33,"ATENCION A PERSONAS CON DISCAPACIDAD",IF(N166=CURSOS!$D$34,"CUIDADO INTEGRAL DEL PACIENTE ADULTO",IF(N166=CURSOS!$D$35,"MANEJO DEFENSIVO",IF(N166=CURSOS!$D$36,"SOPORTE CARDIOVASCULAR AVANZADO NEONATAL",IF(N166=CURSOS!$D$37,"SEGURIDAD DEL PACIENTE")))))))))))))))))))))))))))))))))))</f>
        <v xml:space="preserve">PRIMEROS AUXILIOS </v>
      </c>
      <c r="U166" s="124" t="str">
        <f t="shared" si="9"/>
        <v>Daniel Airton Ortiz Huertas</v>
      </c>
      <c r="V166" s="128" t="str">
        <f t="shared" si="10"/>
        <v>Daniel Airton Ortiz Huertas</v>
      </c>
      <c r="W166" s="138" t="str">
        <f t="shared" si="11"/>
        <v>Daniel Airton Ortiz Huertas-1085317935-PRIMEROS AUXILIOS</v>
      </c>
    </row>
    <row r="167" spans="1:23" x14ac:dyDescent="0.2">
      <c r="A167" s="42">
        <v>166</v>
      </c>
      <c r="B167" s="43">
        <v>12980991</v>
      </c>
      <c r="C167" s="17" t="s">
        <v>523</v>
      </c>
      <c r="D167" s="17" t="s">
        <v>524</v>
      </c>
      <c r="E167" s="17" t="s">
        <v>314</v>
      </c>
      <c r="F167" s="17" t="s">
        <v>518</v>
      </c>
      <c r="G167" s="14">
        <v>12</v>
      </c>
      <c r="H167" s="14" t="s">
        <v>89</v>
      </c>
      <c r="I167" s="16">
        <v>45484</v>
      </c>
      <c r="J167" s="19">
        <v>0</v>
      </c>
      <c r="K167" s="14" t="s">
        <v>245</v>
      </c>
      <c r="L167" s="14" t="s">
        <v>90</v>
      </c>
      <c r="M167" s="14" t="s">
        <v>548</v>
      </c>
      <c r="N167" s="15" t="s">
        <v>27</v>
      </c>
      <c r="O167" s="18"/>
      <c r="P167" s="15" t="s">
        <v>91</v>
      </c>
      <c r="Q167" s="17"/>
      <c r="R167" s="17"/>
      <c r="S167" s="39"/>
      <c r="T167" s="124" t="str">
        <f>IF(N167=CURSOS!$D$3,"DIPLOMADO EN ATENCION PRE-HOSPITALARIA",IF(N167=CURSOS!$D$4,"ACOMPAÑAMIENTO Y MANEJO DEL DUELO",IF(N167=CURSOS!$D$5,"ATENCION A VICTIMAS DE ATAQUE CON AGENTES QUIMICOS ",IF(N167=CURSOS!$D$6,"PRIMEROS AUXILIOS ",IF(N167=CURSOS!$D$7,"DIPLOMADO DE UNIDAD DE CUIDADOS INTENSIVOS (UCI)",IF(N167=CURSOS!$D$8,"MODELO DE ATENCION PARA EVENTOS EMERGENTES EN SALUD MENTAL (CODIGO VERDE)",IF(N167=CURSOS!$D$9,"HUMANIZACION EN EL SERVICIO DE LA SALUD Y BUENAS PRACTICAS EN PACIENTE ",IF(N167=CURSOS!$D$10,"CLINICA DE HERIDAS ",IF(N167=CURSOS!$D$11,"TOMA DE CITOLOGIA CERVICO VAGINAL ",IF(N167=CURSOS!$D$12,"SOPORTE CARDIOVASCULAR AVANZADO (ACLS) ",IF(N167=CURSOS!$D$13,"CAMILLERO ",IF(N167=CURSOS!$D$14,"TOMA DE MUESTRAS Y LABORATORIO ",IF(N167=CURSOS!$D$15,"SOPORTE VITAL BASICO (BLS)",IF(N167=CURSOS!$D$16,"ATENCION A VICTIMAS DE VIOLENCIA SEXUAL ",IF(N167=CURSOS!$D$17,"PROGRAMADO AMPLIADO DE INMUNIZACION (PAI - COVID 19)",IF(N167=CURSOS!$D$18,"ATENCION INTEGRAL EN ENFERMEDADES PREVALENTES EN PRIMERA INFANCIA (AIEPI)",IF(N167=CURSOS!$D$19,"ADMINISTRACION DE MEDICAMENTOS, INYECTOLOGIA  Y CANALIZACION ",IF(N167=CURSOS!$D$20,"OPERADOR DE VEHICULOS DE EMERGENCIA (OVE)",IF(N167=CURSOS!$D$21,"INSTITUCIONES AMIGAS DE LA MUJER Y LA INFANCIA (IAMI)",IF(N167=CURSOS!$D$22,"CUIDADO DEL DONANTE DE ORGANOS",IF(N167=CURSOS!$D$23,"ATENCION A VICTIMAS POR VIOLENCIA DE GENERO",IF(N167=CURSOS!$D$24,"IGUALDAD DE GENERO EN LA SALUD",IF(N167=CURSOS!$D$25,"BRIGADA DE EMERGENCIA",IF(N167=CURSOS!$D$26,"MANEJO DEL DOLOR Y CUIDADOS PALIATIVOS",IF(N167=CURSOS!$D$27,"TOMA DE MUESTRAS Y LABORATORIO POCT",IF(N167=CURSOS!$D$28,"IMPLANTE SUBDERMICO DE DISPOSITIVO INTRAUTERINO",IF(N167=CURSOS!$D$29,"SALUD MENTAL",IF(N167=CURSOS!$D$30,"PRIMEROS AUXILIOS PSICOLOGICOS",IF(N167=CURSOS!$D$31,"ATENCION A VICTIMAS POR CONFLICTO ARMADO",IF(N167=CURSOS!$D$32,"MANIPULACION DE ALIMENTOS Y BPM",IF(N167=CURSOS!$D$33,"ATENCION A PERSONAS CON DISCAPACIDAD",IF(N167=CURSOS!$D$34,"CUIDADO INTEGRAL DEL PACIENTE ADULTO",IF(N167=CURSOS!$D$35,"MANEJO DEFENSIVO",IF(N167=CURSOS!$D$36,"SOPORTE CARDIOVASCULAR AVANZADO NEONATAL",IF(N167=CURSOS!$D$37,"SEGURIDAD DEL PACIENTE")))))))))))))))))))))))))))))))))))</f>
        <v xml:space="preserve">PRIMEROS AUXILIOS </v>
      </c>
      <c r="U167" s="124" t="str">
        <f t="shared" si="9"/>
        <v>Hernan Alberto Zarama Guerra</v>
      </c>
      <c r="V167" s="128" t="str">
        <f t="shared" si="10"/>
        <v>Hernan Alberto Zarama Guerra</v>
      </c>
      <c r="W167" s="138" t="str">
        <f t="shared" si="11"/>
        <v>Hernan Alberto Zarama Guerra-12980991-PRIMEROS AUXILIOS</v>
      </c>
    </row>
    <row r="168" spans="1:23" x14ac:dyDescent="0.2">
      <c r="A168" s="42">
        <v>167</v>
      </c>
      <c r="B168" s="43">
        <v>1085282174</v>
      </c>
      <c r="C168" s="17" t="s">
        <v>158</v>
      </c>
      <c r="D168" s="17" t="s">
        <v>205</v>
      </c>
      <c r="E168" s="17" t="s">
        <v>249</v>
      </c>
      <c r="F168" s="17"/>
      <c r="G168" s="14">
        <v>12</v>
      </c>
      <c r="H168" s="14" t="s">
        <v>89</v>
      </c>
      <c r="I168" s="16">
        <v>45484</v>
      </c>
      <c r="J168" s="19">
        <v>0</v>
      </c>
      <c r="K168" s="14" t="s">
        <v>245</v>
      </c>
      <c r="L168" s="14" t="s">
        <v>90</v>
      </c>
      <c r="M168" s="14" t="s">
        <v>548</v>
      </c>
      <c r="N168" s="15" t="s">
        <v>27</v>
      </c>
      <c r="O168" s="18"/>
      <c r="P168" s="15" t="s">
        <v>101</v>
      </c>
      <c r="Q168" s="17"/>
      <c r="R168" s="17"/>
      <c r="S168" s="17"/>
      <c r="T168" s="124" t="str">
        <f>IF(N168=CURSOS!$D$3,"DIPLOMADO EN ATENCION PRE-HOSPITALARIA",IF(N168=CURSOS!$D$4,"ACOMPAÑAMIENTO Y MANEJO DEL DUELO",IF(N168=CURSOS!$D$5,"ATENCION A VICTIMAS DE ATAQUE CON AGENTES QUIMICOS ",IF(N168=CURSOS!$D$6,"PRIMEROS AUXILIOS ",IF(N168=CURSOS!$D$7,"DIPLOMADO DE UNIDAD DE CUIDADOS INTENSIVOS (UCI)",IF(N168=CURSOS!$D$8,"MODELO DE ATENCION PARA EVENTOS EMERGENTES EN SALUD MENTAL (CODIGO VERDE)",IF(N168=CURSOS!$D$9,"HUMANIZACION EN EL SERVICIO DE LA SALUD Y BUENAS PRACTICAS EN PACIENTE ",IF(N168=CURSOS!$D$10,"CLINICA DE HERIDAS ",IF(N168=CURSOS!$D$11,"TOMA DE CITOLOGIA CERVICO VAGINAL ",IF(N168=CURSOS!$D$12,"SOPORTE CARDIOVASCULAR AVANZADO (ACLS) ",IF(N168=CURSOS!$D$13,"CAMILLERO ",IF(N168=CURSOS!$D$14,"TOMA DE MUESTRAS Y LABORATORIO ",IF(N168=CURSOS!$D$15,"SOPORTE VITAL BASICO (BLS)",IF(N168=CURSOS!$D$16,"ATENCION A VICTIMAS DE VIOLENCIA SEXUAL ",IF(N168=CURSOS!$D$17,"PROGRAMADO AMPLIADO DE INMUNIZACION (PAI - COVID 19)",IF(N168=CURSOS!$D$18,"ATENCION INTEGRAL EN ENFERMEDADES PREVALENTES EN PRIMERA INFANCIA (AIEPI)",IF(N168=CURSOS!$D$19,"ADMINISTRACION DE MEDICAMENTOS, INYECTOLOGIA  Y CANALIZACION ",IF(N168=CURSOS!$D$20,"OPERADOR DE VEHICULOS DE EMERGENCIA (OVE)",IF(N168=CURSOS!$D$21,"INSTITUCIONES AMIGAS DE LA MUJER Y LA INFANCIA (IAMI)",IF(N168=CURSOS!$D$22,"CUIDADO DEL DONANTE DE ORGANOS",IF(N168=CURSOS!$D$23,"ATENCION A VICTIMAS POR VIOLENCIA DE GENERO",IF(N168=CURSOS!$D$24,"IGUALDAD DE GENERO EN LA SALUD",IF(N168=CURSOS!$D$25,"BRIGADA DE EMERGENCIA",IF(N168=CURSOS!$D$26,"MANEJO DEL DOLOR Y CUIDADOS PALIATIVOS",IF(N168=CURSOS!$D$27,"TOMA DE MUESTRAS Y LABORATORIO POCT",IF(N168=CURSOS!$D$28,"IMPLANTE SUBDERMICO DE DISPOSITIVO INTRAUTERINO",IF(N168=CURSOS!$D$29,"SALUD MENTAL",IF(N168=CURSOS!$D$30,"PRIMEROS AUXILIOS PSICOLOGICOS",IF(N168=CURSOS!$D$31,"ATENCION A VICTIMAS POR CONFLICTO ARMADO",IF(N168=CURSOS!$D$32,"MANIPULACION DE ALIMENTOS Y BPM",IF(N168=CURSOS!$D$33,"ATENCION A PERSONAS CON DISCAPACIDAD",IF(N168=CURSOS!$D$34,"CUIDADO INTEGRAL DEL PACIENTE ADULTO",IF(N168=CURSOS!$D$35,"MANEJO DEFENSIVO",IF(N168=CURSOS!$D$36,"SOPORTE CARDIOVASCULAR AVANZADO NEONATAL",IF(N168=CURSOS!$D$37,"SEGURIDAD DEL PACIENTE")))))))))))))))))))))))))))))))))))</f>
        <v xml:space="preserve">PRIMEROS AUXILIOS </v>
      </c>
      <c r="U168" s="124" t="str">
        <f t="shared" si="9"/>
        <v>Catalina  Ruano Rodriguez</v>
      </c>
      <c r="V168" s="128" t="str">
        <f t="shared" si="10"/>
        <v>Catalina  Ruano Rodriguez</v>
      </c>
      <c r="W168" s="138" t="str">
        <f t="shared" si="11"/>
        <v>Catalina  Ruano Rodriguez-1085282174-PRIMEROS AUXILIOS</v>
      </c>
    </row>
    <row r="169" spans="1:23" x14ac:dyDescent="0.2">
      <c r="A169" s="42">
        <v>168</v>
      </c>
      <c r="B169" s="43">
        <v>1085286180</v>
      </c>
      <c r="C169" s="17" t="s">
        <v>172</v>
      </c>
      <c r="D169" s="17" t="s">
        <v>155</v>
      </c>
      <c r="E169" s="17" t="s">
        <v>525</v>
      </c>
      <c r="F169" s="17" t="s">
        <v>526</v>
      </c>
      <c r="G169" s="14">
        <v>12</v>
      </c>
      <c r="H169" s="14" t="s">
        <v>89</v>
      </c>
      <c r="I169" s="16">
        <v>45484</v>
      </c>
      <c r="J169" s="19">
        <v>0</v>
      </c>
      <c r="K169" s="14" t="s">
        <v>245</v>
      </c>
      <c r="L169" s="14" t="s">
        <v>90</v>
      </c>
      <c r="M169" s="14" t="s">
        <v>548</v>
      </c>
      <c r="N169" s="15" t="s">
        <v>27</v>
      </c>
      <c r="O169" s="18"/>
      <c r="P169" s="15" t="s">
        <v>91</v>
      </c>
      <c r="Q169" s="17"/>
      <c r="R169" s="17"/>
      <c r="S169" s="17"/>
      <c r="T169" s="124" t="str">
        <f>IF(N169=CURSOS!$D$3,"DIPLOMADO EN ATENCION PRE-HOSPITALARIA",IF(N169=CURSOS!$D$4,"ACOMPAÑAMIENTO Y MANEJO DEL DUELO",IF(N169=CURSOS!$D$5,"ATENCION A VICTIMAS DE ATAQUE CON AGENTES QUIMICOS ",IF(N169=CURSOS!$D$6,"PRIMEROS AUXILIOS ",IF(N169=CURSOS!$D$7,"DIPLOMADO DE UNIDAD DE CUIDADOS INTENSIVOS (UCI)",IF(N169=CURSOS!$D$8,"MODELO DE ATENCION PARA EVENTOS EMERGENTES EN SALUD MENTAL (CODIGO VERDE)",IF(N169=CURSOS!$D$9,"HUMANIZACION EN EL SERVICIO DE LA SALUD Y BUENAS PRACTICAS EN PACIENTE ",IF(N169=CURSOS!$D$10,"CLINICA DE HERIDAS ",IF(N169=CURSOS!$D$11,"TOMA DE CITOLOGIA CERVICO VAGINAL ",IF(N169=CURSOS!$D$12,"SOPORTE CARDIOVASCULAR AVANZADO (ACLS) ",IF(N169=CURSOS!$D$13,"CAMILLERO ",IF(N169=CURSOS!$D$14,"TOMA DE MUESTRAS Y LABORATORIO ",IF(N169=CURSOS!$D$15,"SOPORTE VITAL BASICO (BLS)",IF(N169=CURSOS!$D$16,"ATENCION A VICTIMAS DE VIOLENCIA SEXUAL ",IF(N169=CURSOS!$D$17,"PROGRAMADO AMPLIADO DE INMUNIZACION (PAI - COVID 19)",IF(N169=CURSOS!$D$18,"ATENCION INTEGRAL EN ENFERMEDADES PREVALENTES EN PRIMERA INFANCIA (AIEPI)",IF(N169=CURSOS!$D$19,"ADMINISTRACION DE MEDICAMENTOS, INYECTOLOGIA  Y CANALIZACION ",IF(N169=CURSOS!$D$20,"OPERADOR DE VEHICULOS DE EMERGENCIA (OVE)",IF(N169=CURSOS!$D$21,"INSTITUCIONES AMIGAS DE LA MUJER Y LA INFANCIA (IAMI)",IF(N169=CURSOS!$D$22,"CUIDADO DEL DONANTE DE ORGANOS",IF(N169=CURSOS!$D$23,"ATENCION A VICTIMAS POR VIOLENCIA DE GENERO",IF(N169=CURSOS!$D$24,"IGUALDAD DE GENERO EN LA SALUD",IF(N169=CURSOS!$D$25,"BRIGADA DE EMERGENCIA",IF(N169=CURSOS!$D$26,"MANEJO DEL DOLOR Y CUIDADOS PALIATIVOS",IF(N169=CURSOS!$D$27,"TOMA DE MUESTRAS Y LABORATORIO POCT",IF(N169=CURSOS!$D$28,"IMPLANTE SUBDERMICO DE DISPOSITIVO INTRAUTERINO",IF(N169=CURSOS!$D$29,"SALUD MENTAL",IF(N169=CURSOS!$D$30,"PRIMEROS AUXILIOS PSICOLOGICOS",IF(N169=CURSOS!$D$31,"ATENCION A VICTIMAS POR CONFLICTO ARMADO",IF(N169=CURSOS!$D$32,"MANIPULACION DE ALIMENTOS Y BPM",IF(N169=CURSOS!$D$33,"ATENCION A PERSONAS CON DISCAPACIDAD",IF(N169=CURSOS!$D$34,"CUIDADO INTEGRAL DEL PACIENTE ADULTO",IF(N169=CURSOS!$D$35,"MANEJO DEFENSIVO",IF(N169=CURSOS!$D$36,"SOPORTE CARDIOVASCULAR AVANZADO NEONATAL",IF(N169=CURSOS!$D$37,"SEGURIDAD DEL PACIENTE")))))))))))))))))))))))))))))))))))</f>
        <v xml:space="preserve">PRIMEROS AUXILIOS </v>
      </c>
      <c r="U169" s="124" t="str">
        <f t="shared" si="9"/>
        <v>Anyelo Raul Lopez Guerrero</v>
      </c>
      <c r="V169" s="128" t="str">
        <f t="shared" si="10"/>
        <v>Anyelo Raul Lopez Guerrero</v>
      </c>
      <c r="W169" s="138" t="str">
        <f t="shared" si="11"/>
        <v>Anyelo Raul Lopez Guerrero-1085286180-PRIMEROS AUXILIOS</v>
      </c>
    </row>
    <row r="170" spans="1:23" x14ac:dyDescent="0.2">
      <c r="A170" s="42">
        <v>169</v>
      </c>
      <c r="B170" s="43">
        <v>12991989</v>
      </c>
      <c r="C170" s="17" t="s">
        <v>330</v>
      </c>
      <c r="D170" s="17" t="s">
        <v>277</v>
      </c>
      <c r="E170" s="17" t="s">
        <v>527</v>
      </c>
      <c r="F170" s="17" t="s">
        <v>317</v>
      </c>
      <c r="G170" s="14">
        <v>12</v>
      </c>
      <c r="H170" s="14" t="s">
        <v>89</v>
      </c>
      <c r="I170" s="16">
        <v>45484</v>
      </c>
      <c r="J170" s="19">
        <v>0</v>
      </c>
      <c r="K170" s="14" t="s">
        <v>245</v>
      </c>
      <c r="L170" s="14" t="s">
        <v>90</v>
      </c>
      <c r="M170" s="14" t="s">
        <v>548</v>
      </c>
      <c r="N170" s="15" t="s">
        <v>27</v>
      </c>
      <c r="O170" s="18"/>
      <c r="P170" s="15" t="s">
        <v>91</v>
      </c>
      <c r="Q170" s="17"/>
      <c r="R170" s="17"/>
      <c r="S170" s="17"/>
      <c r="T170" s="124" t="str">
        <f>IF(N170=CURSOS!$D$3,"DIPLOMADO EN ATENCION PRE-HOSPITALARIA",IF(N170=CURSOS!$D$4,"ACOMPAÑAMIENTO Y MANEJO DEL DUELO",IF(N170=CURSOS!$D$5,"ATENCION A VICTIMAS DE ATAQUE CON AGENTES QUIMICOS ",IF(N170=CURSOS!$D$6,"PRIMEROS AUXILIOS ",IF(N170=CURSOS!$D$7,"DIPLOMADO DE UNIDAD DE CUIDADOS INTENSIVOS (UCI)",IF(N170=CURSOS!$D$8,"MODELO DE ATENCION PARA EVENTOS EMERGENTES EN SALUD MENTAL (CODIGO VERDE)",IF(N170=CURSOS!$D$9,"HUMANIZACION EN EL SERVICIO DE LA SALUD Y BUENAS PRACTICAS EN PACIENTE ",IF(N170=CURSOS!$D$10,"CLINICA DE HERIDAS ",IF(N170=CURSOS!$D$11,"TOMA DE CITOLOGIA CERVICO VAGINAL ",IF(N170=CURSOS!$D$12,"SOPORTE CARDIOVASCULAR AVANZADO (ACLS) ",IF(N170=CURSOS!$D$13,"CAMILLERO ",IF(N170=CURSOS!$D$14,"TOMA DE MUESTRAS Y LABORATORIO ",IF(N170=CURSOS!$D$15,"SOPORTE VITAL BASICO (BLS)",IF(N170=CURSOS!$D$16,"ATENCION A VICTIMAS DE VIOLENCIA SEXUAL ",IF(N170=CURSOS!$D$17,"PROGRAMADO AMPLIADO DE INMUNIZACION (PAI - COVID 19)",IF(N170=CURSOS!$D$18,"ATENCION INTEGRAL EN ENFERMEDADES PREVALENTES EN PRIMERA INFANCIA (AIEPI)",IF(N170=CURSOS!$D$19,"ADMINISTRACION DE MEDICAMENTOS, INYECTOLOGIA  Y CANALIZACION ",IF(N170=CURSOS!$D$20,"OPERADOR DE VEHICULOS DE EMERGENCIA (OVE)",IF(N170=CURSOS!$D$21,"INSTITUCIONES AMIGAS DE LA MUJER Y LA INFANCIA (IAMI)",IF(N170=CURSOS!$D$22,"CUIDADO DEL DONANTE DE ORGANOS",IF(N170=CURSOS!$D$23,"ATENCION A VICTIMAS POR VIOLENCIA DE GENERO",IF(N170=CURSOS!$D$24,"IGUALDAD DE GENERO EN LA SALUD",IF(N170=CURSOS!$D$25,"BRIGADA DE EMERGENCIA",IF(N170=CURSOS!$D$26,"MANEJO DEL DOLOR Y CUIDADOS PALIATIVOS",IF(N170=CURSOS!$D$27,"TOMA DE MUESTRAS Y LABORATORIO POCT",IF(N170=CURSOS!$D$28,"IMPLANTE SUBDERMICO DE DISPOSITIVO INTRAUTERINO",IF(N170=CURSOS!$D$29,"SALUD MENTAL",IF(N170=CURSOS!$D$30,"PRIMEROS AUXILIOS PSICOLOGICOS",IF(N170=CURSOS!$D$31,"ATENCION A VICTIMAS POR CONFLICTO ARMADO",IF(N170=CURSOS!$D$32,"MANIPULACION DE ALIMENTOS Y BPM",IF(N170=CURSOS!$D$33,"ATENCION A PERSONAS CON DISCAPACIDAD",IF(N170=CURSOS!$D$34,"CUIDADO INTEGRAL DEL PACIENTE ADULTO",IF(N170=CURSOS!$D$35,"MANEJO DEFENSIVO",IF(N170=CURSOS!$D$36,"SOPORTE CARDIOVASCULAR AVANZADO NEONATAL",IF(N170=CURSOS!$D$37,"SEGURIDAD DEL PACIENTE")))))))))))))))))))))))))))))))))))</f>
        <v xml:space="preserve">PRIMEROS AUXILIOS </v>
      </c>
      <c r="U170" s="124" t="str">
        <f t="shared" si="9"/>
        <v>German Francisco Lasso Enriquez</v>
      </c>
      <c r="V170" s="128" t="str">
        <f t="shared" si="10"/>
        <v>German Francisco Lasso Enriquez</v>
      </c>
      <c r="W170" s="138" t="str">
        <f t="shared" si="11"/>
        <v>German Francisco Lasso Enriquez-12991989-PRIMEROS AUXILIOS</v>
      </c>
    </row>
    <row r="171" spans="1:23" x14ac:dyDescent="0.2">
      <c r="A171" s="42">
        <v>170</v>
      </c>
      <c r="B171" s="43">
        <v>12976886</v>
      </c>
      <c r="C171" s="17" t="s">
        <v>528</v>
      </c>
      <c r="D171" s="17" t="s">
        <v>172</v>
      </c>
      <c r="E171" s="17" t="s">
        <v>529</v>
      </c>
      <c r="F171" s="17" t="s">
        <v>253</v>
      </c>
      <c r="G171" s="14">
        <v>12</v>
      </c>
      <c r="H171" s="14" t="s">
        <v>89</v>
      </c>
      <c r="I171" s="16">
        <v>45484</v>
      </c>
      <c r="J171" s="19">
        <v>0</v>
      </c>
      <c r="K171" s="14" t="s">
        <v>245</v>
      </c>
      <c r="L171" s="14" t="s">
        <v>90</v>
      </c>
      <c r="M171" s="14" t="s">
        <v>548</v>
      </c>
      <c r="N171" s="15" t="s">
        <v>27</v>
      </c>
      <c r="O171" s="18"/>
      <c r="P171" s="15" t="s">
        <v>91</v>
      </c>
      <c r="Q171" s="17"/>
      <c r="R171" s="17"/>
      <c r="S171" s="17"/>
      <c r="T171" s="124" t="str">
        <f>IF(N171=CURSOS!$D$3,"DIPLOMADO EN ATENCION PRE-HOSPITALARIA",IF(N171=CURSOS!$D$4,"ACOMPAÑAMIENTO Y MANEJO DEL DUELO",IF(N171=CURSOS!$D$5,"ATENCION A VICTIMAS DE ATAQUE CON AGENTES QUIMICOS ",IF(N171=CURSOS!$D$6,"PRIMEROS AUXILIOS ",IF(N171=CURSOS!$D$7,"DIPLOMADO DE UNIDAD DE CUIDADOS INTENSIVOS (UCI)",IF(N171=CURSOS!$D$8,"MODELO DE ATENCION PARA EVENTOS EMERGENTES EN SALUD MENTAL (CODIGO VERDE)",IF(N171=CURSOS!$D$9,"HUMANIZACION EN EL SERVICIO DE LA SALUD Y BUENAS PRACTICAS EN PACIENTE ",IF(N171=CURSOS!$D$10,"CLINICA DE HERIDAS ",IF(N171=CURSOS!$D$11,"TOMA DE CITOLOGIA CERVICO VAGINAL ",IF(N171=CURSOS!$D$12,"SOPORTE CARDIOVASCULAR AVANZADO (ACLS) ",IF(N171=CURSOS!$D$13,"CAMILLERO ",IF(N171=CURSOS!$D$14,"TOMA DE MUESTRAS Y LABORATORIO ",IF(N171=CURSOS!$D$15,"SOPORTE VITAL BASICO (BLS)",IF(N171=CURSOS!$D$16,"ATENCION A VICTIMAS DE VIOLENCIA SEXUAL ",IF(N171=CURSOS!$D$17,"PROGRAMADO AMPLIADO DE INMUNIZACION (PAI - COVID 19)",IF(N171=CURSOS!$D$18,"ATENCION INTEGRAL EN ENFERMEDADES PREVALENTES EN PRIMERA INFANCIA (AIEPI)",IF(N171=CURSOS!$D$19,"ADMINISTRACION DE MEDICAMENTOS, INYECTOLOGIA  Y CANALIZACION ",IF(N171=CURSOS!$D$20,"OPERADOR DE VEHICULOS DE EMERGENCIA (OVE)",IF(N171=CURSOS!$D$21,"INSTITUCIONES AMIGAS DE LA MUJER Y LA INFANCIA (IAMI)",IF(N171=CURSOS!$D$22,"CUIDADO DEL DONANTE DE ORGANOS",IF(N171=CURSOS!$D$23,"ATENCION A VICTIMAS POR VIOLENCIA DE GENERO",IF(N171=CURSOS!$D$24,"IGUALDAD DE GENERO EN LA SALUD",IF(N171=CURSOS!$D$25,"BRIGADA DE EMERGENCIA",IF(N171=CURSOS!$D$26,"MANEJO DEL DOLOR Y CUIDADOS PALIATIVOS",IF(N171=CURSOS!$D$27,"TOMA DE MUESTRAS Y LABORATORIO POCT",IF(N171=CURSOS!$D$28,"IMPLANTE SUBDERMICO DE DISPOSITIVO INTRAUTERINO",IF(N171=CURSOS!$D$29,"SALUD MENTAL",IF(N171=CURSOS!$D$30,"PRIMEROS AUXILIOS PSICOLOGICOS",IF(N171=CURSOS!$D$31,"ATENCION A VICTIMAS POR CONFLICTO ARMADO",IF(N171=CURSOS!$D$32,"MANIPULACION DE ALIMENTOS Y BPM",IF(N171=CURSOS!$D$33,"ATENCION A PERSONAS CON DISCAPACIDAD",IF(N171=CURSOS!$D$34,"CUIDADO INTEGRAL DEL PACIENTE ADULTO",IF(N171=CURSOS!$D$35,"MANEJO DEFENSIVO",IF(N171=CURSOS!$D$36,"SOPORTE CARDIOVASCULAR AVANZADO NEONATAL",IF(N171=CURSOS!$D$37,"SEGURIDAD DEL PACIENTE")))))))))))))))))))))))))))))))))))</f>
        <v xml:space="preserve">PRIMEROS AUXILIOS </v>
      </c>
      <c r="U171" s="124" t="str">
        <f t="shared" si="9"/>
        <v>Jimmy Alvaro Argoti Lopez</v>
      </c>
      <c r="V171" s="128" t="str">
        <f t="shared" si="10"/>
        <v>Jimmy Alvaro Argoti Lopez</v>
      </c>
      <c r="W171" s="138" t="str">
        <f t="shared" si="11"/>
        <v>Jimmy Alvaro Argoti Lopez-12976886-PRIMEROS AUXILIOS</v>
      </c>
    </row>
    <row r="172" spans="1:23" x14ac:dyDescent="0.2">
      <c r="A172" s="42">
        <v>171</v>
      </c>
      <c r="B172" s="43">
        <v>12987367</v>
      </c>
      <c r="C172" s="17" t="s">
        <v>445</v>
      </c>
      <c r="D172" s="17" t="s">
        <v>322</v>
      </c>
      <c r="E172" s="17" t="s">
        <v>526</v>
      </c>
      <c r="F172" s="17" t="s">
        <v>530</v>
      </c>
      <c r="G172" s="14">
        <v>12</v>
      </c>
      <c r="H172" s="14" t="s">
        <v>89</v>
      </c>
      <c r="I172" s="16">
        <v>45484</v>
      </c>
      <c r="J172" s="19">
        <v>0</v>
      </c>
      <c r="K172" s="14" t="s">
        <v>245</v>
      </c>
      <c r="L172" s="14" t="s">
        <v>90</v>
      </c>
      <c r="M172" s="14" t="s">
        <v>548</v>
      </c>
      <c r="N172" s="15" t="s">
        <v>27</v>
      </c>
      <c r="O172" s="18"/>
      <c r="P172" s="15" t="s">
        <v>91</v>
      </c>
      <c r="Q172" s="17"/>
      <c r="R172" s="17"/>
      <c r="S172" s="17"/>
      <c r="T172" s="124" t="str">
        <f>IF(N172=CURSOS!$D$3,"DIPLOMADO EN ATENCION PRE-HOSPITALARIA",IF(N172=CURSOS!$D$4,"ACOMPAÑAMIENTO Y MANEJO DEL DUELO",IF(N172=CURSOS!$D$5,"ATENCION A VICTIMAS DE ATAQUE CON AGENTES QUIMICOS ",IF(N172=CURSOS!$D$6,"PRIMEROS AUXILIOS ",IF(N172=CURSOS!$D$7,"DIPLOMADO DE UNIDAD DE CUIDADOS INTENSIVOS (UCI)",IF(N172=CURSOS!$D$8,"MODELO DE ATENCION PARA EVENTOS EMERGENTES EN SALUD MENTAL (CODIGO VERDE)",IF(N172=CURSOS!$D$9,"HUMANIZACION EN EL SERVICIO DE LA SALUD Y BUENAS PRACTICAS EN PACIENTE ",IF(N172=CURSOS!$D$10,"CLINICA DE HERIDAS ",IF(N172=CURSOS!$D$11,"TOMA DE CITOLOGIA CERVICO VAGINAL ",IF(N172=CURSOS!$D$12,"SOPORTE CARDIOVASCULAR AVANZADO (ACLS) ",IF(N172=CURSOS!$D$13,"CAMILLERO ",IF(N172=CURSOS!$D$14,"TOMA DE MUESTRAS Y LABORATORIO ",IF(N172=CURSOS!$D$15,"SOPORTE VITAL BASICO (BLS)",IF(N172=CURSOS!$D$16,"ATENCION A VICTIMAS DE VIOLENCIA SEXUAL ",IF(N172=CURSOS!$D$17,"PROGRAMADO AMPLIADO DE INMUNIZACION (PAI - COVID 19)",IF(N172=CURSOS!$D$18,"ATENCION INTEGRAL EN ENFERMEDADES PREVALENTES EN PRIMERA INFANCIA (AIEPI)",IF(N172=CURSOS!$D$19,"ADMINISTRACION DE MEDICAMENTOS, INYECTOLOGIA  Y CANALIZACION ",IF(N172=CURSOS!$D$20,"OPERADOR DE VEHICULOS DE EMERGENCIA (OVE)",IF(N172=CURSOS!$D$21,"INSTITUCIONES AMIGAS DE LA MUJER Y LA INFANCIA (IAMI)",IF(N172=CURSOS!$D$22,"CUIDADO DEL DONANTE DE ORGANOS",IF(N172=CURSOS!$D$23,"ATENCION A VICTIMAS POR VIOLENCIA DE GENERO",IF(N172=CURSOS!$D$24,"IGUALDAD DE GENERO EN LA SALUD",IF(N172=CURSOS!$D$25,"BRIGADA DE EMERGENCIA",IF(N172=CURSOS!$D$26,"MANEJO DEL DOLOR Y CUIDADOS PALIATIVOS",IF(N172=CURSOS!$D$27,"TOMA DE MUESTRAS Y LABORATORIO POCT",IF(N172=CURSOS!$D$28,"IMPLANTE SUBDERMICO DE DISPOSITIVO INTRAUTERINO",IF(N172=CURSOS!$D$29,"SALUD MENTAL",IF(N172=CURSOS!$D$30,"PRIMEROS AUXILIOS PSICOLOGICOS",IF(N172=CURSOS!$D$31,"ATENCION A VICTIMAS POR CONFLICTO ARMADO",IF(N172=CURSOS!$D$32,"MANIPULACION DE ALIMENTOS Y BPM",IF(N172=CURSOS!$D$33,"ATENCION A PERSONAS CON DISCAPACIDAD",IF(N172=CURSOS!$D$34,"CUIDADO INTEGRAL DEL PACIENTE ADULTO",IF(N172=CURSOS!$D$35,"MANEJO DEFENSIVO",IF(N172=CURSOS!$D$36,"SOPORTE CARDIOVASCULAR AVANZADO NEONATAL",IF(N172=CURSOS!$D$37,"SEGURIDAD DEL PACIENTE")))))))))))))))))))))))))))))))))))</f>
        <v xml:space="preserve">PRIMEROS AUXILIOS </v>
      </c>
      <c r="U172" s="124" t="str">
        <f t="shared" si="9"/>
        <v>Raul Edmundo Meneses Villareal</v>
      </c>
      <c r="V172" s="128" t="str">
        <f t="shared" si="10"/>
        <v>Raul Edmundo Meneses Villareal</v>
      </c>
      <c r="W172" s="138" t="str">
        <f t="shared" si="11"/>
        <v>Raul Edmundo Meneses Villareal-12987367-PRIMEROS AUXILIOS</v>
      </c>
    </row>
    <row r="173" spans="1:23" x14ac:dyDescent="0.2">
      <c r="A173" s="42">
        <v>172</v>
      </c>
      <c r="B173" s="43">
        <v>12987021</v>
      </c>
      <c r="C173" s="17" t="s">
        <v>531</v>
      </c>
      <c r="D173" s="17" t="s">
        <v>532</v>
      </c>
      <c r="E173" s="17" t="s">
        <v>533</v>
      </c>
      <c r="F173" s="17" t="s">
        <v>526</v>
      </c>
      <c r="G173" s="14">
        <v>12</v>
      </c>
      <c r="H173" s="14" t="s">
        <v>89</v>
      </c>
      <c r="I173" s="16">
        <v>45484</v>
      </c>
      <c r="J173" s="19">
        <v>0</v>
      </c>
      <c r="K173" s="14" t="s">
        <v>245</v>
      </c>
      <c r="L173" s="14" t="s">
        <v>90</v>
      </c>
      <c r="M173" s="14" t="s">
        <v>548</v>
      </c>
      <c r="N173" s="15" t="s">
        <v>27</v>
      </c>
      <c r="O173" s="18"/>
      <c r="P173" s="15" t="s">
        <v>91</v>
      </c>
      <c r="Q173" s="17"/>
      <c r="R173" s="17"/>
      <c r="S173" s="17"/>
      <c r="T173" s="124" t="str">
        <f>IF(N173=CURSOS!$D$3,"DIPLOMADO EN ATENCION PRE-HOSPITALARIA",IF(N173=CURSOS!$D$4,"ACOMPAÑAMIENTO Y MANEJO DEL DUELO",IF(N173=CURSOS!$D$5,"ATENCION A VICTIMAS DE ATAQUE CON AGENTES QUIMICOS ",IF(N173=CURSOS!$D$6,"PRIMEROS AUXILIOS ",IF(N173=CURSOS!$D$7,"DIPLOMADO DE UNIDAD DE CUIDADOS INTENSIVOS (UCI)",IF(N173=CURSOS!$D$8,"MODELO DE ATENCION PARA EVENTOS EMERGENTES EN SALUD MENTAL (CODIGO VERDE)",IF(N173=CURSOS!$D$9,"HUMANIZACION EN EL SERVICIO DE LA SALUD Y BUENAS PRACTICAS EN PACIENTE ",IF(N173=CURSOS!$D$10,"CLINICA DE HERIDAS ",IF(N173=CURSOS!$D$11,"TOMA DE CITOLOGIA CERVICO VAGINAL ",IF(N173=CURSOS!$D$12,"SOPORTE CARDIOVASCULAR AVANZADO (ACLS) ",IF(N173=CURSOS!$D$13,"CAMILLERO ",IF(N173=CURSOS!$D$14,"TOMA DE MUESTRAS Y LABORATORIO ",IF(N173=CURSOS!$D$15,"SOPORTE VITAL BASICO (BLS)",IF(N173=CURSOS!$D$16,"ATENCION A VICTIMAS DE VIOLENCIA SEXUAL ",IF(N173=CURSOS!$D$17,"PROGRAMADO AMPLIADO DE INMUNIZACION (PAI - COVID 19)",IF(N173=CURSOS!$D$18,"ATENCION INTEGRAL EN ENFERMEDADES PREVALENTES EN PRIMERA INFANCIA (AIEPI)",IF(N173=CURSOS!$D$19,"ADMINISTRACION DE MEDICAMENTOS, INYECTOLOGIA  Y CANALIZACION ",IF(N173=CURSOS!$D$20,"OPERADOR DE VEHICULOS DE EMERGENCIA (OVE)",IF(N173=CURSOS!$D$21,"INSTITUCIONES AMIGAS DE LA MUJER Y LA INFANCIA (IAMI)",IF(N173=CURSOS!$D$22,"CUIDADO DEL DONANTE DE ORGANOS",IF(N173=CURSOS!$D$23,"ATENCION A VICTIMAS POR VIOLENCIA DE GENERO",IF(N173=CURSOS!$D$24,"IGUALDAD DE GENERO EN LA SALUD",IF(N173=CURSOS!$D$25,"BRIGADA DE EMERGENCIA",IF(N173=CURSOS!$D$26,"MANEJO DEL DOLOR Y CUIDADOS PALIATIVOS",IF(N173=CURSOS!$D$27,"TOMA DE MUESTRAS Y LABORATORIO POCT",IF(N173=CURSOS!$D$28,"IMPLANTE SUBDERMICO DE DISPOSITIVO INTRAUTERINO",IF(N173=CURSOS!$D$29,"SALUD MENTAL",IF(N173=CURSOS!$D$30,"PRIMEROS AUXILIOS PSICOLOGICOS",IF(N173=CURSOS!$D$31,"ATENCION A VICTIMAS POR CONFLICTO ARMADO",IF(N173=CURSOS!$D$32,"MANIPULACION DE ALIMENTOS Y BPM",IF(N173=CURSOS!$D$33,"ATENCION A PERSONAS CON DISCAPACIDAD",IF(N173=CURSOS!$D$34,"CUIDADO INTEGRAL DEL PACIENTE ADULTO",IF(N173=CURSOS!$D$35,"MANEJO DEFENSIVO",IF(N173=CURSOS!$D$36,"SOPORTE CARDIOVASCULAR AVANZADO NEONATAL",IF(N173=CURSOS!$D$37,"SEGURIDAD DEL PACIENTE")))))))))))))))))))))))))))))))))))</f>
        <v xml:space="preserve">PRIMEROS AUXILIOS </v>
      </c>
      <c r="U173" s="124" t="str">
        <f t="shared" si="9"/>
        <v>Edwin Raul Vallejo Chazatar</v>
      </c>
      <c r="V173" s="128" t="str">
        <f t="shared" si="10"/>
        <v>Edwin Raul Vallejo Chazatar</v>
      </c>
      <c r="W173" s="138" t="str">
        <f t="shared" si="11"/>
        <v>Edwin Raul Vallejo Chazatar-12987021-PRIMEROS AUXILIOS</v>
      </c>
    </row>
    <row r="174" spans="1:23" x14ac:dyDescent="0.2">
      <c r="A174" s="42">
        <v>173</v>
      </c>
      <c r="B174" s="43">
        <v>12983945</v>
      </c>
      <c r="C174" s="17" t="s">
        <v>520</v>
      </c>
      <c r="D174" s="17" t="s">
        <v>497</v>
      </c>
      <c r="E174" s="17" t="s">
        <v>534</v>
      </c>
      <c r="F174" s="17" t="s">
        <v>535</v>
      </c>
      <c r="G174" s="14">
        <v>12</v>
      </c>
      <c r="H174" s="14" t="s">
        <v>89</v>
      </c>
      <c r="I174" s="16">
        <v>45484</v>
      </c>
      <c r="J174" s="19">
        <v>0</v>
      </c>
      <c r="K174" s="14" t="s">
        <v>245</v>
      </c>
      <c r="L174" s="14" t="s">
        <v>90</v>
      </c>
      <c r="M174" s="14" t="s">
        <v>548</v>
      </c>
      <c r="N174" s="15" t="s">
        <v>27</v>
      </c>
      <c r="O174" s="18"/>
      <c r="P174" s="15" t="s">
        <v>91</v>
      </c>
      <c r="Q174" s="17"/>
      <c r="R174" s="17"/>
      <c r="S174" s="17"/>
      <c r="T174" s="124" t="str">
        <f>IF(N174=CURSOS!$D$3,"DIPLOMADO EN ATENCION PRE-HOSPITALARIA",IF(N174=CURSOS!$D$4,"ACOMPAÑAMIENTO Y MANEJO DEL DUELO",IF(N174=CURSOS!$D$5,"ATENCION A VICTIMAS DE ATAQUE CON AGENTES QUIMICOS ",IF(N174=CURSOS!$D$6,"PRIMEROS AUXILIOS ",IF(N174=CURSOS!$D$7,"DIPLOMADO DE UNIDAD DE CUIDADOS INTENSIVOS (UCI)",IF(N174=CURSOS!$D$8,"MODELO DE ATENCION PARA EVENTOS EMERGENTES EN SALUD MENTAL (CODIGO VERDE)",IF(N174=CURSOS!$D$9,"HUMANIZACION EN EL SERVICIO DE LA SALUD Y BUENAS PRACTICAS EN PACIENTE ",IF(N174=CURSOS!$D$10,"CLINICA DE HERIDAS ",IF(N174=CURSOS!$D$11,"TOMA DE CITOLOGIA CERVICO VAGINAL ",IF(N174=CURSOS!$D$12,"SOPORTE CARDIOVASCULAR AVANZADO (ACLS) ",IF(N174=CURSOS!$D$13,"CAMILLERO ",IF(N174=CURSOS!$D$14,"TOMA DE MUESTRAS Y LABORATORIO ",IF(N174=CURSOS!$D$15,"SOPORTE VITAL BASICO (BLS)",IF(N174=CURSOS!$D$16,"ATENCION A VICTIMAS DE VIOLENCIA SEXUAL ",IF(N174=CURSOS!$D$17,"PROGRAMADO AMPLIADO DE INMUNIZACION (PAI - COVID 19)",IF(N174=CURSOS!$D$18,"ATENCION INTEGRAL EN ENFERMEDADES PREVALENTES EN PRIMERA INFANCIA (AIEPI)",IF(N174=CURSOS!$D$19,"ADMINISTRACION DE MEDICAMENTOS, INYECTOLOGIA  Y CANALIZACION ",IF(N174=CURSOS!$D$20,"OPERADOR DE VEHICULOS DE EMERGENCIA (OVE)",IF(N174=CURSOS!$D$21,"INSTITUCIONES AMIGAS DE LA MUJER Y LA INFANCIA (IAMI)",IF(N174=CURSOS!$D$22,"CUIDADO DEL DONANTE DE ORGANOS",IF(N174=CURSOS!$D$23,"ATENCION A VICTIMAS POR VIOLENCIA DE GENERO",IF(N174=CURSOS!$D$24,"IGUALDAD DE GENERO EN LA SALUD",IF(N174=CURSOS!$D$25,"BRIGADA DE EMERGENCIA",IF(N174=CURSOS!$D$26,"MANEJO DEL DOLOR Y CUIDADOS PALIATIVOS",IF(N174=CURSOS!$D$27,"TOMA DE MUESTRAS Y LABORATORIO POCT",IF(N174=CURSOS!$D$28,"IMPLANTE SUBDERMICO DE DISPOSITIVO INTRAUTERINO",IF(N174=CURSOS!$D$29,"SALUD MENTAL",IF(N174=CURSOS!$D$30,"PRIMEROS AUXILIOS PSICOLOGICOS",IF(N174=CURSOS!$D$31,"ATENCION A VICTIMAS POR CONFLICTO ARMADO",IF(N174=CURSOS!$D$32,"MANIPULACION DE ALIMENTOS Y BPM",IF(N174=CURSOS!$D$33,"ATENCION A PERSONAS CON DISCAPACIDAD",IF(N174=CURSOS!$D$34,"CUIDADO INTEGRAL DEL PACIENTE ADULTO",IF(N174=CURSOS!$D$35,"MANEJO DEFENSIVO",IF(N174=CURSOS!$D$36,"SOPORTE CARDIOVASCULAR AVANZADO NEONATAL",IF(N174=CURSOS!$D$37,"SEGURIDAD DEL PACIENTE")))))))))))))))))))))))))))))))))))</f>
        <v xml:space="preserve">PRIMEROS AUXILIOS </v>
      </c>
      <c r="U174" s="124" t="str">
        <f t="shared" si="9"/>
        <v>William Gerardo Narvaez Urbano</v>
      </c>
      <c r="V174" s="128" t="str">
        <f t="shared" si="10"/>
        <v>William Gerardo Narvaez Urbano</v>
      </c>
      <c r="W174" s="138" t="str">
        <f t="shared" si="11"/>
        <v>William Gerardo Narvaez Urbano-12983945-PRIMEROS AUXILIOS</v>
      </c>
    </row>
    <row r="175" spans="1:23" x14ac:dyDescent="0.2">
      <c r="A175" s="42">
        <v>174</v>
      </c>
      <c r="B175" s="43">
        <v>14930382</v>
      </c>
      <c r="C175" s="17" t="s">
        <v>536</v>
      </c>
      <c r="D175" s="17" t="s">
        <v>537</v>
      </c>
      <c r="E175" s="17" t="s">
        <v>538</v>
      </c>
      <c r="F175" s="17" t="s">
        <v>539</v>
      </c>
      <c r="G175" s="14">
        <v>12</v>
      </c>
      <c r="H175" s="14" t="s">
        <v>89</v>
      </c>
      <c r="I175" s="16">
        <v>45484</v>
      </c>
      <c r="J175" s="19">
        <v>0</v>
      </c>
      <c r="K175" s="14" t="s">
        <v>245</v>
      </c>
      <c r="L175" s="14" t="s">
        <v>90</v>
      </c>
      <c r="M175" s="14" t="s">
        <v>548</v>
      </c>
      <c r="N175" s="15" t="s">
        <v>27</v>
      </c>
      <c r="O175" s="18"/>
      <c r="P175" s="15" t="s">
        <v>91</v>
      </c>
      <c r="Q175" s="17"/>
      <c r="R175" s="17"/>
      <c r="S175" s="17"/>
      <c r="T175" s="124" t="str">
        <f>IF(N175=CURSOS!$D$3,"DIPLOMADO EN ATENCION PRE-HOSPITALARIA",IF(N175=CURSOS!$D$4,"ACOMPAÑAMIENTO Y MANEJO DEL DUELO",IF(N175=CURSOS!$D$5,"ATENCION A VICTIMAS DE ATAQUE CON AGENTES QUIMICOS ",IF(N175=CURSOS!$D$6,"PRIMEROS AUXILIOS ",IF(N175=CURSOS!$D$7,"DIPLOMADO DE UNIDAD DE CUIDADOS INTENSIVOS (UCI)",IF(N175=CURSOS!$D$8,"MODELO DE ATENCION PARA EVENTOS EMERGENTES EN SALUD MENTAL (CODIGO VERDE)",IF(N175=CURSOS!$D$9,"HUMANIZACION EN EL SERVICIO DE LA SALUD Y BUENAS PRACTICAS EN PACIENTE ",IF(N175=CURSOS!$D$10,"CLINICA DE HERIDAS ",IF(N175=CURSOS!$D$11,"TOMA DE CITOLOGIA CERVICO VAGINAL ",IF(N175=CURSOS!$D$12,"SOPORTE CARDIOVASCULAR AVANZADO (ACLS) ",IF(N175=CURSOS!$D$13,"CAMILLERO ",IF(N175=CURSOS!$D$14,"TOMA DE MUESTRAS Y LABORATORIO ",IF(N175=CURSOS!$D$15,"SOPORTE VITAL BASICO (BLS)",IF(N175=CURSOS!$D$16,"ATENCION A VICTIMAS DE VIOLENCIA SEXUAL ",IF(N175=CURSOS!$D$17,"PROGRAMADO AMPLIADO DE INMUNIZACION (PAI - COVID 19)",IF(N175=CURSOS!$D$18,"ATENCION INTEGRAL EN ENFERMEDADES PREVALENTES EN PRIMERA INFANCIA (AIEPI)",IF(N175=CURSOS!$D$19,"ADMINISTRACION DE MEDICAMENTOS, INYECTOLOGIA  Y CANALIZACION ",IF(N175=CURSOS!$D$20,"OPERADOR DE VEHICULOS DE EMERGENCIA (OVE)",IF(N175=CURSOS!$D$21,"INSTITUCIONES AMIGAS DE LA MUJER Y LA INFANCIA (IAMI)",IF(N175=CURSOS!$D$22,"CUIDADO DEL DONANTE DE ORGANOS",IF(N175=CURSOS!$D$23,"ATENCION A VICTIMAS POR VIOLENCIA DE GENERO",IF(N175=CURSOS!$D$24,"IGUALDAD DE GENERO EN LA SALUD",IF(N175=CURSOS!$D$25,"BRIGADA DE EMERGENCIA",IF(N175=CURSOS!$D$26,"MANEJO DEL DOLOR Y CUIDADOS PALIATIVOS",IF(N175=CURSOS!$D$27,"TOMA DE MUESTRAS Y LABORATORIO POCT",IF(N175=CURSOS!$D$28,"IMPLANTE SUBDERMICO DE DISPOSITIVO INTRAUTERINO",IF(N175=CURSOS!$D$29,"SALUD MENTAL",IF(N175=CURSOS!$D$30,"PRIMEROS AUXILIOS PSICOLOGICOS",IF(N175=CURSOS!$D$31,"ATENCION A VICTIMAS POR CONFLICTO ARMADO",IF(N175=CURSOS!$D$32,"MANIPULACION DE ALIMENTOS Y BPM",IF(N175=CURSOS!$D$33,"ATENCION A PERSONAS CON DISCAPACIDAD",IF(N175=CURSOS!$D$34,"CUIDADO INTEGRAL DEL PACIENTE ADULTO",IF(N175=CURSOS!$D$35,"MANEJO DEFENSIVO",IF(N175=CURSOS!$D$36,"SOPORTE CARDIOVASCULAR AVANZADO NEONATAL",IF(N175=CURSOS!$D$37,"SEGURIDAD DEL PACIENTE")))))))))))))))))))))))))))))))))))</f>
        <v xml:space="preserve">PRIMEROS AUXILIOS </v>
      </c>
      <c r="U175" s="124" t="str">
        <f t="shared" si="9"/>
        <v>Jesus Antidio Samaniego Oviedo</v>
      </c>
      <c r="V175" s="128" t="str">
        <f t="shared" si="10"/>
        <v>Jesus Antidio Samaniego Oviedo</v>
      </c>
      <c r="W175" s="138" t="str">
        <f t="shared" si="11"/>
        <v>Jesus Antidio Samaniego Oviedo-14930382-PRIMEROS AUXILIOS</v>
      </c>
    </row>
    <row r="176" spans="1:23" x14ac:dyDescent="0.2">
      <c r="A176" s="42">
        <v>175</v>
      </c>
      <c r="B176" s="43">
        <v>12965235</v>
      </c>
      <c r="C176" s="17" t="s">
        <v>520</v>
      </c>
      <c r="D176" s="17" t="s">
        <v>355</v>
      </c>
      <c r="E176" s="17" t="s">
        <v>538</v>
      </c>
      <c r="F176" s="17" t="s">
        <v>540</v>
      </c>
      <c r="G176" s="14">
        <v>12</v>
      </c>
      <c r="H176" s="14" t="s">
        <v>89</v>
      </c>
      <c r="I176" s="16">
        <v>45484</v>
      </c>
      <c r="J176" s="19">
        <v>0</v>
      </c>
      <c r="K176" s="14" t="s">
        <v>245</v>
      </c>
      <c r="L176" s="14" t="s">
        <v>90</v>
      </c>
      <c r="M176" s="14" t="s">
        <v>548</v>
      </c>
      <c r="N176" s="15" t="s">
        <v>27</v>
      </c>
      <c r="O176" s="18"/>
      <c r="P176" s="15" t="s">
        <v>91</v>
      </c>
      <c r="Q176" s="17"/>
      <c r="R176" s="17"/>
      <c r="S176" s="17"/>
      <c r="T176" s="124" t="str">
        <f>IF(N176=CURSOS!$D$3,"DIPLOMADO EN ATENCION PRE-HOSPITALARIA",IF(N176=CURSOS!$D$4,"ACOMPAÑAMIENTO Y MANEJO DEL DUELO",IF(N176=CURSOS!$D$5,"ATENCION A VICTIMAS DE ATAQUE CON AGENTES QUIMICOS ",IF(N176=CURSOS!$D$6,"PRIMEROS AUXILIOS ",IF(N176=CURSOS!$D$7,"DIPLOMADO DE UNIDAD DE CUIDADOS INTENSIVOS (UCI)",IF(N176=CURSOS!$D$8,"MODELO DE ATENCION PARA EVENTOS EMERGENTES EN SALUD MENTAL (CODIGO VERDE)",IF(N176=CURSOS!$D$9,"HUMANIZACION EN EL SERVICIO DE LA SALUD Y BUENAS PRACTICAS EN PACIENTE ",IF(N176=CURSOS!$D$10,"CLINICA DE HERIDAS ",IF(N176=CURSOS!$D$11,"TOMA DE CITOLOGIA CERVICO VAGINAL ",IF(N176=CURSOS!$D$12,"SOPORTE CARDIOVASCULAR AVANZADO (ACLS) ",IF(N176=CURSOS!$D$13,"CAMILLERO ",IF(N176=CURSOS!$D$14,"TOMA DE MUESTRAS Y LABORATORIO ",IF(N176=CURSOS!$D$15,"SOPORTE VITAL BASICO (BLS)",IF(N176=CURSOS!$D$16,"ATENCION A VICTIMAS DE VIOLENCIA SEXUAL ",IF(N176=CURSOS!$D$17,"PROGRAMADO AMPLIADO DE INMUNIZACION (PAI - COVID 19)",IF(N176=CURSOS!$D$18,"ATENCION INTEGRAL EN ENFERMEDADES PREVALENTES EN PRIMERA INFANCIA (AIEPI)",IF(N176=CURSOS!$D$19,"ADMINISTRACION DE MEDICAMENTOS, INYECTOLOGIA  Y CANALIZACION ",IF(N176=CURSOS!$D$20,"OPERADOR DE VEHICULOS DE EMERGENCIA (OVE)",IF(N176=CURSOS!$D$21,"INSTITUCIONES AMIGAS DE LA MUJER Y LA INFANCIA (IAMI)",IF(N176=CURSOS!$D$22,"CUIDADO DEL DONANTE DE ORGANOS",IF(N176=CURSOS!$D$23,"ATENCION A VICTIMAS POR VIOLENCIA DE GENERO",IF(N176=CURSOS!$D$24,"IGUALDAD DE GENERO EN LA SALUD",IF(N176=CURSOS!$D$25,"BRIGADA DE EMERGENCIA",IF(N176=CURSOS!$D$26,"MANEJO DEL DOLOR Y CUIDADOS PALIATIVOS",IF(N176=CURSOS!$D$27,"TOMA DE MUESTRAS Y LABORATORIO POCT",IF(N176=CURSOS!$D$28,"IMPLANTE SUBDERMICO DE DISPOSITIVO INTRAUTERINO",IF(N176=CURSOS!$D$29,"SALUD MENTAL",IF(N176=CURSOS!$D$30,"PRIMEROS AUXILIOS PSICOLOGICOS",IF(N176=CURSOS!$D$31,"ATENCION A VICTIMAS POR CONFLICTO ARMADO",IF(N176=CURSOS!$D$32,"MANIPULACION DE ALIMENTOS Y BPM",IF(N176=CURSOS!$D$33,"ATENCION A PERSONAS CON DISCAPACIDAD",IF(N176=CURSOS!$D$34,"CUIDADO INTEGRAL DEL PACIENTE ADULTO",IF(N176=CURSOS!$D$35,"MANEJO DEFENSIVO",IF(N176=CURSOS!$D$36,"SOPORTE CARDIOVASCULAR AVANZADO NEONATAL",IF(N176=CURSOS!$D$37,"SEGURIDAD DEL PACIENTE")))))))))))))))))))))))))))))))))))</f>
        <v xml:space="preserve">PRIMEROS AUXILIOS </v>
      </c>
      <c r="U176" s="124" t="str">
        <f t="shared" si="9"/>
        <v>Jesus Vicente Narvaez Perez</v>
      </c>
      <c r="V176" s="128" t="str">
        <f t="shared" si="10"/>
        <v>Jesus Vicente Narvaez Perez</v>
      </c>
      <c r="W176" s="138" t="str">
        <f t="shared" si="11"/>
        <v>Jesus Vicente Narvaez Perez-12965235-PRIMEROS AUXILIOS</v>
      </c>
    </row>
    <row r="177" spans="1:23" x14ac:dyDescent="0.2">
      <c r="A177" s="42">
        <v>176</v>
      </c>
      <c r="B177" s="43">
        <v>98385211</v>
      </c>
      <c r="C177" s="17" t="s">
        <v>541</v>
      </c>
      <c r="D177" s="17" t="s">
        <v>326</v>
      </c>
      <c r="E177" s="17" t="s">
        <v>542</v>
      </c>
      <c r="F177" s="17" t="s">
        <v>374</v>
      </c>
      <c r="G177" s="14">
        <v>12</v>
      </c>
      <c r="H177" s="14" t="s">
        <v>89</v>
      </c>
      <c r="I177" s="16">
        <v>45484</v>
      </c>
      <c r="J177" s="19">
        <v>0</v>
      </c>
      <c r="K177" s="14" t="s">
        <v>245</v>
      </c>
      <c r="L177" s="14" t="s">
        <v>90</v>
      </c>
      <c r="M177" s="14" t="s">
        <v>548</v>
      </c>
      <c r="N177" s="15" t="s">
        <v>27</v>
      </c>
      <c r="O177" s="18"/>
      <c r="P177" s="15" t="s">
        <v>91</v>
      </c>
      <c r="Q177" s="17"/>
      <c r="R177" s="17"/>
      <c r="S177" s="17"/>
      <c r="T177" s="124" t="str">
        <f>IF(N177=CURSOS!$D$3,"DIPLOMADO EN ATENCION PRE-HOSPITALARIA",IF(N177=CURSOS!$D$4,"ACOMPAÑAMIENTO Y MANEJO DEL DUELO",IF(N177=CURSOS!$D$5,"ATENCION A VICTIMAS DE ATAQUE CON AGENTES QUIMICOS ",IF(N177=CURSOS!$D$6,"PRIMEROS AUXILIOS ",IF(N177=CURSOS!$D$7,"DIPLOMADO DE UNIDAD DE CUIDADOS INTENSIVOS (UCI)",IF(N177=CURSOS!$D$8,"MODELO DE ATENCION PARA EVENTOS EMERGENTES EN SALUD MENTAL (CODIGO VERDE)",IF(N177=CURSOS!$D$9,"HUMANIZACION EN EL SERVICIO DE LA SALUD Y BUENAS PRACTICAS EN PACIENTE ",IF(N177=CURSOS!$D$10,"CLINICA DE HERIDAS ",IF(N177=CURSOS!$D$11,"TOMA DE CITOLOGIA CERVICO VAGINAL ",IF(N177=CURSOS!$D$12,"SOPORTE CARDIOVASCULAR AVANZADO (ACLS) ",IF(N177=CURSOS!$D$13,"CAMILLERO ",IF(N177=CURSOS!$D$14,"TOMA DE MUESTRAS Y LABORATORIO ",IF(N177=CURSOS!$D$15,"SOPORTE VITAL BASICO (BLS)",IF(N177=CURSOS!$D$16,"ATENCION A VICTIMAS DE VIOLENCIA SEXUAL ",IF(N177=CURSOS!$D$17,"PROGRAMADO AMPLIADO DE INMUNIZACION (PAI - COVID 19)",IF(N177=CURSOS!$D$18,"ATENCION INTEGRAL EN ENFERMEDADES PREVALENTES EN PRIMERA INFANCIA (AIEPI)",IF(N177=CURSOS!$D$19,"ADMINISTRACION DE MEDICAMENTOS, INYECTOLOGIA  Y CANALIZACION ",IF(N177=CURSOS!$D$20,"OPERADOR DE VEHICULOS DE EMERGENCIA (OVE)",IF(N177=CURSOS!$D$21,"INSTITUCIONES AMIGAS DE LA MUJER Y LA INFANCIA (IAMI)",IF(N177=CURSOS!$D$22,"CUIDADO DEL DONANTE DE ORGANOS",IF(N177=CURSOS!$D$23,"ATENCION A VICTIMAS POR VIOLENCIA DE GENERO",IF(N177=CURSOS!$D$24,"IGUALDAD DE GENERO EN LA SALUD",IF(N177=CURSOS!$D$25,"BRIGADA DE EMERGENCIA",IF(N177=CURSOS!$D$26,"MANEJO DEL DOLOR Y CUIDADOS PALIATIVOS",IF(N177=CURSOS!$D$27,"TOMA DE MUESTRAS Y LABORATORIO POCT",IF(N177=CURSOS!$D$28,"IMPLANTE SUBDERMICO DE DISPOSITIVO INTRAUTERINO",IF(N177=CURSOS!$D$29,"SALUD MENTAL",IF(N177=CURSOS!$D$30,"PRIMEROS AUXILIOS PSICOLOGICOS",IF(N177=CURSOS!$D$31,"ATENCION A VICTIMAS POR CONFLICTO ARMADO",IF(N177=CURSOS!$D$32,"MANIPULACION DE ALIMENTOS Y BPM",IF(N177=CURSOS!$D$33,"ATENCION A PERSONAS CON DISCAPACIDAD",IF(N177=CURSOS!$D$34,"CUIDADO INTEGRAL DEL PACIENTE ADULTO",IF(N177=CURSOS!$D$35,"MANEJO DEFENSIVO",IF(N177=CURSOS!$D$36,"SOPORTE CARDIOVASCULAR AVANZADO NEONATAL",IF(N177=CURSOS!$D$37,"SEGURIDAD DEL PACIENTE")))))))))))))))))))))))))))))))))))</f>
        <v xml:space="preserve">PRIMEROS AUXILIOS </v>
      </c>
      <c r="U177" s="124" t="str">
        <f t="shared" si="9"/>
        <v>Marco Antonio Ruales Montanchez</v>
      </c>
      <c r="V177" s="128" t="str">
        <f t="shared" si="10"/>
        <v>Marco Antonio Ruales Montanchez</v>
      </c>
      <c r="W177" s="138" t="str">
        <f t="shared" si="11"/>
        <v>Marco Antonio Ruales Montanchez-98385211-PRIMEROS AUXILIOS</v>
      </c>
    </row>
    <row r="178" spans="1:23" x14ac:dyDescent="0.2">
      <c r="A178" s="42">
        <v>177</v>
      </c>
      <c r="B178" s="43">
        <v>12989759</v>
      </c>
      <c r="C178" s="17" t="s">
        <v>140</v>
      </c>
      <c r="D178" s="17" t="s">
        <v>543</v>
      </c>
      <c r="E178" s="17" t="s">
        <v>253</v>
      </c>
      <c r="F178" s="17" t="s">
        <v>232</v>
      </c>
      <c r="G178" s="14">
        <v>12</v>
      </c>
      <c r="H178" s="14" t="s">
        <v>89</v>
      </c>
      <c r="I178" s="16">
        <v>45484</v>
      </c>
      <c r="J178" s="19">
        <v>0</v>
      </c>
      <c r="K178" s="14" t="s">
        <v>245</v>
      </c>
      <c r="L178" s="14" t="s">
        <v>90</v>
      </c>
      <c r="M178" s="14" t="s">
        <v>548</v>
      </c>
      <c r="N178" s="15" t="s">
        <v>27</v>
      </c>
      <c r="O178" s="18"/>
      <c r="P178" s="15" t="s">
        <v>91</v>
      </c>
      <c r="Q178" s="17"/>
      <c r="R178" s="17"/>
      <c r="S178" s="17"/>
      <c r="T178" s="124" t="str">
        <f>IF(N178=CURSOS!$D$3,"DIPLOMADO EN ATENCION PRE-HOSPITALARIA",IF(N178=CURSOS!$D$4,"ACOMPAÑAMIENTO Y MANEJO DEL DUELO",IF(N178=CURSOS!$D$5,"ATENCION A VICTIMAS DE ATAQUE CON AGENTES QUIMICOS ",IF(N178=CURSOS!$D$6,"PRIMEROS AUXILIOS ",IF(N178=CURSOS!$D$7,"DIPLOMADO DE UNIDAD DE CUIDADOS INTENSIVOS (UCI)",IF(N178=CURSOS!$D$8,"MODELO DE ATENCION PARA EVENTOS EMERGENTES EN SALUD MENTAL (CODIGO VERDE)",IF(N178=CURSOS!$D$9,"HUMANIZACION EN EL SERVICIO DE LA SALUD Y BUENAS PRACTICAS EN PACIENTE ",IF(N178=CURSOS!$D$10,"CLINICA DE HERIDAS ",IF(N178=CURSOS!$D$11,"TOMA DE CITOLOGIA CERVICO VAGINAL ",IF(N178=CURSOS!$D$12,"SOPORTE CARDIOVASCULAR AVANZADO (ACLS) ",IF(N178=CURSOS!$D$13,"CAMILLERO ",IF(N178=CURSOS!$D$14,"TOMA DE MUESTRAS Y LABORATORIO ",IF(N178=CURSOS!$D$15,"SOPORTE VITAL BASICO (BLS)",IF(N178=CURSOS!$D$16,"ATENCION A VICTIMAS DE VIOLENCIA SEXUAL ",IF(N178=CURSOS!$D$17,"PROGRAMADO AMPLIADO DE INMUNIZACION (PAI - COVID 19)",IF(N178=CURSOS!$D$18,"ATENCION INTEGRAL EN ENFERMEDADES PREVALENTES EN PRIMERA INFANCIA (AIEPI)",IF(N178=CURSOS!$D$19,"ADMINISTRACION DE MEDICAMENTOS, INYECTOLOGIA  Y CANALIZACION ",IF(N178=CURSOS!$D$20,"OPERADOR DE VEHICULOS DE EMERGENCIA (OVE)",IF(N178=CURSOS!$D$21,"INSTITUCIONES AMIGAS DE LA MUJER Y LA INFANCIA (IAMI)",IF(N178=CURSOS!$D$22,"CUIDADO DEL DONANTE DE ORGANOS",IF(N178=CURSOS!$D$23,"ATENCION A VICTIMAS POR VIOLENCIA DE GENERO",IF(N178=CURSOS!$D$24,"IGUALDAD DE GENERO EN LA SALUD",IF(N178=CURSOS!$D$25,"BRIGADA DE EMERGENCIA",IF(N178=CURSOS!$D$26,"MANEJO DEL DOLOR Y CUIDADOS PALIATIVOS",IF(N178=CURSOS!$D$27,"TOMA DE MUESTRAS Y LABORATORIO POCT",IF(N178=CURSOS!$D$28,"IMPLANTE SUBDERMICO DE DISPOSITIVO INTRAUTERINO",IF(N178=CURSOS!$D$29,"SALUD MENTAL",IF(N178=CURSOS!$D$30,"PRIMEROS AUXILIOS PSICOLOGICOS",IF(N178=CURSOS!$D$31,"ATENCION A VICTIMAS POR CONFLICTO ARMADO",IF(N178=CURSOS!$D$32,"MANIPULACION DE ALIMENTOS Y BPM",IF(N178=CURSOS!$D$33,"ATENCION A PERSONAS CON DISCAPACIDAD",IF(N178=CURSOS!$D$34,"CUIDADO INTEGRAL DEL PACIENTE ADULTO",IF(N178=CURSOS!$D$35,"MANEJO DEFENSIVO",IF(N178=CURSOS!$D$36,"SOPORTE CARDIOVASCULAR AVANZADO NEONATAL",IF(N178=CURSOS!$D$37,"SEGURIDAD DEL PACIENTE")))))))))))))))))))))))))))))))))))</f>
        <v xml:space="preserve">PRIMEROS AUXILIOS </v>
      </c>
      <c r="U178" s="124" t="str">
        <f t="shared" si="9"/>
        <v>Alvaro Giovanni Santacruz Armero</v>
      </c>
      <c r="V178" s="128" t="str">
        <f t="shared" si="10"/>
        <v>Alvaro Giovanni Santacruz Armero</v>
      </c>
      <c r="W178" s="138" t="str">
        <f t="shared" si="11"/>
        <v>Alvaro Giovanni Santacruz Armero-12989759-PRIMEROS AUXILIOS</v>
      </c>
    </row>
    <row r="179" spans="1:23" x14ac:dyDescent="0.2">
      <c r="A179" s="42">
        <v>178</v>
      </c>
      <c r="B179" s="43">
        <v>12997881</v>
      </c>
      <c r="C179" s="17" t="s">
        <v>230</v>
      </c>
      <c r="D179" s="17"/>
      <c r="E179" s="17" t="s">
        <v>544</v>
      </c>
      <c r="F179" s="17" t="s">
        <v>365</v>
      </c>
      <c r="G179" s="14">
        <v>12</v>
      </c>
      <c r="H179" s="14" t="s">
        <v>89</v>
      </c>
      <c r="I179" s="16">
        <v>45484</v>
      </c>
      <c r="J179" s="19">
        <v>0</v>
      </c>
      <c r="K179" s="14" t="s">
        <v>245</v>
      </c>
      <c r="L179" s="14" t="s">
        <v>90</v>
      </c>
      <c r="M179" s="14" t="s">
        <v>548</v>
      </c>
      <c r="N179" s="15" t="s">
        <v>27</v>
      </c>
      <c r="O179" s="18"/>
      <c r="P179" s="15" t="s">
        <v>91</v>
      </c>
      <c r="Q179" s="17"/>
      <c r="R179" s="17"/>
      <c r="S179" s="17"/>
      <c r="T179" s="124" t="str">
        <f>IF(N179=CURSOS!$D$3,"DIPLOMADO EN ATENCION PRE-HOSPITALARIA",IF(N179=CURSOS!$D$4,"ACOMPAÑAMIENTO Y MANEJO DEL DUELO",IF(N179=CURSOS!$D$5,"ATENCION A VICTIMAS DE ATAQUE CON AGENTES QUIMICOS ",IF(N179=CURSOS!$D$6,"PRIMEROS AUXILIOS ",IF(N179=CURSOS!$D$7,"DIPLOMADO DE UNIDAD DE CUIDADOS INTENSIVOS (UCI)",IF(N179=CURSOS!$D$8,"MODELO DE ATENCION PARA EVENTOS EMERGENTES EN SALUD MENTAL (CODIGO VERDE)",IF(N179=CURSOS!$D$9,"HUMANIZACION EN EL SERVICIO DE LA SALUD Y BUENAS PRACTICAS EN PACIENTE ",IF(N179=CURSOS!$D$10,"CLINICA DE HERIDAS ",IF(N179=CURSOS!$D$11,"TOMA DE CITOLOGIA CERVICO VAGINAL ",IF(N179=CURSOS!$D$12,"SOPORTE CARDIOVASCULAR AVANZADO (ACLS) ",IF(N179=CURSOS!$D$13,"CAMILLERO ",IF(N179=CURSOS!$D$14,"TOMA DE MUESTRAS Y LABORATORIO ",IF(N179=CURSOS!$D$15,"SOPORTE VITAL BASICO (BLS)",IF(N179=CURSOS!$D$16,"ATENCION A VICTIMAS DE VIOLENCIA SEXUAL ",IF(N179=CURSOS!$D$17,"PROGRAMADO AMPLIADO DE INMUNIZACION (PAI - COVID 19)",IF(N179=CURSOS!$D$18,"ATENCION INTEGRAL EN ENFERMEDADES PREVALENTES EN PRIMERA INFANCIA (AIEPI)",IF(N179=CURSOS!$D$19,"ADMINISTRACION DE MEDICAMENTOS, INYECTOLOGIA  Y CANALIZACION ",IF(N179=CURSOS!$D$20,"OPERADOR DE VEHICULOS DE EMERGENCIA (OVE)",IF(N179=CURSOS!$D$21,"INSTITUCIONES AMIGAS DE LA MUJER Y LA INFANCIA (IAMI)",IF(N179=CURSOS!$D$22,"CUIDADO DEL DONANTE DE ORGANOS",IF(N179=CURSOS!$D$23,"ATENCION A VICTIMAS POR VIOLENCIA DE GENERO",IF(N179=CURSOS!$D$24,"IGUALDAD DE GENERO EN LA SALUD",IF(N179=CURSOS!$D$25,"BRIGADA DE EMERGENCIA",IF(N179=CURSOS!$D$26,"MANEJO DEL DOLOR Y CUIDADOS PALIATIVOS",IF(N179=CURSOS!$D$27,"TOMA DE MUESTRAS Y LABORATORIO POCT",IF(N179=CURSOS!$D$28,"IMPLANTE SUBDERMICO DE DISPOSITIVO INTRAUTERINO",IF(N179=CURSOS!$D$29,"SALUD MENTAL",IF(N179=CURSOS!$D$30,"PRIMEROS AUXILIOS PSICOLOGICOS",IF(N179=CURSOS!$D$31,"ATENCION A VICTIMAS POR CONFLICTO ARMADO",IF(N179=CURSOS!$D$32,"MANIPULACION DE ALIMENTOS Y BPM",IF(N179=CURSOS!$D$33,"ATENCION A PERSONAS CON DISCAPACIDAD",IF(N179=CURSOS!$D$34,"CUIDADO INTEGRAL DEL PACIENTE ADULTO",IF(N179=CURSOS!$D$35,"MANEJO DEFENSIVO",IF(N179=CURSOS!$D$36,"SOPORTE CARDIOVASCULAR AVANZADO NEONATAL",IF(N179=CURSOS!$D$37,"SEGURIDAD DEL PACIENTE")))))))))))))))))))))))))))))))))))</f>
        <v xml:space="preserve">PRIMEROS AUXILIOS </v>
      </c>
      <c r="U179" s="124" t="str">
        <f t="shared" si="9"/>
        <v xml:space="preserve">Hector Javier Ortega </v>
      </c>
      <c r="V179" s="128" t="str">
        <f t="shared" si="10"/>
        <v xml:space="preserve">Hector Javier Ortega </v>
      </c>
      <c r="W179" s="138" t="str">
        <f t="shared" si="11"/>
        <v>Hector Javier Ortega -12997881-PRIMEROS AUXILIOS</v>
      </c>
    </row>
    <row r="180" spans="1:23" x14ac:dyDescent="0.2">
      <c r="A180" s="42">
        <v>179</v>
      </c>
      <c r="B180" s="43">
        <v>12748338</v>
      </c>
      <c r="C180" s="17" t="s">
        <v>94</v>
      </c>
      <c r="D180" s="17"/>
      <c r="E180" s="17" t="s">
        <v>130</v>
      </c>
      <c r="F180" s="17" t="s">
        <v>131</v>
      </c>
      <c r="G180" s="14">
        <v>12</v>
      </c>
      <c r="H180" s="14" t="s">
        <v>89</v>
      </c>
      <c r="I180" s="16">
        <v>45484</v>
      </c>
      <c r="J180" s="19">
        <v>0</v>
      </c>
      <c r="K180" s="14" t="s">
        <v>245</v>
      </c>
      <c r="L180" s="14" t="s">
        <v>90</v>
      </c>
      <c r="M180" s="14" t="s">
        <v>548</v>
      </c>
      <c r="N180" s="15" t="s">
        <v>27</v>
      </c>
      <c r="O180" s="18"/>
      <c r="P180" s="15" t="s">
        <v>91</v>
      </c>
      <c r="Q180" s="17"/>
      <c r="R180" s="17"/>
      <c r="S180" s="17"/>
      <c r="T180" s="124" t="str">
        <f>IF(N180=CURSOS!$D$3,"DIPLOMADO EN ATENCION PRE-HOSPITALARIA",IF(N180=CURSOS!$D$4,"ACOMPAÑAMIENTO Y MANEJO DEL DUELO",IF(N180=CURSOS!$D$5,"ATENCION A VICTIMAS DE ATAQUE CON AGENTES QUIMICOS ",IF(N180=CURSOS!$D$6,"PRIMEROS AUXILIOS ",IF(N180=CURSOS!$D$7,"DIPLOMADO DE UNIDAD DE CUIDADOS INTENSIVOS (UCI)",IF(N180=CURSOS!$D$8,"MODELO DE ATENCION PARA EVENTOS EMERGENTES EN SALUD MENTAL (CODIGO VERDE)",IF(N180=CURSOS!$D$9,"HUMANIZACION EN EL SERVICIO DE LA SALUD Y BUENAS PRACTICAS EN PACIENTE ",IF(N180=CURSOS!$D$10,"CLINICA DE HERIDAS ",IF(N180=CURSOS!$D$11,"TOMA DE CITOLOGIA CERVICO VAGINAL ",IF(N180=CURSOS!$D$12,"SOPORTE CARDIOVASCULAR AVANZADO (ACLS) ",IF(N180=CURSOS!$D$13,"CAMILLERO ",IF(N180=CURSOS!$D$14,"TOMA DE MUESTRAS Y LABORATORIO ",IF(N180=CURSOS!$D$15,"SOPORTE VITAL BASICO (BLS)",IF(N180=CURSOS!$D$16,"ATENCION A VICTIMAS DE VIOLENCIA SEXUAL ",IF(N180=CURSOS!$D$17,"PROGRAMADO AMPLIADO DE INMUNIZACION (PAI - COVID 19)",IF(N180=CURSOS!$D$18,"ATENCION INTEGRAL EN ENFERMEDADES PREVALENTES EN PRIMERA INFANCIA (AIEPI)",IF(N180=CURSOS!$D$19,"ADMINISTRACION DE MEDICAMENTOS, INYECTOLOGIA  Y CANALIZACION ",IF(N180=CURSOS!$D$20,"OPERADOR DE VEHICULOS DE EMERGENCIA (OVE)",IF(N180=CURSOS!$D$21,"INSTITUCIONES AMIGAS DE LA MUJER Y LA INFANCIA (IAMI)",IF(N180=CURSOS!$D$22,"CUIDADO DEL DONANTE DE ORGANOS",IF(N180=CURSOS!$D$23,"ATENCION A VICTIMAS POR VIOLENCIA DE GENERO",IF(N180=CURSOS!$D$24,"IGUALDAD DE GENERO EN LA SALUD",IF(N180=CURSOS!$D$25,"BRIGADA DE EMERGENCIA",IF(N180=CURSOS!$D$26,"MANEJO DEL DOLOR Y CUIDADOS PALIATIVOS",IF(N180=CURSOS!$D$27,"TOMA DE MUESTRAS Y LABORATORIO POCT",IF(N180=CURSOS!$D$28,"IMPLANTE SUBDERMICO DE DISPOSITIVO INTRAUTERINO",IF(N180=CURSOS!$D$29,"SALUD MENTAL",IF(N180=CURSOS!$D$30,"PRIMEROS AUXILIOS PSICOLOGICOS",IF(N180=CURSOS!$D$31,"ATENCION A VICTIMAS POR CONFLICTO ARMADO",IF(N180=CURSOS!$D$32,"MANIPULACION DE ALIMENTOS Y BPM",IF(N180=CURSOS!$D$33,"ATENCION A PERSONAS CON DISCAPACIDAD",IF(N180=CURSOS!$D$34,"CUIDADO INTEGRAL DEL PACIENTE ADULTO",IF(N180=CURSOS!$D$35,"MANEJO DEFENSIVO",IF(N180=CURSOS!$D$36,"SOPORTE CARDIOVASCULAR AVANZADO NEONATAL",IF(N180=CURSOS!$D$37,"SEGURIDAD DEL PACIENTE")))))))))))))))))))))))))))))))))))</f>
        <v xml:space="preserve">PRIMEROS AUXILIOS </v>
      </c>
      <c r="U180" s="124" t="str">
        <f t="shared" si="9"/>
        <v xml:space="preserve">Carlos Andres Portilla </v>
      </c>
      <c r="V180" s="128" t="str">
        <f t="shared" si="10"/>
        <v xml:space="preserve">Carlos Andres Portilla </v>
      </c>
      <c r="W180" s="138" t="str">
        <f t="shared" si="11"/>
        <v>Carlos Andres Portilla -12748338-PRIMEROS AUXILIOS</v>
      </c>
    </row>
    <row r="181" spans="1:23" x14ac:dyDescent="0.2">
      <c r="A181" s="42">
        <v>180</v>
      </c>
      <c r="B181" s="125">
        <v>1085323959</v>
      </c>
      <c r="C181" s="104" t="s">
        <v>545</v>
      </c>
      <c r="D181" s="104" t="s">
        <v>269</v>
      </c>
      <c r="E181" s="104" t="s">
        <v>365</v>
      </c>
      <c r="F181" s="104" t="s">
        <v>131</v>
      </c>
      <c r="G181" s="105">
        <v>12</v>
      </c>
      <c r="H181" s="105" t="s">
        <v>89</v>
      </c>
      <c r="I181" s="112">
        <v>45484</v>
      </c>
      <c r="J181" s="106">
        <v>0</v>
      </c>
      <c r="K181" s="105" t="s">
        <v>245</v>
      </c>
      <c r="L181" s="105" t="s">
        <v>90</v>
      </c>
      <c r="M181" s="105" t="s">
        <v>548</v>
      </c>
      <c r="N181" s="107" t="s">
        <v>27</v>
      </c>
      <c r="O181" s="113"/>
      <c r="P181" s="107" t="s">
        <v>91</v>
      </c>
      <c r="Q181" s="104"/>
      <c r="R181" s="104"/>
      <c r="S181" s="86"/>
      <c r="T181" s="124" t="str">
        <f>IF(N181=CURSOS!$D$3,"DIPLOMADO EN ATENCION PRE-HOSPITALARIA",IF(N181=CURSOS!$D$4,"ACOMPAÑAMIENTO Y MANEJO DEL DUELO",IF(N181=CURSOS!$D$5,"ATENCION A VICTIMAS DE ATAQUE CON AGENTES QUIMICOS ",IF(N181=CURSOS!$D$6,"PRIMEROS AUXILIOS ",IF(N181=CURSOS!$D$7,"DIPLOMADO DE UNIDAD DE CUIDADOS INTENSIVOS (UCI)",IF(N181=CURSOS!$D$8,"MODELO DE ATENCION PARA EVENTOS EMERGENTES EN SALUD MENTAL (CODIGO VERDE)",IF(N181=CURSOS!$D$9,"HUMANIZACION EN EL SERVICIO DE LA SALUD Y BUENAS PRACTICAS EN PACIENTE ",IF(N181=CURSOS!$D$10,"CLINICA DE HERIDAS ",IF(N181=CURSOS!$D$11,"TOMA DE CITOLOGIA CERVICO VAGINAL ",IF(N181=CURSOS!$D$12,"SOPORTE CARDIOVASCULAR AVANZADO (ACLS) ",IF(N181=CURSOS!$D$13,"CAMILLERO ",IF(N181=CURSOS!$D$14,"TOMA DE MUESTRAS Y LABORATORIO ",IF(N181=CURSOS!$D$15,"SOPORTE VITAL BASICO (BLS)",IF(N181=CURSOS!$D$16,"ATENCION A VICTIMAS DE VIOLENCIA SEXUAL ",IF(N181=CURSOS!$D$17,"PROGRAMADO AMPLIADO DE INMUNIZACION (PAI - COVID 19)",IF(N181=CURSOS!$D$18,"ATENCION INTEGRAL EN ENFERMEDADES PREVALENTES EN PRIMERA INFANCIA (AIEPI)",IF(N181=CURSOS!$D$19,"ADMINISTRACION DE MEDICAMENTOS, INYECTOLOGIA  Y CANALIZACION ",IF(N181=CURSOS!$D$20,"OPERADOR DE VEHICULOS DE EMERGENCIA (OVE)",IF(N181=CURSOS!$D$21,"INSTITUCIONES AMIGAS DE LA MUJER Y LA INFANCIA (IAMI)",IF(N181=CURSOS!$D$22,"CUIDADO DEL DONANTE DE ORGANOS",IF(N181=CURSOS!$D$23,"ATENCION A VICTIMAS POR VIOLENCIA DE GENERO",IF(N181=CURSOS!$D$24,"IGUALDAD DE GENERO EN LA SALUD",IF(N181=CURSOS!$D$25,"BRIGADA DE EMERGENCIA",IF(N181=CURSOS!$D$26,"MANEJO DEL DOLOR Y CUIDADOS PALIATIVOS",IF(N181=CURSOS!$D$27,"TOMA DE MUESTRAS Y LABORATORIO POCT",IF(N181=CURSOS!$D$28,"IMPLANTE SUBDERMICO DE DISPOSITIVO INTRAUTERINO",IF(N181=CURSOS!$D$29,"SALUD MENTAL",IF(N181=CURSOS!$D$30,"PRIMEROS AUXILIOS PSICOLOGICOS",IF(N181=CURSOS!$D$31,"ATENCION A VICTIMAS POR CONFLICTO ARMADO",IF(N181=CURSOS!$D$32,"MANIPULACION DE ALIMENTOS Y BPM",IF(N181=CURSOS!$D$33,"ATENCION A PERSONAS CON DISCAPACIDAD",IF(N181=CURSOS!$D$34,"CUIDADO INTEGRAL DEL PACIENTE ADULTO",IF(N181=CURSOS!$D$35,"MANEJO DEFENSIVO",IF(N181=CURSOS!$D$36,"SOPORTE CARDIOVASCULAR AVANZADO NEONATAL",IF(N181=CURSOS!$D$37,"SEGURIDAD DEL PACIENTE")))))))))))))))))))))))))))))))))))</f>
        <v xml:space="preserve">PRIMEROS AUXILIOS </v>
      </c>
      <c r="U181" s="124" t="str">
        <f t="shared" si="9"/>
        <v>Javier Andres Ascuntar Martinez</v>
      </c>
      <c r="V181" s="128" t="str">
        <f t="shared" si="10"/>
        <v>Javier Andres Ascuntar Martinez</v>
      </c>
      <c r="W181" s="138" t="str">
        <f t="shared" si="11"/>
        <v>Javier Andres Ascuntar Martinez-1085323959-PRIMEROS AUXILIOS</v>
      </c>
    </row>
    <row r="182" spans="1:23" x14ac:dyDescent="0.2">
      <c r="A182" s="42">
        <v>181</v>
      </c>
      <c r="B182" s="43">
        <v>1085288310</v>
      </c>
      <c r="C182" s="17" t="s">
        <v>546</v>
      </c>
      <c r="D182" s="17" t="s">
        <v>547</v>
      </c>
      <c r="E182" s="17" t="s">
        <v>533</v>
      </c>
      <c r="F182" s="17" t="s">
        <v>146</v>
      </c>
      <c r="G182" s="14">
        <v>12</v>
      </c>
      <c r="H182" s="14" t="s">
        <v>89</v>
      </c>
      <c r="I182" s="16">
        <v>45484</v>
      </c>
      <c r="J182" s="19">
        <v>0</v>
      </c>
      <c r="K182" s="14" t="s">
        <v>245</v>
      </c>
      <c r="L182" s="14" t="s">
        <v>90</v>
      </c>
      <c r="M182" s="14" t="s">
        <v>548</v>
      </c>
      <c r="N182" s="15" t="s">
        <v>27</v>
      </c>
      <c r="O182" s="18"/>
      <c r="P182" s="15" t="s">
        <v>91</v>
      </c>
      <c r="Q182" s="17"/>
      <c r="R182" s="17"/>
      <c r="S182" s="17"/>
      <c r="T182" s="124" t="str">
        <f>IF(N182=CURSOS!$D$3,"DIPLOMADO EN ATENCION PRE-HOSPITALARIA",IF(N182=CURSOS!$D$4,"ACOMPAÑAMIENTO Y MANEJO DEL DUELO",IF(N182=CURSOS!$D$5,"ATENCION A VICTIMAS DE ATAQUE CON AGENTES QUIMICOS ",IF(N182=CURSOS!$D$6,"PRIMEROS AUXILIOS ",IF(N182=CURSOS!$D$7,"DIPLOMADO DE UNIDAD DE CUIDADOS INTENSIVOS (UCI)",IF(N182=CURSOS!$D$8,"MODELO DE ATENCION PARA EVENTOS EMERGENTES EN SALUD MENTAL (CODIGO VERDE)",IF(N182=CURSOS!$D$9,"HUMANIZACION EN EL SERVICIO DE LA SALUD Y BUENAS PRACTICAS EN PACIENTE ",IF(N182=CURSOS!$D$10,"CLINICA DE HERIDAS ",IF(N182=CURSOS!$D$11,"TOMA DE CITOLOGIA CERVICO VAGINAL ",IF(N182=CURSOS!$D$12,"SOPORTE CARDIOVASCULAR AVANZADO (ACLS) ",IF(N182=CURSOS!$D$13,"CAMILLERO ",IF(N182=CURSOS!$D$14,"TOMA DE MUESTRAS Y LABORATORIO ",IF(N182=CURSOS!$D$15,"SOPORTE VITAL BASICO (BLS)",IF(N182=CURSOS!$D$16,"ATENCION A VICTIMAS DE VIOLENCIA SEXUAL ",IF(N182=CURSOS!$D$17,"PROGRAMADO AMPLIADO DE INMUNIZACION (PAI - COVID 19)",IF(N182=CURSOS!$D$18,"ATENCION INTEGRAL EN ENFERMEDADES PREVALENTES EN PRIMERA INFANCIA (AIEPI)",IF(N182=CURSOS!$D$19,"ADMINISTRACION DE MEDICAMENTOS, INYECTOLOGIA  Y CANALIZACION ",IF(N182=CURSOS!$D$20,"OPERADOR DE VEHICULOS DE EMERGENCIA (OVE)",IF(N182=CURSOS!$D$21,"INSTITUCIONES AMIGAS DE LA MUJER Y LA INFANCIA (IAMI)",IF(N182=CURSOS!$D$22,"CUIDADO DEL DONANTE DE ORGANOS",IF(N182=CURSOS!$D$23,"ATENCION A VICTIMAS POR VIOLENCIA DE GENERO",IF(N182=CURSOS!$D$24,"IGUALDAD DE GENERO EN LA SALUD",IF(N182=CURSOS!$D$25,"BRIGADA DE EMERGENCIA",IF(N182=CURSOS!$D$26,"MANEJO DEL DOLOR Y CUIDADOS PALIATIVOS",IF(N182=CURSOS!$D$27,"TOMA DE MUESTRAS Y LABORATORIO POCT",IF(N182=CURSOS!$D$28,"IMPLANTE SUBDERMICO DE DISPOSITIVO INTRAUTERINO",IF(N182=CURSOS!$D$29,"SALUD MENTAL",IF(N182=CURSOS!$D$30,"PRIMEROS AUXILIOS PSICOLOGICOS",IF(N182=CURSOS!$D$31,"ATENCION A VICTIMAS POR CONFLICTO ARMADO",IF(N182=CURSOS!$D$32,"MANIPULACION DE ALIMENTOS Y BPM",IF(N182=CURSOS!$D$33,"ATENCION A PERSONAS CON DISCAPACIDAD",IF(N182=CURSOS!$D$34,"CUIDADO INTEGRAL DEL PACIENTE ADULTO",IF(N182=CURSOS!$D$35,"MANEJO DEFENSIVO",IF(N182=CURSOS!$D$36,"SOPORTE CARDIOVASCULAR AVANZADO NEONATAL",IF(N182=CURSOS!$D$37,"SEGURIDAD DEL PACIENTE")))))))))))))))))))))))))))))))))))</f>
        <v xml:space="preserve">PRIMEROS AUXILIOS </v>
      </c>
      <c r="U182" s="124" t="str">
        <f t="shared" si="9"/>
        <v>Edwin Alexander Angulo Popayan</v>
      </c>
      <c r="V182" s="128" t="str">
        <f t="shared" si="10"/>
        <v>Edwin Alexander Angulo Popayan</v>
      </c>
      <c r="W182" s="138" t="str">
        <f t="shared" si="11"/>
        <v>Edwin Alexander Angulo Popayan-1085288310-PRIMEROS AUXILIOS</v>
      </c>
    </row>
    <row r="183" spans="1:23" x14ac:dyDescent="0.2">
      <c r="A183" s="42">
        <v>182</v>
      </c>
      <c r="B183" s="90">
        <v>1085345264</v>
      </c>
      <c r="C183" s="99" t="s">
        <v>556</v>
      </c>
      <c r="D183" s="99" t="s">
        <v>360</v>
      </c>
      <c r="E183" s="99" t="s">
        <v>557</v>
      </c>
      <c r="F183" s="99" t="s">
        <v>558</v>
      </c>
      <c r="G183" s="117">
        <v>12</v>
      </c>
      <c r="H183" s="117" t="s">
        <v>89</v>
      </c>
      <c r="I183" s="16">
        <v>45486</v>
      </c>
      <c r="J183" s="19">
        <v>25000</v>
      </c>
      <c r="K183" s="117" t="s">
        <v>210</v>
      </c>
      <c r="L183" s="117" t="s">
        <v>90</v>
      </c>
      <c r="M183" s="117" t="s">
        <v>132</v>
      </c>
      <c r="N183" s="118" t="s">
        <v>19</v>
      </c>
      <c r="O183" s="18">
        <v>36073</v>
      </c>
      <c r="P183" s="118" t="s">
        <v>101</v>
      </c>
      <c r="Q183" s="99" t="s">
        <v>126</v>
      </c>
      <c r="R183" s="99">
        <v>3182320631</v>
      </c>
      <c r="S183" s="99" t="s">
        <v>559</v>
      </c>
      <c r="T183" s="124" t="str">
        <f>IF(N183=CURSOS!$D$3,"DIPLOMADO EN ATENCION PRE-HOSPITALARIA",IF(N183=CURSOS!$D$4,"ACOMPAÑAMIENTO Y MANEJO DEL DUELO",IF(N183=CURSOS!$D$5,"ATENCION A VICTIMAS DE ATAQUE CON AGENTES QUIMICOS ",IF(N183=CURSOS!$D$6,"PRIMEROS AUXILIOS ",IF(N183=CURSOS!$D$7,"DIPLOMADO DE UNIDAD DE CUIDADOS INTENSIVOS (UCI)",IF(N183=CURSOS!$D$8,"MODELO DE ATENCION PARA EVENTOS EMERGENTES EN SALUD MENTAL (CODIGO VERDE)",IF(N183=CURSOS!$D$9,"HUMANIZACION EN EL SERVICIO DE LA SALUD Y BUENAS PRACTICAS EN PACIENTE ",IF(N183=CURSOS!$D$10,"CLINICA DE HERIDAS ",IF(N183=CURSOS!$D$11,"TOMA DE CITOLOGIA CERVICO VAGINAL ",IF(N183=CURSOS!$D$12,"SOPORTE CARDIOVASCULAR AVANZADO (ACLS) ",IF(N183=CURSOS!$D$13,"CAMILLERO ",IF(N183=CURSOS!$D$14,"TOMA DE MUESTRAS Y LABORATORIO ",IF(N183=CURSOS!$D$15,"SOPORTE VITAL BASICO (BLS)",IF(N183=CURSOS!$D$16,"ATENCION A VICTIMAS DE VIOLENCIA SEXUAL ",IF(N183=CURSOS!$D$17,"PROGRAMADO AMPLIADO DE INMUNIZACION (PAI - COVID 19)",IF(N183=CURSOS!$D$18,"ATENCION INTEGRAL EN ENFERMEDADES PREVALENTES EN PRIMERA INFANCIA (AIEPI)",IF(N183=CURSOS!$D$19,"ADMINISTRACION DE MEDICAMENTOS, INYECTOLOGIA  Y CANALIZACION ",IF(N183=CURSOS!$D$20,"OPERADOR DE VEHICULOS DE EMERGENCIA (OVE)",IF(N183=CURSOS!$D$21,"INSTITUCIONES AMIGAS DE LA MUJER Y LA INFANCIA (IAMI)",IF(N183=CURSOS!$D$22,"CUIDADO DEL DONANTE DE ORGANOS",IF(N183=CURSOS!$D$23,"ATENCION A VICTIMAS POR VIOLENCIA DE GENERO",IF(N183=CURSOS!$D$24,"IGUALDAD DE GENERO EN LA SALUD",IF(N183=CURSOS!$D$25,"BRIGADA DE EMERGENCIA",IF(N183=CURSOS!$D$26,"MANEJO DEL DOLOR Y CUIDADOS PALIATIVOS",IF(N183=CURSOS!$D$27,"TOMA DE MUESTRAS Y LABORATORIO POCT",IF(N183=CURSOS!$D$28,"IMPLANTE SUBDERMICO DE DISPOSITIVO INTRAUTERINO",IF(N183=CURSOS!$D$29,"SALUD MENTAL",IF(N183=CURSOS!$D$30,"PRIMEROS AUXILIOS PSICOLOGICOS",IF(N183=CURSOS!$D$31,"ATENCION A VICTIMAS POR CONFLICTO ARMADO",IF(N183=CURSOS!$D$32,"MANIPULACION DE ALIMENTOS Y BPM",IF(N183=CURSOS!$D$33,"ATENCION A PERSONAS CON DISCAPACIDAD",IF(N183=CURSOS!$D$34,"CUIDADO INTEGRAL DEL PACIENTE ADULTO",IF(N183=CURSOS!$D$35,"MANEJO DEFENSIVO",IF(N183=CURSOS!$D$36,"SOPORTE CARDIOVASCULAR AVANZADO NEONATAL",IF(N183=CURSOS!$D$37,"SEGURIDAD DEL PACIENTE")))))))))))))))))))))))))))))))))))</f>
        <v>SOPORTE VITAL BASICO (BLS)</v>
      </c>
      <c r="U183" s="124" t="str">
        <f t="shared" si="9"/>
        <v>Silvia Constanza Matabajoy Pinta</v>
      </c>
      <c r="V183" s="128" t="str">
        <f t="shared" si="10"/>
        <v>Silvia Constanza Matabajoy Pinta</v>
      </c>
      <c r="W183" s="138" t="str">
        <f t="shared" si="11"/>
        <v>Silvia Constanza Matabajoy Pinta-1085345264-BLS</v>
      </c>
    </row>
    <row r="184" spans="1:23" x14ac:dyDescent="0.2">
      <c r="A184" s="42">
        <v>183</v>
      </c>
      <c r="B184" s="90">
        <v>1085345264</v>
      </c>
      <c r="C184" s="99" t="s">
        <v>556</v>
      </c>
      <c r="D184" s="99" t="s">
        <v>360</v>
      </c>
      <c r="E184" s="99" t="s">
        <v>557</v>
      </c>
      <c r="F184" s="99" t="s">
        <v>558</v>
      </c>
      <c r="G184" s="117">
        <v>12</v>
      </c>
      <c r="H184" s="117" t="s">
        <v>89</v>
      </c>
      <c r="I184" s="16">
        <v>45486</v>
      </c>
      <c r="J184" s="19">
        <v>25000</v>
      </c>
      <c r="K184" s="117" t="s">
        <v>210</v>
      </c>
      <c r="L184" s="117" t="s">
        <v>90</v>
      </c>
      <c r="M184" s="117" t="s">
        <v>132</v>
      </c>
      <c r="N184" s="118" t="s">
        <v>43</v>
      </c>
      <c r="O184" s="18">
        <v>36073</v>
      </c>
      <c r="P184" s="118" t="s">
        <v>101</v>
      </c>
      <c r="Q184" s="99" t="s">
        <v>126</v>
      </c>
      <c r="R184" s="99">
        <v>3182320631</v>
      </c>
      <c r="S184" s="99" t="s">
        <v>559</v>
      </c>
      <c r="T184" s="124" t="str">
        <f>IF(N184=CURSOS!$D$3,"DIPLOMADO EN ATENCION PRE-HOSPITALARIA",IF(N184=CURSOS!$D$4,"ACOMPAÑAMIENTO Y MANEJO DEL DUELO",IF(N184=CURSOS!$D$5,"ATENCION A VICTIMAS DE ATAQUE CON AGENTES QUIMICOS ",IF(N184=CURSOS!$D$6,"PRIMEROS AUXILIOS ",IF(N184=CURSOS!$D$7,"DIPLOMADO DE UNIDAD DE CUIDADOS INTENSIVOS (UCI)",IF(N184=CURSOS!$D$8,"MODELO DE ATENCION PARA EVENTOS EMERGENTES EN SALUD MENTAL (CODIGO VERDE)",IF(N184=CURSOS!$D$9,"HUMANIZACION EN EL SERVICIO DE LA SALUD Y BUENAS PRACTICAS EN PACIENTE ",IF(N184=CURSOS!$D$10,"CLINICA DE HERIDAS ",IF(N184=CURSOS!$D$11,"TOMA DE CITOLOGIA CERVICO VAGINAL ",IF(N184=CURSOS!$D$12,"SOPORTE CARDIOVASCULAR AVANZADO (ACLS) ",IF(N184=CURSOS!$D$13,"CAMILLERO ",IF(N184=CURSOS!$D$14,"TOMA DE MUESTRAS Y LABORATORIO ",IF(N184=CURSOS!$D$15,"SOPORTE VITAL BASICO (BLS)",IF(N184=CURSOS!$D$16,"ATENCION A VICTIMAS DE VIOLENCIA SEXUAL ",IF(N184=CURSOS!$D$17,"PROGRAMADO AMPLIADO DE INMUNIZACION (PAI - COVID 19)",IF(N184=CURSOS!$D$18,"ATENCION INTEGRAL EN ENFERMEDADES PREVALENTES EN PRIMERA INFANCIA (AIEPI)",IF(N184=CURSOS!$D$19,"ADMINISTRACION DE MEDICAMENTOS, INYECTOLOGIA  Y CANALIZACION ",IF(N184=CURSOS!$D$20,"OPERADOR DE VEHICULOS DE EMERGENCIA (OVE)",IF(N184=CURSOS!$D$21,"INSTITUCIONES AMIGAS DE LA MUJER Y LA INFANCIA (IAMI)",IF(N184=CURSOS!$D$22,"CUIDADO DEL DONANTE DE ORGANOS",IF(N184=CURSOS!$D$23,"ATENCION A VICTIMAS POR VIOLENCIA DE GENERO",IF(N184=CURSOS!$D$24,"IGUALDAD DE GENERO EN LA SALUD",IF(N184=CURSOS!$D$25,"BRIGADA DE EMERGENCIA",IF(N184=CURSOS!$D$26,"MANEJO DEL DOLOR Y CUIDADOS PALIATIVOS",IF(N184=CURSOS!$D$27,"TOMA DE MUESTRAS Y LABORATORIO POCT",IF(N184=CURSOS!$D$28,"IMPLANTE SUBDERMICO DE DISPOSITIVO INTRAUTERINO",IF(N184=CURSOS!$D$29,"SALUD MENTAL",IF(N184=CURSOS!$D$30,"PRIMEROS AUXILIOS PSICOLOGICOS",IF(N184=CURSOS!$D$31,"ATENCION A VICTIMAS POR CONFLICTO ARMADO",IF(N184=CURSOS!$D$32,"MANIPULACION DE ALIMENTOS Y BPM",IF(N184=CURSOS!$D$33,"ATENCION A PERSONAS CON DISCAPACIDAD",IF(N184=CURSOS!$D$34,"CUIDADO INTEGRAL DEL PACIENTE ADULTO",IF(N184=CURSOS!$D$35,"MANEJO DEFENSIVO",IF(N184=CURSOS!$D$36,"SOPORTE CARDIOVASCULAR AVANZADO NEONATAL",IF(N184=CURSOS!$D$37,"SEGURIDAD DEL PACIENTE")))))))))))))))))))))))))))))))))))</f>
        <v xml:space="preserve">ATENCION A VICTIMAS DE VIOLENCIA SEXUAL </v>
      </c>
      <c r="U184" s="124" t="str">
        <f t="shared" si="9"/>
        <v>Silvia Constanza Matabajoy Pinta</v>
      </c>
      <c r="V184" s="128" t="str">
        <f t="shared" si="10"/>
        <v>Silvia Constanza Matabajoy Pinta</v>
      </c>
      <c r="W184" s="138" t="str">
        <f t="shared" si="11"/>
        <v>Silvia Constanza Matabajoy Pinta-1085345264-VIOLENCIA SEXUAL</v>
      </c>
    </row>
    <row r="185" spans="1:23" x14ac:dyDescent="0.2">
      <c r="A185" s="42">
        <v>184</v>
      </c>
      <c r="B185" s="90">
        <v>1085345264</v>
      </c>
      <c r="C185" s="99" t="s">
        <v>556</v>
      </c>
      <c r="D185" s="99" t="s">
        <v>360</v>
      </c>
      <c r="E185" s="99" t="s">
        <v>557</v>
      </c>
      <c r="F185" s="99" t="s">
        <v>558</v>
      </c>
      <c r="G185" s="117">
        <v>11</v>
      </c>
      <c r="H185" s="117" t="s">
        <v>89</v>
      </c>
      <c r="I185" s="16">
        <v>45486</v>
      </c>
      <c r="J185" s="19">
        <v>25000</v>
      </c>
      <c r="K185" s="117" t="s">
        <v>210</v>
      </c>
      <c r="L185" s="117" t="s">
        <v>90</v>
      </c>
      <c r="M185" s="117" t="s">
        <v>132</v>
      </c>
      <c r="N185" s="118" t="s">
        <v>61</v>
      </c>
      <c r="O185" s="18">
        <v>36073</v>
      </c>
      <c r="P185" s="118" t="s">
        <v>101</v>
      </c>
      <c r="Q185" s="99" t="s">
        <v>126</v>
      </c>
      <c r="R185" s="99">
        <v>3182320631</v>
      </c>
      <c r="S185" s="99" t="s">
        <v>559</v>
      </c>
      <c r="T185" s="124" t="str">
        <f>IF(N185=CURSOS!$D$3,"DIPLOMADO EN ATENCION PRE-HOSPITALARIA",IF(N185=CURSOS!$D$4,"ACOMPAÑAMIENTO Y MANEJO DEL DUELO",IF(N185=CURSOS!$D$5,"ATENCION A VICTIMAS DE ATAQUE CON AGENTES QUIMICOS ",IF(N185=CURSOS!$D$6,"PRIMEROS AUXILIOS ",IF(N185=CURSOS!$D$7,"DIPLOMADO DE UNIDAD DE CUIDADOS INTENSIVOS (UCI)",IF(N185=CURSOS!$D$8,"MODELO DE ATENCION PARA EVENTOS EMERGENTES EN SALUD MENTAL (CODIGO VERDE)",IF(N185=CURSOS!$D$9,"HUMANIZACION EN EL SERVICIO DE LA SALUD Y BUENAS PRACTICAS EN PACIENTE ",IF(N185=CURSOS!$D$10,"CLINICA DE HERIDAS ",IF(N185=CURSOS!$D$11,"TOMA DE CITOLOGIA CERVICO VAGINAL ",IF(N185=CURSOS!$D$12,"SOPORTE CARDIOVASCULAR AVANZADO (ACLS) ",IF(N185=CURSOS!$D$13,"CAMILLERO ",IF(N185=CURSOS!$D$14,"TOMA DE MUESTRAS Y LABORATORIO ",IF(N185=CURSOS!$D$15,"SOPORTE VITAL BASICO (BLS)",IF(N185=CURSOS!$D$16,"ATENCION A VICTIMAS DE VIOLENCIA SEXUAL ",IF(N185=CURSOS!$D$17,"PROGRAMADO AMPLIADO DE INMUNIZACION (PAI - COVID 19)",IF(N185=CURSOS!$D$18,"ATENCION INTEGRAL EN ENFERMEDADES PREVALENTES EN PRIMERA INFANCIA (AIEPI)",IF(N185=CURSOS!$D$19,"ADMINISTRACION DE MEDICAMENTOS, INYECTOLOGIA  Y CANALIZACION ",IF(N185=CURSOS!$D$20,"OPERADOR DE VEHICULOS DE EMERGENCIA (OVE)",IF(N185=CURSOS!$D$21,"INSTITUCIONES AMIGAS DE LA MUJER Y LA INFANCIA (IAMI)",IF(N185=CURSOS!$D$22,"CUIDADO DEL DONANTE DE ORGANOS",IF(N185=CURSOS!$D$23,"ATENCION A VICTIMAS POR VIOLENCIA DE GENERO",IF(N185=CURSOS!$D$24,"IGUALDAD DE GENERO EN LA SALUD",IF(N185=CURSOS!$D$25,"BRIGADA DE EMERGENCIA",IF(N185=CURSOS!$D$26,"MANEJO DEL DOLOR Y CUIDADOS PALIATIVOS",IF(N185=CURSOS!$D$27,"TOMA DE MUESTRAS Y LABORATORIO POCT",IF(N185=CURSOS!$D$28,"IMPLANTE SUBDERMICO DE DISPOSITIVO INTRAUTERINO",IF(N185=CURSOS!$D$29,"SALUD MENTAL",IF(N185=CURSOS!$D$30,"PRIMEROS AUXILIOS PSICOLOGICOS",IF(N185=CURSOS!$D$31,"ATENCION A VICTIMAS POR CONFLICTO ARMADO",IF(N185=CURSOS!$D$32,"MANIPULACION DE ALIMENTOS Y BPM",IF(N185=CURSOS!$D$33,"ATENCION A PERSONAS CON DISCAPACIDAD",IF(N185=CURSOS!$D$34,"CUIDADO INTEGRAL DEL PACIENTE ADULTO",IF(N185=CURSOS!$D$35,"MANEJO DEFENSIVO",IF(N185=CURSOS!$D$36,"SOPORTE CARDIOVASCULAR AVANZADO NEONATAL",IF(N185=CURSOS!$D$37,"SEGURIDAD DEL PACIENTE")))))))))))))))))))))))))))))))))))</f>
        <v>MANEJO DEL DOLOR Y CUIDADOS PALIATIVOS</v>
      </c>
      <c r="U185" s="124" t="str">
        <f t="shared" si="9"/>
        <v>Silvia Constanza Matabajoy Pinta</v>
      </c>
      <c r="V185" s="128" t="str">
        <f t="shared" si="10"/>
        <v>Silvia Constanza Matabajoy Pinta</v>
      </c>
      <c r="W185" s="138" t="str">
        <f t="shared" si="11"/>
        <v>Silvia Constanza Matabajoy Pinta-1085345264-PALIATIVOS</v>
      </c>
    </row>
    <row r="186" spans="1:23" x14ac:dyDescent="0.2">
      <c r="A186" s="42">
        <v>185</v>
      </c>
      <c r="B186" s="90">
        <v>1085345264</v>
      </c>
      <c r="C186" s="99" t="s">
        <v>556</v>
      </c>
      <c r="D186" s="99" t="s">
        <v>360</v>
      </c>
      <c r="E186" s="99" t="s">
        <v>557</v>
      </c>
      <c r="F186" s="99" t="s">
        <v>558</v>
      </c>
      <c r="G186" s="117">
        <v>11</v>
      </c>
      <c r="H186" s="117" t="s">
        <v>89</v>
      </c>
      <c r="I186" s="16">
        <v>45486</v>
      </c>
      <c r="J186" s="19">
        <v>25000</v>
      </c>
      <c r="K186" s="117" t="s">
        <v>210</v>
      </c>
      <c r="L186" s="117" t="s">
        <v>90</v>
      </c>
      <c r="M186" s="117" t="s">
        <v>132</v>
      </c>
      <c r="N186" s="118" t="s">
        <v>23</v>
      </c>
      <c r="O186" s="18">
        <v>36073</v>
      </c>
      <c r="P186" s="118" t="s">
        <v>101</v>
      </c>
      <c r="Q186" s="99" t="s">
        <v>126</v>
      </c>
      <c r="R186" s="99">
        <v>3182320631</v>
      </c>
      <c r="S186" s="99" t="s">
        <v>559</v>
      </c>
      <c r="T186" s="124" t="str">
        <f>IF(N186=CURSOS!$D$3,"DIPLOMADO EN ATENCION PRE-HOSPITALARIA",IF(N186=CURSOS!$D$4,"ACOMPAÑAMIENTO Y MANEJO DEL DUELO",IF(N186=CURSOS!$D$5,"ATENCION A VICTIMAS DE ATAQUE CON AGENTES QUIMICOS ",IF(N186=CURSOS!$D$6,"PRIMEROS AUXILIOS ",IF(N186=CURSOS!$D$7,"DIPLOMADO DE UNIDAD DE CUIDADOS INTENSIVOS (UCI)",IF(N186=CURSOS!$D$8,"MODELO DE ATENCION PARA EVENTOS EMERGENTES EN SALUD MENTAL (CODIGO VERDE)",IF(N186=CURSOS!$D$9,"HUMANIZACION EN EL SERVICIO DE LA SALUD Y BUENAS PRACTICAS EN PACIENTE ",IF(N186=CURSOS!$D$10,"CLINICA DE HERIDAS ",IF(N186=CURSOS!$D$11,"TOMA DE CITOLOGIA CERVICO VAGINAL ",IF(N186=CURSOS!$D$12,"SOPORTE CARDIOVASCULAR AVANZADO (ACLS) ",IF(N186=CURSOS!$D$13,"CAMILLERO ",IF(N186=CURSOS!$D$14,"TOMA DE MUESTRAS Y LABORATORIO ",IF(N186=CURSOS!$D$15,"SOPORTE VITAL BASICO (BLS)",IF(N186=CURSOS!$D$16,"ATENCION A VICTIMAS DE VIOLENCIA SEXUAL ",IF(N186=CURSOS!$D$17,"PROGRAMADO AMPLIADO DE INMUNIZACION (PAI - COVID 19)",IF(N186=CURSOS!$D$18,"ATENCION INTEGRAL EN ENFERMEDADES PREVALENTES EN PRIMERA INFANCIA (AIEPI)",IF(N186=CURSOS!$D$19,"ADMINISTRACION DE MEDICAMENTOS, INYECTOLOGIA  Y CANALIZACION ",IF(N186=CURSOS!$D$20,"OPERADOR DE VEHICULOS DE EMERGENCIA (OVE)",IF(N186=CURSOS!$D$21,"INSTITUCIONES AMIGAS DE LA MUJER Y LA INFANCIA (IAMI)",IF(N186=CURSOS!$D$22,"CUIDADO DEL DONANTE DE ORGANOS",IF(N186=CURSOS!$D$23,"ATENCION A VICTIMAS POR VIOLENCIA DE GENERO",IF(N186=CURSOS!$D$24,"IGUALDAD DE GENERO EN LA SALUD",IF(N186=CURSOS!$D$25,"BRIGADA DE EMERGENCIA",IF(N186=CURSOS!$D$26,"MANEJO DEL DOLOR Y CUIDADOS PALIATIVOS",IF(N186=CURSOS!$D$27,"TOMA DE MUESTRAS Y LABORATORIO POCT",IF(N186=CURSOS!$D$28,"IMPLANTE SUBDERMICO DE DISPOSITIVO INTRAUTERINO",IF(N186=CURSOS!$D$29,"SALUD MENTAL",IF(N186=CURSOS!$D$30,"PRIMEROS AUXILIOS PSICOLOGICOS",IF(N186=CURSOS!$D$31,"ATENCION A VICTIMAS POR CONFLICTO ARMADO",IF(N186=CURSOS!$D$32,"MANIPULACION DE ALIMENTOS Y BPM",IF(N186=CURSOS!$D$33,"ATENCION A PERSONAS CON DISCAPACIDAD",IF(N186=CURSOS!$D$34,"CUIDADO INTEGRAL DEL PACIENTE ADULTO",IF(N186=CURSOS!$D$35,"MANEJO DEFENSIVO",IF(N186=CURSOS!$D$36,"SOPORTE CARDIOVASCULAR AVANZADO NEONATAL",IF(N186=CURSOS!$D$37,"SEGURIDAD DEL PACIENTE")))))))))))))))))))))))))))))))))))</f>
        <v>ACOMPAÑAMIENTO Y MANEJO DEL DUELO</v>
      </c>
      <c r="U186" s="124" t="str">
        <f t="shared" si="9"/>
        <v>Silvia Constanza Matabajoy Pinta</v>
      </c>
      <c r="V186" s="128" t="str">
        <f t="shared" si="10"/>
        <v>Silvia Constanza Matabajoy Pinta</v>
      </c>
      <c r="W186" s="138" t="str">
        <f t="shared" si="11"/>
        <v>Silvia Constanza Matabajoy Pinta-1085345264-DUELO</v>
      </c>
    </row>
    <row r="187" spans="1:23" x14ac:dyDescent="0.2">
      <c r="A187" s="42">
        <v>186</v>
      </c>
      <c r="B187" s="90">
        <v>1085299731</v>
      </c>
      <c r="C187" s="99" t="s">
        <v>371</v>
      </c>
      <c r="D187" s="99" t="s">
        <v>305</v>
      </c>
      <c r="E187" s="99" t="s">
        <v>563</v>
      </c>
      <c r="F187" s="99" t="s">
        <v>369</v>
      </c>
      <c r="G187" s="117">
        <v>13</v>
      </c>
      <c r="H187" s="117" t="s">
        <v>89</v>
      </c>
      <c r="I187" s="16">
        <v>45489</v>
      </c>
      <c r="J187" s="19">
        <v>120000</v>
      </c>
      <c r="K187" s="117" t="s">
        <v>214</v>
      </c>
      <c r="L187" s="117" t="s">
        <v>90</v>
      </c>
      <c r="M187" s="117" t="s">
        <v>118</v>
      </c>
      <c r="N187" s="118" t="s">
        <v>38</v>
      </c>
      <c r="O187" s="18">
        <v>33874</v>
      </c>
      <c r="P187" s="118" t="s">
        <v>101</v>
      </c>
      <c r="Q187" s="99" t="s">
        <v>234</v>
      </c>
      <c r="R187" s="99">
        <v>3003803201</v>
      </c>
      <c r="S187" s="99" t="s">
        <v>564</v>
      </c>
      <c r="T187" s="124" t="str">
        <f>IF(N187=CURSOS!$D$3,"DIPLOMADO EN ATENCION PRE-HOSPITALARIA",IF(N187=CURSOS!$D$4,"ACOMPAÑAMIENTO Y MANEJO DEL DUELO",IF(N187=CURSOS!$D$5,"ATENCION A VICTIMAS DE ATAQUE CON AGENTES QUIMICOS ",IF(N187=CURSOS!$D$6,"PRIMEROS AUXILIOS ",IF(N187=CURSOS!$D$7,"DIPLOMADO DE UNIDAD DE CUIDADOS INTENSIVOS (UCI)",IF(N187=CURSOS!$D$8,"MODELO DE ATENCION PARA EVENTOS EMERGENTES EN SALUD MENTAL (CODIGO VERDE)",IF(N187=CURSOS!$D$9,"HUMANIZACION EN EL SERVICIO DE LA SALUD Y BUENAS PRACTICAS EN PACIENTE ",IF(N187=CURSOS!$D$10,"CLINICA DE HERIDAS ",IF(N187=CURSOS!$D$11,"TOMA DE CITOLOGIA CERVICO VAGINAL ",IF(N187=CURSOS!$D$12,"SOPORTE CARDIOVASCULAR AVANZADO (ACLS) ",IF(N187=CURSOS!$D$13,"CAMILLERO ",IF(N187=CURSOS!$D$14,"TOMA DE MUESTRAS Y LABORATORIO ",IF(N187=CURSOS!$D$15,"SOPORTE VITAL BASICO (BLS)",IF(N187=CURSOS!$D$16,"ATENCION A VICTIMAS DE VIOLENCIA SEXUAL ",IF(N187=CURSOS!$D$17,"PROGRAMADO AMPLIADO DE INMUNIZACION (PAI - COVID 19)",IF(N187=CURSOS!$D$18,"ATENCION INTEGRAL EN ENFERMEDADES PREVALENTES EN PRIMERA INFANCIA (AIEPI)",IF(N187=CURSOS!$D$19,"ADMINISTRACION DE MEDICAMENTOS, INYECTOLOGIA  Y CANALIZACION ",IF(N187=CURSOS!$D$20,"OPERADOR DE VEHICULOS DE EMERGENCIA (OVE)",IF(N187=CURSOS!$D$21,"INSTITUCIONES AMIGAS DE LA MUJER Y LA INFANCIA (IAMI)",IF(N187=CURSOS!$D$22,"CUIDADO DEL DONANTE DE ORGANOS",IF(N187=CURSOS!$D$23,"ATENCION A VICTIMAS POR VIOLENCIA DE GENERO",IF(N187=CURSOS!$D$24,"IGUALDAD DE GENERO EN LA SALUD",IF(N187=CURSOS!$D$25,"BRIGADA DE EMERGENCIA",IF(N187=CURSOS!$D$26,"MANEJO DEL DOLOR Y CUIDADOS PALIATIVOS",IF(N187=CURSOS!$D$27,"TOMA DE MUESTRAS Y LABORATORIO POCT",IF(N187=CURSOS!$D$28,"IMPLANTE SUBDERMICO DE DISPOSITIVO INTRAUTERINO",IF(N187=CURSOS!$D$29,"SALUD MENTAL",IF(N187=CURSOS!$D$30,"PRIMEROS AUXILIOS PSICOLOGICOS",IF(N187=CURSOS!$D$31,"ATENCION A VICTIMAS POR CONFLICTO ARMADO",IF(N187=CURSOS!$D$32,"MANIPULACION DE ALIMENTOS Y BPM",IF(N187=CURSOS!$D$33,"ATENCION A PERSONAS CON DISCAPACIDAD",IF(N187=CURSOS!$D$34,"CUIDADO INTEGRAL DEL PACIENTE ADULTO",IF(N187=CURSOS!$D$35,"MANEJO DEFENSIVO",IF(N187=CURSOS!$D$36,"SOPORTE CARDIOVASCULAR AVANZADO NEONATAL",IF(N187=CURSOS!$D$37,"SEGURIDAD DEL PACIENTE")))))))))))))))))))))))))))))))))))</f>
        <v xml:space="preserve">SOPORTE CARDIOVASCULAR AVANZADO (ACLS) </v>
      </c>
      <c r="U187" s="124" t="str">
        <f t="shared" si="9"/>
        <v>Jennifer Paola Betancourth Castro</v>
      </c>
      <c r="V187" s="128" t="str">
        <f t="shared" si="10"/>
        <v>Jennifer Paola Betancourth Castro</v>
      </c>
      <c r="W187" s="138" t="str">
        <f t="shared" si="11"/>
        <v>Jennifer Paola Betancourth Castro-1085299731-ACLS</v>
      </c>
    </row>
    <row r="188" spans="1:23" x14ac:dyDescent="0.2">
      <c r="A188" s="42">
        <v>187</v>
      </c>
      <c r="B188" s="90">
        <v>1085299731</v>
      </c>
      <c r="C188" s="99" t="s">
        <v>371</v>
      </c>
      <c r="D188" s="99" t="s">
        <v>305</v>
      </c>
      <c r="E188" s="99" t="s">
        <v>563</v>
      </c>
      <c r="F188" s="99" t="s">
        <v>369</v>
      </c>
      <c r="G188" s="117">
        <v>13</v>
      </c>
      <c r="H188" s="117" t="s">
        <v>89</v>
      </c>
      <c r="I188" s="16">
        <v>45489</v>
      </c>
      <c r="J188" s="19">
        <v>20000</v>
      </c>
      <c r="K188" s="117" t="s">
        <v>214</v>
      </c>
      <c r="L188" s="117" t="s">
        <v>90</v>
      </c>
      <c r="M188" s="117" t="s">
        <v>118</v>
      </c>
      <c r="N188" s="118" t="s">
        <v>23</v>
      </c>
      <c r="O188" s="18">
        <v>33874</v>
      </c>
      <c r="P188" s="118" t="s">
        <v>101</v>
      </c>
      <c r="Q188" s="99" t="s">
        <v>234</v>
      </c>
      <c r="R188" s="99">
        <v>3003803201</v>
      </c>
      <c r="S188" s="99" t="s">
        <v>564</v>
      </c>
      <c r="T188" s="124" t="str">
        <f>IF(N188=CURSOS!$D$3,"DIPLOMADO EN ATENCION PRE-HOSPITALARIA",IF(N188=CURSOS!$D$4,"ACOMPAÑAMIENTO Y MANEJO DEL DUELO",IF(N188=CURSOS!$D$5,"ATENCION A VICTIMAS DE ATAQUE CON AGENTES QUIMICOS ",IF(N188=CURSOS!$D$6,"PRIMEROS AUXILIOS ",IF(N188=CURSOS!$D$7,"DIPLOMADO DE UNIDAD DE CUIDADOS INTENSIVOS (UCI)",IF(N188=CURSOS!$D$8,"MODELO DE ATENCION PARA EVENTOS EMERGENTES EN SALUD MENTAL (CODIGO VERDE)",IF(N188=CURSOS!$D$9,"HUMANIZACION EN EL SERVICIO DE LA SALUD Y BUENAS PRACTICAS EN PACIENTE ",IF(N188=CURSOS!$D$10,"CLINICA DE HERIDAS ",IF(N188=CURSOS!$D$11,"TOMA DE CITOLOGIA CERVICO VAGINAL ",IF(N188=CURSOS!$D$12,"SOPORTE CARDIOVASCULAR AVANZADO (ACLS) ",IF(N188=CURSOS!$D$13,"CAMILLERO ",IF(N188=CURSOS!$D$14,"TOMA DE MUESTRAS Y LABORATORIO ",IF(N188=CURSOS!$D$15,"SOPORTE VITAL BASICO (BLS)",IF(N188=CURSOS!$D$16,"ATENCION A VICTIMAS DE VIOLENCIA SEXUAL ",IF(N188=CURSOS!$D$17,"PROGRAMADO AMPLIADO DE INMUNIZACION (PAI - COVID 19)",IF(N188=CURSOS!$D$18,"ATENCION INTEGRAL EN ENFERMEDADES PREVALENTES EN PRIMERA INFANCIA (AIEPI)",IF(N188=CURSOS!$D$19,"ADMINISTRACION DE MEDICAMENTOS, INYECTOLOGIA  Y CANALIZACION ",IF(N188=CURSOS!$D$20,"OPERADOR DE VEHICULOS DE EMERGENCIA (OVE)",IF(N188=CURSOS!$D$21,"INSTITUCIONES AMIGAS DE LA MUJER Y LA INFANCIA (IAMI)",IF(N188=CURSOS!$D$22,"CUIDADO DEL DONANTE DE ORGANOS",IF(N188=CURSOS!$D$23,"ATENCION A VICTIMAS POR VIOLENCIA DE GENERO",IF(N188=CURSOS!$D$24,"IGUALDAD DE GENERO EN LA SALUD",IF(N188=CURSOS!$D$25,"BRIGADA DE EMERGENCIA",IF(N188=CURSOS!$D$26,"MANEJO DEL DOLOR Y CUIDADOS PALIATIVOS",IF(N188=CURSOS!$D$27,"TOMA DE MUESTRAS Y LABORATORIO POCT",IF(N188=CURSOS!$D$28,"IMPLANTE SUBDERMICO DE DISPOSITIVO INTRAUTERINO",IF(N188=CURSOS!$D$29,"SALUD MENTAL",IF(N188=CURSOS!$D$30,"PRIMEROS AUXILIOS PSICOLOGICOS",IF(N188=CURSOS!$D$31,"ATENCION A VICTIMAS POR CONFLICTO ARMADO",IF(N188=CURSOS!$D$32,"MANIPULACION DE ALIMENTOS Y BPM",IF(N188=CURSOS!$D$33,"ATENCION A PERSONAS CON DISCAPACIDAD",IF(N188=CURSOS!$D$34,"CUIDADO INTEGRAL DEL PACIENTE ADULTO",IF(N188=CURSOS!$D$35,"MANEJO DEFENSIVO",IF(N188=CURSOS!$D$36,"SOPORTE CARDIOVASCULAR AVANZADO NEONATAL",IF(N188=CURSOS!$D$37,"SEGURIDAD DEL PACIENTE")))))))))))))))))))))))))))))))))))</f>
        <v>ACOMPAÑAMIENTO Y MANEJO DEL DUELO</v>
      </c>
      <c r="U188" s="124" t="str">
        <f t="shared" si="9"/>
        <v>Jennifer Paola Betancourth Castro</v>
      </c>
      <c r="V188" s="128" t="str">
        <f t="shared" si="10"/>
        <v>Jennifer Paola Betancourth Castro</v>
      </c>
      <c r="W188" s="138" t="str">
        <f t="shared" si="11"/>
        <v>Jennifer Paola Betancourth Castro-1085299731-DUELO</v>
      </c>
    </row>
    <row r="189" spans="1:23" x14ac:dyDescent="0.2">
      <c r="A189" s="42">
        <v>188</v>
      </c>
      <c r="B189" s="90">
        <v>1085299731</v>
      </c>
      <c r="C189" s="99" t="s">
        <v>371</v>
      </c>
      <c r="D189" s="99" t="s">
        <v>305</v>
      </c>
      <c r="E189" s="99" t="s">
        <v>563</v>
      </c>
      <c r="F189" s="99" t="s">
        <v>369</v>
      </c>
      <c r="G189" s="117">
        <v>13</v>
      </c>
      <c r="H189" s="117" t="s">
        <v>89</v>
      </c>
      <c r="I189" s="16">
        <v>45489</v>
      </c>
      <c r="J189" s="19">
        <v>20000</v>
      </c>
      <c r="K189" s="117" t="s">
        <v>214</v>
      </c>
      <c r="L189" s="117" t="s">
        <v>90</v>
      </c>
      <c r="M189" s="117" t="s">
        <v>118</v>
      </c>
      <c r="N189" s="118" t="s">
        <v>25</v>
      </c>
      <c r="O189" s="18">
        <v>33874</v>
      </c>
      <c r="P189" s="118" t="s">
        <v>101</v>
      </c>
      <c r="Q189" s="99" t="s">
        <v>234</v>
      </c>
      <c r="R189" s="99">
        <v>3003803201</v>
      </c>
      <c r="S189" s="99" t="s">
        <v>564</v>
      </c>
      <c r="T189" s="124" t="str">
        <f>IF(N189=CURSOS!$D$3,"DIPLOMADO EN ATENCION PRE-HOSPITALARIA",IF(N189=CURSOS!$D$4,"ACOMPAÑAMIENTO Y MANEJO DEL DUELO",IF(N189=CURSOS!$D$5,"ATENCION A VICTIMAS DE ATAQUE CON AGENTES QUIMICOS ",IF(N189=CURSOS!$D$6,"PRIMEROS AUXILIOS ",IF(N189=CURSOS!$D$7,"DIPLOMADO DE UNIDAD DE CUIDADOS INTENSIVOS (UCI)",IF(N189=CURSOS!$D$8,"MODELO DE ATENCION PARA EVENTOS EMERGENTES EN SALUD MENTAL (CODIGO VERDE)",IF(N189=CURSOS!$D$9,"HUMANIZACION EN EL SERVICIO DE LA SALUD Y BUENAS PRACTICAS EN PACIENTE ",IF(N189=CURSOS!$D$10,"CLINICA DE HERIDAS ",IF(N189=CURSOS!$D$11,"TOMA DE CITOLOGIA CERVICO VAGINAL ",IF(N189=CURSOS!$D$12,"SOPORTE CARDIOVASCULAR AVANZADO (ACLS) ",IF(N189=CURSOS!$D$13,"CAMILLERO ",IF(N189=CURSOS!$D$14,"TOMA DE MUESTRAS Y LABORATORIO ",IF(N189=CURSOS!$D$15,"SOPORTE VITAL BASICO (BLS)",IF(N189=CURSOS!$D$16,"ATENCION A VICTIMAS DE VIOLENCIA SEXUAL ",IF(N189=CURSOS!$D$17,"PROGRAMADO AMPLIADO DE INMUNIZACION (PAI - COVID 19)",IF(N189=CURSOS!$D$18,"ATENCION INTEGRAL EN ENFERMEDADES PREVALENTES EN PRIMERA INFANCIA (AIEPI)",IF(N189=CURSOS!$D$19,"ADMINISTRACION DE MEDICAMENTOS, INYECTOLOGIA  Y CANALIZACION ",IF(N189=CURSOS!$D$20,"OPERADOR DE VEHICULOS DE EMERGENCIA (OVE)",IF(N189=CURSOS!$D$21,"INSTITUCIONES AMIGAS DE LA MUJER Y LA INFANCIA (IAMI)",IF(N189=CURSOS!$D$22,"CUIDADO DEL DONANTE DE ORGANOS",IF(N189=CURSOS!$D$23,"ATENCION A VICTIMAS POR VIOLENCIA DE GENERO",IF(N189=CURSOS!$D$24,"IGUALDAD DE GENERO EN LA SALUD",IF(N189=CURSOS!$D$25,"BRIGADA DE EMERGENCIA",IF(N189=CURSOS!$D$26,"MANEJO DEL DOLOR Y CUIDADOS PALIATIVOS",IF(N189=CURSOS!$D$27,"TOMA DE MUESTRAS Y LABORATORIO POCT",IF(N189=CURSOS!$D$28,"IMPLANTE SUBDERMICO DE DISPOSITIVO INTRAUTERINO",IF(N189=CURSOS!$D$29,"SALUD MENTAL",IF(N189=CURSOS!$D$30,"PRIMEROS AUXILIOS PSICOLOGICOS",IF(N189=CURSOS!$D$31,"ATENCION A VICTIMAS POR CONFLICTO ARMADO",IF(N189=CURSOS!$D$32,"MANIPULACION DE ALIMENTOS Y BPM",IF(N189=CURSOS!$D$33,"ATENCION A PERSONAS CON DISCAPACIDAD",IF(N189=CURSOS!$D$34,"CUIDADO INTEGRAL DEL PACIENTE ADULTO",IF(N189=CURSOS!$D$35,"MANEJO DEFENSIVO",IF(N189=CURSOS!$D$36,"SOPORTE CARDIOVASCULAR AVANZADO NEONATAL",IF(N189=CURSOS!$D$37,"SEGURIDAD DEL PACIENTE")))))))))))))))))))))))))))))))))))</f>
        <v xml:space="preserve">ATENCION A VICTIMAS DE ATAQUE CON AGENTES QUIMICOS </v>
      </c>
      <c r="U189" s="124" t="str">
        <f t="shared" si="9"/>
        <v>Jennifer Paola Betancourth Castro</v>
      </c>
      <c r="V189" s="128" t="str">
        <f t="shared" si="10"/>
        <v>Jennifer Paola Betancourth Castro</v>
      </c>
      <c r="W189" s="138" t="str">
        <f t="shared" si="11"/>
        <v>Jennifer Paola Betancourth Castro-1085299731-QUIMICOS</v>
      </c>
    </row>
    <row r="190" spans="1:23" x14ac:dyDescent="0.2">
      <c r="A190" s="42">
        <v>189</v>
      </c>
      <c r="B190" s="132">
        <v>1085299731</v>
      </c>
      <c r="C190" s="133" t="s">
        <v>371</v>
      </c>
      <c r="D190" s="133" t="s">
        <v>305</v>
      </c>
      <c r="E190" s="133" t="s">
        <v>563</v>
      </c>
      <c r="F190" s="133" t="s">
        <v>369</v>
      </c>
      <c r="G190" s="134">
        <v>13</v>
      </c>
      <c r="H190" s="134" t="s">
        <v>89</v>
      </c>
      <c r="I190" s="16">
        <v>45489</v>
      </c>
      <c r="J190" s="106">
        <v>20000</v>
      </c>
      <c r="K190" s="134" t="s">
        <v>214</v>
      </c>
      <c r="L190" s="134" t="s">
        <v>90</v>
      </c>
      <c r="M190" s="134" t="s">
        <v>118</v>
      </c>
      <c r="N190" s="135" t="s">
        <v>61</v>
      </c>
      <c r="O190" s="113">
        <v>33874</v>
      </c>
      <c r="P190" s="135" t="s">
        <v>101</v>
      </c>
      <c r="Q190" s="133" t="s">
        <v>234</v>
      </c>
      <c r="R190" s="133">
        <v>3003803201</v>
      </c>
      <c r="S190" s="133" t="s">
        <v>564</v>
      </c>
      <c r="T190" s="124" t="str">
        <f>IF(N190=CURSOS!$D$3,"DIPLOMADO EN ATENCION PRE-HOSPITALARIA",IF(N190=CURSOS!$D$4,"ACOMPAÑAMIENTO Y MANEJO DEL DUELO",IF(N190=CURSOS!$D$5,"ATENCION A VICTIMAS DE ATAQUE CON AGENTES QUIMICOS ",IF(N190=CURSOS!$D$6,"PRIMEROS AUXILIOS ",IF(N190=CURSOS!$D$7,"DIPLOMADO DE UNIDAD DE CUIDADOS INTENSIVOS (UCI)",IF(N190=CURSOS!$D$8,"MODELO DE ATENCION PARA EVENTOS EMERGENTES EN SALUD MENTAL (CODIGO VERDE)",IF(N190=CURSOS!$D$9,"HUMANIZACION EN EL SERVICIO DE LA SALUD Y BUENAS PRACTICAS EN PACIENTE ",IF(N190=CURSOS!$D$10,"CLINICA DE HERIDAS ",IF(N190=CURSOS!$D$11,"TOMA DE CITOLOGIA CERVICO VAGINAL ",IF(N190=CURSOS!$D$12,"SOPORTE CARDIOVASCULAR AVANZADO (ACLS) ",IF(N190=CURSOS!$D$13,"CAMILLERO ",IF(N190=CURSOS!$D$14,"TOMA DE MUESTRAS Y LABORATORIO ",IF(N190=CURSOS!$D$15,"SOPORTE VITAL BASICO (BLS)",IF(N190=CURSOS!$D$16,"ATENCION A VICTIMAS DE VIOLENCIA SEXUAL ",IF(N190=CURSOS!$D$17,"PROGRAMADO AMPLIADO DE INMUNIZACION (PAI - COVID 19)",IF(N190=CURSOS!$D$18,"ATENCION INTEGRAL EN ENFERMEDADES PREVALENTES EN PRIMERA INFANCIA (AIEPI)",IF(N190=CURSOS!$D$19,"ADMINISTRACION DE MEDICAMENTOS, INYECTOLOGIA  Y CANALIZACION ",IF(N190=CURSOS!$D$20,"OPERADOR DE VEHICULOS DE EMERGENCIA (OVE)",IF(N190=CURSOS!$D$21,"INSTITUCIONES AMIGAS DE LA MUJER Y LA INFANCIA (IAMI)",IF(N190=CURSOS!$D$22,"CUIDADO DEL DONANTE DE ORGANOS",IF(N190=CURSOS!$D$23,"ATENCION A VICTIMAS POR VIOLENCIA DE GENERO",IF(N190=CURSOS!$D$24,"IGUALDAD DE GENERO EN LA SALUD",IF(N190=CURSOS!$D$25,"BRIGADA DE EMERGENCIA",IF(N190=CURSOS!$D$26,"MANEJO DEL DOLOR Y CUIDADOS PALIATIVOS",IF(N190=CURSOS!$D$27,"TOMA DE MUESTRAS Y LABORATORIO POCT",IF(N190=CURSOS!$D$28,"IMPLANTE SUBDERMICO DE DISPOSITIVO INTRAUTERINO",IF(N190=CURSOS!$D$29,"SALUD MENTAL",IF(N190=CURSOS!$D$30,"PRIMEROS AUXILIOS PSICOLOGICOS",IF(N190=CURSOS!$D$31,"ATENCION A VICTIMAS POR CONFLICTO ARMADO",IF(N190=CURSOS!$D$32,"MANIPULACION DE ALIMENTOS Y BPM",IF(N190=CURSOS!$D$33,"ATENCION A PERSONAS CON DISCAPACIDAD",IF(N190=CURSOS!$D$34,"CUIDADO INTEGRAL DEL PACIENTE ADULTO",IF(N190=CURSOS!$D$35,"MANEJO DEFENSIVO",IF(N190=CURSOS!$D$36,"SOPORTE CARDIOVASCULAR AVANZADO NEONATAL",IF(N190=CURSOS!$D$37,"SEGURIDAD DEL PACIENTE")))))))))))))))))))))))))))))))))))</f>
        <v>MANEJO DEL DOLOR Y CUIDADOS PALIATIVOS</v>
      </c>
      <c r="U190" s="124" t="str">
        <f t="shared" si="9"/>
        <v>Jennifer Paola Betancourth Castro</v>
      </c>
      <c r="V190" s="128" t="str">
        <f t="shared" si="10"/>
        <v>Jennifer Paola Betancourth Castro</v>
      </c>
      <c r="W190" s="138" t="str">
        <f t="shared" si="11"/>
        <v>Jennifer Paola Betancourth Castro-1085299731-PALIATIVOS</v>
      </c>
    </row>
    <row r="191" spans="1:23" x14ac:dyDescent="0.2">
      <c r="A191" s="42">
        <v>190</v>
      </c>
      <c r="B191" s="90">
        <v>37013121</v>
      </c>
      <c r="C191" s="99" t="s">
        <v>144</v>
      </c>
      <c r="D191" s="99" t="s">
        <v>484</v>
      </c>
      <c r="E191" s="99" t="s">
        <v>569</v>
      </c>
      <c r="F191" s="99" t="s">
        <v>154</v>
      </c>
      <c r="G191" s="117">
        <v>15</v>
      </c>
      <c r="H191" s="117" t="s">
        <v>89</v>
      </c>
      <c r="I191" s="16">
        <v>45488</v>
      </c>
      <c r="J191" s="19">
        <v>30000</v>
      </c>
      <c r="K191" s="134" t="s">
        <v>210</v>
      </c>
      <c r="L191" s="117" t="s">
        <v>90</v>
      </c>
      <c r="M191" s="117" t="s">
        <v>132</v>
      </c>
      <c r="N191" s="118" t="s">
        <v>41</v>
      </c>
      <c r="O191" s="18">
        <v>28109</v>
      </c>
      <c r="P191" s="118" t="s">
        <v>101</v>
      </c>
      <c r="Q191" s="99" t="s">
        <v>126</v>
      </c>
      <c r="R191" s="99">
        <v>3156700937</v>
      </c>
      <c r="S191" s="99" t="s">
        <v>570</v>
      </c>
      <c r="T191" s="124" t="str">
        <f>IF(N191=CURSOS!$D$3,"DIPLOMADO EN ATENCION PRE-HOSPITALARIA",IF(N191=CURSOS!$D$4,"ACOMPAÑAMIENTO Y MANEJO DEL DUELO",IF(N191=CURSOS!$D$5,"ATENCION A VICTIMAS DE ATAQUE CON AGENTES QUIMICOS ",IF(N191=CURSOS!$D$6,"PRIMEROS AUXILIOS ",IF(N191=CURSOS!$D$7,"DIPLOMADO DE UNIDAD DE CUIDADOS INTENSIVOS (UCI)",IF(N191=CURSOS!$D$8,"MODELO DE ATENCION PARA EVENTOS EMERGENTES EN SALUD MENTAL (CODIGO VERDE)",IF(N191=CURSOS!$D$9,"HUMANIZACION EN EL SERVICIO DE LA SALUD Y BUENAS PRACTICAS EN PACIENTE ",IF(N191=CURSOS!$D$10,"CLINICA DE HERIDAS ",IF(N191=CURSOS!$D$11,"TOMA DE CITOLOGIA CERVICO VAGINAL ",IF(N191=CURSOS!$D$12,"SOPORTE CARDIOVASCULAR AVANZADO (ACLS) ",IF(N191=CURSOS!$D$13,"CAMILLERO ",IF(N191=CURSOS!$D$14,"TOMA DE MUESTRAS Y LABORATORIO ",IF(N191=CURSOS!$D$15,"SOPORTE VITAL BASICO (BLS)",IF(N191=CURSOS!$D$16,"ATENCION A VICTIMAS DE VIOLENCIA SEXUAL ",IF(N191=CURSOS!$D$17,"PROGRAMADO AMPLIADO DE INMUNIZACION (PAI - COVID 19)",IF(N191=CURSOS!$D$18,"ATENCION INTEGRAL EN ENFERMEDADES PREVALENTES EN PRIMERA INFANCIA (AIEPI)",IF(N191=CURSOS!$D$19,"ADMINISTRACION DE MEDICAMENTOS, INYECTOLOGIA  Y CANALIZACION ",IF(N191=CURSOS!$D$20,"OPERADOR DE VEHICULOS DE EMERGENCIA (OVE)",IF(N191=CURSOS!$D$21,"INSTITUCIONES AMIGAS DE LA MUJER Y LA INFANCIA (IAMI)",IF(N191=CURSOS!$D$22,"CUIDADO DEL DONANTE DE ORGANOS",IF(N191=CURSOS!$D$23,"ATENCION A VICTIMAS POR VIOLENCIA DE GENERO",IF(N191=CURSOS!$D$24,"IGUALDAD DE GENERO EN LA SALUD",IF(N191=CURSOS!$D$25,"BRIGADA DE EMERGENCIA",IF(N191=CURSOS!$D$26,"MANEJO DEL DOLOR Y CUIDADOS PALIATIVOS",IF(N191=CURSOS!$D$27,"TOMA DE MUESTRAS Y LABORATORIO POCT",IF(N191=CURSOS!$D$28,"IMPLANTE SUBDERMICO DE DISPOSITIVO INTRAUTERINO",IF(N191=CURSOS!$D$29,"SALUD MENTAL",IF(N191=CURSOS!$D$30,"PRIMEROS AUXILIOS PSICOLOGICOS",IF(N191=CURSOS!$D$31,"ATENCION A VICTIMAS POR CONFLICTO ARMADO",IF(N191=CURSOS!$D$32,"MANIPULACION DE ALIMENTOS Y BPM",IF(N191=CURSOS!$D$33,"ATENCION A PERSONAS CON DISCAPACIDAD",IF(N191=CURSOS!$D$34,"CUIDADO INTEGRAL DEL PACIENTE ADULTO",IF(N191=CURSOS!$D$35,"MANEJO DEFENSIVO",IF(N191=CURSOS!$D$36,"SOPORTE CARDIOVASCULAR AVANZADO NEONATAL",IF(N191=CURSOS!$D$37,"SEGURIDAD DEL PACIENTE")))))))))))))))))))))))))))))))))))</f>
        <v xml:space="preserve">TOMA DE MUESTRAS Y LABORATORIO </v>
      </c>
      <c r="U191" s="124" t="str">
        <f t="shared" si="9"/>
        <v>Monica Patricia Bravo Bolaños</v>
      </c>
      <c r="V191" s="128" t="str">
        <f t="shared" si="10"/>
        <v>Monica Patricia Bravo Bolaños</v>
      </c>
      <c r="W191" s="138" t="str">
        <f t="shared" si="11"/>
        <v>Monica Patricia Bravo Bolaños-37013121-TOMA DE MUESTRAS</v>
      </c>
    </row>
    <row r="192" spans="1:23" x14ac:dyDescent="0.2">
      <c r="A192" s="42">
        <v>191</v>
      </c>
      <c r="B192" s="90">
        <v>1086359222</v>
      </c>
      <c r="C192" s="99" t="s">
        <v>325</v>
      </c>
      <c r="D192" s="99" t="s">
        <v>576</v>
      </c>
      <c r="E192" s="99" t="s">
        <v>577</v>
      </c>
      <c r="F192" s="99"/>
      <c r="G192" s="117">
        <v>15</v>
      </c>
      <c r="H192" s="117" t="s">
        <v>89</v>
      </c>
      <c r="I192" s="16">
        <v>45489</v>
      </c>
      <c r="J192" s="19">
        <v>50000</v>
      </c>
      <c r="K192" s="117" t="s">
        <v>246</v>
      </c>
      <c r="L192" s="117" t="s">
        <v>90</v>
      </c>
      <c r="M192" s="117" t="s">
        <v>118</v>
      </c>
      <c r="N192" s="118" t="s">
        <v>63</v>
      </c>
      <c r="O192" s="99"/>
      <c r="P192" s="118" t="s">
        <v>101</v>
      </c>
      <c r="Q192" s="99" t="s">
        <v>126</v>
      </c>
      <c r="R192" s="99">
        <v>3128852019</v>
      </c>
      <c r="S192" s="99" t="s">
        <v>578</v>
      </c>
      <c r="T192" s="124" t="str">
        <f>IF(N192=CURSOS!$D$3,"DIPLOMADO EN ATENCION PRE-HOSPITALARIA",IF(N192=CURSOS!$D$4,"ACOMPAÑAMIENTO Y MANEJO DEL DUELO",IF(N192=CURSOS!$D$5,"ATENCION A VICTIMAS DE ATAQUE CON AGENTES QUIMICOS ",IF(N192=CURSOS!$D$6,"PRIMEROS AUXILIOS ",IF(N192=CURSOS!$D$7,"DIPLOMADO DE UNIDAD DE CUIDADOS INTENSIVOS (UCI)",IF(N192=CURSOS!$D$8,"MODELO DE ATENCION PARA EVENTOS EMERGENTES EN SALUD MENTAL (CODIGO VERDE)",IF(N192=CURSOS!$D$9,"HUMANIZACION EN EL SERVICIO DE LA SALUD Y BUENAS PRACTICAS EN PACIENTE ",IF(N192=CURSOS!$D$10,"CLINICA DE HERIDAS ",IF(N192=CURSOS!$D$11,"TOMA DE CITOLOGIA CERVICO VAGINAL ",IF(N192=CURSOS!$D$12,"SOPORTE CARDIOVASCULAR AVANZADO (ACLS) ",IF(N192=CURSOS!$D$13,"CAMILLERO ",IF(N192=CURSOS!$D$14,"TOMA DE MUESTRAS Y LABORATORIO ",IF(N192=CURSOS!$D$15,"SOPORTE VITAL BASICO (BLS)",IF(N192=CURSOS!$D$16,"ATENCION A VICTIMAS DE VIOLENCIA SEXUAL ",IF(N192=CURSOS!$D$17,"PROGRAMADO AMPLIADO DE INMUNIZACION (PAI - COVID 19)",IF(N192=CURSOS!$D$18,"ATENCION INTEGRAL EN ENFERMEDADES PREVALENTES EN PRIMERA INFANCIA (AIEPI)",IF(N192=CURSOS!$D$19,"ADMINISTRACION DE MEDICAMENTOS, INYECTOLOGIA  Y CANALIZACION ",IF(N192=CURSOS!$D$20,"OPERADOR DE VEHICULOS DE EMERGENCIA (OVE)",IF(N192=CURSOS!$D$21,"INSTITUCIONES AMIGAS DE LA MUJER Y LA INFANCIA (IAMI)",IF(N192=CURSOS!$D$22,"CUIDADO DEL DONANTE DE ORGANOS",IF(N192=CURSOS!$D$23,"ATENCION A VICTIMAS POR VIOLENCIA DE GENERO",IF(N192=CURSOS!$D$24,"IGUALDAD DE GENERO EN LA SALUD",IF(N192=CURSOS!$D$25,"BRIGADA DE EMERGENCIA",IF(N192=CURSOS!$D$26,"MANEJO DEL DOLOR Y CUIDADOS PALIATIVOS",IF(N192=CURSOS!$D$27,"TOMA DE MUESTRAS Y LABORATORIO POCT",IF(N192=CURSOS!$D$28,"IMPLANTE SUBDERMICO DE DISPOSITIVO INTRAUTERINO",IF(N192=CURSOS!$D$29,"SALUD MENTAL",IF(N192=CURSOS!$D$30,"PRIMEROS AUXILIOS PSICOLOGICOS",IF(N192=CURSOS!$D$31,"ATENCION A VICTIMAS POR CONFLICTO ARMADO",IF(N192=CURSOS!$D$32,"MANIPULACION DE ALIMENTOS Y BPM",IF(N192=CURSOS!$D$33,"ATENCION A PERSONAS CON DISCAPACIDAD",IF(N192=CURSOS!$D$34,"CUIDADO INTEGRAL DEL PACIENTE ADULTO",IF(N192=CURSOS!$D$35,"MANEJO DEFENSIVO",IF(N192=CURSOS!$D$36,"SOPORTE CARDIOVASCULAR AVANZADO NEONATAL",IF(N192=CURSOS!$D$37,"SEGURIDAD DEL PACIENTE")))))))))))))))))))))))))))))))))))</f>
        <v>TOMA DE MUESTRAS Y LABORATORIO POCT</v>
      </c>
      <c r="U192" s="124" t="str">
        <f t="shared" si="9"/>
        <v>Erica  Cabrera Apraez</v>
      </c>
      <c r="V192" s="128" t="str">
        <f t="shared" si="10"/>
        <v>Erica  Cabrera Apraez</v>
      </c>
      <c r="W192" s="138" t="str">
        <f t="shared" si="11"/>
        <v>Erica  Cabrera Apraez-1086359222-POCT</v>
      </c>
    </row>
    <row r="193" spans="1:23" x14ac:dyDescent="0.2">
      <c r="A193" s="42">
        <v>192</v>
      </c>
      <c r="B193" s="90">
        <v>1086359222</v>
      </c>
      <c r="C193" s="99" t="s">
        <v>325</v>
      </c>
      <c r="D193" s="99" t="s">
        <v>576</v>
      </c>
      <c r="E193" s="99" t="s">
        <v>577</v>
      </c>
      <c r="F193" s="99"/>
      <c r="G193" s="117">
        <v>15</v>
      </c>
      <c r="H193" s="117" t="s">
        <v>89</v>
      </c>
      <c r="I193" s="16">
        <v>45489</v>
      </c>
      <c r="J193" s="19">
        <v>35000</v>
      </c>
      <c r="K193" s="117" t="s">
        <v>246</v>
      </c>
      <c r="L193" s="117" t="s">
        <v>90</v>
      </c>
      <c r="M193" s="117" t="s">
        <v>118</v>
      </c>
      <c r="N193" s="118" t="s">
        <v>33</v>
      </c>
      <c r="O193" s="99"/>
      <c r="P193" s="118" t="s">
        <v>101</v>
      </c>
      <c r="Q193" s="99" t="s">
        <v>126</v>
      </c>
      <c r="R193" s="99">
        <v>3128852019</v>
      </c>
      <c r="S193" s="99" t="s">
        <v>578</v>
      </c>
      <c r="T193" s="124" t="str">
        <f>IF(N193=CURSOS!$D$3,"DIPLOMADO EN ATENCION PRE-HOSPITALARIA",IF(N193=CURSOS!$D$4,"ACOMPAÑAMIENTO Y MANEJO DEL DUELO",IF(N193=CURSOS!$D$5,"ATENCION A VICTIMAS DE ATAQUE CON AGENTES QUIMICOS ",IF(N193=CURSOS!$D$6,"PRIMEROS AUXILIOS ",IF(N193=CURSOS!$D$7,"DIPLOMADO DE UNIDAD DE CUIDADOS INTENSIVOS (UCI)",IF(N193=CURSOS!$D$8,"MODELO DE ATENCION PARA EVENTOS EMERGENTES EN SALUD MENTAL (CODIGO VERDE)",IF(N193=CURSOS!$D$9,"HUMANIZACION EN EL SERVICIO DE LA SALUD Y BUENAS PRACTICAS EN PACIENTE ",IF(N193=CURSOS!$D$10,"CLINICA DE HERIDAS ",IF(N193=CURSOS!$D$11,"TOMA DE CITOLOGIA CERVICO VAGINAL ",IF(N193=CURSOS!$D$12,"SOPORTE CARDIOVASCULAR AVANZADO (ACLS) ",IF(N193=CURSOS!$D$13,"CAMILLERO ",IF(N193=CURSOS!$D$14,"TOMA DE MUESTRAS Y LABORATORIO ",IF(N193=CURSOS!$D$15,"SOPORTE VITAL BASICO (BLS)",IF(N193=CURSOS!$D$16,"ATENCION A VICTIMAS DE VIOLENCIA SEXUAL ",IF(N193=CURSOS!$D$17,"PROGRAMADO AMPLIADO DE INMUNIZACION (PAI - COVID 19)",IF(N193=CURSOS!$D$18,"ATENCION INTEGRAL EN ENFERMEDADES PREVALENTES EN PRIMERA INFANCIA (AIEPI)",IF(N193=CURSOS!$D$19,"ADMINISTRACION DE MEDICAMENTOS, INYECTOLOGIA  Y CANALIZACION ",IF(N193=CURSOS!$D$20,"OPERADOR DE VEHICULOS DE EMERGENCIA (OVE)",IF(N193=CURSOS!$D$21,"INSTITUCIONES AMIGAS DE LA MUJER Y LA INFANCIA (IAMI)",IF(N193=CURSOS!$D$22,"CUIDADO DEL DONANTE DE ORGANOS",IF(N193=CURSOS!$D$23,"ATENCION A VICTIMAS POR VIOLENCIA DE GENERO",IF(N193=CURSOS!$D$24,"IGUALDAD DE GENERO EN LA SALUD",IF(N193=CURSOS!$D$25,"BRIGADA DE EMERGENCIA",IF(N193=CURSOS!$D$26,"MANEJO DEL DOLOR Y CUIDADOS PALIATIVOS",IF(N193=CURSOS!$D$27,"TOMA DE MUESTRAS Y LABORATORIO POCT",IF(N193=CURSOS!$D$28,"IMPLANTE SUBDERMICO DE DISPOSITIVO INTRAUTERINO",IF(N193=CURSOS!$D$29,"SALUD MENTAL",IF(N193=CURSOS!$D$30,"PRIMEROS AUXILIOS PSICOLOGICOS",IF(N193=CURSOS!$D$31,"ATENCION A VICTIMAS POR CONFLICTO ARMADO",IF(N193=CURSOS!$D$32,"MANIPULACION DE ALIMENTOS Y BPM",IF(N193=CURSOS!$D$33,"ATENCION A PERSONAS CON DISCAPACIDAD",IF(N193=CURSOS!$D$34,"CUIDADO INTEGRAL DEL PACIENTE ADULTO",IF(N193=CURSOS!$D$35,"MANEJO DEFENSIVO",IF(N193=CURSOS!$D$36,"SOPORTE CARDIOVASCULAR AVANZADO NEONATAL",IF(N193=CURSOS!$D$37,"SEGURIDAD DEL PACIENTE")))))))))))))))))))))))))))))))))))</f>
        <v xml:space="preserve">HUMANIZACION EN EL SERVICIO DE LA SALUD Y BUENAS PRACTICAS EN PACIENTE </v>
      </c>
      <c r="U193" s="124" t="str">
        <f t="shared" si="9"/>
        <v>Erica  Cabrera Apraez</v>
      </c>
      <c r="V193" s="128" t="str">
        <f t="shared" si="10"/>
        <v>Erica  Cabrera Apraez</v>
      </c>
      <c r="W193" s="138" t="str">
        <f t="shared" si="11"/>
        <v>Erica  Cabrera Apraez-1086359222-HUMANIZACION</v>
      </c>
    </row>
    <row r="194" spans="1:23" x14ac:dyDescent="0.2">
      <c r="A194" s="42">
        <v>193</v>
      </c>
      <c r="B194" s="90">
        <v>1086359222</v>
      </c>
      <c r="C194" s="99" t="s">
        <v>325</v>
      </c>
      <c r="D194" s="99" t="s">
        <v>576</v>
      </c>
      <c r="E194" s="99" t="s">
        <v>577</v>
      </c>
      <c r="F194" s="99"/>
      <c r="G194" s="117">
        <v>15</v>
      </c>
      <c r="H194" s="117" t="s">
        <v>89</v>
      </c>
      <c r="I194" s="16">
        <v>45489</v>
      </c>
      <c r="J194" s="19">
        <v>35000</v>
      </c>
      <c r="K194" s="117" t="s">
        <v>246</v>
      </c>
      <c r="L194" s="117" t="s">
        <v>90</v>
      </c>
      <c r="M194" s="117" t="s">
        <v>118</v>
      </c>
      <c r="N194" s="118" t="s">
        <v>61</v>
      </c>
      <c r="O194" s="99"/>
      <c r="P194" s="118" t="s">
        <v>101</v>
      </c>
      <c r="Q194" s="99" t="s">
        <v>126</v>
      </c>
      <c r="R194" s="99">
        <v>3128852019</v>
      </c>
      <c r="S194" s="99" t="s">
        <v>578</v>
      </c>
      <c r="T194" s="124" t="str">
        <f>IF(N194=CURSOS!$D$3,"DIPLOMADO EN ATENCION PRE-HOSPITALARIA",IF(N194=CURSOS!$D$4,"ACOMPAÑAMIENTO Y MANEJO DEL DUELO",IF(N194=CURSOS!$D$5,"ATENCION A VICTIMAS DE ATAQUE CON AGENTES QUIMICOS ",IF(N194=CURSOS!$D$6,"PRIMEROS AUXILIOS ",IF(N194=CURSOS!$D$7,"DIPLOMADO DE UNIDAD DE CUIDADOS INTENSIVOS (UCI)",IF(N194=CURSOS!$D$8,"MODELO DE ATENCION PARA EVENTOS EMERGENTES EN SALUD MENTAL (CODIGO VERDE)",IF(N194=CURSOS!$D$9,"HUMANIZACION EN EL SERVICIO DE LA SALUD Y BUENAS PRACTICAS EN PACIENTE ",IF(N194=CURSOS!$D$10,"CLINICA DE HERIDAS ",IF(N194=CURSOS!$D$11,"TOMA DE CITOLOGIA CERVICO VAGINAL ",IF(N194=CURSOS!$D$12,"SOPORTE CARDIOVASCULAR AVANZADO (ACLS) ",IF(N194=CURSOS!$D$13,"CAMILLERO ",IF(N194=CURSOS!$D$14,"TOMA DE MUESTRAS Y LABORATORIO ",IF(N194=CURSOS!$D$15,"SOPORTE VITAL BASICO (BLS)",IF(N194=CURSOS!$D$16,"ATENCION A VICTIMAS DE VIOLENCIA SEXUAL ",IF(N194=CURSOS!$D$17,"PROGRAMADO AMPLIADO DE INMUNIZACION (PAI - COVID 19)",IF(N194=CURSOS!$D$18,"ATENCION INTEGRAL EN ENFERMEDADES PREVALENTES EN PRIMERA INFANCIA (AIEPI)",IF(N194=CURSOS!$D$19,"ADMINISTRACION DE MEDICAMENTOS, INYECTOLOGIA  Y CANALIZACION ",IF(N194=CURSOS!$D$20,"OPERADOR DE VEHICULOS DE EMERGENCIA (OVE)",IF(N194=CURSOS!$D$21,"INSTITUCIONES AMIGAS DE LA MUJER Y LA INFANCIA (IAMI)",IF(N194=CURSOS!$D$22,"CUIDADO DEL DONANTE DE ORGANOS",IF(N194=CURSOS!$D$23,"ATENCION A VICTIMAS POR VIOLENCIA DE GENERO",IF(N194=CURSOS!$D$24,"IGUALDAD DE GENERO EN LA SALUD",IF(N194=CURSOS!$D$25,"BRIGADA DE EMERGENCIA",IF(N194=CURSOS!$D$26,"MANEJO DEL DOLOR Y CUIDADOS PALIATIVOS",IF(N194=CURSOS!$D$27,"TOMA DE MUESTRAS Y LABORATORIO POCT",IF(N194=CURSOS!$D$28,"IMPLANTE SUBDERMICO DE DISPOSITIVO INTRAUTERINO",IF(N194=CURSOS!$D$29,"SALUD MENTAL",IF(N194=CURSOS!$D$30,"PRIMEROS AUXILIOS PSICOLOGICOS",IF(N194=CURSOS!$D$31,"ATENCION A VICTIMAS POR CONFLICTO ARMADO",IF(N194=CURSOS!$D$32,"MANIPULACION DE ALIMENTOS Y BPM",IF(N194=CURSOS!$D$33,"ATENCION A PERSONAS CON DISCAPACIDAD",IF(N194=CURSOS!$D$34,"CUIDADO INTEGRAL DEL PACIENTE ADULTO",IF(N194=CURSOS!$D$35,"MANEJO DEFENSIVO",IF(N194=CURSOS!$D$36,"SOPORTE CARDIOVASCULAR AVANZADO NEONATAL",IF(N194=CURSOS!$D$37,"SEGURIDAD DEL PACIENTE")))))))))))))))))))))))))))))))))))</f>
        <v>MANEJO DEL DOLOR Y CUIDADOS PALIATIVOS</v>
      </c>
      <c r="U194" s="124" t="str">
        <f t="shared" si="9"/>
        <v>Erica  Cabrera Apraez</v>
      </c>
      <c r="V194" s="128" t="str">
        <f t="shared" si="10"/>
        <v>Erica  Cabrera Apraez</v>
      </c>
      <c r="W194" s="138" t="str">
        <f t="shared" si="11"/>
        <v>Erica  Cabrera Apraez-1086359222-PALIATIVOS</v>
      </c>
    </row>
    <row r="195" spans="1:23" x14ac:dyDescent="0.2">
      <c r="A195" s="42">
        <v>194</v>
      </c>
      <c r="B195" s="90">
        <v>1085327325</v>
      </c>
      <c r="C195" s="99" t="s">
        <v>114</v>
      </c>
      <c r="D195" s="99" t="s">
        <v>371</v>
      </c>
      <c r="E195" s="99" t="s">
        <v>224</v>
      </c>
      <c r="F195" s="99"/>
      <c r="G195" s="117">
        <v>15</v>
      </c>
      <c r="H195" s="117" t="s">
        <v>89</v>
      </c>
      <c r="I195" s="16">
        <v>45489</v>
      </c>
      <c r="J195" s="19">
        <v>70000</v>
      </c>
      <c r="K195" s="117" t="s">
        <v>581</v>
      </c>
      <c r="L195" s="117" t="s">
        <v>90</v>
      </c>
      <c r="M195" s="117" t="s">
        <v>118</v>
      </c>
      <c r="N195" s="118" t="s">
        <v>57</v>
      </c>
      <c r="O195" s="18">
        <v>35130</v>
      </c>
      <c r="P195" s="118" t="s">
        <v>101</v>
      </c>
      <c r="Q195" s="99" t="s">
        <v>580</v>
      </c>
      <c r="R195" s="99">
        <v>3122327010</v>
      </c>
      <c r="S195" s="99" t="s">
        <v>579</v>
      </c>
      <c r="T195" s="124" t="str">
        <f>IF(N195=CURSOS!$D$3,"DIPLOMADO EN ATENCION PRE-HOSPITALARIA",IF(N195=CURSOS!$D$4,"ACOMPAÑAMIENTO Y MANEJO DEL DUELO",IF(N195=CURSOS!$D$5,"ATENCION A VICTIMAS DE ATAQUE CON AGENTES QUIMICOS ",IF(N195=CURSOS!$D$6,"PRIMEROS AUXILIOS ",IF(N195=CURSOS!$D$7,"DIPLOMADO DE UNIDAD DE CUIDADOS INTENSIVOS (UCI)",IF(N195=CURSOS!$D$8,"MODELO DE ATENCION PARA EVENTOS EMERGENTES EN SALUD MENTAL (CODIGO VERDE)",IF(N195=CURSOS!$D$9,"HUMANIZACION EN EL SERVICIO DE LA SALUD Y BUENAS PRACTICAS EN PACIENTE ",IF(N195=CURSOS!$D$10,"CLINICA DE HERIDAS ",IF(N195=CURSOS!$D$11,"TOMA DE CITOLOGIA CERVICO VAGINAL ",IF(N195=CURSOS!$D$12,"SOPORTE CARDIOVASCULAR AVANZADO (ACLS) ",IF(N195=CURSOS!$D$13,"CAMILLERO ",IF(N195=CURSOS!$D$14,"TOMA DE MUESTRAS Y LABORATORIO ",IF(N195=CURSOS!$D$15,"SOPORTE VITAL BASICO (BLS)",IF(N195=CURSOS!$D$16,"ATENCION A VICTIMAS DE VIOLENCIA SEXUAL ",IF(N195=CURSOS!$D$17,"PROGRAMADO AMPLIADO DE INMUNIZACION (PAI - COVID 19)",IF(N195=CURSOS!$D$18,"ATENCION INTEGRAL EN ENFERMEDADES PREVALENTES EN PRIMERA INFANCIA (AIEPI)",IF(N195=CURSOS!$D$19,"ADMINISTRACION DE MEDICAMENTOS, INYECTOLOGIA  Y CANALIZACION ",IF(N195=CURSOS!$D$20,"OPERADOR DE VEHICULOS DE EMERGENCIA (OVE)",IF(N195=CURSOS!$D$21,"INSTITUCIONES AMIGAS DE LA MUJER Y LA INFANCIA (IAMI)",IF(N195=CURSOS!$D$22,"CUIDADO DEL DONANTE DE ORGANOS",IF(N195=CURSOS!$D$23,"ATENCION A VICTIMAS POR VIOLENCIA DE GENERO",IF(N195=CURSOS!$D$24,"IGUALDAD DE GENERO EN LA SALUD",IF(N195=CURSOS!$D$25,"BRIGADA DE EMERGENCIA",IF(N195=CURSOS!$D$26,"MANEJO DEL DOLOR Y CUIDADOS PALIATIVOS",IF(N195=CURSOS!$D$27,"TOMA DE MUESTRAS Y LABORATORIO POCT",IF(N195=CURSOS!$D$28,"IMPLANTE SUBDERMICO DE DISPOSITIVO INTRAUTERINO",IF(N195=CURSOS!$D$29,"SALUD MENTAL",IF(N195=CURSOS!$D$30,"PRIMEROS AUXILIOS PSICOLOGICOS",IF(N195=CURSOS!$D$31,"ATENCION A VICTIMAS POR CONFLICTO ARMADO",IF(N195=CURSOS!$D$32,"MANIPULACION DE ALIMENTOS Y BPM",IF(N195=CURSOS!$D$33,"ATENCION A PERSONAS CON DISCAPACIDAD",IF(N195=CURSOS!$D$34,"CUIDADO INTEGRAL DEL PACIENTE ADULTO",IF(N195=CURSOS!$D$35,"MANEJO DEFENSIVO",IF(N195=CURSOS!$D$36,"SOPORTE CARDIOVASCULAR AVANZADO NEONATAL",IF(N195=CURSOS!$D$37,"SEGURIDAD DEL PACIENTE")))))))))))))))))))))))))))))))))))</f>
        <v>IGUALDAD DE GENERO EN LA SALUD</v>
      </c>
      <c r="U195" s="124" t="str">
        <f t="shared" ref="U195:U258" si="12">CONCATENATE(E195," ",F195," ",C195," ",D195)</f>
        <v>Alexandra  Rosero Betancourth</v>
      </c>
      <c r="V195" s="128" t="str">
        <f t="shared" ref="V195:V258" si="13">+PROPER(U195)</f>
        <v>Alexandra  Rosero Betancourth</v>
      </c>
      <c r="W195" s="138" t="str">
        <f t="shared" ref="W195:W258" si="14">CONCATENATE(U195,"-",B195,"-",N195)</f>
        <v>Alexandra  Rosero Betancourth-1085327325-IGUALDAD DE GENERO</v>
      </c>
    </row>
    <row r="196" spans="1:23" x14ac:dyDescent="0.2">
      <c r="A196" s="42">
        <v>195</v>
      </c>
      <c r="B196" s="90">
        <v>1085327325</v>
      </c>
      <c r="C196" s="99" t="s">
        <v>114</v>
      </c>
      <c r="D196" s="99" t="s">
        <v>371</v>
      </c>
      <c r="E196" s="99" t="s">
        <v>224</v>
      </c>
      <c r="F196" s="99"/>
      <c r="G196" s="117">
        <v>15</v>
      </c>
      <c r="H196" s="117" t="s">
        <v>89</v>
      </c>
      <c r="I196" s="16">
        <v>45489</v>
      </c>
      <c r="J196" s="19">
        <v>70000</v>
      </c>
      <c r="K196" s="117" t="s">
        <v>581</v>
      </c>
      <c r="L196" s="117" t="s">
        <v>90</v>
      </c>
      <c r="M196" s="117" t="s">
        <v>118</v>
      </c>
      <c r="N196" s="118" t="s">
        <v>43</v>
      </c>
      <c r="O196" s="18">
        <v>35130</v>
      </c>
      <c r="P196" s="118" t="s">
        <v>101</v>
      </c>
      <c r="Q196" s="99" t="s">
        <v>580</v>
      </c>
      <c r="R196" s="99">
        <v>3122327010</v>
      </c>
      <c r="S196" s="99" t="s">
        <v>579</v>
      </c>
      <c r="T196" s="124" t="str">
        <f>IF(N196=CURSOS!$D$3,"DIPLOMADO EN ATENCION PRE-HOSPITALARIA",IF(N196=CURSOS!$D$4,"ACOMPAÑAMIENTO Y MANEJO DEL DUELO",IF(N196=CURSOS!$D$5,"ATENCION A VICTIMAS DE ATAQUE CON AGENTES QUIMICOS ",IF(N196=CURSOS!$D$6,"PRIMEROS AUXILIOS ",IF(N196=CURSOS!$D$7,"DIPLOMADO DE UNIDAD DE CUIDADOS INTENSIVOS (UCI)",IF(N196=CURSOS!$D$8,"MODELO DE ATENCION PARA EVENTOS EMERGENTES EN SALUD MENTAL (CODIGO VERDE)",IF(N196=CURSOS!$D$9,"HUMANIZACION EN EL SERVICIO DE LA SALUD Y BUENAS PRACTICAS EN PACIENTE ",IF(N196=CURSOS!$D$10,"CLINICA DE HERIDAS ",IF(N196=CURSOS!$D$11,"TOMA DE CITOLOGIA CERVICO VAGINAL ",IF(N196=CURSOS!$D$12,"SOPORTE CARDIOVASCULAR AVANZADO (ACLS) ",IF(N196=CURSOS!$D$13,"CAMILLERO ",IF(N196=CURSOS!$D$14,"TOMA DE MUESTRAS Y LABORATORIO ",IF(N196=CURSOS!$D$15,"SOPORTE VITAL BASICO (BLS)",IF(N196=CURSOS!$D$16,"ATENCION A VICTIMAS DE VIOLENCIA SEXUAL ",IF(N196=CURSOS!$D$17,"PROGRAMADO AMPLIADO DE INMUNIZACION (PAI - COVID 19)",IF(N196=CURSOS!$D$18,"ATENCION INTEGRAL EN ENFERMEDADES PREVALENTES EN PRIMERA INFANCIA (AIEPI)",IF(N196=CURSOS!$D$19,"ADMINISTRACION DE MEDICAMENTOS, INYECTOLOGIA  Y CANALIZACION ",IF(N196=CURSOS!$D$20,"OPERADOR DE VEHICULOS DE EMERGENCIA (OVE)",IF(N196=CURSOS!$D$21,"INSTITUCIONES AMIGAS DE LA MUJER Y LA INFANCIA (IAMI)",IF(N196=CURSOS!$D$22,"CUIDADO DEL DONANTE DE ORGANOS",IF(N196=CURSOS!$D$23,"ATENCION A VICTIMAS POR VIOLENCIA DE GENERO",IF(N196=CURSOS!$D$24,"IGUALDAD DE GENERO EN LA SALUD",IF(N196=CURSOS!$D$25,"BRIGADA DE EMERGENCIA",IF(N196=CURSOS!$D$26,"MANEJO DEL DOLOR Y CUIDADOS PALIATIVOS",IF(N196=CURSOS!$D$27,"TOMA DE MUESTRAS Y LABORATORIO POCT",IF(N196=CURSOS!$D$28,"IMPLANTE SUBDERMICO DE DISPOSITIVO INTRAUTERINO",IF(N196=CURSOS!$D$29,"SALUD MENTAL",IF(N196=CURSOS!$D$30,"PRIMEROS AUXILIOS PSICOLOGICOS",IF(N196=CURSOS!$D$31,"ATENCION A VICTIMAS POR CONFLICTO ARMADO",IF(N196=CURSOS!$D$32,"MANIPULACION DE ALIMENTOS Y BPM",IF(N196=CURSOS!$D$33,"ATENCION A PERSONAS CON DISCAPACIDAD",IF(N196=CURSOS!$D$34,"CUIDADO INTEGRAL DEL PACIENTE ADULTO",IF(N196=CURSOS!$D$35,"MANEJO DEFENSIVO",IF(N196=CURSOS!$D$36,"SOPORTE CARDIOVASCULAR AVANZADO NEONATAL",IF(N196=CURSOS!$D$37,"SEGURIDAD DEL PACIENTE")))))))))))))))))))))))))))))))))))</f>
        <v xml:space="preserve">ATENCION A VICTIMAS DE VIOLENCIA SEXUAL </v>
      </c>
      <c r="U196" s="124" t="str">
        <f t="shared" si="12"/>
        <v>Alexandra  Rosero Betancourth</v>
      </c>
      <c r="V196" s="128" t="str">
        <f t="shared" si="13"/>
        <v>Alexandra  Rosero Betancourth</v>
      </c>
      <c r="W196" s="138" t="str">
        <f t="shared" si="14"/>
        <v>Alexandra  Rosero Betancourth-1085327325-VIOLENCIA SEXUAL</v>
      </c>
    </row>
    <row r="197" spans="1:23" x14ac:dyDescent="0.2">
      <c r="A197" s="42">
        <v>196</v>
      </c>
      <c r="B197" s="90">
        <v>1033716880</v>
      </c>
      <c r="C197" s="99" t="s">
        <v>471</v>
      </c>
      <c r="D197" s="99" t="s">
        <v>582</v>
      </c>
      <c r="E197" s="99" t="s">
        <v>436</v>
      </c>
      <c r="F197" s="99" t="s">
        <v>227</v>
      </c>
      <c r="G197" s="117">
        <v>3</v>
      </c>
      <c r="H197" s="117" t="s">
        <v>584</v>
      </c>
      <c r="I197" s="16">
        <v>45489</v>
      </c>
      <c r="J197" s="19">
        <v>40000</v>
      </c>
      <c r="K197" s="117" t="s">
        <v>210</v>
      </c>
      <c r="L197" s="117" t="s">
        <v>90</v>
      </c>
      <c r="M197" s="117" t="s">
        <v>118</v>
      </c>
      <c r="N197" s="118" t="s">
        <v>19</v>
      </c>
      <c r="O197" s="99"/>
      <c r="P197" s="118" t="s">
        <v>101</v>
      </c>
      <c r="Q197" s="99"/>
      <c r="R197" s="99">
        <v>3144320529</v>
      </c>
      <c r="S197" s="99" t="s">
        <v>583</v>
      </c>
      <c r="T197" s="124" t="str">
        <f>IF(N197=CURSOS!$D$3,"DIPLOMADO EN ATENCION PRE-HOSPITALARIA",IF(N197=CURSOS!$D$4,"ACOMPAÑAMIENTO Y MANEJO DEL DUELO",IF(N197=CURSOS!$D$5,"ATENCION A VICTIMAS DE ATAQUE CON AGENTES QUIMICOS ",IF(N197=CURSOS!$D$6,"PRIMEROS AUXILIOS ",IF(N197=CURSOS!$D$7,"DIPLOMADO DE UNIDAD DE CUIDADOS INTENSIVOS (UCI)",IF(N197=CURSOS!$D$8,"MODELO DE ATENCION PARA EVENTOS EMERGENTES EN SALUD MENTAL (CODIGO VERDE)",IF(N197=CURSOS!$D$9,"HUMANIZACION EN EL SERVICIO DE LA SALUD Y BUENAS PRACTICAS EN PACIENTE ",IF(N197=CURSOS!$D$10,"CLINICA DE HERIDAS ",IF(N197=CURSOS!$D$11,"TOMA DE CITOLOGIA CERVICO VAGINAL ",IF(N197=CURSOS!$D$12,"SOPORTE CARDIOVASCULAR AVANZADO (ACLS) ",IF(N197=CURSOS!$D$13,"CAMILLERO ",IF(N197=CURSOS!$D$14,"TOMA DE MUESTRAS Y LABORATORIO ",IF(N197=CURSOS!$D$15,"SOPORTE VITAL BASICO (BLS)",IF(N197=CURSOS!$D$16,"ATENCION A VICTIMAS DE VIOLENCIA SEXUAL ",IF(N197=CURSOS!$D$17,"PROGRAMADO AMPLIADO DE INMUNIZACION (PAI - COVID 19)",IF(N197=CURSOS!$D$18,"ATENCION INTEGRAL EN ENFERMEDADES PREVALENTES EN PRIMERA INFANCIA (AIEPI)",IF(N197=CURSOS!$D$19,"ADMINISTRACION DE MEDICAMENTOS, INYECTOLOGIA  Y CANALIZACION ",IF(N197=CURSOS!$D$20,"OPERADOR DE VEHICULOS DE EMERGENCIA (OVE)",IF(N197=CURSOS!$D$21,"INSTITUCIONES AMIGAS DE LA MUJER Y LA INFANCIA (IAMI)",IF(N197=CURSOS!$D$22,"CUIDADO DEL DONANTE DE ORGANOS",IF(N197=CURSOS!$D$23,"ATENCION A VICTIMAS POR VIOLENCIA DE GENERO",IF(N197=CURSOS!$D$24,"IGUALDAD DE GENERO EN LA SALUD",IF(N197=CURSOS!$D$25,"BRIGADA DE EMERGENCIA",IF(N197=CURSOS!$D$26,"MANEJO DEL DOLOR Y CUIDADOS PALIATIVOS",IF(N197=CURSOS!$D$27,"TOMA DE MUESTRAS Y LABORATORIO POCT",IF(N197=CURSOS!$D$28,"IMPLANTE SUBDERMICO DE DISPOSITIVO INTRAUTERINO",IF(N197=CURSOS!$D$29,"SALUD MENTAL",IF(N197=CURSOS!$D$30,"PRIMEROS AUXILIOS PSICOLOGICOS",IF(N197=CURSOS!$D$31,"ATENCION A VICTIMAS POR CONFLICTO ARMADO",IF(N197=CURSOS!$D$32,"MANIPULACION DE ALIMENTOS Y BPM",IF(N197=CURSOS!$D$33,"ATENCION A PERSONAS CON DISCAPACIDAD",IF(N197=CURSOS!$D$34,"CUIDADO INTEGRAL DEL PACIENTE ADULTO",IF(N197=CURSOS!$D$35,"MANEJO DEFENSIVO",IF(N197=CURSOS!$D$36,"SOPORTE CARDIOVASCULAR AVANZADO NEONATAL",IF(N197=CURSOS!$D$37,"SEGURIDAD DEL PACIENTE")))))))))))))))))))))))))))))))))))</f>
        <v>SOPORTE VITAL BASICO (BLS)</v>
      </c>
      <c r="U197" s="124" t="str">
        <f t="shared" si="12"/>
        <v>Leidy Marcela Ruiz Barbosa</v>
      </c>
      <c r="V197" s="128" t="str">
        <f t="shared" si="13"/>
        <v>Leidy Marcela Ruiz Barbosa</v>
      </c>
      <c r="W197" s="138" t="str">
        <f t="shared" si="14"/>
        <v>Leidy Marcela Ruiz Barbosa-1033716880-BLS</v>
      </c>
    </row>
    <row r="198" spans="1:23" x14ac:dyDescent="0.2">
      <c r="A198" s="42">
        <v>197</v>
      </c>
      <c r="B198" s="90">
        <v>87450507</v>
      </c>
      <c r="C198" s="99" t="s">
        <v>620</v>
      </c>
      <c r="D198" s="99" t="s">
        <v>422</v>
      </c>
      <c r="E198" s="99" t="s">
        <v>540</v>
      </c>
      <c r="F198" s="99" t="s">
        <v>621</v>
      </c>
      <c r="G198" s="117">
        <v>16</v>
      </c>
      <c r="H198" s="117" t="s">
        <v>89</v>
      </c>
      <c r="I198" s="16">
        <v>45491</v>
      </c>
      <c r="J198" s="19">
        <v>30000</v>
      </c>
      <c r="K198" s="117" t="s">
        <v>214</v>
      </c>
      <c r="L198" s="117" t="s">
        <v>90</v>
      </c>
      <c r="M198" s="117" t="s">
        <v>125</v>
      </c>
      <c r="N198" s="118" t="s">
        <v>19</v>
      </c>
      <c r="O198" s="18">
        <v>21762</v>
      </c>
      <c r="P198" s="118" t="s">
        <v>91</v>
      </c>
      <c r="Q198" s="99"/>
      <c r="R198" s="99">
        <v>3147476597</v>
      </c>
      <c r="S198" s="99"/>
      <c r="T198" s="124" t="str">
        <f>IF(N198=CURSOS!$D$3,"DIPLOMADO EN ATENCION PRE-HOSPITALARIA",IF(N198=CURSOS!$D$4,"ACOMPAÑAMIENTO Y MANEJO DEL DUELO",IF(N198=CURSOS!$D$5,"ATENCION A VICTIMAS DE ATAQUE CON AGENTES QUIMICOS ",IF(N198=CURSOS!$D$6,"PRIMEROS AUXILIOS ",IF(N198=CURSOS!$D$7,"DIPLOMADO DE UNIDAD DE CUIDADOS INTENSIVOS (UCI)",IF(N198=CURSOS!$D$8,"MODELO DE ATENCION PARA EVENTOS EMERGENTES EN SALUD MENTAL (CODIGO VERDE)",IF(N198=CURSOS!$D$9,"HUMANIZACION EN EL SERVICIO DE LA SALUD Y BUENAS PRACTICAS EN PACIENTE ",IF(N198=CURSOS!$D$10,"CLINICA DE HERIDAS ",IF(N198=CURSOS!$D$11,"TOMA DE CITOLOGIA CERVICO VAGINAL ",IF(N198=CURSOS!$D$12,"SOPORTE CARDIOVASCULAR AVANZADO (ACLS) ",IF(N198=CURSOS!$D$13,"CAMILLERO ",IF(N198=CURSOS!$D$14,"TOMA DE MUESTRAS Y LABORATORIO ",IF(N198=CURSOS!$D$15,"SOPORTE VITAL BASICO (BLS)",IF(N198=CURSOS!$D$16,"ATENCION A VICTIMAS DE VIOLENCIA SEXUAL ",IF(N198=CURSOS!$D$17,"PROGRAMADO AMPLIADO DE INMUNIZACION (PAI - COVID 19)",IF(N198=CURSOS!$D$18,"ATENCION INTEGRAL EN ENFERMEDADES PREVALENTES EN PRIMERA INFANCIA (AIEPI)",IF(N198=CURSOS!$D$19,"ADMINISTRACION DE MEDICAMENTOS, INYECTOLOGIA  Y CANALIZACION ",IF(N198=CURSOS!$D$20,"OPERADOR DE VEHICULOS DE EMERGENCIA (OVE)",IF(N198=CURSOS!$D$21,"INSTITUCIONES AMIGAS DE LA MUJER Y LA INFANCIA (IAMI)",IF(N198=CURSOS!$D$22,"CUIDADO DEL DONANTE DE ORGANOS",IF(N198=CURSOS!$D$23,"ATENCION A VICTIMAS POR VIOLENCIA DE GENERO",IF(N198=CURSOS!$D$24,"IGUALDAD DE GENERO EN LA SALUD",IF(N198=CURSOS!$D$25,"BRIGADA DE EMERGENCIA",IF(N198=CURSOS!$D$26,"MANEJO DEL DOLOR Y CUIDADOS PALIATIVOS",IF(N198=CURSOS!$D$27,"TOMA DE MUESTRAS Y LABORATORIO POCT",IF(N198=CURSOS!$D$28,"IMPLANTE SUBDERMICO DE DISPOSITIVO INTRAUTERINO",IF(N198=CURSOS!$D$29,"SALUD MENTAL",IF(N198=CURSOS!$D$30,"PRIMEROS AUXILIOS PSICOLOGICOS",IF(N198=CURSOS!$D$31,"ATENCION A VICTIMAS POR CONFLICTO ARMADO",IF(N198=CURSOS!$D$32,"MANIPULACION DE ALIMENTOS Y BPM",IF(N198=CURSOS!$D$33,"ATENCION A PERSONAS CON DISCAPACIDAD",IF(N198=CURSOS!$D$34,"CUIDADO INTEGRAL DEL PACIENTE ADULTO",IF(N198=CURSOS!$D$35,"MANEJO DEFENSIVO",IF(N198=CURSOS!$D$36,"SOPORTE CARDIOVASCULAR AVANZADO NEONATAL",IF(N198=CURSOS!$D$37,"SEGURIDAD DEL PACIENTE")))))))))))))))))))))))))))))))))))</f>
        <v>SOPORTE VITAL BASICO (BLS)</v>
      </c>
      <c r="U198" s="124" t="str">
        <f t="shared" si="12"/>
        <v>Vicente Laureano Yela Santander</v>
      </c>
      <c r="V198" s="128" t="str">
        <f t="shared" si="13"/>
        <v>Vicente Laureano Yela Santander</v>
      </c>
      <c r="W198" s="138" t="str">
        <f t="shared" si="14"/>
        <v>Vicente Laureano Yela Santander-87450507-BLS</v>
      </c>
    </row>
    <row r="199" spans="1:23" x14ac:dyDescent="0.2">
      <c r="A199" s="42">
        <v>198</v>
      </c>
      <c r="B199" s="90">
        <v>87450507</v>
      </c>
      <c r="C199" s="99" t="s">
        <v>620</v>
      </c>
      <c r="D199" s="99" t="s">
        <v>422</v>
      </c>
      <c r="E199" s="99" t="s">
        <v>540</v>
      </c>
      <c r="F199" s="99" t="s">
        <v>621</v>
      </c>
      <c r="G199" s="117">
        <v>16</v>
      </c>
      <c r="H199" s="117" t="s">
        <v>89</v>
      </c>
      <c r="I199" s="16">
        <v>45491</v>
      </c>
      <c r="J199" s="19">
        <v>30000</v>
      </c>
      <c r="K199" s="117" t="s">
        <v>214</v>
      </c>
      <c r="L199" s="117" t="s">
        <v>90</v>
      </c>
      <c r="M199" s="117" t="s">
        <v>125</v>
      </c>
      <c r="N199" s="118" t="s">
        <v>27</v>
      </c>
      <c r="O199" s="18">
        <v>21762</v>
      </c>
      <c r="P199" s="118" t="s">
        <v>91</v>
      </c>
      <c r="Q199" s="99"/>
      <c r="R199" s="99">
        <v>3147476597</v>
      </c>
      <c r="S199" s="99"/>
      <c r="T199" s="124" t="str">
        <f>IF(N199=CURSOS!$D$3,"DIPLOMADO EN ATENCION PRE-HOSPITALARIA",IF(N199=CURSOS!$D$4,"ACOMPAÑAMIENTO Y MANEJO DEL DUELO",IF(N199=CURSOS!$D$5,"ATENCION A VICTIMAS DE ATAQUE CON AGENTES QUIMICOS ",IF(N199=CURSOS!$D$6,"PRIMEROS AUXILIOS ",IF(N199=CURSOS!$D$7,"DIPLOMADO DE UNIDAD DE CUIDADOS INTENSIVOS (UCI)",IF(N199=CURSOS!$D$8,"MODELO DE ATENCION PARA EVENTOS EMERGENTES EN SALUD MENTAL (CODIGO VERDE)",IF(N199=CURSOS!$D$9,"HUMANIZACION EN EL SERVICIO DE LA SALUD Y BUENAS PRACTICAS EN PACIENTE ",IF(N199=CURSOS!$D$10,"CLINICA DE HERIDAS ",IF(N199=CURSOS!$D$11,"TOMA DE CITOLOGIA CERVICO VAGINAL ",IF(N199=CURSOS!$D$12,"SOPORTE CARDIOVASCULAR AVANZADO (ACLS) ",IF(N199=CURSOS!$D$13,"CAMILLERO ",IF(N199=CURSOS!$D$14,"TOMA DE MUESTRAS Y LABORATORIO ",IF(N199=CURSOS!$D$15,"SOPORTE VITAL BASICO (BLS)",IF(N199=CURSOS!$D$16,"ATENCION A VICTIMAS DE VIOLENCIA SEXUAL ",IF(N199=CURSOS!$D$17,"PROGRAMADO AMPLIADO DE INMUNIZACION (PAI - COVID 19)",IF(N199=CURSOS!$D$18,"ATENCION INTEGRAL EN ENFERMEDADES PREVALENTES EN PRIMERA INFANCIA (AIEPI)",IF(N199=CURSOS!$D$19,"ADMINISTRACION DE MEDICAMENTOS, INYECTOLOGIA  Y CANALIZACION ",IF(N199=CURSOS!$D$20,"OPERADOR DE VEHICULOS DE EMERGENCIA (OVE)",IF(N199=CURSOS!$D$21,"INSTITUCIONES AMIGAS DE LA MUJER Y LA INFANCIA (IAMI)",IF(N199=CURSOS!$D$22,"CUIDADO DEL DONANTE DE ORGANOS",IF(N199=CURSOS!$D$23,"ATENCION A VICTIMAS POR VIOLENCIA DE GENERO",IF(N199=CURSOS!$D$24,"IGUALDAD DE GENERO EN LA SALUD",IF(N199=CURSOS!$D$25,"BRIGADA DE EMERGENCIA",IF(N199=CURSOS!$D$26,"MANEJO DEL DOLOR Y CUIDADOS PALIATIVOS",IF(N199=CURSOS!$D$27,"TOMA DE MUESTRAS Y LABORATORIO POCT",IF(N199=CURSOS!$D$28,"IMPLANTE SUBDERMICO DE DISPOSITIVO INTRAUTERINO",IF(N199=CURSOS!$D$29,"SALUD MENTAL",IF(N199=CURSOS!$D$30,"PRIMEROS AUXILIOS PSICOLOGICOS",IF(N199=CURSOS!$D$31,"ATENCION A VICTIMAS POR CONFLICTO ARMADO",IF(N199=CURSOS!$D$32,"MANIPULACION DE ALIMENTOS Y BPM",IF(N199=CURSOS!$D$33,"ATENCION A PERSONAS CON DISCAPACIDAD",IF(N199=CURSOS!$D$34,"CUIDADO INTEGRAL DEL PACIENTE ADULTO",IF(N199=CURSOS!$D$35,"MANEJO DEFENSIVO",IF(N199=CURSOS!$D$36,"SOPORTE CARDIOVASCULAR AVANZADO NEONATAL",IF(N199=CURSOS!$D$37,"SEGURIDAD DEL PACIENTE")))))))))))))))))))))))))))))))))))</f>
        <v xml:space="preserve">PRIMEROS AUXILIOS </v>
      </c>
      <c r="U199" s="124" t="str">
        <f t="shared" si="12"/>
        <v>Vicente Laureano Yela Santander</v>
      </c>
      <c r="V199" s="128" t="str">
        <f t="shared" si="13"/>
        <v>Vicente Laureano Yela Santander</v>
      </c>
      <c r="W199" s="138" t="str">
        <f t="shared" si="14"/>
        <v>Vicente Laureano Yela Santander-87450507-PRIMEROS AUXILIOS</v>
      </c>
    </row>
    <row r="200" spans="1:23" x14ac:dyDescent="0.2">
      <c r="A200" s="42">
        <v>199</v>
      </c>
      <c r="B200" s="132">
        <v>1085342398</v>
      </c>
      <c r="C200" s="133" t="s">
        <v>622</v>
      </c>
      <c r="D200" s="133" t="s">
        <v>623</v>
      </c>
      <c r="E200" s="133" t="s">
        <v>130</v>
      </c>
      <c r="F200" s="133" t="s">
        <v>300</v>
      </c>
      <c r="G200" s="134">
        <v>17</v>
      </c>
      <c r="H200" s="134" t="s">
        <v>89</v>
      </c>
      <c r="I200" s="112">
        <v>45490</v>
      </c>
      <c r="J200" s="106">
        <v>40000</v>
      </c>
      <c r="K200" s="134" t="s">
        <v>210</v>
      </c>
      <c r="L200" s="134" t="s">
        <v>90</v>
      </c>
      <c r="M200" s="134" t="s">
        <v>118</v>
      </c>
      <c r="N200" s="135" t="s">
        <v>46</v>
      </c>
      <c r="O200" s="113">
        <v>23767</v>
      </c>
      <c r="P200" s="135" t="s">
        <v>91</v>
      </c>
      <c r="Q200" s="133" t="s">
        <v>215</v>
      </c>
      <c r="R200" s="133">
        <v>3164337882</v>
      </c>
      <c r="S200" s="133" t="s">
        <v>624</v>
      </c>
      <c r="T200" s="124" t="str">
        <f>IF(N200=CURSOS!$D$3,"DIPLOMADO EN ATENCION PRE-HOSPITALARIA",IF(N200=CURSOS!$D$4,"ACOMPAÑAMIENTO Y MANEJO DEL DUELO",IF(N200=CURSOS!$D$5,"ATENCION A VICTIMAS DE ATAQUE CON AGENTES QUIMICOS ",IF(N200=CURSOS!$D$6,"PRIMEROS AUXILIOS ",IF(N200=CURSOS!$D$7,"DIPLOMADO DE UNIDAD DE CUIDADOS INTENSIVOS (UCI)",IF(N200=CURSOS!$D$8,"MODELO DE ATENCION PARA EVENTOS EMERGENTES EN SALUD MENTAL (CODIGO VERDE)",IF(N200=CURSOS!$D$9,"HUMANIZACION EN EL SERVICIO DE LA SALUD Y BUENAS PRACTICAS EN PACIENTE ",IF(N200=CURSOS!$D$10,"CLINICA DE HERIDAS ",IF(N200=CURSOS!$D$11,"TOMA DE CITOLOGIA CERVICO VAGINAL ",IF(N200=CURSOS!$D$12,"SOPORTE CARDIOVASCULAR AVANZADO (ACLS) ",IF(N200=CURSOS!$D$13,"CAMILLERO ",IF(N200=CURSOS!$D$14,"TOMA DE MUESTRAS Y LABORATORIO ",IF(N200=CURSOS!$D$15,"SOPORTE VITAL BASICO (BLS)",IF(N200=CURSOS!$D$16,"ATENCION A VICTIMAS DE VIOLENCIA SEXUAL ",IF(N200=CURSOS!$D$17,"PROGRAMADO AMPLIADO DE INMUNIZACION (PAI - COVID 19)",IF(N200=CURSOS!$D$18,"ATENCION INTEGRAL EN ENFERMEDADES PREVALENTES EN PRIMERA INFANCIA (AIEPI)",IF(N200=CURSOS!$D$19,"ADMINISTRACION DE MEDICAMENTOS, INYECTOLOGIA  Y CANALIZACION ",IF(N200=CURSOS!$D$20,"OPERADOR DE VEHICULOS DE EMERGENCIA (OVE)",IF(N200=CURSOS!$D$21,"INSTITUCIONES AMIGAS DE LA MUJER Y LA INFANCIA (IAMI)",IF(N200=CURSOS!$D$22,"CUIDADO DEL DONANTE DE ORGANOS",IF(N200=CURSOS!$D$23,"ATENCION A VICTIMAS POR VIOLENCIA DE GENERO",IF(N200=CURSOS!$D$24,"IGUALDAD DE GENERO EN LA SALUD",IF(N200=CURSOS!$D$25,"BRIGADA DE EMERGENCIA",IF(N200=CURSOS!$D$26,"MANEJO DEL DOLOR Y CUIDADOS PALIATIVOS",IF(N200=CURSOS!$D$27,"TOMA DE MUESTRAS Y LABORATORIO POCT",IF(N200=CURSOS!$D$28,"IMPLANTE SUBDERMICO DE DISPOSITIVO INTRAUTERINO",IF(N200=CURSOS!$D$29,"SALUD MENTAL",IF(N200=CURSOS!$D$30,"PRIMEROS AUXILIOS PSICOLOGICOS",IF(N200=CURSOS!$D$31,"ATENCION A VICTIMAS POR CONFLICTO ARMADO",IF(N200=CURSOS!$D$32,"MANIPULACION DE ALIMENTOS Y BPM",IF(N200=CURSOS!$D$33,"ATENCION A PERSONAS CON DISCAPACIDAD",IF(N200=CURSOS!$D$34,"CUIDADO INTEGRAL DEL PACIENTE ADULTO",IF(N200=CURSOS!$D$35,"MANEJO DEFENSIVO",IF(N200=CURSOS!$D$36,"SOPORTE CARDIOVASCULAR AVANZADO NEONATAL",IF(N200=CURSOS!$D$37,"SEGURIDAD DEL PACIENTE")))))))))))))))))))))))))))))))))))</f>
        <v>ATENCION INTEGRAL EN ENFERMEDADES PREVALENTES EN PRIMERA INFANCIA (AIEPI)</v>
      </c>
      <c r="U200" s="124" t="str">
        <f t="shared" si="12"/>
        <v>Carlos Eduardo Ávila Claderón</v>
      </c>
      <c r="V200" s="128" t="str">
        <f t="shared" si="13"/>
        <v>Carlos Eduardo Ávila Claderón</v>
      </c>
      <c r="W200" s="138" t="str">
        <f t="shared" si="14"/>
        <v>Carlos Eduardo Ávila Claderón-1085342398-AIEPI</v>
      </c>
    </row>
    <row r="201" spans="1:23" x14ac:dyDescent="0.2">
      <c r="A201" s="42">
        <v>200</v>
      </c>
      <c r="B201" s="90">
        <v>1004193308</v>
      </c>
      <c r="C201" s="99" t="s">
        <v>269</v>
      </c>
      <c r="D201" s="99" t="s">
        <v>625</v>
      </c>
      <c r="E201" s="99" t="s">
        <v>99</v>
      </c>
      <c r="F201" s="99" t="s">
        <v>626</v>
      </c>
      <c r="G201" s="117">
        <v>17</v>
      </c>
      <c r="H201" s="117" t="s">
        <v>89</v>
      </c>
      <c r="I201" s="16">
        <v>45490</v>
      </c>
      <c r="J201" s="19">
        <v>30000</v>
      </c>
      <c r="K201" s="117" t="s">
        <v>210</v>
      </c>
      <c r="L201" s="117" t="s">
        <v>90</v>
      </c>
      <c r="M201" s="117" t="s">
        <v>132</v>
      </c>
      <c r="N201" s="118" t="s">
        <v>19</v>
      </c>
      <c r="O201" s="18">
        <v>37620</v>
      </c>
      <c r="P201" s="118" t="s">
        <v>101</v>
      </c>
      <c r="Q201" s="99" t="s">
        <v>126</v>
      </c>
      <c r="R201" s="99">
        <v>3122680495</v>
      </c>
      <c r="S201" s="99" t="s">
        <v>627</v>
      </c>
      <c r="T201" s="124" t="str">
        <f>IF(N201=CURSOS!$D$3,"DIPLOMADO EN ATENCION PRE-HOSPITALARIA",IF(N201=CURSOS!$D$4,"ACOMPAÑAMIENTO Y MANEJO DEL DUELO",IF(N201=CURSOS!$D$5,"ATENCION A VICTIMAS DE ATAQUE CON AGENTES QUIMICOS ",IF(N201=CURSOS!$D$6,"PRIMEROS AUXILIOS ",IF(N201=CURSOS!$D$7,"DIPLOMADO DE UNIDAD DE CUIDADOS INTENSIVOS (UCI)",IF(N201=CURSOS!$D$8,"MODELO DE ATENCION PARA EVENTOS EMERGENTES EN SALUD MENTAL (CODIGO VERDE)",IF(N201=CURSOS!$D$9,"HUMANIZACION EN EL SERVICIO DE LA SALUD Y BUENAS PRACTICAS EN PACIENTE ",IF(N201=CURSOS!$D$10,"CLINICA DE HERIDAS ",IF(N201=CURSOS!$D$11,"TOMA DE CITOLOGIA CERVICO VAGINAL ",IF(N201=CURSOS!$D$12,"SOPORTE CARDIOVASCULAR AVANZADO (ACLS) ",IF(N201=CURSOS!$D$13,"CAMILLERO ",IF(N201=CURSOS!$D$14,"TOMA DE MUESTRAS Y LABORATORIO ",IF(N201=CURSOS!$D$15,"SOPORTE VITAL BASICO (BLS)",IF(N201=CURSOS!$D$16,"ATENCION A VICTIMAS DE VIOLENCIA SEXUAL ",IF(N201=CURSOS!$D$17,"PROGRAMADO AMPLIADO DE INMUNIZACION (PAI - COVID 19)",IF(N201=CURSOS!$D$18,"ATENCION INTEGRAL EN ENFERMEDADES PREVALENTES EN PRIMERA INFANCIA (AIEPI)",IF(N201=CURSOS!$D$19,"ADMINISTRACION DE MEDICAMENTOS, INYECTOLOGIA  Y CANALIZACION ",IF(N201=CURSOS!$D$20,"OPERADOR DE VEHICULOS DE EMERGENCIA (OVE)",IF(N201=CURSOS!$D$21,"INSTITUCIONES AMIGAS DE LA MUJER Y LA INFANCIA (IAMI)",IF(N201=CURSOS!$D$22,"CUIDADO DEL DONANTE DE ORGANOS",IF(N201=CURSOS!$D$23,"ATENCION A VICTIMAS POR VIOLENCIA DE GENERO",IF(N201=CURSOS!$D$24,"IGUALDAD DE GENERO EN LA SALUD",IF(N201=CURSOS!$D$25,"BRIGADA DE EMERGENCIA",IF(N201=CURSOS!$D$26,"MANEJO DEL DOLOR Y CUIDADOS PALIATIVOS",IF(N201=CURSOS!$D$27,"TOMA DE MUESTRAS Y LABORATORIO POCT",IF(N201=CURSOS!$D$28,"IMPLANTE SUBDERMICO DE DISPOSITIVO INTRAUTERINO",IF(N201=CURSOS!$D$29,"SALUD MENTAL",IF(N201=CURSOS!$D$30,"PRIMEROS AUXILIOS PSICOLOGICOS",IF(N201=CURSOS!$D$31,"ATENCION A VICTIMAS POR CONFLICTO ARMADO",IF(N201=CURSOS!$D$32,"MANIPULACION DE ALIMENTOS Y BPM",IF(N201=CURSOS!$D$33,"ATENCION A PERSONAS CON DISCAPACIDAD",IF(N201=CURSOS!$D$34,"CUIDADO INTEGRAL DEL PACIENTE ADULTO",IF(N201=CURSOS!$D$35,"MANEJO DEFENSIVO",IF(N201=CURSOS!$D$36,"SOPORTE CARDIOVASCULAR AVANZADO NEONATAL",IF(N201=CURSOS!$D$37,"SEGURIDAD DEL PACIENTE")))))))))))))))))))))))))))))))))))</f>
        <v>SOPORTE VITAL BASICO (BLS)</v>
      </c>
      <c r="U201" s="124" t="str">
        <f t="shared" si="12"/>
        <v>Helen Geraldine Martinez Gallardo</v>
      </c>
      <c r="V201" s="128" t="str">
        <f t="shared" si="13"/>
        <v>Helen Geraldine Martinez Gallardo</v>
      </c>
      <c r="W201" s="138" t="str">
        <f t="shared" si="14"/>
        <v>Helen Geraldine Martinez Gallardo-1004193308-BLS</v>
      </c>
    </row>
    <row r="202" spans="1:23" x14ac:dyDescent="0.2">
      <c r="A202" s="42">
        <v>201</v>
      </c>
      <c r="B202" s="90">
        <v>27168885</v>
      </c>
      <c r="C202" s="99" t="s">
        <v>628</v>
      </c>
      <c r="D202" s="99" t="s">
        <v>421</v>
      </c>
      <c r="E202" s="99" t="s">
        <v>629</v>
      </c>
      <c r="F202" s="99" t="s">
        <v>630</v>
      </c>
      <c r="G202" s="117">
        <v>17</v>
      </c>
      <c r="H202" s="117" t="s">
        <v>89</v>
      </c>
      <c r="I202" s="16">
        <v>45490</v>
      </c>
      <c r="J202" s="19">
        <v>35000</v>
      </c>
      <c r="K202" s="117" t="s">
        <v>210</v>
      </c>
      <c r="L202" s="117" t="s">
        <v>90</v>
      </c>
      <c r="M202" s="117" t="s">
        <v>275</v>
      </c>
      <c r="N202" s="118" t="s">
        <v>43</v>
      </c>
      <c r="O202" s="18">
        <v>29188</v>
      </c>
      <c r="P202" s="118" t="s">
        <v>101</v>
      </c>
      <c r="Q202" s="99" t="s">
        <v>126</v>
      </c>
      <c r="R202" s="99">
        <v>3113135249</v>
      </c>
      <c r="S202" s="99" t="s">
        <v>631</v>
      </c>
      <c r="T202" s="124" t="str">
        <f>IF(N202=CURSOS!$D$3,"DIPLOMADO EN ATENCION PRE-HOSPITALARIA",IF(N202=CURSOS!$D$4,"ACOMPAÑAMIENTO Y MANEJO DEL DUELO",IF(N202=CURSOS!$D$5,"ATENCION A VICTIMAS DE ATAQUE CON AGENTES QUIMICOS ",IF(N202=CURSOS!$D$6,"PRIMEROS AUXILIOS ",IF(N202=CURSOS!$D$7,"DIPLOMADO DE UNIDAD DE CUIDADOS INTENSIVOS (UCI)",IF(N202=CURSOS!$D$8,"MODELO DE ATENCION PARA EVENTOS EMERGENTES EN SALUD MENTAL (CODIGO VERDE)",IF(N202=CURSOS!$D$9,"HUMANIZACION EN EL SERVICIO DE LA SALUD Y BUENAS PRACTICAS EN PACIENTE ",IF(N202=CURSOS!$D$10,"CLINICA DE HERIDAS ",IF(N202=CURSOS!$D$11,"TOMA DE CITOLOGIA CERVICO VAGINAL ",IF(N202=CURSOS!$D$12,"SOPORTE CARDIOVASCULAR AVANZADO (ACLS) ",IF(N202=CURSOS!$D$13,"CAMILLERO ",IF(N202=CURSOS!$D$14,"TOMA DE MUESTRAS Y LABORATORIO ",IF(N202=CURSOS!$D$15,"SOPORTE VITAL BASICO (BLS)",IF(N202=CURSOS!$D$16,"ATENCION A VICTIMAS DE VIOLENCIA SEXUAL ",IF(N202=CURSOS!$D$17,"PROGRAMADO AMPLIADO DE INMUNIZACION (PAI - COVID 19)",IF(N202=CURSOS!$D$18,"ATENCION INTEGRAL EN ENFERMEDADES PREVALENTES EN PRIMERA INFANCIA (AIEPI)",IF(N202=CURSOS!$D$19,"ADMINISTRACION DE MEDICAMENTOS, INYECTOLOGIA  Y CANALIZACION ",IF(N202=CURSOS!$D$20,"OPERADOR DE VEHICULOS DE EMERGENCIA (OVE)",IF(N202=CURSOS!$D$21,"INSTITUCIONES AMIGAS DE LA MUJER Y LA INFANCIA (IAMI)",IF(N202=CURSOS!$D$22,"CUIDADO DEL DONANTE DE ORGANOS",IF(N202=CURSOS!$D$23,"ATENCION A VICTIMAS POR VIOLENCIA DE GENERO",IF(N202=CURSOS!$D$24,"IGUALDAD DE GENERO EN LA SALUD",IF(N202=CURSOS!$D$25,"BRIGADA DE EMERGENCIA",IF(N202=CURSOS!$D$26,"MANEJO DEL DOLOR Y CUIDADOS PALIATIVOS",IF(N202=CURSOS!$D$27,"TOMA DE MUESTRAS Y LABORATORIO POCT",IF(N202=CURSOS!$D$28,"IMPLANTE SUBDERMICO DE DISPOSITIVO INTRAUTERINO",IF(N202=CURSOS!$D$29,"SALUD MENTAL",IF(N202=CURSOS!$D$30,"PRIMEROS AUXILIOS PSICOLOGICOS",IF(N202=CURSOS!$D$31,"ATENCION A VICTIMAS POR CONFLICTO ARMADO",IF(N202=CURSOS!$D$32,"MANIPULACION DE ALIMENTOS Y BPM",IF(N202=CURSOS!$D$33,"ATENCION A PERSONAS CON DISCAPACIDAD",IF(N202=CURSOS!$D$34,"CUIDADO INTEGRAL DEL PACIENTE ADULTO",IF(N202=CURSOS!$D$35,"MANEJO DEFENSIVO",IF(N202=CURSOS!$D$36,"SOPORTE CARDIOVASCULAR AVANZADO NEONATAL",IF(N202=CURSOS!$D$37,"SEGURIDAD DEL PACIENTE")))))))))))))))))))))))))))))))))))</f>
        <v xml:space="preserve">ATENCION A VICTIMAS DE VIOLENCIA SEXUAL </v>
      </c>
      <c r="U202" s="124" t="str">
        <f t="shared" si="12"/>
        <v>Aracely Del Rosario Bastidas Melo</v>
      </c>
      <c r="V202" s="128" t="str">
        <f t="shared" si="13"/>
        <v>Aracely Del Rosario Bastidas Melo</v>
      </c>
      <c r="W202" s="138" t="str">
        <f t="shared" si="14"/>
        <v>Aracely Del Rosario Bastidas Melo-27168885-VIOLENCIA SEXUAL</v>
      </c>
    </row>
    <row r="203" spans="1:23" x14ac:dyDescent="0.2">
      <c r="A203" s="42">
        <v>202</v>
      </c>
      <c r="B203" s="90">
        <v>1085330304</v>
      </c>
      <c r="C203" s="99" t="s">
        <v>634</v>
      </c>
      <c r="D203" s="99" t="s">
        <v>172</v>
      </c>
      <c r="E203" s="99" t="s">
        <v>635</v>
      </c>
      <c r="F203" s="99" t="s">
        <v>280</v>
      </c>
      <c r="G203" s="117">
        <v>17</v>
      </c>
      <c r="H203" s="117" t="s">
        <v>89</v>
      </c>
      <c r="I203" s="16">
        <v>45490</v>
      </c>
      <c r="J203" s="19">
        <v>30000</v>
      </c>
      <c r="K203" s="117" t="s">
        <v>210</v>
      </c>
      <c r="L203" s="117" t="s">
        <v>90</v>
      </c>
      <c r="M203" s="117" t="s">
        <v>132</v>
      </c>
      <c r="N203" s="118" t="s">
        <v>41</v>
      </c>
      <c r="O203" s="18">
        <v>35260</v>
      </c>
      <c r="P203" s="118" t="s">
        <v>101</v>
      </c>
      <c r="Q203" s="99" t="s">
        <v>126</v>
      </c>
      <c r="R203" s="99">
        <v>3175711555</v>
      </c>
      <c r="S203" s="99" t="s">
        <v>636</v>
      </c>
      <c r="T203" s="124" t="str">
        <f>IF(N203=CURSOS!$D$3,"DIPLOMADO EN ATENCION PRE-HOSPITALARIA",IF(N203=CURSOS!$D$4,"ACOMPAÑAMIENTO Y MANEJO DEL DUELO",IF(N203=CURSOS!$D$5,"ATENCION A VICTIMAS DE ATAQUE CON AGENTES QUIMICOS ",IF(N203=CURSOS!$D$6,"PRIMEROS AUXILIOS ",IF(N203=CURSOS!$D$7,"DIPLOMADO DE UNIDAD DE CUIDADOS INTENSIVOS (UCI)",IF(N203=CURSOS!$D$8,"MODELO DE ATENCION PARA EVENTOS EMERGENTES EN SALUD MENTAL (CODIGO VERDE)",IF(N203=CURSOS!$D$9,"HUMANIZACION EN EL SERVICIO DE LA SALUD Y BUENAS PRACTICAS EN PACIENTE ",IF(N203=CURSOS!$D$10,"CLINICA DE HERIDAS ",IF(N203=CURSOS!$D$11,"TOMA DE CITOLOGIA CERVICO VAGINAL ",IF(N203=CURSOS!$D$12,"SOPORTE CARDIOVASCULAR AVANZADO (ACLS) ",IF(N203=CURSOS!$D$13,"CAMILLERO ",IF(N203=CURSOS!$D$14,"TOMA DE MUESTRAS Y LABORATORIO ",IF(N203=CURSOS!$D$15,"SOPORTE VITAL BASICO (BLS)",IF(N203=CURSOS!$D$16,"ATENCION A VICTIMAS DE VIOLENCIA SEXUAL ",IF(N203=CURSOS!$D$17,"PROGRAMADO AMPLIADO DE INMUNIZACION (PAI - COVID 19)",IF(N203=CURSOS!$D$18,"ATENCION INTEGRAL EN ENFERMEDADES PREVALENTES EN PRIMERA INFANCIA (AIEPI)",IF(N203=CURSOS!$D$19,"ADMINISTRACION DE MEDICAMENTOS, INYECTOLOGIA  Y CANALIZACION ",IF(N203=CURSOS!$D$20,"OPERADOR DE VEHICULOS DE EMERGENCIA (OVE)",IF(N203=CURSOS!$D$21,"INSTITUCIONES AMIGAS DE LA MUJER Y LA INFANCIA (IAMI)",IF(N203=CURSOS!$D$22,"CUIDADO DEL DONANTE DE ORGANOS",IF(N203=CURSOS!$D$23,"ATENCION A VICTIMAS POR VIOLENCIA DE GENERO",IF(N203=CURSOS!$D$24,"IGUALDAD DE GENERO EN LA SALUD",IF(N203=CURSOS!$D$25,"BRIGADA DE EMERGENCIA",IF(N203=CURSOS!$D$26,"MANEJO DEL DOLOR Y CUIDADOS PALIATIVOS",IF(N203=CURSOS!$D$27,"TOMA DE MUESTRAS Y LABORATORIO POCT",IF(N203=CURSOS!$D$28,"IMPLANTE SUBDERMICO DE DISPOSITIVO INTRAUTERINO",IF(N203=CURSOS!$D$29,"SALUD MENTAL",IF(N203=CURSOS!$D$30,"PRIMEROS AUXILIOS PSICOLOGICOS",IF(N203=CURSOS!$D$31,"ATENCION A VICTIMAS POR CONFLICTO ARMADO",IF(N203=CURSOS!$D$32,"MANIPULACION DE ALIMENTOS Y BPM",IF(N203=CURSOS!$D$33,"ATENCION A PERSONAS CON DISCAPACIDAD",IF(N203=CURSOS!$D$34,"CUIDADO INTEGRAL DEL PACIENTE ADULTO",IF(N203=CURSOS!$D$35,"MANEJO DEFENSIVO",IF(N203=CURSOS!$D$36,"SOPORTE CARDIOVASCULAR AVANZADO NEONATAL",IF(N203=CURSOS!$D$37,"SEGURIDAD DEL PACIENTE")))))))))))))))))))))))))))))))))))</f>
        <v xml:space="preserve">TOMA DE MUESTRAS Y LABORATORIO </v>
      </c>
      <c r="U203" s="124" t="str">
        <f t="shared" si="12"/>
        <v>Yulilith Andrea Erazo Lopez</v>
      </c>
      <c r="V203" s="128" t="str">
        <f t="shared" si="13"/>
        <v>Yulilith Andrea Erazo Lopez</v>
      </c>
      <c r="W203" s="138" t="str">
        <f t="shared" si="14"/>
        <v>Yulilith Andrea Erazo Lopez-1085330304-TOMA DE MUESTRAS</v>
      </c>
    </row>
    <row r="204" spans="1:23" x14ac:dyDescent="0.2">
      <c r="A204" s="42">
        <v>203</v>
      </c>
      <c r="B204" s="90">
        <v>1085307288</v>
      </c>
      <c r="C204" s="99" t="s">
        <v>642</v>
      </c>
      <c r="D204" s="99" t="s">
        <v>205</v>
      </c>
      <c r="E204" s="99" t="s">
        <v>643</v>
      </c>
      <c r="F204" s="99" t="s">
        <v>238</v>
      </c>
      <c r="G204" s="117">
        <v>18</v>
      </c>
      <c r="H204" s="117" t="s">
        <v>89</v>
      </c>
      <c r="I204" s="16">
        <v>45491</v>
      </c>
      <c r="J204" s="19">
        <v>35000</v>
      </c>
      <c r="K204" s="117" t="s">
        <v>210</v>
      </c>
      <c r="L204" s="117" t="s">
        <v>90</v>
      </c>
      <c r="M204" s="117" t="s">
        <v>118</v>
      </c>
      <c r="N204" s="118" t="s">
        <v>19</v>
      </c>
      <c r="O204" s="18">
        <v>34201</v>
      </c>
      <c r="P204" s="118" t="s">
        <v>91</v>
      </c>
      <c r="Q204" s="99" t="s">
        <v>126</v>
      </c>
      <c r="R204" s="99">
        <v>3182684851</v>
      </c>
      <c r="S204" s="99" t="s">
        <v>644</v>
      </c>
      <c r="T204" s="124" t="str">
        <f>IF(N204=CURSOS!$D$3,"DIPLOMADO EN ATENCION PRE-HOSPITALARIA",IF(N204=CURSOS!$D$4,"ACOMPAÑAMIENTO Y MANEJO DEL DUELO",IF(N204=CURSOS!$D$5,"ATENCION A VICTIMAS DE ATAQUE CON AGENTES QUIMICOS ",IF(N204=CURSOS!$D$6,"PRIMEROS AUXILIOS ",IF(N204=CURSOS!$D$7,"DIPLOMADO DE UNIDAD DE CUIDADOS INTENSIVOS (UCI)",IF(N204=CURSOS!$D$8,"MODELO DE ATENCION PARA EVENTOS EMERGENTES EN SALUD MENTAL (CODIGO VERDE)",IF(N204=CURSOS!$D$9,"HUMANIZACION EN EL SERVICIO DE LA SALUD Y BUENAS PRACTICAS EN PACIENTE ",IF(N204=CURSOS!$D$10,"CLINICA DE HERIDAS ",IF(N204=CURSOS!$D$11,"TOMA DE CITOLOGIA CERVICO VAGINAL ",IF(N204=CURSOS!$D$12,"SOPORTE CARDIOVASCULAR AVANZADO (ACLS) ",IF(N204=CURSOS!$D$13,"CAMILLERO ",IF(N204=CURSOS!$D$14,"TOMA DE MUESTRAS Y LABORATORIO ",IF(N204=CURSOS!$D$15,"SOPORTE VITAL BASICO (BLS)",IF(N204=CURSOS!$D$16,"ATENCION A VICTIMAS DE VIOLENCIA SEXUAL ",IF(N204=CURSOS!$D$17,"PROGRAMADO AMPLIADO DE INMUNIZACION (PAI - COVID 19)",IF(N204=CURSOS!$D$18,"ATENCION INTEGRAL EN ENFERMEDADES PREVALENTES EN PRIMERA INFANCIA (AIEPI)",IF(N204=CURSOS!$D$19,"ADMINISTRACION DE MEDICAMENTOS, INYECTOLOGIA  Y CANALIZACION ",IF(N204=CURSOS!$D$20,"OPERADOR DE VEHICULOS DE EMERGENCIA (OVE)",IF(N204=CURSOS!$D$21,"INSTITUCIONES AMIGAS DE LA MUJER Y LA INFANCIA (IAMI)",IF(N204=CURSOS!$D$22,"CUIDADO DEL DONANTE DE ORGANOS",IF(N204=CURSOS!$D$23,"ATENCION A VICTIMAS POR VIOLENCIA DE GENERO",IF(N204=CURSOS!$D$24,"IGUALDAD DE GENERO EN LA SALUD",IF(N204=CURSOS!$D$25,"BRIGADA DE EMERGENCIA",IF(N204=CURSOS!$D$26,"MANEJO DEL DOLOR Y CUIDADOS PALIATIVOS",IF(N204=CURSOS!$D$27,"TOMA DE MUESTRAS Y LABORATORIO POCT",IF(N204=CURSOS!$D$28,"IMPLANTE SUBDERMICO DE DISPOSITIVO INTRAUTERINO",IF(N204=CURSOS!$D$29,"SALUD MENTAL",IF(N204=CURSOS!$D$30,"PRIMEROS AUXILIOS PSICOLOGICOS",IF(N204=CURSOS!$D$31,"ATENCION A VICTIMAS POR CONFLICTO ARMADO",IF(N204=CURSOS!$D$32,"MANIPULACION DE ALIMENTOS Y BPM",IF(N204=CURSOS!$D$33,"ATENCION A PERSONAS CON DISCAPACIDAD",IF(N204=CURSOS!$D$34,"CUIDADO INTEGRAL DEL PACIENTE ADULTO",IF(N204=CURSOS!$D$35,"MANEJO DEFENSIVO",IF(N204=CURSOS!$D$36,"SOPORTE CARDIOVASCULAR AVANZADO NEONATAL",IF(N204=CURSOS!$D$37,"SEGURIDAD DEL PACIENTE")))))))))))))))))))))))))))))))))))</f>
        <v>SOPORTE VITAL BASICO (BLS)</v>
      </c>
      <c r="U204" s="124" t="str">
        <f t="shared" si="12"/>
        <v>Heiman Fernando Cortes Rodriguez</v>
      </c>
      <c r="V204" s="128" t="str">
        <f t="shared" si="13"/>
        <v>Heiman Fernando Cortes Rodriguez</v>
      </c>
      <c r="W204" s="138" t="str">
        <f t="shared" si="14"/>
        <v>Heiman Fernando Cortes Rodriguez-1085307288-BLS</v>
      </c>
    </row>
    <row r="205" spans="1:23" x14ac:dyDescent="0.2">
      <c r="A205" s="42">
        <v>204</v>
      </c>
      <c r="B205" s="90">
        <v>1086754309</v>
      </c>
      <c r="C205" s="99" t="s">
        <v>649</v>
      </c>
      <c r="D205" s="99" t="s">
        <v>650</v>
      </c>
      <c r="E205" s="99" t="s">
        <v>508</v>
      </c>
      <c r="F205" s="99" t="s">
        <v>651</v>
      </c>
      <c r="G205" s="117">
        <v>18</v>
      </c>
      <c r="H205" s="117" t="s">
        <v>89</v>
      </c>
      <c r="I205" s="16">
        <v>45491</v>
      </c>
      <c r="J205" s="19">
        <v>70000</v>
      </c>
      <c r="K205" s="117" t="s">
        <v>210</v>
      </c>
      <c r="L205" s="117" t="s">
        <v>90</v>
      </c>
      <c r="M205" s="117" t="s">
        <v>118</v>
      </c>
      <c r="N205" s="118" t="s">
        <v>19</v>
      </c>
      <c r="O205" s="18">
        <v>38442</v>
      </c>
      <c r="P205" s="118" t="s">
        <v>101</v>
      </c>
      <c r="Q205" s="99" t="s">
        <v>126</v>
      </c>
      <c r="R205" s="99">
        <v>3185103394</v>
      </c>
      <c r="S205" s="99" t="s">
        <v>652</v>
      </c>
      <c r="T205" s="124" t="str">
        <f>IF(N205=CURSOS!$D$3,"DIPLOMADO EN ATENCION PRE-HOSPITALARIA",IF(N205=CURSOS!$D$4,"ACOMPAÑAMIENTO Y MANEJO DEL DUELO",IF(N205=CURSOS!$D$5,"ATENCION A VICTIMAS DE ATAQUE CON AGENTES QUIMICOS ",IF(N205=CURSOS!$D$6,"PRIMEROS AUXILIOS ",IF(N205=CURSOS!$D$7,"DIPLOMADO DE UNIDAD DE CUIDADOS INTENSIVOS (UCI)",IF(N205=CURSOS!$D$8,"MODELO DE ATENCION PARA EVENTOS EMERGENTES EN SALUD MENTAL (CODIGO VERDE)",IF(N205=CURSOS!$D$9,"HUMANIZACION EN EL SERVICIO DE LA SALUD Y BUENAS PRACTICAS EN PACIENTE ",IF(N205=CURSOS!$D$10,"CLINICA DE HERIDAS ",IF(N205=CURSOS!$D$11,"TOMA DE CITOLOGIA CERVICO VAGINAL ",IF(N205=CURSOS!$D$12,"SOPORTE CARDIOVASCULAR AVANZADO (ACLS) ",IF(N205=CURSOS!$D$13,"CAMILLERO ",IF(N205=CURSOS!$D$14,"TOMA DE MUESTRAS Y LABORATORIO ",IF(N205=CURSOS!$D$15,"SOPORTE VITAL BASICO (BLS)",IF(N205=CURSOS!$D$16,"ATENCION A VICTIMAS DE VIOLENCIA SEXUAL ",IF(N205=CURSOS!$D$17,"PROGRAMADO AMPLIADO DE INMUNIZACION (PAI - COVID 19)",IF(N205=CURSOS!$D$18,"ATENCION INTEGRAL EN ENFERMEDADES PREVALENTES EN PRIMERA INFANCIA (AIEPI)",IF(N205=CURSOS!$D$19,"ADMINISTRACION DE MEDICAMENTOS, INYECTOLOGIA  Y CANALIZACION ",IF(N205=CURSOS!$D$20,"OPERADOR DE VEHICULOS DE EMERGENCIA (OVE)",IF(N205=CURSOS!$D$21,"INSTITUCIONES AMIGAS DE LA MUJER Y LA INFANCIA (IAMI)",IF(N205=CURSOS!$D$22,"CUIDADO DEL DONANTE DE ORGANOS",IF(N205=CURSOS!$D$23,"ATENCION A VICTIMAS POR VIOLENCIA DE GENERO",IF(N205=CURSOS!$D$24,"IGUALDAD DE GENERO EN LA SALUD",IF(N205=CURSOS!$D$25,"BRIGADA DE EMERGENCIA",IF(N205=CURSOS!$D$26,"MANEJO DEL DOLOR Y CUIDADOS PALIATIVOS",IF(N205=CURSOS!$D$27,"TOMA DE MUESTRAS Y LABORATORIO POCT",IF(N205=CURSOS!$D$28,"IMPLANTE SUBDERMICO DE DISPOSITIVO INTRAUTERINO",IF(N205=CURSOS!$D$29,"SALUD MENTAL",IF(N205=CURSOS!$D$30,"PRIMEROS AUXILIOS PSICOLOGICOS",IF(N205=CURSOS!$D$31,"ATENCION A VICTIMAS POR CONFLICTO ARMADO",IF(N205=CURSOS!$D$32,"MANIPULACION DE ALIMENTOS Y BPM",IF(N205=CURSOS!$D$33,"ATENCION A PERSONAS CON DISCAPACIDAD",IF(N205=CURSOS!$D$34,"CUIDADO INTEGRAL DEL PACIENTE ADULTO",IF(N205=CURSOS!$D$35,"MANEJO DEFENSIVO",IF(N205=CURSOS!$D$36,"SOPORTE CARDIOVASCULAR AVANZADO NEONATAL",IF(N205=CURSOS!$D$37,"SEGURIDAD DEL PACIENTE")))))))))))))))))))))))))))))))))))</f>
        <v>SOPORTE VITAL BASICO (BLS)</v>
      </c>
      <c r="U205" s="124" t="str">
        <f t="shared" si="12"/>
        <v>Nathalia Lizbeth Usamá Jiménez</v>
      </c>
      <c r="V205" s="128" t="str">
        <f t="shared" si="13"/>
        <v>Nathalia Lizbeth Usamá Jiménez</v>
      </c>
      <c r="W205" s="138" t="str">
        <f t="shared" si="14"/>
        <v>Nathalia Lizbeth Usamá Jiménez-1086754309-BLS</v>
      </c>
    </row>
    <row r="206" spans="1:23" x14ac:dyDescent="0.2">
      <c r="A206" s="42">
        <v>205</v>
      </c>
      <c r="B206" s="90">
        <v>1086754309</v>
      </c>
      <c r="C206" s="99" t="s">
        <v>649</v>
      </c>
      <c r="D206" s="99" t="s">
        <v>650</v>
      </c>
      <c r="E206" s="99" t="s">
        <v>508</v>
      </c>
      <c r="F206" s="99" t="s">
        <v>651</v>
      </c>
      <c r="G206" s="117">
        <v>18</v>
      </c>
      <c r="H206" s="117" t="s">
        <v>89</v>
      </c>
      <c r="I206" s="16">
        <v>45491</v>
      </c>
      <c r="J206" s="19">
        <v>70000</v>
      </c>
      <c r="K206" s="117" t="s">
        <v>210</v>
      </c>
      <c r="L206" s="117" t="s">
        <v>90</v>
      </c>
      <c r="M206" s="117" t="s">
        <v>118</v>
      </c>
      <c r="N206" s="118" t="s">
        <v>43</v>
      </c>
      <c r="O206" s="18">
        <v>38442</v>
      </c>
      <c r="P206" s="118" t="s">
        <v>101</v>
      </c>
      <c r="Q206" s="99" t="s">
        <v>126</v>
      </c>
      <c r="R206" s="99">
        <v>3185103394</v>
      </c>
      <c r="S206" s="99" t="s">
        <v>652</v>
      </c>
      <c r="T206" s="124" t="str">
        <f>IF(N206=CURSOS!$D$3,"DIPLOMADO EN ATENCION PRE-HOSPITALARIA",IF(N206=CURSOS!$D$4,"ACOMPAÑAMIENTO Y MANEJO DEL DUELO",IF(N206=CURSOS!$D$5,"ATENCION A VICTIMAS DE ATAQUE CON AGENTES QUIMICOS ",IF(N206=CURSOS!$D$6,"PRIMEROS AUXILIOS ",IF(N206=CURSOS!$D$7,"DIPLOMADO DE UNIDAD DE CUIDADOS INTENSIVOS (UCI)",IF(N206=CURSOS!$D$8,"MODELO DE ATENCION PARA EVENTOS EMERGENTES EN SALUD MENTAL (CODIGO VERDE)",IF(N206=CURSOS!$D$9,"HUMANIZACION EN EL SERVICIO DE LA SALUD Y BUENAS PRACTICAS EN PACIENTE ",IF(N206=CURSOS!$D$10,"CLINICA DE HERIDAS ",IF(N206=CURSOS!$D$11,"TOMA DE CITOLOGIA CERVICO VAGINAL ",IF(N206=CURSOS!$D$12,"SOPORTE CARDIOVASCULAR AVANZADO (ACLS) ",IF(N206=CURSOS!$D$13,"CAMILLERO ",IF(N206=CURSOS!$D$14,"TOMA DE MUESTRAS Y LABORATORIO ",IF(N206=CURSOS!$D$15,"SOPORTE VITAL BASICO (BLS)",IF(N206=CURSOS!$D$16,"ATENCION A VICTIMAS DE VIOLENCIA SEXUAL ",IF(N206=CURSOS!$D$17,"PROGRAMADO AMPLIADO DE INMUNIZACION (PAI - COVID 19)",IF(N206=CURSOS!$D$18,"ATENCION INTEGRAL EN ENFERMEDADES PREVALENTES EN PRIMERA INFANCIA (AIEPI)",IF(N206=CURSOS!$D$19,"ADMINISTRACION DE MEDICAMENTOS, INYECTOLOGIA  Y CANALIZACION ",IF(N206=CURSOS!$D$20,"OPERADOR DE VEHICULOS DE EMERGENCIA (OVE)",IF(N206=CURSOS!$D$21,"INSTITUCIONES AMIGAS DE LA MUJER Y LA INFANCIA (IAMI)",IF(N206=CURSOS!$D$22,"CUIDADO DEL DONANTE DE ORGANOS",IF(N206=CURSOS!$D$23,"ATENCION A VICTIMAS POR VIOLENCIA DE GENERO",IF(N206=CURSOS!$D$24,"IGUALDAD DE GENERO EN LA SALUD",IF(N206=CURSOS!$D$25,"BRIGADA DE EMERGENCIA",IF(N206=CURSOS!$D$26,"MANEJO DEL DOLOR Y CUIDADOS PALIATIVOS",IF(N206=CURSOS!$D$27,"TOMA DE MUESTRAS Y LABORATORIO POCT",IF(N206=CURSOS!$D$28,"IMPLANTE SUBDERMICO DE DISPOSITIVO INTRAUTERINO",IF(N206=CURSOS!$D$29,"SALUD MENTAL",IF(N206=CURSOS!$D$30,"PRIMEROS AUXILIOS PSICOLOGICOS",IF(N206=CURSOS!$D$31,"ATENCION A VICTIMAS POR CONFLICTO ARMADO",IF(N206=CURSOS!$D$32,"MANIPULACION DE ALIMENTOS Y BPM",IF(N206=CURSOS!$D$33,"ATENCION A PERSONAS CON DISCAPACIDAD",IF(N206=CURSOS!$D$34,"CUIDADO INTEGRAL DEL PACIENTE ADULTO",IF(N206=CURSOS!$D$35,"MANEJO DEFENSIVO",IF(N206=CURSOS!$D$36,"SOPORTE CARDIOVASCULAR AVANZADO NEONATAL",IF(N206=CURSOS!$D$37,"SEGURIDAD DEL PACIENTE")))))))))))))))))))))))))))))))))))</f>
        <v xml:space="preserve">ATENCION A VICTIMAS DE VIOLENCIA SEXUAL </v>
      </c>
      <c r="U206" s="124" t="str">
        <f t="shared" si="12"/>
        <v>Nathalia Lizbeth Usamá Jiménez</v>
      </c>
      <c r="V206" s="128" t="str">
        <f t="shared" si="13"/>
        <v>Nathalia Lizbeth Usamá Jiménez</v>
      </c>
      <c r="W206" s="138" t="str">
        <f t="shared" si="14"/>
        <v>Nathalia Lizbeth Usamá Jiménez-1086754309-VIOLENCIA SEXUAL</v>
      </c>
    </row>
    <row r="207" spans="1:23" x14ac:dyDescent="0.2">
      <c r="A207" s="42">
        <v>206</v>
      </c>
      <c r="B207" s="90">
        <v>1086754309</v>
      </c>
      <c r="C207" s="99" t="s">
        <v>649</v>
      </c>
      <c r="D207" s="99" t="s">
        <v>650</v>
      </c>
      <c r="E207" s="99" t="s">
        <v>508</v>
      </c>
      <c r="F207" s="99" t="s">
        <v>651</v>
      </c>
      <c r="G207" s="117">
        <v>18</v>
      </c>
      <c r="H207" s="117" t="s">
        <v>89</v>
      </c>
      <c r="I207" s="16">
        <v>45491</v>
      </c>
      <c r="J207" s="19">
        <v>70000</v>
      </c>
      <c r="K207" s="117" t="s">
        <v>210</v>
      </c>
      <c r="L207" s="117" t="s">
        <v>90</v>
      </c>
      <c r="M207" s="117" t="s">
        <v>118</v>
      </c>
      <c r="N207" s="118" t="s">
        <v>23</v>
      </c>
      <c r="O207" s="18">
        <v>38442</v>
      </c>
      <c r="P207" s="118" t="s">
        <v>101</v>
      </c>
      <c r="Q207" s="99" t="s">
        <v>126</v>
      </c>
      <c r="R207" s="99">
        <v>3185103394</v>
      </c>
      <c r="S207" s="99" t="s">
        <v>652</v>
      </c>
      <c r="T207" s="124" t="str">
        <f>IF(N207=CURSOS!$D$3,"DIPLOMADO EN ATENCION PRE-HOSPITALARIA",IF(N207=CURSOS!$D$4,"ACOMPAÑAMIENTO Y MANEJO DEL DUELO",IF(N207=CURSOS!$D$5,"ATENCION A VICTIMAS DE ATAQUE CON AGENTES QUIMICOS ",IF(N207=CURSOS!$D$6,"PRIMEROS AUXILIOS ",IF(N207=CURSOS!$D$7,"DIPLOMADO DE UNIDAD DE CUIDADOS INTENSIVOS (UCI)",IF(N207=CURSOS!$D$8,"MODELO DE ATENCION PARA EVENTOS EMERGENTES EN SALUD MENTAL (CODIGO VERDE)",IF(N207=CURSOS!$D$9,"HUMANIZACION EN EL SERVICIO DE LA SALUD Y BUENAS PRACTICAS EN PACIENTE ",IF(N207=CURSOS!$D$10,"CLINICA DE HERIDAS ",IF(N207=CURSOS!$D$11,"TOMA DE CITOLOGIA CERVICO VAGINAL ",IF(N207=CURSOS!$D$12,"SOPORTE CARDIOVASCULAR AVANZADO (ACLS) ",IF(N207=CURSOS!$D$13,"CAMILLERO ",IF(N207=CURSOS!$D$14,"TOMA DE MUESTRAS Y LABORATORIO ",IF(N207=CURSOS!$D$15,"SOPORTE VITAL BASICO (BLS)",IF(N207=CURSOS!$D$16,"ATENCION A VICTIMAS DE VIOLENCIA SEXUAL ",IF(N207=CURSOS!$D$17,"PROGRAMADO AMPLIADO DE INMUNIZACION (PAI - COVID 19)",IF(N207=CURSOS!$D$18,"ATENCION INTEGRAL EN ENFERMEDADES PREVALENTES EN PRIMERA INFANCIA (AIEPI)",IF(N207=CURSOS!$D$19,"ADMINISTRACION DE MEDICAMENTOS, INYECTOLOGIA  Y CANALIZACION ",IF(N207=CURSOS!$D$20,"OPERADOR DE VEHICULOS DE EMERGENCIA (OVE)",IF(N207=CURSOS!$D$21,"INSTITUCIONES AMIGAS DE LA MUJER Y LA INFANCIA (IAMI)",IF(N207=CURSOS!$D$22,"CUIDADO DEL DONANTE DE ORGANOS",IF(N207=CURSOS!$D$23,"ATENCION A VICTIMAS POR VIOLENCIA DE GENERO",IF(N207=CURSOS!$D$24,"IGUALDAD DE GENERO EN LA SALUD",IF(N207=CURSOS!$D$25,"BRIGADA DE EMERGENCIA",IF(N207=CURSOS!$D$26,"MANEJO DEL DOLOR Y CUIDADOS PALIATIVOS",IF(N207=CURSOS!$D$27,"TOMA DE MUESTRAS Y LABORATORIO POCT",IF(N207=CURSOS!$D$28,"IMPLANTE SUBDERMICO DE DISPOSITIVO INTRAUTERINO",IF(N207=CURSOS!$D$29,"SALUD MENTAL",IF(N207=CURSOS!$D$30,"PRIMEROS AUXILIOS PSICOLOGICOS",IF(N207=CURSOS!$D$31,"ATENCION A VICTIMAS POR CONFLICTO ARMADO",IF(N207=CURSOS!$D$32,"MANIPULACION DE ALIMENTOS Y BPM",IF(N207=CURSOS!$D$33,"ATENCION A PERSONAS CON DISCAPACIDAD",IF(N207=CURSOS!$D$34,"CUIDADO INTEGRAL DEL PACIENTE ADULTO",IF(N207=CURSOS!$D$35,"MANEJO DEFENSIVO",IF(N207=CURSOS!$D$36,"SOPORTE CARDIOVASCULAR AVANZADO NEONATAL",IF(N207=CURSOS!$D$37,"SEGURIDAD DEL PACIENTE")))))))))))))))))))))))))))))))))))</f>
        <v>ACOMPAÑAMIENTO Y MANEJO DEL DUELO</v>
      </c>
      <c r="U207" s="124" t="str">
        <f t="shared" si="12"/>
        <v>Nathalia Lizbeth Usamá Jiménez</v>
      </c>
      <c r="V207" s="128" t="str">
        <f t="shared" si="13"/>
        <v>Nathalia Lizbeth Usamá Jiménez</v>
      </c>
      <c r="W207" s="138" t="str">
        <f t="shared" si="14"/>
        <v>Nathalia Lizbeth Usamá Jiménez-1086754309-DUELO</v>
      </c>
    </row>
    <row r="208" spans="1:23" ht="15.75" x14ac:dyDescent="0.25">
      <c r="A208" s="42">
        <v>207</v>
      </c>
      <c r="B208" s="90">
        <v>1085273465</v>
      </c>
      <c r="C208" s="99" t="s">
        <v>155</v>
      </c>
      <c r="D208" s="99" t="s">
        <v>656</v>
      </c>
      <c r="E208" s="99" t="s">
        <v>489</v>
      </c>
      <c r="F208" s="99"/>
      <c r="G208" s="117">
        <v>18</v>
      </c>
      <c r="H208" s="117" t="s">
        <v>89</v>
      </c>
      <c r="I208" s="16">
        <v>45491</v>
      </c>
      <c r="J208" s="19">
        <v>30000</v>
      </c>
      <c r="K208" s="117" t="s">
        <v>210</v>
      </c>
      <c r="L208" s="117" t="s">
        <v>90</v>
      </c>
      <c r="M208" s="117" t="s">
        <v>118</v>
      </c>
      <c r="N208" s="118" t="s">
        <v>63</v>
      </c>
      <c r="O208" s="18">
        <v>30459</v>
      </c>
      <c r="P208" s="118" t="s">
        <v>101</v>
      </c>
      <c r="Q208" s="99" t="s">
        <v>328</v>
      </c>
      <c r="R208" s="99">
        <v>3165386334</v>
      </c>
      <c r="S208" s="137" t="s">
        <v>665</v>
      </c>
      <c r="T208" s="124" t="str">
        <f>IF(N208=CURSOS!$D$3,"DIPLOMADO EN ATENCION PRE-HOSPITALARIA",IF(N208=CURSOS!$D$4,"ACOMPAÑAMIENTO Y MANEJO DEL DUELO",IF(N208=CURSOS!$D$5,"ATENCION A VICTIMAS DE ATAQUE CON AGENTES QUIMICOS ",IF(N208=CURSOS!$D$6,"PRIMEROS AUXILIOS ",IF(N208=CURSOS!$D$7,"DIPLOMADO DE UNIDAD DE CUIDADOS INTENSIVOS (UCI)",IF(N208=CURSOS!$D$8,"MODELO DE ATENCION PARA EVENTOS EMERGENTES EN SALUD MENTAL (CODIGO VERDE)",IF(N208=CURSOS!$D$9,"HUMANIZACION EN EL SERVICIO DE LA SALUD Y BUENAS PRACTICAS EN PACIENTE ",IF(N208=CURSOS!$D$10,"CLINICA DE HERIDAS ",IF(N208=CURSOS!$D$11,"TOMA DE CITOLOGIA CERVICO VAGINAL ",IF(N208=CURSOS!$D$12,"SOPORTE CARDIOVASCULAR AVANZADO (ACLS) ",IF(N208=CURSOS!$D$13,"CAMILLERO ",IF(N208=CURSOS!$D$14,"TOMA DE MUESTRAS Y LABORATORIO ",IF(N208=CURSOS!$D$15,"SOPORTE VITAL BASICO (BLS)",IF(N208=CURSOS!$D$16,"ATENCION A VICTIMAS DE VIOLENCIA SEXUAL ",IF(N208=CURSOS!$D$17,"PROGRAMADO AMPLIADO DE INMUNIZACION (PAI - COVID 19)",IF(N208=CURSOS!$D$18,"ATENCION INTEGRAL EN ENFERMEDADES PREVALENTES EN PRIMERA INFANCIA (AIEPI)",IF(N208=CURSOS!$D$19,"ADMINISTRACION DE MEDICAMENTOS, INYECTOLOGIA  Y CANALIZACION ",IF(N208=CURSOS!$D$20,"OPERADOR DE VEHICULOS DE EMERGENCIA (OVE)",IF(N208=CURSOS!$D$21,"INSTITUCIONES AMIGAS DE LA MUJER Y LA INFANCIA (IAMI)",IF(N208=CURSOS!$D$22,"CUIDADO DEL DONANTE DE ORGANOS",IF(N208=CURSOS!$D$23,"ATENCION A VICTIMAS POR VIOLENCIA DE GENERO",IF(N208=CURSOS!$D$24,"IGUALDAD DE GENERO EN LA SALUD",IF(N208=CURSOS!$D$25,"BRIGADA DE EMERGENCIA",IF(N208=CURSOS!$D$26,"MANEJO DEL DOLOR Y CUIDADOS PALIATIVOS",IF(N208=CURSOS!$D$27,"TOMA DE MUESTRAS Y LABORATORIO POCT",IF(N208=CURSOS!$D$28,"IMPLANTE SUBDERMICO DE DISPOSITIVO INTRAUTERINO",IF(N208=CURSOS!$D$29,"SALUD MENTAL",IF(N208=CURSOS!$D$30,"PRIMEROS AUXILIOS PSICOLOGICOS",IF(N208=CURSOS!$D$31,"ATENCION A VICTIMAS POR CONFLICTO ARMADO",IF(N208=CURSOS!$D$32,"MANIPULACION DE ALIMENTOS Y BPM",IF(N208=CURSOS!$D$33,"ATENCION A PERSONAS CON DISCAPACIDAD",IF(N208=CURSOS!$D$34,"CUIDADO INTEGRAL DEL PACIENTE ADULTO",IF(N208=CURSOS!$D$35,"MANEJO DEFENSIVO",IF(N208=CURSOS!$D$36,"SOPORTE CARDIOVASCULAR AVANZADO NEONATAL",IF(N208=CURSOS!$D$37,"SEGURIDAD DEL PACIENTE")))))))))))))))))))))))))))))))))))</f>
        <v>TOMA DE MUESTRAS Y LABORATORIO POCT</v>
      </c>
      <c r="U208" s="124" t="str">
        <f t="shared" si="12"/>
        <v>Anabel  Guerrero Navarrete</v>
      </c>
      <c r="V208" s="128" t="str">
        <f t="shared" si="13"/>
        <v>Anabel  Guerrero Navarrete</v>
      </c>
      <c r="W208" s="138" t="str">
        <f t="shared" si="14"/>
        <v>Anabel  Guerrero Navarrete-1085273465-POCT</v>
      </c>
    </row>
    <row r="209" spans="1:23" ht="15.75" x14ac:dyDescent="0.25">
      <c r="A209" s="42">
        <v>208</v>
      </c>
      <c r="B209" s="90">
        <v>1085281731</v>
      </c>
      <c r="C209" s="99" t="s">
        <v>157</v>
      </c>
      <c r="D209" s="99" t="s">
        <v>158</v>
      </c>
      <c r="E209" s="190" t="s">
        <v>159</v>
      </c>
      <c r="F209" s="99" t="s">
        <v>160</v>
      </c>
      <c r="G209" s="117">
        <v>18</v>
      </c>
      <c r="H209" s="117" t="s">
        <v>89</v>
      </c>
      <c r="I209" s="16">
        <v>45491</v>
      </c>
      <c r="J209" s="19">
        <v>30000</v>
      </c>
      <c r="K209" s="117" t="s">
        <v>210</v>
      </c>
      <c r="L209" s="117" t="s">
        <v>90</v>
      </c>
      <c r="M209" s="117" t="s">
        <v>118</v>
      </c>
      <c r="N209" s="118" t="s">
        <v>63</v>
      </c>
      <c r="O209" s="18">
        <v>32237</v>
      </c>
      <c r="P209" s="118" t="s">
        <v>91</v>
      </c>
      <c r="Q209" s="99" t="s">
        <v>328</v>
      </c>
      <c r="R209" s="99">
        <v>3165386334</v>
      </c>
      <c r="S209" s="137" t="s">
        <v>666</v>
      </c>
      <c r="T209" s="124" t="str">
        <f>IF(N209=CURSOS!$D$3,"DIPLOMADO EN ATENCION PRE-HOSPITALARIA",IF(N209=CURSOS!$D$4,"ACOMPAÑAMIENTO Y MANEJO DEL DUELO",IF(N209=CURSOS!$D$5,"ATENCION A VICTIMAS DE ATAQUE CON AGENTES QUIMICOS ",IF(N209=CURSOS!$D$6,"PRIMEROS AUXILIOS ",IF(N209=CURSOS!$D$7,"DIPLOMADO DE UNIDAD DE CUIDADOS INTENSIVOS (UCI)",IF(N209=CURSOS!$D$8,"MODELO DE ATENCION PARA EVENTOS EMERGENTES EN SALUD MENTAL (CODIGO VERDE)",IF(N209=CURSOS!$D$9,"HUMANIZACION EN EL SERVICIO DE LA SALUD Y BUENAS PRACTICAS EN PACIENTE ",IF(N209=CURSOS!$D$10,"CLINICA DE HERIDAS ",IF(N209=CURSOS!$D$11,"TOMA DE CITOLOGIA CERVICO VAGINAL ",IF(N209=CURSOS!$D$12,"SOPORTE CARDIOVASCULAR AVANZADO (ACLS) ",IF(N209=CURSOS!$D$13,"CAMILLERO ",IF(N209=CURSOS!$D$14,"TOMA DE MUESTRAS Y LABORATORIO ",IF(N209=CURSOS!$D$15,"SOPORTE VITAL BASICO (BLS)",IF(N209=CURSOS!$D$16,"ATENCION A VICTIMAS DE VIOLENCIA SEXUAL ",IF(N209=CURSOS!$D$17,"PROGRAMADO AMPLIADO DE INMUNIZACION (PAI - COVID 19)",IF(N209=CURSOS!$D$18,"ATENCION INTEGRAL EN ENFERMEDADES PREVALENTES EN PRIMERA INFANCIA (AIEPI)",IF(N209=CURSOS!$D$19,"ADMINISTRACION DE MEDICAMENTOS, INYECTOLOGIA  Y CANALIZACION ",IF(N209=CURSOS!$D$20,"OPERADOR DE VEHICULOS DE EMERGENCIA (OVE)",IF(N209=CURSOS!$D$21,"INSTITUCIONES AMIGAS DE LA MUJER Y LA INFANCIA (IAMI)",IF(N209=CURSOS!$D$22,"CUIDADO DEL DONANTE DE ORGANOS",IF(N209=CURSOS!$D$23,"ATENCION A VICTIMAS POR VIOLENCIA DE GENERO",IF(N209=CURSOS!$D$24,"IGUALDAD DE GENERO EN LA SALUD",IF(N209=CURSOS!$D$25,"BRIGADA DE EMERGENCIA",IF(N209=CURSOS!$D$26,"MANEJO DEL DOLOR Y CUIDADOS PALIATIVOS",IF(N209=CURSOS!$D$27,"TOMA DE MUESTRAS Y LABORATORIO POCT",IF(N209=CURSOS!$D$28,"IMPLANTE SUBDERMICO DE DISPOSITIVO INTRAUTERINO",IF(N209=CURSOS!$D$29,"SALUD MENTAL",IF(N209=CURSOS!$D$30,"PRIMEROS AUXILIOS PSICOLOGICOS",IF(N209=CURSOS!$D$31,"ATENCION A VICTIMAS POR CONFLICTO ARMADO",IF(N209=CURSOS!$D$32,"MANIPULACION DE ALIMENTOS Y BPM",IF(N209=CURSOS!$D$33,"ATENCION A PERSONAS CON DISCAPACIDAD",IF(N209=CURSOS!$D$34,"CUIDADO INTEGRAL DEL PACIENTE ADULTO",IF(N209=CURSOS!$D$35,"MANEJO DEFENSIVO",IF(N209=CURSOS!$D$36,"SOPORTE CARDIOVASCULAR AVANZADO NEONATAL",IF(N209=CURSOS!$D$37,"SEGURIDAD DEL PACIENTE")))))))))))))))))))))))))))))))))))</f>
        <v>TOMA DE MUESTRAS Y LABORATORIO POCT</v>
      </c>
      <c r="U209" s="124" t="str">
        <f t="shared" si="12"/>
        <v>Luis Alfredo Arias Ruano</v>
      </c>
      <c r="V209" s="128" t="str">
        <f t="shared" si="13"/>
        <v>Luis Alfredo Arias Ruano</v>
      </c>
      <c r="W209" s="138" t="str">
        <f t="shared" si="14"/>
        <v>Luis Alfredo Arias Ruano-1085281731-POCT</v>
      </c>
    </row>
    <row r="210" spans="1:23" ht="15.75" x14ac:dyDescent="0.25">
      <c r="A210" s="42">
        <v>209</v>
      </c>
      <c r="B210" s="90">
        <v>1085303363</v>
      </c>
      <c r="C210" s="99" t="s">
        <v>657</v>
      </c>
      <c r="D210" s="99" t="s">
        <v>329</v>
      </c>
      <c r="E210" s="99" t="s">
        <v>658</v>
      </c>
      <c r="F210" s="99" t="s">
        <v>227</v>
      </c>
      <c r="G210" s="117">
        <v>18</v>
      </c>
      <c r="H210" s="117" t="s">
        <v>89</v>
      </c>
      <c r="I210" s="16">
        <v>45491</v>
      </c>
      <c r="J210" s="19">
        <v>30000</v>
      </c>
      <c r="K210" s="117" t="s">
        <v>210</v>
      </c>
      <c r="L210" s="117" t="s">
        <v>90</v>
      </c>
      <c r="M210" s="117" t="s">
        <v>118</v>
      </c>
      <c r="N210" s="118" t="s">
        <v>63</v>
      </c>
      <c r="O210" s="18">
        <v>34033</v>
      </c>
      <c r="P210" s="118" t="s">
        <v>101</v>
      </c>
      <c r="Q210" s="99" t="s">
        <v>328</v>
      </c>
      <c r="R210" s="99">
        <v>3165386334</v>
      </c>
      <c r="S210" s="137" t="s">
        <v>667</v>
      </c>
      <c r="T210" s="124" t="str">
        <f>IF(N210=CURSOS!$D$3,"DIPLOMADO EN ATENCION PRE-HOSPITALARIA",IF(N210=CURSOS!$D$4,"ACOMPAÑAMIENTO Y MANEJO DEL DUELO",IF(N210=CURSOS!$D$5,"ATENCION A VICTIMAS DE ATAQUE CON AGENTES QUIMICOS ",IF(N210=CURSOS!$D$6,"PRIMEROS AUXILIOS ",IF(N210=CURSOS!$D$7,"DIPLOMADO DE UNIDAD DE CUIDADOS INTENSIVOS (UCI)",IF(N210=CURSOS!$D$8,"MODELO DE ATENCION PARA EVENTOS EMERGENTES EN SALUD MENTAL (CODIGO VERDE)",IF(N210=CURSOS!$D$9,"HUMANIZACION EN EL SERVICIO DE LA SALUD Y BUENAS PRACTICAS EN PACIENTE ",IF(N210=CURSOS!$D$10,"CLINICA DE HERIDAS ",IF(N210=CURSOS!$D$11,"TOMA DE CITOLOGIA CERVICO VAGINAL ",IF(N210=CURSOS!$D$12,"SOPORTE CARDIOVASCULAR AVANZADO (ACLS) ",IF(N210=CURSOS!$D$13,"CAMILLERO ",IF(N210=CURSOS!$D$14,"TOMA DE MUESTRAS Y LABORATORIO ",IF(N210=CURSOS!$D$15,"SOPORTE VITAL BASICO (BLS)",IF(N210=CURSOS!$D$16,"ATENCION A VICTIMAS DE VIOLENCIA SEXUAL ",IF(N210=CURSOS!$D$17,"PROGRAMADO AMPLIADO DE INMUNIZACION (PAI - COVID 19)",IF(N210=CURSOS!$D$18,"ATENCION INTEGRAL EN ENFERMEDADES PREVALENTES EN PRIMERA INFANCIA (AIEPI)",IF(N210=CURSOS!$D$19,"ADMINISTRACION DE MEDICAMENTOS, INYECTOLOGIA  Y CANALIZACION ",IF(N210=CURSOS!$D$20,"OPERADOR DE VEHICULOS DE EMERGENCIA (OVE)",IF(N210=CURSOS!$D$21,"INSTITUCIONES AMIGAS DE LA MUJER Y LA INFANCIA (IAMI)",IF(N210=CURSOS!$D$22,"CUIDADO DEL DONANTE DE ORGANOS",IF(N210=CURSOS!$D$23,"ATENCION A VICTIMAS POR VIOLENCIA DE GENERO",IF(N210=CURSOS!$D$24,"IGUALDAD DE GENERO EN LA SALUD",IF(N210=CURSOS!$D$25,"BRIGADA DE EMERGENCIA",IF(N210=CURSOS!$D$26,"MANEJO DEL DOLOR Y CUIDADOS PALIATIVOS",IF(N210=CURSOS!$D$27,"TOMA DE MUESTRAS Y LABORATORIO POCT",IF(N210=CURSOS!$D$28,"IMPLANTE SUBDERMICO DE DISPOSITIVO INTRAUTERINO",IF(N210=CURSOS!$D$29,"SALUD MENTAL",IF(N210=CURSOS!$D$30,"PRIMEROS AUXILIOS PSICOLOGICOS",IF(N210=CURSOS!$D$31,"ATENCION A VICTIMAS POR CONFLICTO ARMADO",IF(N210=CURSOS!$D$32,"MANIPULACION DE ALIMENTOS Y BPM",IF(N210=CURSOS!$D$33,"ATENCION A PERSONAS CON DISCAPACIDAD",IF(N210=CURSOS!$D$34,"CUIDADO INTEGRAL DEL PACIENTE ADULTO",IF(N210=CURSOS!$D$35,"MANEJO DEFENSIVO",IF(N210=CURSOS!$D$36,"SOPORTE CARDIOVASCULAR AVANZADO NEONATAL",IF(N210=CURSOS!$D$37,"SEGURIDAD DEL PACIENTE")))))))))))))))))))))))))))))))))))</f>
        <v>TOMA DE MUESTRAS Y LABORATORIO POCT</v>
      </c>
      <c r="U210" s="124" t="str">
        <f t="shared" si="12"/>
        <v>Jazmin Marcela Pinto Pinza</v>
      </c>
      <c r="V210" s="128" t="str">
        <f t="shared" si="13"/>
        <v>Jazmin Marcela Pinto Pinza</v>
      </c>
      <c r="W210" s="138" t="str">
        <f t="shared" si="14"/>
        <v>Jazmin Marcela Pinto Pinza-1085303363-POCT</v>
      </c>
    </row>
    <row r="211" spans="1:23" ht="15.75" x14ac:dyDescent="0.25">
      <c r="A211" s="42">
        <v>210</v>
      </c>
      <c r="B211" s="90">
        <v>1085296543</v>
      </c>
      <c r="C211" s="99" t="s">
        <v>659</v>
      </c>
      <c r="D211" s="99" t="s">
        <v>660</v>
      </c>
      <c r="E211" s="99" t="s">
        <v>661</v>
      </c>
      <c r="F211" s="99" t="s">
        <v>662</v>
      </c>
      <c r="G211" s="117">
        <v>18</v>
      </c>
      <c r="H211" s="117" t="s">
        <v>89</v>
      </c>
      <c r="I211" s="16">
        <v>45491</v>
      </c>
      <c r="J211" s="19">
        <v>30000</v>
      </c>
      <c r="K211" s="117" t="s">
        <v>210</v>
      </c>
      <c r="L211" s="117" t="s">
        <v>90</v>
      </c>
      <c r="M211" s="117" t="s">
        <v>118</v>
      </c>
      <c r="N211" s="118" t="s">
        <v>63</v>
      </c>
      <c r="O211" s="18">
        <v>31581</v>
      </c>
      <c r="P211" s="118" t="s">
        <v>101</v>
      </c>
      <c r="Q211" s="99" t="s">
        <v>328</v>
      </c>
      <c r="R211" s="99"/>
      <c r="S211" s="137" t="s">
        <v>668</v>
      </c>
      <c r="T211" s="124" t="str">
        <f>IF(N211=CURSOS!$D$3,"DIPLOMADO EN ATENCION PRE-HOSPITALARIA",IF(N211=CURSOS!$D$4,"ACOMPAÑAMIENTO Y MANEJO DEL DUELO",IF(N211=CURSOS!$D$5,"ATENCION A VICTIMAS DE ATAQUE CON AGENTES QUIMICOS ",IF(N211=CURSOS!$D$6,"PRIMEROS AUXILIOS ",IF(N211=CURSOS!$D$7,"DIPLOMADO DE UNIDAD DE CUIDADOS INTENSIVOS (UCI)",IF(N211=CURSOS!$D$8,"MODELO DE ATENCION PARA EVENTOS EMERGENTES EN SALUD MENTAL (CODIGO VERDE)",IF(N211=CURSOS!$D$9,"HUMANIZACION EN EL SERVICIO DE LA SALUD Y BUENAS PRACTICAS EN PACIENTE ",IF(N211=CURSOS!$D$10,"CLINICA DE HERIDAS ",IF(N211=CURSOS!$D$11,"TOMA DE CITOLOGIA CERVICO VAGINAL ",IF(N211=CURSOS!$D$12,"SOPORTE CARDIOVASCULAR AVANZADO (ACLS) ",IF(N211=CURSOS!$D$13,"CAMILLERO ",IF(N211=CURSOS!$D$14,"TOMA DE MUESTRAS Y LABORATORIO ",IF(N211=CURSOS!$D$15,"SOPORTE VITAL BASICO (BLS)",IF(N211=CURSOS!$D$16,"ATENCION A VICTIMAS DE VIOLENCIA SEXUAL ",IF(N211=CURSOS!$D$17,"PROGRAMADO AMPLIADO DE INMUNIZACION (PAI - COVID 19)",IF(N211=CURSOS!$D$18,"ATENCION INTEGRAL EN ENFERMEDADES PREVALENTES EN PRIMERA INFANCIA (AIEPI)",IF(N211=CURSOS!$D$19,"ADMINISTRACION DE MEDICAMENTOS, INYECTOLOGIA  Y CANALIZACION ",IF(N211=CURSOS!$D$20,"OPERADOR DE VEHICULOS DE EMERGENCIA (OVE)",IF(N211=CURSOS!$D$21,"INSTITUCIONES AMIGAS DE LA MUJER Y LA INFANCIA (IAMI)",IF(N211=CURSOS!$D$22,"CUIDADO DEL DONANTE DE ORGANOS",IF(N211=CURSOS!$D$23,"ATENCION A VICTIMAS POR VIOLENCIA DE GENERO",IF(N211=CURSOS!$D$24,"IGUALDAD DE GENERO EN LA SALUD",IF(N211=CURSOS!$D$25,"BRIGADA DE EMERGENCIA",IF(N211=CURSOS!$D$26,"MANEJO DEL DOLOR Y CUIDADOS PALIATIVOS",IF(N211=CURSOS!$D$27,"TOMA DE MUESTRAS Y LABORATORIO POCT",IF(N211=CURSOS!$D$28,"IMPLANTE SUBDERMICO DE DISPOSITIVO INTRAUTERINO",IF(N211=CURSOS!$D$29,"SALUD MENTAL",IF(N211=CURSOS!$D$30,"PRIMEROS AUXILIOS PSICOLOGICOS",IF(N211=CURSOS!$D$31,"ATENCION A VICTIMAS POR CONFLICTO ARMADO",IF(N211=CURSOS!$D$32,"MANIPULACION DE ALIMENTOS Y BPM",IF(N211=CURSOS!$D$33,"ATENCION A PERSONAS CON DISCAPACIDAD",IF(N211=CURSOS!$D$34,"CUIDADO INTEGRAL DEL PACIENTE ADULTO",IF(N211=CURSOS!$D$35,"MANEJO DEFENSIVO",IF(N211=CURSOS!$D$36,"SOPORTE CARDIOVASCULAR AVANZADO NEONATAL",IF(N211=CURSOS!$D$37,"SEGURIDAD DEL PACIENTE")))))))))))))))))))))))))))))))))))</f>
        <v>TOMA DE MUESTRAS Y LABORATORIO POCT</v>
      </c>
      <c r="U211" s="124" t="str">
        <f t="shared" si="12"/>
        <v>Anyelly Astrid Ahumada Cortez</v>
      </c>
      <c r="V211" s="128" t="str">
        <f t="shared" si="13"/>
        <v>Anyelly Astrid Ahumada Cortez</v>
      </c>
      <c r="W211" s="138" t="str">
        <f t="shared" si="14"/>
        <v>Anyelly Astrid Ahumada Cortez-1085296543-POCT</v>
      </c>
    </row>
    <row r="212" spans="1:23" ht="15.75" x14ac:dyDescent="0.25">
      <c r="A212" s="42">
        <v>211</v>
      </c>
      <c r="B212" s="90">
        <v>1085290684</v>
      </c>
      <c r="C212" s="99" t="s">
        <v>650</v>
      </c>
      <c r="D212" s="99" t="s">
        <v>663</v>
      </c>
      <c r="E212" s="99" t="s">
        <v>664</v>
      </c>
      <c r="F212" s="99" t="s">
        <v>280</v>
      </c>
      <c r="G212" s="117">
        <v>18</v>
      </c>
      <c r="H212" s="117" t="s">
        <v>89</v>
      </c>
      <c r="I212" s="16">
        <v>45491</v>
      </c>
      <c r="J212" s="19">
        <v>30000</v>
      </c>
      <c r="K212" s="117" t="s">
        <v>210</v>
      </c>
      <c r="L212" s="117" t="s">
        <v>90</v>
      </c>
      <c r="M212" s="117" t="s">
        <v>118</v>
      </c>
      <c r="N212" s="118" t="s">
        <v>63</v>
      </c>
      <c r="O212" s="18">
        <v>33444</v>
      </c>
      <c r="P212" s="118" t="s">
        <v>101</v>
      </c>
      <c r="Q212" s="99" t="s">
        <v>126</v>
      </c>
      <c r="R212" s="99">
        <v>3265386335</v>
      </c>
      <c r="S212" s="137" t="s">
        <v>669</v>
      </c>
      <c r="T212" s="124" t="str">
        <f>IF(N212=CURSOS!$D$3,"DIPLOMADO EN ATENCION PRE-HOSPITALARIA",IF(N212=CURSOS!$D$4,"ACOMPAÑAMIENTO Y MANEJO DEL DUELO",IF(N212=CURSOS!$D$5,"ATENCION A VICTIMAS DE ATAQUE CON AGENTES QUIMICOS ",IF(N212=CURSOS!$D$6,"PRIMEROS AUXILIOS ",IF(N212=CURSOS!$D$7,"DIPLOMADO DE UNIDAD DE CUIDADOS INTENSIVOS (UCI)",IF(N212=CURSOS!$D$8,"MODELO DE ATENCION PARA EVENTOS EMERGENTES EN SALUD MENTAL (CODIGO VERDE)",IF(N212=CURSOS!$D$9,"HUMANIZACION EN EL SERVICIO DE LA SALUD Y BUENAS PRACTICAS EN PACIENTE ",IF(N212=CURSOS!$D$10,"CLINICA DE HERIDAS ",IF(N212=CURSOS!$D$11,"TOMA DE CITOLOGIA CERVICO VAGINAL ",IF(N212=CURSOS!$D$12,"SOPORTE CARDIOVASCULAR AVANZADO (ACLS) ",IF(N212=CURSOS!$D$13,"CAMILLERO ",IF(N212=CURSOS!$D$14,"TOMA DE MUESTRAS Y LABORATORIO ",IF(N212=CURSOS!$D$15,"SOPORTE VITAL BASICO (BLS)",IF(N212=CURSOS!$D$16,"ATENCION A VICTIMAS DE VIOLENCIA SEXUAL ",IF(N212=CURSOS!$D$17,"PROGRAMADO AMPLIADO DE INMUNIZACION (PAI - COVID 19)",IF(N212=CURSOS!$D$18,"ATENCION INTEGRAL EN ENFERMEDADES PREVALENTES EN PRIMERA INFANCIA (AIEPI)",IF(N212=CURSOS!$D$19,"ADMINISTRACION DE MEDICAMENTOS, INYECTOLOGIA  Y CANALIZACION ",IF(N212=CURSOS!$D$20,"OPERADOR DE VEHICULOS DE EMERGENCIA (OVE)",IF(N212=CURSOS!$D$21,"INSTITUCIONES AMIGAS DE LA MUJER Y LA INFANCIA (IAMI)",IF(N212=CURSOS!$D$22,"CUIDADO DEL DONANTE DE ORGANOS",IF(N212=CURSOS!$D$23,"ATENCION A VICTIMAS POR VIOLENCIA DE GENERO",IF(N212=CURSOS!$D$24,"IGUALDAD DE GENERO EN LA SALUD",IF(N212=CURSOS!$D$25,"BRIGADA DE EMERGENCIA",IF(N212=CURSOS!$D$26,"MANEJO DEL DOLOR Y CUIDADOS PALIATIVOS",IF(N212=CURSOS!$D$27,"TOMA DE MUESTRAS Y LABORATORIO POCT",IF(N212=CURSOS!$D$28,"IMPLANTE SUBDERMICO DE DISPOSITIVO INTRAUTERINO",IF(N212=CURSOS!$D$29,"SALUD MENTAL",IF(N212=CURSOS!$D$30,"PRIMEROS AUXILIOS PSICOLOGICOS",IF(N212=CURSOS!$D$31,"ATENCION A VICTIMAS POR CONFLICTO ARMADO",IF(N212=CURSOS!$D$32,"MANIPULACION DE ALIMENTOS Y BPM",IF(N212=CURSOS!$D$33,"ATENCION A PERSONAS CON DISCAPACIDAD",IF(N212=CURSOS!$D$34,"CUIDADO INTEGRAL DEL PACIENTE ADULTO",IF(N212=CURSOS!$D$35,"MANEJO DEFENSIVO",IF(N212=CURSOS!$D$36,"SOPORTE CARDIOVASCULAR AVANZADO NEONATAL",IF(N212=CURSOS!$D$37,"SEGURIDAD DEL PACIENTE")))))))))))))))))))))))))))))))))))</f>
        <v>TOMA DE MUESTRAS Y LABORATORIO POCT</v>
      </c>
      <c r="U212" s="124" t="str">
        <f t="shared" si="12"/>
        <v>Mery Andrea Jiménez Romero</v>
      </c>
      <c r="V212" s="128" t="str">
        <f t="shared" si="13"/>
        <v>Mery Andrea Jiménez Romero</v>
      </c>
      <c r="W212" s="138" t="str">
        <f t="shared" si="14"/>
        <v>Mery Andrea Jiménez Romero-1085290684-POCT</v>
      </c>
    </row>
    <row r="213" spans="1:23" x14ac:dyDescent="0.2">
      <c r="A213" s="42">
        <v>212</v>
      </c>
      <c r="B213" s="90">
        <v>27308124</v>
      </c>
      <c r="C213" s="99" t="s">
        <v>670</v>
      </c>
      <c r="D213" s="99" t="s">
        <v>671</v>
      </c>
      <c r="E213" s="99" t="s">
        <v>672</v>
      </c>
      <c r="F213" s="99" t="s">
        <v>673</v>
      </c>
      <c r="G213" s="117">
        <v>18</v>
      </c>
      <c r="H213" s="117" t="s">
        <v>89</v>
      </c>
      <c r="I213" s="16">
        <v>45492</v>
      </c>
      <c r="J213" s="19">
        <v>40000</v>
      </c>
      <c r="K213" s="117" t="s">
        <v>210</v>
      </c>
      <c r="L213" s="117" t="s">
        <v>90</v>
      </c>
      <c r="M213" s="117" t="s">
        <v>118</v>
      </c>
      <c r="N213" s="118" t="s">
        <v>19</v>
      </c>
      <c r="O213" s="18">
        <v>23963</v>
      </c>
      <c r="P213" s="118" t="s">
        <v>101</v>
      </c>
      <c r="Q213" s="99" t="s">
        <v>126</v>
      </c>
      <c r="R213" s="99">
        <v>3003884904</v>
      </c>
      <c r="S213" s="99" t="s">
        <v>674</v>
      </c>
      <c r="T213" s="124" t="str">
        <f>IF(N213=CURSOS!$D$3,"DIPLOMADO EN ATENCION PRE-HOSPITALARIA",IF(N213=CURSOS!$D$4,"ACOMPAÑAMIENTO Y MANEJO DEL DUELO",IF(N213=CURSOS!$D$5,"ATENCION A VICTIMAS DE ATAQUE CON AGENTES QUIMICOS ",IF(N213=CURSOS!$D$6,"PRIMEROS AUXILIOS ",IF(N213=CURSOS!$D$7,"DIPLOMADO DE UNIDAD DE CUIDADOS INTENSIVOS (UCI)",IF(N213=CURSOS!$D$8,"MODELO DE ATENCION PARA EVENTOS EMERGENTES EN SALUD MENTAL (CODIGO VERDE)",IF(N213=CURSOS!$D$9,"HUMANIZACION EN EL SERVICIO DE LA SALUD Y BUENAS PRACTICAS EN PACIENTE ",IF(N213=CURSOS!$D$10,"CLINICA DE HERIDAS ",IF(N213=CURSOS!$D$11,"TOMA DE CITOLOGIA CERVICO VAGINAL ",IF(N213=CURSOS!$D$12,"SOPORTE CARDIOVASCULAR AVANZADO (ACLS) ",IF(N213=CURSOS!$D$13,"CAMILLERO ",IF(N213=CURSOS!$D$14,"TOMA DE MUESTRAS Y LABORATORIO ",IF(N213=CURSOS!$D$15,"SOPORTE VITAL BASICO (BLS)",IF(N213=CURSOS!$D$16,"ATENCION A VICTIMAS DE VIOLENCIA SEXUAL ",IF(N213=CURSOS!$D$17,"PROGRAMADO AMPLIADO DE INMUNIZACION (PAI - COVID 19)",IF(N213=CURSOS!$D$18,"ATENCION INTEGRAL EN ENFERMEDADES PREVALENTES EN PRIMERA INFANCIA (AIEPI)",IF(N213=CURSOS!$D$19,"ADMINISTRACION DE MEDICAMENTOS, INYECTOLOGIA  Y CANALIZACION ",IF(N213=CURSOS!$D$20,"OPERADOR DE VEHICULOS DE EMERGENCIA (OVE)",IF(N213=CURSOS!$D$21,"INSTITUCIONES AMIGAS DE LA MUJER Y LA INFANCIA (IAMI)",IF(N213=CURSOS!$D$22,"CUIDADO DEL DONANTE DE ORGANOS",IF(N213=CURSOS!$D$23,"ATENCION A VICTIMAS POR VIOLENCIA DE GENERO",IF(N213=CURSOS!$D$24,"IGUALDAD DE GENERO EN LA SALUD",IF(N213=CURSOS!$D$25,"BRIGADA DE EMERGENCIA",IF(N213=CURSOS!$D$26,"MANEJO DEL DOLOR Y CUIDADOS PALIATIVOS",IF(N213=CURSOS!$D$27,"TOMA DE MUESTRAS Y LABORATORIO POCT",IF(N213=CURSOS!$D$28,"IMPLANTE SUBDERMICO DE DISPOSITIVO INTRAUTERINO",IF(N213=CURSOS!$D$29,"SALUD MENTAL",IF(N213=CURSOS!$D$30,"PRIMEROS AUXILIOS PSICOLOGICOS",IF(N213=CURSOS!$D$31,"ATENCION A VICTIMAS POR CONFLICTO ARMADO",IF(N213=CURSOS!$D$32,"MANIPULACION DE ALIMENTOS Y BPM",IF(N213=CURSOS!$D$33,"ATENCION A PERSONAS CON DISCAPACIDAD",IF(N213=CURSOS!$D$34,"CUIDADO INTEGRAL DEL PACIENTE ADULTO",IF(N213=CURSOS!$D$35,"MANEJO DEFENSIVO",IF(N213=CURSOS!$D$36,"SOPORTE CARDIOVASCULAR AVANZADO NEONATAL",IF(N213=CURSOS!$D$37,"SEGURIDAD DEL PACIENTE")))))))))))))))))))))))))))))))))))</f>
        <v>SOPORTE VITAL BASICO (BLS)</v>
      </c>
      <c r="U213" s="124" t="str">
        <f t="shared" si="12"/>
        <v>Nubia Viteli Almeida Cardoza</v>
      </c>
      <c r="V213" s="128" t="str">
        <f t="shared" si="13"/>
        <v>Nubia Viteli Almeida Cardoza</v>
      </c>
      <c r="W213" s="138" t="str">
        <f t="shared" si="14"/>
        <v>Nubia Viteli Almeida Cardoza-27308124-BLS</v>
      </c>
    </row>
    <row r="214" spans="1:23" x14ac:dyDescent="0.2">
      <c r="A214" s="42">
        <v>213</v>
      </c>
      <c r="B214" s="90">
        <v>27308124</v>
      </c>
      <c r="C214" s="99" t="s">
        <v>670</v>
      </c>
      <c r="D214" s="99" t="s">
        <v>671</v>
      </c>
      <c r="E214" s="99" t="s">
        <v>672</v>
      </c>
      <c r="F214" s="99" t="s">
        <v>673</v>
      </c>
      <c r="G214" s="117">
        <v>18</v>
      </c>
      <c r="H214" s="117" t="s">
        <v>89</v>
      </c>
      <c r="I214" s="16">
        <v>45492</v>
      </c>
      <c r="J214" s="19">
        <v>40000</v>
      </c>
      <c r="K214" s="117" t="s">
        <v>210</v>
      </c>
      <c r="L214" s="117" t="s">
        <v>90</v>
      </c>
      <c r="M214" s="117" t="s">
        <v>118</v>
      </c>
      <c r="N214" s="118" t="s">
        <v>43</v>
      </c>
      <c r="O214" s="18">
        <v>23963</v>
      </c>
      <c r="P214" s="118" t="s">
        <v>101</v>
      </c>
      <c r="Q214" s="99" t="s">
        <v>126</v>
      </c>
      <c r="R214" s="99">
        <v>3003884904</v>
      </c>
      <c r="S214" s="99" t="s">
        <v>674</v>
      </c>
      <c r="T214" s="124" t="str">
        <f>IF(N214=CURSOS!$D$3,"DIPLOMADO EN ATENCION PRE-HOSPITALARIA",IF(N214=CURSOS!$D$4,"ACOMPAÑAMIENTO Y MANEJO DEL DUELO",IF(N214=CURSOS!$D$5,"ATENCION A VICTIMAS DE ATAQUE CON AGENTES QUIMICOS ",IF(N214=CURSOS!$D$6,"PRIMEROS AUXILIOS ",IF(N214=CURSOS!$D$7,"DIPLOMADO DE UNIDAD DE CUIDADOS INTENSIVOS (UCI)",IF(N214=CURSOS!$D$8,"MODELO DE ATENCION PARA EVENTOS EMERGENTES EN SALUD MENTAL (CODIGO VERDE)",IF(N214=CURSOS!$D$9,"HUMANIZACION EN EL SERVICIO DE LA SALUD Y BUENAS PRACTICAS EN PACIENTE ",IF(N214=CURSOS!$D$10,"CLINICA DE HERIDAS ",IF(N214=CURSOS!$D$11,"TOMA DE CITOLOGIA CERVICO VAGINAL ",IF(N214=CURSOS!$D$12,"SOPORTE CARDIOVASCULAR AVANZADO (ACLS) ",IF(N214=CURSOS!$D$13,"CAMILLERO ",IF(N214=CURSOS!$D$14,"TOMA DE MUESTRAS Y LABORATORIO ",IF(N214=CURSOS!$D$15,"SOPORTE VITAL BASICO (BLS)",IF(N214=CURSOS!$D$16,"ATENCION A VICTIMAS DE VIOLENCIA SEXUAL ",IF(N214=CURSOS!$D$17,"PROGRAMADO AMPLIADO DE INMUNIZACION (PAI - COVID 19)",IF(N214=CURSOS!$D$18,"ATENCION INTEGRAL EN ENFERMEDADES PREVALENTES EN PRIMERA INFANCIA (AIEPI)",IF(N214=CURSOS!$D$19,"ADMINISTRACION DE MEDICAMENTOS, INYECTOLOGIA  Y CANALIZACION ",IF(N214=CURSOS!$D$20,"OPERADOR DE VEHICULOS DE EMERGENCIA (OVE)",IF(N214=CURSOS!$D$21,"INSTITUCIONES AMIGAS DE LA MUJER Y LA INFANCIA (IAMI)",IF(N214=CURSOS!$D$22,"CUIDADO DEL DONANTE DE ORGANOS",IF(N214=CURSOS!$D$23,"ATENCION A VICTIMAS POR VIOLENCIA DE GENERO",IF(N214=CURSOS!$D$24,"IGUALDAD DE GENERO EN LA SALUD",IF(N214=CURSOS!$D$25,"BRIGADA DE EMERGENCIA",IF(N214=CURSOS!$D$26,"MANEJO DEL DOLOR Y CUIDADOS PALIATIVOS",IF(N214=CURSOS!$D$27,"TOMA DE MUESTRAS Y LABORATORIO POCT",IF(N214=CURSOS!$D$28,"IMPLANTE SUBDERMICO DE DISPOSITIVO INTRAUTERINO",IF(N214=CURSOS!$D$29,"SALUD MENTAL",IF(N214=CURSOS!$D$30,"PRIMEROS AUXILIOS PSICOLOGICOS",IF(N214=CURSOS!$D$31,"ATENCION A VICTIMAS POR CONFLICTO ARMADO",IF(N214=CURSOS!$D$32,"MANIPULACION DE ALIMENTOS Y BPM",IF(N214=CURSOS!$D$33,"ATENCION A PERSONAS CON DISCAPACIDAD",IF(N214=CURSOS!$D$34,"CUIDADO INTEGRAL DEL PACIENTE ADULTO",IF(N214=CURSOS!$D$35,"MANEJO DEFENSIVO",IF(N214=CURSOS!$D$36,"SOPORTE CARDIOVASCULAR AVANZADO NEONATAL",IF(N214=CURSOS!$D$37,"SEGURIDAD DEL PACIENTE")))))))))))))))))))))))))))))))))))</f>
        <v xml:space="preserve">ATENCION A VICTIMAS DE VIOLENCIA SEXUAL </v>
      </c>
      <c r="U214" s="124" t="str">
        <f t="shared" si="12"/>
        <v>Nubia Viteli Almeida Cardoza</v>
      </c>
      <c r="V214" s="128" t="str">
        <f t="shared" si="13"/>
        <v>Nubia Viteli Almeida Cardoza</v>
      </c>
      <c r="W214" s="138" t="str">
        <f t="shared" si="14"/>
        <v>Nubia Viteli Almeida Cardoza-27308124-VIOLENCIA SEXUAL</v>
      </c>
    </row>
    <row r="215" spans="1:23" x14ac:dyDescent="0.2">
      <c r="A215" s="42">
        <v>214</v>
      </c>
      <c r="B215" s="90">
        <v>1089030527</v>
      </c>
      <c r="C215" s="99" t="s">
        <v>94</v>
      </c>
      <c r="D215" s="99" t="s">
        <v>121</v>
      </c>
      <c r="E215" s="99" t="s">
        <v>153</v>
      </c>
      <c r="F215" s="99" t="s">
        <v>399</v>
      </c>
      <c r="G215" s="117">
        <v>19</v>
      </c>
      <c r="H215" s="117" t="s">
        <v>89</v>
      </c>
      <c r="I215" s="16">
        <v>45496</v>
      </c>
      <c r="J215" s="19">
        <v>30000</v>
      </c>
      <c r="K215" s="117" t="s">
        <v>214</v>
      </c>
      <c r="L215" s="117" t="s">
        <v>90</v>
      </c>
      <c r="M215" s="117" t="s">
        <v>125</v>
      </c>
      <c r="N215" s="118" t="s">
        <v>23</v>
      </c>
      <c r="O215" s="99"/>
      <c r="P215" s="118" t="s">
        <v>101</v>
      </c>
      <c r="Q215" s="99" t="s">
        <v>328</v>
      </c>
      <c r="R215" s="99">
        <v>3138625257</v>
      </c>
      <c r="S215" s="99" t="s">
        <v>701</v>
      </c>
      <c r="T215" s="124" t="str">
        <f>IF(N215=CURSOS!$D$3,"DIPLOMADO EN ATENCION PRE-HOSPITALARIA",IF(N215=CURSOS!$D$4,"ACOMPAÑAMIENTO Y MANEJO DEL DUELO",IF(N215=CURSOS!$D$5,"ATENCION A VICTIMAS DE ATAQUE CON AGENTES QUIMICOS ",IF(N215=CURSOS!$D$6,"PRIMEROS AUXILIOS ",IF(N215=CURSOS!$D$7,"DIPLOMADO DE UNIDAD DE CUIDADOS INTENSIVOS (UCI)",IF(N215=CURSOS!$D$8,"MODELO DE ATENCION PARA EVENTOS EMERGENTES EN SALUD MENTAL (CODIGO VERDE)",IF(N215=CURSOS!$D$9,"HUMANIZACION EN EL SERVICIO DE LA SALUD Y BUENAS PRACTICAS EN PACIENTE ",IF(N215=CURSOS!$D$10,"CLINICA DE HERIDAS ",IF(N215=CURSOS!$D$11,"TOMA DE CITOLOGIA CERVICO VAGINAL ",IF(N215=CURSOS!$D$12,"SOPORTE CARDIOVASCULAR AVANZADO (ACLS) ",IF(N215=CURSOS!$D$13,"CAMILLERO ",IF(N215=CURSOS!$D$14,"TOMA DE MUESTRAS Y LABORATORIO ",IF(N215=CURSOS!$D$15,"SOPORTE VITAL BASICO (BLS)",IF(N215=CURSOS!$D$16,"ATENCION A VICTIMAS DE VIOLENCIA SEXUAL ",IF(N215=CURSOS!$D$17,"PROGRAMADO AMPLIADO DE INMUNIZACION (PAI - COVID 19)",IF(N215=CURSOS!$D$18,"ATENCION INTEGRAL EN ENFERMEDADES PREVALENTES EN PRIMERA INFANCIA (AIEPI)",IF(N215=CURSOS!$D$19,"ADMINISTRACION DE MEDICAMENTOS, INYECTOLOGIA  Y CANALIZACION ",IF(N215=CURSOS!$D$20,"OPERADOR DE VEHICULOS DE EMERGENCIA (OVE)",IF(N215=CURSOS!$D$21,"INSTITUCIONES AMIGAS DE LA MUJER Y LA INFANCIA (IAMI)",IF(N215=CURSOS!$D$22,"CUIDADO DEL DONANTE DE ORGANOS",IF(N215=CURSOS!$D$23,"ATENCION A VICTIMAS POR VIOLENCIA DE GENERO",IF(N215=CURSOS!$D$24,"IGUALDAD DE GENERO EN LA SALUD",IF(N215=CURSOS!$D$25,"BRIGADA DE EMERGENCIA",IF(N215=CURSOS!$D$26,"MANEJO DEL DOLOR Y CUIDADOS PALIATIVOS",IF(N215=CURSOS!$D$27,"TOMA DE MUESTRAS Y LABORATORIO POCT",IF(N215=CURSOS!$D$28,"IMPLANTE SUBDERMICO DE DISPOSITIVO INTRAUTERINO",IF(N215=CURSOS!$D$29,"SALUD MENTAL",IF(N215=CURSOS!$D$30,"PRIMEROS AUXILIOS PSICOLOGICOS",IF(N215=CURSOS!$D$31,"ATENCION A VICTIMAS POR CONFLICTO ARMADO",IF(N215=CURSOS!$D$32,"MANIPULACION DE ALIMENTOS Y BPM",IF(N215=CURSOS!$D$33,"ATENCION A PERSONAS CON DISCAPACIDAD",IF(N215=CURSOS!$D$34,"CUIDADO INTEGRAL DEL PACIENTE ADULTO",IF(N215=CURSOS!$D$35,"MANEJO DEFENSIVO",IF(N215=CURSOS!$D$36,"SOPORTE CARDIOVASCULAR AVANZADO NEONATAL",IF(N215=CURSOS!$D$37,"SEGURIDAD DEL PACIENTE")))))))))))))))))))))))))))))))))))</f>
        <v>ACOMPAÑAMIENTO Y MANEJO DEL DUELO</v>
      </c>
      <c r="U215" s="124" t="str">
        <f t="shared" si="12"/>
        <v>Angela Daniela Portilla Pantoja</v>
      </c>
      <c r="V215" s="128" t="str">
        <f t="shared" si="13"/>
        <v>Angela Daniela Portilla Pantoja</v>
      </c>
      <c r="W215" s="138" t="str">
        <f t="shared" si="14"/>
        <v>Angela Daniela Portilla Pantoja-1089030527-DUELO</v>
      </c>
    </row>
    <row r="216" spans="1:23" x14ac:dyDescent="0.2">
      <c r="A216" s="42">
        <v>215</v>
      </c>
      <c r="B216" s="90">
        <v>36861134</v>
      </c>
      <c r="C216" s="99" t="s">
        <v>683</v>
      </c>
      <c r="D216" s="99" t="s">
        <v>702</v>
      </c>
      <c r="E216" s="99" t="s">
        <v>179</v>
      </c>
      <c r="F216" s="99" t="s">
        <v>293</v>
      </c>
      <c r="G216" s="117">
        <v>19</v>
      </c>
      <c r="H216" s="117" t="s">
        <v>89</v>
      </c>
      <c r="I216" s="16">
        <v>45496</v>
      </c>
      <c r="J216" s="19">
        <v>30000</v>
      </c>
      <c r="K216" s="117" t="s">
        <v>214</v>
      </c>
      <c r="L216" s="117" t="s">
        <v>90</v>
      </c>
      <c r="M216" s="117" t="s">
        <v>125</v>
      </c>
      <c r="N216" s="118" t="s">
        <v>43</v>
      </c>
      <c r="O216" s="18">
        <v>31049</v>
      </c>
      <c r="P216" s="118" t="s">
        <v>101</v>
      </c>
      <c r="Q216" s="99" t="s">
        <v>328</v>
      </c>
      <c r="R216" s="99">
        <v>3117400194</v>
      </c>
      <c r="S216" s="99" t="s">
        <v>703</v>
      </c>
      <c r="T216" s="124" t="str">
        <f>IF(N216=CURSOS!$D$3,"DIPLOMADO EN ATENCION PRE-HOSPITALARIA",IF(N216=CURSOS!$D$4,"ACOMPAÑAMIENTO Y MANEJO DEL DUELO",IF(N216=CURSOS!$D$5,"ATENCION A VICTIMAS DE ATAQUE CON AGENTES QUIMICOS ",IF(N216=CURSOS!$D$6,"PRIMEROS AUXILIOS ",IF(N216=CURSOS!$D$7,"DIPLOMADO DE UNIDAD DE CUIDADOS INTENSIVOS (UCI)",IF(N216=CURSOS!$D$8,"MODELO DE ATENCION PARA EVENTOS EMERGENTES EN SALUD MENTAL (CODIGO VERDE)",IF(N216=CURSOS!$D$9,"HUMANIZACION EN EL SERVICIO DE LA SALUD Y BUENAS PRACTICAS EN PACIENTE ",IF(N216=CURSOS!$D$10,"CLINICA DE HERIDAS ",IF(N216=CURSOS!$D$11,"TOMA DE CITOLOGIA CERVICO VAGINAL ",IF(N216=CURSOS!$D$12,"SOPORTE CARDIOVASCULAR AVANZADO (ACLS) ",IF(N216=CURSOS!$D$13,"CAMILLERO ",IF(N216=CURSOS!$D$14,"TOMA DE MUESTRAS Y LABORATORIO ",IF(N216=CURSOS!$D$15,"SOPORTE VITAL BASICO (BLS)",IF(N216=CURSOS!$D$16,"ATENCION A VICTIMAS DE VIOLENCIA SEXUAL ",IF(N216=CURSOS!$D$17,"PROGRAMADO AMPLIADO DE INMUNIZACION (PAI - COVID 19)",IF(N216=CURSOS!$D$18,"ATENCION INTEGRAL EN ENFERMEDADES PREVALENTES EN PRIMERA INFANCIA (AIEPI)",IF(N216=CURSOS!$D$19,"ADMINISTRACION DE MEDICAMENTOS, INYECTOLOGIA  Y CANALIZACION ",IF(N216=CURSOS!$D$20,"OPERADOR DE VEHICULOS DE EMERGENCIA (OVE)",IF(N216=CURSOS!$D$21,"INSTITUCIONES AMIGAS DE LA MUJER Y LA INFANCIA (IAMI)",IF(N216=CURSOS!$D$22,"CUIDADO DEL DONANTE DE ORGANOS",IF(N216=CURSOS!$D$23,"ATENCION A VICTIMAS POR VIOLENCIA DE GENERO",IF(N216=CURSOS!$D$24,"IGUALDAD DE GENERO EN LA SALUD",IF(N216=CURSOS!$D$25,"BRIGADA DE EMERGENCIA",IF(N216=CURSOS!$D$26,"MANEJO DEL DOLOR Y CUIDADOS PALIATIVOS",IF(N216=CURSOS!$D$27,"TOMA DE MUESTRAS Y LABORATORIO POCT",IF(N216=CURSOS!$D$28,"IMPLANTE SUBDERMICO DE DISPOSITIVO INTRAUTERINO",IF(N216=CURSOS!$D$29,"SALUD MENTAL",IF(N216=CURSOS!$D$30,"PRIMEROS AUXILIOS PSICOLOGICOS",IF(N216=CURSOS!$D$31,"ATENCION A VICTIMAS POR CONFLICTO ARMADO",IF(N216=CURSOS!$D$32,"MANIPULACION DE ALIMENTOS Y BPM",IF(N216=CURSOS!$D$33,"ATENCION A PERSONAS CON DISCAPACIDAD",IF(N216=CURSOS!$D$34,"CUIDADO INTEGRAL DEL PACIENTE ADULTO",IF(N216=CURSOS!$D$35,"MANEJO DEFENSIVO",IF(N216=CURSOS!$D$36,"SOPORTE CARDIOVASCULAR AVANZADO NEONATAL",IF(N216=CURSOS!$D$37,"SEGURIDAD DEL PACIENTE")))))))))))))))))))))))))))))))))))</f>
        <v xml:space="preserve">ATENCION A VICTIMAS DE VIOLENCIA SEXUAL </v>
      </c>
      <c r="U216" s="124" t="str">
        <f t="shared" si="12"/>
        <v>Sandra Liliana Eraso Casanova</v>
      </c>
      <c r="V216" s="128" t="str">
        <f t="shared" si="13"/>
        <v>Sandra Liliana Eraso Casanova</v>
      </c>
      <c r="W216" s="138" t="str">
        <f t="shared" si="14"/>
        <v>Sandra Liliana Eraso Casanova-36861134-VIOLENCIA SEXUAL</v>
      </c>
    </row>
    <row r="217" spans="1:23" x14ac:dyDescent="0.2">
      <c r="A217" s="42">
        <v>216</v>
      </c>
      <c r="B217" s="90">
        <v>1084226977</v>
      </c>
      <c r="C217" s="99" t="s">
        <v>230</v>
      </c>
      <c r="D217" s="99" t="s">
        <v>445</v>
      </c>
      <c r="E217" s="99" t="s">
        <v>438</v>
      </c>
      <c r="F217" s="99" t="s">
        <v>227</v>
      </c>
      <c r="G217" s="117">
        <v>19</v>
      </c>
      <c r="H217" s="117" t="s">
        <v>89</v>
      </c>
      <c r="I217" s="16">
        <v>45493</v>
      </c>
      <c r="J217" s="19">
        <v>70000</v>
      </c>
      <c r="K217" s="117" t="s">
        <v>210</v>
      </c>
      <c r="L217" s="117" t="s">
        <v>90</v>
      </c>
      <c r="M217" s="117" t="s">
        <v>118</v>
      </c>
      <c r="N217" s="118" t="s">
        <v>23</v>
      </c>
      <c r="O217" s="99"/>
      <c r="P217" s="118" t="s">
        <v>101</v>
      </c>
      <c r="Q217" s="99" t="s">
        <v>126</v>
      </c>
      <c r="R217" s="99">
        <v>3217311781</v>
      </c>
      <c r="S217" s="99" t="s">
        <v>704</v>
      </c>
      <c r="T217" s="124" t="str">
        <f>IF(N217=CURSOS!$D$3,"DIPLOMADO EN ATENCION PRE-HOSPITALARIA",IF(N217=CURSOS!$D$4,"ACOMPAÑAMIENTO Y MANEJO DEL DUELO",IF(N217=CURSOS!$D$5,"ATENCION A VICTIMAS DE ATAQUE CON AGENTES QUIMICOS ",IF(N217=CURSOS!$D$6,"PRIMEROS AUXILIOS ",IF(N217=CURSOS!$D$7,"DIPLOMADO DE UNIDAD DE CUIDADOS INTENSIVOS (UCI)",IF(N217=CURSOS!$D$8,"MODELO DE ATENCION PARA EVENTOS EMERGENTES EN SALUD MENTAL (CODIGO VERDE)",IF(N217=CURSOS!$D$9,"HUMANIZACION EN EL SERVICIO DE LA SALUD Y BUENAS PRACTICAS EN PACIENTE ",IF(N217=CURSOS!$D$10,"CLINICA DE HERIDAS ",IF(N217=CURSOS!$D$11,"TOMA DE CITOLOGIA CERVICO VAGINAL ",IF(N217=CURSOS!$D$12,"SOPORTE CARDIOVASCULAR AVANZADO (ACLS) ",IF(N217=CURSOS!$D$13,"CAMILLERO ",IF(N217=CURSOS!$D$14,"TOMA DE MUESTRAS Y LABORATORIO ",IF(N217=CURSOS!$D$15,"SOPORTE VITAL BASICO (BLS)",IF(N217=CURSOS!$D$16,"ATENCION A VICTIMAS DE VIOLENCIA SEXUAL ",IF(N217=CURSOS!$D$17,"PROGRAMADO AMPLIADO DE INMUNIZACION (PAI - COVID 19)",IF(N217=CURSOS!$D$18,"ATENCION INTEGRAL EN ENFERMEDADES PREVALENTES EN PRIMERA INFANCIA (AIEPI)",IF(N217=CURSOS!$D$19,"ADMINISTRACION DE MEDICAMENTOS, INYECTOLOGIA  Y CANALIZACION ",IF(N217=CURSOS!$D$20,"OPERADOR DE VEHICULOS DE EMERGENCIA (OVE)",IF(N217=CURSOS!$D$21,"INSTITUCIONES AMIGAS DE LA MUJER Y LA INFANCIA (IAMI)",IF(N217=CURSOS!$D$22,"CUIDADO DEL DONANTE DE ORGANOS",IF(N217=CURSOS!$D$23,"ATENCION A VICTIMAS POR VIOLENCIA DE GENERO",IF(N217=CURSOS!$D$24,"IGUALDAD DE GENERO EN LA SALUD",IF(N217=CURSOS!$D$25,"BRIGADA DE EMERGENCIA",IF(N217=CURSOS!$D$26,"MANEJO DEL DOLOR Y CUIDADOS PALIATIVOS",IF(N217=CURSOS!$D$27,"TOMA DE MUESTRAS Y LABORATORIO POCT",IF(N217=CURSOS!$D$28,"IMPLANTE SUBDERMICO DE DISPOSITIVO INTRAUTERINO",IF(N217=CURSOS!$D$29,"SALUD MENTAL",IF(N217=CURSOS!$D$30,"PRIMEROS AUXILIOS PSICOLOGICOS",IF(N217=CURSOS!$D$31,"ATENCION A VICTIMAS POR CONFLICTO ARMADO",IF(N217=CURSOS!$D$32,"MANIPULACION DE ALIMENTOS Y BPM",IF(N217=CURSOS!$D$33,"ATENCION A PERSONAS CON DISCAPACIDAD",IF(N217=CURSOS!$D$34,"CUIDADO INTEGRAL DEL PACIENTE ADULTO",IF(N217=CURSOS!$D$35,"MANEJO DEFENSIVO",IF(N217=CURSOS!$D$36,"SOPORTE CARDIOVASCULAR AVANZADO NEONATAL",IF(N217=CURSOS!$D$37,"SEGURIDAD DEL PACIENTE")))))))))))))))))))))))))))))))))))</f>
        <v>ACOMPAÑAMIENTO Y MANEJO DEL DUELO</v>
      </c>
      <c r="U217" s="124" t="str">
        <f t="shared" si="12"/>
        <v>Diana Marcela Ortega Meneses</v>
      </c>
      <c r="V217" s="128" t="str">
        <f t="shared" si="13"/>
        <v>Diana Marcela Ortega Meneses</v>
      </c>
      <c r="W217" s="138" t="str">
        <f t="shared" si="14"/>
        <v>Diana Marcela Ortega Meneses-1084226977-DUELO</v>
      </c>
    </row>
    <row r="218" spans="1:23" x14ac:dyDescent="0.2">
      <c r="A218" s="42">
        <v>217</v>
      </c>
      <c r="B218" s="90">
        <v>1084226977</v>
      </c>
      <c r="C218" s="99" t="s">
        <v>230</v>
      </c>
      <c r="D218" s="99" t="s">
        <v>445</v>
      </c>
      <c r="E218" s="99" t="s">
        <v>438</v>
      </c>
      <c r="F218" s="99" t="s">
        <v>227</v>
      </c>
      <c r="G218" s="117">
        <v>19</v>
      </c>
      <c r="H218" s="117" t="s">
        <v>89</v>
      </c>
      <c r="I218" s="16">
        <v>45493</v>
      </c>
      <c r="J218" s="19">
        <v>70000</v>
      </c>
      <c r="K218" s="117" t="s">
        <v>210</v>
      </c>
      <c r="L218" s="117" t="s">
        <v>90</v>
      </c>
      <c r="M218" s="117" t="s">
        <v>118</v>
      </c>
      <c r="N218" s="118" t="s">
        <v>25</v>
      </c>
      <c r="O218" s="99"/>
      <c r="P218" s="118" t="s">
        <v>101</v>
      </c>
      <c r="Q218" s="99" t="s">
        <v>126</v>
      </c>
      <c r="R218" s="99">
        <v>3217311781</v>
      </c>
      <c r="S218" s="99" t="s">
        <v>704</v>
      </c>
      <c r="T218" s="124" t="str">
        <f>IF(N218=CURSOS!$D$3,"DIPLOMADO EN ATENCION PRE-HOSPITALARIA",IF(N218=CURSOS!$D$4,"ACOMPAÑAMIENTO Y MANEJO DEL DUELO",IF(N218=CURSOS!$D$5,"ATENCION A VICTIMAS DE ATAQUE CON AGENTES QUIMICOS ",IF(N218=CURSOS!$D$6,"PRIMEROS AUXILIOS ",IF(N218=CURSOS!$D$7,"DIPLOMADO DE UNIDAD DE CUIDADOS INTENSIVOS (UCI)",IF(N218=CURSOS!$D$8,"MODELO DE ATENCION PARA EVENTOS EMERGENTES EN SALUD MENTAL (CODIGO VERDE)",IF(N218=CURSOS!$D$9,"HUMANIZACION EN EL SERVICIO DE LA SALUD Y BUENAS PRACTICAS EN PACIENTE ",IF(N218=CURSOS!$D$10,"CLINICA DE HERIDAS ",IF(N218=CURSOS!$D$11,"TOMA DE CITOLOGIA CERVICO VAGINAL ",IF(N218=CURSOS!$D$12,"SOPORTE CARDIOVASCULAR AVANZADO (ACLS) ",IF(N218=CURSOS!$D$13,"CAMILLERO ",IF(N218=CURSOS!$D$14,"TOMA DE MUESTRAS Y LABORATORIO ",IF(N218=CURSOS!$D$15,"SOPORTE VITAL BASICO (BLS)",IF(N218=CURSOS!$D$16,"ATENCION A VICTIMAS DE VIOLENCIA SEXUAL ",IF(N218=CURSOS!$D$17,"PROGRAMADO AMPLIADO DE INMUNIZACION (PAI - COVID 19)",IF(N218=CURSOS!$D$18,"ATENCION INTEGRAL EN ENFERMEDADES PREVALENTES EN PRIMERA INFANCIA (AIEPI)",IF(N218=CURSOS!$D$19,"ADMINISTRACION DE MEDICAMENTOS, INYECTOLOGIA  Y CANALIZACION ",IF(N218=CURSOS!$D$20,"OPERADOR DE VEHICULOS DE EMERGENCIA (OVE)",IF(N218=CURSOS!$D$21,"INSTITUCIONES AMIGAS DE LA MUJER Y LA INFANCIA (IAMI)",IF(N218=CURSOS!$D$22,"CUIDADO DEL DONANTE DE ORGANOS",IF(N218=CURSOS!$D$23,"ATENCION A VICTIMAS POR VIOLENCIA DE GENERO",IF(N218=CURSOS!$D$24,"IGUALDAD DE GENERO EN LA SALUD",IF(N218=CURSOS!$D$25,"BRIGADA DE EMERGENCIA",IF(N218=CURSOS!$D$26,"MANEJO DEL DOLOR Y CUIDADOS PALIATIVOS",IF(N218=CURSOS!$D$27,"TOMA DE MUESTRAS Y LABORATORIO POCT",IF(N218=CURSOS!$D$28,"IMPLANTE SUBDERMICO DE DISPOSITIVO INTRAUTERINO",IF(N218=CURSOS!$D$29,"SALUD MENTAL",IF(N218=CURSOS!$D$30,"PRIMEROS AUXILIOS PSICOLOGICOS",IF(N218=CURSOS!$D$31,"ATENCION A VICTIMAS POR CONFLICTO ARMADO",IF(N218=CURSOS!$D$32,"MANIPULACION DE ALIMENTOS Y BPM",IF(N218=CURSOS!$D$33,"ATENCION A PERSONAS CON DISCAPACIDAD",IF(N218=CURSOS!$D$34,"CUIDADO INTEGRAL DEL PACIENTE ADULTO",IF(N218=CURSOS!$D$35,"MANEJO DEFENSIVO",IF(N218=CURSOS!$D$36,"SOPORTE CARDIOVASCULAR AVANZADO NEONATAL",IF(N218=CURSOS!$D$37,"SEGURIDAD DEL PACIENTE")))))))))))))))))))))))))))))))))))</f>
        <v xml:space="preserve">ATENCION A VICTIMAS DE ATAQUE CON AGENTES QUIMICOS </v>
      </c>
      <c r="U218" s="124" t="str">
        <f t="shared" si="12"/>
        <v>Diana Marcela Ortega Meneses</v>
      </c>
      <c r="V218" s="128" t="str">
        <f t="shared" si="13"/>
        <v>Diana Marcela Ortega Meneses</v>
      </c>
      <c r="W218" s="138" t="str">
        <f t="shared" si="14"/>
        <v>Diana Marcela Ortega Meneses-1084226977-QUIMICOS</v>
      </c>
    </row>
    <row r="219" spans="1:23" x14ac:dyDescent="0.2">
      <c r="A219" s="42">
        <v>218</v>
      </c>
      <c r="B219" s="90">
        <v>1084226634</v>
      </c>
      <c r="C219" s="99" t="s">
        <v>155</v>
      </c>
      <c r="D219" s="99" t="s">
        <v>552</v>
      </c>
      <c r="E219" s="99" t="s">
        <v>713</v>
      </c>
      <c r="F219" s="99" t="s">
        <v>705</v>
      </c>
      <c r="G219" s="117">
        <v>19</v>
      </c>
      <c r="H219" s="117" t="s">
        <v>89</v>
      </c>
      <c r="I219" s="16">
        <v>45492</v>
      </c>
      <c r="J219" s="19">
        <v>70000</v>
      </c>
      <c r="K219" s="117" t="s">
        <v>210</v>
      </c>
      <c r="L219" s="117" t="s">
        <v>90</v>
      </c>
      <c r="M219" s="117" t="s">
        <v>118</v>
      </c>
      <c r="N219" s="118" t="s">
        <v>25</v>
      </c>
      <c r="O219" s="99"/>
      <c r="P219" s="118" t="s">
        <v>101</v>
      </c>
      <c r="Q219" s="99" t="s">
        <v>126</v>
      </c>
      <c r="R219" s="99">
        <v>3137447358</v>
      </c>
      <c r="S219" s="99" t="s">
        <v>706</v>
      </c>
      <c r="T219" s="124" t="str">
        <f>IF(N219=CURSOS!$D$3,"DIPLOMADO EN ATENCION PRE-HOSPITALARIA",IF(N219=CURSOS!$D$4,"ACOMPAÑAMIENTO Y MANEJO DEL DUELO",IF(N219=CURSOS!$D$5,"ATENCION A VICTIMAS DE ATAQUE CON AGENTES QUIMICOS ",IF(N219=CURSOS!$D$6,"PRIMEROS AUXILIOS ",IF(N219=CURSOS!$D$7,"DIPLOMADO DE UNIDAD DE CUIDADOS INTENSIVOS (UCI)",IF(N219=CURSOS!$D$8,"MODELO DE ATENCION PARA EVENTOS EMERGENTES EN SALUD MENTAL (CODIGO VERDE)",IF(N219=CURSOS!$D$9,"HUMANIZACION EN EL SERVICIO DE LA SALUD Y BUENAS PRACTICAS EN PACIENTE ",IF(N219=CURSOS!$D$10,"CLINICA DE HERIDAS ",IF(N219=CURSOS!$D$11,"TOMA DE CITOLOGIA CERVICO VAGINAL ",IF(N219=CURSOS!$D$12,"SOPORTE CARDIOVASCULAR AVANZADO (ACLS) ",IF(N219=CURSOS!$D$13,"CAMILLERO ",IF(N219=CURSOS!$D$14,"TOMA DE MUESTRAS Y LABORATORIO ",IF(N219=CURSOS!$D$15,"SOPORTE VITAL BASICO (BLS)",IF(N219=CURSOS!$D$16,"ATENCION A VICTIMAS DE VIOLENCIA SEXUAL ",IF(N219=CURSOS!$D$17,"PROGRAMADO AMPLIADO DE INMUNIZACION (PAI - COVID 19)",IF(N219=CURSOS!$D$18,"ATENCION INTEGRAL EN ENFERMEDADES PREVALENTES EN PRIMERA INFANCIA (AIEPI)",IF(N219=CURSOS!$D$19,"ADMINISTRACION DE MEDICAMENTOS, INYECTOLOGIA  Y CANALIZACION ",IF(N219=CURSOS!$D$20,"OPERADOR DE VEHICULOS DE EMERGENCIA (OVE)",IF(N219=CURSOS!$D$21,"INSTITUCIONES AMIGAS DE LA MUJER Y LA INFANCIA (IAMI)",IF(N219=CURSOS!$D$22,"CUIDADO DEL DONANTE DE ORGANOS",IF(N219=CURSOS!$D$23,"ATENCION A VICTIMAS POR VIOLENCIA DE GENERO",IF(N219=CURSOS!$D$24,"IGUALDAD DE GENERO EN LA SALUD",IF(N219=CURSOS!$D$25,"BRIGADA DE EMERGENCIA",IF(N219=CURSOS!$D$26,"MANEJO DEL DOLOR Y CUIDADOS PALIATIVOS",IF(N219=CURSOS!$D$27,"TOMA DE MUESTRAS Y LABORATORIO POCT",IF(N219=CURSOS!$D$28,"IMPLANTE SUBDERMICO DE DISPOSITIVO INTRAUTERINO",IF(N219=CURSOS!$D$29,"SALUD MENTAL",IF(N219=CURSOS!$D$30,"PRIMEROS AUXILIOS PSICOLOGICOS",IF(N219=CURSOS!$D$31,"ATENCION A VICTIMAS POR CONFLICTO ARMADO",IF(N219=CURSOS!$D$32,"MANIPULACION DE ALIMENTOS Y BPM",IF(N219=CURSOS!$D$33,"ATENCION A PERSONAS CON DISCAPACIDAD",IF(N219=CURSOS!$D$34,"CUIDADO INTEGRAL DEL PACIENTE ADULTO",IF(N219=CURSOS!$D$35,"MANEJO DEFENSIVO",IF(N219=CURSOS!$D$36,"SOPORTE CARDIOVASCULAR AVANZADO NEONATAL",IF(N219=CURSOS!$D$37,"SEGURIDAD DEL PACIENTE")))))))))))))))))))))))))))))))))))</f>
        <v xml:space="preserve">ATENCION A VICTIMAS DE ATAQUE CON AGENTES QUIMICOS </v>
      </c>
      <c r="U219" s="124" t="str">
        <f t="shared" si="12"/>
        <v>Yury Yohana Guerrero Silva</v>
      </c>
      <c r="V219" s="128" t="str">
        <f t="shared" si="13"/>
        <v>Yury Yohana Guerrero Silva</v>
      </c>
      <c r="W219" s="138" t="str">
        <f t="shared" si="14"/>
        <v>Yury Yohana Guerrero Silva-1084226634-QUIMICOS</v>
      </c>
    </row>
    <row r="220" spans="1:23" x14ac:dyDescent="0.2">
      <c r="A220" s="42">
        <v>219</v>
      </c>
      <c r="B220" s="90">
        <v>1084226634</v>
      </c>
      <c r="C220" s="99" t="s">
        <v>155</v>
      </c>
      <c r="D220" s="99" t="s">
        <v>552</v>
      </c>
      <c r="E220" s="99" t="s">
        <v>713</v>
      </c>
      <c r="F220" s="99" t="s">
        <v>705</v>
      </c>
      <c r="G220" s="117">
        <v>19</v>
      </c>
      <c r="H220" s="117" t="s">
        <v>89</v>
      </c>
      <c r="I220" s="16">
        <v>45492</v>
      </c>
      <c r="J220" s="19">
        <v>70000</v>
      </c>
      <c r="K220" s="117" t="s">
        <v>210</v>
      </c>
      <c r="L220" s="117" t="s">
        <v>90</v>
      </c>
      <c r="M220" s="117" t="s">
        <v>118</v>
      </c>
      <c r="N220" s="118" t="s">
        <v>43</v>
      </c>
      <c r="O220" s="99"/>
      <c r="P220" s="118" t="s">
        <v>101</v>
      </c>
      <c r="Q220" s="99" t="s">
        <v>126</v>
      </c>
      <c r="R220" s="99">
        <v>3137447358</v>
      </c>
      <c r="S220" s="99" t="s">
        <v>706</v>
      </c>
      <c r="T220" s="124" t="str">
        <f>IF(N220=CURSOS!$D$3,"DIPLOMADO EN ATENCION PRE-HOSPITALARIA",IF(N220=CURSOS!$D$4,"ACOMPAÑAMIENTO Y MANEJO DEL DUELO",IF(N220=CURSOS!$D$5,"ATENCION A VICTIMAS DE ATAQUE CON AGENTES QUIMICOS ",IF(N220=CURSOS!$D$6,"PRIMEROS AUXILIOS ",IF(N220=CURSOS!$D$7,"DIPLOMADO DE UNIDAD DE CUIDADOS INTENSIVOS (UCI)",IF(N220=CURSOS!$D$8,"MODELO DE ATENCION PARA EVENTOS EMERGENTES EN SALUD MENTAL (CODIGO VERDE)",IF(N220=CURSOS!$D$9,"HUMANIZACION EN EL SERVICIO DE LA SALUD Y BUENAS PRACTICAS EN PACIENTE ",IF(N220=CURSOS!$D$10,"CLINICA DE HERIDAS ",IF(N220=CURSOS!$D$11,"TOMA DE CITOLOGIA CERVICO VAGINAL ",IF(N220=CURSOS!$D$12,"SOPORTE CARDIOVASCULAR AVANZADO (ACLS) ",IF(N220=CURSOS!$D$13,"CAMILLERO ",IF(N220=CURSOS!$D$14,"TOMA DE MUESTRAS Y LABORATORIO ",IF(N220=CURSOS!$D$15,"SOPORTE VITAL BASICO (BLS)",IF(N220=CURSOS!$D$16,"ATENCION A VICTIMAS DE VIOLENCIA SEXUAL ",IF(N220=CURSOS!$D$17,"PROGRAMADO AMPLIADO DE INMUNIZACION (PAI - COVID 19)",IF(N220=CURSOS!$D$18,"ATENCION INTEGRAL EN ENFERMEDADES PREVALENTES EN PRIMERA INFANCIA (AIEPI)",IF(N220=CURSOS!$D$19,"ADMINISTRACION DE MEDICAMENTOS, INYECTOLOGIA  Y CANALIZACION ",IF(N220=CURSOS!$D$20,"OPERADOR DE VEHICULOS DE EMERGENCIA (OVE)",IF(N220=CURSOS!$D$21,"INSTITUCIONES AMIGAS DE LA MUJER Y LA INFANCIA (IAMI)",IF(N220=CURSOS!$D$22,"CUIDADO DEL DONANTE DE ORGANOS",IF(N220=CURSOS!$D$23,"ATENCION A VICTIMAS POR VIOLENCIA DE GENERO",IF(N220=CURSOS!$D$24,"IGUALDAD DE GENERO EN LA SALUD",IF(N220=CURSOS!$D$25,"BRIGADA DE EMERGENCIA",IF(N220=CURSOS!$D$26,"MANEJO DEL DOLOR Y CUIDADOS PALIATIVOS",IF(N220=CURSOS!$D$27,"TOMA DE MUESTRAS Y LABORATORIO POCT",IF(N220=CURSOS!$D$28,"IMPLANTE SUBDERMICO DE DISPOSITIVO INTRAUTERINO",IF(N220=CURSOS!$D$29,"SALUD MENTAL",IF(N220=CURSOS!$D$30,"PRIMEROS AUXILIOS PSICOLOGICOS",IF(N220=CURSOS!$D$31,"ATENCION A VICTIMAS POR CONFLICTO ARMADO",IF(N220=CURSOS!$D$32,"MANIPULACION DE ALIMENTOS Y BPM",IF(N220=CURSOS!$D$33,"ATENCION A PERSONAS CON DISCAPACIDAD",IF(N220=CURSOS!$D$34,"CUIDADO INTEGRAL DEL PACIENTE ADULTO",IF(N220=CURSOS!$D$35,"MANEJO DEFENSIVO",IF(N220=CURSOS!$D$36,"SOPORTE CARDIOVASCULAR AVANZADO NEONATAL",IF(N220=CURSOS!$D$37,"SEGURIDAD DEL PACIENTE")))))))))))))))))))))))))))))))))))</f>
        <v xml:space="preserve">ATENCION A VICTIMAS DE VIOLENCIA SEXUAL </v>
      </c>
      <c r="U220" s="124" t="str">
        <f t="shared" si="12"/>
        <v>Yury Yohana Guerrero Silva</v>
      </c>
      <c r="V220" s="128" t="str">
        <f t="shared" si="13"/>
        <v>Yury Yohana Guerrero Silva</v>
      </c>
      <c r="W220" s="138" t="str">
        <f t="shared" si="14"/>
        <v>Yury Yohana Guerrero Silva-1084226634-VIOLENCIA SEXUAL</v>
      </c>
    </row>
    <row r="221" spans="1:23" x14ac:dyDescent="0.2">
      <c r="A221" s="42">
        <v>220</v>
      </c>
      <c r="B221" s="90">
        <v>1084226634</v>
      </c>
      <c r="C221" s="99" t="s">
        <v>155</v>
      </c>
      <c r="D221" s="99" t="s">
        <v>552</v>
      </c>
      <c r="E221" s="99" t="s">
        <v>713</v>
      </c>
      <c r="F221" s="99" t="s">
        <v>705</v>
      </c>
      <c r="G221" s="117">
        <v>19</v>
      </c>
      <c r="H221" s="117" t="s">
        <v>89</v>
      </c>
      <c r="I221" s="16">
        <v>45492</v>
      </c>
      <c r="J221" s="19">
        <v>70000</v>
      </c>
      <c r="K221" s="117" t="s">
        <v>210</v>
      </c>
      <c r="L221" s="117" t="s">
        <v>90</v>
      </c>
      <c r="M221" s="117" t="s">
        <v>118</v>
      </c>
      <c r="N221" s="118" t="s">
        <v>23</v>
      </c>
      <c r="O221" s="99"/>
      <c r="P221" s="118" t="s">
        <v>101</v>
      </c>
      <c r="Q221" s="99" t="s">
        <v>126</v>
      </c>
      <c r="R221" s="99">
        <v>3137447358</v>
      </c>
      <c r="S221" s="99" t="s">
        <v>706</v>
      </c>
      <c r="T221" s="124" t="str">
        <f>IF(N221=CURSOS!$D$3,"DIPLOMADO EN ATENCION PRE-HOSPITALARIA",IF(N221=CURSOS!$D$4,"ACOMPAÑAMIENTO Y MANEJO DEL DUELO",IF(N221=CURSOS!$D$5,"ATENCION A VICTIMAS DE ATAQUE CON AGENTES QUIMICOS ",IF(N221=CURSOS!$D$6,"PRIMEROS AUXILIOS ",IF(N221=CURSOS!$D$7,"DIPLOMADO DE UNIDAD DE CUIDADOS INTENSIVOS (UCI)",IF(N221=CURSOS!$D$8,"MODELO DE ATENCION PARA EVENTOS EMERGENTES EN SALUD MENTAL (CODIGO VERDE)",IF(N221=CURSOS!$D$9,"HUMANIZACION EN EL SERVICIO DE LA SALUD Y BUENAS PRACTICAS EN PACIENTE ",IF(N221=CURSOS!$D$10,"CLINICA DE HERIDAS ",IF(N221=CURSOS!$D$11,"TOMA DE CITOLOGIA CERVICO VAGINAL ",IF(N221=CURSOS!$D$12,"SOPORTE CARDIOVASCULAR AVANZADO (ACLS) ",IF(N221=CURSOS!$D$13,"CAMILLERO ",IF(N221=CURSOS!$D$14,"TOMA DE MUESTRAS Y LABORATORIO ",IF(N221=CURSOS!$D$15,"SOPORTE VITAL BASICO (BLS)",IF(N221=CURSOS!$D$16,"ATENCION A VICTIMAS DE VIOLENCIA SEXUAL ",IF(N221=CURSOS!$D$17,"PROGRAMADO AMPLIADO DE INMUNIZACION (PAI - COVID 19)",IF(N221=CURSOS!$D$18,"ATENCION INTEGRAL EN ENFERMEDADES PREVALENTES EN PRIMERA INFANCIA (AIEPI)",IF(N221=CURSOS!$D$19,"ADMINISTRACION DE MEDICAMENTOS, INYECTOLOGIA  Y CANALIZACION ",IF(N221=CURSOS!$D$20,"OPERADOR DE VEHICULOS DE EMERGENCIA (OVE)",IF(N221=CURSOS!$D$21,"INSTITUCIONES AMIGAS DE LA MUJER Y LA INFANCIA (IAMI)",IF(N221=CURSOS!$D$22,"CUIDADO DEL DONANTE DE ORGANOS",IF(N221=CURSOS!$D$23,"ATENCION A VICTIMAS POR VIOLENCIA DE GENERO",IF(N221=CURSOS!$D$24,"IGUALDAD DE GENERO EN LA SALUD",IF(N221=CURSOS!$D$25,"BRIGADA DE EMERGENCIA",IF(N221=CURSOS!$D$26,"MANEJO DEL DOLOR Y CUIDADOS PALIATIVOS",IF(N221=CURSOS!$D$27,"TOMA DE MUESTRAS Y LABORATORIO POCT",IF(N221=CURSOS!$D$28,"IMPLANTE SUBDERMICO DE DISPOSITIVO INTRAUTERINO",IF(N221=CURSOS!$D$29,"SALUD MENTAL",IF(N221=CURSOS!$D$30,"PRIMEROS AUXILIOS PSICOLOGICOS",IF(N221=CURSOS!$D$31,"ATENCION A VICTIMAS POR CONFLICTO ARMADO",IF(N221=CURSOS!$D$32,"MANIPULACION DE ALIMENTOS Y BPM",IF(N221=CURSOS!$D$33,"ATENCION A PERSONAS CON DISCAPACIDAD",IF(N221=CURSOS!$D$34,"CUIDADO INTEGRAL DEL PACIENTE ADULTO",IF(N221=CURSOS!$D$35,"MANEJO DEFENSIVO",IF(N221=CURSOS!$D$36,"SOPORTE CARDIOVASCULAR AVANZADO NEONATAL",IF(N221=CURSOS!$D$37,"SEGURIDAD DEL PACIENTE")))))))))))))))))))))))))))))))))))</f>
        <v>ACOMPAÑAMIENTO Y MANEJO DEL DUELO</v>
      </c>
      <c r="U221" s="124" t="str">
        <f t="shared" si="12"/>
        <v>Yury Yohana Guerrero Silva</v>
      </c>
      <c r="V221" s="128" t="str">
        <f t="shared" si="13"/>
        <v>Yury Yohana Guerrero Silva</v>
      </c>
      <c r="W221" s="138" t="str">
        <f t="shared" si="14"/>
        <v>Yury Yohana Guerrero Silva-1084226634-DUELO</v>
      </c>
    </row>
    <row r="222" spans="1:23" x14ac:dyDescent="0.2">
      <c r="A222" s="42">
        <v>221</v>
      </c>
      <c r="B222" s="90">
        <v>1084226634</v>
      </c>
      <c r="C222" s="99" t="s">
        <v>155</v>
      </c>
      <c r="D222" s="99" t="s">
        <v>552</v>
      </c>
      <c r="E222" s="99" t="s">
        <v>713</v>
      </c>
      <c r="F222" s="99" t="s">
        <v>705</v>
      </c>
      <c r="G222" s="117">
        <v>19</v>
      </c>
      <c r="H222" s="117" t="s">
        <v>89</v>
      </c>
      <c r="I222" s="16">
        <v>45492</v>
      </c>
      <c r="J222" s="19">
        <v>30000</v>
      </c>
      <c r="K222" s="117" t="s">
        <v>210</v>
      </c>
      <c r="L222" s="117" t="s">
        <v>90</v>
      </c>
      <c r="M222" s="117" t="s">
        <v>118</v>
      </c>
      <c r="N222" s="118" t="s">
        <v>19</v>
      </c>
      <c r="O222" s="99"/>
      <c r="P222" s="118" t="s">
        <v>101</v>
      </c>
      <c r="Q222" s="99" t="s">
        <v>126</v>
      </c>
      <c r="R222" s="99">
        <v>3137447358</v>
      </c>
      <c r="S222" s="99" t="s">
        <v>706</v>
      </c>
      <c r="T222" s="124" t="str">
        <f>IF(N222=CURSOS!$D$3,"DIPLOMADO EN ATENCION PRE-HOSPITALARIA",IF(N222=CURSOS!$D$4,"ACOMPAÑAMIENTO Y MANEJO DEL DUELO",IF(N222=CURSOS!$D$5,"ATENCION A VICTIMAS DE ATAQUE CON AGENTES QUIMICOS ",IF(N222=CURSOS!$D$6,"PRIMEROS AUXILIOS ",IF(N222=CURSOS!$D$7,"DIPLOMADO DE UNIDAD DE CUIDADOS INTENSIVOS (UCI)",IF(N222=CURSOS!$D$8,"MODELO DE ATENCION PARA EVENTOS EMERGENTES EN SALUD MENTAL (CODIGO VERDE)",IF(N222=CURSOS!$D$9,"HUMANIZACION EN EL SERVICIO DE LA SALUD Y BUENAS PRACTICAS EN PACIENTE ",IF(N222=CURSOS!$D$10,"CLINICA DE HERIDAS ",IF(N222=CURSOS!$D$11,"TOMA DE CITOLOGIA CERVICO VAGINAL ",IF(N222=CURSOS!$D$12,"SOPORTE CARDIOVASCULAR AVANZADO (ACLS) ",IF(N222=CURSOS!$D$13,"CAMILLERO ",IF(N222=CURSOS!$D$14,"TOMA DE MUESTRAS Y LABORATORIO ",IF(N222=CURSOS!$D$15,"SOPORTE VITAL BASICO (BLS)",IF(N222=CURSOS!$D$16,"ATENCION A VICTIMAS DE VIOLENCIA SEXUAL ",IF(N222=CURSOS!$D$17,"PROGRAMADO AMPLIADO DE INMUNIZACION (PAI - COVID 19)",IF(N222=CURSOS!$D$18,"ATENCION INTEGRAL EN ENFERMEDADES PREVALENTES EN PRIMERA INFANCIA (AIEPI)",IF(N222=CURSOS!$D$19,"ADMINISTRACION DE MEDICAMENTOS, INYECTOLOGIA  Y CANALIZACION ",IF(N222=CURSOS!$D$20,"OPERADOR DE VEHICULOS DE EMERGENCIA (OVE)",IF(N222=CURSOS!$D$21,"INSTITUCIONES AMIGAS DE LA MUJER Y LA INFANCIA (IAMI)",IF(N222=CURSOS!$D$22,"CUIDADO DEL DONANTE DE ORGANOS",IF(N222=CURSOS!$D$23,"ATENCION A VICTIMAS POR VIOLENCIA DE GENERO",IF(N222=CURSOS!$D$24,"IGUALDAD DE GENERO EN LA SALUD",IF(N222=CURSOS!$D$25,"BRIGADA DE EMERGENCIA",IF(N222=CURSOS!$D$26,"MANEJO DEL DOLOR Y CUIDADOS PALIATIVOS",IF(N222=CURSOS!$D$27,"TOMA DE MUESTRAS Y LABORATORIO POCT",IF(N222=CURSOS!$D$28,"IMPLANTE SUBDERMICO DE DISPOSITIVO INTRAUTERINO",IF(N222=CURSOS!$D$29,"SALUD MENTAL",IF(N222=CURSOS!$D$30,"PRIMEROS AUXILIOS PSICOLOGICOS",IF(N222=CURSOS!$D$31,"ATENCION A VICTIMAS POR CONFLICTO ARMADO",IF(N222=CURSOS!$D$32,"MANIPULACION DE ALIMENTOS Y BPM",IF(N222=CURSOS!$D$33,"ATENCION A PERSONAS CON DISCAPACIDAD",IF(N222=CURSOS!$D$34,"CUIDADO INTEGRAL DEL PACIENTE ADULTO",IF(N222=CURSOS!$D$35,"MANEJO DEFENSIVO",IF(N222=CURSOS!$D$36,"SOPORTE CARDIOVASCULAR AVANZADO NEONATAL",IF(N222=CURSOS!$D$37,"SEGURIDAD DEL PACIENTE")))))))))))))))))))))))))))))))))))</f>
        <v>SOPORTE VITAL BASICO (BLS)</v>
      </c>
      <c r="U222" s="124" t="str">
        <f t="shared" si="12"/>
        <v>Yury Yohana Guerrero Silva</v>
      </c>
      <c r="V222" s="128" t="str">
        <f t="shared" si="13"/>
        <v>Yury Yohana Guerrero Silva</v>
      </c>
      <c r="W222" s="138" t="str">
        <f t="shared" si="14"/>
        <v>Yury Yohana Guerrero Silva-1084226634-BLS</v>
      </c>
    </row>
    <row r="223" spans="1:23" x14ac:dyDescent="0.2">
      <c r="A223" s="42">
        <v>222</v>
      </c>
      <c r="B223" s="90">
        <v>12983912</v>
      </c>
      <c r="C223" s="99" t="s">
        <v>257</v>
      </c>
      <c r="D223" s="99" t="s">
        <v>732</v>
      </c>
      <c r="E223" s="99" t="s">
        <v>105</v>
      </c>
      <c r="F223" s="99"/>
      <c r="G223" s="117">
        <v>19</v>
      </c>
      <c r="H223" s="117" t="s">
        <v>89</v>
      </c>
      <c r="I223" s="16">
        <v>45492</v>
      </c>
      <c r="J223" s="19">
        <v>100000</v>
      </c>
      <c r="K223" s="117" t="s">
        <v>210</v>
      </c>
      <c r="L223" s="117" t="s">
        <v>90</v>
      </c>
      <c r="M223" s="117" t="s">
        <v>228</v>
      </c>
      <c r="N223" s="118" t="s">
        <v>38</v>
      </c>
      <c r="O223" s="18">
        <v>23813</v>
      </c>
      <c r="P223" s="118" t="s">
        <v>91</v>
      </c>
      <c r="Q223" s="99" t="s">
        <v>215</v>
      </c>
      <c r="R223" s="99">
        <v>3136855892</v>
      </c>
      <c r="S223" s="99" t="s">
        <v>733</v>
      </c>
      <c r="T223" s="124" t="str">
        <f>IF(N223=CURSOS!$D$3,"DIPLOMADO EN ATENCION PRE-HOSPITALARIA",IF(N223=CURSOS!$D$4,"ACOMPAÑAMIENTO Y MANEJO DEL DUELO",IF(N223=CURSOS!$D$5,"ATENCION A VICTIMAS DE ATAQUE CON AGENTES QUIMICOS ",IF(N223=CURSOS!$D$6,"PRIMEROS AUXILIOS ",IF(N223=CURSOS!$D$7,"DIPLOMADO DE UNIDAD DE CUIDADOS INTENSIVOS (UCI)",IF(N223=CURSOS!$D$8,"MODELO DE ATENCION PARA EVENTOS EMERGENTES EN SALUD MENTAL (CODIGO VERDE)",IF(N223=CURSOS!$D$9,"HUMANIZACION EN EL SERVICIO DE LA SALUD Y BUENAS PRACTICAS EN PACIENTE ",IF(N223=CURSOS!$D$10,"CLINICA DE HERIDAS ",IF(N223=CURSOS!$D$11,"TOMA DE CITOLOGIA CERVICO VAGINAL ",IF(N223=CURSOS!$D$12,"SOPORTE CARDIOVASCULAR AVANZADO (ACLS) ",IF(N223=CURSOS!$D$13,"CAMILLERO ",IF(N223=CURSOS!$D$14,"TOMA DE MUESTRAS Y LABORATORIO ",IF(N223=CURSOS!$D$15,"SOPORTE VITAL BASICO (BLS)",IF(N223=CURSOS!$D$16,"ATENCION A VICTIMAS DE VIOLENCIA SEXUAL ",IF(N223=CURSOS!$D$17,"PROGRAMADO AMPLIADO DE INMUNIZACION (PAI - COVID 19)",IF(N223=CURSOS!$D$18,"ATENCION INTEGRAL EN ENFERMEDADES PREVALENTES EN PRIMERA INFANCIA (AIEPI)",IF(N223=CURSOS!$D$19,"ADMINISTRACION DE MEDICAMENTOS, INYECTOLOGIA  Y CANALIZACION ",IF(N223=CURSOS!$D$20,"OPERADOR DE VEHICULOS DE EMERGENCIA (OVE)",IF(N223=CURSOS!$D$21,"INSTITUCIONES AMIGAS DE LA MUJER Y LA INFANCIA (IAMI)",IF(N223=CURSOS!$D$22,"CUIDADO DEL DONANTE DE ORGANOS",IF(N223=CURSOS!$D$23,"ATENCION A VICTIMAS POR VIOLENCIA DE GENERO",IF(N223=CURSOS!$D$24,"IGUALDAD DE GENERO EN LA SALUD",IF(N223=CURSOS!$D$25,"BRIGADA DE EMERGENCIA",IF(N223=CURSOS!$D$26,"MANEJO DEL DOLOR Y CUIDADOS PALIATIVOS",IF(N223=CURSOS!$D$27,"TOMA DE MUESTRAS Y LABORATORIO POCT",IF(N223=CURSOS!$D$28,"IMPLANTE SUBDERMICO DE DISPOSITIVO INTRAUTERINO",IF(N223=CURSOS!$D$29,"SALUD MENTAL",IF(N223=CURSOS!$D$30,"PRIMEROS AUXILIOS PSICOLOGICOS",IF(N223=CURSOS!$D$31,"ATENCION A VICTIMAS POR CONFLICTO ARMADO",IF(N223=CURSOS!$D$32,"MANIPULACION DE ALIMENTOS Y BPM",IF(N223=CURSOS!$D$33,"ATENCION A PERSONAS CON DISCAPACIDAD",IF(N223=CURSOS!$D$34,"CUIDADO INTEGRAL DEL PACIENTE ADULTO",IF(N223=CURSOS!$D$35,"MANEJO DEFENSIVO",IF(N223=CURSOS!$D$36,"SOPORTE CARDIOVASCULAR AVANZADO NEONATAL",IF(N223=CURSOS!$D$37,"SEGURIDAD DEL PACIENTE")))))))))))))))))))))))))))))))))))</f>
        <v xml:space="preserve">SOPORTE CARDIOVASCULAR AVANZADO (ACLS) </v>
      </c>
      <c r="U223" s="124" t="str">
        <f t="shared" si="12"/>
        <v>Mauricio  Gómez López</v>
      </c>
      <c r="V223" s="128" t="str">
        <f t="shared" si="13"/>
        <v>Mauricio  Gómez López</v>
      </c>
      <c r="W223" s="138" t="str">
        <f t="shared" si="14"/>
        <v>Mauricio  Gómez López-12983912-ACLS</v>
      </c>
    </row>
    <row r="224" spans="1:23" x14ac:dyDescent="0.2">
      <c r="A224" s="42">
        <v>223</v>
      </c>
      <c r="B224" s="90">
        <v>12983912</v>
      </c>
      <c r="C224" s="99" t="s">
        <v>257</v>
      </c>
      <c r="D224" s="99" t="s">
        <v>732</v>
      </c>
      <c r="E224" s="99" t="s">
        <v>105</v>
      </c>
      <c r="F224" s="99"/>
      <c r="G224" s="117">
        <v>19</v>
      </c>
      <c r="H224" s="117" t="s">
        <v>89</v>
      </c>
      <c r="I224" s="16">
        <v>45492</v>
      </c>
      <c r="J224" s="19">
        <v>20000</v>
      </c>
      <c r="K224" s="117" t="s">
        <v>210</v>
      </c>
      <c r="L224" s="117" t="s">
        <v>90</v>
      </c>
      <c r="M224" s="117" t="s">
        <v>228</v>
      </c>
      <c r="N224" s="118" t="s">
        <v>43</v>
      </c>
      <c r="O224" s="18">
        <v>23813</v>
      </c>
      <c r="P224" s="118" t="s">
        <v>91</v>
      </c>
      <c r="Q224" s="99" t="s">
        <v>215</v>
      </c>
      <c r="R224" s="99">
        <v>3136855892</v>
      </c>
      <c r="S224" s="99" t="s">
        <v>733</v>
      </c>
      <c r="T224" s="124" t="str">
        <f>IF(N224=CURSOS!$D$3,"DIPLOMADO EN ATENCION PRE-HOSPITALARIA",IF(N224=CURSOS!$D$4,"ACOMPAÑAMIENTO Y MANEJO DEL DUELO",IF(N224=CURSOS!$D$5,"ATENCION A VICTIMAS DE ATAQUE CON AGENTES QUIMICOS ",IF(N224=CURSOS!$D$6,"PRIMEROS AUXILIOS ",IF(N224=CURSOS!$D$7,"DIPLOMADO DE UNIDAD DE CUIDADOS INTENSIVOS (UCI)",IF(N224=CURSOS!$D$8,"MODELO DE ATENCION PARA EVENTOS EMERGENTES EN SALUD MENTAL (CODIGO VERDE)",IF(N224=CURSOS!$D$9,"HUMANIZACION EN EL SERVICIO DE LA SALUD Y BUENAS PRACTICAS EN PACIENTE ",IF(N224=CURSOS!$D$10,"CLINICA DE HERIDAS ",IF(N224=CURSOS!$D$11,"TOMA DE CITOLOGIA CERVICO VAGINAL ",IF(N224=CURSOS!$D$12,"SOPORTE CARDIOVASCULAR AVANZADO (ACLS) ",IF(N224=CURSOS!$D$13,"CAMILLERO ",IF(N224=CURSOS!$D$14,"TOMA DE MUESTRAS Y LABORATORIO ",IF(N224=CURSOS!$D$15,"SOPORTE VITAL BASICO (BLS)",IF(N224=CURSOS!$D$16,"ATENCION A VICTIMAS DE VIOLENCIA SEXUAL ",IF(N224=CURSOS!$D$17,"PROGRAMADO AMPLIADO DE INMUNIZACION (PAI - COVID 19)",IF(N224=CURSOS!$D$18,"ATENCION INTEGRAL EN ENFERMEDADES PREVALENTES EN PRIMERA INFANCIA (AIEPI)",IF(N224=CURSOS!$D$19,"ADMINISTRACION DE MEDICAMENTOS, INYECTOLOGIA  Y CANALIZACION ",IF(N224=CURSOS!$D$20,"OPERADOR DE VEHICULOS DE EMERGENCIA (OVE)",IF(N224=CURSOS!$D$21,"INSTITUCIONES AMIGAS DE LA MUJER Y LA INFANCIA (IAMI)",IF(N224=CURSOS!$D$22,"CUIDADO DEL DONANTE DE ORGANOS",IF(N224=CURSOS!$D$23,"ATENCION A VICTIMAS POR VIOLENCIA DE GENERO",IF(N224=CURSOS!$D$24,"IGUALDAD DE GENERO EN LA SALUD",IF(N224=CURSOS!$D$25,"BRIGADA DE EMERGENCIA",IF(N224=CURSOS!$D$26,"MANEJO DEL DOLOR Y CUIDADOS PALIATIVOS",IF(N224=CURSOS!$D$27,"TOMA DE MUESTRAS Y LABORATORIO POCT",IF(N224=CURSOS!$D$28,"IMPLANTE SUBDERMICO DE DISPOSITIVO INTRAUTERINO",IF(N224=CURSOS!$D$29,"SALUD MENTAL",IF(N224=CURSOS!$D$30,"PRIMEROS AUXILIOS PSICOLOGICOS",IF(N224=CURSOS!$D$31,"ATENCION A VICTIMAS POR CONFLICTO ARMADO",IF(N224=CURSOS!$D$32,"MANIPULACION DE ALIMENTOS Y BPM",IF(N224=CURSOS!$D$33,"ATENCION A PERSONAS CON DISCAPACIDAD",IF(N224=CURSOS!$D$34,"CUIDADO INTEGRAL DEL PACIENTE ADULTO",IF(N224=CURSOS!$D$35,"MANEJO DEFENSIVO",IF(N224=CURSOS!$D$36,"SOPORTE CARDIOVASCULAR AVANZADO NEONATAL",IF(N224=CURSOS!$D$37,"SEGURIDAD DEL PACIENTE")))))))))))))))))))))))))))))))))))</f>
        <v xml:space="preserve">ATENCION A VICTIMAS DE VIOLENCIA SEXUAL </v>
      </c>
      <c r="U224" s="124" t="str">
        <f t="shared" si="12"/>
        <v>Mauricio  Gómez López</v>
      </c>
      <c r="V224" s="128" t="str">
        <f t="shared" si="13"/>
        <v>Mauricio  Gómez López</v>
      </c>
      <c r="W224" s="138" t="str">
        <f t="shared" si="14"/>
        <v>Mauricio  Gómez López-12983912-VIOLENCIA SEXUAL</v>
      </c>
    </row>
    <row r="225" spans="1:23" x14ac:dyDescent="0.2">
      <c r="A225" s="42">
        <v>224</v>
      </c>
      <c r="B225" s="90">
        <v>1004541003</v>
      </c>
      <c r="C225" s="99" t="s">
        <v>422</v>
      </c>
      <c r="D225" s="99" t="s">
        <v>650</v>
      </c>
      <c r="E225" s="99" t="s">
        <v>734</v>
      </c>
      <c r="F225" s="99" t="s">
        <v>171</v>
      </c>
      <c r="G225" s="117">
        <v>18</v>
      </c>
      <c r="H225" s="117" t="s">
        <v>89</v>
      </c>
      <c r="I225" s="16">
        <v>45492</v>
      </c>
      <c r="J225" s="19">
        <v>25000</v>
      </c>
      <c r="K225" s="117" t="s">
        <v>210</v>
      </c>
      <c r="L225" s="117" t="s">
        <v>337</v>
      </c>
      <c r="M225" s="117" t="s">
        <v>118</v>
      </c>
      <c r="N225" s="118" t="s">
        <v>43</v>
      </c>
      <c r="O225" s="18">
        <v>36160</v>
      </c>
      <c r="P225" s="118" t="s">
        <v>91</v>
      </c>
      <c r="Q225" s="99" t="s">
        <v>215</v>
      </c>
      <c r="R225" s="99">
        <v>3165018089</v>
      </c>
      <c r="S225" s="99" t="s">
        <v>735</v>
      </c>
      <c r="T225" s="124" t="str">
        <f>IF(N225=CURSOS!$D$3,"DIPLOMADO EN ATENCION PRE-HOSPITALARIA",IF(N225=CURSOS!$D$4,"ACOMPAÑAMIENTO Y MANEJO DEL DUELO",IF(N225=CURSOS!$D$5,"ATENCION A VICTIMAS DE ATAQUE CON AGENTES QUIMICOS ",IF(N225=CURSOS!$D$6,"PRIMEROS AUXILIOS ",IF(N225=CURSOS!$D$7,"DIPLOMADO DE UNIDAD DE CUIDADOS INTENSIVOS (UCI)",IF(N225=CURSOS!$D$8,"MODELO DE ATENCION PARA EVENTOS EMERGENTES EN SALUD MENTAL (CODIGO VERDE)",IF(N225=CURSOS!$D$9,"HUMANIZACION EN EL SERVICIO DE LA SALUD Y BUENAS PRACTICAS EN PACIENTE ",IF(N225=CURSOS!$D$10,"CLINICA DE HERIDAS ",IF(N225=CURSOS!$D$11,"TOMA DE CITOLOGIA CERVICO VAGINAL ",IF(N225=CURSOS!$D$12,"SOPORTE CARDIOVASCULAR AVANZADO (ACLS) ",IF(N225=CURSOS!$D$13,"CAMILLERO ",IF(N225=CURSOS!$D$14,"TOMA DE MUESTRAS Y LABORATORIO ",IF(N225=CURSOS!$D$15,"SOPORTE VITAL BASICO (BLS)",IF(N225=CURSOS!$D$16,"ATENCION A VICTIMAS DE VIOLENCIA SEXUAL ",IF(N225=CURSOS!$D$17,"PROGRAMADO AMPLIADO DE INMUNIZACION (PAI - COVID 19)",IF(N225=CURSOS!$D$18,"ATENCION INTEGRAL EN ENFERMEDADES PREVALENTES EN PRIMERA INFANCIA (AIEPI)",IF(N225=CURSOS!$D$19,"ADMINISTRACION DE MEDICAMENTOS, INYECTOLOGIA  Y CANALIZACION ",IF(N225=CURSOS!$D$20,"OPERADOR DE VEHICULOS DE EMERGENCIA (OVE)",IF(N225=CURSOS!$D$21,"INSTITUCIONES AMIGAS DE LA MUJER Y LA INFANCIA (IAMI)",IF(N225=CURSOS!$D$22,"CUIDADO DEL DONANTE DE ORGANOS",IF(N225=CURSOS!$D$23,"ATENCION A VICTIMAS POR VIOLENCIA DE GENERO",IF(N225=CURSOS!$D$24,"IGUALDAD DE GENERO EN LA SALUD",IF(N225=CURSOS!$D$25,"BRIGADA DE EMERGENCIA",IF(N225=CURSOS!$D$26,"MANEJO DEL DOLOR Y CUIDADOS PALIATIVOS",IF(N225=CURSOS!$D$27,"TOMA DE MUESTRAS Y LABORATORIO POCT",IF(N225=CURSOS!$D$28,"IMPLANTE SUBDERMICO DE DISPOSITIVO INTRAUTERINO",IF(N225=CURSOS!$D$29,"SALUD MENTAL",IF(N225=CURSOS!$D$30,"PRIMEROS AUXILIOS PSICOLOGICOS",IF(N225=CURSOS!$D$31,"ATENCION A VICTIMAS POR CONFLICTO ARMADO",IF(N225=CURSOS!$D$32,"MANIPULACION DE ALIMENTOS Y BPM",IF(N225=CURSOS!$D$33,"ATENCION A PERSONAS CON DISCAPACIDAD",IF(N225=CURSOS!$D$34,"CUIDADO INTEGRAL DEL PACIENTE ADULTO",IF(N225=CURSOS!$D$35,"MANEJO DEFENSIVO",IF(N225=CURSOS!$D$36,"SOPORTE CARDIOVASCULAR AVANZADO NEONATAL",IF(N225=CURSOS!$D$37,"SEGURIDAD DEL PACIENTE")))))))))))))))))))))))))))))))))))</f>
        <v xml:space="preserve">ATENCION A VICTIMAS DE VIOLENCIA SEXUAL </v>
      </c>
      <c r="U225" s="124" t="str">
        <f t="shared" si="12"/>
        <v>Mateo Alejandro Santander Jiménez</v>
      </c>
      <c r="V225" s="128" t="str">
        <f t="shared" si="13"/>
        <v>Mateo Alejandro Santander Jiménez</v>
      </c>
      <c r="W225" s="138" t="str">
        <f t="shared" si="14"/>
        <v>Mateo Alejandro Santander Jiménez-1004541003-VIOLENCIA SEXUAL</v>
      </c>
    </row>
    <row r="226" spans="1:23" x14ac:dyDescent="0.2">
      <c r="A226" s="42">
        <v>225</v>
      </c>
      <c r="B226" s="90">
        <v>1004541003</v>
      </c>
      <c r="C226" s="99" t="s">
        <v>422</v>
      </c>
      <c r="D226" s="99" t="s">
        <v>650</v>
      </c>
      <c r="E226" s="99" t="s">
        <v>734</v>
      </c>
      <c r="F226" s="99" t="s">
        <v>171</v>
      </c>
      <c r="G226" s="117">
        <v>19</v>
      </c>
      <c r="H226" s="117" t="s">
        <v>89</v>
      </c>
      <c r="I226" s="16">
        <v>45492</v>
      </c>
      <c r="J226" s="19">
        <v>25000</v>
      </c>
      <c r="K226" s="117" t="s">
        <v>210</v>
      </c>
      <c r="L226" s="117" t="s">
        <v>337</v>
      </c>
      <c r="M226" s="117" t="s">
        <v>118</v>
      </c>
      <c r="N226" s="118" t="s">
        <v>25</v>
      </c>
      <c r="O226" s="18">
        <v>36160</v>
      </c>
      <c r="P226" s="118" t="s">
        <v>91</v>
      </c>
      <c r="Q226" s="99" t="s">
        <v>215</v>
      </c>
      <c r="R226" s="99">
        <v>3165018089</v>
      </c>
      <c r="S226" s="99" t="s">
        <v>735</v>
      </c>
      <c r="T226" s="124" t="str">
        <f>IF(N226=CURSOS!$D$3,"DIPLOMADO EN ATENCION PRE-HOSPITALARIA",IF(N226=CURSOS!$D$4,"ACOMPAÑAMIENTO Y MANEJO DEL DUELO",IF(N226=CURSOS!$D$5,"ATENCION A VICTIMAS DE ATAQUE CON AGENTES QUIMICOS ",IF(N226=CURSOS!$D$6,"PRIMEROS AUXILIOS ",IF(N226=CURSOS!$D$7,"DIPLOMADO DE UNIDAD DE CUIDADOS INTENSIVOS (UCI)",IF(N226=CURSOS!$D$8,"MODELO DE ATENCION PARA EVENTOS EMERGENTES EN SALUD MENTAL (CODIGO VERDE)",IF(N226=CURSOS!$D$9,"HUMANIZACION EN EL SERVICIO DE LA SALUD Y BUENAS PRACTICAS EN PACIENTE ",IF(N226=CURSOS!$D$10,"CLINICA DE HERIDAS ",IF(N226=CURSOS!$D$11,"TOMA DE CITOLOGIA CERVICO VAGINAL ",IF(N226=CURSOS!$D$12,"SOPORTE CARDIOVASCULAR AVANZADO (ACLS) ",IF(N226=CURSOS!$D$13,"CAMILLERO ",IF(N226=CURSOS!$D$14,"TOMA DE MUESTRAS Y LABORATORIO ",IF(N226=CURSOS!$D$15,"SOPORTE VITAL BASICO (BLS)",IF(N226=CURSOS!$D$16,"ATENCION A VICTIMAS DE VIOLENCIA SEXUAL ",IF(N226=CURSOS!$D$17,"PROGRAMADO AMPLIADO DE INMUNIZACION (PAI - COVID 19)",IF(N226=CURSOS!$D$18,"ATENCION INTEGRAL EN ENFERMEDADES PREVALENTES EN PRIMERA INFANCIA (AIEPI)",IF(N226=CURSOS!$D$19,"ADMINISTRACION DE MEDICAMENTOS, INYECTOLOGIA  Y CANALIZACION ",IF(N226=CURSOS!$D$20,"OPERADOR DE VEHICULOS DE EMERGENCIA (OVE)",IF(N226=CURSOS!$D$21,"INSTITUCIONES AMIGAS DE LA MUJER Y LA INFANCIA (IAMI)",IF(N226=CURSOS!$D$22,"CUIDADO DEL DONANTE DE ORGANOS",IF(N226=CURSOS!$D$23,"ATENCION A VICTIMAS POR VIOLENCIA DE GENERO",IF(N226=CURSOS!$D$24,"IGUALDAD DE GENERO EN LA SALUD",IF(N226=CURSOS!$D$25,"BRIGADA DE EMERGENCIA",IF(N226=CURSOS!$D$26,"MANEJO DEL DOLOR Y CUIDADOS PALIATIVOS",IF(N226=CURSOS!$D$27,"TOMA DE MUESTRAS Y LABORATORIO POCT",IF(N226=CURSOS!$D$28,"IMPLANTE SUBDERMICO DE DISPOSITIVO INTRAUTERINO",IF(N226=CURSOS!$D$29,"SALUD MENTAL",IF(N226=CURSOS!$D$30,"PRIMEROS AUXILIOS PSICOLOGICOS",IF(N226=CURSOS!$D$31,"ATENCION A VICTIMAS POR CONFLICTO ARMADO",IF(N226=CURSOS!$D$32,"MANIPULACION DE ALIMENTOS Y BPM",IF(N226=CURSOS!$D$33,"ATENCION A PERSONAS CON DISCAPACIDAD",IF(N226=CURSOS!$D$34,"CUIDADO INTEGRAL DEL PACIENTE ADULTO",IF(N226=CURSOS!$D$35,"MANEJO DEFENSIVO",IF(N226=CURSOS!$D$36,"SOPORTE CARDIOVASCULAR AVANZADO NEONATAL",IF(N226=CURSOS!$D$37,"SEGURIDAD DEL PACIENTE")))))))))))))))))))))))))))))))))))</f>
        <v xml:space="preserve">ATENCION A VICTIMAS DE ATAQUE CON AGENTES QUIMICOS </v>
      </c>
      <c r="U226" s="124" t="str">
        <f t="shared" si="12"/>
        <v>Mateo Alejandro Santander Jiménez</v>
      </c>
      <c r="V226" s="128" t="str">
        <f t="shared" si="13"/>
        <v>Mateo Alejandro Santander Jiménez</v>
      </c>
      <c r="W226" s="138" t="str">
        <f t="shared" si="14"/>
        <v>Mateo Alejandro Santander Jiménez-1004541003-QUIMICOS</v>
      </c>
    </row>
    <row r="227" spans="1:23" x14ac:dyDescent="0.2">
      <c r="A227" s="42">
        <v>226</v>
      </c>
      <c r="B227" s="90">
        <v>1004541003</v>
      </c>
      <c r="C227" s="99" t="s">
        <v>422</v>
      </c>
      <c r="D227" s="99" t="s">
        <v>650</v>
      </c>
      <c r="E227" s="99" t="s">
        <v>734</v>
      </c>
      <c r="F227" s="99" t="s">
        <v>171</v>
      </c>
      <c r="G227" s="117">
        <v>18</v>
      </c>
      <c r="H227" s="117" t="s">
        <v>89</v>
      </c>
      <c r="I227" s="16">
        <v>45492</v>
      </c>
      <c r="J227" s="19">
        <v>25000</v>
      </c>
      <c r="K227" s="117" t="s">
        <v>210</v>
      </c>
      <c r="L227" s="117" t="s">
        <v>337</v>
      </c>
      <c r="M227" s="117" t="s">
        <v>118</v>
      </c>
      <c r="N227" s="118" t="s">
        <v>23</v>
      </c>
      <c r="O227" s="18">
        <v>36160</v>
      </c>
      <c r="P227" s="118" t="s">
        <v>91</v>
      </c>
      <c r="Q227" s="99" t="s">
        <v>215</v>
      </c>
      <c r="R227" s="99">
        <v>3165018089</v>
      </c>
      <c r="S227" s="99" t="s">
        <v>735</v>
      </c>
      <c r="T227" s="124" t="str">
        <f>IF(N227=CURSOS!$D$3,"DIPLOMADO EN ATENCION PRE-HOSPITALARIA",IF(N227=CURSOS!$D$4,"ACOMPAÑAMIENTO Y MANEJO DEL DUELO",IF(N227=CURSOS!$D$5,"ATENCION A VICTIMAS DE ATAQUE CON AGENTES QUIMICOS ",IF(N227=CURSOS!$D$6,"PRIMEROS AUXILIOS ",IF(N227=CURSOS!$D$7,"DIPLOMADO DE UNIDAD DE CUIDADOS INTENSIVOS (UCI)",IF(N227=CURSOS!$D$8,"MODELO DE ATENCION PARA EVENTOS EMERGENTES EN SALUD MENTAL (CODIGO VERDE)",IF(N227=CURSOS!$D$9,"HUMANIZACION EN EL SERVICIO DE LA SALUD Y BUENAS PRACTICAS EN PACIENTE ",IF(N227=CURSOS!$D$10,"CLINICA DE HERIDAS ",IF(N227=CURSOS!$D$11,"TOMA DE CITOLOGIA CERVICO VAGINAL ",IF(N227=CURSOS!$D$12,"SOPORTE CARDIOVASCULAR AVANZADO (ACLS) ",IF(N227=CURSOS!$D$13,"CAMILLERO ",IF(N227=CURSOS!$D$14,"TOMA DE MUESTRAS Y LABORATORIO ",IF(N227=CURSOS!$D$15,"SOPORTE VITAL BASICO (BLS)",IF(N227=CURSOS!$D$16,"ATENCION A VICTIMAS DE VIOLENCIA SEXUAL ",IF(N227=CURSOS!$D$17,"PROGRAMADO AMPLIADO DE INMUNIZACION (PAI - COVID 19)",IF(N227=CURSOS!$D$18,"ATENCION INTEGRAL EN ENFERMEDADES PREVALENTES EN PRIMERA INFANCIA (AIEPI)",IF(N227=CURSOS!$D$19,"ADMINISTRACION DE MEDICAMENTOS, INYECTOLOGIA  Y CANALIZACION ",IF(N227=CURSOS!$D$20,"OPERADOR DE VEHICULOS DE EMERGENCIA (OVE)",IF(N227=CURSOS!$D$21,"INSTITUCIONES AMIGAS DE LA MUJER Y LA INFANCIA (IAMI)",IF(N227=CURSOS!$D$22,"CUIDADO DEL DONANTE DE ORGANOS",IF(N227=CURSOS!$D$23,"ATENCION A VICTIMAS POR VIOLENCIA DE GENERO",IF(N227=CURSOS!$D$24,"IGUALDAD DE GENERO EN LA SALUD",IF(N227=CURSOS!$D$25,"BRIGADA DE EMERGENCIA",IF(N227=CURSOS!$D$26,"MANEJO DEL DOLOR Y CUIDADOS PALIATIVOS",IF(N227=CURSOS!$D$27,"TOMA DE MUESTRAS Y LABORATORIO POCT",IF(N227=CURSOS!$D$28,"IMPLANTE SUBDERMICO DE DISPOSITIVO INTRAUTERINO",IF(N227=CURSOS!$D$29,"SALUD MENTAL",IF(N227=CURSOS!$D$30,"PRIMEROS AUXILIOS PSICOLOGICOS",IF(N227=CURSOS!$D$31,"ATENCION A VICTIMAS POR CONFLICTO ARMADO",IF(N227=CURSOS!$D$32,"MANIPULACION DE ALIMENTOS Y BPM",IF(N227=CURSOS!$D$33,"ATENCION A PERSONAS CON DISCAPACIDAD",IF(N227=CURSOS!$D$34,"CUIDADO INTEGRAL DEL PACIENTE ADULTO",IF(N227=CURSOS!$D$35,"MANEJO DEFENSIVO",IF(N227=CURSOS!$D$36,"SOPORTE CARDIOVASCULAR AVANZADO NEONATAL",IF(N227=CURSOS!$D$37,"SEGURIDAD DEL PACIENTE")))))))))))))))))))))))))))))))))))</f>
        <v>ACOMPAÑAMIENTO Y MANEJO DEL DUELO</v>
      </c>
      <c r="U227" s="124" t="str">
        <f t="shared" si="12"/>
        <v>Mateo Alejandro Santander Jiménez</v>
      </c>
      <c r="V227" s="128" t="str">
        <f t="shared" si="13"/>
        <v>Mateo Alejandro Santander Jiménez</v>
      </c>
      <c r="W227" s="138" t="str">
        <f t="shared" si="14"/>
        <v>Mateo Alejandro Santander Jiménez-1004541003-DUELO</v>
      </c>
    </row>
    <row r="228" spans="1:23" x14ac:dyDescent="0.2">
      <c r="A228" s="42">
        <v>227</v>
      </c>
      <c r="B228" s="90">
        <v>1004541003</v>
      </c>
      <c r="C228" s="99" t="s">
        <v>422</v>
      </c>
      <c r="D228" s="99" t="s">
        <v>650</v>
      </c>
      <c r="E228" s="99" t="s">
        <v>734</v>
      </c>
      <c r="F228" s="99" t="s">
        <v>171</v>
      </c>
      <c r="G228" s="117">
        <v>18</v>
      </c>
      <c r="H228" s="117" t="s">
        <v>89</v>
      </c>
      <c r="I228" s="16">
        <v>45492</v>
      </c>
      <c r="J228" s="19">
        <v>25000</v>
      </c>
      <c r="K228" s="117" t="s">
        <v>210</v>
      </c>
      <c r="L228" s="117" t="s">
        <v>337</v>
      </c>
      <c r="M228" s="117" t="s">
        <v>118</v>
      </c>
      <c r="N228" s="118" t="s">
        <v>61</v>
      </c>
      <c r="O228" s="18">
        <v>36160</v>
      </c>
      <c r="P228" s="118" t="s">
        <v>91</v>
      </c>
      <c r="Q228" s="99" t="s">
        <v>215</v>
      </c>
      <c r="R228" s="99">
        <v>3165018089</v>
      </c>
      <c r="S228" s="99" t="s">
        <v>735</v>
      </c>
      <c r="T228" s="124" t="str">
        <f>IF(N228=CURSOS!$D$3,"DIPLOMADO EN ATENCION PRE-HOSPITALARIA",IF(N228=CURSOS!$D$4,"ACOMPAÑAMIENTO Y MANEJO DEL DUELO",IF(N228=CURSOS!$D$5,"ATENCION A VICTIMAS DE ATAQUE CON AGENTES QUIMICOS ",IF(N228=CURSOS!$D$6,"PRIMEROS AUXILIOS ",IF(N228=CURSOS!$D$7,"DIPLOMADO DE UNIDAD DE CUIDADOS INTENSIVOS (UCI)",IF(N228=CURSOS!$D$8,"MODELO DE ATENCION PARA EVENTOS EMERGENTES EN SALUD MENTAL (CODIGO VERDE)",IF(N228=CURSOS!$D$9,"HUMANIZACION EN EL SERVICIO DE LA SALUD Y BUENAS PRACTICAS EN PACIENTE ",IF(N228=CURSOS!$D$10,"CLINICA DE HERIDAS ",IF(N228=CURSOS!$D$11,"TOMA DE CITOLOGIA CERVICO VAGINAL ",IF(N228=CURSOS!$D$12,"SOPORTE CARDIOVASCULAR AVANZADO (ACLS) ",IF(N228=CURSOS!$D$13,"CAMILLERO ",IF(N228=CURSOS!$D$14,"TOMA DE MUESTRAS Y LABORATORIO ",IF(N228=CURSOS!$D$15,"SOPORTE VITAL BASICO (BLS)",IF(N228=CURSOS!$D$16,"ATENCION A VICTIMAS DE VIOLENCIA SEXUAL ",IF(N228=CURSOS!$D$17,"PROGRAMADO AMPLIADO DE INMUNIZACION (PAI - COVID 19)",IF(N228=CURSOS!$D$18,"ATENCION INTEGRAL EN ENFERMEDADES PREVALENTES EN PRIMERA INFANCIA (AIEPI)",IF(N228=CURSOS!$D$19,"ADMINISTRACION DE MEDICAMENTOS, INYECTOLOGIA  Y CANALIZACION ",IF(N228=CURSOS!$D$20,"OPERADOR DE VEHICULOS DE EMERGENCIA (OVE)",IF(N228=CURSOS!$D$21,"INSTITUCIONES AMIGAS DE LA MUJER Y LA INFANCIA (IAMI)",IF(N228=CURSOS!$D$22,"CUIDADO DEL DONANTE DE ORGANOS",IF(N228=CURSOS!$D$23,"ATENCION A VICTIMAS POR VIOLENCIA DE GENERO",IF(N228=CURSOS!$D$24,"IGUALDAD DE GENERO EN LA SALUD",IF(N228=CURSOS!$D$25,"BRIGADA DE EMERGENCIA",IF(N228=CURSOS!$D$26,"MANEJO DEL DOLOR Y CUIDADOS PALIATIVOS",IF(N228=CURSOS!$D$27,"TOMA DE MUESTRAS Y LABORATORIO POCT",IF(N228=CURSOS!$D$28,"IMPLANTE SUBDERMICO DE DISPOSITIVO INTRAUTERINO",IF(N228=CURSOS!$D$29,"SALUD MENTAL",IF(N228=CURSOS!$D$30,"PRIMEROS AUXILIOS PSICOLOGICOS",IF(N228=CURSOS!$D$31,"ATENCION A VICTIMAS POR CONFLICTO ARMADO",IF(N228=CURSOS!$D$32,"MANIPULACION DE ALIMENTOS Y BPM",IF(N228=CURSOS!$D$33,"ATENCION A PERSONAS CON DISCAPACIDAD",IF(N228=CURSOS!$D$34,"CUIDADO INTEGRAL DEL PACIENTE ADULTO",IF(N228=CURSOS!$D$35,"MANEJO DEFENSIVO",IF(N228=CURSOS!$D$36,"SOPORTE CARDIOVASCULAR AVANZADO NEONATAL",IF(N228=CURSOS!$D$37,"SEGURIDAD DEL PACIENTE")))))))))))))))))))))))))))))))))))</f>
        <v>MANEJO DEL DOLOR Y CUIDADOS PALIATIVOS</v>
      </c>
      <c r="U228" s="124" t="str">
        <f t="shared" si="12"/>
        <v>Mateo Alejandro Santander Jiménez</v>
      </c>
      <c r="V228" s="128" t="str">
        <f t="shared" si="13"/>
        <v>Mateo Alejandro Santander Jiménez</v>
      </c>
      <c r="W228" s="138" t="str">
        <f t="shared" si="14"/>
        <v>Mateo Alejandro Santander Jiménez-1004541003-PALIATIVOS</v>
      </c>
    </row>
    <row r="229" spans="1:23" x14ac:dyDescent="0.2">
      <c r="A229" s="42">
        <v>228</v>
      </c>
      <c r="B229" s="90">
        <v>1004541003</v>
      </c>
      <c r="C229" s="99" t="s">
        <v>422</v>
      </c>
      <c r="D229" s="99" t="s">
        <v>650</v>
      </c>
      <c r="E229" s="99" t="s">
        <v>734</v>
      </c>
      <c r="F229" s="99" t="s">
        <v>171</v>
      </c>
      <c r="G229" s="117">
        <v>18</v>
      </c>
      <c r="H229" s="117" t="s">
        <v>89</v>
      </c>
      <c r="I229" s="16">
        <v>45492</v>
      </c>
      <c r="J229" s="19">
        <v>25000</v>
      </c>
      <c r="K229" s="117" t="s">
        <v>210</v>
      </c>
      <c r="L229" s="117" t="s">
        <v>337</v>
      </c>
      <c r="M229" s="117" t="s">
        <v>118</v>
      </c>
      <c r="N229" s="118" t="s">
        <v>33</v>
      </c>
      <c r="O229" s="18">
        <v>36160</v>
      </c>
      <c r="P229" s="118" t="s">
        <v>91</v>
      </c>
      <c r="Q229" s="99" t="s">
        <v>215</v>
      </c>
      <c r="R229" s="99">
        <v>3165018089</v>
      </c>
      <c r="S229" s="99" t="s">
        <v>735</v>
      </c>
      <c r="T229" s="124" t="str">
        <f>IF(N229=CURSOS!$D$3,"DIPLOMADO EN ATENCION PRE-HOSPITALARIA",IF(N229=CURSOS!$D$4,"ACOMPAÑAMIENTO Y MANEJO DEL DUELO",IF(N229=CURSOS!$D$5,"ATENCION A VICTIMAS DE ATAQUE CON AGENTES QUIMICOS ",IF(N229=CURSOS!$D$6,"PRIMEROS AUXILIOS ",IF(N229=CURSOS!$D$7,"DIPLOMADO DE UNIDAD DE CUIDADOS INTENSIVOS (UCI)",IF(N229=CURSOS!$D$8,"MODELO DE ATENCION PARA EVENTOS EMERGENTES EN SALUD MENTAL (CODIGO VERDE)",IF(N229=CURSOS!$D$9,"HUMANIZACION EN EL SERVICIO DE LA SALUD Y BUENAS PRACTICAS EN PACIENTE ",IF(N229=CURSOS!$D$10,"CLINICA DE HERIDAS ",IF(N229=CURSOS!$D$11,"TOMA DE CITOLOGIA CERVICO VAGINAL ",IF(N229=CURSOS!$D$12,"SOPORTE CARDIOVASCULAR AVANZADO (ACLS) ",IF(N229=CURSOS!$D$13,"CAMILLERO ",IF(N229=CURSOS!$D$14,"TOMA DE MUESTRAS Y LABORATORIO ",IF(N229=CURSOS!$D$15,"SOPORTE VITAL BASICO (BLS)",IF(N229=CURSOS!$D$16,"ATENCION A VICTIMAS DE VIOLENCIA SEXUAL ",IF(N229=CURSOS!$D$17,"PROGRAMADO AMPLIADO DE INMUNIZACION (PAI - COVID 19)",IF(N229=CURSOS!$D$18,"ATENCION INTEGRAL EN ENFERMEDADES PREVALENTES EN PRIMERA INFANCIA (AIEPI)",IF(N229=CURSOS!$D$19,"ADMINISTRACION DE MEDICAMENTOS, INYECTOLOGIA  Y CANALIZACION ",IF(N229=CURSOS!$D$20,"OPERADOR DE VEHICULOS DE EMERGENCIA (OVE)",IF(N229=CURSOS!$D$21,"INSTITUCIONES AMIGAS DE LA MUJER Y LA INFANCIA (IAMI)",IF(N229=CURSOS!$D$22,"CUIDADO DEL DONANTE DE ORGANOS",IF(N229=CURSOS!$D$23,"ATENCION A VICTIMAS POR VIOLENCIA DE GENERO",IF(N229=CURSOS!$D$24,"IGUALDAD DE GENERO EN LA SALUD",IF(N229=CURSOS!$D$25,"BRIGADA DE EMERGENCIA",IF(N229=CURSOS!$D$26,"MANEJO DEL DOLOR Y CUIDADOS PALIATIVOS",IF(N229=CURSOS!$D$27,"TOMA DE MUESTRAS Y LABORATORIO POCT",IF(N229=CURSOS!$D$28,"IMPLANTE SUBDERMICO DE DISPOSITIVO INTRAUTERINO",IF(N229=CURSOS!$D$29,"SALUD MENTAL",IF(N229=CURSOS!$D$30,"PRIMEROS AUXILIOS PSICOLOGICOS",IF(N229=CURSOS!$D$31,"ATENCION A VICTIMAS POR CONFLICTO ARMADO",IF(N229=CURSOS!$D$32,"MANIPULACION DE ALIMENTOS Y BPM",IF(N229=CURSOS!$D$33,"ATENCION A PERSONAS CON DISCAPACIDAD",IF(N229=CURSOS!$D$34,"CUIDADO INTEGRAL DEL PACIENTE ADULTO",IF(N229=CURSOS!$D$35,"MANEJO DEFENSIVO",IF(N229=CURSOS!$D$36,"SOPORTE CARDIOVASCULAR AVANZADO NEONATAL",IF(N229=CURSOS!$D$37,"SEGURIDAD DEL PACIENTE")))))))))))))))))))))))))))))))))))</f>
        <v xml:space="preserve">HUMANIZACION EN EL SERVICIO DE LA SALUD Y BUENAS PRACTICAS EN PACIENTE </v>
      </c>
      <c r="U229" s="124" t="str">
        <f t="shared" si="12"/>
        <v>Mateo Alejandro Santander Jiménez</v>
      </c>
      <c r="V229" s="128" t="str">
        <f t="shared" si="13"/>
        <v>Mateo Alejandro Santander Jiménez</v>
      </c>
      <c r="W229" s="138" t="str">
        <f t="shared" si="14"/>
        <v>Mateo Alejandro Santander Jiménez-1004541003-HUMANIZACION</v>
      </c>
    </row>
    <row r="230" spans="1:23" x14ac:dyDescent="0.2">
      <c r="A230" s="42">
        <v>229</v>
      </c>
      <c r="B230" s="90">
        <v>1004541003</v>
      </c>
      <c r="C230" s="99" t="s">
        <v>422</v>
      </c>
      <c r="D230" s="99" t="s">
        <v>650</v>
      </c>
      <c r="E230" s="99" t="s">
        <v>734</v>
      </c>
      <c r="F230" s="99" t="s">
        <v>171</v>
      </c>
      <c r="G230" s="117">
        <v>18</v>
      </c>
      <c r="H230" s="117" t="s">
        <v>89</v>
      </c>
      <c r="I230" s="16">
        <v>45492</v>
      </c>
      <c r="J230" s="19">
        <v>25000</v>
      </c>
      <c r="K230" s="117" t="s">
        <v>210</v>
      </c>
      <c r="L230" s="117" t="s">
        <v>337</v>
      </c>
      <c r="M230" s="117" t="s">
        <v>118</v>
      </c>
      <c r="N230" s="118" t="s">
        <v>53</v>
      </c>
      <c r="O230" s="18">
        <v>36160</v>
      </c>
      <c r="P230" s="118" t="s">
        <v>91</v>
      </c>
      <c r="Q230" s="99" t="s">
        <v>215</v>
      </c>
      <c r="R230" s="99">
        <v>3165018089</v>
      </c>
      <c r="S230" s="99" t="s">
        <v>735</v>
      </c>
      <c r="T230" s="124" t="str">
        <f>IF(N230=CURSOS!$D$3,"DIPLOMADO EN ATENCION PRE-HOSPITALARIA",IF(N230=CURSOS!$D$4,"ACOMPAÑAMIENTO Y MANEJO DEL DUELO",IF(N230=CURSOS!$D$5,"ATENCION A VICTIMAS DE ATAQUE CON AGENTES QUIMICOS ",IF(N230=CURSOS!$D$6,"PRIMEROS AUXILIOS ",IF(N230=CURSOS!$D$7,"DIPLOMADO DE UNIDAD DE CUIDADOS INTENSIVOS (UCI)",IF(N230=CURSOS!$D$8,"MODELO DE ATENCION PARA EVENTOS EMERGENTES EN SALUD MENTAL (CODIGO VERDE)",IF(N230=CURSOS!$D$9,"HUMANIZACION EN EL SERVICIO DE LA SALUD Y BUENAS PRACTICAS EN PACIENTE ",IF(N230=CURSOS!$D$10,"CLINICA DE HERIDAS ",IF(N230=CURSOS!$D$11,"TOMA DE CITOLOGIA CERVICO VAGINAL ",IF(N230=CURSOS!$D$12,"SOPORTE CARDIOVASCULAR AVANZADO (ACLS) ",IF(N230=CURSOS!$D$13,"CAMILLERO ",IF(N230=CURSOS!$D$14,"TOMA DE MUESTRAS Y LABORATORIO ",IF(N230=CURSOS!$D$15,"SOPORTE VITAL BASICO (BLS)",IF(N230=CURSOS!$D$16,"ATENCION A VICTIMAS DE VIOLENCIA SEXUAL ",IF(N230=CURSOS!$D$17,"PROGRAMADO AMPLIADO DE INMUNIZACION (PAI - COVID 19)",IF(N230=CURSOS!$D$18,"ATENCION INTEGRAL EN ENFERMEDADES PREVALENTES EN PRIMERA INFANCIA (AIEPI)",IF(N230=CURSOS!$D$19,"ADMINISTRACION DE MEDICAMENTOS, INYECTOLOGIA  Y CANALIZACION ",IF(N230=CURSOS!$D$20,"OPERADOR DE VEHICULOS DE EMERGENCIA (OVE)",IF(N230=CURSOS!$D$21,"INSTITUCIONES AMIGAS DE LA MUJER Y LA INFANCIA (IAMI)",IF(N230=CURSOS!$D$22,"CUIDADO DEL DONANTE DE ORGANOS",IF(N230=CURSOS!$D$23,"ATENCION A VICTIMAS POR VIOLENCIA DE GENERO",IF(N230=CURSOS!$D$24,"IGUALDAD DE GENERO EN LA SALUD",IF(N230=CURSOS!$D$25,"BRIGADA DE EMERGENCIA",IF(N230=CURSOS!$D$26,"MANEJO DEL DOLOR Y CUIDADOS PALIATIVOS",IF(N230=CURSOS!$D$27,"TOMA DE MUESTRAS Y LABORATORIO POCT",IF(N230=CURSOS!$D$28,"IMPLANTE SUBDERMICO DE DISPOSITIVO INTRAUTERINO",IF(N230=CURSOS!$D$29,"SALUD MENTAL",IF(N230=CURSOS!$D$30,"PRIMEROS AUXILIOS PSICOLOGICOS",IF(N230=CURSOS!$D$31,"ATENCION A VICTIMAS POR CONFLICTO ARMADO",IF(N230=CURSOS!$D$32,"MANIPULACION DE ALIMENTOS Y BPM",IF(N230=CURSOS!$D$33,"ATENCION A PERSONAS CON DISCAPACIDAD",IF(N230=CURSOS!$D$34,"CUIDADO INTEGRAL DEL PACIENTE ADULTO",IF(N230=CURSOS!$D$35,"MANEJO DEFENSIVO",IF(N230=CURSOS!$D$36,"SOPORTE CARDIOVASCULAR AVANZADO NEONATAL",IF(N230=CURSOS!$D$37,"SEGURIDAD DEL PACIENTE")))))))))))))))))))))))))))))))))))</f>
        <v>CUIDADO DEL DONANTE DE ORGANOS</v>
      </c>
      <c r="U230" s="124" t="str">
        <f t="shared" si="12"/>
        <v>Mateo Alejandro Santander Jiménez</v>
      </c>
      <c r="V230" s="128" t="str">
        <f t="shared" si="13"/>
        <v>Mateo Alejandro Santander Jiménez</v>
      </c>
      <c r="W230" s="138" t="str">
        <f t="shared" si="14"/>
        <v>Mateo Alejandro Santander Jiménez-1004541003-DONANTE</v>
      </c>
    </row>
    <row r="231" spans="1:23" x14ac:dyDescent="0.2">
      <c r="A231" s="42">
        <v>230</v>
      </c>
      <c r="B231" s="90">
        <v>27332829</v>
      </c>
      <c r="C231" s="99" t="s">
        <v>94</v>
      </c>
      <c r="D231" s="99" t="s">
        <v>166</v>
      </c>
      <c r="E231" s="99" t="s">
        <v>352</v>
      </c>
      <c r="F231" s="99" t="s">
        <v>736</v>
      </c>
      <c r="G231" s="117">
        <v>22</v>
      </c>
      <c r="H231" s="117" t="s">
        <v>89</v>
      </c>
      <c r="I231" s="16">
        <v>45496</v>
      </c>
      <c r="J231" s="19">
        <v>40000</v>
      </c>
      <c r="K231" s="117" t="s">
        <v>214</v>
      </c>
      <c r="L231" s="117" t="s">
        <v>90</v>
      </c>
      <c r="M231" s="117" t="s">
        <v>125</v>
      </c>
      <c r="N231" s="118" t="s">
        <v>41</v>
      </c>
      <c r="O231" s="18">
        <v>26146</v>
      </c>
      <c r="P231" s="118" t="s">
        <v>101</v>
      </c>
      <c r="Q231" s="99" t="s">
        <v>126</v>
      </c>
      <c r="R231" s="99">
        <v>3162299369</v>
      </c>
      <c r="S231" s="99" t="s">
        <v>737</v>
      </c>
      <c r="T231" s="124" t="str">
        <f>IF(N231=CURSOS!$D$3,"DIPLOMADO EN ATENCION PRE-HOSPITALARIA",IF(N231=CURSOS!$D$4,"ACOMPAÑAMIENTO Y MANEJO DEL DUELO",IF(N231=CURSOS!$D$5,"ATENCION A VICTIMAS DE ATAQUE CON AGENTES QUIMICOS ",IF(N231=CURSOS!$D$6,"PRIMEROS AUXILIOS ",IF(N231=CURSOS!$D$7,"DIPLOMADO DE UNIDAD DE CUIDADOS INTENSIVOS (UCI)",IF(N231=CURSOS!$D$8,"MODELO DE ATENCION PARA EVENTOS EMERGENTES EN SALUD MENTAL (CODIGO VERDE)",IF(N231=CURSOS!$D$9,"HUMANIZACION EN EL SERVICIO DE LA SALUD Y BUENAS PRACTICAS EN PACIENTE ",IF(N231=CURSOS!$D$10,"CLINICA DE HERIDAS ",IF(N231=CURSOS!$D$11,"TOMA DE CITOLOGIA CERVICO VAGINAL ",IF(N231=CURSOS!$D$12,"SOPORTE CARDIOVASCULAR AVANZADO (ACLS) ",IF(N231=CURSOS!$D$13,"CAMILLERO ",IF(N231=CURSOS!$D$14,"TOMA DE MUESTRAS Y LABORATORIO ",IF(N231=CURSOS!$D$15,"SOPORTE VITAL BASICO (BLS)",IF(N231=CURSOS!$D$16,"ATENCION A VICTIMAS DE VIOLENCIA SEXUAL ",IF(N231=CURSOS!$D$17,"PROGRAMADO AMPLIADO DE INMUNIZACION (PAI - COVID 19)",IF(N231=CURSOS!$D$18,"ATENCION INTEGRAL EN ENFERMEDADES PREVALENTES EN PRIMERA INFANCIA (AIEPI)",IF(N231=CURSOS!$D$19,"ADMINISTRACION DE MEDICAMENTOS, INYECTOLOGIA  Y CANALIZACION ",IF(N231=CURSOS!$D$20,"OPERADOR DE VEHICULOS DE EMERGENCIA (OVE)",IF(N231=CURSOS!$D$21,"INSTITUCIONES AMIGAS DE LA MUJER Y LA INFANCIA (IAMI)",IF(N231=CURSOS!$D$22,"CUIDADO DEL DONANTE DE ORGANOS",IF(N231=CURSOS!$D$23,"ATENCION A VICTIMAS POR VIOLENCIA DE GENERO",IF(N231=CURSOS!$D$24,"IGUALDAD DE GENERO EN LA SALUD",IF(N231=CURSOS!$D$25,"BRIGADA DE EMERGENCIA",IF(N231=CURSOS!$D$26,"MANEJO DEL DOLOR Y CUIDADOS PALIATIVOS",IF(N231=CURSOS!$D$27,"TOMA DE MUESTRAS Y LABORATORIO POCT",IF(N231=CURSOS!$D$28,"IMPLANTE SUBDERMICO DE DISPOSITIVO INTRAUTERINO",IF(N231=CURSOS!$D$29,"SALUD MENTAL",IF(N231=CURSOS!$D$30,"PRIMEROS AUXILIOS PSICOLOGICOS",IF(N231=CURSOS!$D$31,"ATENCION A VICTIMAS POR CONFLICTO ARMADO",IF(N231=CURSOS!$D$32,"MANIPULACION DE ALIMENTOS Y BPM",IF(N231=CURSOS!$D$33,"ATENCION A PERSONAS CON DISCAPACIDAD",IF(N231=CURSOS!$D$34,"CUIDADO INTEGRAL DEL PACIENTE ADULTO",IF(N231=CURSOS!$D$35,"MANEJO DEFENSIVO",IF(N231=CURSOS!$D$36,"SOPORTE CARDIOVASCULAR AVANZADO NEONATAL",IF(N231=CURSOS!$D$37,"SEGURIDAD DEL PACIENTE")))))))))))))))))))))))))))))))))))</f>
        <v xml:space="preserve">TOMA DE MUESTRAS Y LABORATORIO </v>
      </c>
      <c r="U231" s="124" t="str">
        <f t="shared" si="12"/>
        <v>Isabel Margarita Portilla Caicedo</v>
      </c>
      <c r="V231" s="128" t="str">
        <f t="shared" si="13"/>
        <v>Isabel Margarita Portilla Caicedo</v>
      </c>
      <c r="W231" s="138" t="str">
        <f t="shared" si="14"/>
        <v>Isabel Margarita Portilla Caicedo-27332829-TOMA DE MUESTRAS</v>
      </c>
    </row>
    <row r="232" spans="1:23" x14ac:dyDescent="0.2">
      <c r="A232" s="42">
        <v>231</v>
      </c>
      <c r="B232" s="90">
        <v>1010137978</v>
      </c>
      <c r="C232" s="99" t="s">
        <v>738</v>
      </c>
      <c r="D232" s="99" t="s">
        <v>739</v>
      </c>
      <c r="E232" s="99" t="s">
        <v>95</v>
      </c>
      <c r="F232" s="99" t="s">
        <v>303</v>
      </c>
      <c r="G232" s="117">
        <v>22</v>
      </c>
      <c r="H232" s="117" t="s">
        <v>89</v>
      </c>
      <c r="I232" s="16">
        <v>45495</v>
      </c>
      <c r="J232" s="19">
        <v>40000</v>
      </c>
      <c r="K232" s="117" t="s">
        <v>210</v>
      </c>
      <c r="L232" s="117" t="s">
        <v>90</v>
      </c>
      <c r="M232" s="117" t="s">
        <v>118</v>
      </c>
      <c r="N232" s="118" t="s">
        <v>19</v>
      </c>
      <c r="O232" s="18">
        <v>36849</v>
      </c>
      <c r="P232" s="118" t="s">
        <v>101</v>
      </c>
      <c r="Q232" s="99" t="s">
        <v>740</v>
      </c>
      <c r="R232" s="99">
        <v>3225221560</v>
      </c>
      <c r="S232" s="99" t="s">
        <v>741</v>
      </c>
      <c r="T232" s="124" t="str">
        <f>IF(N232=CURSOS!$D$3,"DIPLOMADO EN ATENCION PRE-HOSPITALARIA",IF(N232=CURSOS!$D$4,"ACOMPAÑAMIENTO Y MANEJO DEL DUELO",IF(N232=CURSOS!$D$5,"ATENCION A VICTIMAS DE ATAQUE CON AGENTES QUIMICOS ",IF(N232=CURSOS!$D$6,"PRIMEROS AUXILIOS ",IF(N232=CURSOS!$D$7,"DIPLOMADO DE UNIDAD DE CUIDADOS INTENSIVOS (UCI)",IF(N232=CURSOS!$D$8,"MODELO DE ATENCION PARA EVENTOS EMERGENTES EN SALUD MENTAL (CODIGO VERDE)",IF(N232=CURSOS!$D$9,"HUMANIZACION EN EL SERVICIO DE LA SALUD Y BUENAS PRACTICAS EN PACIENTE ",IF(N232=CURSOS!$D$10,"CLINICA DE HERIDAS ",IF(N232=CURSOS!$D$11,"TOMA DE CITOLOGIA CERVICO VAGINAL ",IF(N232=CURSOS!$D$12,"SOPORTE CARDIOVASCULAR AVANZADO (ACLS) ",IF(N232=CURSOS!$D$13,"CAMILLERO ",IF(N232=CURSOS!$D$14,"TOMA DE MUESTRAS Y LABORATORIO ",IF(N232=CURSOS!$D$15,"SOPORTE VITAL BASICO (BLS)",IF(N232=CURSOS!$D$16,"ATENCION A VICTIMAS DE VIOLENCIA SEXUAL ",IF(N232=CURSOS!$D$17,"PROGRAMADO AMPLIADO DE INMUNIZACION (PAI - COVID 19)",IF(N232=CURSOS!$D$18,"ATENCION INTEGRAL EN ENFERMEDADES PREVALENTES EN PRIMERA INFANCIA (AIEPI)",IF(N232=CURSOS!$D$19,"ADMINISTRACION DE MEDICAMENTOS, INYECTOLOGIA  Y CANALIZACION ",IF(N232=CURSOS!$D$20,"OPERADOR DE VEHICULOS DE EMERGENCIA (OVE)",IF(N232=CURSOS!$D$21,"INSTITUCIONES AMIGAS DE LA MUJER Y LA INFANCIA (IAMI)",IF(N232=CURSOS!$D$22,"CUIDADO DEL DONANTE DE ORGANOS",IF(N232=CURSOS!$D$23,"ATENCION A VICTIMAS POR VIOLENCIA DE GENERO",IF(N232=CURSOS!$D$24,"IGUALDAD DE GENERO EN LA SALUD",IF(N232=CURSOS!$D$25,"BRIGADA DE EMERGENCIA",IF(N232=CURSOS!$D$26,"MANEJO DEL DOLOR Y CUIDADOS PALIATIVOS",IF(N232=CURSOS!$D$27,"TOMA DE MUESTRAS Y LABORATORIO POCT",IF(N232=CURSOS!$D$28,"IMPLANTE SUBDERMICO DE DISPOSITIVO INTRAUTERINO",IF(N232=CURSOS!$D$29,"SALUD MENTAL",IF(N232=CURSOS!$D$30,"PRIMEROS AUXILIOS PSICOLOGICOS",IF(N232=CURSOS!$D$31,"ATENCION A VICTIMAS POR CONFLICTO ARMADO",IF(N232=CURSOS!$D$32,"MANIPULACION DE ALIMENTOS Y BPM",IF(N232=CURSOS!$D$33,"ATENCION A PERSONAS CON DISCAPACIDAD",IF(N232=CURSOS!$D$34,"CUIDADO INTEGRAL DEL PACIENTE ADULTO",IF(N232=CURSOS!$D$35,"MANEJO DEFENSIVO",IF(N232=CURSOS!$D$36,"SOPORTE CARDIOVASCULAR AVANZADO NEONATAL",IF(N232=CURSOS!$D$37,"SEGURIDAD DEL PACIENTE")))))))))))))))))))))))))))))))))))</f>
        <v>SOPORTE VITAL BASICO (BLS)</v>
      </c>
      <c r="U232" s="124" t="str">
        <f t="shared" si="12"/>
        <v>Maria Camila Villacres Mazuera</v>
      </c>
      <c r="V232" s="128" t="str">
        <f t="shared" si="13"/>
        <v>Maria Camila Villacres Mazuera</v>
      </c>
      <c r="W232" s="138" t="str">
        <f t="shared" si="14"/>
        <v>Maria Camila Villacres Mazuera-1010137978-BLS</v>
      </c>
    </row>
    <row r="233" spans="1:23" x14ac:dyDescent="0.2">
      <c r="A233" s="42">
        <v>232</v>
      </c>
      <c r="B233" s="90">
        <v>1085244378</v>
      </c>
      <c r="C233" s="99" t="s">
        <v>467</v>
      </c>
      <c r="D233" s="99" t="s">
        <v>389</v>
      </c>
      <c r="E233" s="99" t="s">
        <v>145</v>
      </c>
      <c r="F233" s="99" t="s">
        <v>336</v>
      </c>
      <c r="G233" s="117">
        <v>23</v>
      </c>
      <c r="H233" s="117" t="s">
        <v>89</v>
      </c>
      <c r="I233" s="16">
        <v>45496</v>
      </c>
      <c r="J233" s="19">
        <v>130000</v>
      </c>
      <c r="K233" s="117" t="s">
        <v>210</v>
      </c>
      <c r="L233" s="117" t="s">
        <v>90</v>
      </c>
      <c r="M233" s="117" t="s">
        <v>118</v>
      </c>
      <c r="N233" s="118" t="s">
        <v>38</v>
      </c>
      <c r="O233" s="18">
        <v>31615</v>
      </c>
      <c r="P233" s="118" t="s">
        <v>91</v>
      </c>
      <c r="Q233" s="99" t="s">
        <v>215</v>
      </c>
      <c r="R233" s="99">
        <v>3165386334</v>
      </c>
      <c r="S233" s="99" t="s">
        <v>742</v>
      </c>
      <c r="T233" s="124" t="str">
        <f>IF(N233=CURSOS!$D$3,"DIPLOMADO EN ATENCION PRE-HOSPITALARIA",IF(N233=CURSOS!$D$4,"ACOMPAÑAMIENTO Y MANEJO DEL DUELO",IF(N233=CURSOS!$D$5,"ATENCION A VICTIMAS DE ATAQUE CON AGENTES QUIMICOS ",IF(N233=CURSOS!$D$6,"PRIMEROS AUXILIOS ",IF(N233=CURSOS!$D$7,"DIPLOMADO DE UNIDAD DE CUIDADOS INTENSIVOS (UCI)",IF(N233=CURSOS!$D$8,"MODELO DE ATENCION PARA EVENTOS EMERGENTES EN SALUD MENTAL (CODIGO VERDE)",IF(N233=CURSOS!$D$9,"HUMANIZACION EN EL SERVICIO DE LA SALUD Y BUENAS PRACTICAS EN PACIENTE ",IF(N233=CURSOS!$D$10,"CLINICA DE HERIDAS ",IF(N233=CURSOS!$D$11,"TOMA DE CITOLOGIA CERVICO VAGINAL ",IF(N233=CURSOS!$D$12,"SOPORTE CARDIOVASCULAR AVANZADO (ACLS) ",IF(N233=CURSOS!$D$13,"CAMILLERO ",IF(N233=CURSOS!$D$14,"TOMA DE MUESTRAS Y LABORATORIO ",IF(N233=CURSOS!$D$15,"SOPORTE VITAL BASICO (BLS)",IF(N233=CURSOS!$D$16,"ATENCION A VICTIMAS DE VIOLENCIA SEXUAL ",IF(N233=CURSOS!$D$17,"PROGRAMADO AMPLIADO DE INMUNIZACION (PAI - COVID 19)",IF(N233=CURSOS!$D$18,"ATENCION INTEGRAL EN ENFERMEDADES PREVALENTES EN PRIMERA INFANCIA (AIEPI)",IF(N233=CURSOS!$D$19,"ADMINISTRACION DE MEDICAMENTOS, INYECTOLOGIA  Y CANALIZACION ",IF(N233=CURSOS!$D$20,"OPERADOR DE VEHICULOS DE EMERGENCIA (OVE)",IF(N233=CURSOS!$D$21,"INSTITUCIONES AMIGAS DE LA MUJER Y LA INFANCIA (IAMI)",IF(N233=CURSOS!$D$22,"CUIDADO DEL DONANTE DE ORGANOS",IF(N233=CURSOS!$D$23,"ATENCION A VICTIMAS POR VIOLENCIA DE GENERO",IF(N233=CURSOS!$D$24,"IGUALDAD DE GENERO EN LA SALUD",IF(N233=CURSOS!$D$25,"BRIGADA DE EMERGENCIA",IF(N233=CURSOS!$D$26,"MANEJO DEL DOLOR Y CUIDADOS PALIATIVOS",IF(N233=CURSOS!$D$27,"TOMA DE MUESTRAS Y LABORATORIO POCT",IF(N233=CURSOS!$D$28,"IMPLANTE SUBDERMICO DE DISPOSITIVO INTRAUTERINO",IF(N233=CURSOS!$D$29,"SALUD MENTAL",IF(N233=CURSOS!$D$30,"PRIMEROS AUXILIOS PSICOLOGICOS",IF(N233=CURSOS!$D$31,"ATENCION A VICTIMAS POR CONFLICTO ARMADO",IF(N233=CURSOS!$D$32,"MANIPULACION DE ALIMENTOS Y BPM",IF(N233=CURSOS!$D$33,"ATENCION A PERSONAS CON DISCAPACIDAD",IF(N233=CURSOS!$D$34,"CUIDADO INTEGRAL DEL PACIENTE ADULTO",IF(N233=CURSOS!$D$35,"MANEJO DEFENSIVO",IF(N233=CURSOS!$D$36,"SOPORTE CARDIOVASCULAR AVANZADO NEONATAL",IF(N233=CURSOS!$D$37,"SEGURIDAD DEL PACIENTE")))))))))))))))))))))))))))))))))))</f>
        <v xml:space="preserve">SOPORTE CARDIOVASCULAR AVANZADO (ACLS) </v>
      </c>
      <c r="U233" s="124" t="str">
        <f t="shared" si="12"/>
        <v>Oscar Felipe Botina Delgado</v>
      </c>
      <c r="V233" s="128" t="str">
        <f t="shared" si="13"/>
        <v>Oscar Felipe Botina Delgado</v>
      </c>
      <c r="W233" s="138" t="str">
        <f t="shared" si="14"/>
        <v>Oscar Felipe Botina Delgado-1085244378-ACLS</v>
      </c>
    </row>
    <row r="234" spans="1:23" x14ac:dyDescent="0.2">
      <c r="A234" s="42">
        <v>233</v>
      </c>
      <c r="B234" s="90">
        <v>1085244378</v>
      </c>
      <c r="C234" s="99" t="s">
        <v>467</v>
      </c>
      <c r="D234" s="99" t="s">
        <v>389</v>
      </c>
      <c r="E234" s="99" t="s">
        <v>145</v>
      </c>
      <c r="F234" s="99" t="s">
        <v>336</v>
      </c>
      <c r="G234" s="117">
        <v>23</v>
      </c>
      <c r="H234" s="117" t="s">
        <v>89</v>
      </c>
      <c r="I234" s="16" t="s">
        <v>749</v>
      </c>
      <c r="J234" s="19">
        <v>0</v>
      </c>
      <c r="K234" s="117" t="s">
        <v>245</v>
      </c>
      <c r="L234" s="117" t="s">
        <v>90</v>
      </c>
      <c r="M234" s="117" t="s">
        <v>118</v>
      </c>
      <c r="N234" s="118" t="s">
        <v>19</v>
      </c>
      <c r="O234" s="18">
        <v>31615</v>
      </c>
      <c r="P234" s="118" t="s">
        <v>91</v>
      </c>
      <c r="Q234" s="99" t="s">
        <v>215</v>
      </c>
      <c r="R234" s="99">
        <v>3165386334</v>
      </c>
      <c r="S234" s="99" t="s">
        <v>742</v>
      </c>
      <c r="T234" s="124" t="str">
        <f>IF(N234=CURSOS!$D$3,"DIPLOMADO EN ATENCION PRE-HOSPITALARIA",IF(N234=CURSOS!$D$4,"ACOMPAÑAMIENTO Y MANEJO DEL DUELO",IF(N234=CURSOS!$D$5,"ATENCION A VICTIMAS DE ATAQUE CON AGENTES QUIMICOS ",IF(N234=CURSOS!$D$6,"PRIMEROS AUXILIOS ",IF(N234=CURSOS!$D$7,"DIPLOMADO DE UNIDAD DE CUIDADOS INTENSIVOS (UCI)",IF(N234=CURSOS!$D$8,"MODELO DE ATENCION PARA EVENTOS EMERGENTES EN SALUD MENTAL (CODIGO VERDE)",IF(N234=CURSOS!$D$9,"HUMANIZACION EN EL SERVICIO DE LA SALUD Y BUENAS PRACTICAS EN PACIENTE ",IF(N234=CURSOS!$D$10,"CLINICA DE HERIDAS ",IF(N234=CURSOS!$D$11,"TOMA DE CITOLOGIA CERVICO VAGINAL ",IF(N234=CURSOS!$D$12,"SOPORTE CARDIOVASCULAR AVANZADO (ACLS) ",IF(N234=CURSOS!$D$13,"CAMILLERO ",IF(N234=CURSOS!$D$14,"TOMA DE MUESTRAS Y LABORATORIO ",IF(N234=CURSOS!$D$15,"SOPORTE VITAL BASICO (BLS)",IF(N234=CURSOS!$D$16,"ATENCION A VICTIMAS DE VIOLENCIA SEXUAL ",IF(N234=CURSOS!$D$17,"PROGRAMADO AMPLIADO DE INMUNIZACION (PAI - COVID 19)",IF(N234=CURSOS!$D$18,"ATENCION INTEGRAL EN ENFERMEDADES PREVALENTES EN PRIMERA INFANCIA (AIEPI)",IF(N234=CURSOS!$D$19,"ADMINISTRACION DE MEDICAMENTOS, INYECTOLOGIA  Y CANALIZACION ",IF(N234=CURSOS!$D$20,"OPERADOR DE VEHICULOS DE EMERGENCIA (OVE)",IF(N234=CURSOS!$D$21,"INSTITUCIONES AMIGAS DE LA MUJER Y LA INFANCIA (IAMI)",IF(N234=CURSOS!$D$22,"CUIDADO DEL DONANTE DE ORGANOS",IF(N234=CURSOS!$D$23,"ATENCION A VICTIMAS POR VIOLENCIA DE GENERO",IF(N234=CURSOS!$D$24,"IGUALDAD DE GENERO EN LA SALUD",IF(N234=CURSOS!$D$25,"BRIGADA DE EMERGENCIA",IF(N234=CURSOS!$D$26,"MANEJO DEL DOLOR Y CUIDADOS PALIATIVOS",IF(N234=CURSOS!$D$27,"TOMA DE MUESTRAS Y LABORATORIO POCT",IF(N234=CURSOS!$D$28,"IMPLANTE SUBDERMICO DE DISPOSITIVO INTRAUTERINO",IF(N234=CURSOS!$D$29,"SALUD MENTAL",IF(N234=CURSOS!$D$30,"PRIMEROS AUXILIOS PSICOLOGICOS",IF(N234=CURSOS!$D$31,"ATENCION A VICTIMAS POR CONFLICTO ARMADO",IF(N234=CURSOS!$D$32,"MANIPULACION DE ALIMENTOS Y BPM",IF(N234=CURSOS!$D$33,"ATENCION A PERSONAS CON DISCAPACIDAD",IF(N234=CURSOS!$D$34,"CUIDADO INTEGRAL DEL PACIENTE ADULTO",IF(N234=CURSOS!$D$35,"MANEJO DEFENSIVO",IF(N234=CURSOS!$D$36,"SOPORTE CARDIOVASCULAR AVANZADO NEONATAL",IF(N234=CURSOS!$D$37,"SEGURIDAD DEL PACIENTE")))))))))))))))))))))))))))))))))))</f>
        <v>SOPORTE VITAL BASICO (BLS)</v>
      </c>
      <c r="U234" s="124" t="str">
        <f t="shared" si="12"/>
        <v>Oscar Felipe Botina Delgado</v>
      </c>
      <c r="V234" s="128" t="str">
        <f t="shared" si="13"/>
        <v>Oscar Felipe Botina Delgado</v>
      </c>
      <c r="W234" s="138" t="str">
        <f t="shared" si="14"/>
        <v>Oscar Felipe Botina Delgado-1085244378-BLS</v>
      </c>
    </row>
    <row r="235" spans="1:23" x14ac:dyDescent="0.2">
      <c r="A235" s="42">
        <v>234</v>
      </c>
      <c r="B235" s="188">
        <v>12962212</v>
      </c>
      <c r="C235" s="172" t="s">
        <v>122</v>
      </c>
      <c r="D235" s="172" t="s">
        <v>481</v>
      </c>
      <c r="E235" s="172" t="s">
        <v>743</v>
      </c>
      <c r="F235" s="172" t="s">
        <v>744</v>
      </c>
      <c r="G235" s="173">
        <v>23</v>
      </c>
      <c r="H235" s="173" t="s">
        <v>89</v>
      </c>
      <c r="I235" s="173"/>
      <c r="J235" s="170"/>
      <c r="K235" s="173"/>
      <c r="L235" s="173" t="s">
        <v>90</v>
      </c>
      <c r="M235" s="173" t="s">
        <v>875</v>
      </c>
      <c r="N235" s="118" t="s">
        <v>61</v>
      </c>
      <c r="O235" s="18">
        <v>20099</v>
      </c>
      <c r="P235" s="118" t="s">
        <v>91</v>
      </c>
      <c r="Q235" s="99" t="s">
        <v>215</v>
      </c>
      <c r="R235" s="99">
        <v>3154125400</v>
      </c>
      <c r="S235" s="99" t="s">
        <v>748</v>
      </c>
      <c r="T235" s="124" t="str">
        <f>IF(N235=CURSOS!$D$3,"DIPLOMADO EN ATENCION PRE-HOSPITALARIA",IF(N235=CURSOS!$D$4,"ACOMPAÑAMIENTO Y MANEJO DEL DUELO",IF(N235=CURSOS!$D$5,"ATENCION A VICTIMAS DE ATAQUE CON AGENTES QUIMICOS ",IF(N235=CURSOS!$D$6,"PRIMEROS AUXILIOS ",IF(N235=CURSOS!$D$7,"DIPLOMADO DE UNIDAD DE CUIDADOS INTENSIVOS (UCI)",IF(N235=CURSOS!$D$8,"MODELO DE ATENCION PARA EVENTOS EMERGENTES EN SALUD MENTAL (CODIGO VERDE)",IF(N235=CURSOS!$D$9,"HUMANIZACION EN EL SERVICIO DE LA SALUD Y BUENAS PRACTICAS EN PACIENTE ",IF(N235=CURSOS!$D$10,"CLINICA DE HERIDAS ",IF(N235=CURSOS!$D$11,"TOMA DE CITOLOGIA CERVICO VAGINAL ",IF(N235=CURSOS!$D$12,"SOPORTE CARDIOVASCULAR AVANZADO (ACLS) ",IF(N235=CURSOS!$D$13,"CAMILLERO ",IF(N235=CURSOS!$D$14,"TOMA DE MUESTRAS Y LABORATORIO ",IF(N235=CURSOS!$D$15,"SOPORTE VITAL BASICO (BLS)",IF(N235=CURSOS!$D$16,"ATENCION A VICTIMAS DE VIOLENCIA SEXUAL ",IF(N235=CURSOS!$D$17,"PROGRAMADO AMPLIADO DE INMUNIZACION (PAI - COVID 19)",IF(N235=CURSOS!$D$18,"ATENCION INTEGRAL EN ENFERMEDADES PREVALENTES EN PRIMERA INFANCIA (AIEPI)",IF(N235=CURSOS!$D$19,"ADMINISTRACION DE MEDICAMENTOS, INYECTOLOGIA  Y CANALIZACION ",IF(N235=CURSOS!$D$20,"OPERADOR DE VEHICULOS DE EMERGENCIA (OVE)",IF(N235=CURSOS!$D$21,"INSTITUCIONES AMIGAS DE LA MUJER Y LA INFANCIA (IAMI)",IF(N235=CURSOS!$D$22,"CUIDADO DEL DONANTE DE ORGANOS",IF(N235=CURSOS!$D$23,"ATENCION A VICTIMAS POR VIOLENCIA DE GENERO",IF(N235=CURSOS!$D$24,"IGUALDAD DE GENERO EN LA SALUD",IF(N235=CURSOS!$D$25,"BRIGADA DE EMERGENCIA",IF(N235=CURSOS!$D$26,"MANEJO DEL DOLOR Y CUIDADOS PALIATIVOS",IF(N235=CURSOS!$D$27,"TOMA DE MUESTRAS Y LABORATORIO POCT",IF(N235=CURSOS!$D$28,"IMPLANTE SUBDERMICO DE DISPOSITIVO INTRAUTERINO",IF(N235=CURSOS!$D$29,"SALUD MENTAL",IF(N235=CURSOS!$D$30,"PRIMEROS AUXILIOS PSICOLOGICOS",IF(N235=CURSOS!$D$31,"ATENCION A VICTIMAS POR CONFLICTO ARMADO",IF(N235=CURSOS!$D$32,"MANIPULACION DE ALIMENTOS Y BPM",IF(N235=CURSOS!$D$33,"ATENCION A PERSONAS CON DISCAPACIDAD",IF(N235=CURSOS!$D$34,"CUIDADO INTEGRAL DEL PACIENTE ADULTO",IF(N235=CURSOS!$D$35,"MANEJO DEFENSIVO",IF(N235=CURSOS!$D$36,"SOPORTE CARDIOVASCULAR AVANZADO NEONATAL",IF(N235=CURSOS!$D$37,"SEGURIDAD DEL PACIENTE")))))))))))))))))))))))))))))))))))</f>
        <v>MANEJO DEL DOLOR Y CUIDADOS PALIATIVOS</v>
      </c>
      <c r="U235" s="124" t="str">
        <f t="shared" si="12"/>
        <v>Edgardo Julian Benavides Arcos</v>
      </c>
      <c r="V235" s="128" t="str">
        <f t="shared" si="13"/>
        <v>Edgardo Julian Benavides Arcos</v>
      </c>
      <c r="W235" s="138" t="str">
        <f t="shared" si="14"/>
        <v>Edgardo Julian Benavides Arcos-12962212-PALIATIVOS</v>
      </c>
    </row>
    <row r="236" spans="1:23" x14ac:dyDescent="0.2">
      <c r="A236" s="42">
        <v>235</v>
      </c>
      <c r="B236" s="188">
        <v>12962212</v>
      </c>
      <c r="C236" s="172" t="s">
        <v>122</v>
      </c>
      <c r="D236" s="172" t="s">
        <v>481</v>
      </c>
      <c r="E236" s="172" t="s">
        <v>743</v>
      </c>
      <c r="F236" s="172" t="s">
        <v>744</v>
      </c>
      <c r="G236" s="173">
        <v>23</v>
      </c>
      <c r="H236" s="173" t="s">
        <v>89</v>
      </c>
      <c r="I236" s="173"/>
      <c r="J236" s="170"/>
      <c r="K236" s="173"/>
      <c r="L236" s="173" t="s">
        <v>90</v>
      </c>
      <c r="M236" s="173" t="s">
        <v>875</v>
      </c>
      <c r="N236" s="118" t="s">
        <v>23</v>
      </c>
      <c r="O236" s="18">
        <v>20099</v>
      </c>
      <c r="P236" s="118" t="s">
        <v>91</v>
      </c>
      <c r="Q236" s="99" t="s">
        <v>215</v>
      </c>
      <c r="R236" s="99">
        <v>3154125400</v>
      </c>
      <c r="S236" s="99" t="s">
        <v>748</v>
      </c>
      <c r="T236" s="124" t="str">
        <f>IF(N236=CURSOS!$D$3,"DIPLOMADO EN ATENCION PRE-HOSPITALARIA",IF(N236=CURSOS!$D$4,"ACOMPAÑAMIENTO Y MANEJO DEL DUELO",IF(N236=CURSOS!$D$5,"ATENCION A VICTIMAS DE ATAQUE CON AGENTES QUIMICOS ",IF(N236=CURSOS!$D$6,"PRIMEROS AUXILIOS ",IF(N236=CURSOS!$D$7,"DIPLOMADO DE UNIDAD DE CUIDADOS INTENSIVOS (UCI)",IF(N236=CURSOS!$D$8,"MODELO DE ATENCION PARA EVENTOS EMERGENTES EN SALUD MENTAL (CODIGO VERDE)",IF(N236=CURSOS!$D$9,"HUMANIZACION EN EL SERVICIO DE LA SALUD Y BUENAS PRACTICAS EN PACIENTE ",IF(N236=CURSOS!$D$10,"CLINICA DE HERIDAS ",IF(N236=CURSOS!$D$11,"TOMA DE CITOLOGIA CERVICO VAGINAL ",IF(N236=CURSOS!$D$12,"SOPORTE CARDIOVASCULAR AVANZADO (ACLS) ",IF(N236=CURSOS!$D$13,"CAMILLERO ",IF(N236=CURSOS!$D$14,"TOMA DE MUESTRAS Y LABORATORIO ",IF(N236=CURSOS!$D$15,"SOPORTE VITAL BASICO (BLS)",IF(N236=CURSOS!$D$16,"ATENCION A VICTIMAS DE VIOLENCIA SEXUAL ",IF(N236=CURSOS!$D$17,"PROGRAMADO AMPLIADO DE INMUNIZACION (PAI - COVID 19)",IF(N236=CURSOS!$D$18,"ATENCION INTEGRAL EN ENFERMEDADES PREVALENTES EN PRIMERA INFANCIA (AIEPI)",IF(N236=CURSOS!$D$19,"ADMINISTRACION DE MEDICAMENTOS, INYECTOLOGIA  Y CANALIZACION ",IF(N236=CURSOS!$D$20,"OPERADOR DE VEHICULOS DE EMERGENCIA (OVE)",IF(N236=CURSOS!$D$21,"INSTITUCIONES AMIGAS DE LA MUJER Y LA INFANCIA (IAMI)",IF(N236=CURSOS!$D$22,"CUIDADO DEL DONANTE DE ORGANOS",IF(N236=CURSOS!$D$23,"ATENCION A VICTIMAS POR VIOLENCIA DE GENERO",IF(N236=CURSOS!$D$24,"IGUALDAD DE GENERO EN LA SALUD",IF(N236=CURSOS!$D$25,"BRIGADA DE EMERGENCIA",IF(N236=CURSOS!$D$26,"MANEJO DEL DOLOR Y CUIDADOS PALIATIVOS",IF(N236=CURSOS!$D$27,"TOMA DE MUESTRAS Y LABORATORIO POCT",IF(N236=CURSOS!$D$28,"IMPLANTE SUBDERMICO DE DISPOSITIVO INTRAUTERINO",IF(N236=CURSOS!$D$29,"SALUD MENTAL",IF(N236=CURSOS!$D$30,"PRIMEROS AUXILIOS PSICOLOGICOS",IF(N236=CURSOS!$D$31,"ATENCION A VICTIMAS POR CONFLICTO ARMADO",IF(N236=CURSOS!$D$32,"MANIPULACION DE ALIMENTOS Y BPM",IF(N236=CURSOS!$D$33,"ATENCION A PERSONAS CON DISCAPACIDAD",IF(N236=CURSOS!$D$34,"CUIDADO INTEGRAL DEL PACIENTE ADULTO",IF(N236=CURSOS!$D$35,"MANEJO DEFENSIVO",IF(N236=CURSOS!$D$36,"SOPORTE CARDIOVASCULAR AVANZADO NEONATAL",IF(N236=CURSOS!$D$37,"SEGURIDAD DEL PACIENTE")))))))))))))))))))))))))))))))))))</f>
        <v>ACOMPAÑAMIENTO Y MANEJO DEL DUELO</v>
      </c>
      <c r="U236" s="124" t="str">
        <f t="shared" si="12"/>
        <v>Edgardo Julian Benavides Arcos</v>
      </c>
      <c r="V236" s="128" t="str">
        <f t="shared" si="13"/>
        <v>Edgardo Julian Benavides Arcos</v>
      </c>
      <c r="W236" s="138" t="str">
        <f t="shared" si="14"/>
        <v>Edgardo Julian Benavides Arcos-12962212-DUELO</v>
      </c>
    </row>
    <row r="237" spans="1:23" x14ac:dyDescent="0.2">
      <c r="A237" s="42">
        <v>236</v>
      </c>
      <c r="B237" s="188">
        <v>12962212</v>
      </c>
      <c r="C237" s="172" t="s">
        <v>122</v>
      </c>
      <c r="D237" s="172" t="s">
        <v>481</v>
      </c>
      <c r="E237" s="172" t="s">
        <v>743</v>
      </c>
      <c r="F237" s="172" t="s">
        <v>744</v>
      </c>
      <c r="G237" s="173">
        <v>23</v>
      </c>
      <c r="H237" s="173" t="s">
        <v>89</v>
      </c>
      <c r="I237" s="173"/>
      <c r="J237" s="170"/>
      <c r="K237" s="173"/>
      <c r="L237" s="173" t="s">
        <v>90</v>
      </c>
      <c r="M237" s="173" t="s">
        <v>875</v>
      </c>
      <c r="N237" s="118" t="s">
        <v>43</v>
      </c>
      <c r="O237" s="18">
        <v>20099</v>
      </c>
      <c r="P237" s="118" t="s">
        <v>91</v>
      </c>
      <c r="Q237" s="99" t="s">
        <v>215</v>
      </c>
      <c r="R237" s="99">
        <v>3154125400</v>
      </c>
      <c r="S237" s="99" t="s">
        <v>748</v>
      </c>
      <c r="T237" s="124" t="str">
        <f>IF(N237=CURSOS!$D$3,"DIPLOMADO EN ATENCION PRE-HOSPITALARIA",IF(N237=CURSOS!$D$4,"ACOMPAÑAMIENTO Y MANEJO DEL DUELO",IF(N237=CURSOS!$D$5,"ATENCION A VICTIMAS DE ATAQUE CON AGENTES QUIMICOS ",IF(N237=CURSOS!$D$6,"PRIMEROS AUXILIOS ",IF(N237=CURSOS!$D$7,"DIPLOMADO DE UNIDAD DE CUIDADOS INTENSIVOS (UCI)",IF(N237=CURSOS!$D$8,"MODELO DE ATENCION PARA EVENTOS EMERGENTES EN SALUD MENTAL (CODIGO VERDE)",IF(N237=CURSOS!$D$9,"HUMANIZACION EN EL SERVICIO DE LA SALUD Y BUENAS PRACTICAS EN PACIENTE ",IF(N237=CURSOS!$D$10,"CLINICA DE HERIDAS ",IF(N237=CURSOS!$D$11,"TOMA DE CITOLOGIA CERVICO VAGINAL ",IF(N237=CURSOS!$D$12,"SOPORTE CARDIOVASCULAR AVANZADO (ACLS) ",IF(N237=CURSOS!$D$13,"CAMILLERO ",IF(N237=CURSOS!$D$14,"TOMA DE MUESTRAS Y LABORATORIO ",IF(N237=CURSOS!$D$15,"SOPORTE VITAL BASICO (BLS)",IF(N237=CURSOS!$D$16,"ATENCION A VICTIMAS DE VIOLENCIA SEXUAL ",IF(N237=CURSOS!$D$17,"PROGRAMADO AMPLIADO DE INMUNIZACION (PAI - COVID 19)",IF(N237=CURSOS!$D$18,"ATENCION INTEGRAL EN ENFERMEDADES PREVALENTES EN PRIMERA INFANCIA (AIEPI)",IF(N237=CURSOS!$D$19,"ADMINISTRACION DE MEDICAMENTOS, INYECTOLOGIA  Y CANALIZACION ",IF(N237=CURSOS!$D$20,"OPERADOR DE VEHICULOS DE EMERGENCIA (OVE)",IF(N237=CURSOS!$D$21,"INSTITUCIONES AMIGAS DE LA MUJER Y LA INFANCIA (IAMI)",IF(N237=CURSOS!$D$22,"CUIDADO DEL DONANTE DE ORGANOS",IF(N237=CURSOS!$D$23,"ATENCION A VICTIMAS POR VIOLENCIA DE GENERO",IF(N237=CURSOS!$D$24,"IGUALDAD DE GENERO EN LA SALUD",IF(N237=CURSOS!$D$25,"BRIGADA DE EMERGENCIA",IF(N237=CURSOS!$D$26,"MANEJO DEL DOLOR Y CUIDADOS PALIATIVOS",IF(N237=CURSOS!$D$27,"TOMA DE MUESTRAS Y LABORATORIO POCT",IF(N237=CURSOS!$D$28,"IMPLANTE SUBDERMICO DE DISPOSITIVO INTRAUTERINO",IF(N237=CURSOS!$D$29,"SALUD MENTAL",IF(N237=CURSOS!$D$30,"PRIMEROS AUXILIOS PSICOLOGICOS",IF(N237=CURSOS!$D$31,"ATENCION A VICTIMAS POR CONFLICTO ARMADO",IF(N237=CURSOS!$D$32,"MANIPULACION DE ALIMENTOS Y BPM",IF(N237=CURSOS!$D$33,"ATENCION A PERSONAS CON DISCAPACIDAD",IF(N237=CURSOS!$D$34,"CUIDADO INTEGRAL DEL PACIENTE ADULTO",IF(N237=CURSOS!$D$35,"MANEJO DEFENSIVO",IF(N237=CURSOS!$D$36,"SOPORTE CARDIOVASCULAR AVANZADO NEONATAL",IF(N237=CURSOS!$D$37,"SEGURIDAD DEL PACIENTE")))))))))))))))))))))))))))))))))))</f>
        <v xml:space="preserve">ATENCION A VICTIMAS DE VIOLENCIA SEXUAL </v>
      </c>
      <c r="U237" s="124" t="str">
        <f t="shared" si="12"/>
        <v>Edgardo Julian Benavides Arcos</v>
      </c>
      <c r="V237" s="128" t="str">
        <f t="shared" si="13"/>
        <v>Edgardo Julian Benavides Arcos</v>
      </c>
      <c r="W237" s="138" t="str">
        <f t="shared" si="14"/>
        <v>Edgardo Julian Benavides Arcos-12962212-VIOLENCIA SEXUAL</v>
      </c>
    </row>
    <row r="238" spans="1:23" x14ac:dyDescent="0.2">
      <c r="A238" s="42">
        <v>237</v>
      </c>
      <c r="B238" s="188">
        <v>12962212</v>
      </c>
      <c r="C238" s="172" t="s">
        <v>122</v>
      </c>
      <c r="D238" s="172" t="s">
        <v>481</v>
      </c>
      <c r="E238" s="172" t="s">
        <v>743</v>
      </c>
      <c r="F238" s="172" t="s">
        <v>744</v>
      </c>
      <c r="G238" s="173">
        <v>23</v>
      </c>
      <c r="H238" s="173" t="s">
        <v>89</v>
      </c>
      <c r="I238" s="173"/>
      <c r="J238" s="170"/>
      <c r="K238" s="173"/>
      <c r="L238" s="173" t="s">
        <v>90</v>
      </c>
      <c r="M238" s="173" t="s">
        <v>875</v>
      </c>
      <c r="N238" s="118" t="s">
        <v>38</v>
      </c>
      <c r="O238" s="18">
        <v>20099</v>
      </c>
      <c r="P238" s="118" t="s">
        <v>91</v>
      </c>
      <c r="Q238" s="99" t="s">
        <v>215</v>
      </c>
      <c r="R238" s="99">
        <v>3154125400</v>
      </c>
      <c r="S238" s="99" t="s">
        <v>748</v>
      </c>
      <c r="T238" s="124" t="str">
        <f>IF(N238=CURSOS!$D$3,"DIPLOMADO EN ATENCION PRE-HOSPITALARIA",IF(N238=CURSOS!$D$4,"ACOMPAÑAMIENTO Y MANEJO DEL DUELO",IF(N238=CURSOS!$D$5,"ATENCION A VICTIMAS DE ATAQUE CON AGENTES QUIMICOS ",IF(N238=CURSOS!$D$6,"PRIMEROS AUXILIOS ",IF(N238=CURSOS!$D$7,"DIPLOMADO DE UNIDAD DE CUIDADOS INTENSIVOS (UCI)",IF(N238=CURSOS!$D$8,"MODELO DE ATENCION PARA EVENTOS EMERGENTES EN SALUD MENTAL (CODIGO VERDE)",IF(N238=CURSOS!$D$9,"HUMANIZACION EN EL SERVICIO DE LA SALUD Y BUENAS PRACTICAS EN PACIENTE ",IF(N238=CURSOS!$D$10,"CLINICA DE HERIDAS ",IF(N238=CURSOS!$D$11,"TOMA DE CITOLOGIA CERVICO VAGINAL ",IF(N238=CURSOS!$D$12,"SOPORTE CARDIOVASCULAR AVANZADO (ACLS) ",IF(N238=CURSOS!$D$13,"CAMILLERO ",IF(N238=CURSOS!$D$14,"TOMA DE MUESTRAS Y LABORATORIO ",IF(N238=CURSOS!$D$15,"SOPORTE VITAL BASICO (BLS)",IF(N238=CURSOS!$D$16,"ATENCION A VICTIMAS DE VIOLENCIA SEXUAL ",IF(N238=CURSOS!$D$17,"PROGRAMADO AMPLIADO DE INMUNIZACION (PAI - COVID 19)",IF(N238=CURSOS!$D$18,"ATENCION INTEGRAL EN ENFERMEDADES PREVALENTES EN PRIMERA INFANCIA (AIEPI)",IF(N238=CURSOS!$D$19,"ADMINISTRACION DE MEDICAMENTOS, INYECTOLOGIA  Y CANALIZACION ",IF(N238=CURSOS!$D$20,"OPERADOR DE VEHICULOS DE EMERGENCIA (OVE)",IF(N238=CURSOS!$D$21,"INSTITUCIONES AMIGAS DE LA MUJER Y LA INFANCIA (IAMI)",IF(N238=CURSOS!$D$22,"CUIDADO DEL DONANTE DE ORGANOS",IF(N238=CURSOS!$D$23,"ATENCION A VICTIMAS POR VIOLENCIA DE GENERO",IF(N238=CURSOS!$D$24,"IGUALDAD DE GENERO EN LA SALUD",IF(N238=CURSOS!$D$25,"BRIGADA DE EMERGENCIA",IF(N238=CURSOS!$D$26,"MANEJO DEL DOLOR Y CUIDADOS PALIATIVOS",IF(N238=CURSOS!$D$27,"TOMA DE MUESTRAS Y LABORATORIO POCT",IF(N238=CURSOS!$D$28,"IMPLANTE SUBDERMICO DE DISPOSITIVO INTRAUTERINO",IF(N238=CURSOS!$D$29,"SALUD MENTAL",IF(N238=CURSOS!$D$30,"PRIMEROS AUXILIOS PSICOLOGICOS",IF(N238=CURSOS!$D$31,"ATENCION A VICTIMAS POR CONFLICTO ARMADO",IF(N238=CURSOS!$D$32,"MANIPULACION DE ALIMENTOS Y BPM",IF(N238=CURSOS!$D$33,"ATENCION A PERSONAS CON DISCAPACIDAD",IF(N238=CURSOS!$D$34,"CUIDADO INTEGRAL DEL PACIENTE ADULTO",IF(N238=CURSOS!$D$35,"MANEJO DEFENSIVO",IF(N238=CURSOS!$D$36,"SOPORTE CARDIOVASCULAR AVANZADO NEONATAL",IF(N238=CURSOS!$D$37,"SEGURIDAD DEL PACIENTE")))))))))))))))))))))))))))))))))))</f>
        <v xml:space="preserve">SOPORTE CARDIOVASCULAR AVANZADO (ACLS) </v>
      </c>
      <c r="U238" s="124" t="str">
        <f t="shared" si="12"/>
        <v>Edgardo Julian Benavides Arcos</v>
      </c>
      <c r="V238" s="128" t="str">
        <f t="shared" si="13"/>
        <v>Edgardo Julian Benavides Arcos</v>
      </c>
      <c r="W238" s="138" t="str">
        <f t="shared" si="14"/>
        <v>Edgardo Julian Benavides Arcos-12962212-ACLS</v>
      </c>
    </row>
    <row r="239" spans="1:23" x14ac:dyDescent="0.2">
      <c r="A239" s="42">
        <v>238</v>
      </c>
      <c r="B239" s="90">
        <v>1085284105</v>
      </c>
      <c r="C239" s="99" t="s">
        <v>745</v>
      </c>
      <c r="D239" s="99" t="s">
        <v>372</v>
      </c>
      <c r="E239" s="99" t="s">
        <v>746</v>
      </c>
      <c r="F239" s="99" t="s">
        <v>238</v>
      </c>
      <c r="G239" s="117">
        <v>23</v>
      </c>
      <c r="H239" s="117" t="s">
        <v>89</v>
      </c>
      <c r="I239" s="16">
        <v>45491</v>
      </c>
      <c r="J239" s="19">
        <v>20000</v>
      </c>
      <c r="K239" s="117" t="s">
        <v>210</v>
      </c>
      <c r="L239" s="117" t="s">
        <v>90</v>
      </c>
      <c r="M239" s="117" t="s">
        <v>275</v>
      </c>
      <c r="N239" s="118" t="s">
        <v>63</v>
      </c>
      <c r="O239" s="18">
        <v>33129</v>
      </c>
      <c r="P239" s="171" t="s">
        <v>91</v>
      </c>
      <c r="Q239" s="99" t="s">
        <v>126</v>
      </c>
      <c r="R239" s="99">
        <v>3135546295</v>
      </c>
      <c r="S239" s="99" t="s">
        <v>747</v>
      </c>
      <c r="T239" s="124" t="str">
        <f>IF(N239=CURSOS!$D$3,"DIPLOMADO EN ATENCION PRE-HOSPITALARIA",IF(N239=CURSOS!$D$4,"ACOMPAÑAMIENTO Y MANEJO DEL DUELO",IF(N239=CURSOS!$D$5,"ATENCION A VICTIMAS DE ATAQUE CON AGENTES QUIMICOS ",IF(N239=CURSOS!$D$6,"PRIMEROS AUXILIOS ",IF(N239=CURSOS!$D$7,"DIPLOMADO DE UNIDAD DE CUIDADOS INTENSIVOS (UCI)",IF(N239=CURSOS!$D$8,"MODELO DE ATENCION PARA EVENTOS EMERGENTES EN SALUD MENTAL (CODIGO VERDE)",IF(N239=CURSOS!$D$9,"HUMANIZACION EN EL SERVICIO DE LA SALUD Y BUENAS PRACTICAS EN PACIENTE ",IF(N239=CURSOS!$D$10,"CLINICA DE HERIDAS ",IF(N239=CURSOS!$D$11,"TOMA DE CITOLOGIA CERVICO VAGINAL ",IF(N239=CURSOS!$D$12,"SOPORTE CARDIOVASCULAR AVANZADO (ACLS) ",IF(N239=CURSOS!$D$13,"CAMILLERO ",IF(N239=CURSOS!$D$14,"TOMA DE MUESTRAS Y LABORATORIO ",IF(N239=CURSOS!$D$15,"SOPORTE VITAL BASICO (BLS)",IF(N239=CURSOS!$D$16,"ATENCION A VICTIMAS DE VIOLENCIA SEXUAL ",IF(N239=CURSOS!$D$17,"PROGRAMADO AMPLIADO DE INMUNIZACION (PAI - COVID 19)",IF(N239=CURSOS!$D$18,"ATENCION INTEGRAL EN ENFERMEDADES PREVALENTES EN PRIMERA INFANCIA (AIEPI)",IF(N239=CURSOS!$D$19,"ADMINISTRACION DE MEDICAMENTOS, INYECTOLOGIA  Y CANALIZACION ",IF(N239=CURSOS!$D$20,"OPERADOR DE VEHICULOS DE EMERGENCIA (OVE)",IF(N239=CURSOS!$D$21,"INSTITUCIONES AMIGAS DE LA MUJER Y LA INFANCIA (IAMI)",IF(N239=CURSOS!$D$22,"CUIDADO DEL DONANTE DE ORGANOS",IF(N239=CURSOS!$D$23,"ATENCION A VICTIMAS POR VIOLENCIA DE GENERO",IF(N239=CURSOS!$D$24,"IGUALDAD DE GENERO EN LA SALUD",IF(N239=CURSOS!$D$25,"BRIGADA DE EMERGENCIA",IF(N239=CURSOS!$D$26,"MANEJO DEL DOLOR Y CUIDADOS PALIATIVOS",IF(N239=CURSOS!$D$27,"TOMA DE MUESTRAS Y LABORATORIO POCT",IF(N239=CURSOS!$D$28,"IMPLANTE SUBDERMICO DE DISPOSITIVO INTRAUTERINO",IF(N239=CURSOS!$D$29,"SALUD MENTAL",IF(N239=CURSOS!$D$30,"PRIMEROS AUXILIOS PSICOLOGICOS",IF(N239=CURSOS!$D$31,"ATENCION A VICTIMAS POR CONFLICTO ARMADO",IF(N239=CURSOS!$D$32,"MANIPULACION DE ALIMENTOS Y BPM",IF(N239=CURSOS!$D$33,"ATENCION A PERSONAS CON DISCAPACIDAD",IF(N239=CURSOS!$D$34,"CUIDADO INTEGRAL DEL PACIENTE ADULTO",IF(N239=CURSOS!$D$35,"MANEJO DEFENSIVO",IF(N239=CURSOS!$D$36,"SOPORTE CARDIOVASCULAR AVANZADO NEONATAL",IF(N239=CURSOS!$D$37,"SEGURIDAD DEL PACIENTE")))))))))))))))))))))))))))))))))))</f>
        <v>TOMA DE MUESTRAS Y LABORATORIO POCT</v>
      </c>
      <c r="U239" s="124" t="str">
        <f t="shared" si="12"/>
        <v>Mario Fernando Jimenez Fajardo</v>
      </c>
      <c r="V239" s="128" t="str">
        <f t="shared" si="13"/>
        <v>Mario Fernando Jimenez Fajardo</v>
      </c>
      <c r="W239" s="138" t="str">
        <f t="shared" si="14"/>
        <v>Mario Fernando Jimenez Fajardo-1085284105-POCT</v>
      </c>
    </row>
    <row r="240" spans="1:23" x14ac:dyDescent="0.2">
      <c r="A240" s="42">
        <v>239</v>
      </c>
      <c r="B240" s="90">
        <v>1084848011</v>
      </c>
      <c r="C240" s="99" t="s">
        <v>663</v>
      </c>
      <c r="D240" s="99" t="s">
        <v>634</v>
      </c>
      <c r="E240" s="99" t="s">
        <v>750</v>
      </c>
      <c r="F240" s="99" t="s">
        <v>751</v>
      </c>
      <c r="G240" s="117">
        <v>23</v>
      </c>
      <c r="H240" s="117" t="s">
        <v>89</v>
      </c>
      <c r="I240" s="16">
        <v>45496</v>
      </c>
      <c r="J240" s="19">
        <v>30000</v>
      </c>
      <c r="K240" s="117" t="s">
        <v>210</v>
      </c>
      <c r="L240" s="117" t="s">
        <v>90</v>
      </c>
      <c r="M240" s="117" t="s">
        <v>752</v>
      </c>
      <c r="N240" s="118" t="s">
        <v>23</v>
      </c>
      <c r="O240" s="18">
        <v>35769</v>
      </c>
      <c r="P240" s="118" t="s">
        <v>91</v>
      </c>
      <c r="Q240" s="99" t="s">
        <v>126</v>
      </c>
      <c r="R240" s="99">
        <v>3164474613</v>
      </c>
      <c r="S240" s="99" t="s">
        <v>753</v>
      </c>
      <c r="T240" s="124" t="str">
        <f>IF(N240=CURSOS!$D$3,"DIPLOMADO EN ATENCION PRE-HOSPITALARIA",IF(N240=CURSOS!$D$4,"ACOMPAÑAMIENTO Y MANEJO DEL DUELO",IF(N240=CURSOS!$D$5,"ATENCION A VICTIMAS DE ATAQUE CON AGENTES QUIMICOS ",IF(N240=CURSOS!$D$6,"PRIMEROS AUXILIOS ",IF(N240=CURSOS!$D$7,"DIPLOMADO DE UNIDAD DE CUIDADOS INTENSIVOS (UCI)",IF(N240=CURSOS!$D$8,"MODELO DE ATENCION PARA EVENTOS EMERGENTES EN SALUD MENTAL (CODIGO VERDE)",IF(N240=CURSOS!$D$9,"HUMANIZACION EN EL SERVICIO DE LA SALUD Y BUENAS PRACTICAS EN PACIENTE ",IF(N240=CURSOS!$D$10,"CLINICA DE HERIDAS ",IF(N240=CURSOS!$D$11,"TOMA DE CITOLOGIA CERVICO VAGINAL ",IF(N240=CURSOS!$D$12,"SOPORTE CARDIOVASCULAR AVANZADO (ACLS) ",IF(N240=CURSOS!$D$13,"CAMILLERO ",IF(N240=CURSOS!$D$14,"TOMA DE MUESTRAS Y LABORATORIO ",IF(N240=CURSOS!$D$15,"SOPORTE VITAL BASICO (BLS)",IF(N240=CURSOS!$D$16,"ATENCION A VICTIMAS DE VIOLENCIA SEXUAL ",IF(N240=CURSOS!$D$17,"PROGRAMADO AMPLIADO DE INMUNIZACION (PAI - COVID 19)",IF(N240=CURSOS!$D$18,"ATENCION INTEGRAL EN ENFERMEDADES PREVALENTES EN PRIMERA INFANCIA (AIEPI)",IF(N240=CURSOS!$D$19,"ADMINISTRACION DE MEDICAMENTOS, INYECTOLOGIA  Y CANALIZACION ",IF(N240=CURSOS!$D$20,"OPERADOR DE VEHICULOS DE EMERGENCIA (OVE)",IF(N240=CURSOS!$D$21,"INSTITUCIONES AMIGAS DE LA MUJER Y LA INFANCIA (IAMI)",IF(N240=CURSOS!$D$22,"CUIDADO DEL DONANTE DE ORGANOS",IF(N240=CURSOS!$D$23,"ATENCION A VICTIMAS POR VIOLENCIA DE GENERO",IF(N240=CURSOS!$D$24,"IGUALDAD DE GENERO EN LA SALUD",IF(N240=CURSOS!$D$25,"BRIGADA DE EMERGENCIA",IF(N240=CURSOS!$D$26,"MANEJO DEL DOLOR Y CUIDADOS PALIATIVOS",IF(N240=CURSOS!$D$27,"TOMA DE MUESTRAS Y LABORATORIO POCT",IF(N240=CURSOS!$D$28,"IMPLANTE SUBDERMICO DE DISPOSITIVO INTRAUTERINO",IF(N240=CURSOS!$D$29,"SALUD MENTAL",IF(N240=CURSOS!$D$30,"PRIMEROS AUXILIOS PSICOLOGICOS",IF(N240=CURSOS!$D$31,"ATENCION A VICTIMAS POR CONFLICTO ARMADO",IF(N240=CURSOS!$D$32,"MANIPULACION DE ALIMENTOS Y BPM",IF(N240=CURSOS!$D$33,"ATENCION A PERSONAS CON DISCAPACIDAD",IF(N240=CURSOS!$D$34,"CUIDADO INTEGRAL DEL PACIENTE ADULTO",IF(N240=CURSOS!$D$35,"MANEJO DEFENSIVO",IF(N240=CURSOS!$D$36,"SOPORTE CARDIOVASCULAR AVANZADO NEONATAL",IF(N240=CURSOS!$D$37,"SEGURIDAD DEL PACIENTE")))))))))))))))))))))))))))))))))))</f>
        <v>ACOMPAÑAMIENTO Y MANEJO DEL DUELO</v>
      </c>
      <c r="U240" s="124" t="str">
        <f t="shared" si="12"/>
        <v>Yuval Hernán Romero Erazo</v>
      </c>
      <c r="V240" s="128" t="str">
        <f t="shared" si="13"/>
        <v>Yuval Hernán Romero Erazo</v>
      </c>
      <c r="W240" s="138" t="str">
        <f t="shared" si="14"/>
        <v>Yuval Hernán Romero Erazo-1084848011-DUELO</v>
      </c>
    </row>
    <row r="241" spans="1:23" x14ac:dyDescent="0.2">
      <c r="A241" s="42">
        <v>240</v>
      </c>
      <c r="B241" s="90">
        <v>1084848011</v>
      </c>
      <c r="C241" s="99" t="s">
        <v>663</v>
      </c>
      <c r="D241" s="99" t="s">
        <v>634</v>
      </c>
      <c r="E241" s="99" t="s">
        <v>750</v>
      </c>
      <c r="F241" s="99" t="s">
        <v>751</v>
      </c>
      <c r="G241" s="117">
        <v>23</v>
      </c>
      <c r="H241" s="117" t="s">
        <v>89</v>
      </c>
      <c r="I241" s="16">
        <v>45496</v>
      </c>
      <c r="J241" s="19">
        <v>30000</v>
      </c>
      <c r="K241" s="117" t="s">
        <v>210</v>
      </c>
      <c r="L241" s="117" t="s">
        <v>90</v>
      </c>
      <c r="M241" s="117" t="s">
        <v>752</v>
      </c>
      <c r="N241" s="118" t="s">
        <v>25</v>
      </c>
      <c r="O241" s="18">
        <v>35769</v>
      </c>
      <c r="P241" s="118" t="s">
        <v>91</v>
      </c>
      <c r="Q241" s="99" t="s">
        <v>126</v>
      </c>
      <c r="R241" s="99">
        <v>3164474613</v>
      </c>
      <c r="S241" s="99" t="s">
        <v>753</v>
      </c>
      <c r="T241" s="124" t="str">
        <f>IF(N241=CURSOS!$D$3,"DIPLOMADO EN ATENCION PRE-HOSPITALARIA",IF(N241=CURSOS!$D$4,"ACOMPAÑAMIENTO Y MANEJO DEL DUELO",IF(N241=CURSOS!$D$5,"ATENCION A VICTIMAS DE ATAQUE CON AGENTES QUIMICOS ",IF(N241=CURSOS!$D$6,"PRIMEROS AUXILIOS ",IF(N241=CURSOS!$D$7,"DIPLOMADO DE UNIDAD DE CUIDADOS INTENSIVOS (UCI)",IF(N241=CURSOS!$D$8,"MODELO DE ATENCION PARA EVENTOS EMERGENTES EN SALUD MENTAL (CODIGO VERDE)",IF(N241=CURSOS!$D$9,"HUMANIZACION EN EL SERVICIO DE LA SALUD Y BUENAS PRACTICAS EN PACIENTE ",IF(N241=CURSOS!$D$10,"CLINICA DE HERIDAS ",IF(N241=CURSOS!$D$11,"TOMA DE CITOLOGIA CERVICO VAGINAL ",IF(N241=CURSOS!$D$12,"SOPORTE CARDIOVASCULAR AVANZADO (ACLS) ",IF(N241=CURSOS!$D$13,"CAMILLERO ",IF(N241=CURSOS!$D$14,"TOMA DE MUESTRAS Y LABORATORIO ",IF(N241=CURSOS!$D$15,"SOPORTE VITAL BASICO (BLS)",IF(N241=CURSOS!$D$16,"ATENCION A VICTIMAS DE VIOLENCIA SEXUAL ",IF(N241=CURSOS!$D$17,"PROGRAMADO AMPLIADO DE INMUNIZACION (PAI - COVID 19)",IF(N241=CURSOS!$D$18,"ATENCION INTEGRAL EN ENFERMEDADES PREVALENTES EN PRIMERA INFANCIA (AIEPI)",IF(N241=CURSOS!$D$19,"ADMINISTRACION DE MEDICAMENTOS, INYECTOLOGIA  Y CANALIZACION ",IF(N241=CURSOS!$D$20,"OPERADOR DE VEHICULOS DE EMERGENCIA (OVE)",IF(N241=CURSOS!$D$21,"INSTITUCIONES AMIGAS DE LA MUJER Y LA INFANCIA (IAMI)",IF(N241=CURSOS!$D$22,"CUIDADO DEL DONANTE DE ORGANOS",IF(N241=CURSOS!$D$23,"ATENCION A VICTIMAS POR VIOLENCIA DE GENERO",IF(N241=CURSOS!$D$24,"IGUALDAD DE GENERO EN LA SALUD",IF(N241=CURSOS!$D$25,"BRIGADA DE EMERGENCIA",IF(N241=CURSOS!$D$26,"MANEJO DEL DOLOR Y CUIDADOS PALIATIVOS",IF(N241=CURSOS!$D$27,"TOMA DE MUESTRAS Y LABORATORIO POCT",IF(N241=CURSOS!$D$28,"IMPLANTE SUBDERMICO DE DISPOSITIVO INTRAUTERINO",IF(N241=CURSOS!$D$29,"SALUD MENTAL",IF(N241=CURSOS!$D$30,"PRIMEROS AUXILIOS PSICOLOGICOS",IF(N241=CURSOS!$D$31,"ATENCION A VICTIMAS POR CONFLICTO ARMADO",IF(N241=CURSOS!$D$32,"MANIPULACION DE ALIMENTOS Y BPM",IF(N241=CURSOS!$D$33,"ATENCION A PERSONAS CON DISCAPACIDAD",IF(N241=CURSOS!$D$34,"CUIDADO INTEGRAL DEL PACIENTE ADULTO",IF(N241=CURSOS!$D$35,"MANEJO DEFENSIVO",IF(N241=CURSOS!$D$36,"SOPORTE CARDIOVASCULAR AVANZADO NEONATAL",IF(N241=CURSOS!$D$37,"SEGURIDAD DEL PACIENTE")))))))))))))))))))))))))))))))))))</f>
        <v xml:space="preserve">ATENCION A VICTIMAS DE ATAQUE CON AGENTES QUIMICOS </v>
      </c>
      <c r="U241" s="124" t="str">
        <f t="shared" si="12"/>
        <v>Yuval Hernán Romero Erazo</v>
      </c>
      <c r="V241" s="128" t="str">
        <f t="shared" si="13"/>
        <v>Yuval Hernán Romero Erazo</v>
      </c>
      <c r="W241" s="138" t="str">
        <f t="shared" si="14"/>
        <v>Yuval Hernán Romero Erazo-1084848011-QUIMICOS</v>
      </c>
    </row>
    <row r="242" spans="1:23" x14ac:dyDescent="0.2">
      <c r="A242" s="42">
        <v>241</v>
      </c>
      <c r="B242" s="90">
        <v>1084848011</v>
      </c>
      <c r="C242" s="99" t="s">
        <v>663</v>
      </c>
      <c r="D242" s="99" t="s">
        <v>634</v>
      </c>
      <c r="E242" s="99" t="s">
        <v>750</v>
      </c>
      <c r="F242" s="99" t="s">
        <v>751</v>
      </c>
      <c r="G242" s="117">
        <v>22</v>
      </c>
      <c r="H242" s="117" t="s">
        <v>89</v>
      </c>
      <c r="I242" s="16">
        <v>45496</v>
      </c>
      <c r="J242" s="19">
        <v>40000</v>
      </c>
      <c r="K242" s="117" t="s">
        <v>210</v>
      </c>
      <c r="L242" s="117" t="s">
        <v>90</v>
      </c>
      <c r="M242" s="117" t="s">
        <v>752</v>
      </c>
      <c r="N242" s="118" t="s">
        <v>41</v>
      </c>
      <c r="O242" s="18">
        <v>35769</v>
      </c>
      <c r="P242" s="118" t="s">
        <v>91</v>
      </c>
      <c r="Q242" s="99" t="s">
        <v>126</v>
      </c>
      <c r="R242" s="99">
        <v>3164474613</v>
      </c>
      <c r="S242" s="99" t="s">
        <v>753</v>
      </c>
      <c r="T242" s="124" t="str">
        <f>IF(N242=CURSOS!$D$3,"DIPLOMADO EN ATENCION PRE-HOSPITALARIA",IF(N242=CURSOS!$D$4,"ACOMPAÑAMIENTO Y MANEJO DEL DUELO",IF(N242=CURSOS!$D$5,"ATENCION A VICTIMAS DE ATAQUE CON AGENTES QUIMICOS ",IF(N242=CURSOS!$D$6,"PRIMEROS AUXILIOS ",IF(N242=CURSOS!$D$7,"DIPLOMADO DE UNIDAD DE CUIDADOS INTENSIVOS (UCI)",IF(N242=CURSOS!$D$8,"MODELO DE ATENCION PARA EVENTOS EMERGENTES EN SALUD MENTAL (CODIGO VERDE)",IF(N242=CURSOS!$D$9,"HUMANIZACION EN EL SERVICIO DE LA SALUD Y BUENAS PRACTICAS EN PACIENTE ",IF(N242=CURSOS!$D$10,"CLINICA DE HERIDAS ",IF(N242=CURSOS!$D$11,"TOMA DE CITOLOGIA CERVICO VAGINAL ",IF(N242=CURSOS!$D$12,"SOPORTE CARDIOVASCULAR AVANZADO (ACLS) ",IF(N242=CURSOS!$D$13,"CAMILLERO ",IF(N242=CURSOS!$D$14,"TOMA DE MUESTRAS Y LABORATORIO ",IF(N242=CURSOS!$D$15,"SOPORTE VITAL BASICO (BLS)",IF(N242=CURSOS!$D$16,"ATENCION A VICTIMAS DE VIOLENCIA SEXUAL ",IF(N242=CURSOS!$D$17,"PROGRAMADO AMPLIADO DE INMUNIZACION (PAI - COVID 19)",IF(N242=CURSOS!$D$18,"ATENCION INTEGRAL EN ENFERMEDADES PREVALENTES EN PRIMERA INFANCIA (AIEPI)",IF(N242=CURSOS!$D$19,"ADMINISTRACION DE MEDICAMENTOS, INYECTOLOGIA  Y CANALIZACION ",IF(N242=CURSOS!$D$20,"OPERADOR DE VEHICULOS DE EMERGENCIA (OVE)",IF(N242=CURSOS!$D$21,"INSTITUCIONES AMIGAS DE LA MUJER Y LA INFANCIA (IAMI)",IF(N242=CURSOS!$D$22,"CUIDADO DEL DONANTE DE ORGANOS",IF(N242=CURSOS!$D$23,"ATENCION A VICTIMAS POR VIOLENCIA DE GENERO",IF(N242=CURSOS!$D$24,"IGUALDAD DE GENERO EN LA SALUD",IF(N242=CURSOS!$D$25,"BRIGADA DE EMERGENCIA",IF(N242=CURSOS!$D$26,"MANEJO DEL DOLOR Y CUIDADOS PALIATIVOS",IF(N242=CURSOS!$D$27,"TOMA DE MUESTRAS Y LABORATORIO POCT",IF(N242=CURSOS!$D$28,"IMPLANTE SUBDERMICO DE DISPOSITIVO INTRAUTERINO",IF(N242=CURSOS!$D$29,"SALUD MENTAL",IF(N242=CURSOS!$D$30,"PRIMEROS AUXILIOS PSICOLOGICOS",IF(N242=CURSOS!$D$31,"ATENCION A VICTIMAS POR CONFLICTO ARMADO",IF(N242=CURSOS!$D$32,"MANIPULACION DE ALIMENTOS Y BPM",IF(N242=CURSOS!$D$33,"ATENCION A PERSONAS CON DISCAPACIDAD",IF(N242=CURSOS!$D$34,"CUIDADO INTEGRAL DEL PACIENTE ADULTO",IF(N242=CURSOS!$D$35,"MANEJO DEFENSIVO",IF(N242=CURSOS!$D$36,"SOPORTE CARDIOVASCULAR AVANZADO NEONATAL",IF(N242=CURSOS!$D$37,"SEGURIDAD DEL PACIENTE")))))))))))))))))))))))))))))))))))</f>
        <v xml:space="preserve">TOMA DE MUESTRAS Y LABORATORIO </v>
      </c>
      <c r="U242" s="124" t="str">
        <f t="shared" si="12"/>
        <v>Yuval Hernán Romero Erazo</v>
      </c>
      <c r="V242" s="128" t="str">
        <f t="shared" si="13"/>
        <v>Yuval Hernán Romero Erazo</v>
      </c>
      <c r="W242" s="138" t="str">
        <f t="shared" si="14"/>
        <v>Yuval Hernán Romero Erazo-1084848011-TOMA DE MUESTRAS</v>
      </c>
    </row>
    <row r="243" spans="1:23" x14ac:dyDescent="0.2">
      <c r="A243" s="42">
        <v>242</v>
      </c>
      <c r="B243" s="90">
        <v>1084848011</v>
      </c>
      <c r="C243" s="99" t="s">
        <v>663</v>
      </c>
      <c r="D243" s="99" t="s">
        <v>634</v>
      </c>
      <c r="E243" s="99" t="s">
        <v>750</v>
      </c>
      <c r="F243" s="99" t="s">
        <v>751</v>
      </c>
      <c r="G243" s="117">
        <v>22</v>
      </c>
      <c r="H243" s="117" t="s">
        <v>89</v>
      </c>
      <c r="I243" s="16">
        <v>45496</v>
      </c>
      <c r="J243" s="19">
        <v>30000</v>
      </c>
      <c r="K243" s="117" t="s">
        <v>210</v>
      </c>
      <c r="L243" s="117" t="s">
        <v>90</v>
      </c>
      <c r="M243" s="117" t="s">
        <v>752</v>
      </c>
      <c r="N243" s="118" t="s">
        <v>19</v>
      </c>
      <c r="O243" s="18">
        <v>35769</v>
      </c>
      <c r="P243" s="118" t="s">
        <v>91</v>
      </c>
      <c r="Q243" s="99" t="s">
        <v>126</v>
      </c>
      <c r="R243" s="99">
        <v>3164474613</v>
      </c>
      <c r="S243" s="99" t="s">
        <v>753</v>
      </c>
      <c r="T243" s="124" t="str">
        <f>IF(N243=CURSOS!$D$3,"DIPLOMADO EN ATENCION PRE-HOSPITALARIA",IF(N243=CURSOS!$D$4,"ACOMPAÑAMIENTO Y MANEJO DEL DUELO",IF(N243=CURSOS!$D$5,"ATENCION A VICTIMAS DE ATAQUE CON AGENTES QUIMICOS ",IF(N243=CURSOS!$D$6,"PRIMEROS AUXILIOS ",IF(N243=CURSOS!$D$7,"DIPLOMADO DE UNIDAD DE CUIDADOS INTENSIVOS (UCI)",IF(N243=CURSOS!$D$8,"MODELO DE ATENCION PARA EVENTOS EMERGENTES EN SALUD MENTAL (CODIGO VERDE)",IF(N243=CURSOS!$D$9,"HUMANIZACION EN EL SERVICIO DE LA SALUD Y BUENAS PRACTICAS EN PACIENTE ",IF(N243=CURSOS!$D$10,"CLINICA DE HERIDAS ",IF(N243=CURSOS!$D$11,"TOMA DE CITOLOGIA CERVICO VAGINAL ",IF(N243=CURSOS!$D$12,"SOPORTE CARDIOVASCULAR AVANZADO (ACLS) ",IF(N243=CURSOS!$D$13,"CAMILLERO ",IF(N243=CURSOS!$D$14,"TOMA DE MUESTRAS Y LABORATORIO ",IF(N243=CURSOS!$D$15,"SOPORTE VITAL BASICO (BLS)",IF(N243=CURSOS!$D$16,"ATENCION A VICTIMAS DE VIOLENCIA SEXUAL ",IF(N243=CURSOS!$D$17,"PROGRAMADO AMPLIADO DE INMUNIZACION (PAI - COVID 19)",IF(N243=CURSOS!$D$18,"ATENCION INTEGRAL EN ENFERMEDADES PREVALENTES EN PRIMERA INFANCIA (AIEPI)",IF(N243=CURSOS!$D$19,"ADMINISTRACION DE MEDICAMENTOS, INYECTOLOGIA  Y CANALIZACION ",IF(N243=CURSOS!$D$20,"OPERADOR DE VEHICULOS DE EMERGENCIA (OVE)",IF(N243=CURSOS!$D$21,"INSTITUCIONES AMIGAS DE LA MUJER Y LA INFANCIA (IAMI)",IF(N243=CURSOS!$D$22,"CUIDADO DEL DONANTE DE ORGANOS",IF(N243=CURSOS!$D$23,"ATENCION A VICTIMAS POR VIOLENCIA DE GENERO",IF(N243=CURSOS!$D$24,"IGUALDAD DE GENERO EN LA SALUD",IF(N243=CURSOS!$D$25,"BRIGADA DE EMERGENCIA",IF(N243=CURSOS!$D$26,"MANEJO DEL DOLOR Y CUIDADOS PALIATIVOS",IF(N243=CURSOS!$D$27,"TOMA DE MUESTRAS Y LABORATORIO POCT",IF(N243=CURSOS!$D$28,"IMPLANTE SUBDERMICO DE DISPOSITIVO INTRAUTERINO",IF(N243=CURSOS!$D$29,"SALUD MENTAL",IF(N243=CURSOS!$D$30,"PRIMEROS AUXILIOS PSICOLOGICOS",IF(N243=CURSOS!$D$31,"ATENCION A VICTIMAS POR CONFLICTO ARMADO",IF(N243=CURSOS!$D$32,"MANIPULACION DE ALIMENTOS Y BPM",IF(N243=CURSOS!$D$33,"ATENCION A PERSONAS CON DISCAPACIDAD",IF(N243=CURSOS!$D$34,"CUIDADO INTEGRAL DEL PACIENTE ADULTO",IF(N243=CURSOS!$D$35,"MANEJO DEFENSIVO",IF(N243=CURSOS!$D$36,"SOPORTE CARDIOVASCULAR AVANZADO NEONATAL",IF(N243=CURSOS!$D$37,"SEGURIDAD DEL PACIENTE")))))))))))))))))))))))))))))))))))</f>
        <v>SOPORTE VITAL BASICO (BLS)</v>
      </c>
      <c r="U243" s="124" t="str">
        <f t="shared" si="12"/>
        <v>Yuval Hernán Romero Erazo</v>
      </c>
      <c r="V243" s="128" t="str">
        <f t="shared" si="13"/>
        <v>Yuval Hernán Romero Erazo</v>
      </c>
      <c r="W243" s="138" t="str">
        <f t="shared" si="14"/>
        <v>Yuval Hernán Romero Erazo-1084848011-BLS</v>
      </c>
    </row>
    <row r="244" spans="1:23" x14ac:dyDescent="0.2">
      <c r="A244" s="42">
        <v>243</v>
      </c>
      <c r="B244" s="90">
        <v>87217580</v>
      </c>
      <c r="C244" s="99" t="s">
        <v>445</v>
      </c>
      <c r="D244" s="99" t="s">
        <v>754</v>
      </c>
      <c r="E244" s="99" t="s">
        <v>237</v>
      </c>
      <c r="F244" s="99" t="s">
        <v>238</v>
      </c>
      <c r="G244" s="117">
        <v>24</v>
      </c>
      <c r="H244" s="117" t="s">
        <v>89</v>
      </c>
      <c r="I244" s="16">
        <v>45497</v>
      </c>
      <c r="J244" s="19">
        <v>35000</v>
      </c>
      <c r="K244" s="117" t="s">
        <v>210</v>
      </c>
      <c r="L244" s="117" t="s">
        <v>90</v>
      </c>
      <c r="M244" s="117" t="s">
        <v>752</v>
      </c>
      <c r="N244" s="118" t="s">
        <v>43</v>
      </c>
      <c r="O244" s="18">
        <v>30837</v>
      </c>
      <c r="P244" s="118" t="s">
        <v>91</v>
      </c>
      <c r="Q244" s="99" t="s">
        <v>755</v>
      </c>
      <c r="R244" s="99">
        <v>3114144483</v>
      </c>
      <c r="S244" s="99" t="s">
        <v>756</v>
      </c>
      <c r="T244" s="124" t="str">
        <f>IF(N244=CURSOS!$D$3,"DIPLOMADO EN ATENCION PRE-HOSPITALARIA",IF(N244=CURSOS!$D$4,"ACOMPAÑAMIENTO Y MANEJO DEL DUELO",IF(N244=CURSOS!$D$5,"ATENCION A VICTIMAS DE ATAQUE CON AGENTES QUIMICOS ",IF(N244=CURSOS!$D$6,"PRIMEROS AUXILIOS ",IF(N244=CURSOS!$D$7,"DIPLOMADO DE UNIDAD DE CUIDADOS INTENSIVOS (UCI)",IF(N244=CURSOS!$D$8,"MODELO DE ATENCION PARA EVENTOS EMERGENTES EN SALUD MENTAL (CODIGO VERDE)",IF(N244=CURSOS!$D$9,"HUMANIZACION EN EL SERVICIO DE LA SALUD Y BUENAS PRACTICAS EN PACIENTE ",IF(N244=CURSOS!$D$10,"CLINICA DE HERIDAS ",IF(N244=CURSOS!$D$11,"TOMA DE CITOLOGIA CERVICO VAGINAL ",IF(N244=CURSOS!$D$12,"SOPORTE CARDIOVASCULAR AVANZADO (ACLS) ",IF(N244=CURSOS!$D$13,"CAMILLERO ",IF(N244=CURSOS!$D$14,"TOMA DE MUESTRAS Y LABORATORIO ",IF(N244=CURSOS!$D$15,"SOPORTE VITAL BASICO (BLS)",IF(N244=CURSOS!$D$16,"ATENCION A VICTIMAS DE VIOLENCIA SEXUAL ",IF(N244=CURSOS!$D$17,"PROGRAMADO AMPLIADO DE INMUNIZACION (PAI - COVID 19)",IF(N244=CURSOS!$D$18,"ATENCION INTEGRAL EN ENFERMEDADES PREVALENTES EN PRIMERA INFANCIA (AIEPI)",IF(N244=CURSOS!$D$19,"ADMINISTRACION DE MEDICAMENTOS, INYECTOLOGIA  Y CANALIZACION ",IF(N244=CURSOS!$D$20,"OPERADOR DE VEHICULOS DE EMERGENCIA (OVE)",IF(N244=CURSOS!$D$21,"INSTITUCIONES AMIGAS DE LA MUJER Y LA INFANCIA (IAMI)",IF(N244=CURSOS!$D$22,"CUIDADO DEL DONANTE DE ORGANOS",IF(N244=CURSOS!$D$23,"ATENCION A VICTIMAS POR VIOLENCIA DE GENERO",IF(N244=CURSOS!$D$24,"IGUALDAD DE GENERO EN LA SALUD",IF(N244=CURSOS!$D$25,"BRIGADA DE EMERGENCIA",IF(N244=CURSOS!$D$26,"MANEJO DEL DOLOR Y CUIDADOS PALIATIVOS",IF(N244=CURSOS!$D$27,"TOMA DE MUESTRAS Y LABORATORIO POCT",IF(N244=CURSOS!$D$28,"IMPLANTE SUBDERMICO DE DISPOSITIVO INTRAUTERINO",IF(N244=CURSOS!$D$29,"SALUD MENTAL",IF(N244=CURSOS!$D$30,"PRIMEROS AUXILIOS PSICOLOGICOS",IF(N244=CURSOS!$D$31,"ATENCION A VICTIMAS POR CONFLICTO ARMADO",IF(N244=CURSOS!$D$32,"MANIPULACION DE ALIMENTOS Y BPM",IF(N244=CURSOS!$D$33,"ATENCION A PERSONAS CON DISCAPACIDAD",IF(N244=CURSOS!$D$34,"CUIDADO INTEGRAL DEL PACIENTE ADULTO",IF(N244=CURSOS!$D$35,"MANEJO DEFENSIVO",IF(N244=CURSOS!$D$36,"SOPORTE CARDIOVASCULAR AVANZADO NEONATAL",IF(N244=CURSOS!$D$37,"SEGURIDAD DEL PACIENTE")))))))))))))))))))))))))))))))))))</f>
        <v xml:space="preserve">ATENCION A VICTIMAS DE VIOLENCIA SEXUAL </v>
      </c>
      <c r="U244" s="124" t="str">
        <f t="shared" si="12"/>
        <v>Diego Fernando Meneses Guaquez</v>
      </c>
      <c r="V244" s="128" t="str">
        <f t="shared" si="13"/>
        <v>Diego Fernando Meneses Guaquez</v>
      </c>
      <c r="W244" s="138" t="str">
        <f t="shared" si="14"/>
        <v>Diego Fernando Meneses Guaquez-87217580-VIOLENCIA SEXUAL</v>
      </c>
    </row>
    <row r="245" spans="1:23" x14ac:dyDescent="0.2">
      <c r="A245" s="42">
        <v>244</v>
      </c>
      <c r="B245" s="90">
        <v>87217580</v>
      </c>
      <c r="C245" s="99" t="s">
        <v>445</v>
      </c>
      <c r="D245" s="99" t="s">
        <v>754</v>
      </c>
      <c r="E245" s="99" t="s">
        <v>237</v>
      </c>
      <c r="F245" s="99" t="s">
        <v>238</v>
      </c>
      <c r="G245" s="117">
        <v>24</v>
      </c>
      <c r="H245" s="117" t="s">
        <v>89</v>
      </c>
      <c r="I245" s="16">
        <v>45497</v>
      </c>
      <c r="J245" s="19">
        <v>35000</v>
      </c>
      <c r="K245" s="117" t="s">
        <v>210</v>
      </c>
      <c r="L245" s="117" t="s">
        <v>90</v>
      </c>
      <c r="M245" s="117" t="s">
        <v>752</v>
      </c>
      <c r="N245" s="118" t="s">
        <v>25</v>
      </c>
      <c r="O245" s="18">
        <v>30837</v>
      </c>
      <c r="P245" s="118" t="s">
        <v>91</v>
      </c>
      <c r="Q245" s="99" t="s">
        <v>755</v>
      </c>
      <c r="R245" s="99">
        <v>3114144483</v>
      </c>
      <c r="S245" s="99" t="s">
        <v>756</v>
      </c>
      <c r="T245" s="124" t="str">
        <f>IF(N245=CURSOS!$D$3,"DIPLOMADO EN ATENCION PRE-HOSPITALARIA",IF(N245=CURSOS!$D$4,"ACOMPAÑAMIENTO Y MANEJO DEL DUELO",IF(N245=CURSOS!$D$5,"ATENCION A VICTIMAS DE ATAQUE CON AGENTES QUIMICOS ",IF(N245=CURSOS!$D$6,"PRIMEROS AUXILIOS ",IF(N245=CURSOS!$D$7,"DIPLOMADO DE UNIDAD DE CUIDADOS INTENSIVOS (UCI)",IF(N245=CURSOS!$D$8,"MODELO DE ATENCION PARA EVENTOS EMERGENTES EN SALUD MENTAL (CODIGO VERDE)",IF(N245=CURSOS!$D$9,"HUMANIZACION EN EL SERVICIO DE LA SALUD Y BUENAS PRACTICAS EN PACIENTE ",IF(N245=CURSOS!$D$10,"CLINICA DE HERIDAS ",IF(N245=CURSOS!$D$11,"TOMA DE CITOLOGIA CERVICO VAGINAL ",IF(N245=CURSOS!$D$12,"SOPORTE CARDIOVASCULAR AVANZADO (ACLS) ",IF(N245=CURSOS!$D$13,"CAMILLERO ",IF(N245=CURSOS!$D$14,"TOMA DE MUESTRAS Y LABORATORIO ",IF(N245=CURSOS!$D$15,"SOPORTE VITAL BASICO (BLS)",IF(N245=CURSOS!$D$16,"ATENCION A VICTIMAS DE VIOLENCIA SEXUAL ",IF(N245=CURSOS!$D$17,"PROGRAMADO AMPLIADO DE INMUNIZACION (PAI - COVID 19)",IF(N245=CURSOS!$D$18,"ATENCION INTEGRAL EN ENFERMEDADES PREVALENTES EN PRIMERA INFANCIA (AIEPI)",IF(N245=CURSOS!$D$19,"ADMINISTRACION DE MEDICAMENTOS, INYECTOLOGIA  Y CANALIZACION ",IF(N245=CURSOS!$D$20,"OPERADOR DE VEHICULOS DE EMERGENCIA (OVE)",IF(N245=CURSOS!$D$21,"INSTITUCIONES AMIGAS DE LA MUJER Y LA INFANCIA (IAMI)",IF(N245=CURSOS!$D$22,"CUIDADO DEL DONANTE DE ORGANOS",IF(N245=CURSOS!$D$23,"ATENCION A VICTIMAS POR VIOLENCIA DE GENERO",IF(N245=CURSOS!$D$24,"IGUALDAD DE GENERO EN LA SALUD",IF(N245=CURSOS!$D$25,"BRIGADA DE EMERGENCIA",IF(N245=CURSOS!$D$26,"MANEJO DEL DOLOR Y CUIDADOS PALIATIVOS",IF(N245=CURSOS!$D$27,"TOMA DE MUESTRAS Y LABORATORIO POCT",IF(N245=CURSOS!$D$28,"IMPLANTE SUBDERMICO DE DISPOSITIVO INTRAUTERINO",IF(N245=CURSOS!$D$29,"SALUD MENTAL",IF(N245=CURSOS!$D$30,"PRIMEROS AUXILIOS PSICOLOGICOS",IF(N245=CURSOS!$D$31,"ATENCION A VICTIMAS POR CONFLICTO ARMADO",IF(N245=CURSOS!$D$32,"MANIPULACION DE ALIMENTOS Y BPM",IF(N245=CURSOS!$D$33,"ATENCION A PERSONAS CON DISCAPACIDAD",IF(N245=CURSOS!$D$34,"CUIDADO INTEGRAL DEL PACIENTE ADULTO",IF(N245=CURSOS!$D$35,"MANEJO DEFENSIVO",IF(N245=CURSOS!$D$36,"SOPORTE CARDIOVASCULAR AVANZADO NEONATAL",IF(N245=CURSOS!$D$37,"SEGURIDAD DEL PACIENTE")))))))))))))))))))))))))))))))))))</f>
        <v xml:space="preserve">ATENCION A VICTIMAS DE ATAQUE CON AGENTES QUIMICOS </v>
      </c>
      <c r="U245" s="124" t="str">
        <f t="shared" si="12"/>
        <v>Diego Fernando Meneses Guaquez</v>
      </c>
      <c r="V245" s="128" t="str">
        <f t="shared" si="13"/>
        <v>Diego Fernando Meneses Guaquez</v>
      </c>
      <c r="W245" s="138" t="str">
        <f t="shared" si="14"/>
        <v>Diego Fernando Meneses Guaquez-87217580-QUIMICOS</v>
      </c>
    </row>
    <row r="246" spans="1:23" x14ac:dyDescent="0.2">
      <c r="A246" s="42">
        <v>245</v>
      </c>
      <c r="B246" s="90">
        <v>1086223377</v>
      </c>
      <c r="C246" s="99" t="s">
        <v>155</v>
      </c>
      <c r="D246" s="99" t="s">
        <v>272</v>
      </c>
      <c r="E246" s="99" t="s">
        <v>138</v>
      </c>
      <c r="F246" s="99" t="s">
        <v>327</v>
      </c>
      <c r="G246" s="117">
        <v>22</v>
      </c>
      <c r="H246" s="117" t="s">
        <v>89</v>
      </c>
      <c r="I246" s="16">
        <v>45497</v>
      </c>
      <c r="J246" s="19">
        <v>150000</v>
      </c>
      <c r="K246" s="117" t="s">
        <v>210</v>
      </c>
      <c r="L246" s="117" t="s">
        <v>90</v>
      </c>
      <c r="M246" s="117" t="s">
        <v>340</v>
      </c>
      <c r="N246" s="118" t="s">
        <v>38</v>
      </c>
      <c r="O246" s="18">
        <v>32952</v>
      </c>
      <c r="P246" s="118" t="s">
        <v>101</v>
      </c>
      <c r="Q246" s="99" t="s">
        <v>757</v>
      </c>
      <c r="R246" s="99">
        <v>3122617012</v>
      </c>
      <c r="S246" s="99" t="s">
        <v>758</v>
      </c>
      <c r="T246" s="124" t="str">
        <f>IF(N246=CURSOS!$D$3,"DIPLOMADO EN ATENCION PRE-HOSPITALARIA",IF(N246=CURSOS!$D$4,"ACOMPAÑAMIENTO Y MANEJO DEL DUELO",IF(N246=CURSOS!$D$5,"ATENCION A VICTIMAS DE ATAQUE CON AGENTES QUIMICOS ",IF(N246=CURSOS!$D$6,"PRIMEROS AUXILIOS ",IF(N246=CURSOS!$D$7,"DIPLOMADO DE UNIDAD DE CUIDADOS INTENSIVOS (UCI)",IF(N246=CURSOS!$D$8,"MODELO DE ATENCION PARA EVENTOS EMERGENTES EN SALUD MENTAL (CODIGO VERDE)",IF(N246=CURSOS!$D$9,"HUMANIZACION EN EL SERVICIO DE LA SALUD Y BUENAS PRACTICAS EN PACIENTE ",IF(N246=CURSOS!$D$10,"CLINICA DE HERIDAS ",IF(N246=CURSOS!$D$11,"TOMA DE CITOLOGIA CERVICO VAGINAL ",IF(N246=CURSOS!$D$12,"SOPORTE CARDIOVASCULAR AVANZADO (ACLS) ",IF(N246=CURSOS!$D$13,"CAMILLERO ",IF(N246=CURSOS!$D$14,"TOMA DE MUESTRAS Y LABORATORIO ",IF(N246=CURSOS!$D$15,"SOPORTE VITAL BASICO (BLS)",IF(N246=CURSOS!$D$16,"ATENCION A VICTIMAS DE VIOLENCIA SEXUAL ",IF(N246=CURSOS!$D$17,"PROGRAMADO AMPLIADO DE INMUNIZACION (PAI - COVID 19)",IF(N246=CURSOS!$D$18,"ATENCION INTEGRAL EN ENFERMEDADES PREVALENTES EN PRIMERA INFANCIA (AIEPI)",IF(N246=CURSOS!$D$19,"ADMINISTRACION DE MEDICAMENTOS, INYECTOLOGIA  Y CANALIZACION ",IF(N246=CURSOS!$D$20,"OPERADOR DE VEHICULOS DE EMERGENCIA (OVE)",IF(N246=CURSOS!$D$21,"INSTITUCIONES AMIGAS DE LA MUJER Y LA INFANCIA (IAMI)",IF(N246=CURSOS!$D$22,"CUIDADO DEL DONANTE DE ORGANOS",IF(N246=CURSOS!$D$23,"ATENCION A VICTIMAS POR VIOLENCIA DE GENERO",IF(N246=CURSOS!$D$24,"IGUALDAD DE GENERO EN LA SALUD",IF(N246=CURSOS!$D$25,"BRIGADA DE EMERGENCIA",IF(N246=CURSOS!$D$26,"MANEJO DEL DOLOR Y CUIDADOS PALIATIVOS",IF(N246=CURSOS!$D$27,"TOMA DE MUESTRAS Y LABORATORIO POCT",IF(N246=CURSOS!$D$28,"IMPLANTE SUBDERMICO DE DISPOSITIVO INTRAUTERINO",IF(N246=CURSOS!$D$29,"SALUD MENTAL",IF(N246=CURSOS!$D$30,"PRIMEROS AUXILIOS PSICOLOGICOS",IF(N246=CURSOS!$D$31,"ATENCION A VICTIMAS POR CONFLICTO ARMADO",IF(N246=CURSOS!$D$32,"MANIPULACION DE ALIMENTOS Y BPM",IF(N246=CURSOS!$D$33,"ATENCION A PERSONAS CON DISCAPACIDAD",IF(N246=CURSOS!$D$34,"CUIDADO INTEGRAL DEL PACIENTE ADULTO",IF(N246=CURSOS!$D$35,"MANEJO DEFENSIVO",IF(N246=CURSOS!$D$36,"SOPORTE CARDIOVASCULAR AVANZADO NEONATAL",IF(N246=CURSOS!$D$37,"SEGURIDAD DEL PACIENTE")))))))))))))))))))))))))))))))))))</f>
        <v xml:space="preserve">SOPORTE CARDIOVASCULAR AVANZADO (ACLS) </v>
      </c>
      <c r="U246" s="124" t="str">
        <f t="shared" si="12"/>
        <v>Johana Milena Guerrero Andrade</v>
      </c>
      <c r="V246" s="128" t="str">
        <f t="shared" si="13"/>
        <v>Johana Milena Guerrero Andrade</v>
      </c>
      <c r="W246" s="138" t="str">
        <f t="shared" si="14"/>
        <v>Johana Milena Guerrero Andrade-1086223377-ACLS</v>
      </c>
    </row>
    <row r="247" spans="1:23" x14ac:dyDescent="0.2">
      <c r="A247" s="42">
        <v>246</v>
      </c>
      <c r="B247" s="90">
        <v>1086223377</v>
      </c>
      <c r="C247" s="99" t="s">
        <v>155</v>
      </c>
      <c r="D247" s="99" t="s">
        <v>272</v>
      </c>
      <c r="E247" s="99" t="s">
        <v>138</v>
      </c>
      <c r="F247" s="99" t="s">
        <v>327</v>
      </c>
      <c r="G247" s="117">
        <v>24</v>
      </c>
      <c r="H247" s="117" t="s">
        <v>89</v>
      </c>
      <c r="I247" s="16">
        <v>45497</v>
      </c>
      <c r="J247" s="19">
        <v>50000</v>
      </c>
      <c r="K247" s="117" t="s">
        <v>210</v>
      </c>
      <c r="L247" s="117" t="s">
        <v>90</v>
      </c>
      <c r="M247" s="117" t="s">
        <v>340</v>
      </c>
      <c r="N247" s="118" t="s">
        <v>43</v>
      </c>
      <c r="O247" s="18">
        <v>32952</v>
      </c>
      <c r="P247" s="118" t="s">
        <v>101</v>
      </c>
      <c r="Q247" s="99" t="s">
        <v>757</v>
      </c>
      <c r="R247" s="99">
        <v>3122617012</v>
      </c>
      <c r="S247" s="99" t="s">
        <v>758</v>
      </c>
      <c r="T247" s="124" t="str">
        <f>IF(N247=CURSOS!$D$3,"DIPLOMADO EN ATENCION PRE-HOSPITALARIA",IF(N247=CURSOS!$D$4,"ACOMPAÑAMIENTO Y MANEJO DEL DUELO",IF(N247=CURSOS!$D$5,"ATENCION A VICTIMAS DE ATAQUE CON AGENTES QUIMICOS ",IF(N247=CURSOS!$D$6,"PRIMEROS AUXILIOS ",IF(N247=CURSOS!$D$7,"DIPLOMADO DE UNIDAD DE CUIDADOS INTENSIVOS (UCI)",IF(N247=CURSOS!$D$8,"MODELO DE ATENCION PARA EVENTOS EMERGENTES EN SALUD MENTAL (CODIGO VERDE)",IF(N247=CURSOS!$D$9,"HUMANIZACION EN EL SERVICIO DE LA SALUD Y BUENAS PRACTICAS EN PACIENTE ",IF(N247=CURSOS!$D$10,"CLINICA DE HERIDAS ",IF(N247=CURSOS!$D$11,"TOMA DE CITOLOGIA CERVICO VAGINAL ",IF(N247=CURSOS!$D$12,"SOPORTE CARDIOVASCULAR AVANZADO (ACLS) ",IF(N247=CURSOS!$D$13,"CAMILLERO ",IF(N247=CURSOS!$D$14,"TOMA DE MUESTRAS Y LABORATORIO ",IF(N247=CURSOS!$D$15,"SOPORTE VITAL BASICO (BLS)",IF(N247=CURSOS!$D$16,"ATENCION A VICTIMAS DE VIOLENCIA SEXUAL ",IF(N247=CURSOS!$D$17,"PROGRAMADO AMPLIADO DE INMUNIZACION (PAI - COVID 19)",IF(N247=CURSOS!$D$18,"ATENCION INTEGRAL EN ENFERMEDADES PREVALENTES EN PRIMERA INFANCIA (AIEPI)",IF(N247=CURSOS!$D$19,"ADMINISTRACION DE MEDICAMENTOS, INYECTOLOGIA  Y CANALIZACION ",IF(N247=CURSOS!$D$20,"OPERADOR DE VEHICULOS DE EMERGENCIA (OVE)",IF(N247=CURSOS!$D$21,"INSTITUCIONES AMIGAS DE LA MUJER Y LA INFANCIA (IAMI)",IF(N247=CURSOS!$D$22,"CUIDADO DEL DONANTE DE ORGANOS",IF(N247=CURSOS!$D$23,"ATENCION A VICTIMAS POR VIOLENCIA DE GENERO",IF(N247=CURSOS!$D$24,"IGUALDAD DE GENERO EN LA SALUD",IF(N247=CURSOS!$D$25,"BRIGADA DE EMERGENCIA",IF(N247=CURSOS!$D$26,"MANEJO DEL DOLOR Y CUIDADOS PALIATIVOS",IF(N247=CURSOS!$D$27,"TOMA DE MUESTRAS Y LABORATORIO POCT",IF(N247=CURSOS!$D$28,"IMPLANTE SUBDERMICO DE DISPOSITIVO INTRAUTERINO",IF(N247=CURSOS!$D$29,"SALUD MENTAL",IF(N247=CURSOS!$D$30,"PRIMEROS AUXILIOS PSICOLOGICOS",IF(N247=CURSOS!$D$31,"ATENCION A VICTIMAS POR CONFLICTO ARMADO",IF(N247=CURSOS!$D$32,"MANIPULACION DE ALIMENTOS Y BPM",IF(N247=CURSOS!$D$33,"ATENCION A PERSONAS CON DISCAPACIDAD",IF(N247=CURSOS!$D$34,"CUIDADO INTEGRAL DEL PACIENTE ADULTO",IF(N247=CURSOS!$D$35,"MANEJO DEFENSIVO",IF(N247=CURSOS!$D$36,"SOPORTE CARDIOVASCULAR AVANZADO NEONATAL",IF(N247=CURSOS!$D$37,"SEGURIDAD DEL PACIENTE")))))))))))))))))))))))))))))))))))</f>
        <v xml:space="preserve">ATENCION A VICTIMAS DE VIOLENCIA SEXUAL </v>
      </c>
      <c r="U247" s="124" t="str">
        <f t="shared" si="12"/>
        <v>Johana Milena Guerrero Andrade</v>
      </c>
      <c r="V247" s="128" t="str">
        <f t="shared" si="13"/>
        <v>Johana Milena Guerrero Andrade</v>
      </c>
      <c r="W247" s="138" t="str">
        <f t="shared" si="14"/>
        <v>Johana Milena Guerrero Andrade-1086223377-VIOLENCIA SEXUAL</v>
      </c>
    </row>
    <row r="248" spans="1:23" x14ac:dyDescent="0.2">
      <c r="A248" s="42">
        <v>247</v>
      </c>
      <c r="B248" s="90">
        <v>1086223377</v>
      </c>
      <c r="C248" s="99" t="s">
        <v>155</v>
      </c>
      <c r="D248" s="99" t="s">
        <v>272</v>
      </c>
      <c r="E248" s="99" t="s">
        <v>138</v>
      </c>
      <c r="F248" s="99" t="s">
        <v>327</v>
      </c>
      <c r="G248" s="117">
        <v>23</v>
      </c>
      <c r="H248" s="117" t="s">
        <v>89</v>
      </c>
      <c r="I248" s="16">
        <v>45497</v>
      </c>
      <c r="J248" s="19">
        <v>50000</v>
      </c>
      <c r="K248" s="117" t="s">
        <v>210</v>
      </c>
      <c r="L248" s="117" t="s">
        <v>90</v>
      </c>
      <c r="M248" s="117" t="s">
        <v>340</v>
      </c>
      <c r="N248" s="118" t="s">
        <v>33</v>
      </c>
      <c r="O248" s="18">
        <v>32952</v>
      </c>
      <c r="P248" s="118" t="s">
        <v>101</v>
      </c>
      <c r="Q248" s="99" t="s">
        <v>757</v>
      </c>
      <c r="R248" s="99">
        <v>3122617012</v>
      </c>
      <c r="S248" s="99" t="s">
        <v>758</v>
      </c>
      <c r="T248" s="124" t="str">
        <f>IF(N248=CURSOS!$D$3,"DIPLOMADO EN ATENCION PRE-HOSPITALARIA",IF(N248=CURSOS!$D$4,"ACOMPAÑAMIENTO Y MANEJO DEL DUELO",IF(N248=CURSOS!$D$5,"ATENCION A VICTIMAS DE ATAQUE CON AGENTES QUIMICOS ",IF(N248=CURSOS!$D$6,"PRIMEROS AUXILIOS ",IF(N248=CURSOS!$D$7,"DIPLOMADO DE UNIDAD DE CUIDADOS INTENSIVOS (UCI)",IF(N248=CURSOS!$D$8,"MODELO DE ATENCION PARA EVENTOS EMERGENTES EN SALUD MENTAL (CODIGO VERDE)",IF(N248=CURSOS!$D$9,"HUMANIZACION EN EL SERVICIO DE LA SALUD Y BUENAS PRACTICAS EN PACIENTE ",IF(N248=CURSOS!$D$10,"CLINICA DE HERIDAS ",IF(N248=CURSOS!$D$11,"TOMA DE CITOLOGIA CERVICO VAGINAL ",IF(N248=CURSOS!$D$12,"SOPORTE CARDIOVASCULAR AVANZADO (ACLS) ",IF(N248=CURSOS!$D$13,"CAMILLERO ",IF(N248=CURSOS!$D$14,"TOMA DE MUESTRAS Y LABORATORIO ",IF(N248=CURSOS!$D$15,"SOPORTE VITAL BASICO (BLS)",IF(N248=CURSOS!$D$16,"ATENCION A VICTIMAS DE VIOLENCIA SEXUAL ",IF(N248=CURSOS!$D$17,"PROGRAMADO AMPLIADO DE INMUNIZACION (PAI - COVID 19)",IF(N248=CURSOS!$D$18,"ATENCION INTEGRAL EN ENFERMEDADES PREVALENTES EN PRIMERA INFANCIA (AIEPI)",IF(N248=CURSOS!$D$19,"ADMINISTRACION DE MEDICAMENTOS, INYECTOLOGIA  Y CANALIZACION ",IF(N248=CURSOS!$D$20,"OPERADOR DE VEHICULOS DE EMERGENCIA (OVE)",IF(N248=CURSOS!$D$21,"INSTITUCIONES AMIGAS DE LA MUJER Y LA INFANCIA (IAMI)",IF(N248=CURSOS!$D$22,"CUIDADO DEL DONANTE DE ORGANOS",IF(N248=CURSOS!$D$23,"ATENCION A VICTIMAS POR VIOLENCIA DE GENERO",IF(N248=CURSOS!$D$24,"IGUALDAD DE GENERO EN LA SALUD",IF(N248=CURSOS!$D$25,"BRIGADA DE EMERGENCIA",IF(N248=CURSOS!$D$26,"MANEJO DEL DOLOR Y CUIDADOS PALIATIVOS",IF(N248=CURSOS!$D$27,"TOMA DE MUESTRAS Y LABORATORIO POCT",IF(N248=CURSOS!$D$28,"IMPLANTE SUBDERMICO DE DISPOSITIVO INTRAUTERINO",IF(N248=CURSOS!$D$29,"SALUD MENTAL",IF(N248=CURSOS!$D$30,"PRIMEROS AUXILIOS PSICOLOGICOS",IF(N248=CURSOS!$D$31,"ATENCION A VICTIMAS POR CONFLICTO ARMADO",IF(N248=CURSOS!$D$32,"MANIPULACION DE ALIMENTOS Y BPM",IF(N248=CURSOS!$D$33,"ATENCION A PERSONAS CON DISCAPACIDAD",IF(N248=CURSOS!$D$34,"CUIDADO INTEGRAL DEL PACIENTE ADULTO",IF(N248=CURSOS!$D$35,"MANEJO DEFENSIVO",IF(N248=CURSOS!$D$36,"SOPORTE CARDIOVASCULAR AVANZADO NEONATAL",IF(N248=CURSOS!$D$37,"SEGURIDAD DEL PACIENTE")))))))))))))))))))))))))))))))))))</f>
        <v xml:space="preserve">HUMANIZACION EN EL SERVICIO DE LA SALUD Y BUENAS PRACTICAS EN PACIENTE </v>
      </c>
      <c r="U248" s="124" t="str">
        <f t="shared" si="12"/>
        <v>Johana Milena Guerrero Andrade</v>
      </c>
      <c r="V248" s="128" t="str">
        <f t="shared" si="13"/>
        <v>Johana Milena Guerrero Andrade</v>
      </c>
      <c r="W248" s="138" t="str">
        <f t="shared" si="14"/>
        <v>Johana Milena Guerrero Andrade-1086223377-HUMANIZACION</v>
      </c>
    </row>
    <row r="249" spans="1:23" x14ac:dyDescent="0.2">
      <c r="A249" s="42">
        <v>248</v>
      </c>
      <c r="B249" s="90">
        <v>1086223377</v>
      </c>
      <c r="C249" s="99" t="s">
        <v>155</v>
      </c>
      <c r="D249" s="99" t="s">
        <v>272</v>
      </c>
      <c r="E249" s="99" t="s">
        <v>138</v>
      </c>
      <c r="F249" s="99" t="s">
        <v>327</v>
      </c>
      <c r="G249" s="117">
        <v>23</v>
      </c>
      <c r="H249" s="117" t="s">
        <v>89</v>
      </c>
      <c r="I249" s="16">
        <v>45497</v>
      </c>
      <c r="J249" s="19">
        <v>70000</v>
      </c>
      <c r="K249" s="117" t="s">
        <v>210</v>
      </c>
      <c r="L249" s="117" t="s">
        <v>90</v>
      </c>
      <c r="M249" s="117" t="s">
        <v>340</v>
      </c>
      <c r="N249" s="118" t="s">
        <v>760</v>
      </c>
      <c r="O249" s="18">
        <v>32952</v>
      </c>
      <c r="P249" s="118" t="s">
        <v>101</v>
      </c>
      <c r="Q249" s="99" t="s">
        <v>757</v>
      </c>
      <c r="R249" s="99">
        <v>3122617012</v>
      </c>
      <c r="S249" s="99" t="s">
        <v>758</v>
      </c>
      <c r="T249" s="124" t="str">
        <f>IF(N249=CURSOS!$D$3,"DIPLOMADO EN ATENCION PRE-HOSPITALARIA",IF(N249=CURSOS!$D$4,"ACOMPAÑAMIENTO Y MANEJO DEL DUELO",IF(N249=CURSOS!$D$5,"ATENCION A VICTIMAS DE ATAQUE CON AGENTES QUIMICOS ",IF(N249=CURSOS!$D$6,"PRIMEROS AUXILIOS ",IF(N249=CURSOS!$D$7,"DIPLOMADO DE UNIDAD DE CUIDADOS INTENSIVOS (UCI)",IF(N249=CURSOS!$D$8,"MODELO DE ATENCION PARA EVENTOS EMERGENTES EN SALUD MENTAL (CODIGO VERDE)",IF(N249=CURSOS!$D$9,"HUMANIZACION EN EL SERVICIO DE LA SALUD Y BUENAS PRACTICAS EN PACIENTE ",IF(N249=CURSOS!$D$10,"CLINICA DE HERIDAS ",IF(N249=CURSOS!$D$11,"TOMA DE CITOLOGIA CERVICO VAGINAL ",IF(N249=CURSOS!$D$12,"SOPORTE CARDIOVASCULAR AVANZADO (ACLS) ",IF(N249=CURSOS!$D$13,"CAMILLERO ",IF(N249=CURSOS!$D$14,"TOMA DE MUESTRAS Y LABORATORIO ",IF(N249=CURSOS!$D$15,"SOPORTE VITAL BASICO (BLS)",IF(N249=CURSOS!$D$16,"ATENCION A VICTIMAS DE VIOLENCIA SEXUAL ",IF(N249=CURSOS!$D$17,"PROGRAMADO AMPLIADO DE INMUNIZACION (PAI - COVID 19)",IF(N249=CURSOS!$D$18,"ATENCION INTEGRAL EN ENFERMEDADES PREVALENTES EN PRIMERA INFANCIA (AIEPI)",IF(N249=CURSOS!$D$19,"ADMINISTRACION DE MEDICAMENTOS, INYECTOLOGIA  Y CANALIZACION ",IF(N249=CURSOS!$D$20,"OPERADOR DE VEHICULOS DE EMERGENCIA (OVE)",IF(N249=CURSOS!$D$21,"INSTITUCIONES AMIGAS DE LA MUJER Y LA INFANCIA (IAMI)",IF(N249=CURSOS!$D$22,"CUIDADO DEL DONANTE DE ORGANOS",IF(N249=CURSOS!$D$23,"ATENCION A VICTIMAS POR VIOLENCIA DE GENERO",IF(N249=CURSOS!$D$24,"IGUALDAD DE GENERO EN LA SALUD",IF(N249=CURSOS!$D$25,"BRIGADA DE EMERGENCIA",IF(N249=CURSOS!$D$26,"MANEJO DEL DOLOR Y CUIDADOS PALIATIVOS",IF(N249=CURSOS!$D$27,"TOMA DE MUESTRAS Y LABORATORIO POCT",IF(N249=CURSOS!$D$28,"IMPLANTE SUBDERMICO DE DISPOSITIVO INTRAUTERINO",IF(N249=CURSOS!$D$29,"SALUD MENTAL",IF(N249=CURSOS!$D$30,"PRIMEROS AUXILIOS PSICOLOGICOS",IF(N249=CURSOS!$D$31,"ATENCION A VICTIMAS POR CONFLICTO ARMADO",IF(N249=CURSOS!$D$32,"MANIPULACION DE ALIMENTOS Y BPM",IF(N249=CURSOS!$D$33,"ATENCION A PERSONAS CON DISCAPACIDAD",IF(N249=CURSOS!$D$34,"CUIDADO INTEGRAL DEL PACIENTE ADULTO",IF(N249=CURSOS!$D$35,"MANEJO DEFENSIVO",IF(N249=CURSOS!$D$36,"SOPORTE CARDIOVASCULAR AVANZADO NEONATAL",IF(N249=CURSOS!$D$37,"SEGURIDAD DEL PACIENTE")))))))))))))))))))))))))))))))))))</f>
        <v>SEGURIDAD DEL PACIENTE</v>
      </c>
      <c r="U249" s="124" t="str">
        <f t="shared" si="12"/>
        <v>Johana Milena Guerrero Andrade</v>
      </c>
      <c r="V249" s="128" t="str">
        <f t="shared" si="13"/>
        <v>Johana Milena Guerrero Andrade</v>
      </c>
      <c r="W249" s="138" t="str">
        <f t="shared" si="14"/>
        <v>Johana Milena Guerrero Andrade-1086223377-PACIENTE</v>
      </c>
    </row>
    <row r="250" spans="1:23" x14ac:dyDescent="0.2">
      <c r="A250" s="42">
        <v>249</v>
      </c>
      <c r="B250" s="90">
        <v>1087960230</v>
      </c>
      <c r="C250" s="99" t="s">
        <v>389</v>
      </c>
      <c r="D250" s="99" t="s">
        <v>265</v>
      </c>
      <c r="E250" s="99" t="s">
        <v>397</v>
      </c>
      <c r="F250" s="99" t="s">
        <v>482</v>
      </c>
      <c r="G250" s="117">
        <v>24</v>
      </c>
      <c r="H250" s="117" t="s">
        <v>89</v>
      </c>
      <c r="I250" s="16">
        <v>45497</v>
      </c>
      <c r="J250" s="19">
        <v>35000</v>
      </c>
      <c r="K250" s="117" t="s">
        <v>210</v>
      </c>
      <c r="L250" s="117" t="s">
        <v>90</v>
      </c>
      <c r="M250" s="117" t="s">
        <v>118</v>
      </c>
      <c r="N250" s="118" t="s">
        <v>23</v>
      </c>
      <c r="O250" s="18">
        <v>34687</v>
      </c>
      <c r="P250" s="118" t="s">
        <v>101</v>
      </c>
      <c r="Q250" s="99" t="s">
        <v>761</v>
      </c>
      <c r="R250" s="99">
        <v>3216283397</v>
      </c>
      <c r="S250" s="99" t="s">
        <v>762</v>
      </c>
      <c r="T250" s="138" t="str">
        <f>IF(N250=CURSOS!$D$3,"DIPLOMADO EN ATENCION PRE-HOSPITALARIA",IF(N250=CURSOS!$D$4,"ACOMPAÑAMIENTO Y MANEJO DEL DUELO",IF(N250=CURSOS!$D$5,"ATENCION A VICTIMAS DE ATAQUE CON AGENTES QUIMICOS ",IF(N250=CURSOS!$D$6,"PRIMEROS AUXILIOS ",IF(N250=CURSOS!$D$7,"DIPLOMADO DE UNIDAD DE CUIDADOS INTENSIVOS (UCI)",IF(N250=CURSOS!$D$8,"MODELO DE ATENCION PARA EVENTOS EMERGENTES EN SALUD MENTAL (CODIGO VERDE)",IF(N250=CURSOS!$D$9,"HUMANIZACION EN EL SERVICIO DE LA SALUD Y BUENAS PRACTICAS EN PACIENTE ",IF(N250=CURSOS!$D$10,"CLINICA DE HERIDAS ",IF(N250=CURSOS!$D$11,"TOMA DE CITOLOGIA CERVICO VAGINAL ",IF(N250=CURSOS!$D$12,"SOPORTE CARDIOVASCULAR AVANZADO (ACLS) ",IF(N250=CURSOS!$D$13,"CAMILLERO ",IF(N250=CURSOS!$D$14,"TOMA DE MUESTRAS Y LABORATORIO ",IF(N250=CURSOS!$D$15,"SOPORTE VITAL BASICO (BLS)",IF(N250=CURSOS!$D$16,"ATENCION A VICTIMAS DE VIOLENCIA SEXUAL ",IF(N250=CURSOS!$D$17,"PROGRAMADO AMPLIADO DE INMUNIZACION (PAI - COVID 19)",IF(N250=CURSOS!$D$18,"ATENCION INTEGRAL EN ENFERMEDADES PREVALENTES EN PRIMERA INFANCIA (AIEPI)",IF(N250=CURSOS!$D$19,"ADMINISTRACION DE MEDICAMENTOS, INYECTOLOGIA  Y CANALIZACION ",IF(N250=CURSOS!$D$20,"OPERADOR DE VEHICULOS DE EMERGENCIA (OVE)",IF(N250=CURSOS!$D$21,"INSTITUCIONES AMIGAS DE LA MUJER Y LA INFANCIA (IAMI)",IF(N250=CURSOS!$D$22,"CUIDADO DEL DONANTE DE ORGANOS",IF(N250=CURSOS!$D$23,"ATENCION A VICTIMAS POR VIOLENCIA DE GENERO",IF(N250=CURSOS!$D$24,"IGUALDAD DE GENERO EN LA SALUD",IF(N250=CURSOS!$D$25,"BRIGADA DE EMERGENCIA",IF(N250=CURSOS!$D$26,"MANEJO DEL DOLOR Y CUIDADOS PALIATIVOS",IF(N250=CURSOS!$D$27,"TOMA DE MUESTRAS Y LABORATORIO POCT",IF(N250=CURSOS!$D$28,"IMPLANTE SUBDERMICO DE DISPOSITIVO INTRAUTERINO",IF(N250=CURSOS!$D$29,"SALUD MENTAL",IF(N250=CURSOS!$D$30,"PRIMEROS AUXILIOS PSICOLOGICOS",IF(N250=CURSOS!$D$31,"ATENCION A VICTIMAS POR CONFLICTO ARMADO",IF(N250=CURSOS!$D$32,"MANIPULACION DE ALIMENTOS Y BPM",IF(N250=CURSOS!$D$33,"ATENCION A PERSONAS CON DISCAPACIDAD",IF(N250=CURSOS!$D$34,"CUIDADO INTEGRAL DEL PACIENTE ADULTO",IF(N250=CURSOS!$D$35,"MANEJO DEFENSIVO",IF(N250=CURSOS!$D$36,"SOPORTE CARDIOVASCULAR AVANZADO NEONATAL",IF(N250=CURSOS!$D$37,"SEGURIDAD DEL PACIENTE")))))))))))))))))))))))))))))))))))</f>
        <v>ACOMPAÑAMIENTO Y MANEJO DEL DUELO</v>
      </c>
      <c r="U250" s="138" t="str">
        <f t="shared" si="12"/>
        <v>Maritza Viviana Delgado Parra</v>
      </c>
      <c r="V250" s="183" t="str">
        <f t="shared" si="13"/>
        <v>Maritza Viviana Delgado Parra</v>
      </c>
      <c r="W250" s="138" t="str">
        <f t="shared" si="14"/>
        <v>Maritza Viviana Delgado Parra-1087960230-DUELO</v>
      </c>
    </row>
    <row r="251" spans="1:23" x14ac:dyDescent="0.2">
      <c r="A251" s="42">
        <v>250</v>
      </c>
      <c r="B251" s="90">
        <v>1086104848</v>
      </c>
      <c r="C251" s="99" t="s">
        <v>773</v>
      </c>
      <c r="D251" s="99" t="s">
        <v>774</v>
      </c>
      <c r="E251" s="99" t="s">
        <v>351</v>
      </c>
      <c r="F251" s="99" t="s">
        <v>154</v>
      </c>
      <c r="G251" s="117">
        <v>25</v>
      </c>
      <c r="H251" s="117" t="s">
        <v>89</v>
      </c>
      <c r="I251" s="16">
        <v>45497</v>
      </c>
      <c r="J251" s="19">
        <v>35000</v>
      </c>
      <c r="K251" s="117" t="s">
        <v>210</v>
      </c>
      <c r="L251" s="117" t="s">
        <v>90</v>
      </c>
      <c r="M251" s="117" t="s">
        <v>97</v>
      </c>
      <c r="N251" s="118" t="s">
        <v>33</v>
      </c>
      <c r="O251" s="18">
        <v>33549</v>
      </c>
      <c r="P251" s="118" t="s">
        <v>101</v>
      </c>
      <c r="Q251" s="99" t="s">
        <v>126</v>
      </c>
      <c r="R251" s="99">
        <v>3135210039</v>
      </c>
      <c r="S251" s="99" t="s">
        <v>775</v>
      </c>
      <c r="T251" s="138" t="str">
        <f>IF(N251=CURSOS!$D$3,"DIPLOMADO EN ATENCION PRE-HOSPITALARIA",IF(N251=CURSOS!$D$4,"ACOMPAÑAMIENTO Y MANEJO DEL DUELO",IF(N251=CURSOS!$D$5,"ATENCION A VICTIMAS DE ATAQUE CON AGENTES QUIMICOS ",IF(N251=CURSOS!$D$6,"PRIMEROS AUXILIOS ",IF(N251=CURSOS!$D$7,"DIPLOMADO DE UNIDAD DE CUIDADOS INTENSIVOS (UCI)",IF(N251=CURSOS!$D$8,"MODELO DE ATENCION PARA EVENTOS EMERGENTES EN SALUD MENTAL (CODIGO VERDE)",IF(N251=CURSOS!$D$9,"HUMANIZACION EN EL SERVICIO DE LA SALUD Y BUENAS PRACTICAS EN PACIENTE ",IF(N251=CURSOS!$D$10,"CLINICA DE HERIDAS ",IF(N251=CURSOS!$D$11,"TOMA DE CITOLOGIA CERVICO VAGINAL ",IF(N251=CURSOS!$D$12,"SOPORTE CARDIOVASCULAR AVANZADO (ACLS) ",IF(N251=CURSOS!$D$13,"CAMILLERO ",IF(N251=CURSOS!$D$14,"TOMA DE MUESTRAS Y LABORATORIO ",IF(N251=CURSOS!$D$15,"SOPORTE VITAL BASICO (BLS)",IF(N251=CURSOS!$D$16,"ATENCION A VICTIMAS DE VIOLENCIA SEXUAL ",IF(N251=CURSOS!$D$17,"PROGRAMADO AMPLIADO DE INMUNIZACION (PAI - COVID 19)",IF(N251=CURSOS!$D$18,"ATENCION INTEGRAL EN ENFERMEDADES PREVALENTES EN PRIMERA INFANCIA (AIEPI)",IF(N251=CURSOS!$D$19,"ADMINISTRACION DE MEDICAMENTOS, INYECTOLOGIA  Y CANALIZACION ",IF(N251=CURSOS!$D$20,"OPERADOR DE VEHICULOS DE EMERGENCIA (OVE)",IF(N251=CURSOS!$D$21,"INSTITUCIONES AMIGAS DE LA MUJER Y LA INFANCIA (IAMI)",IF(N251=CURSOS!$D$22,"CUIDADO DEL DONANTE DE ORGANOS",IF(N251=CURSOS!$D$23,"ATENCION A VICTIMAS POR VIOLENCIA DE GENERO",IF(N251=CURSOS!$D$24,"IGUALDAD DE GENERO EN LA SALUD",IF(N251=CURSOS!$D$25,"BRIGADA DE EMERGENCIA",IF(N251=CURSOS!$D$26,"MANEJO DEL DOLOR Y CUIDADOS PALIATIVOS",IF(N251=CURSOS!$D$27,"TOMA DE MUESTRAS Y LABORATORIO POCT",IF(N251=CURSOS!$D$28,"IMPLANTE SUBDERMICO DE DISPOSITIVO INTRAUTERINO",IF(N251=CURSOS!$D$29,"SALUD MENTAL",IF(N251=CURSOS!$D$30,"PRIMEROS AUXILIOS PSICOLOGICOS",IF(N251=CURSOS!$D$31,"ATENCION A VICTIMAS POR CONFLICTO ARMADO",IF(N251=CURSOS!$D$32,"MANIPULACION DE ALIMENTOS Y BPM",IF(N251=CURSOS!$D$33,"ATENCION A PERSONAS CON DISCAPACIDAD",IF(N251=CURSOS!$D$34,"CUIDADO INTEGRAL DEL PACIENTE ADULTO",IF(N251=CURSOS!$D$35,"MANEJO DEFENSIVO",IF(N251=CURSOS!$D$36,"SOPORTE CARDIOVASCULAR AVANZADO NEONATAL",IF(N251=CURSOS!$D$37,"SEGURIDAD DEL PACIENTE")))))))))))))))))))))))))))))))))))</f>
        <v xml:space="preserve">HUMANIZACION EN EL SERVICIO DE LA SALUD Y BUENAS PRACTICAS EN PACIENTE </v>
      </c>
      <c r="U251" s="138" t="str">
        <f t="shared" si="12"/>
        <v>Claudia Patricia Reyes Pazmiño</v>
      </c>
      <c r="V251" s="183" t="str">
        <f t="shared" si="13"/>
        <v>Claudia Patricia Reyes Pazmiño</v>
      </c>
      <c r="W251" s="138" t="str">
        <f t="shared" si="14"/>
        <v>Claudia Patricia Reyes Pazmiño-1086104848-HUMANIZACION</v>
      </c>
    </row>
    <row r="252" spans="1:23" x14ac:dyDescent="0.2">
      <c r="A252" s="42">
        <v>251</v>
      </c>
      <c r="B252" s="90">
        <v>1085281101</v>
      </c>
      <c r="C252" s="99" t="s">
        <v>389</v>
      </c>
      <c r="D252" s="99" t="s">
        <v>800</v>
      </c>
      <c r="E252" s="99" t="s">
        <v>89</v>
      </c>
      <c r="F252" s="99" t="s">
        <v>801</v>
      </c>
      <c r="G252" s="117">
        <v>25</v>
      </c>
      <c r="H252" s="117" t="s">
        <v>89</v>
      </c>
      <c r="I252" s="16">
        <v>45499</v>
      </c>
      <c r="J252" s="19">
        <v>25000</v>
      </c>
      <c r="K252" s="117" t="s">
        <v>210</v>
      </c>
      <c r="L252" s="117" t="s">
        <v>90</v>
      </c>
      <c r="M252" s="117" t="s">
        <v>132</v>
      </c>
      <c r="N252" s="118" t="s">
        <v>43</v>
      </c>
      <c r="O252" s="18">
        <v>32994</v>
      </c>
      <c r="P252" s="118" t="s">
        <v>91</v>
      </c>
      <c r="Q252" s="99" t="s">
        <v>802</v>
      </c>
      <c r="R252" s="99">
        <v>3176925316</v>
      </c>
      <c r="S252" s="99" t="s">
        <v>803</v>
      </c>
      <c r="T252" s="138" t="str">
        <f>IF(N252=CURSOS!$D$3,"DIPLOMADO EN ATENCION PRE-HOSPITALARIA",IF(N252=CURSOS!$D$4,"ACOMPAÑAMIENTO Y MANEJO DEL DUELO",IF(N252=CURSOS!$D$5,"ATENCION A VICTIMAS DE ATAQUE CON AGENTES QUIMICOS ",IF(N252=CURSOS!$D$6,"PRIMEROS AUXILIOS ",IF(N252=CURSOS!$D$7,"DIPLOMADO DE UNIDAD DE CUIDADOS INTENSIVOS (UCI)",IF(N252=CURSOS!$D$8,"MODELO DE ATENCION PARA EVENTOS EMERGENTES EN SALUD MENTAL (CODIGO VERDE)",IF(N252=CURSOS!$D$9,"HUMANIZACION EN EL SERVICIO DE LA SALUD Y BUENAS PRACTICAS EN PACIENTE ",IF(N252=CURSOS!$D$10,"CLINICA DE HERIDAS ",IF(N252=CURSOS!$D$11,"TOMA DE CITOLOGIA CERVICO VAGINAL ",IF(N252=CURSOS!$D$12,"SOPORTE CARDIOVASCULAR AVANZADO (ACLS) ",IF(N252=CURSOS!$D$13,"CAMILLERO ",IF(N252=CURSOS!$D$14,"TOMA DE MUESTRAS Y LABORATORIO ",IF(N252=CURSOS!$D$15,"SOPORTE VITAL BASICO (BLS)",IF(N252=CURSOS!$D$16,"ATENCION A VICTIMAS DE VIOLENCIA SEXUAL ",IF(N252=CURSOS!$D$17,"PROGRAMADO AMPLIADO DE INMUNIZACION (PAI - COVID 19)",IF(N252=CURSOS!$D$18,"ATENCION INTEGRAL EN ENFERMEDADES PREVALENTES EN PRIMERA INFANCIA (AIEPI)",IF(N252=CURSOS!$D$19,"ADMINISTRACION DE MEDICAMENTOS, INYECTOLOGIA  Y CANALIZACION ",IF(N252=CURSOS!$D$20,"OPERADOR DE VEHICULOS DE EMERGENCIA (OVE)",IF(N252=CURSOS!$D$21,"INSTITUCIONES AMIGAS DE LA MUJER Y LA INFANCIA (IAMI)",IF(N252=CURSOS!$D$22,"CUIDADO DEL DONANTE DE ORGANOS",IF(N252=CURSOS!$D$23,"ATENCION A VICTIMAS POR VIOLENCIA DE GENERO",IF(N252=CURSOS!$D$24,"IGUALDAD DE GENERO EN LA SALUD",IF(N252=CURSOS!$D$25,"BRIGADA DE EMERGENCIA",IF(N252=CURSOS!$D$26,"MANEJO DEL DOLOR Y CUIDADOS PALIATIVOS",IF(N252=CURSOS!$D$27,"TOMA DE MUESTRAS Y LABORATORIO POCT",IF(N252=CURSOS!$D$28,"IMPLANTE SUBDERMICO DE DISPOSITIVO INTRAUTERINO",IF(N252=CURSOS!$D$29,"SALUD MENTAL",IF(N252=CURSOS!$D$30,"PRIMEROS AUXILIOS PSICOLOGICOS",IF(N252=CURSOS!$D$31,"ATENCION A VICTIMAS POR CONFLICTO ARMADO",IF(N252=CURSOS!$D$32,"MANIPULACION DE ALIMENTOS Y BPM",IF(N252=CURSOS!$D$33,"ATENCION A PERSONAS CON DISCAPACIDAD",IF(N252=CURSOS!$D$34,"CUIDADO INTEGRAL DEL PACIENTE ADULTO",IF(N252=CURSOS!$D$35,"MANEJO DEFENSIVO",IF(N252=CURSOS!$D$36,"SOPORTE CARDIOVASCULAR AVANZADO NEONATAL",IF(N252=CURSOS!$D$37,"SEGURIDAD DEL PACIENTE")))))))))))))))))))))))))))))))))))</f>
        <v xml:space="preserve">ATENCION A VICTIMAS DE VIOLENCIA SEXUAL </v>
      </c>
      <c r="U252" s="138" t="str">
        <f t="shared" si="12"/>
        <v>Julio César Delgado Hoyos</v>
      </c>
      <c r="V252" s="183" t="str">
        <f t="shared" si="13"/>
        <v>Julio César Delgado Hoyos</v>
      </c>
      <c r="W252" s="138" t="str">
        <f t="shared" si="14"/>
        <v>Julio César Delgado Hoyos-1085281101-VIOLENCIA SEXUAL</v>
      </c>
    </row>
    <row r="253" spans="1:23" x14ac:dyDescent="0.2">
      <c r="A253" s="42">
        <v>252</v>
      </c>
      <c r="B253" s="90">
        <v>1087489794</v>
      </c>
      <c r="C253" s="99" t="s">
        <v>806</v>
      </c>
      <c r="D253" s="99" t="s">
        <v>807</v>
      </c>
      <c r="E253" s="99" t="s">
        <v>335</v>
      </c>
      <c r="F253" s="99" t="s">
        <v>171</v>
      </c>
      <c r="G253" s="117">
        <v>25</v>
      </c>
      <c r="H253" s="117" t="s">
        <v>89</v>
      </c>
      <c r="I253" s="16">
        <v>45499</v>
      </c>
      <c r="J253" s="19">
        <v>25000</v>
      </c>
      <c r="K253" s="117" t="s">
        <v>210</v>
      </c>
      <c r="L253" s="117" t="s">
        <v>90</v>
      </c>
      <c r="M253" s="117" t="s">
        <v>132</v>
      </c>
      <c r="N253" s="118" t="s">
        <v>43</v>
      </c>
      <c r="O253" s="18">
        <v>33116</v>
      </c>
      <c r="P253" s="118" t="s">
        <v>91</v>
      </c>
      <c r="Q253" s="99" t="s">
        <v>802</v>
      </c>
      <c r="R253" s="99">
        <v>3113258096</v>
      </c>
      <c r="S253" s="99" t="s">
        <v>804</v>
      </c>
      <c r="T253" s="138" t="str">
        <f>IF(N253=CURSOS!$D$3,"DIPLOMADO EN ATENCION PRE-HOSPITALARIA",IF(N253=CURSOS!$D$4,"ACOMPAÑAMIENTO Y MANEJO DEL DUELO",IF(N253=CURSOS!$D$5,"ATENCION A VICTIMAS DE ATAQUE CON AGENTES QUIMICOS ",IF(N253=CURSOS!$D$6,"PRIMEROS AUXILIOS ",IF(N253=CURSOS!$D$7,"DIPLOMADO DE UNIDAD DE CUIDADOS INTENSIVOS (UCI)",IF(N253=CURSOS!$D$8,"MODELO DE ATENCION PARA EVENTOS EMERGENTES EN SALUD MENTAL (CODIGO VERDE)",IF(N253=CURSOS!$D$9,"HUMANIZACION EN EL SERVICIO DE LA SALUD Y BUENAS PRACTICAS EN PACIENTE ",IF(N253=CURSOS!$D$10,"CLINICA DE HERIDAS ",IF(N253=CURSOS!$D$11,"TOMA DE CITOLOGIA CERVICO VAGINAL ",IF(N253=CURSOS!$D$12,"SOPORTE CARDIOVASCULAR AVANZADO (ACLS) ",IF(N253=CURSOS!$D$13,"CAMILLERO ",IF(N253=CURSOS!$D$14,"TOMA DE MUESTRAS Y LABORATORIO ",IF(N253=CURSOS!$D$15,"SOPORTE VITAL BASICO (BLS)",IF(N253=CURSOS!$D$16,"ATENCION A VICTIMAS DE VIOLENCIA SEXUAL ",IF(N253=CURSOS!$D$17,"PROGRAMADO AMPLIADO DE INMUNIZACION (PAI - COVID 19)",IF(N253=CURSOS!$D$18,"ATENCION INTEGRAL EN ENFERMEDADES PREVALENTES EN PRIMERA INFANCIA (AIEPI)",IF(N253=CURSOS!$D$19,"ADMINISTRACION DE MEDICAMENTOS, INYECTOLOGIA  Y CANALIZACION ",IF(N253=CURSOS!$D$20,"OPERADOR DE VEHICULOS DE EMERGENCIA (OVE)",IF(N253=CURSOS!$D$21,"INSTITUCIONES AMIGAS DE LA MUJER Y LA INFANCIA (IAMI)",IF(N253=CURSOS!$D$22,"CUIDADO DEL DONANTE DE ORGANOS",IF(N253=CURSOS!$D$23,"ATENCION A VICTIMAS POR VIOLENCIA DE GENERO",IF(N253=CURSOS!$D$24,"IGUALDAD DE GENERO EN LA SALUD",IF(N253=CURSOS!$D$25,"BRIGADA DE EMERGENCIA",IF(N253=CURSOS!$D$26,"MANEJO DEL DOLOR Y CUIDADOS PALIATIVOS",IF(N253=CURSOS!$D$27,"TOMA DE MUESTRAS Y LABORATORIO POCT",IF(N253=CURSOS!$D$28,"IMPLANTE SUBDERMICO DE DISPOSITIVO INTRAUTERINO",IF(N253=CURSOS!$D$29,"SALUD MENTAL",IF(N253=CURSOS!$D$30,"PRIMEROS AUXILIOS PSICOLOGICOS",IF(N253=CURSOS!$D$31,"ATENCION A VICTIMAS POR CONFLICTO ARMADO",IF(N253=CURSOS!$D$32,"MANIPULACION DE ALIMENTOS Y BPM",IF(N253=CURSOS!$D$33,"ATENCION A PERSONAS CON DISCAPACIDAD",IF(N253=CURSOS!$D$34,"CUIDADO INTEGRAL DEL PACIENTE ADULTO",IF(N253=CURSOS!$D$35,"MANEJO DEFENSIVO",IF(N253=CURSOS!$D$36,"SOPORTE CARDIOVASCULAR AVANZADO NEONATAL",IF(N253=CURSOS!$D$37,"SEGURIDAD DEL PACIENTE")))))))))))))))))))))))))))))))))))</f>
        <v xml:space="preserve">ATENCION A VICTIMAS DE VIOLENCIA SEXUAL </v>
      </c>
      <c r="U253" s="138" t="str">
        <f t="shared" si="12"/>
        <v>Daniel Alejandro Vasquez Gonzales</v>
      </c>
      <c r="V253" s="183" t="str">
        <f t="shared" si="13"/>
        <v>Daniel Alejandro Vasquez Gonzales</v>
      </c>
      <c r="W253" s="138" t="str">
        <f t="shared" si="14"/>
        <v>Daniel Alejandro Vasquez Gonzales-1087489794-VIOLENCIA SEXUAL</v>
      </c>
    </row>
    <row r="254" spans="1:23" x14ac:dyDescent="0.2">
      <c r="A254" s="42">
        <v>253</v>
      </c>
      <c r="B254" s="90">
        <v>1130629354</v>
      </c>
      <c r="C254" s="99" t="s">
        <v>808</v>
      </c>
      <c r="D254" s="99" t="s">
        <v>809</v>
      </c>
      <c r="E254" s="99" t="s">
        <v>810</v>
      </c>
      <c r="F254" s="99" t="s">
        <v>241</v>
      </c>
      <c r="G254" s="117">
        <v>25</v>
      </c>
      <c r="H254" s="117" t="s">
        <v>89</v>
      </c>
      <c r="I254" s="16">
        <v>45499</v>
      </c>
      <c r="J254" s="19">
        <v>25000</v>
      </c>
      <c r="K254" s="117" t="s">
        <v>210</v>
      </c>
      <c r="L254" s="117" t="s">
        <v>90</v>
      </c>
      <c r="M254" s="117" t="s">
        <v>132</v>
      </c>
      <c r="N254" s="118" t="s">
        <v>43</v>
      </c>
      <c r="O254" s="18">
        <v>31672</v>
      </c>
      <c r="P254" s="118" t="s">
        <v>91</v>
      </c>
      <c r="Q254" s="99" t="s">
        <v>802</v>
      </c>
      <c r="R254" s="99">
        <v>3168885582</v>
      </c>
      <c r="S254" s="99" t="s">
        <v>805</v>
      </c>
      <c r="T254" s="138" t="str">
        <f>IF(N254=CURSOS!$D$3,"DIPLOMADO EN ATENCION PRE-HOSPITALARIA",IF(N254=CURSOS!$D$4,"ACOMPAÑAMIENTO Y MANEJO DEL DUELO",IF(N254=CURSOS!$D$5,"ATENCION A VICTIMAS DE ATAQUE CON AGENTES QUIMICOS ",IF(N254=CURSOS!$D$6,"PRIMEROS AUXILIOS ",IF(N254=CURSOS!$D$7,"DIPLOMADO DE UNIDAD DE CUIDADOS INTENSIVOS (UCI)",IF(N254=CURSOS!$D$8,"MODELO DE ATENCION PARA EVENTOS EMERGENTES EN SALUD MENTAL (CODIGO VERDE)",IF(N254=CURSOS!$D$9,"HUMANIZACION EN EL SERVICIO DE LA SALUD Y BUENAS PRACTICAS EN PACIENTE ",IF(N254=CURSOS!$D$10,"CLINICA DE HERIDAS ",IF(N254=CURSOS!$D$11,"TOMA DE CITOLOGIA CERVICO VAGINAL ",IF(N254=CURSOS!$D$12,"SOPORTE CARDIOVASCULAR AVANZADO (ACLS) ",IF(N254=CURSOS!$D$13,"CAMILLERO ",IF(N254=CURSOS!$D$14,"TOMA DE MUESTRAS Y LABORATORIO ",IF(N254=CURSOS!$D$15,"SOPORTE VITAL BASICO (BLS)",IF(N254=CURSOS!$D$16,"ATENCION A VICTIMAS DE VIOLENCIA SEXUAL ",IF(N254=CURSOS!$D$17,"PROGRAMADO AMPLIADO DE INMUNIZACION (PAI - COVID 19)",IF(N254=CURSOS!$D$18,"ATENCION INTEGRAL EN ENFERMEDADES PREVALENTES EN PRIMERA INFANCIA (AIEPI)",IF(N254=CURSOS!$D$19,"ADMINISTRACION DE MEDICAMENTOS, INYECTOLOGIA  Y CANALIZACION ",IF(N254=CURSOS!$D$20,"OPERADOR DE VEHICULOS DE EMERGENCIA (OVE)",IF(N254=CURSOS!$D$21,"INSTITUCIONES AMIGAS DE LA MUJER Y LA INFANCIA (IAMI)",IF(N254=CURSOS!$D$22,"CUIDADO DEL DONANTE DE ORGANOS",IF(N254=CURSOS!$D$23,"ATENCION A VICTIMAS POR VIOLENCIA DE GENERO",IF(N254=CURSOS!$D$24,"IGUALDAD DE GENERO EN LA SALUD",IF(N254=CURSOS!$D$25,"BRIGADA DE EMERGENCIA",IF(N254=CURSOS!$D$26,"MANEJO DEL DOLOR Y CUIDADOS PALIATIVOS",IF(N254=CURSOS!$D$27,"TOMA DE MUESTRAS Y LABORATORIO POCT",IF(N254=CURSOS!$D$28,"IMPLANTE SUBDERMICO DE DISPOSITIVO INTRAUTERINO",IF(N254=CURSOS!$D$29,"SALUD MENTAL",IF(N254=CURSOS!$D$30,"PRIMEROS AUXILIOS PSICOLOGICOS",IF(N254=CURSOS!$D$31,"ATENCION A VICTIMAS POR CONFLICTO ARMADO",IF(N254=CURSOS!$D$32,"MANIPULACION DE ALIMENTOS Y BPM",IF(N254=CURSOS!$D$33,"ATENCION A PERSONAS CON DISCAPACIDAD",IF(N254=CURSOS!$D$34,"CUIDADO INTEGRAL DEL PACIENTE ADULTO",IF(N254=CURSOS!$D$35,"MANEJO DEFENSIVO",IF(N254=CURSOS!$D$36,"SOPORTE CARDIOVASCULAR AVANZADO NEONATAL",IF(N254=CURSOS!$D$37,"SEGURIDAD DEL PACIENTE")))))))))))))))))))))))))))))))))))</f>
        <v xml:space="preserve">ATENCION A VICTIMAS DE VIOLENCIA SEXUAL </v>
      </c>
      <c r="U254" s="138" t="str">
        <f t="shared" si="12"/>
        <v>Cristhian Ricardo Balanta Pérez</v>
      </c>
      <c r="V254" s="183" t="str">
        <f t="shared" si="13"/>
        <v>Cristhian Ricardo Balanta Pérez</v>
      </c>
      <c r="W254" s="138" t="str">
        <f t="shared" si="14"/>
        <v>Cristhian Ricardo Balanta Pérez-1130629354-VIOLENCIA SEXUAL</v>
      </c>
    </row>
    <row r="255" spans="1:23" x14ac:dyDescent="0.2">
      <c r="A255" s="42">
        <v>254</v>
      </c>
      <c r="B255" s="132">
        <v>1089598127</v>
      </c>
      <c r="C255" s="133" t="s">
        <v>811</v>
      </c>
      <c r="D255" s="133" t="s">
        <v>812</v>
      </c>
      <c r="E255" s="133" t="s">
        <v>303</v>
      </c>
      <c r="F255" s="133" t="s">
        <v>280</v>
      </c>
      <c r="G255" s="134">
        <v>25</v>
      </c>
      <c r="H255" s="134" t="s">
        <v>89</v>
      </c>
      <c r="I255" s="16">
        <v>45499</v>
      </c>
      <c r="J255" s="19">
        <v>25000</v>
      </c>
      <c r="K255" s="134" t="s">
        <v>210</v>
      </c>
      <c r="L255" s="134" t="s">
        <v>90</v>
      </c>
      <c r="M255" s="134" t="s">
        <v>132</v>
      </c>
      <c r="N255" s="135" t="s">
        <v>43</v>
      </c>
      <c r="O255" s="113">
        <v>37976</v>
      </c>
      <c r="P255" s="135" t="s">
        <v>101</v>
      </c>
      <c r="Q255" s="133" t="s">
        <v>802</v>
      </c>
      <c r="R255" s="133">
        <v>3045679627</v>
      </c>
      <c r="S255" s="133" t="s">
        <v>813</v>
      </c>
      <c r="T255" s="185" t="str">
        <f>IF(N255=CURSOS!$D$3,"DIPLOMADO EN ATENCION PRE-HOSPITALARIA",IF(N255=CURSOS!$D$4,"ACOMPAÑAMIENTO Y MANEJO DEL DUELO",IF(N255=CURSOS!$D$5,"ATENCION A VICTIMAS DE ATAQUE CON AGENTES QUIMICOS ",IF(N255=CURSOS!$D$6,"PRIMEROS AUXILIOS ",IF(N255=CURSOS!$D$7,"DIPLOMADO DE UNIDAD DE CUIDADOS INTENSIVOS (UCI)",IF(N255=CURSOS!$D$8,"MODELO DE ATENCION PARA EVENTOS EMERGENTES EN SALUD MENTAL (CODIGO VERDE)",IF(N255=CURSOS!$D$9,"HUMANIZACION EN EL SERVICIO DE LA SALUD Y BUENAS PRACTICAS EN PACIENTE ",IF(N255=CURSOS!$D$10,"CLINICA DE HERIDAS ",IF(N255=CURSOS!$D$11,"TOMA DE CITOLOGIA CERVICO VAGINAL ",IF(N255=CURSOS!$D$12,"SOPORTE CARDIOVASCULAR AVANZADO (ACLS) ",IF(N255=CURSOS!$D$13,"CAMILLERO ",IF(N255=CURSOS!$D$14,"TOMA DE MUESTRAS Y LABORATORIO ",IF(N255=CURSOS!$D$15,"SOPORTE VITAL BASICO (BLS)",IF(N255=CURSOS!$D$16,"ATENCION A VICTIMAS DE VIOLENCIA SEXUAL ",IF(N255=CURSOS!$D$17,"PROGRAMADO AMPLIADO DE INMUNIZACION (PAI - COVID 19)",IF(N255=CURSOS!$D$18,"ATENCION INTEGRAL EN ENFERMEDADES PREVALENTES EN PRIMERA INFANCIA (AIEPI)",IF(N255=CURSOS!$D$19,"ADMINISTRACION DE MEDICAMENTOS, INYECTOLOGIA  Y CANALIZACION ",IF(N255=CURSOS!$D$20,"OPERADOR DE VEHICULOS DE EMERGENCIA (OVE)",IF(N255=CURSOS!$D$21,"INSTITUCIONES AMIGAS DE LA MUJER Y LA INFANCIA (IAMI)",IF(N255=CURSOS!$D$22,"CUIDADO DEL DONANTE DE ORGANOS",IF(N255=CURSOS!$D$23,"ATENCION A VICTIMAS POR VIOLENCIA DE GENERO",IF(N255=CURSOS!$D$24,"IGUALDAD DE GENERO EN LA SALUD",IF(N255=CURSOS!$D$25,"BRIGADA DE EMERGENCIA",IF(N255=CURSOS!$D$26,"MANEJO DEL DOLOR Y CUIDADOS PALIATIVOS",IF(N255=CURSOS!$D$27,"TOMA DE MUESTRAS Y LABORATORIO POCT",IF(N255=CURSOS!$D$28,"IMPLANTE SUBDERMICO DE DISPOSITIVO INTRAUTERINO",IF(N255=CURSOS!$D$29,"SALUD MENTAL",IF(N255=CURSOS!$D$30,"PRIMEROS AUXILIOS PSICOLOGICOS",IF(N255=CURSOS!$D$31,"ATENCION A VICTIMAS POR CONFLICTO ARMADO",IF(N255=CURSOS!$D$32,"MANIPULACION DE ALIMENTOS Y BPM",IF(N255=CURSOS!$D$33,"ATENCION A PERSONAS CON DISCAPACIDAD",IF(N255=CURSOS!$D$34,"CUIDADO INTEGRAL DEL PACIENTE ADULTO",IF(N255=CURSOS!$D$35,"MANEJO DEFENSIVO",IF(N255=CURSOS!$D$36,"SOPORTE CARDIOVASCULAR AVANZADO NEONATAL",IF(N255=CURSOS!$D$37,"SEGURIDAD DEL PACIENTE")))))))))))))))))))))))))))))))))))</f>
        <v xml:space="preserve">ATENCION A VICTIMAS DE VIOLENCIA SEXUAL </v>
      </c>
      <c r="U255" s="185" t="str">
        <f t="shared" si="12"/>
        <v>Camila Andrea Largo Orozco</v>
      </c>
      <c r="V255" s="186" t="str">
        <f t="shared" si="13"/>
        <v>Camila Andrea Largo Orozco</v>
      </c>
      <c r="W255" s="185" t="str">
        <f t="shared" si="14"/>
        <v>Camila Andrea Largo Orozco-1089598127-VIOLENCIA SEXUAL</v>
      </c>
    </row>
    <row r="256" spans="1:23" s="187" customFormat="1" x14ac:dyDescent="0.2">
      <c r="A256" s="42">
        <v>255</v>
      </c>
      <c r="B256" s="90">
        <v>59825386</v>
      </c>
      <c r="C256" s="99" t="s">
        <v>814</v>
      </c>
      <c r="D256" s="99" t="s">
        <v>206</v>
      </c>
      <c r="E256" s="99" t="s">
        <v>293</v>
      </c>
      <c r="F256" s="99" t="s">
        <v>154</v>
      </c>
      <c r="G256" s="117">
        <v>27</v>
      </c>
      <c r="H256" s="117" t="s">
        <v>89</v>
      </c>
      <c r="I256" s="16">
        <v>45499</v>
      </c>
      <c r="J256" s="19">
        <v>80000</v>
      </c>
      <c r="K256" s="117" t="s">
        <v>210</v>
      </c>
      <c r="L256" s="117" t="s">
        <v>337</v>
      </c>
      <c r="M256" s="117" t="s">
        <v>118</v>
      </c>
      <c r="N256" s="118" t="s">
        <v>27</v>
      </c>
      <c r="O256" s="18">
        <v>27062</v>
      </c>
      <c r="P256" s="118" t="s">
        <v>101</v>
      </c>
      <c r="Q256" s="99" t="s">
        <v>815</v>
      </c>
      <c r="R256" s="99">
        <v>3187997230</v>
      </c>
      <c r="S256" s="99" t="s">
        <v>816</v>
      </c>
      <c r="T256" s="138" t="str">
        <f>IF(N256=CURSOS!$D$3,"DIPLOMADO EN ATENCION PRE-HOSPITALARIA",IF(N256=CURSOS!$D$4,"ACOMPAÑAMIENTO Y MANEJO DEL DUELO",IF(N256=CURSOS!$D$5,"ATENCION A VICTIMAS DE ATAQUE CON AGENTES QUIMICOS ",IF(N256=CURSOS!$D$6,"PRIMEROS AUXILIOS ",IF(N256=CURSOS!$D$7,"DIPLOMADO DE UNIDAD DE CUIDADOS INTENSIVOS (UCI)",IF(N256=CURSOS!$D$8,"MODELO DE ATENCION PARA EVENTOS EMERGENTES EN SALUD MENTAL (CODIGO VERDE)",IF(N256=CURSOS!$D$9,"HUMANIZACION EN EL SERVICIO DE LA SALUD Y BUENAS PRACTICAS EN PACIENTE ",IF(N256=CURSOS!$D$10,"CLINICA DE HERIDAS ",IF(N256=CURSOS!$D$11,"TOMA DE CITOLOGIA CERVICO VAGINAL ",IF(N256=CURSOS!$D$12,"SOPORTE CARDIOVASCULAR AVANZADO (ACLS) ",IF(N256=CURSOS!$D$13,"CAMILLERO ",IF(N256=CURSOS!$D$14,"TOMA DE MUESTRAS Y LABORATORIO ",IF(N256=CURSOS!$D$15,"SOPORTE VITAL BASICO (BLS)",IF(N256=CURSOS!$D$16,"ATENCION A VICTIMAS DE VIOLENCIA SEXUAL ",IF(N256=CURSOS!$D$17,"PROGRAMADO AMPLIADO DE INMUNIZACION (PAI - COVID 19)",IF(N256=CURSOS!$D$18,"ATENCION INTEGRAL EN ENFERMEDADES PREVALENTES EN PRIMERA INFANCIA (AIEPI)",IF(N256=CURSOS!$D$19,"ADMINISTRACION DE MEDICAMENTOS, INYECTOLOGIA  Y CANALIZACION ",IF(N256=CURSOS!$D$20,"OPERADOR DE VEHICULOS DE EMERGENCIA (OVE)",IF(N256=CURSOS!$D$21,"INSTITUCIONES AMIGAS DE LA MUJER Y LA INFANCIA (IAMI)",IF(N256=CURSOS!$D$22,"CUIDADO DEL DONANTE DE ORGANOS",IF(N256=CURSOS!$D$23,"ATENCION A VICTIMAS POR VIOLENCIA DE GENERO",IF(N256=CURSOS!$D$24,"IGUALDAD DE GENERO EN LA SALUD",IF(N256=CURSOS!$D$25,"BRIGADA DE EMERGENCIA",IF(N256=CURSOS!$D$26,"MANEJO DEL DOLOR Y CUIDADOS PALIATIVOS",IF(N256=CURSOS!$D$27,"TOMA DE MUESTRAS Y LABORATORIO POCT",IF(N256=CURSOS!$D$28,"IMPLANTE SUBDERMICO DE DISPOSITIVO INTRAUTERINO",IF(N256=CURSOS!$D$29,"SALUD MENTAL",IF(N256=CURSOS!$D$30,"PRIMEROS AUXILIOS PSICOLOGICOS",IF(N256=CURSOS!$D$31,"ATENCION A VICTIMAS POR CONFLICTO ARMADO",IF(N256=CURSOS!$D$32,"MANIPULACION DE ALIMENTOS Y BPM",IF(N256=CURSOS!$D$33,"ATENCION A PERSONAS CON DISCAPACIDAD",IF(N256=CURSOS!$D$34,"CUIDADO INTEGRAL DEL PACIENTE ADULTO",IF(N256=CURSOS!$D$35,"MANEJO DEFENSIVO",IF(N256=CURSOS!$D$36,"SOPORTE CARDIOVASCULAR AVANZADO NEONATAL",IF(N256=CURSOS!$D$37,"SEGURIDAD DEL PACIENTE")))))))))))))))))))))))))))))))))))</f>
        <v xml:space="preserve">PRIMEROS AUXILIOS </v>
      </c>
      <c r="U256" s="138" t="str">
        <f t="shared" si="12"/>
        <v>Liliana Patricia Juajinoy España</v>
      </c>
      <c r="V256" s="138" t="str">
        <f t="shared" si="13"/>
        <v>Liliana Patricia Juajinoy España</v>
      </c>
      <c r="W256" s="138" t="str">
        <f t="shared" si="14"/>
        <v>Liliana Patricia Juajinoy España-59825386-PRIMEROS AUXILIOS</v>
      </c>
    </row>
    <row r="257" spans="1:23" s="187" customFormat="1" x14ac:dyDescent="0.2">
      <c r="A257" s="42">
        <v>256</v>
      </c>
      <c r="B257" s="90">
        <v>27082089</v>
      </c>
      <c r="C257" s="99" t="s">
        <v>817</v>
      </c>
      <c r="D257" s="99" t="s">
        <v>172</v>
      </c>
      <c r="E257" s="99" t="s">
        <v>823</v>
      </c>
      <c r="F257" s="99" t="s">
        <v>606</v>
      </c>
      <c r="G257" s="117">
        <v>29</v>
      </c>
      <c r="H257" s="117" t="s">
        <v>89</v>
      </c>
      <c r="I257" s="16">
        <v>45504</v>
      </c>
      <c r="J257" s="19">
        <v>30000</v>
      </c>
      <c r="K257" s="117" t="s">
        <v>210</v>
      </c>
      <c r="L257" s="117" t="s">
        <v>90</v>
      </c>
      <c r="M257" s="117" t="s">
        <v>132</v>
      </c>
      <c r="N257" s="118" t="s">
        <v>23</v>
      </c>
      <c r="O257" s="18">
        <v>28469</v>
      </c>
      <c r="P257" s="118" t="s">
        <v>101</v>
      </c>
      <c r="Q257" s="99" t="s">
        <v>328</v>
      </c>
      <c r="R257" s="99">
        <v>3186933343</v>
      </c>
      <c r="S257" s="99" t="s">
        <v>818</v>
      </c>
      <c r="T257" s="138" t="str">
        <f>IF(N257=CURSOS!$D$3,"DIPLOMADO EN ATENCION PRE-HOSPITALARIA",IF(N257=CURSOS!$D$4,"ACOMPAÑAMIENTO Y MANEJO DEL DUELO",IF(N257=CURSOS!$D$5,"ATENCION A VICTIMAS DE ATAQUE CON AGENTES QUIMICOS ",IF(N257=CURSOS!$D$6,"PRIMEROS AUXILIOS ",IF(N257=CURSOS!$D$7,"DIPLOMADO DE UNIDAD DE CUIDADOS INTENSIVOS (UCI)",IF(N257=CURSOS!$D$8,"MODELO DE ATENCION PARA EVENTOS EMERGENTES EN SALUD MENTAL (CODIGO VERDE)",IF(N257=CURSOS!$D$9,"HUMANIZACION EN EL SERVICIO DE LA SALUD Y BUENAS PRACTICAS EN PACIENTE ",IF(N257=CURSOS!$D$10,"CLINICA DE HERIDAS ",IF(N257=CURSOS!$D$11,"TOMA DE CITOLOGIA CERVICO VAGINAL ",IF(N257=CURSOS!$D$12,"SOPORTE CARDIOVASCULAR AVANZADO (ACLS) ",IF(N257=CURSOS!$D$13,"CAMILLERO ",IF(N257=CURSOS!$D$14,"TOMA DE MUESTRAS Y LABORATORIO ",IF(N257=CURSOS!$D$15,"SOPORTE VITAL BASICO (BLS)",IF(N257=CURSOS!$D$16,"ATENCION A VICTIMAS DE VIOLENCIA SEXUAL ",IF(N257=CURSOS!$D$17,"PROGRAMADO AMPLIADO DE INMUNIZACION (PAI - COVID 19)",IF(N257=CURSOS!$D$18,"ATENCION INTEGRAL EN ENFERMEDADES PREVALENTES EN PRIMERA INFANCIA (AIEPI)",IF(N257=CURSOS!$D$19,"ADMINISTRACION DE MEDICAMENTOS, INYECTOLOGIA  Y CANALIZACION ",IF(N257=CURSOS!$D$20,"OPERADOR DE VEHICULOS DE EMERGENCIA (OVE)",IF(N257=CURSOS!$D$21,"INSTITUCIONES AMIGAS DE LA MUJER Y LA INFANCIA (IAMI)",IF(N257=CURSOS!$D$22,"CUIDADO DEL DONANTE DE ORGANOS",IF(N257=CURSOS!$D$23,"ATENCION A VICTIMAS POR VIOLENCIA DE GENERO",IF(N257=CURSOS!$D$24,"IGUALDAD DE GENERO EN LA SALUD",IF(N257=CURSOS!$D$25,"BRIGADA DE EMERGENCIA",IF(N257=CURSOS!$D$26,"MANEJO DEL DOLOR Y CUIDADOS PALIATIVOS",IF(N257=CURSOS!$D$27,"TOMA DE MUESTRAS Y LABORATORIO POCT",IF(N257=CURSOS!$D$28,"IMPLANTE SUBDERMICO DE DISPOSITIVO INTRAUTERINO",IF(N257=CURSOS!$D$29,"SALUD MENTAL",IF(N257=CURSOS!$D$30,"PRIMEROS AUXILIOS PSICOLOGICOS",IF(N257=CURSOS!$D$31,"ATENCION A VICTIMAS POR CONFLICTO ARMADO",IF(N257=CURSOS!$D$32,"MANIPULACION DE ALIMENTOS Y BPM",IF(N257=CURSOS!$D$33,"ATENCION A PERSONAS CON DISCAPACIDAD",IF(N257=CURSOS!$D$34,"CUIDADO INTEGRAL DEL PACIENTE ADULTO",IF(N257=CURSOS!$D$35,"MANEJO DEFENSIVO",IF(N257=CURSOS!$D$36,"SOPORTE CARDIOVASCULAR AVANZADO NEONATAL",IF(N257=CURSOS!$D$37,"SEGURIDAD DEL PACIENTE")))))))))))))))))))))))))))))))))))</f>
        <v>ACOMPAÑAMIENTO Y MANEJO DEL DUELO</v>
      </c>
      <c r="U257" s="138" t="str">
        <f t="shared" si="12"/>
        <v>Marly Isabeth Hidalgo Lopez</v>
      </c>
      <c r="V257" s="138" t="str">
        <f t="shared" si="13"/>
        <v>Marly Isabeth Hidalgo Lopez</v>
      </c>
      <c r="W257" s="138" t="str">
        <f t="shared" si="14"/>
        <v>Marly Isabeth Hidalgo Lopez-27082089-DUELO</v>
      </c>
    </row>
    <row r="258" spans="1:23" s="187" customFormat="1" x14ac:dyDescent="0.2">
      <c r="A258" s="42">
        <v>257</v>
      </c>
      <c r="B258" s="90">
        <v>1087424189</v>
      </c>
      <c r="C258" s="99" t="s">
        <v>85</v>
      </c>
      <c r="D258" s="99" t="s">
        <v>819</v>
      </c>
      <c r="E258" s="99" t="s">
        <v>820</v>
      </c>
      <c r="F258" s="99" t="s">
        <v>821</v>
      </c>
      <c r="G258" s="117">
        <v>29</v>
      </c>
      <c r="H258" s="117" t="s">
        <v>89</v>
      </c>
      <c r="I258" s="16">
        <v>45505</v>
      </c>
      <c r="J258" s="19">
        <v>30000</v>
      </c>
      <c r="K258" s="117" t="s">
        <v>214</v>
      </c>
      <c r="L258" s="117" t="s">
        <v>90</v>
      </c>
      <c r="M258" s="117" t="s">
        <v>125</v>
      </c>
      <c r="N258" s="118" t="s">
        <v>19</v>
      </c>
      <c r="O258" s="18">
        <v>35547</v>
      </c>
      <c r="P258" s="118" t="s">
        <v>101</v>
      </c>
      <c r="Q258" s="99" t="s">
        <v>580</v>
      </c>
      <c r="R258" s="99">
        <v>3166437206</v>
      </c>
      <c r="S258" s="99" t="s">
        <v>822</v>
      </c>
      <c r="T258" s="138" t="str">
        <f>IF(N258=CURSOS!$D$3,"DIPLOMADO EN ATENCION PRE-HOSPITALARIA",IF(N258=CURSOS!$D$4,"ACOMPAÑAMIENTO Y MANEJO DEL DUELO",IF(N258=CURSOS!$D$5,"ATENCION A VICTIMAS DE ATAQUE CON AGENTES QUIMICOS ",IF(N258=CURSOS!$D$6,"PRIMEROS AUXILIOS ",IF(N258=CURSOS!$D$7,"DIPLOMADO DE UNIDAD DE CUIDADOS INTENSIVOS (UCI)",IF(N258=CURSOS!$D$8,"MODELO DE ATENCION PARA EVENTOS EMERGENTES EN SALUD MENTAL (CODIGO VERDE)",IF(N258=CURSOS!$D$9,"HUMANIZACION EN EL SERVICIO DE LA SALUD Y BUENAS PRACTICAS EN PACIENTE ",IF(N258=CURSOS!$D$10,"CLINICA DE HERIDAS ",IF(N258=CURSOS!$D$11,"TOMA DE CITOLOGIA CERVICO VAGINAL ",IF(N258=CURSOS!$D$12,"SOPORTE CARDIOVASCULAR AVANZADO (ACLS) ",IF(N258=CURSOS!$D$13,"CAMILLERO ",IF(N258=CURSOS!$D$14,"TOMA DE MUESTRAS Y LABORATORIO ",IF(N258=CURSOS!$D$15,"SOPORTE VITAL BASICO (BLS)",IF(N258=CURSOS!$D$16,"ATENCION A VICTIMAS DE VIOLENCIA SEXUAL ",IF(N258=CURSOS!$D$17,"PROGRAMADO AMPLIADO DE INMUNIZACION (PAI - COVID 19)",IF(N258=CURSOS!$D$18,"ATENCION INTEGRAL EN ENFERMEDADES PREVALENTES EN PRIMERA INFANCIA (AIEPI)",IF(N258=CURSOS!$D$19,"ADMINISTRACION DE MEDICAMENTOS, INYECTOLOGIA  Y CANALIZACION ",IF(N258=CURSOS!$D$20,"OPERADOR DE VEHICULOS DE EMERGENCIA (OVE)",IF(N258=CURSOS!$D$21,"INSTITUCIONES AMIGAS DE LA MUJER Y LA INFANCIA (IAMI)",IF(N258=CURSOS!$D$22,"CUIDADO DEL DONANTE DE ORGANOS",IF(N258=CURSOS!$D$23,"ATENCION A VICTIMAS POR VIOLENCIA DE GENERO",IF(N258=CURSOS!$D$24,"IGUALDAD DE GENERO EN LA SALUD",IF(N258=CURSOS!$D$25,"BRIGADA DE EMERGENCIA",IF(N258=CURSOS!$D$26,"MANEJO DEL DOLOR Y CUIDADOS PALIATIVOS",IF(N258=CURSOS!$D$27,"TOMA DE MUESTRAS Y LABORATORIO POCT",IF(N258=CURSOS!$D$28,"IMPLANTE SUBDERMICO DE DISPOSITIVO INTRAUTERINO",IF(N258=CURSOS!$D$29,"SALUD MENTAL",IF(N258=CURSOS!$D$30,"PRIMEROS AUXILIOS PSICOLOGICOS",IF(N258=CURSOS!$D$31,"ATENCION A VICTIMAS POR CONFLICTO ARMADO",IF(N258=CURSOS!$D$32,"MANIPULACION DE ALIMENTOS Y BPM",IF(N258=CURSOS!$D$33,"ATENCION A PERSONAS CON DISCAPACIDAD",IF(N258=CURSOS!$D$34,"CUIDADO INTEGRAL DEL PACIENTE ADULTO",IF(N258=CURSOS!$D$35,"MANEJO DEFENSIVO",IF(N258=CURSOS!$D$36,"SOPORTE CARDIOVASCULAR AVANZADO NEONATAL",IF(N258=CURSOS!$D$37,"SEGURIDAD DEL PACIENTE")))))))))))))))))))))))))))))))))))</f>
        <v>SOPORTE VITAL BASICO (BLS)</v>
      </c>
      <c r="U258" s="138" t="str">
        <f t="shared" si="12"/>
        <v>Michel Vanesa Burbano Salazar</v>
      </c>
      <c r="V258" s="138" t="str">
        <f t="shared" si="13"/>
        <v>Michel Vanesa Burbano Salazar</v>
      </c>
      <c r="W258" s="138" t="str">
        <f t="shared" si="14"/>
        <v>Michel Vanesa Burbano Salazar-1087424189-BLS</v>
      </c>
    </row>
    <row r="259" spans="1:23" s="187" customFormat="1" x14ac:dyDescent="0.2">
      <c r="A259" s="42">
        <v>258</v>
      </c>
      <c r="B259" s="90">
        <v>1087424189</v>
      </c>
      <c r="C259" s="99" t="s">
        <v>85</v>
      </c>
      <c r="D259" s="99" t="s">
        <v>819</v>
      </c>
      <c r="E259" s="99" t="s">
        <v>820</v>
      </c>
      <c r="F259" s="99" t="s">
        <v>821</v>
      </c>
      <c r="G259" s="117">
        <v>27</v>
      </c>
      <c r="H259" s="117" t="s">
        <v>89</v>
      </c>
      <c r="I259" s="16">
        <v>45505</v>
      </c>
      <c r="J259" s="19">
        <v>30000</v>
      </c>
      <c r="K259" s="117" t="s">
        <v>214</v>
      </c>
      <c r="L259" s="117" t="s">
        <v>90</v>
      </c>
      <c r="M259" s="117" t="s">
        <v>125</v>
      </c>
      <c r="N259" s="118" t="s">
        <v>25</v>
      </c>
      <c r="O259" s="18">
        <v>35547</v>
      </c>
      <c r="P259" s="118" t="s">
        <v>101</v>
      </c>
      <c r="Q259" s="99" t="s">
        <v>580</v>
      </c>
      <c r="R259" s="99">
        <v>3166437206</v>
      </c>
      <c r="S259" s="99" t="s">
        <v>822</v>
      </c>
      <c r="T259" s="138" t="str">
        <f>IF(N259=CURSOS!$D$3,"DIPLOMADO EN ATENCION PRE-HOSPITALARIA",IF(N259=CURSOS!$D$4,"ACOMPAÑAMIENTO Y MANEJO DEL DUELO",IF(N259=CURSOS!$D$5,"ATENCION A VICTIMAS DE ATAQUE CON AGENTES QUIMICOS ",IF(N259=CURSOS!$D$6,"PRIMEROS AUXILIOS ",IF(N259=CURSOS!$D$7,"DIPLOMADO DE UNIDAD DE CUIDADOS INTENSIVOS (UCI)",IF(N259=CURSOS!$D$8,"MODELO DE ATENCION PARA EVENTOS EMERGENTES EN SALUD MENTAL (CODIGO VERDE)",IF(N259=CURSOS!$D$9,"HUMANIZACION EN EL SERVICIO DE LA SALUD Y BUENAS PRACTICAS EN PACIENTE ",IF(N259=CURSOS!$D$10,"CLINICA DE HERIDAS ",IF(N259=CURSOS!$D$11,"TOMA DE CITOLOGIA CERVICO VAGINAL ",IF(N259=CURSOS!$D$12,"SOPORTE CARDIOVASCULAR AVANZADO (ACLS) ",IF(N259=CURSOS!$D$13,"CAMILLERO ",IF(N259=CURSOS!$D$14,"TOMA DE MUESTRAS Y LABORATORIO ",IF(N259=CURSOS!$D$15,"SOPORTE VITAL BASICO (BLS)",IF(N259=CURSOS!$D$16,"ATENCION A VICTIMAS DE VIOLENCIA SEXUAL ",IF(N259=CURSOS!$D$17,"PROGRAMADO AMPLIADO DE INMUNIZACION (PAI - COVID 19)",IF(N259=CURSOS!$D$18,"ATENCION INTEGRAL EN ENFERMEDADES PREVALENTES EN PRIMERA INFANCIA (AIEPI)",IF(N259=CURSOS!$D$19,"ADMINISTRACION DE MEDICAMENTOS, INYECTOLOGIA  Y CANALIZACION ",IF(N259=CURSOS!$D$20,"OPERADOR DE VEHICULOS DE EMERGENCIA (OVE)",IF(N259=CURSOS!$D$21,"INSTITUCIONES AMIGAS DE LA MUJER Y LA INFANCIA (IAMI)",IF(N259=CURSOS!$D$22,"CUIDADO DEL DONANTE DE ORGANOS",IF(N259=CURSOS!$D$23,"ATENCION A VICTIMAS POR VIOLENCIA DE GENERO",IF(N259=CURSOS!$D$24,"IGUALDAD DE GENERO EN LA SALUD",IF(N259=CURSOS!$D$25,"BRIGADA DE EMERGENCIA",IF(N259=CURSOS!$D$26,"MANEJO DEL DOLOR Y CUIDADOS PALIATIVOS",IF(N259=CURSOS!$D$27,"TOMA DE MUESTRAS Y LABORATORIO POCT",IF(N259=CURSOS!$D$28,"IMPLANTE SUBDERMICO DE DISPOSITIVO INTRAUTERINO",IF(N259=CURSOS!$D$29,"SALUD MENTAL",IF(N259=CURSOS!$D$30,"PRIMEROS AUXILIOS PSICOLOGICOS",IF(N259=CURSOS!$D$31,"ATENCION A VICTIMAS POR CONFLICTO ARMADO",IF(N259=CURSOS!$D$32,"MANIPULACION DE ALIMENTOS Y BPM",IF(N259=CURSOS!$D$33,"ATENCION A PERSONAS CON DISCAPACIDAD",IF(N259=CURSOS!$D$34,"CUIDADO INTEGRAL DEL PACIENTE ADULTO",IF(N259=CURSOS!$D$35,"MANEJO DEFENSIVO",IF(N259=CURSOS!$D$36,"SOPORTE CARDIOVASCULAR AVANZADO NEONATAL",IF(N259=CURSOS!$D$37,"SEGURIDAD DEL PACIENTE")))))))))))))))))))))))))))))))))))</f>
        <v xml:space="preserve">ATENCION A VICTIMAS DE ATAQUE CON AGENTES QUIMICOS </v>
      </c>
      <c r="U259" s="138" t="str">
        <f t="shared" ref="U259:U260" si="15">CONCATENATE(E259," ",F259," ",C259," ",D259)</f>
        <v>Michel Vanesa Burbano Salazar</v>
      </c>
      <c r="V259" s="138" t="str">
        <f t="shared" ref="V259:V260" si="16">+PROPER(U259)</f>
        <v>Michel Vanesa Burbano Salazar</v>
      </c>
      <c r="W259" s="138" t="str">
        <f t="shared" ref="W259:W260" si="17">CONCATENATE(U259,"-",B259,"-",N259)</f>
        <v>Michel Vanesa Burbano Salazar-1087424189-QUIMICOS</v>
      </c>
    </row>
    <row r="260" spans="1:23" s="187" customFormat="1" x14ac:dyDescent="0.2">
      <c r="A260" s="42">
        <v>259</v>
      </c>
      <c r="B260" s="90">
        <v>1087424189</v>
      </c>
      <c r="C260" s="99" t="s">
        <v>85</v>
      </c>
      <c r="D260" s="99" t="s">
        <v>819</v>
      </c>
      <c r="E260" s="99" t="s">
        <v>820</v>
      </c>
      <c r="F260" s="99" t="s">
        <v>821</v>
      </c>
      <c r="G260" s="117">
        <v>29</v>
      </c>
      <c r="H260" s="117" t="s">
        <v>89</v>
      </c>
      <c r="I260" s="16">
        <v>45505</v>
      </c>
      <c r="J260" s="19">
        <v>30000</v>
      </c>
      <c r="K260" s="117" t="s">
        <v>214</v>
      </c>
      <c r="L260" s="117" t="s">
        <v>90</v>
      </c>
      <c r="M260" s="117" t="s">
        <v>125</v>
      </c>
      <c r="N260" s="118" t="s">
        <v>43</v>
      </c>
      <c r="O260" s="18">
        <v>35547</v>
      </c>
      <c r="P260" s="118" t="s">
        <v>101</v>
      </c>
      <c r="Q260" s="99" t="s">
        <v>580</v>
      </c>
      <c r="R260" s="99">
        <v>3166437206</v>
      </c>
      <c r="S260" s="99" t="s">
        <v>822</v>
      </c>
      <c r="T260" s="138" t="str">
        <f>IF(N260=CURSOS!$D$3,"DIPLOMADO EN ATENCION PRE-HOSPITALARIA",IF(N260=CURSOS!$D$4,"ACOMPAÑAMIENTO Y MANEJO DEL DUELO",IF(N260=CURSOS!$D$5,"ATENCION A VICTIMAS DE ATAQUE CON AGENTES QUIMICOS ",IF(N260=CURSOS!$D$6,"PRIMEROS AUXILIOS ",IF(N260=CURSOS!$D$7,"DIPLOMADO DE UNIDAD DE CUIDADOS INTENSIVOS (UCI)",IF(N260=CURSOS!$D$8,"MODELO DE ATENCION PARA EVENTOS EMERGENTES EN SALUD MENTAL (CODIGO VERDE)",IF(N260=CURSOS!$D$9,"HUMANIZACION EN EL SERVICIO DE LA SALUD Y BUENAS PRACTICAS EN PACIENTE ",IF(N260=CURSOS!$D$10,"CLINICA DE HERIDAS ",IF(N260=CURSOS!$D$11,"TOMA DE CITOLOGIA CERVICO VAGINAL ",IF(N260=CURSOS!$D$12,"SOPORTE CARDIOVASCULAR AVANZADO (ACLS) ",IF(N260=CURSOS!$D$13,"CAMILLERO ",IF(N260=CURSOS!$D$14,"TOMA DE MUESTRAS Y LABORATORIO ",IF(N260=CURSOS!$D$15,"SOPORTE VITAL BASICO (BLS)",IF(N260=CURSOS!$D$16,"ATENCION A VICTIMAS DE VIOLENCIA SEXUAL ",IF(N260=CURSOS!$D$17,"PROGRAMADO AMPLIADO DE INMUNIZACION (PAI - COVID 19)",IF(N260=CURSOS!$D$18,"ATENCION INTEGRAL EN ENFERMEDADES PREVALENTES EN PRIMERA INFANCIA (AIEPI)",IF(N260=CURSOS!$D$19,"ADMINISTRACION DE MEDICAMENTOS, INYECTOLOGIA  Y CANALIZACION ",IF(N260=CURSOS!$D$20,"OPERADOR DE VEHICULOS DE EMERGENCIA (OVE)",IF(N260=CURSOS!$D$21,"INSTITUCIONES AMIGAS DE LA MUJER Y LA INFANCIA (IAMI)",IF(N260=CURSOS!$D$22,"CUIDADO DEL DONANTE DE ORGANOS",IF(N260=CURSOS!$D$23,"ATENCION A VICTIMAS POR VIOLENCIA DE GENERO",IF(N260=CURSOS!$D$24,"IGUALDAD DE GENERO EN LA SALUD",IF(N260=CURSOS!$D$25,"BRIGADA DE EMERGENCIA",IF(N260=CURSOS!$D$26,"MANEJO DEL DOLOR Y CUIDADOS PALIATIVOS",IF(N260=CURSOS!$D$27,"TOMA DE MUESTRAS Y LABORATORIO POCT",IF(N260=CURSOS!$D$28,"IMPLANTE SUBDERMICO DE DISPOSITIVO INTRAUTERINO",IF(N260=CURSOS!$D$29,"SALUD MENTAL",IF(N260=CURSOS!$D$30,"PRIMEROS AUXILIOS PSICOLOGICOS",IF(N260=CURSOS!$D$31,"ATENCION A VICTIMAS POR CONFLICTO ARMADO",IF(N260=CURSOS!$D$32,"MANIPULACION DE ALIMENTOS Y BPM",IF(N260=CURSOS!$D$33,"ATENCION A PERSONAS CON DISCAPACIDAD",IF(N260=CURSOS!$D$34,"CUIDADO INTEGRAL DEL PACIENTE ADULTO",IF(N260=CURSOS!$D$35,"MANEJO DEFENSIVO",IF(N260=CURSOS!$D$36,"SOPORTE CARDIOVASCULAR AVANZADO NEONATAL",IF(N260=CURSOS!$D$37,"SEGURIDAD DEL PACIENTE")))))))))))))))))))))))))))))))))))</f>
        <v xml:space="preserve">ATENCION A VICTIMAS DE VIOLENCIA SEXUAL </v>
      </c>
      <c r="U260" s="138" t="str">
        <f t="shared" si="15"/>
        <v>Michel Vanesa Burbano Salazar</v>
      </c>
      <c r="V260" s="138" t="str">
        <f t="shared" si="16"/>
        <v>Michel Vanesa Burbano Salazar</v>
      </c>
      <c r="W260" s="138" t="str">
        <f t="shared" si="17"/>
        <v>Michel Vanesa Burbano Salazar-1087424189-VIOLENCIA SEXUAL</v>
      </c>
    </row>
    <row r="261" spans="1:23" s="187" customFormat="1" x14ac:dyDescent="0.2">
      <c r="A261" s="42">
        <v>260</v>
      </c>
      <c r="B261" s="90">
        <v>1085931202</v>
      </c>
      <c r="C261" s="99" t="s">
        <v>824</v>
      </c>
      <c r="D261" s="99" t="s">
        <v>825</v>
      </c>
      <c r="E261" s="99" t="s">
        <v>428</v>
      </c>
      <c r="F261" s="99" t="s">
        <v>377</v>
      </c>
      <c r="G261" s="117">
        <v>30</v>
      </c>
      <c r="H261" s="117" t="s">
        <v>89</v>
      </c>
      <c r="I261" s="16">
        <v>45502</v>
      </c>
      <c r="J261" s="19">
        <v>130000</v>
      </c>
      <c r="K261" s="117" t="s">
        <v>210</v>
      </c>
      <c r="L261" s="117" t="s">
        <v>90</v>
      </c>
      <c r="M261" s="117" t="s">
        <v>752</v>
      </c>
      <c r="N261" s="118" t="s">
        <v>38</v>
      </c>
      <c r="O261" s="18">
        <v>34016</v>
      </c>
      <c r="P261" s="118" t="s">
        <v>101</v>
      </c>
      <c r="Q261" s="99" t="s">
        <v>200</v>
      </c>
      <c r="R261" s="99">
        <v>3176787305</v>
      </c>
      <c r="S261" s="99" t="s">
        <v>826</v>
      </c>
      <c r="T261" s="138" t="str">
        <f>IF(N261=CURSOS!$D$3,"DIPLOMADO EN ATENCION PRE-HOSPITALARIA",IF(N261=CURSOS!$D$4,"ACOMPAÑAMIENTO Y MANEJO DEL DUELO",IF(N261=CURSOS!$D$5,"ATENCION A VICTIMAS DE ATAQUE CON AGENTES QUIMICOS ",IF(N261=CURSOS!$D$6,"PRIMEROS AUXILIOS ",IF(N261=CURSOS!$D$7,"DIPLOMADO DE UNIDAD DE CUIDADOS INTENSIVOS (UCI)",IF(N261=CURSOS!$D$8,"MODELO DE ATENCION PARA EVENTOS EMERGENTES EN SALUD MENTAL (CODIGO VERDE)",IF(N261=CURSOS!$D$9,"HUMANIZACION EN EL SERVICIO DE LA SALUD Y BUENAS PRACTICAS EN PACIENTE ",IF(N261=CURSOS!$D$10,"CLINICA DE HERIDAS ",IF(N261=CURSOS!$D$11,"TOMA DE CITOLOGIA CERVICO VAGINAL ",IF(N261=CURSOS!$D$12,"SOPORTE CARDIOVASCULAR AVANZADO (ACLS) ",IF(N261=CURSOS!$D$13,"CAMILLERO ",IF(N261=CURSOS!$D$14,"TOMA DE MUESTRAS Y LABORATORIO ",IF(N261=CURSOS!$D$15,"SOPORTE VITAL BASICO (BLS)",IF(N261=CURSOS!$D$16,"ATENCION A VICTIMAS DE VIOLENCIA SEXUAL ",IF(N261=CURSOS!$D$17,"PROGRAMADO AMPLIADO DE INMUNIZACION (PAI - COVID 19)",IF(N261=CURSOS!$D$18,"ATENCION INTEGRAL EN ENFERMEDADES PREVALENTES EN PRIMERA INFANCIA (AIEPI)",IF(N261=CURSOS!$D$19,"ADMINISTRACION DE MEDICAMENTOS, INYECTOLOGIA  Y CANALIZACION ",IF(N261=CURSOS!$D$20,"OPERADOR DE VEHICULOS DE EMERGENCIA (OVE)",IF(N261=CURSOS!$D$21,"INSTITUCIONES AMIGAS DE LA MUJER Y LA INFANCIA (IAMI)",IF(N261=CURSOS!$D$22,"CUIDADO DEL DONANTE DE ORGANOS",IF(N261=CURSOS!$D$23,"ATENCION A VICTIMAS POR VIOLENCIA DE GENERO",IF(N261=CURSOS!$D$24,"IGUALDAD DE GENERO EN LA SALUD",IF(N261=CURSOS!$D$25,"BRIGADA DE EMERGENCIA",IF(N261=CURSOS!$D$26,"MANEJO DEL DOLOR Y CUIDADOS PALIATIVOS",IF(N261=CURSOS!$D$27,"TOMA DE MUESTRAS Y LABORATORIO POCT",IF(N261=CURSOS!$D$28,"IMPLANTE SUBDERMICO DE DISPOSITIVO INTRAUTERINO",IF(N261=CURSOS!$D$29,"SALUD MENTAL",IF(N261=CURSOS!$D$30,"PRIMEROS AUXILIOS PSICOLOGICOS",IF(N261=CURSOS!$D$31,"ATENCION A VICTIMAS POR CONFLICTO ARMADO",IF(N261=CURSOS!$D$32,"MANIPULACION DE ALIMENTOS Y BPM",IF(N261=CURSOS!$D$33,"ATENCION A PERSONAS CON DISCAPACIDAD",IF(N261=CURSOS!$D$34,"CUIDADO INTEGRAL DEL PACIENTE ADULTO",IF(N261=CURSOS!$D$35,"MANEJO DEFENSIVO",IF(N261=CURSOS!$D$36,"SOPORTE CARDIOVASCULAR AVANZADO NEONATAL",IF(N261=CURSOS!$D$37,"SEGURIDAD DEL PACIENTE")))))))))))))))))))))))))))))))))))</f>
        <v xml:space="preserve">SOPORTE CARDIOVASCULAR AVANZADO (ACLS) </v>
      </c>
      <c r="U261" s="138" t="str">
        <f t="shared" ref="U261:U263" si="18">CONCATENATE(E261," ",F261," ",C261," ",D261)</f>
        <v>Lizeth Lorena Narváez Vivas</v>
      </c>
      <c r="V261" s="138" t="str">
        <f t="shared" ref="V261:V263" si="19">+PROPER(U261)</f>
        <v>Lizeth Lorena Narváez Vivas</v>
      </c>
      <c r="W261" s="138" t="str">
        <f t="shared" ref="W261:W263" si="20">CONCATENATE(U261,"-",B261,"-",N261)</f>
        <v>Lizeth Lorena Narváez Vivas-1085931202-ACLS</v>
      </c>
    </row>
    <row r="262" spans="1:23" s="187" customFormat="1" ht="15.75" x14ac:dyDescent="0.25">
      <c r="A262" s="42">
        <v>261</v>
      </c>
      <c r="B262" s="90">
        <v>59815992</v>
      </c>
      <c r="C262" s="99" t="s">
        <v>827</v>
      </c>
      <c r="D262" s="99" t="s">
        <v>828</v>
      </c>
      <c r="E262" s="99" t="s">
        <v>829</v>
      </c>
      <c r="F262" s="99" t="s">
        <v>441</v>
      </c>
      <c r="G262" s="117">
        <v>29</v>
      </c>
      <c r="H262" s="117" t="s">
        <v>89</v>
      </c>
      <c r="I262" s="117"/>
      <c r="J262" s="19"/>
      <c r="K262" s="117"/>
      <c r="L262" s="117" t="s">
        <v>90</v>
      </c>
      <c r="M262" s="117" t="s">
        <v>830</v>
      </c>
      <c r="N262" s="118" t="s">
        <v>43</v>
      </c>
      <c r="O262" s="18">
        <v>25625</v>
      </c>
      <c r="P262" s="118" t="s">
        <v>101</v>
      </c>
      <c r="Q262" s="190" t="s">
        <v>126</v>
      </c>
      <c r="R262" s="99">
        <v>3206091074</v>
      </c>
      <c r="S262" s="99" t="s">
        <v>831</v>
      </c>
      <c r="T262" s="138" t="str">
        <f>IF(N262=CURSOS!$D$3,"DIPLOMADO EN ATENCION PRE-HOSPITALARIA",IF(N262=CURSOS!$D$4,"ACOMPAÑAMIENTO Y MANEJO DEL DUELO",IF(N262=CURSOS!$D$5,"ATENCION A VICTIMAS DE ATAQUE CON AGENTES QUIMICOS ",IF(N262=CURSOS!$D$6,"PRIMEROS AUXILIOS ",IF(N262=CURSOS!$D$7,"DIPLOMADO DE UNIDAD DE CUIDADOS INTENSIVOS (UCI)",IF(N262=CURSOS!$D$8,"MODELO DE ATENCION PARA EVENTOS EMERGENTES EN SALUD MENTAL (CODIGO VERDE)",IF(N262=CURSOS!$D$9,"HUMANIZACION EN EL SERVICIO DE LA SALUD Y BUENAS PRACTICAS EN PACIENTE ",IF(N262=CURSOS!$D$10,"CLINICA DE HERIDAS ",IF(N262=CURSOS!$D$11,"TOMA DE CITOLOGIA CERVICO VAGINAL ",IF(N262=CURSOS!$D$12,"SOPORTE CARDIOVASCULAR AVANZADO (ACLS) ",IF(N262=CURSOS!$D$13,"CAMILLERO ",IF(N262=CURSOS!$D$14,"TOMA DE MUESTRAS Y LABORATORIO ",IF(N262=CURSOS!$D$15,"SOPORTE VITAL BASICO (BLS)",IF(N262=CURSOS!$D$16,"ATENCION A VICTIMAS DE VIOLENCIA SEXUAL ",IF(N262=CURSOS!$D$17,"PROGRAMADO AMPLIADO DE INMUNIZACION (PAI - COVID 19)",IF(N262=CURSOS!$D$18,"ATENCION INTEGRAL EN ENFERMEDADES PREVALENTES EN PRIMERA INFANCIA (AIEPI)",IF(N262=CURSOS!$D$19,"ADMINISTRACION DE MEDICAMENTOS, INYECTOLOGIA  Y CANALIZACION ",IF(N262=CURSOS!$D$20,"OPERADOR DE VEHICULOS DE EMERGENCIA (OVE)",IF(N262=CURSOS!$D$21,"INSTITUCIONES AMIGAS DE LA MUJER Y LA INFANCIA (IAMI)",IF(N262=CURSOS!$D$22,"CUIDADO DEL DONANTE DE ORGANOS",IF(N262=CURSOS!$D$23,"ATENCION A VICTIMAS POR VIOLENCIA DE GENERO",IF(N262=CURSOS!$D$24,"IGUALDAD DE GENERO EN LA SALUD",IF(N262=CURSOS!$D$25,"BRIGADA DE EMERGENCIA",IF(N262=CURSOS!$D$26,"MANEJO DEL DOLOR Y CUIDADOS PALIATIVOS",IF(N262=CURSOS!$D$27,"TOMA DE MUESTRAS Y LABORATORIO POCT",IF(N262=CURSOS!$D$28,"IMPLANTE SUBDERMICO DE DISPOSITIVO INTRAUTERINO",IF(N262=CURSOS!$D$29,"SALUD MENTAL",IF(N262=CURSOS!$D$30,"PRIMEROS AUXILIOS PSICOLOGICOS",IF(N262=CURSOS!$D$31,"ATENCION A VICTIMAS POR CONFLICTO ARMADO",IF(N262=CURSOS!$D$32,"MANIPULACION DE ALIMENTOS Y BPM",IF(N262=CURSOS!$D$33,"ATENCION A PERSONAS CON DISCAPACIDAD",IF(N262=CURSOS!$D$34,"CUIDADO INTEGRAL DEL PACIENTE ADULTO",IF(N262=CURSOS!$D$35,"MANEJO DEFENSIVO",IF(N262=CURSOS!$D$36,"SOPORTE CARDIOVASCULAR AVANZADO NEONATAL",IF(N262=CURSOS!$D$37,"SEGURIDAD DEL PACIENTE")))))))))))))))))))))))))))))))))))</f>
        <v xml:space="preserve">ATENCION A VICTIMAS DE VIOLENCIA SEXUAL </v>
      </c>
      <c r="U262" s="138" t="str">
        <f t="shared" si="18"/>
        <v>Carmela Del pilar Del castillo Goyes</v>
      </c>
      <c r="V262" s="138" t="str">
        <f t="shared" si="19"/>
        <v>Carmela Del Pilar Del Castillo Goyes</v>
      </c>
      <c r="W262" s="138" t="str">
        <f t="shared" si="20"/>
        <v>Carmela Del pilar Del castillo Goyes-59815992-VIOLENCIA SEXUAL</v>
      </c>
    </row>
    <row r="263" spans="1:23" s="187" customFormat="1" x14ac:dyDescent="0.2">
      <c r="A263" s="42">
        <v>262</v>
      </c>
      <c r="B263" s="90">
        <v>59815992</v>
      </c>
      <c r="C263" s="99" t="s">
        <v>827</v>
      </c>
      <c r="D263" s="99" t="s">
        <v>828</v>
      </c>
      <c r="E263" s="99" t="s">
        <v>829</v>
      </c>
      <c r="F263" s="99" t="s">
        <v>441</v>
      </c>
      <c r="G263" s="117">
        <v>29</v>
      </c>
      <c r="H263" s="117" t="s">
        <v>89</v>
      </c>
      <c r="I263" s="117"/>
      <c r="J263" s="19"/>
      <c r="K263" s="117"/>
      <c r="L263" s="117" t="s">
        <v>90</v>
      </c>
      <c r="M263" s="117" t="s">
        <v>830</v>
      </c>
      <c r="N263" s="118" t="s">
        <v>68</v>
      </c>
      <c r="O263" s="18">
        <v>25625</v>
      </c>
      <c r="P263" s="118" t="s">
        <v>101</v>
      </c>
      <c r="Q263" s="99" t="s">
        <v>126</v>
      </c>
      <c r="R263" s="99">
        <v>3206091074</v>
      </c>
      <c r="S263" s="99" t="s">
        <v>831</v>
      </c>
      <c r="T263" s="138" t="str">
        <f>IF(N263=CURSOS!$D$3,"DIPLOMADO EN ATENCION PRE-HOSPITALARIA",IF(N263=CURSOS!$D$4,"ACOMPAÑAMIENTO Y MANEJO DEL DUELO",IF(N263=CURSOS!$D$5,"ATENCION A VICTIMAS DE ATAQUE CON AGENTES QUIMICOS ",IF(N263=CURSOS!$D$6,"PRIMEROS AUXILIOS ",IF(N263=CURSOS!$D$7,"DIPLOMADO DE UNIDAD DE CUIDADOS INTENSIVOS (UCI)",IF(N263=CURSOS!$D$8,"MODELO DE ATENCION PARA EVENTOS EMERGENTES EN SALUD MENTAL (CODIGO VERDE)",IF(N263=CURSOS!$D$9,"HUMANIZACION EN EL SERVICIO DE LA SALUD Y BUENAS PRACTICAS EN PACIENTE ",IF(N263=CURSOS!$D$10,"CLINICA DE HERIDAS ",IF(N263=CURSOS!$D$11,"TOMA DE CITOLOGIA CERVICO VAGINAL ",IF(N263=CURSOS!$D$12,"SOPORTE CARDIOVASCULAR AVANZADO (ACLS) ",IF(N263=CURSOS!$D$13,"CAMILLERO ",IF(N263=CURSOS!$D$14,"TOMA DE MUESTRAS Y LABORATORIO ",IF(N263=CURSOS!$D$15,"SOPORTE VITAL BASICO (BLS)",IF(N263=CURSOS!$D$16,"ATENCION A VICTIMAS DE VIOLENCIA SEXUAL ",IF(N263=CURSOS!$D$17,"PROGRAMADO AMPLIADO DE INMUNIZACION (PAI - COVID 19)",IF(N263=CURSOS!$D$18,"ATENCION INTEGRAL EN ENFERMEDADES PREVALENTES EN PRIMERA INFANCIA (AIEPI)",IF(N263=CURSOS!$D$19,"ADMINISTRACION DE MEDICAMENTOS, INYECTOLOGIA  Y CANALIZACION ",IF(N263=CURSOS!$D$20,"OPERADOR DE VEHICULOS DE EMERGENCIA (OVE)",IF(N263=CURSOS!$D$21,"INSTITUCIONES AMIGAS DE LA MUJER Y LA INFANCIA (IAMI)",IF(N263=CURSOS!$D$22,"CUIDADO DEL DONANTE DE ORGANOS",IF(N263=CURSOS!$D$23,"ATENCION A VICTIMAS POR VIOLENCIA DE GENERO",IF(N263=CURSOS!$D$24,"IGUALDAD DE GENERO EN LA SALUD",IF(N263=CURSOS!$D$25,"BRIGADA DE EMERGENCIA",IF(N263=CURSOS!$D$26,"MANEJO DEL DOLOR Y CUIDADOS PALIATIVOS",IF(N263=CURSOS!$D$27,"TOMA DE MUESTRAS Y LABORATORIO POCT",IF(N263=CURSOS!$D$28,"IMPLANTE SUBDERMICO DE DISPOSITIVO INTRAUTERINO",IF(N263=CURSOS!$D$29,"SALUD MENTAL",IF(N263=CURSOS!$D$30,"PRIMEROS AUXILIOS PSICOLOGICOS",IF(N263=CURSOS!$D$31,"ATENCION A VICTIMAS POR CONFLICTO ARMADO",IF(N263=CURSOS!$D$32,"MANIPULACION DE ALIMENTOS Y BPM",IF(N263=CURSOS!$D$33,"ATENCION A PERSONAS CON DISCAPACIDAD",IF(N263=CURSOS!$D$34,"CUIDADO INTEGRAL DEL PACIENTE ADULTO",IF(N263=CURSOS!$D$35,"MANEJO DEFENSIVO",IF(N263=CURSOS!$D$36,"SOPORTE CARDIOVASCULAR AVANZADO NEONATAL",IF(N263=CURSOS!$D$37,"SEGURIDAD DEL PACIENTE")))))))))))))))))))))))))))))))))))</f>
        <v>ATENCION A VICTIMAS POR CONFLICTO ARMADO</v>
      </c>
      <c r="U263" s="138" t="str">
        <f t="shared" si="18"/>
        <v>Carmela Del pilar Del castillo Goyes</v>
      </c>
      <c r="V263" s="138" t="str">
        <f t="shared" si="19"/>
        <v>Carmela Del Pilar Del Castillo Goyes</v>
      </c>
      <c r="W263" s="138" t="str">
        <f t="shared" si="20"/>
        <v>Carmela Del pilar Del castillo Goyes-59815992-CONFLICTO ARMADO</v>
      </c>
    </row>
    <row r="264" spans="1:23" s="187" customFormat="1" x14ac:dyDescent="0.2">
      <c r="A264" s="42">
        <v>263</v>
      </c>
      <c r="B264" s="90">
        <v>59815992</v>
      </c>
      <c r="C264" s="99" t="s">
        <v>827</v>
      </c>
      <c r="D264" s="99" t="s">
        <v>828</v>
      </c>
      <c r="E264" s="99" t="s">
        <v>829</v>
      </c>
      <c r="F264" s="99" t="s">
        <v>441</v>
      </c>
      <c r="G264" s="117">
        <v>29</v>
      </c>
      <c r="H264" s="117" t="s">
        <v>89</v>
      </c>
      <c r="I264" s="117"/>
      <c r="J264" s="19"/>
      <c r="K264" s="117"/>
      <c r="L264" s="117" t="s">
        <v>90</v>
      </c>
      <c r="M264" s="117" t="s">
        <v>830</v>
      </c>
      <c r="N264" s="118" t="s">
        <v>23</v>
      </c>
      <c r="O264" s="18">
        <v>25625</v>
      </c>
      <c r="P264" s="118" t="s">
        <v>101</v>
      </c>
      <c r="Q264" s="99" t="s">
        <v>126</v>
      </c>
      <c r="R264" s="99">
        <v>3206091074</v>
      </c>
      <c r="S264" s="99" t="s">
        <v>831</v>
      </c>
      <c r="T264" s="138" t="str">
        <f>IF(N264=CURSOS!$D$3,"DIPLOMADO EN ATENCION PRE-HOSPITALARIA",IF(N264=CURSOS!$D$4,"ACOMPAÑAMIENTO Y MANEJO DEL DUELO",IF(N264=CURSOS!$D$5,"ATENCION A VICTIMAS DE ATAQUE CON AGENTES QUIMICOS ",IF(N264=CURSOS!$D$6,"PRIMEROS AUXILIOS ",IF(N264=CURSOS!$D$7,"DIPLOMADO DE UNIDAD DE CUIDADOS INTENSIVOS (UCI)",IF(N264=CURSOS!$D$8,"MODELO DE ATENCION PARA EVENTOS EMERGENTES EN SALUD MENTAL (CODIGO VERDE)",IF(N264=CURSOS!$D$9,"HUMANIZACION EN EL SERVICIO DE LA SALUD Y BUENAS PRACTICAS EN PACIENTE ",IF(N264=CURSOS!$D$10,"CLINICA DE HERIDAS ",IF(N264=CURSOS!$D$11,"TOMA DE CITOLOGIA CERVICO VAGINAL ",IF(N264=CURSOS!$D$12,"SOPORTE CARDIOVASCULAR AVANZADO (ACLS) ",IF(N264=CURSOS!$D$13,"CAMILLERO ",IF(N264=CURSOS!$D$14,"TOMA DE MUESTRAS Y LABORATORIO ",IF(N264=CURSOS!$D$15,"SOPORTE VITAL BASICO (BLS)",IF(N264=CURSOS!$D$16,"ATENCION A VICTIMAS DE VIOLENCIA SEXUAL ",IF(N264=CURSOS!$D$17,"PROGRAMADO AMPLIADO DE INMUNIZACION (PAI - COVID 19)",IF(N264=CURSOS!$D$18,"ATENCION INTEGRAL EN ENFERMEDADES PREVALENTES EN PRIMERA INFANCIA (AIEPI)",IF(N264=CURSOS!$D$19,"ADMINISTRACION DE MEDICAMENTOS, INYECTOLOGIA  Y CANALIZACION ",IF(N264=CURSOS!$D$20,"OPERADOR DE VEHICULOS DE EMERGENCIA (OVE)",IF(N264=CURSOS!$D$21,"INSTITUCIONES AMIGAS DE LA MUJER Y LA INFANCIA (IAMI)",IF(N264=CURSOS!$D$22,"CUIDADO DEL DONANTE DE ORGANOS",IF(N264=CURSOS!$D$23,"ATENCION A VICTIMAS POR VIOLENCIA DE GENERO",IF(N264=CURSOS!$D$24,"IGUALDAD DE GENERO EN LA SALUD",IF(N264=CURSOS!$D$25,"BRIGADA DE EMERGENCIA",IF(N264=CURSOS!$D$26,"MANEJO DEL DOLOR Y CUIDADOS PALIATIVOS",IF(N264=CURSOS!$D$27,"TOMA DE MUESTRAS Y LABORATORIO POCT",IF(N264=CURSOS!$D$28,"IMPLANTE SUBDERMICO DE DISPOSITIVO INTRAUTERINO",IF(N264=CURSOS!$D$29,"SALUD MENTAL",IF(N264=CURSOS!$D$30,"PRIMEROS AUXILIOS PSICOLOGICOS",IF(N264=CURSOS!$D$31,"ATENCION A VICTIMAS POR CONFLICTO ARMADO",IF(N264=CURSOS!$D$32,"MANIPULACION DE ALIMENTOS Y BPM",IF(N264=CURSOS!$D$33,"ATENCION A PERSONAS CON DISCAPACIDAD",IF(N264=CURSOS!$D$34,"CUIDADO INTEGRAL DEL PACIENTE ADULTO",IF(N264=CURSOS!$D$35,"MANEJO DEFENSIVO",IF(N264=CURSOS!$D$36,"SOPORTE CARDIOVASCULAR AVANZADO NEONATAL",IF(N264=CURSOS!$D$37,"SEGURIDAD DEL PACIENTE")))))))))))))))))))))))))))))))))))</f>
        <v>ACOMPAÑAMIENTO Y MANEJO DEL DUELO</v>
      </c>
      <c r="U264" s="138" t="str">
        <f t="shared" ref="U264:U265" si="21">CONCATENATE(E264," ",F264," ",C264," ",D264)</f>
        <v>Carmela Del pilar Del castillo Goyes</v>
      </c>
      <c r="V264" s="138" t="str">
        <f t="shared" ref="V264:V265" si="22">+PROPER(U264)</f>
        <v>Carmela Del Pilar Del Castillo Goyes</v>
      </c>
      <c r="W264" s="138" t="str">
        <f t="shared" ref="W264:W265" si="23">CONCATENATE(U264,"-",B264,"-",N264)</f>
        <v>Carmela Del pilar Del castillo Goyes-59815992-DUELO</v>
      </c>
    </row>
    <row r="265" spans="1:23" s="187" customFormat="1" x14ac:dyDescent="0.2">
      <c r="A265" s="42">
        <v>264</v>
      </c>
      <c r="B265" s="90">
        <v>59815992</v>
      </c>
      <c r="C265" s="99" t="s">
        <v>827</v>
      </c>
      <c r="D265" s="99" t="s">
        <v>828</v>
      </c>
      <c r="E265" s="99" t="s">
        <v>829</v>
      </c>
      <c r="F265" s="99" t="s">
        <v>441</v>
      </c>
      <c r="G265" s="117">
        <v>29</v>
      </c>
      <c r="H265" s="117" t="s">
        <v>89</v>
      </c>
      <c r="I265" s="117"/>
      <c r="J265" s="19"/>
      <c r="K265" s="117"/>
      <c r="L265" s="117" t="s">
        <v>90</v>
      </c>
      <c r="M265" s="117" t="s">
        <v>830</v>
      </c>
      <c r="N265" s="118" t="s">
        <v>25</v>
      </c>
      <c r="O265" s="18">
        <v>25625</v>
      </c>
      <c r="P265" s="118" t="s">
        <v>101</v>
      </c>
      <c r="Q265" s="99" t="s">
        <v>126</v>
      </c>
      <c r="R265" s="99">
        <v>3206091074</v>
      </c>
      <c r="S265" s="99" t="s">
        <v>831</v>
      </c>
      <c r="T265" s="138" t="str">
        <f>IF(N265=CURSOS!$D$3,"DIPLOMADO EN ATENCION PRE-HOSPITALARIA",IF(N265=CURSOS!$D$4,"ACOMPAÑAMIENTO Y MANEJO DEL DUELO",IF(N265=CURSOS!$D$5,"ATENCION A VICTIMAS DE ATAQUE CON AGENTES QUIMICOS ",IF(N265=CURSOS!$D$6,"PRIMEROS AUXILIOS ",IF(N265=CURSOS!$D$7,"DIPLOMADO DE UNIDAD DE CUIDADOS INTENSIVOS (UCI)",IF(N265=CURSOS!$D$8,"MODELO DE ATENCION PARA EVENTOS EMERGENTES EN SALUD MENTAL (CODIGO VERDE)",IF(N265=CURSOS!$D$9,"HUMANIZACION EN EL SERVICIO DE LA SALUD Y BUENAS PRACTICAS EN PACIENTE ",IF(N265=CURSOS!$D$10,"CLINICA DE HERIDAS ",IF(N265=CURSOS!$D$11,"TOMA DE CITOLOGIA CERVICO VAGINAL ",IF(N265=CURSOS!$D$12,"SOPORTE CARDIOVASCULAR AVANZADO (ACLS) ",IF(N265=CURSOS!$D$13,"CAMILLERO ",IF(N265=CURSOS!$D$14,"TOMA DE MUESTRAS Y LABORATORIO ",IF(N265=CURSOS!$D$15,"SOPORTE VITAL BASICO (BLS)",IF(N265=CURSOS!$D$16,"ATENCION A VICTIMAS DE VIOLENCIA SEXUAL ",IF(N265=CURSOS!$D$17,"PROGRAMADO AMPLIADO DE INMUNIZACION (PAI - COVID 19)",IF(N265=CURSOS!$D$18,"ATENCION INTEGRAL EN ENFERMEDADES PREVALENTES EN PRIMERA INFANCIA (AIEPI)",IF(N265=CURSOS!$D$19,"ADMINISTRACION DE MEDICAMENTOS, INYECTOLOGIA  Y CANALIZACION ",IF(N265=CURSOS!$D$20,"OPERADOR DE VEHICULOS DE EMERGENCIA (OVE)",IF(N265=CURSOS!$D$21,"INSTITUCIONES AMIGAS DE LA MUJER Y LA INFANCIA (IAMI)",IF(N265=CURSOS!$D$22,"CUIDADO DEL DONANTE DE ORGANOS",IF(N265=CURSOS!$D$23,"ATENCION A VICTIMAS POR VIOLENCIA DE GENERO",IF(N265=CURSOS!$D$24,"IGUALDAD DE GENERO EN LA SALUD",IF(N265=CURSOS!$D$25,"BRIGADA DE EMERGENCIA",IF(N265=CURSOS!$D$26,"MANEJO DEL DOLOR Y CUIDADOS PALIATIVOS",IF(N265=CURSOS!$D$27,"TOMA DE MUESTRAS Y LABORATORIO POCT",IF(N265=CURSOS!$D$28,"IMPLANTE SUBDERMICO DE DISPOSITIVO INTRAUTERINO",IF(N265=CURSOS!$D$29,"SALUD MENTAL",IF(N265=CURSOS!$D$30,"PRIMEROS AUXILIOS PSICOLOGICOS",IF(N265=CURSOS!$D$31,"ATENCION A VICTIMAS POR CONFLICTO ARMADO",IF(N265=CURSOS!$D$32,"MANIPULACION DE ALIMENTOS Y BPM",IF(N265=CURSOS!$D$33,"ATENCION A PERSONAS CON DISCAPACIDAD",IF(N265=CURSOS!$D$34,"CUIDADO INTEGRAL DEL PACIENTE ADULTO",IF(N265=CURSOS!$D$35,"MANEJO DEFENSIVO",IF(N265=CURSOS!$D$36,"SOPORTE CARDIOVASCULAR AVANZADO NEONATAL",IF(N265=CURSOS!$D$37,"SEGURIDAD DEL PACIENTE")))))))))))))))))))))))))))))))))))</f>
        <v xml:space="preserve">ATENCION A VICTIMAS DE ATAQUE CON AGENTES QUIMICOS </v>
      </c>
      <c r="U265" s="138" t="str">
        <f t="shared" si="21"/>
        <v>Carmela Del pilar Del castillo Goyes</v>
      </c>
      <c r="V265" s="138" t="str">
        <f t="shared" si="22"/>
        <v>Carmela Del Pilar Del Castillo Goyes</v>
      </c>
      <c r="W265" s="138" t="str">
        <f t="shared" si="23"/>
        <v>Carmela Del pilar Del castillo Goyes-59815992-QUIMICOS</v>
      </c>
    </row>
    <row r="266" spans="1:23" s="187" customFormat="1" x14ac:dyDescent="0.2">
      <c r="A266" s="42">
        <v>265</v>
      </c>
      <c r="B266" s="90">
        <v>13040300</v>
      </c>
      <c r="C266" s="99" t="s">
        <v>239</v>
      </c>
      <c r="D266" s="99" t="s">
        <v>155</v>
      </c>
      <c r="E266" s="99" t="s">
        <v>299</v>
      </c>
      <c r="F266" s="99" t="s">
        <v>832</v>
      </c>
      <c r="G266" s="117">
        <v>29</v>
      </c>
      <c r="H266" s="117" t="s">
        <v>89</v>
      </c>
      <c r="I266" s="16">
        <v>45503</v>
      </c>
      <c r="J266" s="19">
        <v>30000</v>
      </c>
      <c r="K266" s="117" t="s">
        <v>214</v>
      </c>
      <c r="L266" s="117" t="s">
        <v>90</v>
      </c>
      <c r="M266" s="117" t="s">
        <v>118</v>
      </c>
      <c r="N266" s="118" t="s">
        <v>19</v>
      </c>
      <c r="O266" s="18">
        <v>28419</v>
      </c>
      <c r="P266" s="118" t="s">
        <v>101</v>
      </c>
      <c r="Q266" s="99" t="s">
        <v>126</v>
      </c>
      <c r="R266" s="99">
        <v>3147917098</v>
      </c>
      <c r="S266" s="99" t="s">
        <v>833</v>
      </c>
      <c r="T266" s="138" t="str">
        <f>IF(N266=CURSOS!$D$3,"DIPLOMADO EN ATENCION PRE-HOSPITALARIA",IF(N266=CURSOS!$D$4,"ACOMPAÑAMIENTO Y MANEJO DEL DUELO",IF(N266=CURSOS!$D$5,"ATENCION A VICTIMAS DE ATAQUE CON AGENTES QUIMICOS ",IF(N266=CURSOS!$D$6,"PRIMEROS AUXILIOS ",IF(N266=CURSOS!$D$7,"DIPLOMADO DE UNIDAD DE CUIDADOS INTENSIVOS (UCI)",IF(N266=CURSOS!$D$8,"MODELO DE ATENCION PARA EVENTOS EMERGENTES EN SALUD MENTAL (CODIGO VERDE)",IF(N266=CURSOS!$D$9,"HUMANIZACION EN EL SERVICIO DE LA SALUD Y BUENAS PRACTICAS EN PACIENTE ",IF(N266=CURSOS!$D$10,"CLINICA DE HERIDAS ",IF(N266=CURSOS!$D$11,"TOMA DE CITOLOGIA CERVICO VAGINAL ",IF(N266=CURSOS!$D$12,"SOPORTE CARDIOVASCULAR AVANZADO (ACLS) ",IF(N266=CURSOS!$D$13,"CAMILLERO ",IF(N266=CURSOS!$D$14,"TOMA DE MUESTRAS Y LABORATORIO ",IF(N266=CURSOS!$D$15,"SOPORTE VITAL BASICO (BLS)",IF(N266=CURSOS!$D$16,"ATENCION A VICTIMAS DE VIOLENCIA SEXUAL ",IF(N266=CURSOS!$D$17,"PROGRAMADO AMPLIADO DE INMUNIZACION (PAI - COVID 19)",IF(N266=CURSOS!$D$18,"ATENCION INTEGRAL EN ENFERMEDADES PREVALENTES EN PRIMERA INFANCIA (AIEPI)",IF(N266=CURSOS!$D$19,"ADMINISTRACION DE MEDICAMENTOS, INYECTOLOGIA  Y CANALIZACION ",IF(N266=CURSOS!$D$20,"OPERADOR DE VEHICULOS DE EMERGENCIA (OVE)",IF(N266=CURSOS!$D$21,"INSTITUCIONES AMIGAS DE LA MUJER Y LA INFANCIA (IAMI)",IF(N266=CURSOS!$D$22,"CUIDADO DEL DONANTE DE ORGANOS",IF(N266=CURSOS!$D$23,"ATENCION A VICTIMAS POR VIOLENCIA DE GENERO",IF(N266=CURSOS!$D$24,"IGUALDAD DE GENERO EN LA SALUD",IF(N266=CURSOS!$D$25,"BRIGADA DE EMERGENCIA",IF(N266=CURSOS!$D$26,"MANEJO DEL DOLOR Y CUIDADOS PALIATIVOS",IF(N266=CURSOS!$D$27,"TOMA DE MUESTRAS Y LABORATORIO POCT",IF(N266=CURSOS!$D$28,"IMPLANTE SUBDERMICO DE DISPOSITIVO INTRAUTERINO",IF(N266=CURSOS!$D$29,"SALUD MENTAL",IF(N266=CURSOS!$D$30,"PRIMEROS AUXILIOS PSICOLOGICOS",IF(N266=CURSOS!$D$31,"ATENCION A VICTIMAS POR CONFLICTO ARMADO",IF(N266=CURSOS!$D$32,"MANIPULACION DE ALIMENTOS Y BPM",IF(N266=CURSOS!$D$33,"ATENCION A PERSONAS CON DISCAPACIDAD",IF(N266=CURSOS!$D$34,"CUIDADO INTEGRAL DEL PACIENTE ADULTO",IF(N266=CURSOS!$D$35,"MANEJO DEFENSIVO",IF(N266=CURSOS!$D$36,"SOPORTE CARDIOVASCULAR AVANZADO NEONATAL",IF(N266=CURSOS!$D$37,"SEGURIDAD DEL PACIENTE")))))))))))))))))))))))))))))))))))</f>
        <v>SOPORTE VITAL BASICO (BLS)</v>
      </c>
      <c r="U266" s="138" t="str">
        <f t="shared" ref="U266:U282" si="24">CONCATENATE(E266," ",F266," ",C266," ",D266)</f>
        <v>Henry Manuel Palacios Guerrero</v>
      </c>
      <c r="V266" s="138" t="str">
        <f t="shared" ref="V266:V282" si="25">+PROPER(U266)</f>
        <v>Henry Manuel Palacios Guerrero</v>
      </c>
      <c r="W266" s="138" t="str">
        <f t="shared" ref="W266:W282" si="26">CONCATENATE(U266,"-",B266,"-",N266)</f>
        <v>Henry Manuel Palacios Guerrero-13040300-BLS</v>
      </c>
    </row>
    <row r="267" spans="1:23" s="187" customFormat="1" x14ac:dyDescent="0.2">
      <c r="A267" s="42">
        <v>266</v>
      </c>
      <c r="B267" s="90">
        <v>1085254745</v>
      </c>
      <c r="C267" s="99" t="s">
        <v>834</v>
      </c>
      <c r="D267" s="99" t="s">
        <v>835</v>
      </c>
      <c r="E267" s="99" t="s">
        <v>836</v>
      </c>
      <c r="F267" s="99" t="s">
        <v>280</v>
      </c>
      <c r="G267" s="117">
        <v>29</v>
      </c>
      <c r="H267" s="117" t="s">
        <v>89</v>
      </c>
      <c r="I267" s="16">
        <v>45503</v>
      </c>
      <c r="J267" s="19">
        <v>30000</v>
      </c>
      <c r="K267" s="117" t="s">
        <v>210</v>
      </c>
      <c r="L267" s="117" t="s">
        <v>90</v>
      </c>
      <c r="M267" s="117" t="s">
        <v>118</v>
      </c>
      <c r="N267" s="118" t="s">
        <v>43</v>
      </c>
      <c r="O267" s="99"/>
      <c r="P267" s="118" t="s">
        <v>101</v>
      </c>
      <c r="Q267" s="99" t="s">
        <v>126</v>
      </c>
      <c r="R267" s="99">
        <v>3104306631</v>
      </c>
      <c r="S267" s="99" t="s">
        <v>837</v>
      </c>
      <c r="T267" s="138" t="str">
        <f>IF(N267=CURSOS!$D$3,"DIPLOMADO EN ATENCION PRE-HOSPITALARIA",IF(N267=CURSOS!$D$4,"ACOMPAÑAMIENTO Y MANEJO DEL DUELO",IF(N267=CURSOS!$D$5,"ATENCION A VICTIMAS DE ATAQUE CON AGENTES QUIMICOS ",IF(N267=CURSOS!$D$6,"PRIMEROS AUXILIOS ",IF(N267=CURSOS!$D$7,"DIPLOMADO DE UNIDAD DE CUIDADOS INTENSIVOS (UCI)",IF(N267=CURSOS!$D$8,"MODELO DE ATENCION PARA EVENTOS EMERGENTES EN SALUD MENTAL (CODIGO VERDE)",IF(N267=CURSOS!$D$9,"HUMANIZACION EN EL SERVICIO DE LA SALUD Y BUENAS PRACTICAS EN PACIENTE ",IF(N267=CURSOS!$D$10,"CLINICA DE HERIDAS ",IF(N267=CURSOS!$D$11,"TOMA DE CITOLOGIA CERVICO VAGINAL ",IF(N267=CURSOS!$D$12,"SOPORTE CARDIOVASCULAR AVANZADO (ACLS) ",IF(N267=CURSOS!$D$13,"CAMILLERO ",IF(N267=CURSOS!$D$14,"TOMA DE MUESTRAS Y LABORATORIO ",IF(N267=CURSOS!$D$15,"SOPORTE VITAL BASICO (BLS)",IF(N267=CURSOS!$D$16,"ATENCION A VICTIMAS DE VIOLENCIA SEXUAL ",IF(N267=CURSOS!$D$17,"PROGRAMADO AMPLIADO DE INMUNIZACION (PAI - COVID 19)",IF(N267=CURSOS!$D$18,"ATENCION INTEGRAL EN ENFERMEDADES PREVALENTES EN PRIMERA INFANCIA (AIEPI)",IF(N267=CURSOS!$D$19,"ADMINISTRACION DE MEDICAMENTOS, INYECTOLOGIA  Y CANALIZACION ",IF(N267=CURSOS!$D$20,"OPERADOR DE VEHICULOS DE EMERGENCIA (OVE)",IF(N267=CURSOS!$D$21,"INSTITUCIONES AMIGAS DE LA MUJER Y LA INFANCIA (IAMI)",IF(N267=CURSOS!$D$22,"CUIDADO DEL DONANTE DE ORGANOS",IF(N267=CURSOS!$D$23,"ATENCION A VICTIMAS POR VIOLENCIA DE GENERO",IF(N267=CURSOS!$D$24,"IGUALDAD DE GENERO EN LA SALUD",IF(N267=CURSOS!$D$25,"BRIGADA DE EMERGENCIA",IF(N267=CURSOS!$D$26,"MANEJO DEL DOLOR Y CUIDADOS PALIATIVOS",IF(N267=CURSOS!$D$27,"TOMA DE MUESTRAS Y LABORATORIO POCT",IF(N267=CURSOS!$D$28,"IMPLANTE SUBDERMICO DE DISPOSITIVO INTRAUTERINO",IF(N267=CURSOS!$D$29,"SALUD MENTAL",IF(N267=CURSOS!$D$30,"PRIMEROS AUXILIOS PSICOLOGICOS",IF(N267=CURSOS!$D$31,"ATENCION A VICTIMAS POR CONFLICTO ARMADO",IF(N267=CURSOS!$D$32,"MANIPULACION DE ALIMENTOS Y BPM",IF(N267=CURSOS!$D$33,"ATENCION A PERSONAS CON DISCAPACIDAD",IF(N267=CURSOS!$D$34,"CUIDADO INTEGRAL DEL PACIENTE ADULTO",IF(N267=CURSOS!$D$35,"MANEJO DEFENSIVO",IF(N267=CURSOS!$D$36,"SOPORTE CARDIOVASCULAR AVANZADO NEONATAL",IF(N267=CURSOS!$D$37,"SEGURIDAD DEL PACIENTE")))))))))))))))))))))))))))))))))))</f>
        <v xml:space="preserve">ATENCION A VICTIMAS DE VIOLENCIA SEXUAL </v>
      </c>
      <c r="U267" s="138" t="str">
        <f t="shared" si="24"/>
        <v>Yina Andrea Ordóñez Klinger</v>
      </c>
      <c r="V267" s="138" t="str">
        <f t="shared" si="25"/>
        <v>Yina Andrea Ordóñez Klinger</v>
      </c>
      <c r="W267" s="138" t="str">
        <f t="shared" si="26"/>
        <v>Yina Andrea Ordóñez Klinger-1085254745-VIOLENCIA SEXUAL</v>
      </c>
    </row>
    <row r="268" spans="1:23" s="187" customFormat="1" x14ac:dyDescent="0.2">
      <c r="A268" s="42">
        <v>267</v>
      </c>
      <c r="B268" s="90">
        <v>1004578255</v>
      </c>
      <c r="C268" s="99" t="s">
        <v>838</v>
      </c>
      <c r="D268" s="99" t="s">
        <v>513</v>
      </c>
      <c r="E268" s="99" t="s">
        <v>306</v>
      </c>
      <c r="F268" s="99" t="s">
        <v>664</v>
      </c>
      <c r="G268" s="117">
        <v>27</v>
      </c>
      <c r="H268" s="117" t="s">
        <v>89</v>
      </c>
      <c r="I268" s="16">
        <v>45503</v>
      </c>
      <c r="J268" s="19">
        <v>30000</v>
      </c>
      <c r="K268" s="117" t="s">
        <v>210</v>
      </c>
      <c r="L268" s="117" t="s">
        <v>90</v>
      </c>
      <c r="M268" s="117" t="s">
        <v>752</v>
      </c>
      <c r="N268" s="118" t="s">
        <v>41</v>
      </c>
      <c r="O268" s="18">
        <v>36652</v>
      </c>
      <c r="P268" s="118" t="s">
        <v>101</v>
      </c>
      <c r="Q268" s="99" t="s">
        <v>126</v>
      </c>
      <c r="R268" s="99">
        <v>3163622585</v>
      </c>
      <c r="S268" s="99" t="s">
        <v>839</v>
      </c>
      <c r="T268" s="138" t="str">
        <f>IF(N268=CURSOS!$D$3,"DIPLOMADO EN ATENCION PRE-HOSPITALARIA",IF(N268=CURSOS!$D$4,"ACOMPAÑAMIENTO Y MANEJO DEL DUELO",IF(N268=CURSOS!$D$5,"ATENCION A VICTIMAS DE ATAQUE CON AGENTES QUIMICOS ",IF(N268=CURSOS!$D$6,"PRIMEROS AUXILIOS ",IF(N268=CURSOS!$D$7,"DIPLOMADO DE UNIDAD DE CUIDADOS INTENSIVOS (UCI)",IF(N268=CURSOS!$D$8,"MODELO DE ATENCION PARA EVENTOS EMERGENTES EN SALUD MENTAL (CODIGO VERDE)",IF(N268=CURSOS!$D$9,"HUMANIZACION EN EL SERVICIO DE LA SALUD Y BUENAS PRACTICAS EN PACIENTE ",IF(N268=CURSOS!$D$10,"CLINICA DE HERIDAS ",IF(N268=CURSOS!$D$11,"TOMA DE CITOLOGIA CERVICO VAGINAL ",IF(N268=CURSOS!$D$12,"SOPORTE CARDIOVASCULAR AVANZADO (ACLS) ",IF(N268=CURSOS!$D$13,"CAMILLERO ",IF(N268=CURSOS!$D$14,"TOMA DE MUESTRAS Y LABORATORIO ",IF(N268=CURSOS!$D$15,"SOPORTE VITAL BASICO (BLS)",IF(N268=CURSOS!$D$16,"ATENCION A VICTIMAS DE VIOLENCIA SEXUAL ",IF(N268=CURSOS!$D$17,"PROGRAMADO AMPLIADO DE INMUNIZACION (PAI - COVID 19)",IF(N268=CURSOS!$D$18,"ATENCION INTEGRAL EN ENFERMEDADES PREVALENTES EN PRIMERA INFANCIA (AIEPI)",IF(N268=CURSOS!$D$19,"ADMINISTRACION DE MEDICAMENTOS, INYECTOLOGIA  Y CANALIZACION ",IF(N268=CURSOS!$D$20,"OPERADOR DE VEHICULOS DE EMERGENCIA (OVE)",IF(N268=CURSOS!$D$21,"INSTITUCIONES AMIGAS DE LA MUJER Y LA INFANCIA (IAMI)",IF(N268=CURSOS!$D$22,"CUIDADO DEL DONANTE DE ORGANOS",IF(N268=CURSOS!$D$23,"ATENCION A VICTIMAS POR VIOLENCIA DE GENERO",IF(N268=CURSOS!$D$24,"IGUALDAD DE GENERO EN LA SALUD",IF(N268=CURSOS!$D$25,"BRIGADA DE EMERGENCIA",IF(N268=CURSOS!$D$26,"MANEJO DEL DOLOR Y CUIDADOS PALIATIVOS",IF(N268=CURSOS!$D$27,"TOMA DE MUESTRAS Y LABORATORIO POCT",IF(N268=CURSOS!$D$28,"IMPLANTE SUBDERMICO DE DISPOSITIVO INTRAUTERINO",IF(N268=CURSOS!$D$29,"SALUD MENTAL",IF(N268=CURSOS!$D$30,"PRIMEROS AUXILIOS PSICOLOGICOS",IF(N268=CURSOS!$D$31,"ATENCION A VICTIMAS POR CONFLICTO ARMADO",IF(N268=CURSOS!$D$32,"MANIPULACION DE ALIMENTOS Y BPM",IF(N268=CURSOS!$D$33,"ATENCION A PERSONAS CON DISCAPACIDAD",IF(N268=CURSOS!$D$34,"CUIDADO INTEGRAL DEL PACIENTE ADULTO",IF(N268=CURSOS!$D$35,"MANEJO DEFENSIVO",IF(N268=CURSOS!$D$36,"SOPORTE CARDIOVASCULAR AVANZADO NEONATAL",IF(N268=CURSOS!$D$37,"SEGURIDAD DEL PACIENTE")))))))))))))))))))))))))))))))))))</f>
        <v xml:space="preserve">TOMA DE MUESTRAS Y LABORATORIO </v>
      </c>
      <c r="U268" s="138" t="str">
        <f t="shared" si="24"/>
        <v>Rosa Mery Pastás Escobar</v>
      </c>
      <c r="V268" s="138" t="str">
        <f t="shared" si="25"/>
        <v>Rosa Mery Pastás Escobar</v>
      </c>
      <c r="W268" s="138" t="str">
        <f t="shared" si="26"/>
        <v>Rosa Mery Pastás Escobar-1004578255-TOMA DE MUESTRAS</v>
      </c>
    </row>
    <row r="269" spans="1:23" s="187" customFormat="1" x14ac:dyDescent="0.2">
      <c r="A269" s="42">
        <v>268</v>
      </c>
      <c r="B269" s="90">
        <v>1004578255</v>
      </c>
      <c r="C269" s="99" t="s">
        <v>838</v>
      </c>
      <c r="D269" s="99" t="s">
        <v>513</v>
      </c>
      <c r="E269" s="99" t="s">
        <v>306</v>
      </c>
      <c r="F269" s="99" t="s">
        <v>664</v>
      </c>
      <c r="G269" s="117">
        <v>27</v>
      </c>
      <c r="H269" s="117" t="s">
        <v>89</v>
      </c>
      <c r="I269" s="16">
        <v>45503</v>
      </c>
      <c r="J269" s="19">
        <v>30000</v>
      </c>
      <c r="K269" s="117" t="s">
        <v>210</v>
      </c>
      <c r="L269" s="117" t="s">
        <v>90</v>
      </c>
      <c r="M269" s="117" t="s">
        <v>752</v>
      </c>
      <c r="N269" s="118" t="s">
        <v>23</v>
      </c>
      <c r="O269" s="18">
        <v>36652</v>
      </c>
      <c r="P269" s="118" t="s">
        <v>101</v>
      </c>
      <c r="Q269" s="99" t="s">
        <v>126</v>
      </c>
      <c r="R269" s="99">
        <v>3163622585</v>
      </c>
      <c r="S269" s="99" t="s">
        <v>839</v>
      </c>
      <c r="T269" s="138" t="str">
        <f>IF(N269=CURSOS!$D$3,"DIPLOMADO EN ATENCION PRE-HOSPITALARIA",IF(N269=CURSOS!$D$4,"ACOMPAÑAMIENTO Y MANEJO DEL DUELO",IF(N269=CURSOS!$D$5,"ATENCION A VICTIMAS DE ATAQUE CON AGENTES QUIMICOS ",IF(N269=CURSOS!$D$6,"PRIMEROS AUXILIOS ",IF(N269=CURSOS!$D$7,"DIPLOMADO DE UNIDAD DE CUIDADOS INTENSIVOS (UCI)",IF(N269=CURSOS!$D$8,"MODELO DE ATENCION PARA EVENTOS EMERGENTES EN SALUD MENTAL (CODIGO VERDE)",IF(N269=CURSOS!$D$9,"HUMANIZACION EN EL SERVICIO DE LA SALUD Y BUENAS PRACTICAS EN PACIENTE ",IF(N269=CURSOS!$D$10,"CLINICA DE HERIDAS ",IF(N269=CURSOS!$D$11,"TOMA DE CITOLOGIA CERVICO VAGINAL ",IF(N269=CURSOS!$D$12,"SOPORTE CARDIOVASCULAR AVANZADO (ACLS) ",IF(N269=CURSOS!$D$13,"CAMILLERO ",IF(N269=CURSOS!$D$14,"TOMA DE MUESTRAS Y LABORATORIO ",IF(N269=CURSOS!$D$15,"SOPORTE VITAL BASICO (BLS)",IF(N269=CURSOS!$D$16,"ATENCION A VICTIMAS DE VIOLENCIA SEXUAL ",IF(N269=CURSOS!$D$17,"PROGRAMADO AMPLIADO DE INMUNIZACION (PAI - COVID 19)",IF(N269=CURSOS!$D$18,"ATENCION INTEGRAL EN ENFERMEDADES PREVALENTES EN PRIMERA INFANCIA (AIEPI)",IF(N269=CURSOS!$D$19,"ADMINISTRACION DE MEDICAMENTOS, INYECTOLOGIA  Y CANALIZACION ",IF(N269=CURSOS!$D$20,"OPERADOR DE VEHICULOS DE EMERGENCIA (OVE)",IF(N269=CURSOS!$D$21,"INSTITUCIONES AMIGAS DE LA MUJER Y LA INFANCIA (IAMI)",IF(N269=CURSOS!$D$22,"CUIDADO DEL DONANTE DE ORGANOS",IF(N269=CURSOS!$D$23,"ATENCION A VICTIMAS POR VIOLENCIA DE GENERO",IF(N269=CURSOS!$D$24,"IGUALDAD DE GENERO EN LA SALUD",IF(N269=CURSOS!$D$25,"BRIGADA DE EMERGENCIA",IF(N269=CURSOS!$D$26,"MANEJO DEL DOLOR Y CUIDADOS PALIATIVOS",IF(N269=CURSOS!$D$27,"TOMA DE MUESTRAS Y LABORATORIO POCT",IF(N269=CURSOS!$D$28,"IMPLANTE SUBDERMICO DE DISPOSITIVO INTRAUTERINO",IF(N269=CURSOS!$D$29,"SALUD MENTAL",IF(N269=CURSOS!$D$30,"PRIMEROS AUXILIOS PSICOLOGICOS",IF(N269=CURSOS!$D$31,"ATENCION A VICTIMAS POR CONFLICTO ARMADO",IF(N269=CURSOS!$D$32,"MANIPULACION DE ALIMENTOS Y BPM",IF(N269=CURSOS!$D$33,"ATENCION A PERSONAS CON DISCAPACIDAD",IF(N269=CURSOS!$D$34,"CUIDADO INTEGRAL DEL PACIENTE ADULTO",IF(N269=CURSOS!$D$35,"MANEJO DEFENSIVO",IF(N269=CURSOS!$D$36,"SOPORTE CARDIOVASCULAR AVANZADO NEONATAL",IF(N269=CURSOS!$D$37,"SEGURIDAD DEL PACIENTE")))))))))))))))))))))))))))))))))))</f>
        <v>ACOMPAÑAMIENTO Y MANEJO DEL DUELO</v>
      </c>
      <c r="U269" s="138" t="str">
        <f t="shared" si="24"/>
        <v>Rosa Mery Pastás Escobar</v>
      </c>
      <c r="V269" s="138" t="str">
        <f t="shared" si="25"/>
        <v>Rosa Mery Pastás Escobar</v>
      </c>
      <c r="W269" s="138" t="str">
        <f t="shared" si="26"/>
        <v>Rosa Mery Pastás Escobar-1004578255-DUELO</v>
      </c>
    </row>
    <row r="270" spans="1:23" s="187" customFormat="1" x14ac:dyDescent="0.2">
      <c r="A270" s="42">
        <v>269</v>
      </c>
      <c r="B270" s="90">
        <v>1004578255</v>
      </c>
      <c r="C270" s="99" t="s">
        <v>838</v>
      </c>
      <c r="D270" s="99" t="s">
        <v>513</v>
      </c>
      <c r="E270" s="99" t="s">
        <v>306</v>
      </c>
      <c r="F270" s="99" t="s">
        <v>664</v>
      </c>
      <c r="G270" s="117">
        <v>27</v>
      </c>
      <c r="H270" s="117" t="s">
        <v>89</v>
      </c>
      <c r="I270" s="16">
        <v>45503</v>
      </c>
      <c r="J270" s="19">
        <v>30000</v>
      </c>
      <c r="K270" s="117" t="s">
        <v>210</v>
      </c>
      <c r="L270" s="117" t="s">
        <v>90</v>
      </c>
      <c r="M270" s="117" t="s">
        <v>752</v>
      </c>
      <c r="N270" s="118" t="s">
        <v>43</v>
      </c>
      <c r="O270" s="18">
        <v>36652</v>
      </c>
      <c r="P270" s="118" t="s">
        <v>101</v>
      </c>
      <c r="Q270" s="99" t="s">
        <v>126</v>
      </c>
      <c r="R270" s="99">
        <v>3163622585</v>
      </c>
      <c r="S270" s="99" t="s">
        <v>839</v>
      </c>
      <c r="T270" s="138" t="str">
        <f>IF(N270=CURSOS!$D$3,"DIPLOMADO EN ATENCION PRE-HOSPITALARIA",IF(N270=CURSOS!$D$4,"ACOMPAÑAMIENTO Y MANEJO DEL DUELO",IF(N270=CURSOS!$D$5,"ATENCION A VICTIMAS DE ATAQUE CON AGENTES QUIMICOS ",IF(N270=CURSOS!$D$6,"PRIMEROS AUXILIOS ",IF(N270=CURSOS!$D$7,"DIPLOMADO DE UNIDAD DE CUIDADOS INTENSIVOS (UCI)",IF(N270=CURSOS!$D$8,"MODELO DE ATENCION PARA EVENTOS EMERGENTES EN SALUD MENTAL (CODIGO VERDE)",IF(N270=CURSOS!$D$9,"HUMANIZACION EN EL SERVICIO DE LA SALUD Y BUENAS PRACTICAS EN PACIENTE ",IF(N270=CURSOS!$D$10,"CLINICA DE HERIDAS ",IF(N270=CURSOS!$D$11,"TOMA DE CITOLOGIA CERVICO VAGINAL ",IF(N270=CURSOS!$D$12,"SOPORTE CARDIOVASCULAR AVANZADO (ACLS) ",IF(N270=CURSOS!$D$13,"CAMILLERO ",IF(N270=CURSOS!$D$14,"TOMA DE MUESTRAS Y LABORATORIO ",IF(N270=CURSOS!$D$15,"SOPORTE VITAL BASICO (BLS)",IF(N270=CURSOS!$D$16,"ATENCION A VICTIMAS DE VIOLENCIA SEXUAL ",IF(N270=CURSOS!$D$17,"PROGRAMADO AMPLIADO DE INMUNIZACION (PAI - COVID 19)",IF(N270=CURSOS!$D$18,"ATENCION INTEGRAL EN ENFERMEDADES PREVALENTES EN PRIMERA INFANCIA (AIEPI)",IF(N270=CURSOS!$D$19,"ADMINISTRACION DE MEDICAMENTOS, INYECTOLOGIA  Y CANALIZACION ",IF(N270=CURSOS!$D$20,"OPERADOR DE VEHICULOS DE EMERGENCIA (OVE)",IF(N270=CURSOS!$D$21,"INSTITUCIONES AMIGAS DE LA MUJER Y LA INFANCIA (IAMI)",IF(N270=CURSOS!$D$22,"CUIDADO DEL DONANTE DE ORGANOS",IF(N270=CURSOS!$D$23,"ATENCION A VICTIMAS POR VIOLENCIA DE GENERO",IF(N270=CURSOS!$D$24,"IGUALDAD DE GENERO EN LA SALUD",IF(N270=CURSOS!$D$25,"BRIGADA DE EMERGENCIA",IF(N270=CURSOS!$D$26,"MANEJO DEL DOLOR Y CUIDADOS PALIATIVOS",IF(N270=CURSOS!$D$27,"TOMA DE MUESTRAS Y LABORATORIO POCT",IF(N270=CURSOS!$D$28,"IMPLANTE SUBDERMICO DE DISPOSITIVO INTRAUTERINO",IF(N270=CURSOS!$D$29,"SALUD MENTAL",IF(N270=CURSOS!$D$30,"PRIMEROS AUXILIOS PSICOLOGICOS",IF(N270=CURSOS!$D$31,"ATENCION A VICTIMAS POR CONFLICTO ARMADO",IF(N270=CURSOS!$D$32,"MANIPULACION DE ALIMENTOS Y BPM",IF(N270=CURSOS!$D$33,"ATENCION A PERSONAS CON DISCAPACIDAD",IF(N270=CURSOS!$D$34,"CUIDADO INTEGRAL DEL PACIENTE ADULTO",IF(N270=CURSOS!$D$35,"MANEJO DEFENSIVO",IF(N270=CURSOS!$D$36,"SOPORTE CARDIOVASCULAR AVANZADO NEONATAL",IF(N270=CURSOS!$D$37,"SEGURIDAD DEL PACIENTE")))))))))))))))))))))))))))))))))))</f>
        <v xml:space="preserve">ATENCION A VICTIMAS DE VIOLENCIA SEXUAL </v>
      </c>
      <c r="U270" s="138" t="str">
        <f t="shared" si="24"/>
        <v>Rosa Mery Pastás Escobar</v>
      </c>
      <c r="V270" s="138" t="str">
        <f t="shared" si="25"/>
        <v>Rosa Mery Pastás Escobar</v>
      </c>
      <c r="W270" s="138" t="str">
        <f t="shared" si="26"/>
        <v>Rosa Mery Pastás Escobar-1004578255-VIOLENCIA SEXUAL</v>
      </c>
    </row>
    <row r="271" spans="1:23" s="187" customFormat="1" x14ac:dyDescent="0.2">
      <c r="A271" s="42">
        <v>270</v>
      </c>
      <c r="B271" s="90">
        <v>1004578255</v>
      </c>
      <c r="C271" s="99" t="s">
        <v>838</v>
      </c>
      <c r="D271" s="99" t="s">
        <v>513</v>
      </c>
      <c r="E271" s="99" t="s">
        <v>306</v>
      </c>
      <c r="F271" s="99" t="s">
        <v>664</v>
      </c>
      <c r="G271" s="117">
        <v>27</v>
      </c>
      <c r="H271" s="117" t="s">
        <v>89</v>
      </c>
      <c r="I271" s="16">
        <v>45503</v>
      </c>
      <c r="J271" s="19">
        <v>30000</v>
      </c>
      <c r="K271" s="117" t="s">
        <v>210</v>
      </c>
      <c r="L271" s="117" t="s">
        <v>90</v>
      </c>
      <c r="M271" s="117" t="s">
        <v>752</v>
      </c>
      <c r="N271" s="118" t="s">
        <v>25</v>
      </c>
      <c r="O271" s="18">
        <v>36652</v>
      </c>
      <c r="P271" s="118" t="s">
        <v>101</v>
      </c>
      <c r="Q271" s="99" t="s">
        <v>126</v>
      </c>
      <c r="R271" s="99">
        <v>3163622585</v>
      </c>
      <c r="S271" s="99" t="s">
        <v>839</v>
      </c>
      <c r="T271" s="138" t="str">
        <f>IF(N271=CURSOS!$D$3,"DIPLOMADO EN ATENCION PRE-HOSPITALARIA",IF(N271=CURSOS!$D$4,"ACOMPAÑAMIENTO Y MANEJO DEL DUELO",IF(N271=CURSOS!$D$5,"ATENCION A VICTIMAS DE ATAQUE CON AGENTES QUIMICOS ",IF(N271=CURSOS!$D$6,"PRIMEROS AUXILIOS ",IF(N271=CURSOS!$D$7,"DIPLOMADO DE UNIDAD DE CUIDADOS INTENSIVOS (UCI)",IF(N271=CURSOS!$D$8,"MODELO DE ATENCION PARA EVENTOS EMERGENTES EN SALUD MENTAL (CODIGO VERDE)",IF(N271=CURSOS!$D$9,"HUMANIZACION EN EL SERVICIO DE LA SALUD Y BUENAS PRACTICAS EN PACIENTE ",IF(N271=CURSOS!$D$10,"CLINICA DE HERIDAS ",IF(N271=CURSOS!$D$11,"TOMA DE CITOLOGIA CERVICO VAGINAL ",IF(N271=CURSOS!$D$12,"SOPORTE CARDIOVASCULAR AVANZADO (ACLS) ",IF(N271=CURSOS!$D$13,"CAMILLERO ",IF(N271=CURSOS!$D$14,"TOMA DE MUESTRAS Y LABORATORIO ",IF(N271=CURSOS!$D$15,"SOPORTE VITAL BASICO (BLS)",IF(N271=CURSOS!$D$16,"ATENCION A VICTIMAS DE VIOLENCIA SEXUAL ",IF(N271=CURSOS!$D$17,"PROGRAMADO AMPLIADO DE INMUNIZACION (PAI - COVID 19)",IF(N271=CURSOS!$D$18,"ATENCION INTEGRAL EN ENFERMEDADES PREVALENTES EN PRIMERA INFANCIA (AIEPI)",IF(N271=CURSOS!$D$19,"ADMINISTRACION DE MEDICAMENTOS, INYECTOLOGIA  Y CANALIZACION ",IF(N271=CURSOS!$D$20,"OPERADOR DE VEHICULOS DE EMERGENCIA (OVE)",IF(N271=CURSOS!$D$21,"INSTITUCIONES AMIGAS DE LA MUJER Y LA INFANCIA (IAMI)",IF(N271=CURSOS!$D$22,"CUIDADO DEL DONANTE DE ORGANOS",IF(N271=CURSOS!$D$23,"ATENCION A VICTIMAS POR VIOLENCIA DE GENERO",IF(N271=CURSOS!$D$24,"IGUALDAD DE GENERO EN LA SALUD",IF(N271=CURSOS!$D$25,"BRIGADA DE EMERGENCIA",IF(N271=CURSOS!$D$26,"MANEJO DEL DOLOR Y CUIDADOS PALIATIVOS",IF(N271=CURSOS!$D$27,"TOMA DE MUESTRAS Y LABORATORIO POCT",IF(N271=CURSOS!$D$28,"IMPLANTE SUBDERMICO DE DISPOSITIVO INTRAUTERINO",IF(N271=CURSOS!$D$29,"SALUD MENTAL",IF(N271=CURSOS!$D$30,"PRIMEROS AUXILIOS PSICOLOGICOS",IF(N271=CURSOS!$D$31,"ATENCION A VICTIMAS POR CONFLICTO ARMADO",IF(N271=CURSOS!$D$32,"MANIPULACION DE ALIMENTOS Y BPM",IF(N271=CURSOS!$D$33,"ATENCION A PERSONAS CON DISCAPACIDAD",IF(N271=CURSOS!$D$34,"CUIDADO INTEGRAL DEL PACIENTE ADULTO",IF(N271=CURSOS!$D$35,"MANEJO DEFENSIVO",IF(N271=CURSOS!$D$36,"SOPORTE CARDIOVASCULAR AVANZADO NEONATAL",IF(N271=CURSOS!$D$37,"SEGURIDAD DEL PACIENTE")))))))))))))))))))))))))))))))))))</f>
        <v xml:space="preserve">ATENCION A VICTIMAS DE ATAQUE CON AGENTES QUIMICOS </v>
      </c>
      <c r="U271" s="138" t="str">
        <f t="shared" si="24"/>
        <v>Rosa Mery Pastás Escobar</v>
      </c>
      <c r="V271" s="138" t="str">
        <f t="shared" si="25"/>
        <v>Rosa Mery Pastás Escobar</v>
      </c>
      <c r="W271" s="138" t="str">
        <f t="shared" si="26"/>
        <v>Rosa Mery Pastás Escobar-1004578255-QUIMICOS</v>
      </c>
    </row>
    <row r="272" spans="1:23" s="187" customFormat="1" x14ac:dyDescent="0.2">
      <c r="A272" s="42">
        <v>271</v>
      </c>
      <c r="B272" s="90">
        <v>1084848135</v>
      </c>
      <c r="C272" s="99" t="s">
        <v>840</v>
      </c>
      <c r="D272" s="99" t="s">
        <v>841</v>
      </c>
      <c r="E272" s="99" t="s">
        <v>401</v>
      </c>
      <c r="F272" s="99" t="s">
        <v>832</v>
      </c>
      <c r="G272" s="117">
        <v>27</v>
      </c>
      <c r="H272" s="117" t="s">
        <v>89</v>
      </c>
      <c r="I272" s="16">
        <v>45503</v>
      </c>
      <c r="J272" s="19">
        <v>30000</v>
      </c>
      <c r="K272" s="117" t="s">
        <v>210</v>
      </c>
      <c r="L272" s="117" t="s">
        <v>90</v>
      </c>
      <c r="M272" s="117" t="s">
        <v>752</v>
      </c>
      <c r="N272" s="118" t="s">
        <v>41</v>
      </c>
      <c r="O272" s="18">
        <v>36064</v>
      </c>
      <c r="P272" s="118" t="s">
        <v>91</v>
      </c>
      <c r="Q272" s="99" t="s">
        <v>126</v>
      </c>
      <c r="R272" s="99">
        <v>3104171311</v>
      </c>
      <c r="S272" s="99" t="s">
        <v>842</v>
      </c>
      <c r="T272" s="138" t="str">
        <f>IF(N272=CURSOS!$D$3,"DIPLOMADO EN ATENCION PRE-HOSPITALARIA",IF(N272=CURSOS!$D$4,"ACOMPAÑAMIENTO Y MANEJO DEL DUELO",IF(N272=CURSOS!$D$5,"ATENCION A VICTIMAS DE ATAQUE CON AGENTES QUIMICOS ",IF(N272=CURSOS!$D$6,"PRIMEROS AUXILIOS ",IF(N272=CURSOS!$D$7,"DIPLOMADO DE UNIDAD DE CUIDADOS INTENSIVOS (UCI)",IF(N272=CURSOS!$D$8,"MODELO DE ATENCION PARA EVENTOS EMERGENTES EN SALUD MENTAL (CODIGO VERDE)",IF(N272=CURSOS!$D$9,"HUMANIZACION EN EL SERVICIO DE LA SALUD Y BUENAS PRACTICAS EN PACIENTE ",IF(N272=CURSOS!$D$10,"CLINICA DE HERIDAS ",IF(N272=CURSOS!$D$11,"TOMA DE CITOLOGIA CERVICO VAGINAL ",IF(N272=CURSOS!$D$12,"SOPORTE CARDIOVASCULAR AVANZADO (ACLS) ",IF(N272=CURSOS!$D$13,"CAMILLERO ",IF(N272=CURSOS!$D$14,"TOMA DE MUESTRAS Y LABORATORIO ",IF(N272=CURSOS!$D$15,"SOPORTE VITAL BASICO (BLS)",IF(N272=CURSOS!$D$16,"ATENCION A VICTIMAS DE VIOLENCIA SEXUAL ",IF(N272=CURSOS!$D$17,"PROGRAMADO AMPLIADO DE INMUNIZACION (PAI - COVID 19)",IF(N272=CURSOS!$D$18,"ATENCION INTEGRAL EN ENFERMEDADES PREVALENTES EN PRIMERA INFANCIA (AIEPI)",IF(N272=CURSOS!$D$19,"ADMINISTRACION DE MEDICAMENTOS, INYECTOLOGIA  Y CANALIZACION ",IF(N272=CURSOS!$D$20,"OPERADOR DE VEHICULOS DE EMERGENCIA (OVE)",IF(N272=CURSOS!$D$21,"INSTITUCIONES AMIGAS DE LA MUJER Y LA INFANCIA (IAMI)",IF(N272=CURSOS!$D$22,"CUIDADO DEL DONANTE DE ORGANOS",IF(N272=CURSOS!$D$23,"ATENCION A VICTIMAS POR VIOLENCIA DE GENERO",IF(N272=CURSOS!$D$24,"IGUALDAD DE GENERO EN LA SALUD",IF(N272=CURSOS!$D$25,"BRIGADA DE EMERGENCIA",IF(N272=CURSOS!$D$26,"MANEJO DEL DOLOR Y CUIDADOS PALIATIVOS",IF(N272=CURSOS!$D$27,"TOMA DE MUESTRAS Y LABORATORIO POCT",IF(N272=CURSOS!$D$28,"IMPLANTE SUBDERMICO DE DISPOSITIVO INTRAUTERINO",IF(N272=CURSOS!$D$29,"SALUD MENTAL",IF(N272=CURSOS!$D$30,"PRIMEROS AUXILIOS PSICOLOGICOS",IF(N272=CURSOS!$D$31,"ATENCION A VICTIMAS POR CONFLICTO ARMADO",IF(N272=CURSOS!$D$32,"MANIPULACION DE ALIMENTOS Y BPM",IF(N272=CURSOS!$D$33,"ATENCION A PERSONAS CON DISCAPACIDAD",IF(N272=CURSOS!$D$34,"CUIDADO INTEGRAL DEL PACIENTE ADULTO",IF(N272=CURSOS!$D$35,"MANEJO DEFENSIVO",IF(N272=CURSOS!$D$36,"SOPORTE CARDIOVASCULAR AVANZADO NEONATAL",IF(N272=CURSOS!$D$37,"SEGURIDAD DEL PACIENTE")))))))))))))))))))))))))))))))))))</f>
        <v xml:space="preserve">TOMA DE MUESTRAS Y LABORATORIO </v>
      </c>
      <c r="U272" s="138" t="str">
        <f t="shared" si="24"/>
        <v>Jose Manuel Marquez Azain</v>
      </c>
      <c r="V272" s="138" t="str">
        <f t="shared" si="25"/>
        <v>Jose Manuel Marquez Azain</v>
      </c>
      <c r="W272" s="138" t="str">
        <f t="shared" si="26"/>
        <v>Jose Manuel Marquez Azain-1084848135-TOMA DE MUESTRAS</v>
      </c>
    </row>
    <row r="273" spans="1:23" s="187" customFormat="1" x14ac:dyDescent="0.2">
      <c r="A273" s="42">
        <v>272</v>
      </c>
      <c r="B273" s="90">
        <v>1084848135</v>
      </c>
      <c r="C273" s="99" t="s">
        <v>840</v>
      </c>
      <c r="D273" s="99" t="s">
        <v>841</v>
      </c>
      <c r="E273" s="99" t="s">
        <v>401</v>
      </c>
      <c r="F273" s="99" t="s">
        <v>832</v>
      </c>
      <c r="G273" s="117">
        <v>27</v>
      </c>
      <c r="H273" s="117" t="s">
        <v>89</v>
      </c>
      <c r="I273" s="16">
        <v>45503</v>
      </c>
      <c r="J273" s="19">
        <v>30000</v>
      </c>
      <c r="K273" s="117" t="s">
        <v>210</v>
      </c>
      <c r="L273" s="117" t="s">
        <v>90</v>
      </c>
      <c r="M273" s="117" t="s">
        <v>752</v>
      </c>
      <c r="N273" s="118" t="s">
        <v>23</v>
      </c>
      <c r="O273" s="18">
        <v>36064</v>
      </c>
      <c r="P273" s="118" t="s">
        <v>91</v>
      </c>
      <c r="Q273" s="99" t="s">
        <v>126</v>
      </c>
      <c r="R273" s="99">
        <v>3104171311</v>
      </c>
      <c r="S273" s="99" t="s">
        <v>842</v>
      </c>
      <c r="T273" s="138" t="str">
        <f>IF(N273=CURSOS!$D$3,"DIPLOMADO EN ATENCION PRE-HOSPITALARIA",IF(N273=CURSOS!$D$4,"ACOMPAÑAMIENTO Y MANEJO DEL DUELO",IF(N273=CURSOS!$D$5,"ATENCION A VICTIMAS DE ATAQUE CON AGENTES QUIMICOS ",IF(N273=CURSOS!$D$6,"PRIMEROS AUXILIOS ",IF(N273=CURSOS!$D$7,"DIPLOMADO DE UNIDAD DE CUIDADOS INTENSIVOS (UCI)",IF(N273=CURSOS!$D$8,"MODELO DE ATENCION PARA EVENTOS EMERGENTES EN SALUD MENTAL (CODIGO VERDE)",IF(N273=CURSOS!$D$9,"HUMANIZACION EN EL SERVICIO DE LA SALUD Y BUENAS PRACTICAS EN PACIENTE ",IF(N273=CURSOS!$D$10,"CLINICA DE HERIDAS ",IF(N273=CURSOS!$D$11,"TOMA DE CITOLOGIA CERVICO VAGINAL ",IF(N273=CURSOS!$D$12,"SOPORTE CARDIOVASCULAR AVANZADO (ACLS) ",IF(N273=CURSOS!$D$13,"CAMILLERO ",IF(N273=CURSOS!$D$14,"TOMA DE MUESTRAS Y LABORATORIO ",IF(N273=CURSOS!$D$15,"SOPORTE VITAL BASICO (BLS)",IF(N273=CURSOS!$D$16,"ATENCION A VICTIMAS DE VIOLENCIA SEXUAL ",IF(N273=CURSOS!$D$17,"PROGRAMADO AMPLIADO DE INMUNIZACION (PAI - COVID 19)",IF(N273=CURSOS!$D$18,"ATENCION INTEGRAL EN ENFERMEDADES PREVALENTES EN PRIMERA INFANCIA (AIEPI)",IF(N273=CURSOS!$D$19,"ADMINISTRACION DE MEDICAMENTOS, INYECTOLOGIA  Y CANALIZACION ",IF(N273=CURSOS!$D$20,"OPERADOR DE VEHICULOS DE EMERGENCIA (OVE)",IF(N273=CURSOS!$D$21,"INSTITUCIONES AMIGAS DE LA MUJER Y LA INFANCIA (IAMI)",IF(N273=CURSOS!$D$22,"CUIDADO DEL DONANTE DE ORGANOS",IF(N273=CURSOS!$D$23,"ATENCION A VICTIMAS POR VIOLENCIA DE GENERO",IF(N273=CURSOS!$D$24,"IGUALDAD DE GENERO EN LA SALUD",IF(N273=CURSOS!$D$25,"BRIGADA DE EMERGENCIA",IF(N273=CURSOS!$D$26,"MANEJO DEL DOLOR Y CUIDADOS PALIATIVOS",IF(N273=CURSOS!$D$27,"TOMA DE MUESTRAS Y LABORATORIO POCT",IF(N273=CURSOS!$D$28,"IMPLANTE SUBDERMICO DE DISPOSITIVO INTRAUTERINO",IF(N273=CURSOS!$D$29,"SALUD MENTAL",IF(N273=CURSOS!$D$30,"PRIMEROS AUXILIOS PSICOLOGICOS",IF(N273=CURSOS!$D$31,"ATENCION A VICTIMAS POR CONFLICTO ARMADO",IF(N273=CURSOS!$D$32,"MANIPULACION DE ALIMENTOS Y BPM",IF(N273=CURSOS!$D$33,"ATENCION A PERSONAS CON DISCAPACIDAD",IF(N273=CURSOS!$D$34,"CUIDADO INTEGRAL DEL PACIENTE ADULTO",IF(N273=CURSOS!$D$35,"MANEJO DEFENSIVO",IF(N273=CURSOS!$D$36,"SOPORTE CARDIOVASCULAR AVANZADO NEONATAL",IF(N273=CURSOS!$D$37,"SEGURIDAD DEL PACIENTE")))))))))))))))))))))))))))))))))))</f>
        <v>ACOMPAÑAMIENTO Y MANEJO DEL DUELO</v>
      </c>
      <c r="U273" s="138" t="str">
        <f t="shared" si="24"/>
        <v>Jose Manuel Marquez Azain</v>
      </c>
      <c r="V273" s="138" t="str">
        <f t="shared" si="25"/>
        <v>Jose Manuel Marquez Azain</v>
      </c>
      <c r="W273" s="138" t="str">
        <f t="shared" si="26"/>
        <v>Jose Manuel Marquez Azain-1084848135-DUELO</v>
      </c>
    </row>
    <row r="274" spans="1:23" s="187" customFormat="1" x14ac:dyDescent="0.2">
      <c r="A274" s="42">
        <v>273</v>
      </c>
      <c r="B274" s="90">
        <v>1084848135</v>
      </c>
      <c r="C274" s="99" t="s">
        <v>840</v>
      </c>
      <c r="D274" s="99" t="s">
        <v>841</v>
      </c>
      <c r="E274" s="99" t="s">
        <v>401</v>
      </c>
      <c r="F274" s="99" t="s">
        <v>832</v>
      </c>
      <c r="G274" s="117">
        <v>27</v>
      </c>
      <c r="H274" s="117" t="s">
        <v>89</v>
      </c>
      <c r="I274" s="16">
        <v>45503</v>
      </c>
      <c r="J274" s="19">
        <v>30000</v>
      </c>
      <c r="K274" s="117" t="s">
        <v>210</v>
      </c>
      <c r="L274" s="117" t="s">
        <v>90</v>
      </c>
      <c r="M274" s="117" t="s">
        <v>752</v>
      </c>
      <c r="N274" s="118" t="s">
        <v>43</v>
      </c>
      <c r="O274" s="18">
        <v>36064</v>
      </c>
      <c r="P274" s="118" t="s">
        <v>91</v>
      </c>
      <c r="Q274" s="99" t="s">
        <v>126</v>
      </c>
      <c r="R274" s="99">
        <v>3104171311</v>
      </c>
      <c r="S274" s="99" t="s">
        <v>842</v>
      </c>
      <c r="T274" s="138" t="str">
        <f>IF(N274=CURSOS!$D$3,"DIPLOMADO EN ATENCION PRE-HOSPITALARIA",IF(N274=CURSOS!$D$4,"ACOMPAÑAMIENTO Y MANEJO DEL DUELO",IF(N274=CURSOS!$D$5,"ATENCION A VICTIMAS DE ATAQUE CON AGENTES QUIMICOS ",IF(N274=CURSOS!$D$6,"PRIMEROS AUXILIOS ",IF(N274=CURSOS!$D$7,"DIPLOMADO DE UNIDAD DE CUIDADOS INTENSIVOS (UCI)",IF(N274=CURSOS!$D$8,"MODELO DE ATENCION PARA EVENTOS EMERGENTES EN SALUD MENTAL (CODIGO VERDE)",IF(N274=CURSOS!$D$9,"HUMANIZACION EN EL SERVICIO DE LA SALUD Y BUENAS PRACTICAS EN PACIENTE ",IF(N274=CURSOS!$D$10,"CLINICA DE HERIDAS ",IF(N274=CURSOS!$D$11,"TOMA DE CITOLOGIA CERVICO VAGINAL ",IF(N274=CURSOS!$D$12,"SOPORTE CARDIOVASCULAR AVANZADO (ACLS) ",IF(N274=CURSOS!$D$13,"CAMILLERO ",IF(N274=CURSOS!$D$14,"TOMA DE MUESTRAS Y LABORATORIO ",IF(N274=CURSOS!$D$15,"SOPORTE VITAL BASICO (BLS)",IF(N274=CURSOS!$D$16,"ATENCION A VICTIMAS DE VIOLENCIA SEXUAL ",IF(N274=CURSOS!$D$17,"PROGRAMADO AMPLIADO DE INMUNIZACION (PAI - COVID 19)",IF(N274=CURSOS!$D$18,"ATENCION INTEGRAL EN ENFERMEDADES PREVALENTES EN PRIMERA INFANCIA (AIEPI)",IF(N274=CURSOS!$D$19,"ADMINISTRACION DE MEDICAMENTOS, INYECTOLOGIA  Y CANALIZACION ",IF(N274=CURSOS!$D$20,"OPERADOR DE VEHICULOS DE EMERGENCIA (OVE)",IF(N274=CURSOS!$D$21,"INSTITUCIONES AMIGAS DE LA MUJER Y LA INFANCIA (IAMI)",IF(N274=CURSOS!$D$22,"CUIDADO DEL DONANTE DE ORGANOS",IF(N274=CURSOS!$D$23,"ATENCION A VICTIMAS POR VIOLENCIA DE GENERO",IF(N274=CURSOS!$D$24,"IGUALDAD DE GENERO EN LA SALUD",IF(N274=CURSOS!$D$25,"BRIGADA DE EMERGENCIA",IF(N274=CURSOS!$D$26,"MANEJO DEL DOLOR Y CUIDADOS PALIATIVOS",IF(N274=CURSOS!$D$27,"TOMA DE MUESTRAS Y LABORATORIO POCT",IF(N274=CURSOS!$D$28,"IMPLANTE SUBDERMICO DE DISPOSITIVO INTRAUTERINO",IF(N274=CURSOS!$D$29,"SALUD MENTAL",IF(N274=CURSOS!$D$30,"PRIMEROS AUXILIOS PSICOLOGICOS",IF(N274=CURSOS!$D$31,"ATENCION A VICTIMAS POR CONFLICTO ARMADO",IF(N274=CURSOS!$D$32,"MANIPULACION DE ALIMENTOS Y BPM",IF(N274=CURSOS!$D$33,"ATENCION A PERSONAS CON DISCAPACIDAD",IF(N274=CURSOS!$D$34,"CUIDADO INTEGRAL DEL PACIENTE ADULTO",IF(N274=CURSOS!$D$35,"MANEJO DEFENSIVO",IF(N274=CURSOS!$D$36,"SOPORTE CARDIOVASCULAR AVANZADO NEONATAL",IF(N274=CURSOS!$D$37,"SEGURIDAD DEL PACIENTE")))))))))))))))))))))))))))))))))))</f>
        <v xml:space="preserve">ATENCION A VICTIMAS DE VIOLENCIA SEXUAL </v>
      </c>
      <c r="U274" s="138" t="str">
        <f t="shared" si="24"/>
        <v>Jose Manuel Marquez Azain</v>
      </c>
      <c r="V274" s="138" t="str">
        <f t="shared" si="25"/>
        <v>Jose Manuel Marquez Azain</v>
      </c>
      <c r="W274" s="138" t="str">
        <f t="shared" si="26"/>
        <v>Jose Manuel Marquez Azain-1084848135-VIOLENCIA SEXUAL</v>
      </c>
    </row>
    <row r="275" spans="1:23" s="187" customFormat="1" x14ac:dyDescent="0.2">
      <c r="A275" s="42">
        <v>274</v>
      </c>
      <c r="B275" s="90">
        <v>1084848135</v>
      </c>
      <c r="C275" s="99" t="s">
        <v>840</v>
      </c>
      <c r="D275" s="99" t="s">
        <v>841</v>
      </c>
      <c r="E275" s="99" t="s">
        <v>401</v>
      </c>
      <c r="F275" s="99" t="s">
        <v>832</v>
      </c>
      <c r="G275" s="117">
        <v>27</v>
      </c>
      <c r="H275" s="117" t="s">
        <v>89</v>
      </c>
      <c r="I275" s="16">
        <v>45503</v>
      </c>
      <c r="J275" s="19">
        <v>30000</v>
      </c>
      <c r="K275" s="117" t="s">
        <v>210</v>
      </c>
      <c r="L275" s="117" t="s">
        <v>90</v>
      </c>
      <c r="M275" s="117" t="s">
        <v>752</v>
      </c>
      <c r="N275" s="118" t="s">
        <v>25</v>
      </c>
      <c r="O275" s="18">
        <v>36064</v>
      </c>
      <c r="P275" s="118" t="s">
        <v>91</v>
      </c>
      <c r="Q275" s="99" t="s">
        <v>126</v>
      </c>
      <c r="R275" s="99">
        <v>3104171311</v>
      </c>
      <c r="S275" s="99" t="s">
        <v>842</v>
      </c>
      <c r="T275" s="138" t="str">
        <f>IF(N275=CURSOS!$D$3,"DIPLOMADO EN ATENCION PRE-HOSPITALARIA",IF(N275=CURSOS!$D$4,"ACOMPAÑAMIENTO Y MANEJO DEL DUELO",IF(N275=CURSOS!$D$5,"ATENCION A VICTIMAS DE ATAQUE CON AGENTES QUIMICOS ",IF(N275=CURSOS!$D$6,"PRIMEROS AUXILIOS ",IF(N275=CURSOS!$D$7,"DIPLOMADO DE UNIDAD DE CUIDADOS INTENSIVOS (UCI)",IF(N275=CURSOS!$D$8,"MODELO DE ATENCION PARA EVENTOS EMERGENTES EN SALUD MENTAL (CODIGO VERDE)",IF(N275=CURSOS!$D$9,"HUMANIZACION EN EL SERVICIO DE LA SALUD Y BUENAS PRACTICAS EN PACIENTE ",IF(N275=CURSOS!$D$10,"CLINICA DE HERIDAS ",IF(N275=CURSOS!$D$11,"TOMA DE CITOLOGIA CERVICO VAGINAL ",IF(N275=CURSOS!$D$12,"SOPORTE CARDIOVASCULAR AVANZADO (ACLS) ",IF(N275=CURSOS!$D$13,"CAMILLERO ",IF(N275=CURSOS!$D$14,"TOMA DE MUESTRAS Y LABORATORIO ",IF(N275=CURSOS!$D$15,"SOPORTE VITAL BASICO (BLS)",IF(N275=CURSOS!$D$16,"ATENCION A VICTIMAS DE VIOLENCIA SEXUAL ",IF(N275=CURSOS!$D$17,"PROGRAMADO AMPLIADO DE INMUNIZACION (PAI - COVID 19)",IF(N275=CURSOS!$D$18,"ATENCION INTEGRAL EN ENFERMEDADES PREVALENTES EN PRIMERA INFANCIA (AIEPI)",IF(N275=CURSOS!$D$19,"ADMINISTRACION DE MEDICAMENTOS, INYECTOLOGIA  Y CANALIZACION ",IF(N275=CURSOS!$D$20,"OPERADOR DE VEHICULOS DE EMERGENCIA (OVE)",IF(N275=CURSOS!$D$21,"INSTITUCIONES AMIGAS DE LA MUJER Y LA INFANCIA (IAMI)",IF(N275=CURSOS!$D$22,"CUIDADO DEL DONANTE DE ORGANOS",IF(N275=CURSOS!$D$23,"ATENCION A VICTIMAS POR VIOLENCIA DE GENERO",IF(N275=CURSOS!$D$24,"IGUALDAD DE GENERO EN LA SALUD",IF(N275=CURSOS!$D$25,"BRIGADA DE EMERGENCIA",IF(N275=CURSOS!$D$26,"MANEJO DEL DOLOR Y CUIDADOS PALIATIVOS",IF(N275=CURSOS!$D$27,"TOMA DE MUESTRAS Y LABORATORIO POCT",IF(N275=CURSOS!$D$28,"IMPLANTE SUBDERMICO DE DISPOSITIVO INTRAUTERINO",IF(N275=CURSOS!$D$29,"SALUD MENTAL",IF(N275=CURSOS!$D$30,"PRIMEROS AUXILIOS PSICOLOGICOS",IF(N275=CURSOS!$D$31,"ATENCION A VICTIMAS POR CONFLICTO ARMADO",IF(N275=CURSOS!$D$32,"MANIPULACION DE ALIMENTOS Y BPM",IF(N275=CURSOS!$D$33,"ATENCION A PERSONAS CON DISCAPACIDAD",IF(N275=CURSOS!$D$34,"CUIDADO INTEGRAL DEL PACIENTE ADULTO",IF(N275=CURSOS!$D$35,"MANEJO DEFENSIVO",IF(N275=CURSOS!$D$36,"SOPORTE CARDIOVASCULAR AVANZADO NEONATAL",IF(N275=CURSOS!$D$37,"SEGURIDAD DEL PACIENTE")))))))))))))))))))))))))))))))))))</f>
        <v xml:space="preserve">ATENCION A VICTIMAS DE ATAQUE CON AGENTES QUIMICOS </v>
      </c>
      <c r="U275" s="138" t="str">
        <f t="shared" si="24"/>
        <v>Jose Manuel Marquez Azain</v>
      </c>
      <c r="V275" s="138" t="str">
        <f t="shared" si="25"/>
        <v>Jose Manuel Marquez Azain</v>
      </c>
      <c r="W275" s="138" t="str">
        <f t="shared" si="26"/>
        <v>Jose Manuel Marquez Azain-1084848135-QUIMICOS</v>
      </c>
    </row>
    <row r="276" spans="1:23" s="187" customFormat="1" x14ac:dyDescent="0.2">
      <c r="A276" s="42">
        <v>275</v>
      </c>
      <c r="B276" s="90">
        <v>1085344753</v>
      </c>
      <c r="C276" s="99" t="s">
        <v>460</v>
      </c>
      <c r="D276" s="99" t="s">
        <v>843</v>
      </c>
      <c r="E276" s="99" t="s">
        <v>335</v>
      </c>
      <c r="F276" s="99" t="s">
        <v>336</v>
      </c>
      <c r="G276" s="117">
        <v>30</v>
      </c>
      <c r="H276" s="117" t="s">
        <v>89</v>
      </c>
      <c r="I276" s="16">
        <v>45503</v>
      </c>
      <c r="J276" s="19">
        <v>80000</v>
      </c>
      <c r="K276" s="117" t="s">
        <v>210</v>
      </c>
      <c r="L276" s="117" t="s">
        <v>90</v>
      </c>
      <c r="M276" s="117" t="s">
        <v>118</v>
      </c>
      <c r="N276" s="118" t="s">
        <v>41</v>
      </c>
      <c r="O276" s="18">
        <v>36226</v>
      </c>
      <c r="P276" s="118" t="s">
        <v>91</v>
      </c>
      <c r="Q276" s="99" t="s">
        <v>844</v>
      </c>
      <c r="R276" s="99">
        <v>3195136524</v>
      </c>
      <c r="S276" s="99" t="s">
        <v>845</v>
      </c>
      <c r="T276" s="138" t="str">
        <f>IF(N276=CURSOS!$D$3,"DIPLOMADO EN ATENCION PRE-HOSPITALARIA",IF(N276=CURSOS!$D$4,"ACOMPAÑAMIENTO Y MANEJO DEL DUELO",IF(N276=CURSOS!$D$5,"ATENCION A VICTIMAS DE ATAQUE CON AGENTES QUIMICOS ",IF(N276=CURSOS!$D$6,"PRIMEROS AUXILIOS ",IF(N276=CURSOS!$D$7,"DIPLOMADO DE UNIDAD DE CUIDADOS INTENSIVOS (UCI)",IF(N276=CURSOS!$D$8,"MODELO DE ATENCION PARA EVENTOS EMERGENTES EN SALUD MENTAL (CODIGO VERDE)",IF(N276=CURSOS!$D$9,"HUMANIZACION EN EL SERVICIO DE LA SALUD Y BUENAS PRACTICAS EN PACIENTE ",IF(N276=CURSOS!$D$10,"CLINICA DE HERIDAS ",IF(N276=CURSOS!$D$11,"TOMA DE CITOLOGIA CERVICO VAGINAL ",IF(N276=CURSOS!$D$12,"SOPORTE CARDIOVASCULAR AVANZADO (ACLS) ",IF(N276=CURSOS!$D$13,"CAMILLERO ",IF(N276=CURSOS!$D$14,"TOMA DE MUESTRAS Y LABORATORIO ",IF(N276=CURSOS!$D$15,"SOPORTE VITAL BASICO (BLS)",IF(N276=CURSOS!$D$16,"ATENCION A VICTIMAS DE VIOLENCIA SEXUAL ",IF(N276=CURSOS!$D$17,"PROGRAMADO AMPLIADO DE INMUNIZACION (PAI - COVID 19)",IF(N276=CURSOS!$D$18,"ATENCION INTEGRAL EN ENFERMEDADES PREVALENTES EN PRIMERA INFANCIA (AIEPI)",IF(N276=CURSOS!$D$19,"ADMINISTRACION DE MEDICAMENTOS, INYECTOLOGIA  Y CANALIZACION ",IF(N276=CURSOS!$D$20,"OPERADOR DE VEHICULOS DE EMERGENCIA (OVE)",IF(N276=CURSOS!$D$21,"INSTITUCIONES AMIGAS DE LA MUJER Y LA INFANCIA (IAMI)",IF(N276=CURSOS!$D$22,"CUIDADO DEL DONANTE DE ORGANOS",IF(N276=CURSOS!$D$23,"ATENCION A VICTIMAS POR VIOLENCIA DE GENERO",IF(N276=CURSOS!$D$24,"IGUALDAD DE GENERO EN LA SALUD",IF(N276=CURSOS!$D$25,"BRIGADA DE EMERGENCIA",IF(N276=CURSOS!$D$26,"MANEJO DEL DOLOR Y CUIDADOS PALIATIVOS",IF(N276=CURSOS!$D$27,"TOMA DE MUESTRAS Y LABORATORIO POCT",IF(N276=CURSOS!$D$28,"IMPLANTE SUBDERMICO DE DISPOSITIVO INTRAUTERINO",IF(N276=CURSOS!$D$29,"SALUD MENTAL",IF(N276=CURSOS!$D$30,"PRIMEROS AUXILIOS PSICOLOGICOS",IF(N276=CURSOS!$D$31,"ATENCION A VICTIMAS POR CONFLICTO ARMADO",IF(N276=CURSOS!$D$32,"MANIPULACION DE ALIMENTOS Y BPM",IF(N276=CURSOS!$D$33,"ATENCION A PERSONAS CON DISCAPACIDAD",IF(N276=CURSOS!$D$34,"CUIDADO INTEGRAL DEL PACIENTE ADULTO",IF(N276=CURSOS!$D$35,"MANEJO DEFENSIVO",IF(N276=CURSOS!$D$36,"SOPORTE CARDIOVASCULAR AVANZADO NEONATAL",IF(N276=CURSOS!$D$37,"SEGURIDAD DEL PACIENTE")))))))))))))))))))))))))))))))))))</f>
        <v xml:space="preserve">TOMA DE MUESTRAS Y LABORATORIO </v>
      </c>
      <c r="U276" s="138" t="str">
        <f t="shared" si="24"/>
        <v>Daniel Felipe Villota Lozano</v>
      </c>
      <c r="V276" s="138" t="str">
        <f t="shared" si="25"/>
        <v>Daniel Felipe Villota Lozano</v>
      </c>
      <c r="W276" s="138" t="str">
        <f t="shared" si="26"/>
        <v>Daniel Felipe Villota Lozano-1085344753-TOMA DE MUESTRAS</v>
      </c>
    </row>
    <row r="277" spans="1:23" s="187" customFormat="1" x14ac:dyDescent="0.2">
      <c r="A277" s="42">
        <v>276</v>
      </c>
      <c r="B277" s="90">
        <v>1085305833</v>
      </c>
      <c r="C277" s="99" t="s">
        <v>439</v>
      </c>
      <c r="D277" s="99" t="s">
        <v>156</v>
      </c>
      <c r="E277" s="99" t="s">
        <v>846</v>
      </c>
      <c r="F277" s="99" t="s">
        <v>399</v>
      </c>
      <c r="G277" s="117">
        <v>30</v>
      </c>
      <c r="H277" s="117" t="s">
        <v>89</v>
      </c>
      <c r="I277" s="16">
        <v>45503</v>
      </c>
      <c r="J277" s="19">
        <v>40000</v>
      </c>
      <c r="K277" s="117" t="s">
        <v>210</v>
      </c>
      <c r="L277" s="117" t="s">
        <v>90</v>
      </c>
      <c r="M277" s="117" t="s">
        <v>118</v>
      </c>
      <c r="N277" s="118" t="s">
        <v>43</v>
      </c>
      <c r="O277" s="18">
        <v>34159</v>
      </c>
      <c r="P277" s="118" t="s">
        <v>101</v>
      </c>
      <c r="Q277" s="99" t="s">
        <v>126</v>
      </c>
      <c r="R277" s="99">
        <v>3226014673</v>
      </c>
      <c r="S277" s="99" t="s">
        <v>847</v>
      </c>
      <c r="T277" s="138" t="str">
        <f>IF(N277=CURSOS!$D$3,"DIPLOMADO EN ATENCION PRE-HOSPITALARIA",IF(N277=CURSOS!$D$4,"ACOMPAÑAMIENTO Y MANEJO DEL DUELO",IF(N277=CURSOS!$D$5,"ATENCION A VICTIMAS DE ATAQUE CON AGENTES QUIMICOS ",IF(N277=CURSOS!$D$6,"PRIMEROS AUXILIOS ",IF(N277=CURSOS!$D$7,"DIPLOMADO DE UNIDAD DE CUIDADOS INTENSIVOS (UCI)",IF(N277=CURSOS!$D$8,"MODELO DE ATENCION PARA EVENTOS EMERGENTES EN SALUD MENTAL (CODIGO VERDE)",IF(N277=CURSOS!$D$9,"HUMANIZACION EN EL SERVICIO DE LA SALUD Y BUENAS PRACTICAS EN PACIENTE ",IF(N277=CURSOS!$D$10,"CLINICA DE HERIDAS ",IF(N277=CURSOS!$D$11,"TOMA DE CITOLOGIA CERVICO VAGINAL ",IF(N277=CURSOS!$D$12,"SOPORTE CARDIOVASCULAR AVANZADO (ACLS) ",IF(N277=CURSOS!$D$13,"CAMILLERO ",IF(N277=CURSOS!$D$14,"TOMA DE MUESTRAS Y LABORATORIO ",IF(N277=CURSOS!$D$15,"SOPORTE VITAL BASICO (BLS)",IF(N277=CURSOS!$D$16,"ATENCION A VICTIMAS DE VIOLENCIA SEXUAL ",IF(N277=CURSOS!$D$17,"PROGRAMADO AMPLIADO DE INMUNIZACION (PAI - COVID 19)",IF(N277=CURSOS!$D$18,"ATENCION INTEGRAL EN ENFERMEDADES PREVALENTES EN PRIMERA INFANCIA (AIEPI)",IF(N277=CURSOS!$D$19,"ADMINISTRACION DE MEDICAMENTOS, INYECTOLOGIA  Y CANALIZACION ",IF(N277=CURSOS!$D$20,"OPERADOR DE VEHICULOS DE EMERGENCIA (OVE)",IF(N277=CURSOS!$D$21,"INSTITUCIONES AMIGAS DE LA MUJER Y LA INFANCIA (IAMI)",IF(N277=CURSOS!$D$22,"CUIDADO DEL DONANTE DE ORGANOS",IF(N277=CURSOS!$D$23,"ATENCION A VICTIMAS POR VIOLENCIA DE GENERO",IF(N277=CURSOS!$D$24,"IGUALDAD DE GENERO EN LA SALUD",IF(N277=CURSOS!$D$25,"BRIGADA DE EMERGENCIA",IF(N277=CURSOS!$D$26,"MANEJO DEL DOLOR Y CUIDADOS PALIATIVOS",IF(N277=CURSOS!$D$27,"TOMA DE MUESTRAS Y LABORATORIO POCT",IF(N277=CURSOS!$D$28,"IMPLANTE SUBDERMICO DE DISPOSITIVO INTRAUTERINO",IF(N277=CURSOS!$D$29,"SALUD MENTAL",IF(N277=CURSOS!$D$30,"PRIMEROS AUXILIOS PSICOLOGICOS",IF(N277=CURSOS!$D$31,"ATENCION A VICTIMAS POR CONFLICTO ARMADO",IF(N277=CURSOS!$D$32,"MANIPULACION DE ALIMENTOS Y BPM",IF(N277=CURSOS!$D$33,"ATENCION A PERSONAS CON DISCAPACIDAD",IF(N277=CURSOS!$D$34,"CUIDADO INTEGRAL DEL PACIENTE ADULTO",IF(N277=CURSOS!$D$35,"MANEJO DEFENSIVO",IF(N277=CURSOS!$D$36,"SOPORTE CARDIOVASCULAR AVANZADO NEONATAL",IF(N277=CURSOS!$D$37,"SEGURIDAD DEL PACIENTE")))))))))))))))))))))))))))))))))))</f>
        <v xml:space="preserve">ATENCION A VICTIMAS DE VIOLENCIA SEXUAL </v>
      </c>
      <c r="U277" s="138" t="str">
        <f t="shared" si="24"/>
        <v>Jeraldin Daniela Cordoba Arteaga</v>
      </c>
      <c r="V277" s="138" t="str">
        <f t="shared" si="25"/>
        <v>Jeraldin Daniela Cordoba Arteaga</v>
      </c>
      <c r="W277" s="138" t="str">
        <f t="shared" si="26"/>
        <v>Jeraldin Daniela Cordoba Arteaga-1085305833-VIOLENCIA SEXUAL</v>
      </c>
    </row>
    <row r="278" spans="1:23" s="187" customFormat="1" x14ac:dyDescent="0.2">
      <c r="A278" s="42">
        <v>277</v>
      </c>
      <c r="B278" s="90">
        <v>1088734268</v>
      </c>
      <c r="C278" s="99" t="s">
        <v>139</v>
      </c>
      <c r="D278" s="99" t="s">
        <v>217</v>
      </c>
      <c r="E278" s="99" t="s">
        <v>848</v>
      </c>
      <c r="F278" s="99" t="s">
        <v>468</v>
      </c>
      <c r="G278" s="117">
        <v>31</v>
      </c>
      <c r="H278" s="117" t="s">
        <v>89</v>
      </c>
      <c r="I278" s="16">
        <v>45505</v>
      </c>
      <c r="J278" s="19">
        <v>28000</v>
      </c>
      <c r="K278" s="117" t="s">
        <v>214</v>
      </c>
      <c r="L278" s="117" t="s">
        <v>90</v>
      </c>
      <c r="M278" s="117" t="s">
        <v>125</v>
      </c>
      <c r="N278" s="118" t="s">
        <v>25</v>
      </c>
      <c r="O278" s="18">
        <v>33332</v>
      </c>
      <c r="P278" s="118" t="s">
        <v>101</v>
      </c>
      <c r="Q278" s="99" t="s">
        <v>126</v>
      </c>
      <c r="R278" s="99">
        <v>3163084286</v>
      </c>
      <c r="S278" s="99" t="s">
        <v>849</v>
      </c>
      <c r="T278" s="138" t="str">
        <f>IF(N278=CURSOS!$D$3,"DIPLOMADO EN ATENCION PRE-HOSPITALARIA",IF(N278=CURSOS!$D$4,"ACOMPAÑAMIENTO Y MANEJO DEL DUELO",IF(N278=CURSOS!$D$5,"ATENCION A VICTIMAS DE ATAQUE CON AGENTES QUIMICOS ",IF(N278=CURSOS!$D$6,"PRIMEROS AUXILIOS ",IF(N278=CURSOS!$D$7,"DIPLOMADO DE UNIDAD DE CUIDADOS INTENSIVOS (UCI)",IF(N278=CURSOS!$D$8,"MODELO DE ATENCION PARA EVENTOS EMERGENTES EN SALUD MENTAL (CODIGO VERDE)",IF(N278=CURSOS!$D$9,"HUMANIZACION EN EL SERVICIO DE LA SALUD Y BUENAS PRACTICAS EN PACIENTE ",IF(N278=CURSOS!$D$10,"CLINICA DE HERIDAS ",IF(N278=CURSOS!$D$11,"TOMA DE CITOLOGIA CERVICO VAGINAL ",IF(N278=CURSOS!$D$12,"SOPORTE CARDIOVASCULAR AVANZADO (ACLS) ",IF(N278=CURSOS!$D$13,"CAMILLERO ",IF(N278=CURSOS!$D$14,"TOMA DE MUESTRAS Y LABORATORIO ",IF(N278=CURSOS!$D$15,"SOPORTE VITAL BASICO (BLS)",IF(N278=CURSOS!$D$16,"ATENCION A VICTIMAS DE VIOLENCIA SEXUAL ",IF(N278=CURSOS!$D$17,"PROGRAMADO AMPLIADO DE INMUNIZACION (PAI - COVID 19)",IF(N278=CURSOS!$D$18,"ATENCION INTEGRAL EN ENFERMEDADES PREVALENTES EN PRIMERA INFANCIA (AIEPI)",IF(N278=CURSOS!$D$19,"ADMINISTRACION DE MEDICAMENTOS, INYECTOLOGIA  Y CANALIZACION ",IF(N278=CURSOS!$D$20,"OPERADOR DE VEHICULOS DE EMERGENCIA (OVE)",IF(N278=CURSOS!$D$21,"INSTITUCIONES AMIGAS DE LA MUJER Y LA INFANCIA (IAMI)",IF(N278=CURSOS!$D$22,"CUIDADO DEL DONANTE DE ORGANOS",IF(N278=CURSOS!$D$23,"ATENCION A VICTIMAS POR VIOLENCIA DE GENERO",IF(N278=CURSOS!$D$24,"IGUALDAD DE GENERO EN LA SALUD",IF(N278=CURSOS!$D$25,"BRIGADA DE EMERGENCIA",IF(N278=CURSOS!$D$26,"MANEJO DEL DOLOR Y CUIDADOS PALIATIVOS",IF(N278=CURSOS!$D$27,"TOMA DE MUESTRAS Y LABORATORIO POCT",IF(N278=CURSOS!$D$28,"IMPLANTE SUBDERMICO DE DISPOSITIVO INTRAUTERINO",IF(N278=CURSOS!$D$29,"SALUD MENTAL",IF(N278=CURSOS!$D$30,"PRIMEROS AUXILIOS PSICOLOGICOS",IF(N278=CURSOS!$D$31,"ATENCION A VICTIMAS POR CONFLICTO ARMADO",IF(N278=CURSOS!$D$32,"MANIPULACION DE ALIMENTOS Y BPM",IF(N278=CURSOS!$D$33,"ATENCION A PERSONAS CON DISCAPACIDAD",IF(N278=CURSOS!$D$34,"CUIDADO INTEGRAL DEL PACIENTE ADULTO",IF(N278=CURSOS!$D$35,"MANEJO DEFENSIVO",IF(N278=CURSOS!$D$36,"SOPORTE CARDIOVASCULAR AVANZADO NEONATAL",IF(N278=CURSOS!$D$37,"SEGURIDAD DEL PACIENTE")))))))))))))))))))))))))))))))))))</f>
        <v xml:space="preserve">ATENCION A VICTIMAS DE ATAQUE CON AGENTES QUIMICOS </v>
      </c>
      <c r="U278" s="138" t="str">
        <f t="shared" si="24"/>
        <v>Alexa Irene Rojas Alvarez</v>
      </c>
      <c r="V278" s="138" t="str">
        <f t="shared" si="25"/>
        <v>Alexa Irene Rojas Alvarez</v>
      </c>
      <c r="W278" s="138" t="str">
        <f t="shared" si="26"/>
        <v>Alexa Irene Rojas Alvarez-1088734268-QUIMICOS</v>
      </c>
    </row>
    <row r="279" spans="1:23" s="187" customFormat="1" x14ac:dyDescent="0.2">
      <c r="A279" s="42">
        <v>278</v>
      </c>
      <c r="B279" s="90">
        <v>1088734268</v>
      </c>
      <c r="C279" s="99" t="s">
        <v>139</v>
      </c>
      <c r="D279" s="99" t="s">
        <v>217</v>
      </c>
      <c r="E279" s="99" t="s">
        <v>848</v>
      </c>
      <c r="F279" s="99" t="s">
        <v>468</v>
      </c>
      <c r="G279" s="117">
        <v>31</v>
      </c>
      <c r="H279" s="117" t="s">
        <v>89</v>
      </c>
      <c r="I279" s="16">
        <v>45505</v>
      </c>
      <c r="J279" s="19">
        <v>28000</v>
      </c>
      <c r="K279" s="117" t="s">
        <v>214</v>
      </c>
      <c r="L279" s="117" t="s">
        <v>90</v>
      </c>
      <c r="M279" s="117" t="s">
        <v>125</v>
      </c>
      <c r="N279" s="118" t="s">
        <v>43</v>
      </c>
      <c r="O279" s="18">
        <v>33332</v>
      </c>
      <c r="P279" s="118" t="s">
        <v>101</v>
      </c>
      <c r="Q279" s="99" t="s">
        <v>126</v>
      </c>
      <c r="R279" s="99">
        <v>3163084286</v>
      </c>
      <c r="S279" s="99" t="s">
        <v>849</v>
      </c>
      <c r="T279" s="138" t="str">
        <f>IF(N279=CURSOS!$D$3,"DIPLOMADO EN ATENCION PRE-HOSPITALARIA",IF(N279=CURSOS!$D$4,"ACOMPAÑAMIENTO Y MANEJO DEL DUELO",IF(N279=CURSOS!$D$5,"ATENCION A VICTIMAS DE ATAQUE CON AGENTES QUIMICOS ",IF(N279=CURSOS!$D$6,"PRIMEROS AUXILIOS ",IF(N279=CURSOS!$D$7,"DIPLOMADO DE UNIDAD DE CUIDADOS INTENSIVOS (UCI)",IF(N279=CURSOS!$D$8,"MODELO DE ATENCION PARA EVENTOS EMERGENTES EN SALUD MENTAL (CODIGO VERDE)",IF(N279=CURSOS!$D$9,"HUMANIZACION EN EL SERVICIO DE LA SALUD Y BUENAS PRACTICAS EN PACIENTE ",IF(N279=CURSOS!$D$10,"CLINICA DE HERIDAS ",IF(N279=CURSOS!$D$11,"TOMA DE CITOLOGIA CERVICO VAGINAL ",IF(N279=CURSOS!$D$12,"SOPORTE CARDIOVASCULAR AVANZADO (ACLS) ",IF(N279=CURSOS!$D$13,"CAMILLERO ",IF(N279=CURSOS!$D$14,"TOMA DE MUESTRAS Y LABORATORIO ",IF(N279=CURSOS!$D$15,"SOPORTE VITAL BASICO (BLS)",IF(N279=CURSOS!$D$16,"ATENCION A VICTIMAS DE VIOLENCIA SEXUAL ",IF(N279=CURSOS!$D$17,"PROGRAMADO AMPLIADO DE INMUNIZACION (PAI - COVID 19)",IF(N279=CURSOS!$D$18,"ATENCION INTEGRAL EN ENFERMEDADES PREVALENTES EN PRIMERA INFANCIA (AIEPI)",IF(N279=CURSOS!$D$19,"ADMINISTRACION DE MEDICAMENTOS, INYECTOLOGIA  Y CANALIZACION ",IF(N279=CURSOS!$D$20,"OPERADOR DE VEHICULOS DE EMERGENCIA (OVE)",IF(N279=CURSOS!$D$21,"INSTITUCIONES AMIGAS DE LA MUJER Y LA INFANCIA (IAMI)",IF(N279=CURSOS!$D$22,"CUIDADO DEL DONANTE DE ORGANOS",IF(N279=CURSOS!$D$23,"ATENCION A VICTIMAS POR VIOLENCIA DE GENERO",IF(N279=CURSOS!$D$24,"IGUALDAD DE GENERO EN LA SALUD",IF(N279=CURSOS!$D$25,"BRIGADA DE EMERGENCIA",IF(N279=CURSOS!$D$26,"MANEJO DEL DOLOR Y CUIDADOS PALIATIVOS",IF(N279=CURSOS!$D$27,"TOMA DE MUESTRAS Y LABORATORIO POCT",IF(N279=CURSOS!$D$28,"IMPLANTE SUBDERMICO DE DISPOSITIVO INTRAUTERINO",IF(N279=CURSOS!$D$29,"SALUD MENTAL",IF(N279=CURSOS!$D$30,"PRIMEROS AUXILIOS PSICOLOGICOS",IF(N279=CURSOS!$D$31,"ATENCION A VICTIMAS POR CONFLICTO ARMADO",IF(N279=CURSOS!$D$32,"MANIPULACION DE ALIMENTOS Y BPM",IF(N279=CURSOS!$D$33,"ATENCION A PERSONAS CON DISCAPACIDAD",IF(N279=CURSOS!$D$34,"CUIDADO INTEGRAL DEL PACIENTE ADULTO",IF(N279=CURSOS!$D$35,"MANEJO DEFENSIVO",IF(N279=CURSOS!$D$36,"SOPORTE CARDIOVASCULAR AVANZADO NEONATAL",IF(N279=CURSOS!$D$37,"SEGURIDAD DEL PACIENTE")))))))))))))))))))))))))))))))))))</f>
        <v xml:space="preserve">ATENCION A VICTIMAS DE VIOLENCIA SEXUAL </v>
      </c>
      <c r="U279" s="138" t="str">
        <f t="shared" si="24"/>
        <v>Alexa Irene Rojas Alvarez</v>
      </c>
      <c r="V279" s="138" t="str">
        <f t="shared" si="25"/>
        <v>Alexa Irene Rojas Alvarez</v>
      </c>
      <c r="W279" s="138" t="str">
        <f t="shared" si="26"/>
        <v>Alexa Irene Rojas Alvarez-1088734268-VIOLENCIA SEXUAL</v>
      </c>
    </row>
    <row r="280" spans="1:23" s="187" customFormat="1" x14ac:dyDescent="0.2">
      <c r="A280" s="42">
        <v>279</v>
      </c>
      <c r="B280" s="90">
        <v>1088734268</v>
      </c>
      <c r="C280" s="99" t="s">
        <v>139</v>
      </c>
      <c r="D280" s="99" t="s">
        <v>217</v>
      </c>
      <c r="E280" s="99" t="s">
        <v>848</v>
      </c>
      <c r="F280" s="99" t="s">
        <v>468</v>
      </c>
      <c r="G280" s="117">
        <v>31</v>
      </c>
      <c r="H280" s="117" t="s">
        <v>89</v>
      </c>
      <c r="I280" s="16">
        <v>45505</v>
      </c>
      <c r="J280" s="19">
        <v>28000</v>
      </c>
      <c r="K280" s="117" t="s">
        <v>214</v>
      </c>
      <c r="L280" s="117" t="s">
        <v>90</v>
      </c>
      <c r="M280" s="117" t="s">
        <v>125</v>
      </c>
      <c r="N280" s="118" t="s">
        <v>23</v>
      </c>
      <c r="O280" s="18">
        <v>33332</v>
      </c>
      <c r="P280" s="118" t="s">
        <v>101</v>
      </c>
      <c r="Q280" s="99" t="s">
        <v>126</v>
      </c>
      <c r="R280" s="99">
        <v>3163084286</v>
      </c>
      <c r="S280" s="99" t="s">
        <v>849</v>
      </c>
      <c r="T280" s="138" t="str">
        <f>IF(N280=CURSOS!$D$3,"DIPLOMADO EN ATENCION PRE-HOSPITALARIA",IF(N280=CURSOS!$D$4,"ACOMPAÑAMIENTO Y MANEJO DEL DUELO",IF(N280=CURSOS!$D$5,"ATENCION A VICTIMAS DE ATAQUE CON AGENTES QUIMICOS ",IF(N280=CURSOS!$D$6,"PRIMEROS AUXILIOS ",IF(N280=CURSOS!$D$7,"DIPLOMADO DE UNIDAD DE CUIDADOS INTENSIVOS (UCI)",IF(N280=CURSOS!$D$8,"MODELO DE ATENCION PARA EVENTOS EMERGENTES EN SALUD MENTAL (CODIGO VERDE)",IF(N280=CURSOS!$D$9,"HUMANIZACION EN EL SERVICIO DE LA SALUD Y BUENAS PRACTICAS EN PACIENTE ",IF(N280=CURSOS!$D$10,"CLINICA DE HERIDAS ",IF(N280=CURSOS!$D$11,"TOMA DE CITOLOGIA CERVICO VAGINAL ",IF(N280=CURSOS!$D$12,"SOPORTE CARDIOVASCULAR AVANZADO (ACLS) ",IF(N280=CURSOS!$D$13,"CAMILLERO ",IF(N280=CURSOS!$D$14,"TOMA DE MUESTRAS Y LABORATORIO ",IF(N280=CURSOS!$D$15,"SOPORTE VITAL BASICO (BLS)",IF(N280=CURSOS!$D$16,"ATENCION A VICTIMAS DE VIOLENCIA SEXUAL ",IF(N280=CURSOS!$D$17,"PROGRAMADO AMPLIADO DE INMUNIZACION (PAI - COVID 19)",IF(N280=CURSOS!$D$18,"ATENCION INTEGRAL EN ENFERMEDADES PREVALENTES EN PRIMERA INFANCIA (AIEPI)",IF(N280=CURSOS!$D$19,"ADMINISTRACION DE MEDICAMENTOS, INYECTOLOGIA  Y CANALIZACION ",IF(N280=CURSOS!$D$20,"OPERADOR DE VEHICULOS DE EMERGENCIA (OVE)",IF(N280=CURSOS!$D$21,"INSTITUCIONES AMIGAS DE LA MUJER Y LA INFANCIA (IAMI)",IF(N280=CURSOS!$D$22,"CUIDADO DEL DONANTE DE ORGANOS",IF(N280=CURSOS!$D$23,"ATENCION A VICTIMAS POR VIOLENCIA DE GENERO",IF(N280=CURSOS!$D$24,"IGUALDAD DE GENERO EN LA SALUD",IF(N280=CURSOS!$D$25,"BRIGADA DE EMERGENCIA",IF(N280=CURSOS!$D$26,"MANEJO DEL DOLOR Y CUIDADOS PALIATIVOS",IF(N280=CURSOS!$D$27,"TOMA DE MUESTRAS Y LABORATORIO POCT",IF(N280=CURSOS!$D$28,"IMPLANTE SUBDERMICO DE DISPOSITIVO INTRAUTERINO",IF(N280=CURSOS!$D$29,"SALUD MENTAL",IF(N280=CURSOS!$D$30,"PRIMEROS AUXILIOS PSICOLOGICOS",IF(N280=CURSOS!$D$31,"ATENCION A VICTIMAS POR CONFLICTO ARMADO",IF(N280=CURSOS!$D$32,"MANIPULACION DE ALIMENTOS Y BPM",IF(N280=CURSOS!$D$33,"ATENCION A PERSONAS CON DISCAPACIDAD",IF(N280=CURSOS!$D$34,"CUIDADO INTEGRAL DEL PACIENTE ADULTO",IF(N280=CURSOS!$D$35,"MANEJO DEFENSIVO",IF(N280=CURSOS!$D$36,"SOPORTE CARDIOVASCULAR AVANZADO NEONATAL",IF(N280=CURSOS!$D$37,"SEGURIDAD DEL PACIENTE")))))))))))))))))))))))))))))))))))</f>
        <v>ACOMPAÑAMIENTO Y MANEJO DEL DUELO</v>
      </c>
      <c r="U280" s="138" t="str">
        <f t="shared" si="24"/>
        <v>Alexa Irene Rojas Alvarez</v>
      </c>
      <c r="V280" s="138" t="str">
        <f t="shared" si="25"/>
        <v>Alexa Irene Rojas Alvarez</v>
      </c>
      <c r="W280" s="138" t="str">
        <f t="shared" si="26"/>
        <v>Alexa Irene Rojas Alvarez-1088734268-DUELO</v>
      </c>
    </row>
    <row r="281" spans="1:23" s="187" customFormat="1" x14ac:dyDescent="0.2">
      <c r="A281" s="42">
        <v>280</v>
      </c>
      <c r="B281" s="90">
        <v>1088734268</v>
      </c>
      <c r="C281" s="99" t="s">
        <v>139</v>
      </c>
      <c r="D281" s="99" t="s">
        <v>217</v>
      </c>
      <c r="E281" s="99" t="s">
        <v>848</v>
      </c>
      <c r="F281" s="99" t="s">
        <v>468</v>
      </c>
      <c r="G281" s="117">
        <v>31</v>
      </c>
      <c r="H281" s="117" t="s">
        <v>89</v>
      </c>
      <c r="I281" s="16">
        <v>45505</v>
      </c>
      <c r="J281" s="19">
        <v>28000</v>
      </c>
      <c r="K281" s="117" t="s">
        <v>214</v>
      </c>
      <c r="L281" s="117" t="s">
        <v>90</v>
      </c>
      <c r="M281" s="117" t="s">
        <v>125</v>
      </c>
      <c r="N281" s="118" t="s">
        <v>19</v>
      </c>
      <c r="O281" s="18">
        <v>33332</v>
      </c>
      <c r="P281" s="118" t="s">
        <v>101</v>
      </c>
      <c r="Q281" s="99" t="s">
        <v>126</v>
      </c>
      <c r="R281" s="99">
        <v>3163084286</v>
      </c>
      <c r="S281" s="99" t="s">
        <v>849</v>
      </c>
      <c r="T281" s="138" t="str">
        <f>IF(N281=CURSOS!$D$3,"DIPLOMADO EN ATENCION PRE-HOSPITALARIA",IF(N281=CURSOS!$D$4,"ACOMPAÑAMIENTO Y MANEJO DEL DUELO",IF(N281=CURSOS!$D$5,"ATENCION A VICTIMAS DE ATAQUE CON AGENTES QUIMICOS ",IF(N281=CURSOS!$D$6,"PRIMEROS AUXILIOS ",IF(N281=CURSOS!$D$7,"DIPLOMADO DE UNIDAD DE CUIDADOS INTENSIVOS (UCI)",IF(N281=CURSOS!$D$8,"MODELO DE ATENCION PARA EVENTOS EMERGENTES EN SALUD MENTAL (CODIGO VERDE)",IF(N281=CURSOS!$D$9,"HUMANIZACION EN EL SERVICIO DE LA SALUD Y BUENAS PRACTICAS EN PACIENTE ",IF(N281=CURSOS!$D$10,"CLINICA DE HERIDAS ",IF(N281=CURSOS!$D$11,"TOMA DE CITOLOGIA CERVICO VAGINAL ",IF(N281=CURSOS!$D$12,"SOPORTE CARDIOVASCULAR AVANZADO (ACLS) ",IF(N281=CURSOS!$D$13,"CAMILLERO ",IF(N281=CURSOS!$D$14,"TOMA DE MUESTRAS Y LABORATORIO ",IF(N281=CURSOS!$D$15,"SOPORTE VITAL BASICO (BLS)",IF(N281=CURSOS!$D$16,"ATENCION A VICTIMAS DE VIOLENCIA SEXUAL ",IF(N281=CURSOS!$D$17,"PROGRAMADO AMPLIADO DE INMUNIZACION (PAI - COVID 19)",IF(N281=CURSOS!$D$18,"ATENCION INTEGRAL EN ENFERMEDADES PREVALENTES EN PRIMERA INFANCIA (AIEPI)",IF(N281=CURSOS!$D$19,"ADMINISTRACION DE MEDICAMENTOS, INYECTOLOGIA  Y CANALIZACION ",IF(N281=CURSOS!$D$20,"OPERADOR DE VEHICULOS DE EMERGENCIA (OVE)",IF(N281=CURSOS!$D$21,"INSTITUCIONES AMIGAS DE LA MUJER Y LA INFANCIA (IAMI)",IF(N281=CURSOS!$D$22,"CUIDADO DEL DONANTE DE ORGANOS",IF(N281=CURSOS!$D$23,"ATENCION A VICTIMAS POR VIOLENCIA DE GENERO",IF(N281=CURSOS!$D$24,"IGUALDAD DE GENERO EN LA SALUD",IF(N281=CURSOS!$D$25,"BRIGADA DE EMERGENCIA",IF(N281=CURSOS!$D$26,"MANEJO DEL DOLOR Y CUIDADOS PALIATIVOS",IF(N281=CURSOS!$D$27,"TOMA DE MUESTRAS Y LABORATORIO POCT",IF(N281=CURSOS!$D$28,"IMPLANTE SUBDERMICO DE DISPOSITIVO INTRAUTERINO",IF(N281=CURSOS!$D$29,"SALUD MENTAL",IF(N281=CURSOS!$D$30,"PRIMEROS AUXILIOS PSICOLOGICOS",IF(N281=CURSOS!$D$31,"ATENCION A VICTIMAS POR CONFLICTO ARMADO",IF(N281=CURSOS!$D$32,"MANIPULACION DE ALIMENTOS Y BPM",IF(N281=CURSOS!$D$33,"ATENCION A PERSONAS CON DISCAPACIDAD",IF(N281=CURSOS!$D$34,"CUIDADO INTEGRAL DEL PACIENTE ADULTO",IF(N281=CURSOS!$D$35,"MANEJO DEFENSIVO",IF(N281=CURSOS!$D$36,"SOPORTE CARDIOVASCULAR AVANZADO NEONATAL",IF(N281=CURSOS!$D$37,"SEGURIDAD DEL PACIENTE")))))))))))))))))))))))))))))))))))</f>
        <v>SOPORTE VITAL BASICO (BLS)</v>
      </c>
      <c r="U281" s="138" t="str">
        <f t="shared" si="24"/>
        <v>Alexa Irene Rojas Alvarez</v>
      </c>
      <c r="V281" s="138" t="str">
        <f t="shared" si="25"/>
        <v>Alexa Irene Rojas Alvarez</v>
      </c>
      <c r="W281" s="138" t="str">
        <f t="shared" si="26"/>
        <v>Alexa Irene Rojas Alvarez-1088734268-BLS</v>
      </c>
    </row>
    <row r="282" spans="1:23" s="187" customFormat="1" x14ac:dyDescent="0.2">
      <c r="A282" s="42">
        <v>281</v>
      </c>
      <c r="B282" s="90">
        <v>1007282229</v>
      </c>
      <c r="C282" s="99" t="s">
        <v>269</v>
      </c>
      <c r="D282" s="99" t="s">
        <v>272</v>
      </c>
      <c r="E282" s="99" t="s">
        <v>850</v>
      </c>
      <c r="F282" s="99" t="s">
        <v>851</v>
      </c>
      <c r="G282" s="117">
        <v>31</v>
      </c>
      <c r="H282" s="117" t="s">
        <v>89</v>
      </c>
      <c r="I282" s="16">
        <v>45505</v>
      </c>
      <c r="J282" s="19">
        <v>28000</v>
      </c>
      <c r="K282" s="117" t="s">
        <v>214</v>
      </c>
      <c r="L282" s="117" t="s">
        <v>90</v>
      </c>
      <c r="M282" s="117" t="s">
        <v>125</v>
      </c>
      <c r="N282" s="118" t="s">
        <v>23</v>
      </c>
      <c r="O282" s="99"/>
      <c r="P282" s="118" t="s">
        <v>101</v>
      </c>
      <c r="Q282" s="99" t="s">
        <v>119</v>
      </c>
      <c r="R282" s="99">
        <v>3177285512</v>
      </c>
      <c r="S282" s="99" t="s">
        <v>852</v>
      </c>
      <c r="T282" s="138" t="str">
        <f>IF(N282=CURSOS!$D$3,"DIPLOMADO EN ATENCION PRE-HOSPITALARIA",IF(N282=CURSOS!$D$4,"ACOMPAÑAMIENTO Y MANEJO DEL DUELO",IF(N282=CURSOS!$D$5,"ATENCION A VICTIMAS DE ATAQUE CON AGENTES QUIMICOS ",IF(N282=CURSOS!$D$6,"PRIMEROS AUXILIOS ",IF(N282=CURSOS!$D$7,"DIPLOMADO DE UNIDAD DE CUIDADOS INTENSIVOS (UCI)",IF(N282=CURSOS!$D$8,"MODELO DE ATENCION PARA EVENTOS EMERGENTES EN SALUD MENTAL (CODIGO VERDE)",IF(N282=CURSOS!$D$9,"HUMANIZACION EN EL SERVICIO DE LA SALUD Y BUENAS PRACTICAS EN PACIENTE ",IF(N282=CURSOS!$D$10,"CLINICA DE HERIDAS ",IF(N282=CURSOS!$D$11,"TOMA DE CITOLOGIA CERVICO VAGINAL ",IF(N282=CURSOS!$D$12,"SOPORTE CARDIOVASCULAR AVANZADO (ACLS) ",IF(N282=CURSOS!$D$13,"CAMILLERO ",IF(N282=CURSOS!$D$14,"TOMA DE MUESTRAS Y LABORATORIO ",IF(N282=CURSOS!$D$15,"SOPORTE VITAL BASICO (BLS)",IF(N282=CURSOS!$D$16,"ATENCION A VICTIMAS DE VIOLENCIA SEXUAL ",IF(N282=CURSOS!$D$17,"PROGRAMADO AMPLIADO DE INMUNIZACION (PAI - COVID 19)",IF(N282=CURSOS!$D$18,"ATENCION INTEGRAL EN ENFERMEDADES PREVALENTES EN PRIMERA INFANCIA (AIEPI)",IF(N282=CURSOS!$D$19,"ADMINISTRACION DE MEDICAMENTOS, INYECTOLOGIA  Y CANALIZACION ",IF(N282=CURSOS!$D$20,"OPERADOR DE VEHICULOS DE EMERGENCIA (OVE)",IF(N282=CURSOS!$D$21,"INSTITUCIONES AMIGAS DE LA MUJER Y LA INFANCIA (IAMI)",IF(N282=CURSOS!$D$22,"CUIDADO DEL DONANTE DE ORGANOS",IF(N282=CURSOS!$D$23,"ATENCION A VICTIMAS POR VIOLENCIA DE GENERO",IF(N282=CURSOS!$D$24,"IGUALDAD DE GENERO EN LA SALUD",IF(N282=CURSOS!$D$25,"BRIGADA DE EMERGENCIA",IF(N282=CURSOS!$D$26,"MANEJO DEL DOLOR Y CUIDADOS PALIATIVOS",IF(N282=CURSOS!$D$27,"TOMA DE MUESTRAS Y LABORATORIO POCT",IF(N282=CURSOS!$D$28,"IMPLANTE SUBDERMICO DE DISPOSITIVO INTRAUTERINO",IF(N282=CURSOS!$D$29,"SALUD MENTAL",IF(N282=CURSOS!$D$30,"PRIMEROS AUXILIOS PSICOLOGICOS",IF(N282=CURSOS!$D$31,"ATENCION A VICTIMAS POR CONFLICTO ARMADO",IF(N282=CURSOS!$D$32,"MANIPULACION DE ALIMENTOS Y BPM",IF(N282=CURSOS!$D$33,"ATENCION A PERSONAS CON DISCAPACIDAD",IF(N282=CURSOS!$D$34,"CUIDADO INTEGRAL DEL PACIENTE ADULTO",IF(N282=CURSOS!$D$35,"MANEJO DEFENSIVO",IF(N282=CURSOS!$D$36,"SOPORTE CARDIOVASCULAR AVANZADO NEONATAL",IF(N282=CURSOS!$D$37,"SEGURIDAD DEL PACIENTE")))))))))))))))))))))))))))))))))))</f>
        <v>ACOMPAÑAMIENTO Y MANEJO DEL DUELO</v>
      </c>
      <c r="U282" s="138" t="str">
        <f t="shared" si="24"/>
        <v>Anyi Gissela Martinez Andrade</v>
      </c>
      <c r="V282" s="138" t="str">
        <f t="shared" si="25"/>
        <v>Anyi Gissela Martinez Andrade</v>
      </c>
      <c r="W282" s="138" t="str">
        <f t="shared" si="26"/>
        <v>Anyi Gissela Martinez Andrade-1007282229-DUELO</v>
      </c>
    </row>
    <row r="283" spans="1:23" s="187" customFormat="1" x14ac:dyDescent="0.2">
      <c r="A283" s="42">
        <v>282</v>
      </c>
      <c r="B283" s="99">
        <v>1007282229</v>
      </c>
      <c r="C283" s="99" t="s">
        <v>269</v>
      </c>
      <c r="D283" s="99" t="s">
        <v>272</v>
      </c>
      <c r="E283" s="99" t="s">
        <v>850</v>
      </c>
      <c r="F283" s="99" t="s">
        <v>851</v>
      </c>
      <c r="G283" s="117">
        <v>31</v>
      </c>
      <c r="H283" s="117" t="s">
        <v>89</v>
      </c>
      <c r="I283" s="16">
        <v>45505</v>
      </c>
      <c r="J283" s="19">
        <v>28000</v>
      </c>
      <c r="K283" s="117" t="s">
        <v>214</v>
      </c>
      <c r="L283" s="117" t="s">
        <v>90</v>
      </c>
      <c r="M283" s="117" t="s">
        <v>125</v>
      </c>
      <c r="N283" s="118" t="s">
        <v>25</v>
      </c>
      <c r="O283" s="99"/>
      <c r="P283" s="118" t="s">
        <v>101</v>
      </c>
      <c r="Q283" s="99" t="s">
        <v>119</v>
      </c>
      <c r="R283" s="99">
        <v>3177285512</v>
      </c>
      <c r="S283" s="99" t="s">
        <v>852</v>
      </c>
      <c r="T283" s="138" t="str">
        <f>IF(N283=CURSOS!$D$3,"DIPLOMADO EN ATENCION PRE-HOSPITALARIA",IF(N283=CURSOS!$D$4,"ACOMPAÑAMIENTO Y MANEJO DEL DUELO",IF(N283=CURSOS!$D$5,"ATENCION A VICTIMAS DE ATAQUE CON AGENTES QUIMICOS ",IF(N283=CURSOS!$D$6,"PRIMEROS AUXILIOS ",IF(N283=CURSOS!$D$7,"DIPLOMADO DE UNIDAD DE CUIDADOS INTENSIVOS (UCI)",IF(N283=CURSOS!$D$8,"MODELO DE ATENCION PARA EVENTOS EMERGENTES EN SALUD MENTAL (CODIGO VERDE)",IF(N283=CURSOS!$D$9,"HUMANIZACION EN EL SERVICIO DE LA SALUD Y BUENAS PRACTICAS EN PACIENTE ",IF(N283=CURSOS!$D$10,"CLINICA DE HERIDAS ",IF(N283=CURSOS!$D$11,"TOMA DE CITOLOGIA CERVICO VAGINAL ",IF(N283=CURSOS!$D$12,"SOPORTE CARDIOVASCULAR AVANZADO (ACLS) ",IF(N283=CURSOS!$D$13,"CAMILLERO ",IF(N283=CURSOS!$D$14,"TOMA DE MUESTRAS Y LABORATORIO ",IF(N283=CURSOS!$D$15,"SOPORTE VITAL BASICO (BLS)",IF(N283=CURSOS!$D$16,"ATENCION A VICTIMAS DE VIOLENCIA SEXUAL ",IF(N283=CURSOS!$D$17,"PROGRAMADO AMPLIADO DE INMUNIZACION (PAI - COVID 19)",IF(N283=CURSOS!$D$18,"ATENCION INTEGRAL EN ENFERMEDADES PREVALENTES EN PRIMERA INFANCIA (AIEPI)",IF(N283=CURSOS!$D$19,"ADMINISTRACION DE MEDICAMENTOS, INYECTOLOGIA  Y CANALIZACION ",IF(N283=CURSOS!$D$20,"OPERADOR DE VEHICULOS DE EMERGENCIA (OVE)",IF(N283=CURSOS!$D$21,"INSTITUCIONES AMIGAS DE LA MUJER Y LA INFANCIA (IAMI)",IF(N283=CURSOS!$D$22,"CUIDADO DEL DONANTE DE ORGANOS",IF(N283=CURSOS!$D$23,"ATENCION A VICTIMAS POR VIOLENCIA DE GENERO",IF(N283=CURSOS!$D$24,"IGUALDAD DE GENERO EN LA SALUD",IF(N283=CURSOS!$D$25,"BRIGADA DE EMERGENCIA",IF(N283=CURSOS!$D$26,"MANEJO DEL DOLOR Y CUIDADOS PALIATIVOS",IF(N283=CURSOS!$D$27,"TOMA DE MUESTRAS Y LABORATORIO POCT",IF(N283=CURSOS!$D$28,"IMPLANTE SUBDERMICO DE DISPOSITIVO INTRAUTERINO",IF(N283=CURSOS!$D$29,"SALUD MENTAL",IF(N283=CURSOS!$D$30,"PRIMEROS AUXILIOS PSICOLOGICOS",IF(N283=CURSOS!$D$31,"ATENCION A VICTIMAS POR CONFLICTO ARMADO",IF(N283=CURSOS!$D$32,"MANIPULACION DE ALIMENTOS Y BPM",IF(N283=CURSOS!$D$33,"ATENCION A PERSONAS CON DISCAPACIDAD",IF(N283=CURSOS!$D$34,"CUIDADO INTEGRAL DEL PACIENTE ADULTO",IF(N283=CURSOS!$D$35,"MANEJO DEFENSIVO",IF(N283=CURSOS!$D$36,"SOPORTE CARDIOVASCULAR AVANZADO NEONATAL",IF(N283=CURSOS!$D$37,"SEGURIDAD DEL PACIENTE")))))))))))))))))))))))))))))))))))</f>
        <v xml:space="preserve">ATENCION A VICTIMAS DE ATAQUE CON AGENTES QUIMICOS </v>
      </c>
      <c r="U283" s="138" t="str">
        <f t="shared" ref="U283:U295" si="27">CONCATENATE(E283," ",F283," ",C283," ",D283)</f>
        <v>Anyi Gissela Martinez Andrade</v>
      </c>
      <c r="V283" s="138" t="str">
        <f t="shared" ref="V283:V295" si="28">+PROPER(U283)</f>
        <v>Anyi Gissela Martinez Andrade</v>
      </c>
      <c r="W283" s="138" t="str">
        <f t="shared" ref="W283:W295" si="29">CONCATENATE(U283,"-",B283,"-",N283)</f>
        <v>Anyi Gissela Martinez Andrade-1007282229-QUIMICOS</v>
      </c>
    </row>
    <row r="284" spans="1:23" s="187" customFormat="1" x14ac:dyDescent="0.2">
      <c r="A284" s="42">
        <v>283</v>
      </c>
      <c r="B284" s="99">
        <v>1007282229</v>
      </c>
      <c r="C284" s="99" t="s">
        <v>269</v>
      </c>
      <c r="D284" s="99" t="s">
        <v>272</v>
      </c>
      <c r="E284" s="99" t="s">
        <v>850</v>
      </c>
      <c r="F284" s="99" t="s">
        <v>851</v>
      </c>
      <c r="G284" s="117">
        <v>31</v>
      </c>
      <c r="H284" s="117" t="s">
        <v>89</v>
      </c>
      <c r="I284" s="16">
        <v>45505</v>
      </c>
      <c r="J284" s="19">
        <v>28000</v>
      </c>
      <c r="K284" s="117" t="s">
        <v>214</v>
      </c>
      <c r="L284" s="117" t="s">
        <v>90</v>
      </c>
      <c r="M284" s="117" t="s">
        <v>125</v>
      </c>
      <c r="N284" s="118" t="s">
        <v>43</v>
      </c>
      <c r="O284" s="99"/>
      <c r="P284" s="118" t="s">
        <v>101</v>
      </c>
      <c r="Q284" s="99" t="s">
        <v>119</v>
      </c>
      <c r="R284" s="99">
        <v>3177285512</v>
      </c>
      <c r="S284" s="99" t="s">
        <v>852</v>
      </c>
      <c r="T284" s="138" t="str">
        <f>IF(N284=CURSOS!$D$3,"DIPLOMADO EN ATENCION PRE-HOSPITALARIA",IF(N284=CURSOS!$D$4,"ACOMPAÑAMIENTO Y MANEJO DEL DUELO",IF(N284=CURSOS!$D$5,"ATENCION A VICTIMAS DE ATAQUE CON AGENTES QUIMICOS ",IF(N284=CURSOS!$D$6,"PRIMEROS AUXILIOS ",IF(N284=CURSOS!$D$7,"DIPLOMADO DE UNIDAD DE CUIDADOS INTENSIVOS (UCI)",IF(N284=CURSOS!$D$8,"MODELO DE ATENCION PARA EVENTOS EMERGENTES EN SALUD MENTAL (CODIGO VERDE)",IF(N284=CURSOS!$D$9,"HUMANIZACION EN EL SERVICIO DE LA SALUD Y BUENAS PRACTICAS EN PACIENTE ",IF(N284=CURSOS!$D$10,"CLINICA DE HERIDAS ",IF(N284=CURSOS!$D$11,"TOMA DE CITOLOGIA CERVICO VAGINAL ",IF(N284=CURSOS!$D$12,"SOPORTE CARDIOVASCULAR AVANZADO (ACLS) ",IF(N284=CURSOS!$D$13,"CAMILLERO ",IF(N284=CURSOS!$D$14,"TOMA DE MUESTRAS Y LABORATORIO ",IF(N284=CURSOS!$D$15,"SOPORTE VITAL BASICO (BLS)",IF(N284=CURSOS!$D$16,"ATENCION A VICTIMAS DE VIOLENCIA SEXUAL ",IF(N284=CURSOS!$D$17,"PROGRAMADO AMPLIADO DE INMUNIZACION (PAI - COVID 19)",IF(N284=CURSOS!$D$18,"ATENCION INTEGRAL EN ENFERMEDADES PREVALENTES EN PRIMERA INFANCIA (AIEPI)",IF(N284=CURSOS!$D$19,"ADMINISTRACION DE MEDICAMENTOS, INYECTOLOGIA  Y CANALIZACION ",IF(N284=CURSOS!$D$20,"OPERADOR DE VEHICULOS DE EMERGENCIA (OVE)",IF(N284=CURSOS!$D$21,"INSTITUCIONES AMIGAS DE LA MUJER Y LA INFANCIA (IAMI)",IF(N284=CURSOS!$D$22,"CUIDADO DEL DONANTE DE ORGANOS",IF(N284=CURSOS!$D$23,"ATENCION A VICTIMAS POR VIOLENCIA DE GENERO",IF(N284=CURSOS!$D$24,"IGUALDAD DE GENERO EN LA SALUD",IF(N284=CURSOS!$D$25,"BRIGADA DE EMERGENCIA",IF(N284=CURSOS!$D$26,"MANEJO DEL DOLOR Y CUIDADOS PALIATIVOS",IF(N284=CURSOS!$D$27,"TOMA DE MUESTRAS Y LABORATORIO POCT",IF(N284=CURSOS!$D$28,"IMPLANTE SUBDERMICO DE DISPOSITIVO INTRAUTERINO",IF(N284=CURSOS!$D$29,"SALUD MENTAL",IF(N284=CURSOS!$D$30,"PRIMEROS AUXILIOS PSICOLOGICOS",IF(N284=CURSOS!$D$31,"ATENCION A VICTIMAS POR CONFLICTO ARMADO",IF(N284=CURSOS!$D$32,"MANIPULACION DE ALIMENTOS Y BPM",IF(N284=CURSOS!$D$33,"ATENCION A PERSONAS CON DISCAPACIDAD",IF(N284=CURSOS!$D$34,"CUIDADO INTEGRAL DEL PACIENTE ADULTO",IF(N284=CURSOS!$D$35,"MANEJO DEFENSIVO",IF(N284=CURSOS!$D$36,"SOPORTE CARDIOVASCULAR AVANZADO NEONATAL",IF(N284=CURSOS!$D$37,"SEGURIDAD DEL PACIENTE")))))))))))))))))))))))))))))))))))</f>
        <v xml:space="preserve">ATENCION A VICTIMAS DE VIOLENCIA SEXUAL </v>
      </c>
      <c r="U284" s="138" t="str">
        <f t="shared" si="27"/>
        <v>Anyi Gissela Martinez Andrade</v>
      </c>
      <c r="V284" s="138" t="str">
        <f t="shared" si="28"/>
        <v>Anyi Gissela Martinez Andrade</v>
      </c>
      <c r="W284" s="138" t="str">
        <f t="shared" si="29"/>
        <v>Anyi Gissela Martinez Andrade-1007282229-VIOLENCIA SEXUAL</v>
      </c>
    </row>
    <row r="285" spans="1:23" s="187" customFormat="1" x14ac:dyDescent="0.2">
      <c r="A285" s="42">
        <v>284</v>
      </c>
      <c r="B285" s="167">
        <v>1085286920</v>
      </c>
      <c r="C285" s="189" t="s">
        <v>461</v>
      </c>
      <c r="D285" s="189" t="s">
        <v>461</v>
      </c>
      <c r="E285" s="189" t="s">
        <v>446</v>
      </c>
      <c r="F285" s="189" t="s">
        <v>150</v>
      </c>
      <c r="G285" s="173">
        <v>31</v>
      </c>
      <c r="H285" s="173" t="s">
        <v>89</v>
      </c>
      <c r="I285" s="173"/>
      <c r="J285" s="170"/>
      <c r="K285" s="173"/>
      <c r="L285" s="173" t="s">
        <v>90</v>
      </c>
      <c r="M285" s="173" t="s">
        <v>875</v>
      </c>
      <c r="N285" s="118" t="s">
        <v>43</v>
      </c>
      <c r="O285" s="99"/>
      <c r="P285" s="118" t="s">
        <v>101</v>
      </c>
      <c r="Q285" s="99"/>
      <c r="R285" s="99"/>
      <c r="S285" s="99"/>
      <c r="T285" s="138" t="str">
        <f>IF(N285=CURSOS!$D$3,"DIPLOMADO EN ATENCION PRE-HOSPITALARIA",IF(N285=CURSOS!$D$4,"ACOMPAÑAMIENTO Y MANEJO DEL DUELO",IF(N285=CURSOS!$D$5,"ATENCION A VICTIMAS DE ATAQUE CON AGENTES QUIMICOS ",IF(N285=CURSOS!$D$6,"PRIMEROS AUXILIOS ",IF(N285=CURSOS!$D$7,"DIPLOMADO DE UNIDAD DE CUIDADOS INTENSIVOS (UCI)",IF(N285=CURSOS!$D$8,"MODELO DE ATENCION PARA EVENTOS EMERGENTES EN SALUD MENTAL (CODIGO VERDE)",IF(N285=CURSOS!$D$9,"HUMANIZACION EN EL SERVICIO DE LA SALUD Y BUENAS PRACTICAS EN PACIENTE ",IF(N285=CURSOS!$D$10,"CLINICA DE HERIDAS ",IF(N285=CURSOS!$D$11,"TOMA DE CITOLOGIA CERVICO VAGINAL ",IF(N285=CURSOS!$D$12,"SOPORTE CARDIOVASCULAR AVANZADO (ACLS) ",IF(N285=CURSOS!$D$13,"CAMILLERO ",IF(N285=CURSOS!$D$14,"TOMA DE MUESTRAS Y LABORATORIO ",IF(N285=CURSOS!$D$15,"SOPORTE VITAL BASICO (BLS)",IF(N285=CURSOS!$D$16,"ATENCION A VICTIMAS DE VIOLENCIA SEXUAL ",IF(N285=CURSOS!$D$17,"PROGRAMADO AMPLIADO DE INMUNIZACION (PAI - COVID 19)",IF(N285=CURSOS!$D$18,"ATENCION INTEGRAL EN ENFERMEDADES PREVALENTES EN PRIMERA INFANCIA (AIEPI)",IF(N285=CURSOS!$D$19,"ADMINISTRACION DE MEDICAMENTOS, INYECTOLOGIA  Y CANALIZACION ",IF(N285=CURSOS!$D$20,"OPERADOR DE VEHICULOS DE EMERGENCIA (OVE)",IF(N285=CURSOS!$D$21,"INSTITUCIONES AMIGAS DE LA MUJER Y LA INFANCIA (IAMI)",IF(N285=CURSOS!$D$22,"CUIDADO DEL DONANTE DE ORGANOS",IF(N285=CURSOS!$D$23,"ATENCION A VICTIMAS POR VIOLENCIA DE GENERO",IF(N285=CURSOS!$D$24,"IGUALDAD DE GENERO EN LA SALUD",IF(N285=CURSOS!$D$25,"BRIGADA DE EMERGENCIA",IF(N285=CURSOS!$D$26,"MANEJO DEL DOLOR Y CUIDADOS PALIATIVOS",IF(N285=CURSOS!$D$27,"TOMA DE MUESTRAS Y LABORATORIO POCT",IF(N285=CURSOS!$D$28,"IMPLANTE SUBDERMICO DE DISPOSITIVO INTRAUTERINO",IF(N285=CURSOS!$D$29,"SALUD MENTAL",IF(N285=CURSOS!$D$30,"PRIMEROS AUXILIOS PSICOLOGICOS",IF(N285=CURSOS!$D$31,"ATENCION A VICTIMAS POR CONFLICTO ARMADO",IF(N285=CURSOS!$D$32,"MANIPULACION DE ALIMENTOS Y BPM",IF(N285=CURSOS!$D$33,"ATENCION A PERSONAS CON DISCAPACIDAD",IF(N285=CURSOS!$D$34,"CUIDADO INTEGRAL DEL PACIENTE ADULTO",IF(N285=CURSOS!$D$35,"MANEJO DEFENSIVO",IF(N285=CURSOS!$D$36,"SOPORTE CARDIOVASCULAR AVANZADO NEONATAL",IF(N285=CURSOS!$D$37,"SEGURIDAD DEL PACIENTE")))))))))))))))))))))))))))))))))))</f>
        <v xml:space="preserve">ATENCION A VICTIMAS DE VIOLENCIA SEXUAL </v>
      </c>
      <c r="U285" s="138" t="str">
        <f t="shared" si="27"/>
        <v>Edith Yamile Daza Daza</v>
      </c>
      <c r="V285" s="138" t="str">
        <f t="shared" si="28"/>
        <v>Edith Yamile Daza Daza</v>
      </c>
      <c r="W285" s="138" t="str">
        <f t="shared" si="29"/>
        <v>Edith Yamile Daza Daza-1085286920-VIOLENCIA SEXUAL</v>
      </c>
    </row>
    <row r="286" spans="1:23" s="187" customFormat="1" x14ac:dyDescent="0.2">
      <c r="A286" s="42">
        <v>285</v>
      </c>
      <c r="B286" s="167">
        <v>30731972</v>
      </c>
      <c r="C286" s="189" t="s">
        <v>855</v>
      </c>
      <c r="D286" s="189" t="s">
        <v>222</v>
      </c>
      <c r="E286" s="189" t="s">
        <v>856</v>
      </c>
      <c r="F286" s="189" t="s">
        <v>434</v>
      </c>
      <c r="G286" s="173">
        <v>31</v>
      </c>
      <c r="H286" s="173" t="s">
        <v>89</v>
      </c>
      <c r="I286" s="173"/>
      <c r="J286" s="170"/>
      <c r="K286" s="173"/>
      <c r="L286" s="173" t="s">
        <v>90</v>
      </c>
      <c r="M286" s="173" t="s">
        <v>875</v>
      </c>
      <c r="N286" s="118" t="s">
        <v>43</v>
      </c>
      <c r="O286" s="99"/>
      <c r="P286" s="118" t="s">
        <v>101</v>
      </c>
      <c r="Q286" s="99"/>
      <c r="R286" s="99"/>
      <c r="S286" s="99"/>
      <c r="T286" s="138" t="str">
        <f>IF(N286=CURSOS!$D$3,"DIPLOMADO EN ATENCION PRE-HOSPITALARIA",IF(N286=CURSOS!$D$4,"ACOMPAÑAMIENTO Y MANEJO DEL DUELO",IF(N286=CURSOS!$D$5,"ATENCION A VICTIMAS DE ATAQUE CON AGENTES QUIMICOS ",IF(N286=CURSOS!$D$6,"PRIMEROS AUXILIOS ",IF(N286=CURSOS!$D$7,"DIPLOMADO DE UNIDAD DE CUIDADOS INTENSIVOS (UCI)",IF(N286=CURSOS!$D$8,"MODELO DE ATENCION PARA EVENTOS EMERGENTES EN SALUD MENTAL (CODIGO VERDE)",IF(N286=CURSOS!$D$9,"HUMANIZACION EN EL SERVICIO DE LA SALUD Y BUENAS PRACTICAS EN PACIENTE ",IF(N286=CURSOS!$D$10,"CLINICA DE HERIDAS ",IF(N286=CURSOS!$D$11,"TOMA DE CITOLOGIA CERVICO VAGINAL ",IF(N286=CURSOS!$D$12,"SOPORTE CARDIOVASCULAR AVANZADO (ACLS) ",IF(N286=CURSOS!$D$13,"CAMILLERO ",IF(N286=CURSOS!$D$14,"TOMA DE MUESTRAS Y LABORATORIO ",IF(N286=CURSOS!$D$15,"SOPORTE VITAL BASICO (BLS)",IF(N286=CURSOS!$D$16,"ATENCION A VICTIMAS DE VIOLENCIA SEXUAL ",IF(N286=CURSOS!$D$17,"PROGRAMADO AMPLIADO DE INMUNIZACION (PAI - COVID 19)",IF(N286=CURSOS!$D$18,"ATENCION INTEGRAL EN ENFERMEDADES PREVALENTES EN PRIMERA INFANCIA (AIEPI)",IF(N286=CURSOS!$D$19,"ADMINISTRACION DE MEDICAMENTOS, INYECTOLOGIA  Y CANALIZACION ",IF(N286=CURSOS!$D$20,"OPERADOR DE VEHICULOS DE EMERGENCIA (OVE)",IF(N286=CURSOS!$D$21,"INSTITUCIONES AMIGAS DE LA MUJER Y LA INFANCIA (IAMI)",IF(N286=CURSOS!$D$22,"CUIDADO DEL DONANTE DE ORGANOS",IF(N286=CURSOS!$D$23,"ATENCION A VICTIMAS POR VIOLENCIA DE GENERO",IF(N286=CURSOS!$D$24,"IGUALDAD DE GENERO EN LA SALUD",IF(N286=CURSOS!$D$25,"BRIGADA DE EMERGENCIA",IF(N286=CURSOS!$D$26,"MANEJO DEL DOLOR Y CUIDADOS PALIATIVOS",IF(N286=CURSOS!$D$27,"TOMA DE MUESTRAS Y LABORATORIO POCT",IF(N286=CURSOS!$D$28,"IMPLANTE SUBDERMICO DE DISPOSITIVO INTRAUTERINO",IF(N286=CURSOS!$D$29,"SALUD MENTAL",IF(N286=CURSOS!$D$30,"PRIMEROS AUXILIOS PSICOLOGICOS",IF(N286=CURSOS!$D$31,"ATENCION A VICTIMAS POR CONFLICTO ARMADO",IF(N286=CURSOS!$D$32,"MANIPULACION DE ALIMENTOS Y BPM",IF(N286=CURSOS!$D$33,"ATENCION A PERSONAS CON DISCAPACIDAD",IF(N286=CURSOS!$D$34,"CUIDADO INTEGRAL DEL PACIENTE ADULTO",IF(N286=CURSOS!$D$35,"MANEJO DEFENSIVO",IF(N286=CURSOS!$D$36,"SOPORTE CARDIOVASCULAR AVANZADO NEONATAL",IF(N286=CURSOS!$D$37,"SEGURIDAD DEL PACIENTE")))))))))))))))))))))))))))))))))))</f>
        <v xml:space="preserve">ATENCION A VICTIMAS DE VIOLENCIA SEXUAL </v>
      </c>
      <c r="U286" s="138" t="str">
        <f t="shared" si="27"/>
        <v>Ofelia Del carmen Gordillo Ceron</v>
      </c>
      <c r="V286" s="138" t="str">
        <f t="shared" si="28"/>
        <v>Ofelia Del Carmen Gordillo Ceron</v>
      </c>
      <c r="W286" s="138" t="str">
        <f t="shared" si="29"/>
        <v>Ofelia Del carmen Gordillo Ceron-30731972-VIOLENCIA SEXUAL</v>
      </c>
    </row>
    <row r="287" spans="1:23" s="187" customFormat="1" x14ac:dyDescent="0.2">
      <c r="A287" s="42">
        <v>286</v>
      </c>
      <c r="B287" s="167">
        <v>30729187</v>
      </c>
      <c r="C287" s="189" t="s">
        <v>322</v>
      </c>
      <c r="D287" s="189" t="s">
        <v>857</v>
      </c>
      <c r="E287" s="189" t="s">
        <v>153</v>
      </c>
      <c r="F287" s="189" t="s">
        <v>154</v>
      </c>
      <c r="G287" s="173">
        <v>31</v>
      </c>
      <c r="H287" s="173" t="s">
        <v>89</v>
      </c>
      <c r="I287" s="173"/>
      <c r="J287" s="170"/>
      <c r="K287" s="173"/>
      <c r="L287" s="173" t="s">
        <v>90</v>
      </c>
      <c r="M287" s="173" t="s">
        <v>875</v>
      </c>
      <c r="N287" s="118" t="s">
        <v>43</v>
      </c>
      <c r="O287" s="99"/>
      <c r="P287" s="118" t="s">
        <v>101</v>
      </c>
      <c r="Q287" s="99"/>
      <c r="R287" s="99"/>
      <c r="S287" s="99"/>
      <c r="T287" s="138" t="str">
        <f>IF(N287=CURSOS!$D$3,"DIPLOMADO EN ATENCION PRE-HOSPITALARIA",IF(N287=CURSOS!$D$4,"ACOMPAÑAMIENTO Y MANEJO DEL DUELO",IF(N287=CURSOS!$D$5,"ATENCION A VICTIMAS DE ATAQUE CON AGENTES QUIMICOS ",IF(N287=CURSOS!$D$6,"PRIMEROS AUXILIOS ",IF(N287=CURSOS!$D$7,"DIPLOMADO DE UNIDAD DE CUIDADOS INTENSIVOS (UCI)",IF(N287=CURSOS!$D$8,"MODELO DE ATENCION PARA EVENTOS EMERGENTES EN SALUD MENTAL (CODIGO VERDE)",IF(N287=CURSOS!$D$9,"HUMANIZACION EN EL SERVICIO DE LA SALUD Y BUENAS PRACTICAS EN PACIENTE ",IF(N287=CURSOS!$D$10,"CLINICA DE HERIDAS ",IF(N287=CURSOS!$D$11,"TOMA DE CITOLOGIA CERVICO VAGINAL ",IF(N287=CURSOS!$D$12,"SOPORTE CARDIOVASCULAR AVANZADO (ACLS) ",IF(N287=CURSOS!$D$13,"CAMILLERO ",IF(N287=CURSOS!$D$14,"TOMA DE MUESTRAS Y LABORATORIO ",IF(N287=CURSOS!$D$15,"SOPORTE VITAL BASICO (BLS)",IF(N287=CURSOS!$D$16,"ATENCION A VICTIMAS DE VIOLENCIA SEXUAL ",IF(N287=CURSOS!$D$17,"PROGRAMADO AMPLIADO DE INMUNIZACION (PAI - COVID 19)",IF(N287=CURSOS!$D$18,"ATENCION INTEGRAL EN ENFERMEDADES PREVALENTES EN PRIMERA INFANCIA (AIEPI)",IF(N287=CURSOS!$D$19,"ADMINISTRACION DE MEDICAMENTOS, INYECTOLOGIA  Y CANALIZACION ",IF(N287=CURSOS!$D$20,"OPERADOR DE VEHICULOS DE EMERGENCIA (OVE)",IF(N287=CURSOS!$D$21,"INSTITUCIONES AMIGAS DE LA MUJER Y LA INFANCIA (IAMI)",IF(N287=CURSOS!$D$22,"CUIDADO DEL DONANTE DE ORGANOS",IF(N287=CURSOS!$D$23,"ATENCION A VICTIMAS POR VIOLENCIA DE GENERO",IF(N287=CURSOS!$D$24,"IGUALDAD DE GENERO EN LA SALUD",IF(N287=CURSOS!$D$25,"BRIGADA DE EMERGENCIA",IF(N287=CURSOS!$D$26,"MANEJO DEL DOLOR Y CUIDADOS PALIATIVOS",IF(N287=CURSOS!$D$27,"TOMA DE MUESTRAS Y LABORATORIO POCT",IF(N287=CURSOS!$D$28,"IMPLANTE SUBDERMICO DE DISPOSITIVO INTRAUTERINO",IF(N287=CURSOS!$D$29,"SALUD MENTAL",IF(N287=CURSOS!$D$30,"PRIMEROS AUXILIOS PSICOLOGICOS",IF(N287=CURSOS!$D$31,"ATENCION A VICTIMAS POR CONFLICTO ARMADO",IF(N287=CURSOS!$D$32,"MANIPULACION DE ALIMENTOS Y BPM",IF(N287=CURSOS!$D$33,"ATENCION A PERSONAS CON DISCAPACIDAD",IF(N287=CURSOS!$D$34,"CUIDADO INTEGRAL DEL PACIENTE ADULTO",IF(N287=CURSOS!$D$35,"MANEJO DEFENSIVO",IF(N287=CURSOS!$D$36,"SOPORTE CARDIOVASCULAR AVANZADO NEONATAL",IF(N287=CURSOS!$D$37,"SEGURIDAD DEL PACIENTE")))))))))))))))))))))))))))))))))))</f>
        <v xml:space="preserve">ATENCION A VICTIMAS DE VIOLENCIA SEXUAL </v>
      </c>
      <c r="U287" s="138" t="str">
        <f t="shared" si="27"/>
        <v>Angela Patricia Villareal Jaramillo</v>
      </c>
      <c r="V287" s="138" t="str">
        <f t="shared" si="28"/>
        <v>Angela Patricia Villareal Jaramillo</v>
      </c>
      <c r="W287" s="138" t="str">
        <f t="shared" si="29"/>
        <v>Angela Patricia Villareal Jaramillo-30729187-VIOLENCIA SEXUAL</v>
      </c>
    </row>
    <row r="288" spans="1:23" s="187" customFormat="1" x14ac:dyDescent="0.2">
      <c r="A288" s="42">
        <v>287</v>
      </c>
      <c r="B288" s="167">
        <v>30732881</v>
      </c>
      <c r="C288" s="189" t="s">
        <v>484</v>
      </c>
      <c r="D288" s="189" t="s">
        <v>269</v>
      </c>
      <c r="E288" s="189" t="s">
        <v>858</v>
      </c>
      <c r="F288" s="189" t="s">
        <v>397</v>
      </c>
      <c r="G288" s="173">
        <v>31</v>
      </c>
      <c r="H288" s="173" t="s">
        <v>89</v>
      </c>
      <c r="I288" s="173"/>
      <c r="J288" s="170"/>
      <c r="K288" s="173"/>
      <c r="L288" s="173" t="s">
        <v>90</v>
      </c>
      <c r="M288" s="173" t="s">
        <v>875</v>
      </c>
      <c r="N288" s="118" t="s">
        <v>43</v>
      </c>
      <c r="O288" s="99"/>
      <c r="P288" s="118" t="s">
        <v>101</v>
      </c>
      <c r="Q288" s="99"/>
      <c r="R288" s="99"/>
      <c r="S288" s="99"/>
      <c r="T288" s="138" t="str">
        <f>IF(N288=CURSOS!$D$3,"DIPLOMADO EN ATENCION PRE-HOSPITALARIA",IF(N288=CURSOS!$D$4,"ACOMPAÑAMIENTO Y MANEJO DEL DUELO",IF(N288=CURSOS!$D$5,"ATENCION A VICTIMAS DE ATAQUE CON AGENTES QUIMICOS ",IF(N288=CURSOS!$D$6,"PRIMEROS AUXILIOS ",IF(N288=CURSOS!$D$7,"DIPLOMADO DE UNIDAD DE CUIDADOS INTENSIVOS (UCI)",IF(N288=CURSOS!$D$8,"MODELO DE ATENCION PARA EVENTOS EMERGENTES EN SALUD MENTAL (CODIGO VERDE)",IF(N288=CURSOS!$D$9,"HUMANIZACION EN EL SERVICIO DE LA SALUD Y BUENAS PRACTICAS EN PACIENTE ",IF(N288=CURSOS!$D$10,"CLINICA DE HERIDAS ",IF(N288=CURSOS!$D$11,"TOMA DE CITOLOGIA CERVICO VAGINAL ",IF(N288=CURSOS!$D$12,"SOPORTE CARDIOVASCULAR AVANZADO (ACLS) ",IF(N288=CURSOS!$D$13,"CAMILLERO ",IF(N288=CURSOS!$D$14,"TOMA DE MUESTRAS Y LABORATORIO ",IF(N288=CURSOS!$D$15,"SOPORTE VITAL BASICO (BLS)",IF(N288=CURSOS!$D$16,"ATENCION A VICTIMAS DE VIOLENCIA SEXUAL ",IF(N288=CURSOS!$D$17,"PROGRAMADO AMPLIADO DE INMUNIZACION (PAI - COVID 19)",IF(N288=CURSOS!$D$18,"ATENCION INTEGRAL EN ENFERMEDADES PREVALENTES EN PRIMERA INFANCIA (AIEPI)",IF(N288=CURSOS!$D$19,"ADMINISTRACION DE MEDICAMENTOS, INYECTOLOGIA  Y CANALIZACION ",IF(N288=CURSOS!$D$20,"OPERADOR DE VEHICULOS DE EMERGENCIA (OVE)",IF(N288=CURSOS!$D$21,"INSTITUCIONES AMIGAS DE LA MUJER Y LA INFANCIA (IAMI)",IF(N288=CURSOS!$D$22,"CUIDADO DEL DONANTE DE ORGANOS",IF(N288=CURSOS!$D$23,"ATENCION A VICTIMAS POR VIOLENCIA DE GENERO",IF(N288=CURSOS!$D$24,"IGUALDAD DE GENERO EN LA SALUD",IF(N288=CURSOS!$D$25,"BRIGADA DE EMERGENCIA",IF(N288=CURSOS!$D$26,"MANEJO DEL DOLOR Y CUIDADOS PALIATIVOS",IF(N288=CURSOS!$D$27,"TOMA DE MUESTRAS Y LABORATORIO POCT",IF(N288=CURSOS!$D$28,"IMPLANTE SUBDERMICO DE DISPOSITIVO INTRAUTERINO",IF(N288=CURSOS!$D$29,"SALUD MENTAL",IF(N288=CURSOS!$D$30,"PRIMEROS AUXILIOS PSICOLOGICOS",IF(N288=CURSOS!$D$31,"ATENCION A VICTIMAS POR CONFLICTO ARMADO",IF(N288=CURSOS!$D$32,"MANIPULACION DE ALIMENTOS Y BPM",IF(N288=CURSOS!$D$33,"ATENCION A PERSONAS CON DISCAPACIDAD",IF(N288=CURSOS!$D$34,"CUIDADO INTEGRAL DEL PACIENTE ADULTO",IF(N288=CURSOS!$D$35,"MANEJO DEFENSIVO",IF(N288=CURSOS!$D$36,"SOPORTE CARDIOVASCULAR AVANZADO NEONATAL",IF(N288=CURSOS!$D$37,"SEGURIDAD DEL PACIENTE")))))))))))))))))))))))))))))))))))</f>
        <v xml:space="preserve">ATENCION A VICTIMAS DE VIOLENCIA SEXUAL </v>
      </c>
      <c r="U288" s="138" t="str">
        <f t="shared" si="27"/>
        <v>Aida Maritza Bolaños Martinez</v>
      </c>
      <c r="V288" s="138" t="str">
        <f t="shared" si="28"/>
        <v>Aida Maritza Bolaños Martinez</v>
      </c>
      <c r="W288" s="138" t="str">
        <f t="shared" si="29"/>
        <v>Aida Maritza Bolaños Martinez-30732881-VIOLENCIA SEXUAL</v>
      </c>
    </row>
    <row r="289" spans="1:23" s="187" customFormat="1" x14ac:dyDescent="0.2">
      <c r="A289" s="42">
        <v>288</v>
      </c>
      <c r="B289" s="167">
        <v>30744402</v>
      </c>
      <c r="C289" s="189" t="s">
        <v>859</v>
      </c>
      <c r="D289" s="189" t="s">
        <v>860</v>
      </c>
      <c r="E289" s="189" t="s">
        <v>179</v>
      </c>
      <c r="F289" s="189" t="s">
        <v>293</v>
      </c>
      <c r="G289" s="173">
        <v>31</v>
      </c>
      <c r="H289" s="173" t="s">
        <v>89</v>
      </c>
      <c r="I289" s="173"/>
      <c r="J289" s="170"/>
      <c r="K289" s="173"/>
      <c r="L289" s="173" t="s">
        <v>90</v>
      </c>
      <c r="M289" s="173" t="s">
        <v>875</v>
      </c>
      <c r="N289" s="118" t="s">
        <v>43</v>
      </c>
      <c r="O289" s="99"/>
      <c r="P289" s="118" t="s">
        <v>101</v>
      </c>
      <c r="Q289" s="99"/>
      <c r="R289" s="99"/>
      <c r="S289" s="99"/>
      <c r="T289" s="138" t="str">
        <f>IF(N289=CURSOS!$D$3,"DIPLOMADO EN ATENCION PRE-HOSPITALARIA",IF(N289=CURSOS!$D$4,"ACOMPAÑAMIENTO Y MANEJO DEL DUELO",IF(N289=CURSOS!$D$5,"ATENCION A VICTIMAS DE ATAQUE CON AGENTES QUIMICOS ",IF(N289=CURSOS!$D$6,"PRIMEROS AUXILIOS ",IF(N289=CURSOS!$D$7,"DIPLOMADO DE UNIDAD DE CUIDADOS INTENSIVOS (UCI)",IF(N289=CURSOS!$D$8,"MODELO DE ATENCION PARA EVENTOS EMERGENTES EN SALUD MENTAL (CODIGO VERDE)",IF(N289=CURSOS!$D$9,"HUMANIZACION EN EL SERVICIO DE LA SALUD Y BUENAS PRACTICAS EN PACIENTE ",IF(N289=CURSOS!$D$10,"CLINICA DE HERIDAS ",IF(N289=CURSOS!$D$11,"TOMA DE CITOLOGIA CERVICO VAGINAL ",IF(N289=CURSOS!$D$12,"SOPORTE CARDIOVASCULAR AVANZADO (ACLS) ",IF(N289=CURSOS!$D$13,"CAMILLERO ",IF(N289=CURSOS!$D$14,"TOMA DE MUESTRAS Y LABORATORIO ",IF(N289=CURSOS!$D$15,"SOPORTE VITAL BASICO (BLS)",IF(N289=CURSOS!$D$16,"ATENCION A VICTIMAS DE VIOLENCIA SEXUAL ",IF(N289=CURSOS!$D$17,"PROGRAMADO AMPLIADO DE INMUNIZACION (PAI - COVID 19)",IF(N289=CURSOS!$D$18,"ATENCION INTEGRAL EN ENFERMEDADES PREVALENTES EN PRIMERA INFANCIA (AIEPI)",IF(N289=CURSOS!$D$19,"ADMINISTRACION DE MEDICAMENTOS, INYECTOLOGIA  Y CANALIZACION ",IF(N289=CURSOS!$D$20,"OPERADOR DE VEHICULOS DE EMERGENCIA (OVE)",IF(N289=CURSOS!$D$21,"INSTITUCIONES AMIGAS DE LA MUJER Y LA INFANCIA (IAMI)",IF(N289=CURSOS!$D$22,"CUIDADO DEL DONANTE DE ORGANOS",IF(N289=CURSOS!$D$23,"ATENCION A VICTIMAS POR VIOLENCIA DE GENERO",IF(N289=CURSOS!$D$24,"IGUALDAD DE GENERO EN LA SALUD",IF(N289=CURSOS!$D$25,"BRIGADA DE EMERGENCIA",IF(N289=CURSOS!$D$26,"MANEJO DEL DOLOR Y CUIDADOS PALIATIVOS",IF(N289=CURSOS!$D$27,"TOMA DE MUESTRAS Y LABORATORIO POCT",IF(N289=CURSOS!$D$28,"IMPLANTE SUBDERMICO DE DISPOSITIVO INTRAUTERINO",IF(N289=CURSOS!$D$29,"SALUD MENTAL",IF(N289=CURSOS!$D$30,"PRIMEROS AUXILIOS PSICOLOGICOS",IF(N289=CURSOS!$D$31,"ATENCION A VICTIMAS POR CONFLICTO ARMADO",IF(N289=CURSOS!$D$32,"MANIPULACION DE ALIMENTOS Y BPM",IF(N289=CURSOS!$D$33,"ATENCION A PERSONAS CON DISCAPACIDAD",IF(N289=CURSOS!$D$34,"CUIDADO INTEGRAL DEL PACIENTE ADULTO",IF(N289=CURSOS!$D$35,"MANEJO DEFENSIVO",IF(N289=CURSOS!$D$36,"SOPORTE CARDIOVASCULAR AVANZADO NEONATAL",IF(N289=CURSOS!$D$37,"SEGURIDAD DEL PACIENTE")))))))))))))))))))))))))))))))))))</f>
        <v xml:space="preserve">ATENCION A VICTIMAS DE VIOLENCIA SEXUAL </v>
      </c>
      <c r="U289" s="138" t="str">
        <f t="shared" si="27"/>
        <v>Sandra Liliana Miramag Yandun</v>
      </c>
      <c r="V289" s="138" t="str">
        <f t="shared" si="28"/>
        <v>Sandra Liliana Miramag Yandun</v>
      </c>
      <c r="W289" s="138" t="str">
        <f t="shared" si="29"/>
        <v>Sandra Liliana Miramag Yandun-30744402-VIOLENCIA SEXUAL</v>
      </c>
    </row>
    <row r="290" spans="1:23" s="187" customFormat="1" x14ac:dyDescent="0.2">
      <c r="A290" s="42">
        <v>289</v>
      </c>
      <c r="B290" s="167">
        <v>30715742</v>
      </c>
      <c r="C290" s="189" t="s">
        <v>861</v>
      </c>
      <c r="D290" s="189" t="s">
        <v>302</v>
      </c>
      <c r="E290" s="189" t="s">
        <v>724</v>
      </c>
      <c r="F290" s="189" t="s">
        <v>862</v>
      </c>
      <c r="G290" s="173">
        <v>31</v>
      </c>
      <c r="H290" s="173" t="s">
        <v>89</v>
      </c>
      <c r="I290" s="173"/>
      <c r="J290" s="170"/>
      <c r="K290" s="173"/>
      <c r="L290" s="173" t="s">
        <v>90</v>
      </c>
      <c r="M290" s="173" t="s">
        <v>875</v>
      </c>
      <c r="N290" s="118" t="s">
        <v>43</v>
      </c>
      <c r="O290" s="99"/>
      <c r="P290" s="118" t="s">
        <v>101</v>
      </c>
      <c r="Q290" s="99"/>
      <c r="R290" s="99"/>
      <c r="S290" s="99"/>
      <c r="T290" s="138" t="str">
        <f>IF(N290=CURSOS!$D$3,"DIPLOMADO EN ATENCION PRE-HOSPITALARIA",IF(N290=CURSOS!$D$4,"ACOMPAÑAMIENTO Y MANEJO DEL DUELO",IF(N290=CURSOS!$D$5,"ATENCION A VICTIMAS DE ATAQUE CON AGENTES QUIMICOS ",IF(N290=CURSOS!$D$6,"PRIMEROS AUXILIOS ",IF(N290=CURSOS!$D$7,"DIPLOMADO DE UNIDAD DE CUIDADOS INTENSIVOS (UCI)",IF(N290=CURSOS!$D$8,"MODELO DE ATENCION PARA EVENTOS EMERGENTES EN SALUD MENTAL (CODIGO VERDE)",IF(N290=CURSOS!$D$9,"HUMANIZACION EN EL SERVICIO DE LA SALUD Y BUENAS PRACTICAS EN PACIENTE ",IF(N290=CURSOS!$D$10,"CLINICA DE HERIDAS ",IF(N290=CURSOS!$D$11,"TOMA DE CITOLOGIA CERVICO VAGINAL ",IF(N290=CURSOS!$D$12,"SOPORTE CARDIOVASCULAR AVANZADO (ACLS) ",IF(N290=CURSOS!$D$13,"CAMILLERO ",IF(N290=CURSOS!$D$14,"TOMA DE MUESTRAS Y LABORATORIO ",IF(N290=CURSOS!$D$15,"SOPORTE VITAL BASICO (BLS)",IF(N290=CURSOS!$D$16,"ATENCION A VICTIMAS DE VIOLENCIA SEXUAL ",IF(N290=CURSOS!$D$17,"PROGRAMADO AMPLIADO DE INMUNIZACION (PAI - COVID 19)",IF(N290=CURSOS!$D$18,"ATENCION INTEGRAL EN ENFERMEDADES PREVALENTES EN PRIMERA INFANCIA (AIEPI)",IF(N290=CURSOS!$D$19,"ADMINISTRACION DE MEDICAMENTOS, INYECTOLOGIA  Y CANALIZACION ",IF(N290=CURSOS!$D$20,"OPERADOR DE VEHICULOS DE EMERGENCIA (OVE)",IF(N290=CURSOS!$D$21,"INSTITUCIONES AMIGAS DE LA MUJER Y LA INFANCIA (IAMI)",IF(N290=CURSOS!$D$22,"CUIDADO DEL DONANTE DE ORGANOS",IF(N290=CURSOS!$D$23,"ATENCION A VICTIMAS POR VIOLENCIA DE GENERO",IF(N290=CURSOS!$D$24,"IGUALDAD DE GENERO EN LA SALUD",IF(N290=CURSOS!$D$25,"BRIGADA DE EMERGENCIA",IF(N290=CURSOS!$D$26,"MANEJO DEL DOLOR Y CUIDADOS PALIATIVOS",IF(N290=CURSOS!$D$27,"TOMA DE MUESTRAS Y LABORATORIO POCT",IF(N290=CURSOS!$D$28,"IMPLANTE SUBDERMICO DE DISPOSITIVO INTRAUTERINO",IF(N290=CURSOS!$D$29,"SALUD MENTAL",IF(N290=CURSOS!$D$30,"PRIMEROS AUXILIOS PSICOLOGICOS",IF(N290=CURSOS!$D$31,"ATENCION A VICTIMAS POR CONFLICTO ARMADO",IF(N290=CURSOS!$D$32,"MANIPULACION DE ALIMENTOS Y BPM",IF(N290=CURSOS!$D$33,"ATENCION A PERSONAS CON DISCAPACIDAD",IF(N290=CURSOS!$D$34,"CUIDADO INTEGRAL DEL PACIENTE ADULTO",IF(N290=CURSOS!$D$35,"MANEJO DEFENSIVO",IF(N290=CURSOS!$D$36,"SOPORTE CARDIOVASCULAR AVANZADO NEONATAL",IF(N290=CURSOS!$D$37,"SEGURIDAD DEL PACIENTE")))))))))))))))))))))))))))))))))))</f>
        <v xml:space="preserve">ATENCION A VICTIMAS DE VIOLENCIA SEXUAL </v>
      </c>
      <c r="U290" s="138" t="str">
        <f t="shared" si="27"/>
        <v>Carmen Sofia Moncayo Luna</v>
      </c>
      <c r="V290" s="138" t="str">
        <f t="shared" si="28"/>
        <v>Carmen Sofia Moncayo Luna</v>
      </c>
      <c r="W290" s="138" t="str">
        <f t="shared" si="29"/>
        <v>Carmen Sofia Moncayo Luna-30715742-VIOLENCIA SEXUAL</v>
      </c>
    </row>
    <row r="291" spans="1:23" s="187" customFormat="1" x14ac:dyDescent="0.2">
      <c r="A291" s="42">
        <v>290</v>
      </c>
      <c r="B291" s="167">
        <v>100435287</v>
      </c>
      <c r="C291" s="189" t="s">
        <v>109</v>
      </c>
      <c r="D291" s="189" t="s">
        <v>172</v>
      </c>
      <c r="E291" s="189" t="s">
        <v>153</v>
      </c>
      <c r="F291" s="189" t="s">
        <v>863</v>
      </c>
      <c r="G291" s="173">
        <v>31</v>
      </c>
      <c r="H291" s="173" t="s">
        <v>89</v>
      </c>
      <c r="I291" s="173"/>
      <c r="J291" s="170"/>
      <c r="K291" s="173"/>
      <c r="L291" s="173" t="s">
        <v>90</v>
      </c>
      <c r="M291" s="173" t="s">
        <v>875</v>
      </c>
      <c r="N291" s="118" t="s">
        <v>43</v>
      </c>
      <c r="O291" s="99"/>
      <c r="P291" s="118" t="s">
        <v>101</v>
      </c>
      <c r="Q291" s="99"/>
      <c r="R291" s="99"/>
      <c r="S291" s="99"/>
      <c r="T291" s="138" t="str">
        <f>IF(N291=CURSOS!$D$3,"DIPLOMADO EN ATENCION PRE-HOSPITALARIA",IF(N291=CURSOS!$D$4,"ACOMPAÑAMIENTO Y MANEJO DEL DUELO",IF(N291=CURSOS!$D$5,"ATENCION A VICTIMAS DE ATAQUE CON AGENTES QUIMICOS ",IF(N291=CURSOS!$D$6,"PRIMEROS AUXILIOS ",IF(N291=CURSOS!$D$7,"DIPLOMADO DE UNIDAD DE CUIDADOS INTENSIVOS (UCI)",IF(N291=CURSOS!$D$8,"MODELO DE ATENCION PARA EVENTOS EMERGENTES EN SALUD MENTAL (CODIGO VERDE)",IF(N291=CURSOS!$D$9,"HUMANIZACION EN EL SERVICIO DE LA SALUD Y BUENAS PRACTICAS EN PACIENTE ",IF(N291=CURSOS!$D$10,"CLINICA DE HERIDAS ",IF(N291=CURSOS!$D$11,"TOMA DE CITOLOGIA CERVICO VAGINAL ",IF(N291=CURSOS!$D$12,"SOPORTE CARDIOVASCULAR AVANZADO (ACLS) ",IF(N291=CURSOS!$D$13,"CAMILLERO ",IF(N291=CURSOS!$D$14,"TOMA DE MUESTRAS Y LABORATORIO ",IF(N291=CURSOS!$D$15,"SOPORTE VITAL BASICO (BLS)",IF(N291=CURSOS!$D$16,"ATENCION A VICTIMAS DE VIOLENCIA SEXUAL ",IF(N291=CURSOS!$D$17,"PROGRAMADO AMPLIADO DE INMUNIZACION (PAI - COVID 19)",IF(N291=CURSOS!$D$18,"ATENCION INTEGRAL EN ENFERMEDADES PREVALENTES EN PRIMERA INFANCIA (AIEPI)",IF(N291=CURSOS!$D$19,"ADMINISTRACION DE MEDICAMENTOS, INYECTOLOGIA  Y CANALIZACION ",IF(N291=CURSOS!$D$20,"OPERADOR DE VEHICULOS DE EMERGENCIA (OVE)",IF(N291=CURSOS!$D$21,"INSTITUCIONES AMIGAS DE LA MUJER Y LA INFANCIA (IAMI)",IF(N291=CURSOS!$D$22,"CUIDADO DEL DONANTE DE ORGANOS",IF(N291=CURSOS!$D$23,"ATENCION A VICTIMAS POR VIOLENCIA DE GENERO",IF(N291=CURSOS!$D$24,"IGUALDAD DE GENERO EN LA SALUD",IF(N291=CURSOS!$D$25,"BRIGADA DE EMERGENCIA",IF(N291=CURSOS!$D$26,"MANEJO DEL DOLOR Y CUIDADOS PALIATIVOS",IF(N291=CURSOS!$D$27,"TOMA DE MUESTRAS Y LABORATORIO POCT",IF(N291=CURSOS!$D$28,"IMPLANTE SUBDERMICO DE DISPOSITIVO INTRAUTERINO",IF(N291=CURSOS!$D$29,"SALUD MENTAL",IF(N291=CURSOS!$D$30,"PRIMEROS AUXILIOS PSICOLOGICOS",IF(N291=CURSOS!$D$31,"ATENCION A VICTIMAS POR CONFLICTO ARMADO",IF(N291=CURSOS!$D$32,"MANIPULACION DE ALIMENTOS Y BPM",IF(N291=CURSOS!$D$33,"ATENCION A PERSONAS CON DISCAPACIDAD",IF(N291=CURSOS!$D$34,"CUIDADO INTEGRAL DEL PACIENTE ADULTO",IF(N291=CURSOS!$D$35,"MANEJO DEFENSIVO",IF(N291=CURSOS!$D$36,"SOPORTE CARDIOVASCULAR AVANZADO NEONATAL",IF(N291=CURSOS!$D$37,"SEGURIDAD DEL PACIENTE")))))))))))))))))))))))))))))))))))</f>
        <v xml:space="preserve">ATENCION A VICTIMAS DE VIOLENCIA SEXUAL </v>
      </c>
      <c r="U291" s="138" t="str">
        <f t="shared" si="27"/>
        <v>Angela Gabriela Obando Lopez</v>
      </c>
      <c r="V291" s="138" t="str">
        <f t="shared" si="28"/>
        <v>Angela Gabriela Obando Lopez</v>
      </c>
      <c r="W291" s="138" t="str">
        <f t="shared" si="29"/>
        <v>Angela Gabriela Obando Lopez-100435287-VIOLENCIA SEXUAL</v>
      </c>
    </row>
    <row r="292" spans="1:23" s="187" customFormat="1" x14ac:dyDescent="0.2">
      <c r="A292" s="42">
        <v>291</v>
      </c>
      <c r="B292" s="167">
        <v>1004770580</v>
      </c>
      <c r="C292" s="189" t="s">
        <v>864</v>
      </c>
      <c r="D292" s="189" t="s">
        <v>205</v>
      </c>
      <c r="E292" s="189" t="s">
        <v>865</v>
      </c>
      <c r="F292" s="189" t="s">
        <v>167</v>
      </c>
      <c r="G292" s="173">
        <v>31</v>
      </c>
      <c r="H292" s="173" t="s">
        <v>89</v>
      </c>
      <c r="I292" s="173"/>
      <c r="J292" s="170"/>
      <c r="K292" s="173"/>
      <c r="L292" s="173" t="s">
        <v>90</v>
      </c>
      <c r="M292" s="173" t="s">
        <v>875</v>
      </c>
      <c r="N292" s="118" t="s">
        <v>43</v>
      </c>
      <c r="O292" s="99"/>
      <c r="P292" s="118" t="s">
        <v>101</v>
      </c>
      <c r="Q292" s="99"/>
      <c r="R292" s="99"/>
      <c r="S292" s="99"/>
      <c r="T292" s="138" t="str">
        <f>IF(N292=CURSOS!$D$3,"DIPLOMADO EN ATENCION PRE-HOSPITALARIA",IF(N292=CURSOS!$D$4,"ACOMPAÑAMIENTO Y MANEJO DEL DUELO",IF(N292=CURSOS!$D$5,"ATENCION A VICTIMAS DE ATAQUE CON AGENTES QUIMICOS ",IF(N292=CURSOS!$D$6,"PRIMEROS AUXILIOS ",IF(N292=CURSOS!$D$7,"DIPLOMADO DE UNIDAD DE CUIDADOS INTENSIVOS (UCI)",IF(N292=CURSOS!$D$8,"MODELO DE ATENCION PARA EVENTOS EMERGENTES EN SALUD MENTAL (CODIGO VERDE)",IF(N292=CURSOS!$D$9,"HUMANIZACION EN EL SERVICIO DE LA SALUD Y BUENAS PRACTICAS EN PACIENTE ",IF(N292=CURSOS!$D$10,"CLINICA DE HERIDAS ",IF(N292=CURSOS!$D$11,"TOMA DE CITOLOGIA CERVICO VAGINAL ",IF(N292=CURSOS!$D$12,"SOPORTE CARDIOVASCULAR AVANZADO (ACLS) ",IF(N292=CURSOS!$D$13,"CAMILLERO ",IF(N292=CURSOS!$D$14,"TOMA DE MUESTRAS Y LABORATORIO ",IF(N292=CURSOS!$D$15,"SOPORTE VITAL BASICO (BLS)",IF(N292=CURSOS!$D$16,"ATENCION A VICTIMAS DE VIOLENCIA SEXUAL ",IF(N292=CURSOS!$D$17,"PROGRAMADO AMPLIADO DE INMUNIZACION (PAI - COVID 19)",IF(N292=CURSOS!$D$18,"ATENCION INTEGRAL EN ENFERMEDADES PREVALENTES EN PRIMERA INFANCIA (AIEPI)",IF(N292=CURSOS!$D$19,"ADMINISTRACION DE MEDICAMENTOS, INYECTOLOGIA  Y CANALIZACION ",IF(N292=CURSOS!$D$20,"OPERADOR DE VEHICULOS DE EMERGENCIA (OVE)",IF(N292=CURSOS!$D$21,"INSTITUCIONES AMIGAS DE LA MUJER Y LA INFANCIA (IAMI)",IF(N292=CURSOS!$D$22,"CUIDADO DEL DONANTE DE ORGANOS",IF(N292=CURSOS!$D$23,"ATENCION A VICTIMAS POR VIOLENCIA DE GENERO",IF(N292=CURSOS!$D$24,"IGUALDAD DE GENERO EN LA SALUD",IF(N292=CURSOS!$D$25,"BRIGADA DE EMERGENCIA",IF(N292=CURSOS!$D$26,"MANEJO DEL DOLOR Y CUIDADOS PALIATIVOS",IF(N292=CURSOS!$D$27,"TOMA DE MUESTRAS Y LABORATORIO POCT",IF(N292=CURSOS!$D$28,"IMPLANTE SUBDERMICO DE DISPOSITIVO INTRAUTERINO",IF(N292=CURSOS!$D$29,"SALUD MENTAL",IF(N292=CURSOS!$D$30,"PRIMEROS AUXILIOS PSICOLOGICOS",IF(N292=CURSOS!$D$31,"ATENCION A VICTIMAS POR CONFLICTO ARMADO",IF(N292=CURSOS!$D$32,"MANIPULACION DE ALIMENTOS Y BPM",IF(N292=CURSOS!$D$33,"ATENCION A PERSONAS CON DISCAPACIDAD",IF(N292=CURSOS!$D$34,"CUIDADO INTEGRAL DEL PACIENTE ADULTO",IF(N292=CURSOS!$D$35,"MANEJO DEFENSIVO",IF(N292=CURSOS!$D$36,"SOPORTE CARDIOVASCULAR AVANZADO NEONATAL",IF(N292=CURSOS!$D$37,"SEGURIDAD DEL PACIENTE")))))))))))))))))))))))))))))))))))</f>
        <v xml:space="preserve">ATENCION A VICTIMAS DE VIOLENCIA SEXUAL </v>
      </c>
      <c r="U292" s="138" t="str">
        <f t="shared" si="27"/>
        <v>Liseth Carolina Rosales Rodriguez</v>
      </c>
      <c r="V292" s="138" t="str">
        <f t="shared" si="28"/>
        <v>Liseth Carolina Rosales Rodriguez</v>
      </c>
      <c r="W292" s="138" t="str">
        <f t="shared" si="29"/>
        <v>Liseth Carolina Rosales Rodriguez-1004770580-VIOLENCIA SEXUAL</v>
      </c>
    </row>
    <row r="293" spans="1:23" s="187" customFormat="1" x14ac:dyDescent="0.2">
      <c r="A293" s="42">
        <v>292</v>
      </c>
      <c r="B293" s="167">
        <v>1085661547</v>
      </c>
      <c r="C293" s="189" t="s">
        <v>330</v>
      </c>
      <c r="D293" s="189" t="s">
        <v>484</v>
      </c>
      <c r="E293" s="189" t="s">
        <v>866</v>
      </c>
      <c r="F293" s="189" t="s">
        <v>270</v>
      </c>
      <c r="G293" s="173">
        <v>31</v>
      </c>
      <c r="H293" s="173" t="s">
        <v>89</v>
      </c>
      <c r="I293" s="173"/>
      <c r="J293" s="170"/>
      <c r="K293" s="173"/>
      <c r="L293" s="173" t="s">
        <v>90</v>
      </c>
      <c r="M293" s="173" t="s">
        <v>875</v>
      </c>
      <c r="N293" s="118" t="s">
        <v>43</v>
      </c>
      <c r="O293" s="99"/>
      <c r="P293" s="118" t="s">
        <v>101</v>
      </c>
      <c r="Q293" s="99"/>
      <c r="R293" s="99"/>
      <c r="S293" s="99"/>
      <c r="T293" s="138" t="str">
        <f>IF(N293=CURSOS!$D$3,"DIPLOMADO EN ATENCION PRE-HOSPITALARIA",IF(N293=CURSOS!$D$4,"ACOMPAÑAMIENTO Y MANEJO DEL DUELO",IF(N293=CURSOS!$D$5,"ATENCION A VICTIMAS DE ATAQUE CON AGENTES QUIMICOS ",IF(N293=CURSOS!$D$6,"PRIMEROS AUXILIOS ",IF(N293=CURSOS!$D$7,"DIPLOMADO DE UNIDAD DE CUIDADOS INTENSIVOS (UCI)",IF(N293=CURSOS!$D$8,"MODELO DE ATENCION PARA EVENTOS EMERGENTES EN SALUD MENTAL (CODIGO VERDE)",IF(N293=CURSOS!$D$9,"HUMANIZACION EN EL SERVICIO DE LA SALUD Y BUENAS PRACTICAS EN PACIENTE ",IF(N293=CURSOS!$D$10,"CLINICA DE HERIDAS ",IF(N293=CURSOS!$D$11,"TOMA DE CITOLOGIA CERVICO VAGINAL ",IF(N293=CURSOS!$D$12,"SOPORTE CARDIOVASCULAR AVANZADO (ACLS) ",IF(N293=CURSOS!$D$13,"CAMILLERO ",IF(N293=CURSOS!$D$14,"TOMA DE MUESTRAS Y LABORATORIO ",IF(N293=CURSOS!$D$15,"SOPORTE VITAL BASICO (BLS)",IF(N293=CURSOS!$D$16,"ATENCION A VICTIMAS DE VIOLENCIA SEXUAL ",IF(N293=CURSOS!$D$17,"PROGRAMADO AMPLIADO DE INMUNIZACION (PAI - COVID 19)",IF(N293=CURSOS!$D$18,"ATENCION INTEGRAL EN ENFERMEDADES PREVALENTES EN PRIMERA INFANCIA (AIEPI)",IF(N293=CURSOS!$D$19,"ADMINISTRACION DE MEDICAMENTOS, INYECTOLOGIA  Y CANALIZACION ",IF(N293=CURSOS!$D$20,"OPERADOR DE VEHICULOS DE EMERGENCIA (OVE)",IF(N293=CURSOS!$D$21,"INSTITUCIONES AMIGAS DE LA MUJER Y LA INFANCIA (IAMI)",IF(N293=CURSOS!$D$22,"CUIDADO DEL DONANTE DE ORGANOS",IF(N293=CURSOS!$D$23,"ATENCION A VICTIMAS POR VIOLENCIA DE GENERO",IF(N293=CURSOS!$D$24,"IGUALDAD DE GENERO EN LA SALUD",IF(N293=CURSOS!$D$25,"BRIGADA DE EMERGENCIA",IF(N293=CURSOS!$D$26,"MANEJO DEL DOLOR Y CUIDADOS PALIATIVOS",IF(N293=CURSOS!$D$27,"TOMA DE MUESTRAS Y LABORATORIO POCT",IF(N293=CURSOS!$D$28,"IMPLANTE SUBDERMICO DE DISPOSITIVO INTRAUTERINO",IF(N293=CURSOS!$D$29,"SALUD MENTAL",IF(N293=CURSOS!$D$30,"PRIMEROS AUXILIOS PSICOLOGICOS",IF(N293=CURSOS!$D$31,"ATENCION A VICTIMAS POR CONFLICTO ARMADO",IF(N293=CURSOS!$D$32,"MANIPULACION DE ALIMENTOS Y BPM",IF(N293=CURSOS!$D$33,"ATENCION A PERSONAS CON DISCAPACIDAD",IF(N293=CURSOS!$D$34,"CUIDADO INTEGRAL DEL PACIENTE ADULTO",IF(N293=CURSOS!$D$35,"MANEJO DEFENSIVO",IF(N293=CURSOS!$D$36,"SOPORTE CARDIOVASCULAR AVANZADO NEONATAL",IF(N293=CURSOS!$D$37,"SEGURIDAD DEL PACIENTE")))))))))))))))))))))))))))))))))))</f>
        <v xml:space="preserve">ATENCION A VICTIMAS DE VIOLENCIA SEXUAL </v>
      </c>
      <c r="U293" s="138" t="str">
        <f t="shared" si="27"/>
        <v>Jessica Alejandra Lasso Bolaños</v>
      </c>
      <c r="V293" s="138" t="str">
        <f t="shared" si="28"/>
        <v>Jessica Alejandra Lasso Bolaños</v>
      </c>
      <c r="W293" s="138" t="str">
        <f t="shared" si="29"/>
        <v>Jessica Alejandra Lasso Bolaños-1085661547-VIOLENCIA SEXUAL</v>
      </c>
    </row>
    <row r="294" spans="1:23" s="187" customFormat="1" x14ac:dyDescent="0.2">
      <c r="A294" s="42">
        <v>293</v>
      </c>
      <c r="B294" s="167">
        <v>1087960360</v>
      </c>
      <c r="C294" s="189" t="s">
        <v>109</v>
      </c>
      <c r="D294" s="189" t="s">
        <v>867</v>
      </c>
      <c r="E294" s="189" t="s">
        <v>318</v>
      </c>
      <c r="F294" s="189" t="s">
        <v>868</v>
      </c>
      <c r="G294" s="173">
        <v>31</v>
      </c>
      <c r="H294" s="173" t="s">
        <v>89</v>
      </c>
      <c r="I294" s="173"/>
      <c r="J294" s="170"/>
      <c r="K294" s="173"/>
      <c r="L294" s="173" t="s">
        <v>90</v>
      </c>
      <c r="M294" s="173" t="s">
        <v>875</v>
      </c>
      <c r="N294" s="118" t="s">
        <v>43</v>
      </c>
      <c r="O294" s="99"/>
      <c r="P294" s="118" t="s">
        <v>91</v>
      </c>
      <c r="Q294" s="99"/>
      <c r="R294" s="99"/>
      <c r="S294" s="99"/>
      <c r="T294" s="138" t="str">
        <f>IF(N294=CURSOS!$D$3,"DIPLOMADO EN ATENCION PRE-HOSPITALARIA",IF(N294=CURSOS!$D$4,"ACOMPAÑAMIENTO Y MANEJO DEL DUELO",IF(N294=CURSOS!$D$5,"ATENCION A VICTIMAS DE ATAQUE CON AGENTES QUIMICOS ",IF(N294=CURSOS!$D$6,"PRIMEROS AUXILIOS ",IF(N294=CURSOS!$D$7,"DIPLOMADO DE UNIDAD DE CUIDADOS INTENSIVOS (UCI)",IF(N294=CURSOS!$D$8,"MODELO DE ATENCION PARA EVENTOS EMERGENTES EN SALUD MENTAL (CODIGO VERDE)",IF(N294=CURSOS!$D$9,"HUMANIZACION EN EL SERVICIO DE LA SALUD Y BUENAS PRACTICAS EN PACIENTE ",IF(N294=CURSOS!$D$10,"CLINICA DE HERIDAS ",IF(N294=CURSOS!$D$11,"TOMA DE CITOLOGIA CERVICO VAGINAL ",IF(N294=CURSOS!$D$12,"SOPORTE CARDIOVASCULAR AVANZADO (ACLS) ",IF(N294=CURSOS!$D$13,"CAMILLERO ",IF(N294=CURSOS!$D$14,"TOMA DE MUESTRAS Y LABORATORIO ",IF(N294=CURSOS!$D$15,"SOPORTE VITAL BASICO (BLS)",IF(N294=CURSOS!$D$16,"ATENCION A VICTIMAS DE VIOLENCIA SEXUAL ",IF(N294=CURSOS!$D$17,"PROGRAMADO AMPLIADO DE INMUNIZACION (PAI - COVID 19)",IF(N294=CURSOS!$D$18,"ATENCION INTEGRAL EN ENFERMEDADES PREVALENTES EN PRIMERA INFANCIA (AIEPI)",IF(N294=CURSOS!$D$19,"ADMINISTRACION DE MEDICAMENTOS, INYECTOLOGIA  Y CANALIZACION ",IF(N294=CURSOS!$D$20,"OPERADOR DE VEHICULOS DE EMERGENCIA (OVE)",IF(N294=CURSOS!$D$21,"INSTITUCIONES AMIGAS DE LA MUJER Y LA INFANCIA (IAMI)",IF(N294=CURSOS!$D$22,"CUIDADO DEL DONANTE DE ORGANOS",IF(N294=CURSOS!$D$23,"ATENCION A VICTIMAS POR VIOLENCIA DE GENERO",IF(N294=CURSOS!$D$24,"IGUALDAD DE GENERO EN LA SALUD",IF(N294=CURSOS!$D$25,"BRIGADA DE EMERGENCIA",IF(N294=CURSOS!$D$26,"MANEJO DEL DOLOR Y CUIDADOS PALIATIVOS",IF(N294=CURSOS!$D$27,"TOMA DE MUESTRAS Y LABORATORIO POCT",IF(N294=CURSOS!$D$28,"IMPLANTE SUBDERMICO DE DISPOSITIVO INTRAUTERINO",IF(N294=CURSOS!$D$29,"SALUD MENTAL",IF(N294=CURSOS!$D$30,"PRIMEROS AUXILIOS PSICOLOGICOS",IF(N294=CURSOS!$D$31,"ATENCION A VICTIMAS POR CONFLICTO ARMADO",IF(N294=CURSOS!$D$32,"MANIPULACION DE ALIMENTOS Y BPM",IF(N294=CURSOS!$D$33,"ATENCION A PERSONAS CON DISCAPACIDAD",IF(N294=CURSOS!$D$34,"CUIDADO INTEGRAL DEL PACIENTE ADULTO",IF(N294=CURSOS!$D$35,"MANEJO DEFENSIVO",IF(N294=CURSOS!$D$36,"SOPORTE CARDIOVASCULAR AVANZADO NEONATAL",IF(N294=CURSOS!$D$37,"SEGURIDAD DEL PACIENTE")))))))))))))))))))))))))))))))))))</f>
        <v xml:space="preserve">ATENCION A VICTIMAS DE VIOLENCIA SEXUAL </v>
      </c>
      <c r="U294" s="138" t="str">
        <f t="shared" si="27"/>
        <v>David Esteban Obando Muñoz</v>
      </c>
      <c r="V294" s="138" t="str">
        <f t="shared" si="28"/>
        <v>David Esteban Obando Muñoz</v>
      </c>
      <c r="W294" s="138" t="str">
        <f t="shared" si="29"/>
        <v>David Esteban Obando Muñoz-1087960360-VIOLENCIA SEXUAL</v>
      </c>
    </row>
    <row r="295" spans="1:23" s="187" customFormat="1" x14ac:dyDescent="0.2">
      <c r="A295" s="42">
        <v>294</v>
      </c>
      <c r="B295" s="167">
        <v>1086016343</v>
      </c>
      <c r="C295" s="189" t="s">
        <v>531</v>
      </c>
      <c r="D295" s="189" t="s">
        <v>230</v>
      </c>
      <c r="E295" s="189" t="s">
        <v>869</v>
      </c>
      <c r="F295" s="189" t="s">
        <v>377</v>
      </c>
      <c r="G295" s="173">
        <v>31</v>
      </c>
      <c r="H295" s="173" t="s">
        <v>89</v>
      </c>
      <c r="I295" s="173"/>
      <c r="J295" s="170"/>
      <c r="K295" s="173"/>
      <c r="L295" s="173" t="s">
        <v>90</v>
      </c>
      <c r="M295" s="173" t="s">
        <v>875</v>
      </c>
      <c r="N295" s="118" t="s">
        <v>43</v>
      </c>
      <c r="O295" s="99"/>
      <c r="P295" s="118" t="s">
        <v>101</v>
      </c>
      <c r="Q295" s="99"/>
      <c r="R295" s="99"/>
      <c r="S295" s="99"/>
      <c r="T295" s="138" t="str">
        <f>IF(N295=CURSOS!$D$3,"DIPLOMADO EN ATENCION PRE-HOSPITALARIA",IF(N295=CURSOS!$D$4,"ACOMPAÑAMIENTO Y MANEJO DEL DUELO",IF(N295=CURSOS!$D$5,"ATENCION A VICTIMAS DE ATAQUE CON AGENTES QUIMICOS ",IF(N295=CURSOS!$D$6,"PRIMEROS AUXILIOS ",IF(N295=CURSOS!$D$7,"DIPLOMADO DE UNIDAD DE CUIDADOS INTENSIVOS (UCI)",IF(N295=CURSOS!$D$8,"MODELO DE ATENCION PARA EVENTOS EMERGENTES EN SALUD MENTAL (CODIGO VERDE)",IF(N295=CURSOS!$D$9,"HUMANIZACION EN EL SERVICIO DE LA SALUD Y BUENAS PRACTICAS EN PACIENTE ",IF(N295=CURSOS!$D$10,"CLINICA DE HERIDAS ",IF(N295=CURSOS!$D$11,"TOMA DE CITOLOGIA CERVICO VAGINAL ",IF(N295=CURSOS!$D$12,"SOPORTE CARDIOVASCULAR AVANZADO (ACLS) ",IF(N295=CURSOS!$D$13,"CAMILLERO ",IF(N295=CURSOS!$D$14,"TOMA DE MUESTRAS Y LABORATORIO ",IF(N295=CURSOS!$D$15,"SOPORTE VITAL BASICO (BLS)",IF(N295=CURSOS!$D$16,"ATENCION A VICTIMAS DE VIOLENCIA SEXUAL ",IF(N295=CURSOS!$D$17,"PROGRAMADO AMPLIADO DE INMUNIZACION (PAI - COVID 19)",IF(N295=CURSOS!$D$18,"ATENCION INTEGRAL EN ENFERMEDADES PREVALENTES EN PRIMERA INFANCIA (AIEPI)",IF(N295=CURSOS!$D$19,"ADMINISTRACION DE MEDICAMENTOS, INYECTOLOGIA  Y CANALIZACION ",IF(N295=CURSOS!$D$20,"OPERADOR DE VEHICULOS DE EMERGENCIA (OVE)",IF(N295=CURSOS!$D$21,"INSTITUCIONES AMIGAS DE LA MUJER Y LA INFANCIA (IAMI)",IF(N295=CURSOS!$D$22,"CUIDADO DEL DONANTE DE ORGANOS",IF(N295=CURSOS!$D$23,"ATENCION A VICTIMAS POR VIOLENCIA DE GENERO",IF(N295=CURSOS!$D$24,"IGUALDAD DE GENERO EN LA SALUD",IF(N295=CURSOS!$D$25,"BRIGADA DE EMERGENCIA",IF(N295=CURSOS!$D$26,"MANEJO DEL DOLOR Y CUIDADOS PALIATIVOS",IF(N295=CURSOS!$D$27,"TOMA DE MUESTRAS Y LABORATORIO POCT",IF(N295=CURSOS!$D$28,"IMPLANTE SUBDERMICO DE DISPOSITIVO INTRAUTERINO",IF(N295=CURSOS!$D$29,"SALUD MENTAL",IF(N295=CURSOS!$D$30,"PRIMEROS AUXILIOS PSICOLOGICOS",IF(N295=CURSOS!$D$31,"ATENCION A VICTIMAS POR CONFLICTO ARMADO",IF(N295=CURSOS!$D$32,"MANIPULACION DE ALIMENTOS Y BPM",IF(N295=CURSOS!$D$33,"ATENCION A PERSONAS CON DISCAPACIDAD",IF(N295=CURSOS!$D$34,"CUIDADO INTEGRAL DEL PACIENTE ADULTO",IF(N295=CURSOS!$D$35,"MANEJO DEFENSIVO",IF(N295=CURSOS!$D$36,"SOPORTE CARDIOVASCULAR AVANZADO NEONATAL",IF(N295=CURSOS!$D$37,"SEGURIDAD DEL PACIENTE")))))))))))))))))))))))))))))))))))</f>
        <v xml:space="preserve">ATENCION A VICTIMAS DE VIOLENCIA SEXUAL </v>
      </c>
      <c r="U295" s="138" t="str">
        <f t="shared" si="27"/>
        <v>Clara Lorena Vallejo Ortega</v>
      </c>
      <c r="V295" s="138" t="str">
        <f t="shared" si="28"/>
        <v>Clara Lorena Vallejo Ortega</v>
      </c>
      <c r="W295" s="138" t="str">
        <f t="shared" si="29"/>
        <v>Clara Lorena Vallejo Ortega-1086016343-VIOLENCIA SEXUAL</v>
      </c>
    </row>
    <row r="296" spans="1:23" s="187" customFormat="1" x14ac:dyDescent="0.2">
      <c r="A296" s="42">
        <v>295</v>
      </c>
      <c r="B296" s="167">
        <v>27090650</v>
      </c>
      <c r="C296" s="189" t="s">
        <v>114</v>
      </c>
      <c r="D296" s="189" t="s">
        <v>156</v>
      </c>
      <c r="E296" s="189" t="s">
        <v>569</v>
      </c>
      <c r="F296" s="189" t="s">
        <v>870</v>
      </c>
      <c r="G296" s="173">
        <v>31</v>
      </c>
      <c r="H296" s="173" t="s">
        <v>89</v>
      </c>
      <c r="I296" s="173"/>
      <c r="J296" s="170"/>
      <c r="K296" s="173"/>
      <c r="L296" s="173" t="s">
        <v>90</v>
      </c>
      <c r="M296" s="173" t="s">
        <v>875</v>
      </c>
      <c r="N296" s="118" t="s">
        <v>43</v>
      </c>
      <c r="O296" s="99"/>
      <c r="P296" s="118" t="s">
        <v>101</v>
      </c>
      <c r="Q296" s="99"/>
      <c r="R296" s="99"/>
      <c r="S296" s="99"/>
      <c r="T296" s="138" t="str">
        <f>IF(N296=CURSOS!$D$3,"DIPLOMADO EN ATENCION PRE-HOSPITALARIA",IF(N296=CURSOS!$D$4,"ACOMPAÑAMIENTO Y MANEJO DEL DUELO",IF(N296=CURSOS!$D$5,"ATENCION A VICTIMAS DE ATAQUE CON AGENTES QUIMICOS ",IF(N296=CURSOS!$D$6,"PRIMEROS AUXILIOS ",IF(N296=CURSOS!$D$7,"DIPLOMADO DE UNIDAD DE CUIDADOS INTENSIVOS (UCI)",IF(N296=CURSOS!$D$8,"MODELO DE ATENCION PARA EVENTOS EMERGENTES EN SALUD MENTAL (CODIGO VERDE)",IF(N296=CURSOS!$D$9,"HUMANIZACION EN EL SERVICIO DE LA SALUD Y BUENAS PRACTICAS EN PACIENTE ",IF(N296=CURSOS!$D$10,"CLINICA DE HERIDAS ",IF(N296=CURSOS!$D$11,"TOMA DE CITOLOGIA CERVICO VAGINAL ",IF(N296=CURSOS!$D$12,"SOPORTE CARDIOVASCULAR AVANZADO (ACLS) ",IF(N296=CURSOS!$D$13,"CAMILLERO ",IF(N296=CURSOS!$D$14,"TOMA DE MUESTRAS Y LABORATORIO ",IF(N296=CURSOS!$D$15,"SOPORTE VITAL BASICO (BLS)",IF(N296=CURSOS!$D$16,"ATENCION A VICTIMAS DE VIOLENCIA SEXUAL ",IF(N296=CURSOS!$D$17,"PROGRAMADO AMPLIADO DE INMUNIZACION (PAI - COVID 19)",IF(N296=CURSOS!$D$18,"ATENCION INTEGRAL EN ENFERMEDADES PREVALENTES EN PRIMERA INFANCIA (AIEPI)",IF(N296=CURSOS!$D$19,"ADMINISTRACION DE MEDICAMENTOS, INYECTOLOGIA  Y CANALIZACION ",IF(N296=CURSOS!$D$20,"OPERADOR DE VEHICULOS DE EMERGENCIA (OVE)",IF(N296=CURSOS!$D$21,"INSTITUCIONES AMIGAS DE LA MUJER Y LA INFANCIA (IAMI)",IF(N296=CURSOS!$D$22,"CUIDADO DEL DONANTE DE ORGANOS",IF(N296=CURSOS!$D$23,"ATENCION A VICTIMAS POR VIOLENCIA DE GENERO",IF(N296=CURSOS!$D$24,"IGUALDAD DE GENERO EN LA SALUD",IF(N296=CURSOS!$D$25,"BRIGADA DE EMERGENCIA",IF(N296=CURSOS!$D$26,"MANEJO DEL DOLOR Y CUIDADOS PALIATIVOS",IF(N296=CURSOS!$D$27,"TOMA DE MUESTRAS Y LABORATORIO POCT",IF(N296=CURSOS!$D$28,"IMPLANTE SUBDERMICO DE DISPOSITIVO INTRAUTERINO",IF(N296=CURSOS!$D$29,"SALUD MENTAL",IF(N296=CURSOS!$D$30,"PRIMEROS AUXILIOS PSICOLOGICOS",IF(N296=CURSOS!$D$31,"ATENCION A VICTIMAS POR CONFLICTO ARMADO",IF(N296=CURSOS!$D$32,"MANIPULACION DE ALIMENTOS Y BPM",IF(N296=CURSOS!$D$33,"ATENCION A PERSONAS CON DISCAPACIDAD",IF(N296=CURSOS!$D$34,"CUIDADO INTEGRAL DEL PACIENTE ADULTO",IF(N296=CURSOS!$D$35,"MANEJO DEFENSIVO",IF(N296=CURSOS!$D$36,"SOPORTE CARDIOVASCULAR AVANZADO NEONATAL",IF(N296=CURSOS!$D$37,"SEGURIDAD DEL PACIENTE")))))))))))))))))))))))))))))))))))</f>
        <v xml:space="preserve">ATENCION A VICTIMAS DE VIOLENCIA SEXUAL </v>
      </c>
      <c r="U296" s="138" t="str">
        <f t="shared" ref="U296:U302" si="30">CONCATENATE(E296," ",F296," ",C296," ",D296)</f>
        <v>Monica Lizethe Rosero Arteaga</v>
      </c>
      <c r="V296" s="138" t="str">
        <f t="shared" ref="V296:V302" si="31">+PROPER(U296)</f>
        <v>Monica Lizethe Rosero Arteaga</v>
      </c>
      <c r="W296" s="138" t="str">
        <f t="shared" ref="W296:W302" si="32">CONCATENATE(U296,"-",B296,"-",N296)</f>
        <v>Monica Lizethe Rosero Arteaga-27090650-VIOLENCIA SEXUAL</v>
      </c>
    </row>
    <row r="297" spans="1:23" s="187" customFormat="1" x14ac:dyDescent="0.2">
      <c r="A297" s="42">
        <v>296</v>
      </c>
      <c r="B297" s="167">
        <v>1085341669</v>
      </c>
      <c r="C297" s="189" t="s">
        <v>871</v>
      </c>
      <c r="D297" s="189" t="s">
        <v>265</v>
      </c>
      <c r="E297" s="189" t="s">
        <v>872</v>
      </c>
      <c r="F297" s="189" t="s">
        <v>873</v>
      </c>
      <c r="G297" s="173">
        <v>31</v>
      </c>
      <c r="H297" s="173" t="s">
        <v>89</v>
      </c>
      <c r="I297" s="173"/>
      <c r="J297" s="170"/>
      <c r="K297" s="173"/>
      <c r="L297" s="173" t="s">
        <v>90</v>
      </c>
      <c r="M297" s="173" t="s">
        <v>875</v>
      </c>
      <c r="N297" s="118" t="s">
        <v>43</v>
      </c>
      <c r="O297" s="99"/>
      <c r="P297" s="118" t="s">
        <v>91</v>
      </c>
      <c r="Q297" s="99"/>
      <c r="R297" s="99"/>
      <c r="S297" s="99"/>
      <c r="T297" s="138" t="str">
        <f>IF(N297=CURSOS!$D$3,"DIPLOMADO EN ATENCION PRE-HOSPITALARIA",IF(N297=CURSOS!$D$4,"ACOMPAÑAMIENTO Y MANEJO DEL DUELO",IF(N297=CURSOS!$D$5,"ATENCION A VICTIMAS DE ATAQUE CON AGENTES QUIMICOS ",IF(N297=CURSOS!$D$6,"PRIMEROS AUXILIOS ",IF(N297=CURSOS!$D$7,"DIPLOMADO DE UNIDAD DE CUIDADOS INTENSIVOS (UCI)",IF(N297=CURSOS!$D$8,"MODELO DE ATENCION PARA EVENTOS EMERGENTES EN SALUD MENTAL (CODIGO VERDE)",IF(N297=CURSOS!$D$9,"HUMANIZACION EN EL SERVICIO DE LA SALUD Y BUENAS PRACTICAS EN PACIENTE ",IF(N297=CURSOS!$D$10,"CLINICA DE HERIDAS ",IF(N297=CURSOS!$D$11,"TOMA DE CITOLOGIA CERVICO VAGINAL ",IF(N297=CURSOS!$D$12,"SOPORTE CARDIOVASCULAR AVANZADO (ACLS) ",IF(N297=CURSOS!$D$13,"CAMILLERO ",IF(N297=CURSOS!$D$14,"TOMA DE MUESTRAS Y LABORATORIO ",IF(N297=CURSOS!$D$15,"SOPORTE VITAL BASICO (BLS)",IF(N297=CURSOS!$D$16,"ATENCION A VICTIMAS DE VIOLENCIA SEXUAL ",IF(N297=CURSOS!$D$17,"PROGRAMADO AMPLIADO DE INMUNIZACION (PAI - COVID 19)",IF(N297=CURSOS!$D$18,"ATENCION INTEGRAL EN ENFERMEDADES PREVALENTES EN PRIMERA INFANCIA (AIEPI)",IF(N297=CURSOS!$D$19,"ADMINISTRACION DE MEDICAMENTOS, INYECTOLOGIA  Y CANALIZACION ",IF(N297=CURSOS!$D$20,"OPERADOR DE VEHICULOS DE EMERGENCIA (OVE)",IF(N297=CURSOS!$D$21,"INSTITUCIONES AMIGAS DE LA MUJER Y LA INFANCIA (IAMI)",IF(N297=CURSOS!$D$22,"CUIDADO DEL DONANTE DE ORGANOS",IF(N297=CURSOS!$D$23,"ATENCION A VICTIMAS POR VIOLENCIA DE GENERO",IF(N297=CURSOS!$D$24,"IGUALDAD DE GENERO EN LA SALUD",IF(N297=CURSOS!$D$25,"BRIGADA DE EMERGENCIA",IF(N297=CURSOS!$D$26,"MANEJO DEL DOLOR Y CUIDADOS PALIATIVOS",IF(N297=CURSOS!$D$27,"TOMA DE MUESTRAS Y LABORATORIO POCT",IF(N297=CURSOS!$D$28,"IMPLANTE SUBDERMICO DE DISPOSITIVO INTRAUTERINO",IF(N297=CURSOS!$D$29,"SALUD MENTAL",IF(N297=CURSOS!$D$30,"PRIMEROS AUXILIOS PSICOLOGICOS",IF(N297=CURSOS!$D$31,"ATENCION A VICTIMAS POR CONFLICTO ARMADO",IF(N297=CURSOS!$D$32,"MANIPULACION DE ALIMENTOS Y BPM",IF(N297=CURSOS!$D$33,"ATENCION A PERSONAS CON DISCAPACIDAD",IF(N297=CURSOS!$D$34,"CUIDADO INTEGRAL DEL PACIENTE ADULTO",IF(N297=CURSOS!$D$35,"MANEJO DEFENSIVO",IF(N297=CURSOS!$D$36,"SOPORTE CARDIOVASCULAR AVANZADO NEONATAL",IF(N297=CURSOS!$D$37,"SEGURIDAD DEL PACIENTE")))))))))))))))))))))))))))))))))))</f>
        <v xml:space="preserve">ATENCION A VICTIMAS DE VIOLENCIA SEXUAL </v>
      </c>
      <c r="U297" s="138" t="str">
        <f t="shared" si="30"/>
        <v>Michael Yesid Espinosa Parra</v>
      </c>
      <c r="V297" s="138" t="str">
        <f t="shared" si="31"/>
        <v>Michael Yesid Espinosa Parra</v>
      </c>
      <c r="W297" s="138" t="str">
        <f t="shared" si="32"/>
        <v>Michael Yesid Espinosa Parra-1085341669-VIOLENCIA SEXUAL</v>
      </c>
    </row>
    <row r="298" spans="1:23" s="187" customFormat="1" x14ac:dyDescent="0.2">
      <c r="A298" s="42">
        <v>297</v>
      </c>
      <c r="B298" s="167">
        <v>1087959060</v>
      </c>
      <c r="C298" s="189" t="s">
        <v>94</v>
      </c>
      <c r="D298" s="189" t="s">
        <v>94</v>
      </c>
      <c r="E298" s="189" t="s">
        <v>131</v>
      </c>
      <c r="F298" s="189" t="s">
        <v>874</v>
      </c>
      <c r="G298" s="173">
        <v>31</v>
      </c>
      <c r="H298" s="173" t="s">
        <v>89</v>
      </c>
      <c r="I298" s="173"/>
      <c r="J298" s="170"/>
      <c r="K298" s="173"/>
      <c r="L298" s="173" t="s">
        <v>90</v>
      </c>
      <c r="M298" s="173" t="s">
        <v>875</v>
      </c>
      <c r="N298" s="118" t="s">
        <v>43</v>
      </c>
      <c r="O298" s="99"/>
      <c r="P298" s="118" t="s">
        <v>91</v>
      </c>
      <c r="Q298" s="99"/>
      <c r="R298" s="99"/>
      <c r="S298" s="99"/>
      <c r="T298" s="138" t="str">
        <f>IF(N298=CURSOS!$D$3,"DIPLOMADO EN ATENCION PRE-HOSPITALARIA",IF(N298=CURSOS!$D$4,"ACOMPAÑAMIENTO Y MANEJO DEL DUELO",IF(N298=CURSOS!$D$5,"ATENCION A VICTIMAS DE ATAQUE CON AGENTES QUIMICOS ",IF(N298=CURSOS!$D$6,"PRIMEROS AUXILIOS ",IF(N298=CURSOS!$D$7,"DIPLOMADO DE UNIDAD DE CUIDADOS INTENSIVOS (UCI)",IF(N298=CURSOS!$D$8,"MODELO DE ATENCION PARA EVENTOS EMERGENTES EN SALUD MENTAL (CODIGO VERDE)",IF(N298=CURSOS!$D$9,"HUMANIZACION EN EL SERVICIO DE LA SALUD Y BUENAS PRACTICAS EN PACIENTE ",IF(N298=CURSOS!$D$10,"CLINICA DE HERIDAS ",IF(N298=CURSOS!$D$11,"TOMA DE CITOLOGIA CERVICO VAGINAL ",IF(N298=CURSOS!$D$12,"SOPORTE CARDIOVASCULAR AVANZADO (ACLS) ",IF(N298=CURSOS!$D$13,"CAMILLERO ",IF(N298=CURSOS!$D$14,"TOMA DE MUESTRAS Y LABORATORIO ",IF(N298=CURSOS!$D$15,"SOPORTE VITAL BASICO (BLS)",IF(N298=CURSOS!$D$16,"ATENCION A VICTIMAS DE VIOLENCIA SEXUAL ",IF(N298=CURSOS!$D$17,"PROGRAMADO AMPLIADO DE INMUNIZACION (PAI - COVID 19)",IF(N298=CURSOS!$D$18,"ATENCION INTEGRAL EN ENFERMEDADES PREVALENTES EN PRIMERA INFANCIA (AIEPI)",IF(N298=CURSOS!$D$19,"ADMINISTRACION DE MEDICAMENTOS, INYECTOLOGIA  Y CANALIZACION ",IF(N298=CURSOS!$D$20,"OPERADOR DE VEHICULOS DE EMERGENCIA (OVE)",IF(N298=CURSOS!$D$21,"INSTITUCIONES AMIGAS DE LA MUJER Y LA INFANCIA (IAMI)",IF(N298=CURSOS!$D$22,"CUIDADO DEL DONANTE DE ORGANOS",IF(N298=CURSOS!$D$23,"ATENCION A VICTIMAS POR VIOLENCIA DE GENERO",IF(N298=CURSOS!$D$24,"IGUALDAD DE GENERO EN LA SALUD",IF(N298=CURSOS!$D$25,"BRIGADA DE EMERGENCIA",IF(N298=CURSOS!$D$26,"MANEJO DEL DOLOR Y CUIDADOS PALIATIVOS",IF(N298=CURSOS!$D$27,"TOMA DE MUESTRAS Y LABORATORIO POCT",IF(N298=CURSOS!$D$28,"IMPLANTE SUBDERMICO DE DISPOSITIVO INTRAUTERINO",IF(N298=CURSOS!$D$29,"SALUD MENTAL",IF(N298=CURSOS!$D$30,"PRIMEROS AUXILIOS PSICOLOGICOS",IF(N298=CURSOS!$D$31,"ATENCION A VICTIMAS POR CONFLICTO ARMADO",IF(N298=CURSOS!$D$32,"MANIPULACION DE ALIMENTOS Y BPM",IF(N298=CURSOS!$D$33,"ATENCION A PERSONAS CON DISCAPACIDAD",IF(N298=CURSOS!$D$34,"CUIDADO INTEGRAL DEL PACIENTE ADULTO",IF(N298=CURSOS!$D$35,"MANEJO DEFENSIVO",IF(N298=CURSOS!$D$36,"SOPORTE CARDIOVASCULAR AVANZADO NEONATAL",IF(N298=CURSOS!$D$37,"SEGURIDAD DEL PACIENTE")))))))))))))))))))))))))))))))))))</f>
        <v xml:space="preserve">ATENCION A VICTIMAS DE VIOLENCIA SEXUAL </v>
      </c>
      <c r="U298" s="138" t="str">
        <f t="shared" si="30"/>
        <v>Andres Aldemar Portilla Portilla</v>
      </c>
      <c r="V298" s="138" t="str">
        <f t="shared" si="31"/>
        <v>Andres Aldemar Portilla Portilla</v>
      </c>
      <c r="W298" s="138" t="str">
        <f t="shared" si="32"/>
        <v>Andres Aldemar Portilla Portilla-1087959060-VIOLENCIA SEXUAL</v>
      </c>
    </row>
    <row r="299" spans="1:23" x14ac:dyDescent="0.2">
      <c r="A299" s="122">
        <v>298</v>
      </c>
      <c r="T299" s="124" t="b">
        <f>IF(N299=CURSOS!$D$3,"DIPLOMADO EN ATENCION PRE-HOSPITALARIA",IF(N299=CURSOS!$D$4,"ACOMPAÑAMIENTO Y MANEJO DEL DUELO",IF(N299=CURSOS!$D$5,"ATENCION A VICTIMAS DE ATAQUE CON AGENTES QUIMICOS ",IF(N299=CURSOS!$D$6,"PRIMEROS AUXILIOS ",IF(N299=CURSOS!$D$7,"DIPLOMADO DE UNIDAD DE CUIDADOS INTENSIVOS (UCI)",IF(N299=CURSOS!$D$8,"MODELO DE ATENCION PARA EVENTOS EMERGENTES EN SALUD MENTAL (CODIGO VERDE)",IF(N299=CURSOS!$D$9,"HUMANIZACION EN EL SERVICIO DE LA SALUD Y BUENAS PRACTICAS EN PACIENTE ",IF(N299=CURSOS!$D$10,"CLINICA DE HERIDAS ",IF(N299=CURSOS!$D$11,"TOMA DE CITOLOGIA CERVICO VAGINAL ",IF(N299=CURSOS!$D$12,"SOPORTE CARDIOVASCULAR AVANZADO (ACLS) ",IF(N299=CURSOS!$D$13,"CAMILLERO ",IF(N299=CURSOS!$D$14,"TOMA DE MUESTRAS Y LABORATORIO ",IF(N299=CURSOS!$D$15,"SOPORTE VITAL BASICO (BLS)",IF(N299=CURSOS!$D$16,"ATENCION A VICTIMAS DE VIOLENCIA SEXUAL ",IF(N299=CURSOS!$D$17,"PROGRAMADO AMPLIADO DE INMUNIZACION (PAI - COVID 19)",IF(N299=CURSOS!$D$18,"ATENCION INTEGRAL EN ENFERMEDADES PREVALENTES EN PRIMERA INFANCIA (AIEPI)",IF(N299=CURSOS!$D$19,"ADMINISTRACION DE MEDICAMENTOS, INYECTOLOGIA  Y CANALIZACION ",IF(N299=CURSOS!$D$20,"OPERADOR DE VEHICULOS DE EMERGENCIA (OVE)",IF(N299=CURSOS!$D$21,"INSTITUCIONES AMIGAS DE LA MUJER Y LA INFANCIA (IAMI)",IF(N299=CURSOS!$D$22,"CUIDADO DEL DONANTE DE ORGANOS",IF(N299=CURSOS!$D$23,"ATENCION A VICTIMAS POR VIOLENCIA DE GENERO",IF(N299=CURSOS!$D$24,"IGUALDAD DE GENERO EN LA SALUD",IF(N299=CURSOS!$D$25,"BRIGADA DE EMERGENCIA",IF(N299=CURSOS!$D$26,"MANEJO DEL DOLOR Y CUIDADOS PALIATIVOS",IF(N299=CURSOS!$D$27,"TOMA DE MUESTRAS Y LABORATORIO POCT",IF(N299=CURSOS!$D$28,"IMPLANTE SUBDERMICO DE DISPOSITIVO INTRAUTERINO",IF(N299=CURSOS!$D$29,"SALUD MENTAL",IF(N299=CURSOS!$D$30,"PRIMEROS AUXILIOS PSICOLOGICOS",IF(N299=CURSOS!$D$31,"ATENCION A VICTIMAS POR CONFLICTO ARMADO",IF(N299=CURSOS!$D$32,"MANIPULACION DE ALIMENTOS Y BPM",IF(N299=CURSOS!$D$33,"ATENCION A PERSONAS CON DISCAPACIDAD",IF(N299=CURSOS!$D$34,"CUIDADO INTEGRAL DEL PACIENTE ADULTO",IF(N299=CURSOS!$D$35,"MANEJO DEFENSIVO",IF(N299=CURSOS!$D$36,"SOPORTE CARDIOVASCULAR AVANZADO NEONATAL",IF(N299=CURSOS!$D$37,"SEGURIDAD DEL PACIENTE")))))))))))))))))))))))))))))))))))</f>
        <v>0</v>
      </c>
      <c r="U299" s="124" t="str">
        <f t="shared" si="30"/>
        <v xml:space="preserve">   </v>
      </c>
      <c r="V299" s="124" t="str">
        <f t="shared" si="31"/>
        <v xml:space="preserve">   </v>
      </c>
      <c r="W299" s="124" t="str">
        <f t="shared" si="32"/>
        <v xml:space="preserve">   --</v>
      </c>
    </row>
    <row r="300" spans="1:23" x14ac:dyDescent="0.2">
      <c r="A300" s="42">
        <v>299</v>
      </c>
      <c r="T300" s="138" t="b">
        <f>IF(N300=CURSOS!$D$3,"DIPLOMADO EN ATENCION PRE-HOSPITALARIA",IF(N300=CURSOS!$D$4,"ACOMPAÑAMIENTO Y MANEJO DEL DUELO",IF(N300=CURSOS!$D$5,"ATENCION A VICTIMAS DE ATAQUE CON AGENTES QUIMICOS ",IF(N300=CURSOS!$D$6,"PRIMEROS AUXILIOS ",IF(N300=CURSOS!$D$7,"DIPLOMADO DE UNIDAD DE CUIDADOS INTENSIVOS (UCI)",IF(N300=CURSOS!$D$8,"MODELO DE ATENCION PARA EVENTOS EMERGENTES EN SALUD MENTAL (CODIGO VERDE)",IF(N300=CURSOS!$D$9,"HUMANIZACION EN EL SERVICIO DE LA SALUD Y BUENAS PRACTICAS EN PACIENTE ",IF(N300=CURSOS!$D$10,"CLINICA DE HERIDAS ",IF(N300=CURSOS!$D$11,"TOMA DE CITOLOGIA CERVICO VAGINAL ",IF(N300=CURSOS!$D$12,"SOPORTE CARDIOVASCULAR AVANZADO (ACLS) ",IF(N300=CURSOS!$D$13,"CAMILLERO ",IF(N300=CURSOS!$D$14,"TOMA DE MUESTRAS Y LABORATORIO ",IF(N300=CURSOS!$D$15,"SOPORTE VITAL BASICO (BLS)",IF(N300=CURSOS!$D$16,"ATENCION A VICTIMAS DE VIOLENCIA SEXUAL ",IF(N300=CURSOS!$D$17,"PROGRAMADO AMPLIADO DE INMUNIZACION (PAI - COVID 19)",IF(N300=CURSOS!$D$18,"ATENCION INTEGRAL EN ENFERMEDADES PREVALENTES EN PRIMERA INFANCIA (AIEPI)",IF(N300=CURSOS!$D$19,"ADMINISTRACION DE MEDICAMENTOS, INYECTOLOGIA  Y CANALIZACION ",IF(N300=CURSOS!$D$20,"OPERADOR DE VEHICULOS DE EMERGENCIA (OVE)",IF(N300=CURSOS!$D$21,"INSTITUCIONES AMIGAS DE LA MUJER Y LA INFANCIA (IAMI)",IF(N300=CURSOS!$D$22,"CUIDADO DEL DONANTE DE ORGANOS",IF(N300=CURSOS!$D$23,"ATENCION A VICTIMAS POR VIOLENCIA DE GENERO",IF(N300=CURSOS!$D$24,"IGUALDAD DE GENERO EN LA SALUD",IF(N300=CURSOS!$D$25,"BRIGADA DE EMERGENCIA",IF(N300=CURSOS!$D$26,"MANEJO DEL DOLOR Y CUIDADOS PALIATIVOS",IF(N300=CURSOS!$D$27,"TOMA DE MUESTRAS Y LABORATORIO POCT",IF(N300=CURSOS!$D$28,"IMPLANTE SUBDERMICO DE DISPOSITIVO INTRAUTERINO",IF(N300=CURSOS!$D$29,"SALUD MENTAL",IF(N300=CURSOS!$D$30,"PRIMEROS AUXILIOS PSICOLOGICOS",IF(N300=CURSOS!$D$31,"ATENCION A VICTIMAS POR CONFLICTO ARMADO",IF(N300=CURSOS!$D$32,"MANIPULACION DE ALIMENTOS Y BPM",IF(N300=CURSOS!$D$33,"ATENCION A PERSONAS CON DISCAPACIDAD",IF(N300=CURSOS!$D$34,"CUIDADO INTEGRAL DEL PACIENTE ADULTO",IF(N300=CURSOS!$D$35,"MANEJO DEFENSIVO",IF(N300=CURSOS!$D$36,"SOPORTE CARDIOVASCULAR AVANZADO NEONATAL",IF(N300=CURSOS!$D$37,"SEGURIDAD DEL PACIENTE")))))))))))))))))))))))))))))))))))</f>
        <v>0</v>
      </c>
      <c r="U300" s="138" t="str">
        <f t="shared" si="30"/>
        <v xml:space="preserve">   </v>
      </c>
      <c r="V300" s="138" t="str">
        <f t="shared" si="31"/>
        <v xml:space="preserve">   </v>
      </c>
      <c r="W300" s="138" t="str">
        <f t="shared" si="32"/>
        <v xml:space="preserve">   --</v>
      </c>
    </row>
    <row r="301" spans="1:23" x14ac:dyDescent="0.2">
      <c r="A301" s="42">
        <v>300</v>
      </c>
      <c r="T301" s="138" t="b">
        <f>IF(N301=CURSOS!$D$3,"DIPLOMADO EN ATENCION PRE-HOSPITALARIA",IF(N301=CURSOS!$D$4,"ACOMPAÑAMIENTO Y MANEJO DEL DUELO",IF(N301=CURSOS!$D$5,"ATENCION A VICTIMAS DE ATAQUE CON AGENTES QUIMICOS ",IF(N301=CURSOS!$D$6,"PRIMEROS AUXILIOS ",IF(N301=CURSOS!$D$7,"DIPLOMADO DE UNIDAD DE CUIDADOS INTENSIVOS (UCI)",IF(N301=CURSOS!$D$8,"MODELO DE ATENCION PARA EVENTOS EMERGENTES EN SALUD MENTAL (CODIGO VERDE)",IF(N301=CURSOS!$D$9,"HUMANIZACION EN EL SERVICIO DE LA SALUD Y BUENAS PRACTICAS EN PACIENTE ",IF(N301=CURSOS!$D$10,"CLINICA DE HERIDAS ",IF(N301=CURSOS!$D$11,"TOMA DE CITOLOGIA CERVICO VAGINAL ",IF(N301=CURSOS!$D$12,"SOPORTE CARDIOVASCULAR AVANZADO (ACLS) ",IF(N301=CURSOS!$D$13,"CAMILLERO ",IF(N301=CURSOS!$D$14,"TOMA DE MUESTRAS Y LABORATORIO ",IF(N301=CURSOS!$D$15,"SOPORTE VITAL BASICO (BLS)",IF(N301=CURSOS!$D$16,"ATENCION A VICTIMAS DE VIOLENCIA SEXUAL ",IF(N301=CURSOS!$D$17,"PROGRAMADO AMPLIADO DE INMUNIZACION (PAI - COVID 19)",IF(N301=CURSOS!$D$18,"ATENCION INTEGRAL EN ENFERMEDADES PREVALENTES EN PRIMERA INFANCIA (AIEPI)",IF(N301=CURSOS!$D$19,"ADMINISTRACION DE MEDICAMENTOS, INYECTOLOGIA  Y CANALIZACION ",IF(N301=CURSOS!$D$20,"OPERADOR DE VEHICULOS DE EMERGENCIA (OVE)",IF(N301=CURSOS!$D$21,"INSTITUCIONES AMIGAS DE LA MUJER Y LA INFANCIA (IAMI)",IF(N301=CURSOS!$D$22,"CUIDADO DEL DONANTE DE ORGANOS",IF(N301=CURSOS!$D$23,"ATENCION A VICTIMAS POR VIOLENCIA DE GENERO",IF(N301=CURSOS!$D$24,"IGUALDAD DE GENERO EN LA SALUD",IF(N301=CURSOS!$D$25,"BRIGADA DE EMERGENCIA",IF(N301=CURSOS!$D$26,"MANEJO DEL DOLOR Y CUIDADOS PALIATIVOS",IF(N301=CURSOS!$D$27,"TOMA DE MUESTRAS Y LABORATORIO POCT",IF(N301=CURSOS!$D$28,"IMPLANTE SUBDERMICO DE DISPOSITIVO INTRAUTERINO",IF(N301=CURSOS!$D$29,"SALUD MENTAL",IF(N301=CURSOS!$D$30,"PRIMEROS AUXILIOS PSICOLOGICOS",IF(N301=CURSOS!$D$31,"ATENCION A VICTIMAS POR CONFLICTO ARMADO",IF(N301=CURSOS!$D$32,"MANIPULACION DE ALIMENTOS Y BPM",IF(N301=CURSOS!$D$33,"ATENCION A PERSONAS CON DISCAPACIDAD",IF(N301=CURSOS!$D$34,"CUIDADO INTEGRAL DEL PACIENTE ADULTO",IF(N301=CURSOS!$D$35,"MANEJO DEFENSIVO",IF(N301=CURSOS!$D$36,"SOPORTE CARDIOVASCULAR AVANZADO NEONATAL",IF(N301=CURSOS!$D$37,"SEGURIDAD DEL PACIENTE")))))))))))))))))))))))))))))))))))</f>
        <v>0</v>
      </c>
      <c r="U301" s="138" t="str">
        <f t="shared" si="30"/>
        <v xml:space="preserve">   </v>
      </c>
      <c r="V301" s="138" t="str">
        <f t="shared" si="31"/>
        <v xml:space="preserve">   </v>
      </c>
      <c r="W301" s="138" t="str">
        <f t="shared" si="32"/>
        <v xml:space="preserve">   --</v>
      </c>
    </row>
    <row r="302" spans="1:23" x14ac:dyDescent="0.2">
      <c r="A302" s="42">
        <v>301</v>
      </c>
      <c r="T302" s="138" t="b">
        <f>IF(N302=CURSOS!$D$3,"DIPLOMADO EN ATENCION PRE-HOSPITALARIA",IF(N302=CURSOS!$D$4,"ACOMPAÑAMIENTO Y MANEJO DEL DUELO",IF(N302=CURSOS!$D$5,"ATENCION A VICTIMAS DE ATAQUE CON AGENTES QUIMICOS ",IF(N302=CURSOS!$D$6,"PRIMEROS AUXILIOS ",IF(N302=CURSOS!$D$7,"DIPLOMADO DE UNIDAD DE CUIDADOS INTENSIVOS (UCI)",IF(N302=CURSOS!$D$8,"MODELO DE ATENCION PARA EVENTOS EMERGENTES EN SALUD MENTAL (CODIGO VERDE)",IF(N302=CURSOS!$D$9,"HUMANIZACION EN EL SERVICIO DE LA SALUD Y BUENAS PRACTICAS EN PACIENTE ",IF(N302=CURSOS!$D$10,"CLINICA DE HERIDAS ",IF(N302=CURSOS!$D$11,"TOMA DE CITOLOGIA CERVICO VAGINAL ",IF(N302=CURSOS!$D$12,"SOPORTE CARDIOVASCULAR AVANZADO (ACLS) ",IF(N302=CURSOS!$D$13,"CAMILLERO ",IF(N302=CURSOS!$D$14,"TOMA DE MUESTRAS Y LABORATORIO ",IF(N302=CURSOS!$D$15,"SOPORTE VITAL BASICO (BLS)",IF(N302=CURSOS!$D$16,"ATENCION A VICTIMAS DE VIOLENCIA SEXUAL ",IF(N302=CURSOS!$D$17,"PROGRAMADO AMPLIADO DE INMUNIZACION (PAI - COVID 19)",IF(N302=CURSOS!$D$18,"ATENCION INTEGRAL EN ENFERMEDADES PREVALENTES EN PRIMERA INFANCIA (AIEPI)",IF(N302=CURSOS!$D$19,"ADMINISTRACION DE MEDICAMENTOS, INYECTOLOGIA  Y CANALIZACION ",IF(N302=CURSOS!$D$20,"OPERADOR DE VEHICULOS DE EMERGENCIA (OVE)",IF(N302=CURSOS!$D$21,"INSTITUCIONES AMIGAS DE LA MUJER Y LA INFANCIA (IAMI)",IF(N302=CURSOS!$D$22,"CUIDADO DEL DONANTE DE ORGANOS",IF(N302=CURSOS!$D$23,"ATENCION A VICTIMAS POR VIOLENCIA DE GENERO",IF(N302=CURSOS!$D$24,"IGUALDAD DE GENERO EN LA SALUD",IF(N302=CURSOS!$D$25,"BRIGADA DE EMERGENCIA",IF(N302=CURSOS!$D$26,"MANEJO DEL DOLOR Y CUIDADOS PALIATIVOS",IF(N302=CURSOS!$D$27,"TOMA DE MUESTRAS Y LABORATORIO POCT",IF(N302=CURSOS!$D$28,"IMPLANTE SUBDERMICO DE DISPOSITIVO INTRAUTERINO",IF(N302=CURSOS!$D$29,"SALUD MENTAL",IF(N302=CURSOS!$D$30,"PRIMEROS AUXILIOS PSICOLOGICOS",IF(N302=CURSOS!$D$31,"ATENCION A VICTIMAS POR CONFLICTO ARMADO",IF(N302=CURSOS!$D$32,"MANIPULACION DE ALIMENTOS Y BPM",IF(N302=CURSOS!$D$33,"ATENCION A PERSONAS CON DISCAPACIDAD",IF(N302=CURSOS!$D$34,"CUIDADO INTEGRAL DEL PACIENTE ADULTO",IF(N302=CURSOS!$D$35,"MANEJO DEFENSIVO",IF(N302=CURSOS!$D$36,"SOPORTE CARDIOVASCULAR AVANZADO NEONATAL",IF(N302=CURSOS!$D$37,"SEGURIDAD DEL PACIENTE")))))))))))))))))))))))))))))))))))</f>
        <v>0</v>
      </c>
      <c r="U302" s="138" t="str">
        <f t="shared" si="30"/>
        <v xml:space="preserve">   </v>
      </c>
      <c r="V302" s="138" t="str">
        <f t="shared" si="31"/>
        <v xml:space="preserve">   </v>
      </c>
      <c r="W302" s="138" t="str">
        <f t="shared" si="32"/>
        <v xml:space="preserve">   --</v>
      </c>
    </row>
    <row r="303" spans="1:23" x14ac:dyDescent="0.2">
      <c r="A303" s="42">
        <v>302</v>
      </c>
    </row>
    <row r="304" spans="1:23" x14ac:dyDescent="0.2">
      <c r="A304" s="42">
        <v>303</v>
      </c>
    </row>
    <row r="305" spans="1:1" x14ac:dyDescent="0.2">
      <c r="A305" s="42">
        <v>304</v>
      </c>
    </row>
    <row r="306" spans="1:1" x14ac:dyDescent="0.2">
      <c r="A306" s="42">
        <v>305</v>
      </c>
    </row>
    <row r="307" spans="1:1" x14ac:dyDescent="0.2">
      <c r="A307" s="42">
        <v>306</v>
      </c>
    </row>
    <row r="308" spans="1:1" x14ac:dyDescent="0.2">
      <c r="A308" s="42">
        <v>307</v>
      </c>
    </row>
    <row r="309" spans="1:1" x14ac:dyDescent="0.2">
      <c r="A309" s="42">
        <v>308</v>
      </c>
    </row>
    <row r="310" spans="1:1" x14ac:dyDescent="0.2">
      <c r="A310" s="42">
        <v>309</v>
      </c>
    </row>
    <row r="311" spans="1:1" x14ac:dyDescent="0.2">
      <c r="A311" s="42">
        <v>310</v>
      </c>
    </row>
    <row r="312" spans="1:1" x14ac:dyDescent="0.2">
      <c r="A312" s="42">
        <v>311</v>
      </c>
    </row>
    <row r="313" spans="1:1" x14ac:dyDescent="0.2">
      <c r="A313" s="42">
        <v>312</v>
      </c>
    </row>
    <row r="314" spans="1:1" x14ac:dyDescent="0.2">
      <c r="A314" s="42">
        <v>313</v>
      </c>
    </row>
    <row r="315" spans="1:1" x14ac:dyDescent="0.2">
      <c r="A315" s="42">
        <v>314</v>
      </c>
    </row>
    <row r="316" spans="1:1" x14ac:dyDescent="0.2">
      <c r="A316" s="42">
        <v>315</v>
      </c>
    </row>
    <row r="317" spans="1:1" x14ac:dyDescent="0.2">
      <c r="A317" s="42">
        <v>316</v>
      </c>
    </row>
    <row r="318" spans="1:1" x14ac:dyDescent="0.2">
      <c r="A318" s="42">
        <v>317</v>
      </c>
    </row>
  </sheetData>
  <phoneticPr fontId="7" type="noConversion"/>
  <hyperlinks>
    <hyperlink ref="S44" r:id="rId1" xr:uid="{00000000-0004-0000-0000-000000000000}"/>
    <hyperlink ref="S45" r:id="rId2" xr:uid="{00000000-0004-0000-0000-000001000000}"/>
    <hyperlink ref="S46" r:id="rId3" xr:uid="{00000000-0004-0000-0000-000002000000}"/>
    <hyperlink ref="S47" r:id="rId4" xr:uid="{00000000-0004-0000-0000-000003000000}"/>
    <hyperlink ref="S54" r:id="rId5" xr:uid="{00000000-0004-0000-0000-000004000000}"/>
    <hyperlink ref="S55" r:id="rId6" xr:uid="{00000000-0004-0000-0000-000005000000}"/>
    <hyperlink ref="S73" r:id="rId7" xr:uid="{00000000-0004-0000-0000-000006000000}"/>
    <hyperlink ref="S74" r:id="rId8" xr:uid="{00000000-0004-0000-0000-000007000000}"/>
    <hyperlink ref="S75" r:id="rId9" xr:uid="{00000000-0004-0000-0000-000008000000}"/>
    <hyperlink ref="S123" r:id="rId10" xr:uid="{00000000-0004-0000-0000-000009000000}"/>
    <hyperlink ref="S208" r:id="rId11" xr:uid="{00000000-0004-0000-0000-00000A000000}"/>
    <hyperlink ref="S209" r:id="rId12" xr:uid="{00000000-0004-0000-0000-00000B000000}"/>
    <hyperlink ref="S210" r:id="rId13" xr:uid="{00000000-0004-0000-0000-00000C000000}"/>
    <hyperlink ref="S211" r:id="rId14" xr:uid="{00000000-0004-0000-0000-00000D000000}"/>
    <hyperlink ref="S212" r:id="rId15" xr:uid="{00000000-0004-0000-0000-00000E000000}"/>
  </hyperlinks>
  <pageMargins left="0.7" right="0.7" top="0.75" bottom="0.75" header="0.3" footer="0.3"/>
  <pageSetup paperSize="9" scale="12" orientation="portrait" r:id="rId1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X110"/>
  <sheetViews>
    <sheetView zoomScale="55" zoomScaleNormal="55" workbookViewId="0">
      <selection activeCell="K42" sqref="K42"/>
    </sheetView>
  </sheetViews>
  <sheetFormatPr baseColWidth="10" defaultRowHeight="15" x14ac:dyDescent="0.2"/>
  <cols>
    <col min="1" max="1" width="4.28515625" style="65" bestFit="1" customWidth="1"/>
    <col min="2" max="2" width="25.140625" style="98" customWidth="1"/>
    <col min="3" max="6" width="21" style="98" customWidth="1"/>
    <col min="7" max="7" width="7.140625" style="103" bestFit="1" customWidth="1"/>
    <col min="8" max="8" width="8.42578125" style="103" bestFit="1" customWidth="1"/>
    <col min="9" max="9" width="20.140625" style="103" customWidth="1"/>
    <col min="10" max="10" width="22" style="126" customWidth="1"/>
    <col min="11" max="11" width="14.42578125" style="103" customWidth="1"/>
    <col min="12" max="12" width="16" style="103" bestFit="1" customWidth="1"/>
    <col min="13" max="13" width="23.7109375" style="103" bestFit="1" customWidth="1"/>
    <col min="14" max="14" width="12.140625" style="98" bestFit="1" customWidth="1"/>
    <col min="15" max="15" width="27.42578125" style="110" customWidth="1"/>
    <col min="16" max="16" width="14.140625" style="103" bestFit="1" customWidth="1"/>
    <col min="17" max="17" width="40.42578125" style="98" bestFit="1" customWidth="1"/>
    <col min="18" max="18" width="15.140625" style="98" bestFit="1" customWidth="1"/>
    <col min="19" max="19" width="40.140625" style="98" bestFit="1" customWidth="1"/>
    <col min="20" max="20" width="57" style="102" bestFit="1" customWidth="1"/>
    <col min="21" max="21" width="44" style="102" bestFit="1" customWidth="1"/>
    <col min="22" max="22" width="44.5703125" style="102" bestFit="1" customWidth="1"/>
    <col min="23" max="23" width="63.7109375" style="102" bestFit="1" customWidth="1"/>
    <col min="24" max="24" width="52.85546875" style="102" bestFit="1" customWidth="1"/>
    <col min="25" max="16384" width="11.42578125" style="102"/>
  </cols>
  <sheetData>
    <row r="1" spans="1:24" s="199" customFormat="1" ht="69" customHeight="1" x14ac:dyDescent="0.25">
      <c r="A1" s="195" t="s">
        <v>71</v>
      </c>
      <c r="B1" s="196" t="s">
        <v>0</v>
      </c>
      <c r="C1" s="195" t="s">
        <v>1</v>
      </c>
      <c r="D1" s="195" t="s">
        <v>2</v>
      </c>
      <c r="E1" s="195" t="s">
        <v>3</v>
      </c>
      <c r="F1" s="195" t="s">
        <v>4</v>
      </c>
      <c r="G1" s="191" t="s">
        <v>5</v>
      </c>
      <c r="H1" s="192" t="s">
        <v>6</v>
      </c>
      <c r="I1" s="193" t="s">
        <v>7</v>
      </c>
      <c r="J1" s="194" t="s">
        <v>8</v>
      </c>
      <c r="K1" s="195" t="s">
        <v>9</v>
      </c>
      <c r="L1" s="195" t="s">
        <v>72</v>
      </c>
      <c r="M1" s="195" t="s">
        <v>10</v>
      </c>
      <c r="N1" s="195" t="s">
        <v>11</v>
      </c>
      <c r="O1" s="197" t="s">
        <v>70</v>
      </c>
      <c r="P1" s="195" t="s">
        <v>12</v>
      </c>
      <c r="Q1" s="195" t="s">
        <v>13</v>
      </c>
      <c r="R1" s="195" t="s">
        <v>14</v>
      </c>
      <c r="S1" s="195" t="s">
        <v>73</v>
      </c>
      <c r="T1" s="198" t="s">
        <v>15</v>
      </c>
      <c r="U1" s="198" t="s">
        <v>16</v>
      </c>
      <c r="V1" s="198" t="s">
        <v>17</v>
      </c>
      <c r="W1" s="198" t="s">
        <v>18</v>
      </c>
    </row>
    <row r="2" spans="1:24" s="145" customFormat="1" x14ac:dyDescent="0.2">
      <c r="A2" s="42">
        <v>1</v>
      </c>
      <c r="B2" s="17">
        <v>1085930062</v>
      </c>
      <c r="C2" s="17" t="s">
        <v>426</v>
      </c>
      <c r="D2" s="17" t="s">
        <v>301</v>
      </c>
      <c r="E2" s="17" t="s">
        <v>427</v>
      </c>
      <c r="F2" s="17" t="s">
        <v>428</v>
      </c>
      <c r="G2" s="14">
        <v>19</v>
      </c>
      <c r="H2" s="14" t="s">
        <v>89</v>
      </c>
      <c r="I2" s="16"/>
      <c r="J2" s="19"/>
      <c r="K2" s="14"/>
      <c r="L2" s="14" t="s">
        <v>90</v>
      </c>
      <c r="M2" s="14" t="s">
        <v>275</v>
      </c>
      <c r="N2" s="15" t="s">
        <v>63</v>
      </c>
      <c r="O2" s="59">
        <v>33977</v>
      </c>
      <c r="P2" s="14" t="s">
        <v>101</v>
      </c>
      <c r="Q2" s="17" t="s">
        <v>202</v>
      </c>
      <c r="R2" s="17">
        <v>3156269245</v>
      </c>
      <c r="S2" s="17" t="s">
        <v>632</v>
      </c>
      <c r="T2" s="124" t="str">
        <f>IF(N2=CURSOS!$D$3,"DIPLOMADO EN ATENCION PRE-HOSPITALARIA",IF(N2=CURSOS!$D$4,"ACOMPAÑAMIENTO Y MANEJO DEL DUELO",IF(N2=CURSOS!$D$5,"ATENCION A VICTIMAS DE ATAQUE CON AGENTES QUIMICOS ",IF(N2=CURSOS!$D$6,"PRIMEROS AUXILIOS ",IF(N2=CURSOS!$D$7,"DIPLOMADO DE UNIDAD DE CUIDADOS INTENSIVOS (UCI)",IF(N2=CURSOS!$D$8,"MODELO DE ATENCION PARA EVENTOS EMERGENTES EN SALUD MENTAL (CODIGO VERDE)",IF(N2=CURSOS!$D$9,"HUMANIZACION EN EL SERVICIO DE LA SALUD Y BUENAS PRACTICAS EN PACIENTE ",IF(N2=CURSOS!$D$10,"CLINICA DE HERIDAS ",IF(N2=CURSOS!$D$11,"TOMA DE CITOLOGIA CERVICO VAGINAL ",IF(N2=CURSOS!$D$12,"SOPORTE CARDIOVASCULAR AVANZADO (ACLS) ",IF(N2=CURSOS!$D$13,"CAMILLERO ",IF(N2=CURSOS!$D$14,"TOMA DE MUESTRAS Y LABORATORIO ",IF(N2=CURSOS!$D$15,"SOPORTE VITAL BASICO (BLS)",IF(N2=CURSOS!$D$16,"ATENCION A VICTIMAS DE VIOLENCIA SEXUAL ",IF(N2=CURSOS!$D$17,"PROGRAMADO AMPLIADO DE INMUNIZACION (PAI - COVID 19)",IF(N2=CURSOS!$D$18,"ATENCION INTEGRAL EN ENFERMEDADES PREVALENTES EN PRIMERA INFANCIA (AIEPI)",IF(N2=CURSOS!$D$19,"ADMINISTRACION DE MEDICAMENTOS, INYECTOLOGIA  Y CANALIZACION ",IF(N2=CURSOS!$D$20,"OPERADOR DE VEHICULOS DE EMERGENCIA (OVE)",IF(N2=CURSOS!$D$21,"INSTITUCIONES AMIGAS DE LA MUJER Y LA INFANCIA (IAMI)",IF(N2=CURSOS!$D$22,"CUIDADO DEL DONANTE DE ORGANOS",IF(N2=CURSOS!$D$23,"ATENCION A VICTIMAS POR VIOLENCIA DE GENERO",IF(N2=CURSOS!$D$24,"IGUALDAD DE GENERO EN LA SALUD",IF(N2=CURSOS!$D$25,"BRIGADA DE EMERGENCIA",IF(N2=CURSOS!$D$26,"MANEJO DEL DOLOR Y CUIDADOS PALIATIVOS",IF(N2=CURSOS!$D$27,"TOMA DE MUESTRAS Y LABORATORIO POCT",IF(N2=CURSOS!$D$28,"IMPLANTE SUBDERMICO DE DISPOSITIVO INTRAUTERINO",IF(N2=CURSOS!$D$29,"SALUD MENTAL",IF(N2=CURSOS!$D$30,"PRIMEROS AUXILIOS PSICOLOGICOS",IF(N2=CURSOS!$D$31,"ATENCION A VICTIMAS POR CONFLICTO ARMADO",IF(N2=CURSOS!$D$32,"MANIPULACION DE ALIMENTOS Y BPM",IF(N2=CURSOS!$D$33,"ATENCION A PERSONAS CON DISCAPACIDAD",IF(N2=CURSOS!$D$34,"CUIDADO INTEGRAL DEL PACIENTE ADULTO",IF(N2=CURSOS!$D$35,"MANEJO DEFENSIVO",IF(N2=CURSOS!$D$36,"SOPORTE CARDIOVASCULAR AVANZADO NEONATAL"))))))))))))))))))))))))))))))))))</f>
        <v>TOMA DE MUESTRAS Y LABORATORIO POCT</v>
      </c>
      <c r="U2" s="124" t="str">
        <f>CONCATENATE(E2," ",F2," ",C2," ",D2)</f>
        <v>Yesenia Lizeth Ponce Huertas</v>
      </c>
      <c r="V2" s="124" t="str">
        <f>+PROPER(U2)</f>
        <v>Yesenia Lizeth Ponce Huertas</v>
      </c>
      <c r="W2" s="138" t="str">
        <f>CONCATENATE(U2,"-",B2,"-",N2)</f>
        <v>Yesenia Lizeth Ponce Huertas-1085930062-POCT</v>
      </c>
      <c r="X2" s="101"/>
    </row>
    <row r="3" spans="1:24" s="101" customFormat="1" x14ac:dyDescent="0.2">
      <c r="A3" s="42">
        <v>2</v>
      </c>
      <c r="B3" s="17">
        <v>59824187</v>
      </c>
      <c r="C3" s="17" t="s">
        <v>343</v>
      </c>
      <c r="D3" s="17" t="s">
        <v>222</v>
      </c>
      <c r="E3" s="17" t="s">
        <v>95</v>
      </c>
      <c r="F3" s="17" t="s">
        <v>429</v>
      </c>
      <c r="G3" s="14">
        <v>19</v>
      </c>
      <c r="H3" s="14" t="s">
        <v>89</v>
      </c>
      <c r="I3" s="16"/>
      <c r="J3" s="19"/>
      <c r="K3" s="14"/>
      <c r="L3" s="14" t="s">
        <v>90</v>
      </c>
      <c r="M3" s="14" t="s">
        <v>275</v>
      </c>
      <c r="N3" s="15" t="s">
        <v>63</v>
      </c>
      <c r="O3" s="59">
        <v>27151</v>
      </c>
      <c r="P3" s="14" t="s">
        <v>101</v>
      </c>
      <c r="Q3" s="17" t="s">
        <v>202</v>
      </c>
      <c r="R3" s="17">
        <v>3217193821</v>
      </c>
      <c r="S3" s="17"/>
      <c r="T3" s="124" t="str">
        <f>IF(N3=CURSOS!$D$3,"DIPLOMADO EN ATENCION PRE-HOSPITALARIA",IF(N3=CURSOS!$D$4,"ACOMPAÑAMIENTO Y MANEJO DEL DUELO",IF(N3=CURSOS!$D$5,"ATENCION A VICTIMAS DE ATAQUE CON AGENTES QUIMICOS ",IF(N3=CURSOS!$D$6,"PRIMEROS AUXILIOS ",IF(N3=CURSOS!$D$7,"DIPLOMADO DE UNIDAD DE CUIDADOS INTENSIVOS (UCI)",IF(N3=CURSOS!$D$8,"MODELO DE ATENCION PARA EVENTOS EMERGENTES EN SALUD MENTAL (CODIGO VERDE)",IF(N3=CURSOS!$D$9,"HUMANIZACION EN EL SERVICIO DE LA SALUD Y BUENAS PRACTICAS EN PACIENTE ",IF(N3=CURSOS!$D$10,"CLINICA DE HERIDAS ",IF(N3=CURSOS!$D$11,"TOMA DE CITOLOGIA CERVICO VAGINAL ",IF(N3=CURSOS!$D$12,"SOPORTE CARDIOVASCULAR AVANZADO (ACLS) ",IF(N3=CURSOS!$D$13,"CAMILLERO ",IF(N3=CURSOS!$D$14,"TOMA DE MUESTRAS Y LABORATORIO ",IF(N3=CURSOS!$D$15,"SOPORTE VITAL BASICO (BLS)",IF(N3=CURSOS!$D$16,"ATENCION A VICTIMAS DE VIOLENCIA SEXUAL ",IF(N3=CURSOS!$D$17,"PROGRAMADO AMPLIADO DE INMUNIZACION (PAI - COVID 19)",IF(N3=CURSOS!$D$18,"ATENCION INTEGRAL EN ENFERMEDADES PREVALENTES EN PRIMERA INFANCIA (AIEPI)",IF(N3=CURSOS!$D$19,"ADMINISTRACION DE MEDICAMENTOS, INYECTOLOGIA  Y CANALIZACION ",IF(N3=CURSOS!$D$20,"OPERADOR DE VEHICULOS DE EMERGENCIA (OVE)",IF(N3=CURSOS!$D$21,"INSTITUCIONES AMIGAS DE LA MUJER Y LA INFANCIA (IAMI)",IF(N3=CURSOS!$D$22,"CUIDADO DEL DONANTE DE ORGANOS",IF(N3=CURSOS!$D$23,"ATENCION A VICTIMAS POR VIOLENCIA DE GENERO",IF(N3=CURSOS!$D$24,"IGUALDAD DE GENERO EN LA SALUD",IF(N3=CURSOS!$D$25,"BRIGADA DE EMERGENCIA",IF(N3=CURSOS!$D$26,"MANEJO DEL DOLOR Y CUIDADOS PALIATIVOS",IF(N3=CURSOS!$D$27,"TOMA DE MUESTRAS Y LABORATORIO POCT",IF(N3=CURSOS!$D$28,"IMPLANTE SUBDERMICO DE DISPOSITIVO INTRAUTERINO",IF(N3=CURSOS!$D$29,"SALUD MENTAL",IF(N3=CURSOS!$D$30,"PRIMEROS AUXILIOS PSICOLOGICOS",IF(N3=CURSOS!$D$31,"ATENCION A VICTIMAS POR CONFLICTO ARMADO",IF(N3=CURSOS!$D$32,"MANIPULACION DE ALIMENTOS Y BPM",IF(N3=CURSOS!$D$33,"ATENCION A PERSONAS CON DISCAPACIDAD",IF(N3=CURSOS!$D$34,"CUIDADO INTEGRAL DEL PACIENTE ADULTO",IF(N3=CURSOS!$D$35,"MANEJO DEFENSIVO",IF(N3=CURSOS!$D$36,"SOPORTE CARDIOVASCULAR AVANZADO NEONATAL"))))))))))))))))))))))))))))))))))</f>
        <v>TOMA DE MUESTRAS Y LABORATORIO POCT</v>
      </c>
      <c r="U3" s="124" t="str">
        <f t="shared" ref="U3:U13" si="0">CONCATENATE(E3," ",F3," ",C3," ",D3)</f>
        <v>Maria Yolanda Mora Ceron</v>
      </c>
      <c r="V3" s="124" t="str">
        <f t="shared" ref="V3:V13" si="1">+PROPER(U3)</f>
        <v>Maria Yolanda Mora Ceron</v>
      </c>
      <c r="W3" s="138" t="str">
        <f t="shared" ref="W3:W13" si="2">CONCATENATE(U3,"-",B3,"-",N3)</f>
        <v>Maria Yolanda Mora Ceron-59824187-POCT</v>
      </c>
    </row>
    <row r="4" spans="1:24" s="101" customFormat="1" x14ac:dyDescent="0.2">
      <c r="A4" s="42">
        <v>3</v>
      </c>
      <c r="B4" s="17">
        <v>27453792</v>
      </c>
      <c r="C4" s="17" t="s">
        <v>218</v>
      </c>
      <c r="D4" s="17" t="s">
        <v>172</v>
      </c>
      <c r="E4" s="17" t="s">
        <v>351</v>
      </c>
      <c r="F4" s="17" t="s">
        <v>430</v>
      </c>
      <c r="G4" s="14">
        <v>19</v>
      </c>
      <c r="H4" s="14" t="s">
        <v>89</v>
      </c>
      <c r="I4" s="16"/>
      <c r="J4" s="19"/>
      <c r="K4" s="14"/>
      <c r="L4" s="14" t="s">
        <v>90</v>
      </c>
      <c r="M4" s="14" t="s">
        <v>275</v>
      </c>
      <c r="N4" s="15" t="s">
        <v>63</v>
      </c>
      <c r="O4" s="59">
        <v>28761</v>
      </c>
      <c r="P4" s="14" t="s">
        <v>101</v>
      </c>
      <c r="Q4" s="17" t="s">
        <v>126</v>
      </c>
      <c r="R4" s="17">
        <v>3136102015</v>
      </c>
      <c r="S4" s="17"/>
      <c r="T4" s="124" t="str">
        <f>IF(N4=CURSOS!$D$3,"DIPLOMADO EN ATENCION PRE-HOSPITALARIA",IF(N4=CURSOS!$D$4,"ACOMPAÑAMIENTO Y MANEJO DEL DUELO",IF(N4=CURSOS!$D$5,"ATENCION A VICTIMAS DE ATAQUE CON AGENTES QUIMICOS ",IF(N4=CURSOS!$D$6,"PRIMEROS AUXILIOS ",IF(N4=CURSOS!$D$7,"DIPLOMADO DE UNIDAD DE CUIDADOS INTENSIVOS (UCI)",IF(N4=CURSOS!$D$8,"MODELO DE ATENCION PARA EVENTOS EMERGENTES EN SALUD MENTAL (CODIGO VERDE)",IF(N4=CURSOS!$D$9,"HUMANIZACION EN EL SERVICIO DE LA SALUD Y BUENAS PRACTICAS EN PACIENTE ",IF(N4=CURSOS!$D$10,"CLINICA DE HERIDAS ",IF(N4=CURSOS!$D$11,"TOMA DE CITOLOGIA CERVICO VAGINAL ",IF(N4=CURSOS!$D$12,"SOPORTE CARDIOVASCULAR AVANZADO (ACLS) ",IF(N4=CURSOS!$D$13,"CAMILLERO ",IF(N4=CURSOS!$D$14,"TOMA DE MUESTRAS Y LABORATORIO ",IF(N4=CURSOS!$D$15,"SOPORTE VITAL BASICO (BLS)",IF(N4=CURSOS!$D$16,"ATENCION A VICTIMAS DE VIOLENCIA SEXUAL ",IF(N4=CURSOS!$D$17,"PROGRAMADO AMPLIADO DE INMUNIZACION (PAI - COVID 19)",IF(N4=CURSOS!$D$18,"ATENCION INTEGRAL EN ENFERMEDADES PREVALENTES EN PRIMERA INFANCIA (AIEPI)",IF(N4=CURSOS!$D$19,"ADMINISTRACION DE MEDICAMENTOS, INYECTOLOGIA  Y CANALIZACION ",IF(N4=CURSOS!$D$20,"OPERADOR DE VEHICULOS DE EMERGENCIA (OVE)",IF(N4=CURSOS!$D$21,"INSTITUCIONES AMIGAS DE LA MUJER Y LA INFANCIA (IAMI)",IF(N4=CURSOS!$D$22,"CUIDADO DEL DONANTE DE ORGANOS",IF(N4=CURSOS!$D$23,"ATENCION A VICTIMAS POR VIOLENCIA DE GENERO",IF(N4=CURSOS!$D$24,"IGUALDAD DE GENERO EN LA SALUD",IF(N4=CURSOS!$D$25,"BRIGADA DE EMERGENCIA",IF(N4=CURSOS!$D$26,"MANEJO DEL DOLOR Y CUIDADOS PALIATIVOS",IF(N4=CURSOS!$D$27,"TOMA DE MUESTRAS Y LABORATORIO POCT",IF(N4=CURSOS!$D$28,"IMPLANTE SUBDERMICO DE DISPOSITIVO INTRAUTERINO",IF(N4=CURSOS!$D$29,"SALUD MENTAL",IF(N4=CURSOS!$D$30,"PRIMEROS AUXILIOS PSICOLOGICOS",IF(N4=CURSOS!$D$31,"ATENCION A VICTIMAS POR CONFLICTO ARMADO",IF(N4=CURSOS!$D$32,"MANIPULACION DE ALIMENTOS Y BPM",IF(N4=CURSOS!$D$33,"ATENCION A PERSONAS CON DISCAPACIDAD",IF(N4=CURSOS!$D$34,"CUIDADO INTEGRAL DEL PACIENTE ADULTO",IF(N4=CURSOS!$D$35,"MANEJO DEFENSIVO",IF(N4=CURSOS!$D$36,"SOPORTE CARDIOVASCULAR AVANZADO NEONATAL"))))))))))))))))))))))))))))))))))</f>
        <v>TOMA DE MUESTRAS Y LABORATORIO POCT</v>
      </c>
      <c r="U4" s="124" t="str">
        <f t="shared" si="0"/>
        <v>Claudia Enith Toro Lopez</v>
      </c>
      <c r="V4" s="124" t="str">
        <f t="shared" si="1"/>
        <v>Claudia Enith Toro Lopez</v>
      </c>
      <c r="W4" s="138" t="str">
        <f t="shared" si="2"/>
        <v>Claudia Enith Toro Lopez-27453792-POCT</v>
      </c>
    </row>
    <row r="5" spans="1:24" s="101" customFormat="1" x14ac:dyDescent="0.2">
      <c r="A5" s="42">
        <v>4</v>
      </c>
      <c r="B5" s="17">
        <v>1085262195</v>
      </c>
      <c r="C5" s="17" t="s">
        <v>172</v>
      </c>
      <c r="D5" s="17" t="s">
        <v>433</v>
      </c>
      <c r="E5" s="17" t="s">
        <v>280</v>
      </c>
      <c r="F5" s="17" t="s">
        <v>434</v>
      </c>
      <c r="G5" s="14">
        <v>19</v>
      </c>
      <c r="H5" s="14" t="s">
        <v>89</v>
      </c>
      <c r="I5" s="16"/>
      <c r="J5" s="19"/>
      <c r="K5" s="14"/>
      <c r="L5" s="14" t="s">
        <v>90</v>
      </c>
      <c r="M5" s="14" t="s">
        <v>275</v>
      </c>
      <c r="N5" s="15" t="s">
        <v>63</v>
      </c>
      <c r="O5" s="59">
        <v>31908</v>
      </c>
      <c r="P5" s="14" t="s">
        <v>101</v>
      </c>
      <c r="Q5" s="17" t="s">
        <v>126</v>
      </c>
      <c r="R5" s="17">
        <v>3146731513</v>
      </c>
      <c r="S5" s="17"/>
      <c r="T5" s="124" t="str">
        <f>IF(N5=CURSOS!$D$3,"DIPLOMADO EN ATENCION PRE-HOSPITALARIA",IF(N5=CURSOS!$D$4,"ACOMPAÑAMIENTO Y MANEJO DEL DUELO",IF(N5=CURSOS!$D$5,"ATENCION A VICTIMAS DE ATAQUE CON AGENTES QUIMICOS ",IF(N5=CURSOS!$D$6,"PRIMEROS AUXILIOS ",IF(N5=CURSOS!$D$7,"DIPLOMADO DE UNIDAD DE CUIDADOS INTENSIVOS (UCI)",IF(N5=CURSOS!$D$8,"MODELO DE ATENCION PARA EVENTOS EMERGENTES EN SALUD MENTAL (CODIGO VERDE)",IF(N5=CURSOS!$D$9,"HUMANIZACION EN EL SERVICIO DE LA SALUD Y BUENAS PRACTICAS EN PACIENTE ",IF(N5=CURSOS!$D$10,"CLINICA DE HERIDAS ",IF(N5=CURSOS!$D$11,"TOMA DE CITOLOGIA CERVICO VAGINAL ",IF(N5=CURSOS!$D$12,"SOPORTE CARDIOVASCULAR AVANZADO (ACLS) ",IF(N5=CURSOS!$D$13,"CAMILLERO ",IF(N5=CURSOS!$D$14,"TOMA DE MUESTRAS Y LABORATORIO ",IF(N5=CURSOS!$D$15,"SOPORTE VITAL BASICO (BLS)",IF(N5=CURSOS!$D$16,"ATENCION A VICTIMAS DE VIOLENCIA SEXUAL ",IF(N5=CURSOS!$D$17,"PROGRAMADO AMPLIADO DE INMUNIZACION (PAI - COVID 19)",IF(N5=CURSOS!$D$18,"ATENCION INTEGRAL EN ENFERMEDADES PREVALENTES EN PRIMERA INFANCIA (AIEPI)",IF(N5=CURSOS!$D$19,"ADMINISTRACION DE MEDICAMENTOS, INYECTOLOGIA  Y CANALIZACION ",IF(N5=CURSOS!$D$20,"OPERADOR DE VEHICULOS DE EMERGENCIA (OVE)",IF(N5=CURSOS!$D$21,"INSTITUCIONES AMIGAS DE LA MUJER Y LA INFANCIA (IAMI)",IF(N5=CURSOS!$D$22,"CUIDADO DEL DONANTE DE ORGANOS",IF(N5=CURSOS!$D$23,"ATENCION A VICTIMAS POR VIOLENCIA DE GENERO",IF(N5=CURSOS!$D$24,"IGUALDAD DE GENERO EN LA SALUD",IF(N5=CURSOS!$D$25,"BRIGADA DE EMERGENCIA",IF(N5=CURSOS!$D$26,"MANEJO DEL DOLOR Y CUIDADOS PALIATIVOS",IF(N5=CURSOS!$D$27,"TOMA DE MUESTRAS Y LABORATORIO POCT",IF(N5=CURSOS!$D$28,"IMPLANTE SUBDERMICO DE DISPOSITIVO INTRAUTERINO",IF(N5=CURSOS!$D$29,"SALUD MENTAL",IF(N5=CURSOS!$D$30,"PRIMEROS AUXILIOS PSICOLOGICOS",IF(N5=CURSOS!$D$31,"ATENCION A VICTIMAS POR CONFLICTO ARMADO",IF(N5=CURSOS!$D$32,"MANIPULACION DE ALIMENTOS Y BPM",IF(N5=CURSOS!$D$33,"ATENCION A PERSONAS CON DISCAPACIDAD",IF(N5=CURSOS!$D$34,"CUIDADO INTEGRAL DEL PACIENTE ADULTO",IF(N5=CURSOS!$D$35,"MANEJO DEFENSIVO",IF(N5=CURSOS!$D$36,"SOPORTE CARDIOVASCULAR AVANZADO NEONATAL"))))))))))))))))))))))))))))))))))</f>
        <v>TOMA DE MUESTRAS Y LABORATORIO POCT</v>
      </c>
      <c r="U5" s="124" t="str">
        <f t="shared" si="0"/>
        <v>Andrea Del carmen Lopez Gualguan</v>
      </c>
      <c r="V5" s="124" t="str">
        <f t="shared" si="1"/>
        <v>Andrea Del Carmen Lopez Gualguan</v>
      </c>
      <c r="W5" s="138" t="str">
        <f t="shared" si="2"/>
        <v>Andrea Del carmen Lopez Gualguan-1085262195-POCT</v>
      </c>
    </row>
    <row r="6" spans="1:24" s="101" customFormat="1" x14ac:dyDescent="0.2">
      <c r="A6" s="42">
        <v>5</v>
      </c>
      <c r="B6" s="17">
        <v>1085247935</v>
      </c>
      <c r="C6" s="17" t="s">
        <v>205</v>
      </c>
      <c r="D6" s="17" t="s">
        <v>435</v>
      </c>
      <c r="E6" s="17" t="s">
        <v>436</v>
      </c>
      <c r="F6" s="17" t="s">
        <v>167</v>
      </c>
      <c r="G6" s="14">
        <v>19</v>
      </c>
      <c r="H6" s="14" t="s">
        <v>89</v>
      </c>
      <c r="I6" s="16"/>
      <c r="J6" s="19"/>
      <c r="K6" s="14"/>
      <c r="L6" s="14" t="s">
        <v>90</v>
      </c>
      <c r="M6" s="14" t="s">
        <v>275</v>
      </c>
      <c r="N6" s="15" t="s">
        <v>63</v>
      </c>
      <c r="O6" s="59">
        <v>31373</v>
      </c>
      <c r="P6" s="14" t="s">
        <v>101</v>
      </c>
      <c r="Q6" s="17" t="s">
        <v>126</v>
      </c>
      <c r="R6" s="17">
        <v>3117578045</v>
      </c>
      <c r="S6" s="17"/>
      <c r="T6" s="124" t="str">
        <f>IF(N6=CURSOS!$D$3,"DIPLOMADO EN ATENCION PRE-HOSPITALARIA",IF(N6=CURSOS!$D$4,"ACOMPAÑAMIENTO Y MANEJO DEL DUELO",IF(N6=CURSOS!$D$5,"ATENCION A VICTIMAS DE ATAQUE CON AGENTES QUIMICOS ",IF(N6=CURSOS!$D$6,"PRIMEROS AUXILIOS ",IF(N6=CURSOS!$D$7,"DIPLOMADO DE UNIDAD DE CUIDADOS INTENSIVOS (UCI)",IF(N6=CURSOS!$D$8,"MODELO DE ATENCION PARA EVENTOS EMERGENTES EN SALUD MENTAL (CODIGO VERDE)",IF(N6=CURSOS!$D$9,"HUMANIZACION EN EL SERVICIO DE LA SALUD Y BUENAS PRACTICAS EN PACIENTE ",IF(N6=CURSOS!$D$10,"CLINICA DE HERIDAS ",IF(N6=CURSOS!$D$11,"TOMA DE CITOLOGIA CERVICO VAGINAL ",IF(N6=CURSOS!$D$12,"SOPORTE CARDIOVASCULAR AVANZADO (ACLS) ",IF(N6=CURSOS!$D$13,"CAMILLERO ",IF(N6=CURSOS!$D$14,"TOMA DE MUESTRAS Y LABORATORIO ",IF(N6=CURSOS!$D$15,"SOPORTE VITAL BASICO (BLS)",IF(N6=CURSOS!$D$16,"ATENCION A VICTIMAS DE VIOLENCIA SEXUAL ",IF(N6=CURSOS!$D$17,"PROGRAMADO AMPLIADO DE INMUNIZACION (PAI - COVID 19)",IF(N6=CURSOS!$D$18,"ATENCION INTEGRAL EN ENFERMEDADES PREVALENTES EN PRIMERA INFANCIA (AIEPI)",IF(N6=CURSOS!$D$19,"ADMINISTRACION DE MEDICAMENTOS, INYECTOLOGIA  Y CANALIZACION ",IF(N6=CURSOS!$D$20,"OPERADOR DE VEHICULOS DE EMERGENCIA (OVE)",IF(N6=CURSOS!$D$21,"INSTITUCIONES AMIGAS DE LA MUJER Y LA INFANCIA (IAMI)",IF(N6=CURSOS!$D$22,"CUIDADO DEL DONANTE DE ORGANOS",IF(N6=CURSOS!$D$23,"ATENCION A VICTIMAS POR VIOLENCIA DE GENERO",IF(N6=CURSOS!$D$24,"IGUALDAD DE GENERO EN LA SALUD",IF(N6=CURSOS!$D$25,"BRIGADA DE EMERGENCIA",IF(N6=CURSOS!$D$26,"MANEJO DEL DOLOR Y CUIDADOS PALIATIVOS",IF(N6=CURSOS!$D$27,"TOMA DE MUESTRAS Y LABORATORIO POCT",IF(N6=CURSOS!$D$28,"IMPLANTE SUBDERMICO DE DISPOSITIVO INTRAUTERINO",IF(N6=CURSOS!$D$29,"SALUD MENTAL",IF(N6=CURSOS!$D$30,"PRIMEROS AUXILIOS PSICOLOGICOS",IF(N6=CURSOS!$D$31,"ATENCION A VICTIMAS POR CONFLICTO ARMADO",IF(N6=CURSOS!$D$32,"MANIPULACION DE ALIMENTOS Y BPM",IF(N6=CURSOS!$D$33,"ATENCION A PERSONAS CON DISCAPACIDAD",IF(N6=CURSOS!$D$34,"CUIDADO INTEGRAL DEL PACIENTE ADULTO",IF(N6=CURSOS!$D$35,"MANEJO DEFENSIVO",IF(N6=CURSOS!$D$36,"SOPORTE CARDIOVASCULAR AVANZADO NEONATAL"))))))))))))))))))))))))))))))))))</f>
        <v>TOMA DE MUESTRAS Y LABORATORIO POCT</v>
      </c>
      <c r="U6" s="124" t="str">
        <f t="shared" si="0"/>
        <v>Leidy Carolina Rodriguez Calderon</v>
      </c>
      <c r="V6" s="124" t="str">
        <f t="shared" si="1"/>
        <v>Leidy Carolina Rodriguez Calderon</v>
      </c>
      <c r="W6" s="138" t="str">
        <f t="shared" si="2"/>
        <v>Leidy Carolina Rodriguez Calderon-1085247935-POCT</v>
      </c>
    </row>
    <row r="7" spans="1:24" s="101" customFormat="1" x14ac:dyDescent="0.2">
      <c r="A7" s="42">
        <v>6</v>
      </c>
      <c r="B7" s="17">
        <v>1085289572</v>
      </c>
      <c r="C7" s="74" t="s">
        <v>437</v>
      </c>
      <c r="D7" s="74" t="s">
        <v>166</v>
      </c>
      <c r="E7" s="17" t="s">
        <v>438</v>
      </c>
      <c r="F7" s="17" t="s">
        <v>167</v>
      </c>
      <c r="G7" s="14">
        <v>19</v>
      </c>
      <c r="H7" s="14" t="s">
        <v>89</v>
      </c>
      <c r="I7" s="16"/>
      <c r="J7" s="19"/>
      <c r="K7" s="14"/>
      <c r="L7" s="14" t="s">
        <v>90</v>
      </c>
      <c r="M7" s="14" t="s">
        <v>275</v>
      </c>
      <c r="N7" s="15" t="s">
        <v>63</v>
      </c>
      <c r="O7" s="59">
        <v>33416</v>
      </c>
      <c r="P7" s="14" t="s">
        <v>101</v>
      </c>
      <c r="Q7" s="17" t="s">
        <v>126</v>
      </c>
      <c r="R7" s="17">
        <v>3155393322</v>
      </c>
      <c r="S7" s="17"/>
      <c r="T7" s="124" t="str">
        <f>IF(N7=CURSOS!$D$3,"DIPLOMADO EN ATENCION PRE-HOSPITALARIA",IF(N7=CURSOS!$D$4,"ACOMPAÑAMIENTO Y MANEJO DEL DUELO",IF(N7=CURSOS!$D$5,"ATENCION A VICTIMAS DE ATAQUE CON AGENTES QUIMICOS ",IF(N7=CURSOS!$D$6,"PRIMEROS AUXILIOS ",IF(N7=CURSOS!$D$7,"DIPLOMADO DE UNIDAD DE CUIDADOS INTENSIVOS (UCI)",IF(N7=CURSOS!$D$8,"MODELO DE ATENCION PARA EVENTOS EMERGENTES EN SALUD MENTAL (CODIGO VERDE)",IF(N7=CURSOS!$D$9,"HUMANIZACION EN EL SERVICIO DE LA SALUD Y BUENAS PRACTICAS EN PACIENTE ",IF(N7=CURSOS!$D$10,"CLINICA DE HERIDAS ",IF(N7=CURSOS!$D$11,"TOMA DE CITOLOGIA CERVICO VAGINAL ",IF(N7=CURSOS!$D$12,"SOPORTE CARDIOVASCULAR AVANZADO (ACLS) ",IF(N7=CURSOS!$D$13,"CAMILLERO ",IF(N7=CURSOS!$D$14,"TOMA DE MUESTRAS Y LABORATORIO ",IF(N7=CURSOS!$D$15,"SOPORTE VITAL BASICO (BLS)",IF(N7=CURSOS!$D$16,"ATENCION A VICTIMAS DE VIOLENCIA SEXUAL ",IF(N7=CURSOS!$D$17,"PROGRAMADO AMPLIADO DE INMUNIZACION (PAI - COVID 19)",IF(N7=CURSOS!$D$18,"ATENCION INTEGRAL EN ENFERMEDADES PREVALENTES EN PRIMERA INFANCIA (AIEPI)",IF(N7=CURSOS!$D$19,"ADMINISTRACION DE MEDICAMENTOS, INYECTOLOGIA  Y CANALIZACION ",IF(N7=CURSOS!$D$20,"OPERADOR DE VEHICULOS DE EMERGENCIA (OVE)",IF(N7=CURSOS!$D$21,"INSTITUCIONES AMIGAS DE LA MUJER Y LA INFANCIA (IAMI)",IF(N7=CURSOS!$D$22,"CUIDADO DEL DONANTE DE ORGANOS",IF(N7=CURSOS!$D$23,"ATENCION A VICTIMAS POR VIOLENCIA DE GENERO",IF(N7=CURSOS!$D$24,"IGUALDAD DE GENERO EN LA SALUD",IF(N7=CURSOS!$D$25,"BRIGADA DE EMERGENCIA",IF(N7=CURSOS!$D$26,"MANEJO DEL DOLOR Y CUIDADOS PALIATIVOS",IF(N7=CURSOS!$D$27,"TOMA DE MUESTRAS Y LABORATORIO POCT",IF(N7=CURSOS!$D$28,"IMPLANTE SUBDERMICO DE DISPOSITIVO INTRAUTERINO",IF(N7=CURSOS!$D$29,"SALUD MENTAL",IF(N7=CURSOS!$D$30,"PRIMEROS AUXILIOS PSICOLOGICOS",IF(N7=CURSOS!$D$31,"ATENCION A VICTIMAS POR CONFLICTO ARMADO",IF(N7=CURSOS!$D$32,"MANIPULACION DE ALIMENTOS Y BPM",IF(N7=CURSOS!$D$33,"ATENCION A PERSONAS CON DISCAPACIDAD",IF(N7=CURSOS!$D$34,"CUIDADO INTEGRAL DEL PACIENTE ADULTO",IF(N7=CURSOS!$D$35,"MANEJO DEFENSIVO",IF(N7=CURSOS!$D$36,"SOPORTE CARDIOVASCULAR AVANZADO NEONATAL"))))))))))))))))))))))))))))))))))</f>
        <v>TOMA DE MUESTRAS Y LABORATORIO POCT</v>
      </c>
      <c r="U7" s="124" t="str">
        <f t="shared" si="0"/>
        <v>Diana Carolina Leon Caicedo</v>
      </c>
      <c r="V7" s="124" t="str">
        <f t="shared" si="1"/>
        <v>Diana Carolina Leon Caicedo</v>
      </c>
      <c r="W7" s="138" t="str">
        <f t="shared" si="2"/>
        <v>Diana Carolina Leon Caicedo-1085289572-POCT</v>
      </c>
    </row>
    <row r="8" spans="1:24" s="101" customFormat="1" x14ac:dyDescent="0.2">
      <c r="A8" s="42">
        <v>7</v>
      </c>
      <c r="B8" s="17">
        <v>36757941</v>
      </c>
      <c r="C8" s="17" t="s">
        <v>439</v>
      </c>
      <c r="D8" s="17" t="s">
        <v>169</v>
      </c>
      <c r="E8" s="17" t="s">
        <v>440</v>
      </c>
      <c r="F8" s="17" t="s">
        <v>441</v>
      </c>
      <c r="G8" s="14">
        <v>19</v>
      </c>
      <c r="H8" s="14" t="s">
        <v>89</v>
      </c>
      <c r="I8" s="16"/>
      <c r="J8" s="19"/>
      <c r="K8" s="14"/>
      <c r="L8" s="14" t="s">
        <v>90</v>
      </c>
      <c r="M8" s="14" t="s">
        <v>275</v>
      </c>
      <c r="N8" s="15" t="s">
        <v>63</v>
      </c>
      <c r="O8" s="59">
        <v>29895</v>
      </c>
      <c r="P8" s="14" t="s">
        <v>101</v>
      </c>
      <c r="Q8" s="17" t="s">
        <v>202</v>
      </c>
      <c r="R8" s="17">
        <v>3206290192</v>
      </c>
      <c r="S8" s="17"/>
      <c r="T8" s="124" t="str">
        <f>IF(N8=CURSOS!$D$3,"DIPLOMADO EN ATENCION PRE-HOSPITALARIA",IF(N8=CURSOS!$D$4,"ACOMPAÑAMIENTO Y MANEJO DEL DUELO",IF(N8=CURSOS!$D$5,"ATENCION A VICTIMAS DE ATAQUE CON AGENTES QUIMICOS ",IF(N8=CURSOS!$D$6,"PRIMEROS AUXILIOS ",IF(N8=CURSOS!$D$7,"DIPLOMADO DE UNIDAD DE CUIDADOS INTENSIVOS (UCI)",IF(N8=CURSOS!$D$8,"MODELO DE ATENCION PARA EVENTOS EMERGENTES EN SALUD MENTAL (CODIGO VERDE)",IF(N8=CURSOS!$D$9,"HUMANIZACION EN EL SERVICIO DE LA SALUD Y BUENAS PRACTICAS EN PACIENTE ",IF(N8=CURSOS!$D$10,"CLINICA DE HERIDAS ",IF(N8=CURSOS!$D$11,"TOMA DE CITOLOGIA CERVICO VAGINAL ",IF(N8=CURSOS!$D$12,"SOPORTE CARDIOVASCULAR AVANZADO (ACLS) ",IF(N8=CURSOS!$D$13,"CAMILLERO ",IF(N8=CURSOS!$D$14,"TOMA DE MUESTRAS Y LABORATORIO ",IF(N8=CURSOS!$D$15,"SOPORTE VITAL BASICO (BLS)",IF(N8=CURSOS!$D$16,"ATENCION A VICTIMAS DE VIOLENCIA SEXUAL ",IF(N8=CURSOS!$D$17,"PROGRAMADO AMPLIADO DE INMUNIZACION (PAI - COVID 19)",IF(N8=CURSOS!$D$18,"ATENCION INTEGRAL EN ENFERMEDADES PREVALENTES EN PRIMERA INFANCIA (AIEPI)",IF(N8=CURSOS!$D$19,"ADMINISTRACION DE MEDICAMENTOS, INYECTOLOGIA  Y CANALIZACION ",IF(N8=CURSOS!$D$20,"OPERADOR DE VEHICULOS DE EMERGENCIA (OVE)",IF(N8=CURSOS!$D$21,"INSTITUCIONES AMIGAS DE LA MUJER Y LA INFANCIA (IAMI)",IF(N8=CURSOS!$D$22,"CUIDADO DEL DONANTE DE ORGANOS",IF(N8=CURSOS!$D$23,"ATENCION A VICTIMAS POR VIOLENCIA DE GENERO",IF(N8=CURSOS!$D$24,"IGUALDAD DE GENERO EN LA SALUD",IF(N8=CURSOS!$D$25,"BRIGADA DE EMERGENCIA",IF(N8=CURSOS!$D$26,"MANEJO DEL DOLOR Y CUIDADOS PALIATIVOS",IF(N8=CURSOS!$D$27,"TOMA DE MUESTRAS Y LABORATORIO POCT",IF(N8=CURSOS!$D$28,"IMPLANTE SUBDERMICO DE DISPOSITIVO INTRAUTERINO",IF(N8=CURSOS!$D$29,"SALUD MENTAL",IF(N8=CURSOS!$D$30,"PRIMEROS AUXILIOS PSICOLOGICOS",IF(N8=CURSOS!$D$31,"ATENCION A VICTIMAS POR CONFLICTO ARMADO",IF(N8=CURSOS!$D$32,"MANIPULACION DE ALIMENTOS Y BPM",IF(N8=CURSOS!$D$33,"ATENCION A PERSONAS CON DISCAPACIDAD",IF(N8=CURSOS!$D$34,"CUIDADO INTEGRAL DEL PACIENTE ADULTO",IF(N8=CURSOS!$D$35,"MANEJO DEFENSIVO",IF(N8=CURSOS!$D$36,"SOPORTE CARDIOVASCULAR AVANZADO NEONATAL"))))))))))))))))))))))))))))))))))</f>
        <v>TOMA DE MUESTRAS Y LABORATORIO POCT</v>
      </c>
      <c r="U8" s="124" t="str">
        <f t="shared" si="0"/>
        <v>Rocio Del pilar Cordoba Paz</v>
      </c>
      <c r="V8" s="124" t="str">
        <f t="shared" si="1"/>
        <v>Rocio Del Pilar Cordoba Paz</v>
      </c>
      <c r="W8" s="138" t="str">
        <f t="shared" si="2"/>
        <v>Rocio Del pilar Cordoba Paz-36757941-POCT</v>
      </c>
    </row>
    <row r="9" spans="1:24" s="101" customFormat="1" x14ac:dyDescent="0.2">
      <c r="A9" s="42">
        <v>8</v>
      </c>
      <c r="B9" s="17">
        <v>59826898</v>
      </c>
      <c r="C9" s="17" t="s">
        <v>307</v>
      </c>
      <c r="D9" s="17" t="s">
        <v>442</v>
      </c>
      <c r="E9" s="17" t="s">
        <v>443</v>
      </c>
      <c r="F9" s="17" t="s">
        <v>154</v>
      </c>
      <c r="G9" s="14">
        <v>19</v>
      </c>
      <c r="H9" s="14" t="s">
        <v>89</v>
      </c>
      <c r="I9" s="16"/>
      <c r="J9" s="19"/>
      <c r="K9" s="14"/>
      <c r="L9" s="14" t="s">
        <v>90</v>
      </c>
      <c r="M9" s="14" t="s">
        <v>275</v>
      </c>
      <c r="N9" s="15" t="s">
        <v>63</v>
      </c>
      <c r="O9" s="59">
        <v>26896</v>
      </c>
      <c r="P9" s="14" t="s">
        <v>101</v>
      </c>
      <c r="Q9" s="17" t="s">
        <v>126</v>
      </c>
      <c r="R9" s="17">
        <v>3165056029</v>
      </c>
      <c r="S9" s="17"/>
      <c r="T9" s="124" t="str">
        <f>IF(N9=CURSOS!$D$3,"DIPLOMADO EN ATENCION PRE-HOSPITALARIA",IF(N9=CURSOS!$D$4,"ACOMPAÑAMIENTO Y MANEJO DEL DUELO",IF(N9=CURSOS!$D$5,"ATENCION A VICTIMAS DE ATAQUE CON AGENTES QUIMICOS ",IF(N9=CURSOS!$D$6,"PRIMEROS AUXILIOS ",IF(N9=CURSOS!$D$7,"DIPLOMADO DE UNIDAD DE CUIDADOS INTENSIVOS (UCI)",IF(N9=CURSOS!$D$8,"MODELO DE ATENCION PARA EVENTOS EMERGENTES EN SALUD MENTAL (CODIGO VERDE)",IF(N9=CURSOS!$D$9,"HUMANIZACION EN EL SERVICIO DE LA SALUD Y BUENAS PRACTICAS EN PACIENTE ",IF(N9=CURSOS!$D$10,"CLINICA DE HERIDAS ",IF(N9=CURSOS!$D$11,"TOMA DE CITOLOGIA CERVICO VAGINAL ",IF(N9=CURSOS!$D$12,"SOPORTE CARDIOVASCULAR AVANZADO (ACLS) ",IF(N9=CURSOS!$D$13,"CAMILLERO ",IF(N9=CURSOS!$D$14,"TOMA DE MUESTRAS Y LABORATORIO ",IF(N9=CURSOS!$D$15,"SOPORTE VITAL BASICO (BLS)",IF(N9=CURSOS!$D$16,"ATENCION A VICTIMAS DE VIOLENCIA SEXUAL ",IF(N9=CURSOS!$D$17,"PROGRAMADO AMPLIADO DE INMUNIZACION (PAI - COVID 19)",IF(N9=CURSOS!$D$18,"ATENCION INTEGRAL EN ENFERMEDADES PREVALENTES EN PRIMERA INFANCIA (AIEPI)",IF(N9=CURSOS!$D$19,"ADMINISTRACION DE MEDICAMENTOS, INYECTOLOGIA  Y CANALIZACION ",IF(N9=CURSOS!$D$20,"OPERADOR DE VEHICULOS DE EMERGENCIA (OVE)",IF(N9=CURSOS!$D$21,"INSTITUCIONES AMIGAS DE LA MUJER Y LA INFANCIA (IAMI)",IF(N9=CURSOS!$D$22,"CUIDADO DEL DONANTE DE ORGANOS",IF(N9=CURSOS!$D$23,"ATENCION A VICTIMAS POR VIOLENCIA DE GENERO",IF(N9=CURSOS!$D$24,"IGUALDAD DE GENERO EN LA SALUD",IF(N9=CURSOS!$D$25,"BRIGADA DE EMERGENCIA",IF(N9=CURSOS!$D$26,"MANEJO DEL DOLOR Y CUIDADOS PALIATIVOS",IF(N9=CURSOS!$D$27,"TOMA DE MUESTRAS Y LABORATORIO POCT",IF(N9=CURSOS!$D$28,"IMPLANTE SUBDERMICO DE DISPOSITIVO INTRAUTERINO",IF(N9=CURSOS!$D$29,"SALUD MENTAL",IF(N9=CURSOS!$D$30,"PRIMEROS AUXILIOS PSICOLOGICOS",IF(N9=CURSOS!$D$31,"ATENCION A VICTIMAS POR CONFLICTO ARMADO",IF(N9=CURSOS!$D$32,"MANIPULACION DE ALIMENTOS Y BPM",IF(N9=CURSOS!$D$33,"ATENCION A PERSONAS CON DISCAPACIDAD",IF(N9=CURSOS!$D$34,"CUIDADO INTEGRAL DEL PACIENTE ADULTO",IF(N9=CURSOS!$D$35,"MANEJO DEFENSIVO",IF(N9=CURSOS!$D$36,"SOPORTE CARDIOVASCULAR AVANZADO NEONATAL"))))))))))))))))))))))))))))))))))</f>
        <v>TOMA DE MUESTRAS Y LABORATORIO POCT</v>
      </c>
      <c r="U9" s="124" t="str">
        <f t="shared" si="0"/>
        <v>Zulma Patricia Ceballos Hualpa</v>
      </c>
      <c r="V9" s="124" t="str">
        <f t="shared" si="1"/>
        <v>Zulma Patricia Ceballos Hualpa</v>
      </c>
      <c r="W9" s="138" t="str">
        <f t="shared" si="2"/>
        <v>Zulma Patricia Ceballos Hualpa-59826898-POCT</v>
      </c>
    </row>
    <row r="10" spans="1:24" s="101" customFormat="1" x14ac:dyDescent="0.2">
      <c r="A10" s="42">
        <v>9</v>
      </c>
      <c r="B10" s="17">
        <v>1085282492</v>
      </c>
      <c r="C10" s="17" t="s">
        <v>389</v>
      </c>
      <c r="D10" s="17" t="s">
        <v>447</v>
      </c>
      <c r="E10" s="17" t="s">
        <v>448</v>
      </c>
      <c r="F10" s="17" t="s">
        <v>449</v>
      </c>
      <c r="G10" s="14">
        <v>19</v>
      </c>
      <c r="H10" s="14" t="s">
        <v>89</v>
      </c>
      <c r="I10" s="16"/>
      <c r="J10" s="19"/>
      <c r="K10" s="14"/>
      <c r="L10" s="14" t="s">
        <v>90</v>
      </c>
      <c r="M10" s="14" t="s">
        <v>275</v>
      </c>
      <c r="N10" s="15" t="s">
        <v>63</v>
      </c>
      <c r="O10" s="59">
        <v>32972</v>
      </c>
      <c r="P10" s="14" t="s">
        <v>101</v>
      </c>
      <c r="Q10" s="17" t="s">
        <v>126</v>
      </c>
      <c r="R10" s="17">
        <v>3246815824</v>
      </c>
      <c r="S10" s="17"/>
      <c r="T10" s="124" t="str">
        <f>IF(N10=CURSOS!$D$3,"DIPLOMADO EN ATENCION PRE-HOSPITALARIA",IF(N10=CURSOS!$D$4,"ACOMPAÑAMIENTO Y MANEJO DEL DUELO",IF(N10=CURSOS!$D$5,"ATENCION A VICTIMAS DE ATAQUE CON AGENTES QUIMICOS ",IF(N10=CURSOS!$D$6,"PRIMEROS AUXILIOS ",IF(N10=CURSOS!$D$7,"DIPLOMADO DE UNIDAD DE CUIDADOS INTENSIVOS (UCI)",IF(N10=CURSOS!$D$8,"MODELO DE ATENCION PARA EVENTOS EMERGENTES EN SALUD MENTAL (CODIGO VERDE)",IF(N10=CURSOS!$D$9,"HUMANIZACION EN EL SERVICIO DE LA SALUD Y BUENAS PRACTICAS EN PACIENTE ",IF(N10=CURSOS!$D$10,"CLINICA DE HERIDAS ",IF(N10=CURSOS!$D$11,"TOMA DE CITOLOGIA CERVICO VAGINAL ",IF(N10=CURSOS!$D$12,"SOPORTE CARDIOVASCULAR AVANZADO (ACLS) ",IF(N10=CURSOS!$D$13,"CAMILLERO ",IF(N10=CURSOS!$D$14,"TOMA DE MUESTRAS Y LABORATORIO ",IF(N10=CURSOS!$D$15,"SOPORTE VITAL BASICO (BLS)",IF(N10=CURSOS!$D$16,"ATENCION A VICTIMAS DE VIOLENCIA SEXUAL ",IF(N10=CURSOS!$D$17,"PROGRAMADO AMPLIADO DE INMUNIZACION (PAI - COVID 19)",IF(N10=CURSOS!$D$18,"ATENCION INTEGRAL EN ENFERMEDADES PREVALENTES EN PRIMERA INFANCIA (AIEPI)",IF(N10=CURSOS!$D$19,"ADMINISTRACION DE MEDICAMENTOS, INYECTOLOGIA  Y CANALIZACION ",IF(N10=CURSOS!$D$20,"OPERADOR DE VEHICULOS DE EMERGENCIA (OVE)",IF(N10=CURSOS!$D$21,"INSTITUCIONES AMIGAS DE LA MUJER Y LA INFANCIA (IAMI)",IF(N10=CURSOS!$D$22,"CUIDADO DEL DONANTE DE ORGANOS",IF(N10=CURSOS!$D$23,"ATENCION A VICTIMAS POR VIOLENCIA DE GENERO",IF(N10=CURSOS!$D$24,"IGUALDAD DE GENERO EN LA SALUD",IF(N10=CURSOS!$D$25,"BRIGADA DE EMERGENCIA",IF(N10=CURSOS!$D$26,"MANEJO DEL DOLOR Y CUIDADOS PALIATIVOS",IF(N10=CURSOS!$D$27,"TOMA DE MUESTRAS Y LABORATORIO POCT",IF(N10=CURSOS!$D$28,"IMPLANTE SUBDERMICO DE DISPOSITIVO INTRAUTERINO",IF(N10=CURSOS!$D$29,"SALUD MENTAL",IF(N10=CURSOS!$D$30,"PRIMEROS AUXILIOS PSICOLOGICOS",IF(N10=CURSOS!$D$31,"ATENCION A VICTIMAS POR CONFLICTO ARMADO",IF(N10=CURSOS!$D$32,"MANIPULACION DE ALIMENTOS Y BPM",IF(N10=CURSOS!$D$33,"ATENCION A PERSONAS CON DISCAPACIDAD",IF(N10=CURSOS!$D$34,"CUIDADO INTEGRAL DEL PACIENTE ADULTO",IF(N10=CURSOS!$D$35,"MANEJO DEFENSIVO",IF(N10=CURSOS!$D$36,"SOPORTE CARDIOVASCULAR AVANZADO NEONATAL"))))))))))))))))))))))))))))))))))</f>
        <v>TOMA DE MUESTRAS Y LABORATORIO POCT</v>
      </c>
      <c r="U10" s="124" t="str">
        <f t="shared" si="0"/>
        <v>Martha Yenifer Delgado Sotelo</v>
      </c>
      <c r="V10" s="124" t="str">
        <f t="shared" si="1"/>
        <v>Martha Yenifer Delgado Sotelo</v>
      </c>
      <c r="W10" s="138" t="str">
        <f t="shared" si="2"/>
        <v>Martha Yenifer Delgado Sotelo-1085282492-POCT</v>
      </c>
    </row>
    <row r="11" spans="1:24" s="101" customFormat="1" x14ac:dyDescent="0.2">
      <c r="A11" s="42">
        <v>10</v>
      </c>
      <c r="B11" s="74">
        <v>1087960550</v>
      </c>
      <c r="C11" s="17" t="s">
        <v>85</v>
      </c>
      <c r="D11" s="17" t="s">
        <v>205</v>
      </c>
      <c r="E11" s="17" t="s">
        <v>450</v>
      </c>
      <c r="F11" s="17" t="s">
        <v>451</v>
      </c>
      <c r="G11" s="14">
        <v>19</v>
      </c>
      <c r="H11" s="14" t="s">
        <v>89</v>
      </c>
      <c r="I11" s="16"/>
      <c r="J11" s="19"/>
      <c r="K11" s="14"/>
      <c r="L11" s="14" t="s">
        <v>90</v>
      </c>
      <c r="M11" s="14" t="s">
        <v>275</v>
      </c>
      <c r="N11" s="15" t="s">
        <v>63</v>
      </c>
      <c r="O11" s="59">
        <v>35149</v>
      </c>
      <c r="P11" s="14" t="s">
        <v>101</v>
      </c>
      <c r="Q11" s="17" t="s">
        <v>126</v>
      </c>
      <c r="R11" s="17">
        <v>3173533276</v>
      </c>
      <c r="S11" s="17"/>
      <c r="T11" s="124" t="str">
        <f>IF(N11=CURSOS!$D$3,"DIPLOMADO EN ATENCION PRE-HOSPITALARIA",IF(N11=CURSOS!$D$4,"ACOMPAÑAMIENTO Y MANEJO DEL DUELO",IF(N11=CURSOS!$D$5,"ATENCION A VICTIMAS DE ATAQUE CON AGENTES QUIMICOS ",IF(N11=CURSOS!$D$6,"PRIMEROS AUXILIOS ",IF(N11=CURSOS!$D$7,"DIPLOMADO DE UNIDAD DE CUIDADOS INTENSIVOS (UCI)",IF(N11=CURSOS!$D$8,"MODELO DE ATENCION PARA EVENTOS EMERGENTES EN SALUD MENTAL (CODIGO VERDE)",IF(N11=CURSOS!$D$9,"HUMANIZACION EN EL SERVICIO DE LA SALUD Y BUENAS PRACTICAS EN PACIENTE ",IF(N11=CURSOS!$D$10,"CLINICA DE HERIDAS ",IF(N11=CURSOS!$D$11,"TOMA DE CITOLOGIA CERVICO VAGINAL ",IF(N11=CURSOS!$D$12,"SOPORTE CARDIOVASCULAR AVANZADO (ACLS) ",IF(N11=CURSOS!$D$13,"CAMILLERO ",IF(N11=CURSOS!$D$14,"TOMA DE MUESTRAS Y LABORATORIO ",IF(N11=CURSOS!$D$15,"SOPORTE VITAL BASICO (BLS)",IF(N11=CURSOS!$D$16,"ATENCION A VICTIMAS DE VIOLENCIA SEXUAL ",IF(N11=CURSOS!$D$17,"PROGRAMADO AMPLIADO DE INMUNIZACION (PAI - COVID 19)",IF(N11=CURSOS!$D$18,"ATENCION INTEGRAL EN ENFERMEDADES PREVALENTES EN PRIMERA INFANCIA (AIEPI)",IF(N11=CURSOS!$D$19,"ADMINISTRACION DE MEDICAMENTOS, INYECTOLOGIA  Y CANALIZACION ",IF(N11=CURSOS!$D$20,"OPERADOR DE VEHICULOS DE EMERGENCIA (OVE)",IF(N11=CURSOS!$D$21,"INSTITUCIONES AMIGAS DE LA MUJER Y LA INFANCIA (IAMI)",IF(N11=CURSOS!$D$22,"CUIDADO DEL DONANTE DE ORGANOS",IF(N11=CURSOS!$D$23,"ATENCION A VICTIMAS POR VIOLENCIA DE GENERO",IF(N11=CURSOS!$D$24,"IGUALDAD DE GENERO EN LA SALUD",IF(N11=CURSOS!$D$25,"BRIGADA DE EMERGENCIA",IF(N11=CURSOS!$D$26,"MANEJO DEL DOLOR Y CUIDADOS PALIATIVOS",IF(N11=CURSOS!$D$27,"TOMA DE MUESTRAS Y LABORATORIO POCT",IF(N11=CURSOS!$D$28,"IMPLANTE SUBDERMICO DE DISPOSITIVO INTRAUTERINO",IF(N11=CURSOS!$D$29,"SALUD MENTAL",IF(N11=CURSOS!$D$30,"PRIMEROS AUXILIOS PSICOLOGICOS",IF(N11=CURSOS!$D$31,"ATENCION A VICTIMAS POR CONFLICTO ARMADO",IF(N11=CURSOS!$D$32,"MANIPULACION DE ALIMENTOS Y BPM",IF(N11=CURSOS!$D$33,"ATENCION A PERSONAS CON DISCAPACIDAD",IF(N11=CURSOS!$D$34,"CUIDADO INTEGRAL DEL PACIENTE ADULTO",IF(N11=CURSOS!$D$35,"MANEJO DEFENSIVO",IF(N11=CURSOS!$D$36,"SOPORTE CARDIOVASCULAR AVANZADO NEONATAL"))))))))))))))))))))))))))))))))))</f>
        <v>TOMA DE MUESTRAS Y LABORATORIO POCT</v>
      </c>
      <c r="U11" s="124" t="str">
        <f t="shared" si="0"/>
        <v>Alba Teresa Burbano Rodriguez</v>
      </c>
      <c r="V11" s="124" t="str">
        <f t="shared" si="1"/>
        <v>Alba Teresa Burbano Rodriguez</v>
      </c>
      <c r="W11" s="138" t="str">
        <f t="shared" si="2"/>
        <v>Alba Teresa Burbano Rodriguez-1087960550-POCT</v>
      </c>
    </row>
    <row r="12" spans="1:24" s="101" customFormat="1" x14ac:dyDescent="0.2">
      <c r="A12" s="42">
        <v>11</v>
      </c>
      <c r="B12" s="17">
        <v>36756113</v>
      </c>
      <c r="C12" s="17" t="s">
        <v>325</v>
      </c>
      <c r="D12" s="17" t="s">
        <v>455</v>
      </c>
      <c r="E12" s="17" t="s">
        <v>227</v>
      </c>
      <c r="F12" s="17" t="s">
        <v>327</v>
      </c>
      <c r="G12" s="14">
        <v>19</v>
      </c>
      <c r="H12" s="14" t="s">
        <v>89</v>
      </c>
      <c r="I12" s="16"/>
      <c r="J12" s="19"/>
      <c r="K12" s="14"/>
      <c r="L12" s="14" t="s">
        <v>90</v>
      </c>
      <c r="M12" s="14" t="s">
        <v>275</v>
      </c>
      <c r="N12" s="15" t="s">
        <v>63</v>
      </c>
      <c r="O12" s="59">
        <v>29957</v>
      </c>
      <c r="P12" s="14" t="s">
        <v>101</v>
      </c>
      <c r="Q12" s="17" t="s">
        <v>126</v>
      </c>
      <c r="R12" s="17">
        <v>3163436518</v>
      </c>
      <c r="S12" s="17"/>
      <c r="T12" s="124" t="str">
        <f>IF(N12=CURSOS!$D$3,"DIPLOMADO EN ATENCION PRE-HOSPITALARIA",IF(N12=CURSOS!$D$4,"ACOMPAÑAMIENTO Y MANEJO DEL DUELO",IF(N12=CURSOS!$D$5,"ATENCION A VICTIMAS DE ATAQUE CON AGENTES QUIMICOS ",IF(N12=CURSOS!$D$6,"PRIMEROS AUXILIOS ",IF(N12=CURSOS!$D$7,"DIPLOMADO DE UNIDAD DE CUIDADOS INTENSIVOS (UCI)",IF(N12=CURSOS!$D$8,"MODELO DE ATENCION PARA EVENTOS EMERGENTES EN SALUD MENTAL (CODIGO VERDE)",IF(N12=CURSOS!$D$9,"HUMANIZACION EN EL SERVICIO DE LA SALUD Y BUENAS PRACTICAS EN PACIENTE ",IF(N12=CURSOS!$D$10,"CLINICA DE HERIDAS ",IF(N12=CURSOS!$D$11,"TOMA DE CITOLOGIA CERVICO VAGINAL ",IF(N12=CURSOS!$D$12,"SOPORTE CARDIOVASCULAR AVANZADO (ACLS) ",IF(N12=CURSOS!$D$13,"CAMILLERO ",IF(N12=CURSOS!$D$14,"TOMA DE MUESTRAS Y LABORATORIO ",IF(N12=CURSOS!$D$15,"SOPORTE VITAL BASICO (BLS)",IF(N12=CURSOS!$D$16,"ATENCION A VICTIMAS DE VIOLENCIA SEXUAL ",IF(N12=CURSOS!$D$17,"PROGRAMADO AMPLIADO DE INMUNIZACION (PAI - COVID 19)",IF(N12=CURSOS!$D$18,"ATENCION INTEGRAL EN ENFERMEDADES PREVALENTES EN PRIMERA INFANCIA (AIEPI)",IF(N12=CURSOS!$D$19,"ADMINISTRACION DE MEDICAMENTOS, INYECTOLOGIA  Y CANALIZACION ",IF(N12=CURSOS!$D$20,"OPERADOR DE VEHICULOS DE EMERGENCIA (OVE)",IF(N12=CURSOS!$D$21,"INSTITUCIONES AMIGAS DE LA MUJER Y LA INFANCIA (IAMI)",IF(N12=CURSOS!$D$22,"CUIDADO DEL DONANTE DE ORGANOS",IF(N12=CURSOS!$D$23,"ATENCION A VICTIMAS POR VIOLENCIA DE GENERO",IF(N12=CURSOS!$D$24,"IGUALDAD DE GENERO EN LA SALUD",IF(N12=CURSOS!$D$25,"BRIGADA DE EMERGENCIA",IF(N12=CURSOS!$D$26,"MANEJO DEL DOLOR Y CUIDADOS PALIATIVOS",IF(N12=CURSOS!$D$27,"TOMA DE MUESTRAS Y LABORATORIO POCT",IF(N12=CURSOS!$D$28,"IMPLANTE SUBDERMICO DE DISPOSITIVO INTRAUTERINO",IF(N12=CURSOS!$D$29,"SALUD MENTAL",IF(N12=CURSOS!$D$30,"PRIMEROS AUXILIOS PSICOLOGICOS",IF(N12=CURSOS!$D$31,"ATENCION A VICTIMAS POR CONFLICTO ARMADO",IF(N12=CURSOS!$D$32,"MANIPULACION DE ALIMENTOS Y BPM",IF(N12=CURSOS!$D$33,"ATENCION A PERSONAS CON DISCAPACIDAD",IF(N12=CURSOS!$D$34,"CUIDADO INTEGRAL DEL PACIENTE ADULTO",IF(N12=CURSOS!$D$35,"MANEJO DEFENSIVO",IF(N12=CURSOS!$D$36,"SOPORTE CARDIOVASCULAR AVANZADO NEONATAL"))))))))))))))))))))))))))))))))))</f>
        <v>TOMA DE MUESTRAS Y LABORATORIO POCT</v>
      </c>
      <c r="U12" s="124" t="str">
        <f t="shared" si="0"/>
        <v>Marcela Milena Cabrera Vallejos</v>
      </c>
      <c r="V12" s="124" t="str">
        <f t="shared" si="1"/>
        <v>Marcela Milena Cabrera Vallejos</v>
      </c>
      <c r="W12" s="138" t="str">
        <f t="shared" si="2"/>
        <v>Marcela Milena Cabrera Vallejos-36756113-POCT</v>
      </c>
    </row>
    <row r="13" spans="1:24" s="101" customFormat="1" x14ac:dyDescent="0.2">
      <c r="A13" s="42">
        <v>12</v>
      </c>
      <c r="B13" s="17">
        <v>1085273795</v>
      </c>
      <c r="C13" s="17" t="s">
        <v>459</v>
      </c>
      <c r="D13" s="17" t="s">
        <v>460</v>
      </c>
      <c r="E13" s="17" t="s">
        <v>179</v>
      </c>
      <c r="F13" s="17" t="s">
        <v>327</v>
      </c>
      <c r="G13" s="14">
        <v>19</v>
      </c>
      <c r="H13" s="14" t="s">
        <v>89</v>
      </c>
      <c r="I13" s="16"/>
      <c r="J13" s="19"/>
      <c r="K13" s="14"/>
      <c r="L13" s="14" t="s">
        <v>90</v>
      </c>
      <c r="M13" s="14" t="s">
        <v>275</v>
      </c>
      <c r="N13" s="15" t="s">
        <v>63</v>
      </c>
      <c r="O13" s="59">
        <v>32638</v>
      </c>
      <c r="P13" s="14" t="s">
        <v>101</v>
      </c>
      <c r="Q13" s="17" t="s">
        <v>126</v>
      </c>
      <c r="R13" s="17">
        <v>3176956897</v>
      </c>
      <c r="S13" s="17"/>
      <c r="T13" s="124" t="str">
        <f>IF(N13=CURSOS!$D$3,"DIPLOMADO EN ATENCION PRE-HOSPITALARIA",IF(N13=CURSOS!$D$4,"ACOMPAÑAMIENTO Y MANEJO DEL DUELO",IF(N13=CURSOS!$D$5,"ATENCION A VICTIMAS DE ATAQUE CON AGENTES QUIMICOS ",IF(N13=CURSOS!$D$6,"PRIMEROS AUXILIOS ",IF(N13=CURSOS!$D$7,"DIPLOMADO DE UNIDAD DE CUIDADOS INTENSIVOS (UCI)",IF(N13=CURSOS!$D$8,"MODELO DE ATENCION PARA EVENTOS EMERGENTES EN SALUD MENTAL (CODIGO VERDE)",IF(N13=CURSOS!$D$9,"HUMANIZACION EN EL SERVICIO DE LA SALUD Y BUENAS PRACTICAS EN PACIENTE ",IF(N13=CURSOS!$D$10,"CLINICA DE HERIDAS ",IF(N13=CURSOS!$D$11,"TOMA DE CITOLOGIA CERVICO VAGINAL ",IF(N13=CURSOS!$D$12,"SOPORTE CARDIOVASCULAR AVANZADO (ACLS) ",IF(N13=CURSOS!$D$13,"CAMILLERO ",IF(N13=CURSOS!$D$14,"TOMA DE MUESTRAS Y LABORATORIO ",IF(N13=CURSOS!$D$15,"SOPORTE VITAL BASICO (BLS)",IF(N13=CURSOS!$D$16,"ATENCION A VICTIMAS DE VIOLENCIA SEXUAL ",IF(N13=CURSOS!$D$17,"PROGRAMADO AMPLIADO DE INMUNIZACION (PAI - COVID 19)",IF(N13=CURSOS!$D$18,"ATENCION INTEGRAL EN ENFERMEDADES PREVALENTES EN PRIMERA INFANCIA (AIEPI)",IF(N13=CURSOS!$D$19,"ADMINISTRACION DE MEDICAMENTOS, INYECTOLOGIA  Y CANALIZACION ",IF(N13=CURSOS!$D$20,"OPERADOR DE VEHICULOS DE EMERGENCIA (OVE)",IF(N13=CURSOS!$D$21,"INSTITUCIONES AMIGAS DE LA MUJER Y LA INFANCIA (IAMI)",IF(N13=CURSOS!$D$22,"CUIDADO DEL DONANTE DE ORGANOS",IF(N13=CURSOS!$D$23,"ATENCION A VICTIMAS POR VIOLENCIA DE GENERO",IF(N13=CURSOS!$D$24,"IGUALDAD DE GENERO EN LA SALUD",IF(N13=CURSOS!$D$25,"BRIGADA DE EMERGENCIA",IF(N13=CURSOS!$D$26,"MANEJO DEL DOLOR Y CUIDADOS PALIATIVOS",IF(N13=CURSOS!$D$27,"TOMA DE MUESTRAS Y LABORATORIO POCT",IF(N13=CURSOS!$D$28,"IMPLANTE SUBDERMICO DE DISPOSITIVO INTRAUTERINO",IF(N13=CURSOS!$D$29,"SALUD MENTAL",IF(N13=CURSOS!$D$30,"PRIMEROS AUXILIOS PSICOLOGICOS",IF(N13=CURSOS!$D$31,"ATENCION A VICTIMAS POR CONFLICTO ARMADO",IF(N13=CURSOS!$D$32,"MANIPULACION DE ALIMENTOS Y BPM",IF(N13=CURSOS!$D$33,"ATENCION A PERSONAS CON DISCAPACIDAD",IF(N13=CURSOS!$D$34,"CUIDADO INTEGRAL DEL PACIENTE ADULTO",IF(N13=CURSOS!$D$35,"MANEJO DEFENSIVO",IF(N13=CURSOS!$D$36,"SOPORTE CARDIOVASCULAR AVANZADO NEONATAL"))))))))))))))))))))))))))))))))))</f>
        <v>TOMA DE MUESTRAS Y LABORATORIO POCT</v>
      </c>
      <c r="U13" s="124" t="str">
        <f t="shared" si="0"/>
        <v>Sandra Milena Pianda Villota</v>
      </c>
      <c r="V13" s="124" t="str">
        <f t="shared" si="1"/>
        <v>Sandra Milena Pianda Villota</v>
      </c>
      <c r="W13" s="138" t="str">
        <f t="shared" si="2"/>
        <v>Sandra Milena Pianda Villota-1085273795-POCT</v>
      </c>
    </row>
    <row r="14" spans="1:24" s="145" customFormat="1" x14ac:dyDescent="0.2">
      <c r="A14" s="42">
        <v>13</v>
      </c>
      <c r="B14" s="17">
        <v>1086017536</v>
      </c>
      <c r="C14" s="17" t="s">
        <v>466</v>
      </c>
      <c r="D14" s="17" t="s">
        <v>86</v>
      </c>
      <c r="E14" s="17" t="s">
        <v>401</v>
      </c>
      <c r="F14" s="17" t="s">
        <v>324</v>
      </c>
      <c r="G14" s="14">
        <v>19</v>
      </c>
      <c r="H14" s="14" t="s">
        <v>89</v>
      </c>
      <c r="I14" s="16"/>
      <c r="J14" s="19"/>
      <c r="K14" s="14"/>
      <c r="L14" s="14" t="s">
        <v>90</v>
      </c>
      <c r="M14" s="14" t="s">
        <v>275</v>
      </c>
      <c r="N14" s="15" t="s">
        <v>63</v>
      </c>
      <c r="O14" s="59">
        <v>32903</v>
      </c>
      <c r="P14" s="14" t="s">
        <v>101</v>
      </c>
      <c r="Q14" s="17" t="s">
        <v>126</v>
      </c>
      <c r="R14" s="17">
        <v>3104651751</v>
      </c>
      <c r="S14" s="17"/>
      <c r="T14" s="124" t="str">
        <f>IF(N14=CURSOS!$D$3,"DIPLOMADO EN ATENCION PRE-HOSPITALARIA",IF(N14=CURSOS!$D$4,"ACOMPAÑAMIENTO Y MANEJO DEL DUELO",IF(N14=CURSOS!$D$5,"ATENCION A VICTIMAS DE ATAQUE CON AGENTES QUIMICOS ",IF(N14=CURSOS!$D$6,"PRIMEROS AUXILIOS ",IF(N14=CURSOS!$D$7,"DIPLOMADO DE UNIDAD DE CUIDADOS INTENSIVOS (UCI)",IF(N14=CURSOS!$D$8,"MODELO DE ATENCION PARA EVENTOS EMERGENTES EN SALUD MENTAL (CODIGO VERDE)",IF(N14=CURSOS!$D$9,"HUMANIZACION EN EL SERVICIO DE LA SALUD Y BUENAS PRACTICAS EN PACIENTE ",IF(N14=CURSOS!$D$10,"CLINICA DE HERIDAS ",IF(N14=CURSOS!$D$11,"TOMA DE CITOLOGIA CERVICO VAGINAL ",IF(N14=CURSOS!$D$12,"SOPORTE CARDIOVASCULAR AVANZADO (ACLS) ",IF(N14=CURSOS!$D$13,"CAMILLERO ",IF(N14=CURSOS!$D$14,"TOMA DE MUESTRAS Y LABORATORIO ",IF(N14=CURSOS!$D$15,"SOPORTE VITAL BASICO (BLS)",IF(N14=CURSOS!$D$16,"ATENCION A VICTIMAS DE VIOLENCIA SEXUAL ",IF(N14=CURSOS!$D$17,"PROGRAMADO AMPLIADO DE INMUNIZACION (PAI - COVID 19)",IF(N14=CURSOS!$D$18,"ATENCION INTEGRAL EN ENFERMEDADES PREVALENTES EN PRIMERA INFANCIA (AIEPI)",IF(N14=CURSOS!$D$19,"ADMINISTRACION DE MEDICAMENTOS, INYECTOLOGIA  Y CANALIZACION ",IF(N14=CURSOS!$D$20,"OPERADOR DE VEHICULOS DE EMERGENCIA (OVE)",IF(N14=CURSOS!$D$21,"INSTITUCIONES AMIGAS DE LA MUJER Y LA INFANCIA (IAMI)",IF(N14=CURSOS!$D$22,"CUIDADO DEL DONANTE DE ORGANOS",IF(N14=CURSOS!$D$23,"ATENCION A VICTIMAS POR VIOLENCIA DE GENERO",IF(N14=CURSOS!$D$24,"IGUALDAD DE GENERO EN LA SALUD",IF(N14=CURSOS!$D$25,"BRIGADA DE EMERGENCIA",IF(N14=CURSOS!$D$26,"MANEJO DEL DOLOR Y CUIDADOS PALIATIVOS",IF(N14=CURSOS!$D$27,"TOMA DE MUESTRAS Y LABORATORIO POCT",IF(N14=CURSOS!$D$28,"IMPLANTE SUBDERMICO DE DISPOSITIVO INTRAUTERINO",IF(N14=CURSOS!$D$29,"SALUD MENTAL",IF(N14=CURSOS!$D$30,"PRIMEROS AUXILIOS PSICOLOGICOS",IF(N14=CURSOS!$D$31,"ATENCION A VICTIMAS POR CONFLICTO ARMADO",IF(N14=CURSOS!$D$32,"MANIPULACION DE ALIMENTOS Y BPM",IF(N14=CURSOS!$D$33,"ATENCION A PERSONAS CON DISCAPACIDAD",IF(N14=CURSOS!$D$34,"CUIDADO INTEGRAL DEL PACIENTE ADULTO",IF(N14=CURSOS!$D$35,"MANEJO DEFENSIVO",IF(N14=CURSOS!$D$36,"SOPORTE CARDIOVASCULAR AVANZADO NEONATAL"))))))))))))))))))))))))))))))))))</f>
        <v>TOMA DE MUESTRAS Y LABORATORIO POCT</v>
      </c>
      <c r="U14" s="124" t="str">
        <f t="shared" ref="U14:U23" si="3">CONCATENATE(E14," ",F14," ",C14," ",D14)</f>
        <v>Jose Arturo Villarreal Garcia</v>
      </c>
      <c r="V14" s="124" t="str">
        <f t="shared" ref="V14:V23" si="4">+PROPER(U14)</f>
        <v>Jose Arturo Villarreal Garcia</v>
      </c>
      <c r="W14" s="138" t="str">
        <f t="shared" ref="W14:W23" si="5">CONCATENATE(U14,"-",B14,"-",N14)</f>
        <v>Jose Arturo Villarreal Garcia-1086017536-POCT</v>
      </c>
    </row>
    <row r="15" spans="1:24" s="101" customFormat="1" x14ac:dyDescent="0.2">
      <c r="A15" s="42">
        <v>14</v>
      </c>
      <c r="B15" s="17">
        <v>1085262298</v>
      </c>
      <c r="C15" s="17" t="s">
        <v>109</v>
      </c>
      <c r="D15" s="17" t="s">
        <v>469</v>
      </c>
      <c r="E15" s="17" t="s">
        <v>470</v>
      </c>
      <c r="F15" s="17" t="s">
        <v>224</v>
      </c>
      <c r="G15" s="14">
        <v>19</v>
      </c>
      <c r="H15" s="14" t="s">
        <v>89</v>
      </c>
      <c r="I15" s="16"/>
      <c r="J15" s="19"/>
      <c r="K15" s="14"/>
      <c r="L15" s="14" t="s">
        <v>90</v>
      </c>
      <c r="M15" s="14" t="s">
        <v>275</v>
      </c>
      <c r="N15" s="15" t="s">
        <v>63</v>
      </c>
      <c r="O15" s="59">
        <v>32035</v>
      </c>
      <c r="P15" s="14" t="s">
        <v>101</v>
      </c>
      <c r="Q15" s="17" t="s">
        <v>202</v>
      </c>
      <c r="R15" s="17">
        <v>3183930855</v>
      </c>
      <c r="S15" s="17"/>
      <c r="T15" s="124" t="str">
        <f>IF(N15=CURSOS!$D$3,"DIPLOMADO EN ATENCION PRE-HOSPITALARIA",IF(N15=CURSOS!$D$4,"ACOMPAÑAMIENTO Y MANEJO DEL DUELO",IF(N15=CURSOS!$D$5,"ATENCION A VICTIMAS DE ATAQUE CON AGENTES QUIMICOS ",IF(N15=CURSOS!$D$6,"PRIMEROS AUXILIOS ",IF(N15=CURSOS!$D$7,"DIPLOMADO DE UNIDAD DE CUIDADOS INTENSIVOS (UCI)",IF(N15=CURSOS!$D$8,"MODELO DE ATENCION PARA EVENTOS EMERGENTES EN SALUD MENTAL (CODIGO VERDE)",IF(N15=CURSOS!$D$9,"HUMANIZACION EN EL SERVICIO DE LA SALUD Y BUENAS PRACTICAS EN PACIENTE ",IF(N15=CURSOS!$D$10,"CLINICA DE HERIDAS ",IF(N15=CURSOS!$D$11,"TOMA DE CITOLOGIA CERVICO VAGINAL ",IF(N15=CURSOS!$D$12,"SOPORTE CARDIOVASCULAR AVANZADO (ACLS) ",IF(N15=CURSOS!$D$13,"CAMILLERO ",IF(N15=CURSOS!$D$14,"TOMA DE MUESTRAS Y LABORATORIO ",IF(N15=CURSOS!$D$15,"SOPORTE VITAL BASICO (BLS)",IF(N15=CURSOS!$D$16,"ATENCION A VICTIMAS DE VIOLENCIA SEXUAL ",IF(N15=CURSOS!$D$17,"PROGRAMADO AMPLIADO DE INMUNIZACION (PAI - COVID 19)",IF(N15=CURSOS!$D$18,"ATENCION INTEGRAL EN ENFERMEDADES PREVALENTES EN PRIMERA INFANCIA (AIEPI)",IF(N15=CURSOS!$D$19,"ADMINISTRACION DE MEDICAMENTOS, INYECTOLOGIA  Y CANALIZACION ",IF(N15=CURSOS!$D$20,"OPERADOR DE VEHICULOS DE EMERGENCIA (OVE)",IF(N15=CURSOS!$D$21,"INSTITUCIONES AMIGAS DE LA MUJER Y LA INFANCIA (IAMI)",IF(N15=CURSOS!$D$22,"CUIDADO DEL DONANTE DE ORGANOS",IF(N15=CURSOS!$D$23,"ATENCION A VICTIMAS POR VIOLENCIA DE GENERO",IF(N15=CURSOS!$D$24,"IGUALDAD DE GENERO EN LA SALUD",IF(N15=CURSOS!$D$25,"BRIGADA DE EMERGENCIA",IF(N15=CURSOS!$D$26,"MANEJO DEL DOLOR Y CUIDADOS PALIATIVOS",IF(N15=CURSOS!$D$27,"TOMA DE MUESTRAS Y LABORATORIO POCT",IF(N15=CURSOS!$D$28,"IMPLANTE SUBDERMICO DE DISPOSITIVO INTRAUTERINO",IF(N15=CURSOS!$D$29,"SALUD MENTAL",IF(N15=CURSOS!$D$30,"PRIMEROS AUXILIOS PSICOLOGICOS",IF(N15=CURSOS!$D$31,"ATENCION A VICTIMAS POR CONFLICTO ARMADO",IF(N15=CURSOS!$D$32,"MANIPULACION DE ALIMENTOS Y BPM",IF(N15=CURSOS!$D$33,"ATENCION A PERSONAS CON DISCAPACIDAD",IF(N15=CURSOS!$D$34,"CUIDADO INTEGRAL DEL PACIENTE ADULTO",IF(N15=CURSOS!$D$35,"MANEJO DEFENSIVO",IF(N15=CURSOS!$D$36,"SOPORTE CARDIOVASCULAR AVANZADO NEONATAL"))))))))))))))))))))))))))))))))))</f>
        <v>TOMA DE MUESTRAS Y LABORATORIO POCT</v>
      </c>
      <c r="U15" s="124" t="str">
        <f t="shared" si="3"/>
        <v>Erika Alexandra Obando De la cruz</v>
      </c>
      <c r="V15" s="124" t="str">
        <f t="shared" si="4"/>
        <v>Erika Alexandra Obando De La Cruz</v>
      </c>
      <c r="W15" s="138" t="str">
        <f t="shared" si="5"/>
        <v>Erika Alexandra Obando De la cruz-1085262298-POCT</v>
      </c>
    </row>
    <row r="16" spans="1:24" s="101" customFormat="1" x14ac:dyDescent="0.2">
      <c r="A16" s="42">
        <v>15</v>
      </c>
      <c r="B16" s="17">
        <v>66946592</v>
      </c>
      <c r="C16" s="17" t="s">
        <v>240</v>
      </c>
      <c r="D16" s="17" t="s">
        <v>471</v>
      </c>
      <c r="E16" s="17" t="s">
        <v>472</v>
      </c>
      <c r="F16" s="17" t="s">
        <v>473</v>
      </c>
      <c r="G16" s="14">
        <v>19</v>
      </c>
      <c r="H16" s="14" t="s">
        <v>89</v>
      </c>
      <c r="I16" s="16"/>
      <c r="J16" s="19"/>
      <c r="K16" s="14"/>
      <c r="L16" s="14" t="s">
        <v>90</v>
      </c>
      <c r="M16" s="14" t="s">
        <v>275</v>
      </c>
      <c r="N16" s="15" t="s">
        <v>63</v>
      </c>
      <c r="O16" s="59">
        <v>27454</v>
      </c>
      <c r="P16" s="14" t="s">
        <v>101</v>
      </c>
      <c r="Q16" s="17" t="s">
        <v>202</v>
      </c>
      <c r="R16" s="17">
        <v>3128997016</v>
      </c>
      <c r="S16" s="17"/>
      <c r="T16" s="124" t="str">
        <f>IF(N16=CURSOS!$D$3,"DIPLOMADO EN ATENCION PRE-HOSPITALARIA",IF(N16=CURSOS!$D$4,"ACOMPAÑAMIENTO Y MANEJO DEL DUELO",IF(N16=CURSOS!$D$5,"ATENCION A VICTIMAS DE ATAQUE CON AGENTES QUIMICOS ",IF(N16=CURSOS!$D$6,"PRIMEROS AUXILIOS ",IF(N16=CURSOS!$D$7,"DIPLOMADO DE UNIDAD DE CUIDADOS INTENSIVOS (UCI)",IF(N16=CURSOS!$D$8,"MODELO DE ATENCION PARA EVENTOS EMERGENTES EN SALUD MENTAL (CODIGO VERDE)",IF(N16=CURSOS!$D$9,"HUMANIZACION EN EL SERVICIO DE LA SALUD Y BUENAS PRACTICAS EN PACIENTE ",IF(N16=CURSOS!$D$10,"CLINICA DE HERIDAS ",IF(N16=CURSOS!$D$11,"TOMA DE CITOLOGIA CERVICO VAGINAL ",IF(N16=CURSOS!$D$12,"SOPORTE CARDIOVASCULAR AVANZADO (ACLS) ",IF(N16=CURSOS!$D$13,"CAMILLERO ",IF(N16=CURSOS!$D$14,"TOMA DE MUESTRAS Y LABORATORIO ",IF(N16=CURSOS!$D$15,"SOPORTE VITAL BASICO (BLS)",IF(N16=CURSOS!$D$16,"ATENCION A VICTIMAS DE VIOLENCIA SEXUAL ",IF(N16=CURSOS!$D$17,"PROGRAMADO AMPLIADO DE INMUNIZACION (PAI - COVID 19)",IF(N16=CURSOS!$D$18,"ATENCION INTEGRAL EN ENFERMEDADES PREVALENTES EN PRIMERA INFANCIA (AIEPI)",IF(N16=CURSOS!$D$19,"ADMINISTRACION DE MEDICAMENTOS, INYECTOLOGIA  Y CANALIZACION ",IF(N16=CURSOS!$D$20,"OPERADOR DE VEHICULOS DE EMERGENCIA (OVE)",IF(N16=CURSOS!$D$21,"INSTITUCIONES AMIGAS DE LA MUJER Y LA INFANCIA (IAMI)",IF(N16=CURSOS!$D$22,"CUIDADO DEL DONANTE DE ORGANOS",IF(N16=CURSOS!$D$23,"ATENCION A VICTIMAS POR VIOLENCIA DE GENERO",IF(N16=CURSOS!$D$24,"IGUALDAD DE GENERO EN LA SALUD",IF(N16=CURSOS!$D$25,"BRIGADA DE EMERGENCIA",IF(N16=CURSOS!$D$26,"MANEJO DEL DOLOR Y CUIDADOS PALIATIVOS",IF(N16=CURSOS!$D$27,"TOMA DE MUESTRAS Y LABORATORIO POCT",IF(N16=CURSOS!$D$28,"IMPLANTE SUBDERMICO DE DISPOSITIVO INTRAUTERINO",IF(N16=CURSOS!$D$29,"SALUD MENTAL",IF(N16=CURSOS!$D$30,"PRIMEROS AUXILIOS PSICOLOGICOS",IF(N16=CURSOS!$D$31,"ATENCION A VICTIMAS POR CONFLICTO ARMADO",IF(N16=CURSOS!$D$32,"MANIPULACION DE ALIMENTOS Y BPM",IF(N16=CURSOS!$D$33,"ATENCION A PERSONAS CON DISCAPACIDAD",IF(N16=CURSOS!$D$34,"CUIDADO INTEGRAL DEL PACIENTE ADULTO",IF(N16=CURSOS!$D$35,"MANEJO DEFENSIVO",IF(N16=CURSOS!$D$36,"SOPORTE CARDIOVASCULAR AVANZADO NEONATAL"))))))))))))))))))))))))))))))))))</f>
        <v>TOMA DE MUESTRAS Y LABORATORIO POCT</v>
      </c>
      <c r="U16" s="124" t="str">
        <f t="shared" si="3"/>
        <v>Fugi Savid Tobar Ruiz</v>
      </c>
      <c r="V16" s="124" t="str">
        <f t="shared" si="4"/>
        <v>Fugi Savid Tobar Ruiz</v>
      </c>
      <c r="W16" s="138" t="str">
        <f t="shared" si="5"/>
        <v>Fugi Savid Tobar Ruiz-66946592-POCT</v>
      </c>
    </row>
    <row r="17" spans="1:23" s="101" customFormat="1" x14ac:dyDescent="0.2">
      <c r="A17" s="42">
        <v>16</v>
      </c>
      <c r="B17" s="17">
        <v>1085274509</v>
      </c>
      <c r="C17" s="17" t="s">
        <v>389</v>
      </c>
      <c r="D17" s="17" t="s">
        <v>474</v>
      </c>
      <c r="E17" s="17" t="s">
        <v>475</v>
      </c>
      <c r="F17" s="17" t="s">
        <v>476</v>
      </c>
      <c r="G17" s="14">
        <v>19</v>
      </c>
      <c r="H17" s="14" t="s">
        <v>89</v>
      </c>
      <c r="I17" s="16"/>
      <c r="J17" s="19"/>
      <c r="K17" s="14"/>
      <c r="L17" s="14" t="s">
        <v>90</v>
      </c>
      <c r="M17" s="14" t="s">
        <v>275</v>
      </c>
      <c r="N17" s="15" t="s">
        <v>63</v>
      </c>
      <c r="O17" s="59">
        <v>32690</v>
      </c>
      <c r="P17" s="14" t="s">
        <v>91</v>
      </c>
      <c r="Q17" s="17" t="s">
        <v>126</v>
      </c>
      <c r="R17" s="17">
        <v>3177219299</v>
      </c>
      <c r="S17" s="17"/>
      <c r="T17" s="124" t="str">
        <f>IF(N17=CURSOS!$D$3,"DIPLOMADO EN ATENCION PRE-HOSPITALARIA",IF(N17=CURSOS!$D$4,"ACOMPAÑAMIENTO Y MANEJO DEL DUELO",IF(N17=CURSOS!$D$5,"ATENCION A VICTIMAS DE ATAQUE CON AGENTES QUIMICOS ",IF(N17=CURSOS!$D$6,"PRIMEROS AUXILIOS ",IF(N17=CURSOS!$D$7,"DIPLOMADO DE UNIDAD DE CUIDADOS INTENSIVOS (UCI)",IF(N17=CURSOS!$D$8,"MODELO DE ATENCION PARA EVENTOS EMERGENTES EN SALUD MENTAL (CODIGO VERDE)",IF(N17=CURSOS!$D$9,"HUMANIZACION EN EL SERVICIO DE LA SALUD Y BUENAS PRACTICAS EN PACIENTE ",IF(N17=CURSOS!$D$10,"CLINICA DE HERIDAS ",IF(N17=CURSOS!$D$11,"TOMA DE CITOLOGIA CERVICO VAGINAL ",IF(N17=CURSOS!$D$12,"SOPORTE CARDIOVASCULAR AVANZADO (ACLS) ",IF(N17=CURSOS!$D$13,"CAMILLERO ",IF(N17=CURSOS!$D$14,"TOMA DE MUESTRAS Y LABORATORIO ",IF(N17=CURSOS!$D$15,"SOPORTE VITAL BASICO (BLS)",IF(N17=CURSOS!$D$16,"ATENCION A VICTIMAS DE VIOLENCIA SEXUAL ",IF(N17=CURSOS!$D$17,"PROGRAMADO AMPLIADO DE INMUNIZACION (PAI - COVID 19)",IF(N17=CURSOS!$D$18,"ATENCION INTEGRAL EN ENFERMEDADES PREVALENTES EN PRIMERA INFANCIA (AIEPI)",IF(N17=CURSOS!$D$19,"ADMINISTRACION DE MEDICAMENTOS, INYECTOLOGIA  Y CANALIZACION ",IF(N17=CURSOS!$D$20,"OPERADOR DE VEHICULOS DE EMERGENCIA (OVE)",IF(N17=CURSOS!$D$21,"INSTITUCIONES AMIGAS DE LA MUJER Y LA INFANCIA (IAMI)",IF(N17=CURSOS!$D$22,"CUIDADO DEL DONANTE DE ORGANOS",IF(N17=CURSOS!$D$23,"ATENCION A VICTIMAS POR VIOLENCIA DE GENERO",IF(N17=CURSOS!$D$24,"IGUALDAD DE GENERO EN LA SALUD",IF(N17=CURSOS!$D$25,"BRIGADA DE EMERGENCIA",IF(N17=CURSOS!$D$26,"MANEJO DEL DOLOR Y CUIDADOS PALIATIVOS",IF(N17=CURSOS!$D$27,"TOMA DE MUESTRAS Y LABORATORIO POCT",IF(N17=CURSOS!$D$28,"IMPLANTE SUBDERMICO DE DISPOSITIVO INTRAUTERINO",IF(N17=CURSOS!$D$29,"SALUD MENTAL",IF(N17=CURSOS!$D$30,"PRIMEROS AUXILIOS PSICOLOGICOS",IF(N17=CURSOS!$D$31,"ATENCION A VICTIMAS POR CONFLICTO ARMADO",IF(N17=CURSOS!$D$32,"MANIPULACION DE ALIMENTOS Y BPM",IF(N17=CURSOS!$D$33,"ATENCION A PERSONAS CON DISCAPACIDAD",IF(N17=CURSOS!$D$34,"CUIDADO INTEGRAL DEL PACIENTE ADULTO",IF(N17=CURSOS!$D$35,"MANEJO DEFENSIVO",IF(N17=CURSOS!$D$36,"SOPORTE CARDIOVASCULAR AVANZADO NEONATAL"))))))))))))))))))))))))))))))))))</f>
        <v>TOMA DE MUESTRAS Y LABORATORIO POCT</v>
      </c>
      <c r="U17" s="124" t="str">
        <f t="shared" si="3"/>
        <v>Jorge Fabian Delgado Torres</v>
      </c>
      <c r="V17" s="124" t="str">
        <f t="shared" si="4"/>
        <v>Jorge Fabian Delgado Torres</v>
      </c>
      <c r="W17" s="138" t="str">
        <f t="shared" si="5"/>
        <v>Jorge Fabian Delgado Torres-1085274509-POCT</v>
      </c>
    </row>
    <row r="18" spans="1:23" s="101" customFormat="1" x14ac:dyDescent="0.2">
      <c r="A18" s="42">
        <v>17</v>
      </c>
      <c r="B18" s="17">
        <v>1085251607</v>
      </c>
      <c r="C18" s="17" t="s">
        <v>136</v>
      </c>
      <c r="D18" s="17" t="s">
        <v>135</v>
      </c>
      <c r="E18" s="17" t="s">
        <v>436</v>
      </c>
      <c r="F18" s="17" t="s">
        <v>477</v>
      </c>
      <c r="G18" s="14">
        <v>19</v>
      </c>
      <c r="H18" s="14" t="s">
        <v>89</v>
      </c>
      <c r="I18" s="16"/>
      <c r="J18" s="19"/>
      <c r="K18" s="14"/>
      <c r="L18" s="14" t="s">
        <v>90</v>
      </c>
      <c r="M18" s="14" t="s">
        <v>275</v>
      </c>
      <c r="N18" s="15" t="s">
        <v>63</v>
      </c>
      <c r="O18" s="59">
        <v>31308</v>
      </c>
      <c r="P18" s="14" t="s">
        <v>101</v>
      </c>
      <c r="Q18" s="17" t="s">
        <v>126</v>
      </c>
      <c r="R18" s="17">
        <v>3105031160</v>
      </c>
      <c r="S18" s="17"/>
      <c r="T18" s="124" t="str">
        <f>IF(N18=CURSOS!$D$3,"DIPLOMADO EN ATENCION PRE-HOSPITALARIA",IF(N18=CURSOS!$D$4,"ACOMPAÑAMIENTO Y MANEJO DEL DUELO",IF(N18=CURSOS!$D$5,"ATENCION A VICTIMAS DE ATAQUE CON AGENTES QUIMICOS ",IF(N18=CURSOS!$D$6,"PRIMEROS AUXILIOS ",IF(N18=CURSOS!$D$7,"DIPLOMADO DE UNIDAD DE CUIDADOS INTENSIVOS (UCI)",IF(N18=CURSOS!$D$8,"MODELO DE ATENCION PARA EVENTOS EMERGENTES EN SALUD MENTAL (CODIGO VERDE)",IF(N18=CURSOS!$D$9,"HUMANIZACION EN EL SERVICIO DE LA SALUD Y BUENAS PRACTICAS EN PACIENTE ",IF(N18=CURSOS!$D$10,"CLINICA DE HERIDAS ",IF(N18=CURSOS!$D$11,"TOMA DE CITOLOGIA CERVICO VAGINAL ",IF(N18=CURSOS!$D$12,"SOPORTE CARDIOVASCULAR AVANZADO (ACLS) ",IF(N18=CURSOS!$D$13,"CAMILLERO ",IF(N18=CURSOS!$D$14,"TOMA DE MUESTRAS Y LABORATORIO ",IF(N18=CURSOS!$D$15,"SOPORTE VITAL BASICO (BLS)",IF(N18=CURSOS!$D$16,"ATENCION A VICTIMAS DE VIOLENCIA SEXUAL ",IF(N18=CURSOS!$D$17,"PROGRAMADO AMPLIADO DE INMUNIZACION (PAI - COVID 19)",IF(N18=CURSOS!$D$18,"ATENCION INTEGRAL EN ENFERMEDADES PREVALENTES EN PRIMERA INFANCIA (AIEPI)",IF(N18=CURSOS!$D$19,"ADMINISTRACION DE MEDICAMENTOS, INYECTOLOGIA  Y CANALIZACION ",IF(N18=CURSOS!$D$20,"OPERADOR DE VEHICULOS DE EMERGENCIA (OVE)",IF(N18=CURSOS!$D$21,"INSTITUCIONES AMIGAS DE LA MUJER Y LA INFANCIA (IAMI)",IF(N18=CURSOS!$D$22,"CUIDADO DEL DONANTE DE ORGANOS",IF(N18=CURSOS!$D$23,"ATENCION A VICTIMAS POR VIOLENCIA DE GENERO",IF(N18=CURSOS!$D$24,"IGUALDAD DE GENERO EN LA SALUD",IF(N18=CURSOS!$D$25,"BRIGADA DE EMERGENCIA",IF(N18=CURSOS!$D$26,"MANEJO DEL DOLOR Y CUIDADOS PALIATIVOS",IF(N18=CURSOS!$D$27,"TOMA DE MUESTRAS Y LABORATORIO POCT",IF(N18=CURSOS!$D$28,"IMPLANTE SUBDERMICO DE DISPOSITIVO INTRAUTERINO",IF(N18=CURSOS!$D$29,"SALUD MENTAL",IF(N18=CURSOS!$D$30,"PRIMEROS AUXILIOS PSICOLOGICOS",IF(N18=CURSOS!$D$31,"ATENCION A VICTIMAS POR CONFLICTO ARMADO",IF(N18=CURSOS!$D$32,"MANIPULACION DE ALIMENTOS Y BPM",IF(N18=CURSOS!$D$33,"ATENCION A PERSONAS CON DISCAPACIDAD",IF(N18=CURSOS!$D$34,"CUIDADO INTEGRAL DEL PACIENTE ADULTO",IF(N18=CURSOS!$D$35,"MANEJO DEFENSIVO",IF(N18=CURSOS!$D$36,"SOPORTE CARDIOVASCULAR AVANZADO NEONATAL"))))))))))))))))))))))))))))))))))</f>
        <v>TOMA DE MUESTRAS Y LABORATORIO POCT</v>
      </c>
      <c r="U18" s="124" t="str">
        <f t="shared" si="3"/>
        <v>Leidy Nathaly Criollo Yaqueno</v>
      </c>
      <c r="V18" s="124" t="str">
        <f t="shared" si="4"/>
        <v>Leidy Nathaly Criollo Yaqueno</v>
      </c>
      <c r="W18" s="138" t="str">
        <f t="shared" si="5"/>
        <v>Leidy Nathaly Criollo Yaqueno-1085251607-POCT</v>
      </c>
    </row>
    <row r="19" spans="1:23" s="101" customFormat="1" x14ac:dyDescent="0.2">
      <c r="A19" s="42">
        <v>18</v>
      </c>
      <c r="B19" s="17">
        <v>1019068283</v>
      </c>
      <c r="C19" s="17" t="s">
        <v>478</v>
      </c>
      <c r="D19" s="17" t="s">
        <v>178</v>
      </c>
      <c r="E19" s="17" t="s">
        <v>479</v>
      </c>
      <c r="F19" s="17" t="s">
        <v>480</v>
      </c>
      <c r="G19" s="14">
        <v>19</v>
      </c>
      <c r="H19" s="14" t="s">
        <v>89</v>
      </c>
      <c r="I19" s="16"/>
      <c r="J19" s="19"/>
      <c r="K19" s="14"/>
      <c r="L19" s="14" t="s">
        <v>90</v>
      </c>
      <c r="M19" s="14" t="s">
        <v>275</v>
      </c>
      <c r="N19" s="15" t="s">
        <v>63</v>
      </c>
      <c r="O19" s="59">
        <v>33652</v>
      </c>
      <c r="P19" s="14" t="s">
        <v>101</v>
      </c>
      <c r="Q19" s="17" t="s">
        <v>126</v>
      </c>
      <c r="R19" s="17">
        <v>3004019902</v>
      </c>
      <c r="S19" s="17"/>
      <c r="T19" s="124" t="str">
        <f>IF(N19=CURSOS!$D$3,"DIPLOMADO EN ATENCION PRE-HOSPITALARIA",IF(N19=CURSOS!$D$4,"ACOMPAÑAMIENTO Y MANEJO DEL DUELO",IF(N19=CURSOS!$D$5,"ATENCION A VICTIMAS DE ATAQUE CON AGENTES QUIMICOS ",IF(N19=CURSOS!$D$6,"PRIMEROS AUXILIOS ",IF(N19=CURSOS!$D$7,"DIPLOMADO DE UNIDAD DE CUIDADOS INTENSIVOS (UCI)",IF(N19=CURSOS!$D$8,"MODELO DE ATENCION PARA EVENTOS EMERGENTES EN SALUD MENTAL (CODIGO VERDE)",IF(N19=CURSOS!$D$9,"HUMANIZACION EN EL SERVICIO DE LA SALUD Y BUENAS PRACTICAS EN PACIENTE ",IF(N19=CURSOS!$D$10,"CLINICA DE HERIDAS ",IF(N19=CURSOS!$D$11,"TOMA DE CITOLOGIA CERVICO VAGINAL ",IF(N19=CURSOS!$D$12,"SOPORTE CARDIOVASCULAR AVANZADO (ACLS) ",IF(N19=CURSOS!$D$13,"CAMILLERO ",IF(N19=CURSOS!$D$14,"TOMA DE MUESTRAS Y LABORATORIO ",IF(N19=CURSOS!$D$15,"SOPORTE VITAL BASICO (BLS)",IF(N19=CURSOS!$D$16,"ATENCION A VICTIMAS DE VIOLENCIA SEXUAL ",IF(N19=CURSOS!$D$17,"PROGRAMADO AMPLIADO DE INMUNIZACION (PAI - COVID 19)",IF(N19=CURSOS!$D$18,"ATENCION INTEGRAL EN ENFERMEDADES PREVALENTES EN PRIMERA INFANCIA (AIEPI)",IF(N19=CURSOS!$D$19,"ADMINISTRACION DE MEDICAMENTOS, INYECTOLOGIA  Y CANALIZACION ",IF(N19=CURSOS!$D$20,"OPERADOR DE VEHICULOS DE EMERGENCIA (OVE)",IF(N19=CURSOS!$D$21,"INSTITUCIONES AMIGAS DE LA MUJER Y LA INFANCIA (IAMI)",IF(N19=CURSOS!$D$22,"CUIDADO DEL DONANTE DE ORGANOS",IF(N19=CURSOS!$D$23,"ATENCION A VICTIMAS POR VIOLENCIA DE GENERO",IF(N19=CURSOS!$D$24,"IGUALDAD DE GENERO EN LA SALUD",IF(N19=CURSOS!$D$25,"BRIGADA DE EMERGENCIA",IF(N19=CURSOS!$D$26,"MANEJO DEL DOLOR Y CUIDADOS PALIATIVOS",IF(N19=CURSOS!$D$27,"TOMA DE MUESTRAS Y LABORATORIO POCT",IF(N19=CURSOS!$D$28,"IMPLANTE SUBDERMICO DE DISPOSITIVO INTRAUTERINO",IF(N19=CURSOS!$D$29,"SALUD MENTAL",IF(N19=CURSOS!$D$30,"PRIMEROS AUXILIOS PSICOLOGICOS",IF(N19=CURSOS!$D$31,"ATENCION A VICTIMAS POR CONFLICTO ARMADO",IF(N19=CURSOS!$D$32,"MANIPULACION DE ALIMENTOS Y BPM",IF(N19=CURSOS!$D$33,"ATENCION A PERSONAS CON DISCAPACIDAD",IF(N19=CURSOS!$D$34,"CUIDADO INTEGRAL DEL PACIENTE ADULTO",IF(N19=CURSOS!$D$35,"MANEJO DEFENSIVO",IF(N19=CURSOS!$D$36,"SOPORTE CARDIOVASCULAR AVANZADO NEONATAL"))))))))))))))))))))))))))))))))))</f>
        <v>TOMA DE MUESTRAS Y LABORATORIO POCT</v>
      </c>
      <c r="U19" s="124" t="str">
        <f t="shared" si="3"/>
        <v>Xilena Jeraldine Ortiz Achicanoy</v>
      </c>
      <c r="V19" s="124" t="str">
        <f t="shared" si="4"/>
        <v>Xilena Jeraldine Ortiz Achicanoy</v>
      </c>
      <c r="W19" s="138" t="str">
        <f t="shared" si="5"/>
        <v>Xilena Jeraldine Ortiz Achicanoy-1019068283-POCT</v>
      </c>
    </row>
    <row r="20" spans="1:23" s="101" customFormat="1" x14ac:dyDescent="0.2">
      <c r="A20" s="42">
        <v>19</v>
      </c>
      <c r="B20" s="17">
        <v>59312313</v>
      </c>
      <c r="C20" s="17" t="s">
        <v>481</v>
      </c>
      <c r="D20" s="17" t="s">
        <v>155</v>
      </c>
      <c r="E20" s="17" t="s">
        <v>482</v>
      </c>
      <c r="F20" s="17"/>
      <c r="G20" s="14">
        <v>19</v>
      </c>
      <c r="H20" s="14" t="s">
        <v>89</v>
      </c>
      <c r="I20" s="16"/>
      <c r="J20" s="19"/>
      <c r="K20" s="14"/>
      <c r="L20" s="14" t="s">
        <v>90</v>
      </c>
      <c r="M20" s="14" t="s">
        <v>275</v>
      </c>
      <c r="N20" s="15" t="s">
        <v>63</v>
      </c>
      <c r="O20" s="59">
        <v>30833</v>
      </c>
      <c r="P20" s="14" t="s">
        <v>101</v>
      </c>
      <c r="Q20" s="17" t="s">
        <v>202</v>
      </c>
      <c r="R20" s="17">
        <v>3013584625</v>
      </c>
      <c r="S20" s="17"/>
      <c r="T20" s="124" t="str">
        <f>IF(N20=CURSOS!$D$3,"DIPLOMADO EN ATENCION PRE-HOSPITALARIA",IF(N20=CURSOS!$D$4,"ACOMPAÑAMIENTO Y MANEJO DEL DUELO",IF(N20=CURSOS!$D$5,"ATENCION A VICTIMAS DE ATAQUE CON AGENTES QUIMICOS ",IF(N20=CURSOS!$D$6,"PRIMEROS AUXILIOS ",IF(N20=CURSOS!$D$7,"DIPLOMADO DE UNIDAD DE CUIDADOS INTENSIVOS (UCI)",IF(N20=CURSOS!$D$8,"MODELO DE ATENCION PARA EVENTOS EMERGENTES EN SALUD MENTAL (CODIGO VERDE)",IF(N20=CURSOS!$D$9,"HUMANIZACION EN EL SERVICIO DE LA SALUD Y BUENAS PRACTICAS EN PACIENTE ",IF(N20=CURSOS!$D$10,"CLINICA DE HERIDAS ",IF(N20=CURSOS!$D$11,"TOMA DE CITOLOGIA CERVICO VAGINAL ",IF(N20=CURSOS!$D$12,"SOPORTE CARDIOVASCULAR AVANZADO (ACLS) ",IF(N20=CURSOS!$D$13,"CAMILLERO ",IF(N20=CURSOS!$D$14,"TOMA DE MUESTRAS Y LABORATORIO ",IF(N20=CURSOS!$D$15,"SOPORTE VITAL BASICO (BLS)",IF(N20=CURSOS!$D$16,"ATENCION A VICTIMAS DE VIOLENCIA SEXUAL ",IF(N20=CURSOS!$D$17,"PROGRAMADO AMPLIADO DE INMUNIZACION (PAI - COVID 19)",IF(N20=CURSOS!$D$18,"ATENCION INTEGRAL EN ENFERMEDADES PREVALENTES EN PRIMERA INFANCIA (AIEPI)",IF(N20=CURSOS!$D$19,"ADMINISTRACION DE MEDICAMENTOS, INYECTOLOGIA  Y CANALIZACION ",IF(N20=CURSOS!$D$20,"OPERADOR DE VEHICULOS DE EMERGENCIA (OVE)",IF(N20=CURSOS!$D$21,"INSTITUCIONES AMIGAS DE LA MUJER Y LA INFANCIA (IAMI)",IF(N20=CURSOS!$D$22,"CUIDADO DEL DONANTE DE ORGANOS",IF(N20=CURSOS!$D$23,"ATENCION A VICTIMAS POR VIOLENCIA DE GENERO",IF(N20=CURSOS!$D$24,"IGUALDAD DE GENERO EN LA SALUD",IF(N20=CURSOS!$D$25,"BRIGADA DE EMERGENCIA",IF(N20=CURSOS!$D$26,"MANEJO DEL DOLOR Y CUIDADOS PALIATIVOS",IF(N20=CURSOS!$D$27,"TOMA DE MUESTRAS Y LABORATORIO POCT",IF(N20=CURSOS!$D$28,"IMPLANTE SUBDERMICO DE DISPOSITIVO INTRAUTERINO",IF(N20=CURSOS!$D$29,"SALUD MENTAL",IF(N20=CURSOS!$D$30,"PRIMEROS AUXILIOS PSICOLOGICOS",IF(N20=CURSOS!$D$31,"ATENCION A VICTIMAS POR CONFLICTO ARMADO",IF(N20=CURSOS!$D$32,"MANIPULACION DE ALIMENTOS Y BPM",IF(N20=CURSOS!$D$33,"ATENCION A PERSONAS CON DISCAPACIDAD",IF(N20=CURSOS!$D$34,"CUIDADO INTEGRAL DEL PACIENTE ADULTO",IF(N20=CURSOS!$D$35,"MANEJO DEFENSIVO",IF(N20=CURSOS!$D$36,"SOPORTE CARDIOVASCULAR AVANZADO NEONATAL"))))))))))))))))))))))))))))))))))</f>
        <v>TOMA DE MUESTRAS Y LABORATORIO POCT</v>
      </c>
      <c r="U20" s="124" t="str">
        <f t="shared" si="3"/>
        <v>Viviana  Arcos Guerrero</v>
      </c>
      <c r="V20" s="124" t="str">
        <f t="shared" si="4"/>
        <v>Viviana  Arcos Guerrero</v>
      </c>
      <c r="W20" s="138" t="str">
        <f t="shared" si="5"/>
        <v>Viviana  Arcos Guerrero-59312313-POCT</v>
      </c>
    </row>
    <row r="21" spans="1:23" s="101" customFormat="1" x14ac:dyDescent="0.2">
      <c r="A21" s="42">
        <v>20</v>
      </c>
      <c r="B21" s="17">
        <v>27190934</v>
      </c>
      <c r="C21" s="17" t="s">
        <v>483</v>
      </c>
      <c r="D21" s="17" t="s">
        <v>484</v>
      </c>
      <c r="E21" s="17" t="s">
        <v>485</v>
      </c>
      <c r="F21" s="17" t="s">
        <v>486</v>
      </c>
      <c r="G21" s="14">
        <v>19</v>
      </c>
      <c r="H21" s="14" t="s">
        <v>89</v>
      </c>
      <c r="I21" s="16"/>
      <c r="J21" s="19"/>
      <c r="K21" s="14"/>
      <c r="L21" s="14" t="s">
        <v>90</v>
      </c>
      <c r="M21" s="14" t="s">
        <v>275</v>
      </c>
      <c r="N21" s="15" t="s">
        <v>63</v>
      </c>
      <c r="O21" s="59">
        <v>29530</v>
      </c>
      <c r="P21" s="14" t="s">
        <v>101</v>
      </c>
      <c r="Q21" s="17" t="s">
        <v>126</v>
      </c>
      <c r="R21" s="17">
        <v>3218493023</v>
      </c>
      <c r="S21" s="17"/>
      <c r="T21" s="124" t="str">
        <f>IF(N21=CURSOS!$D$3,"DIPLOMADO EN ATENCION PRE-HOSPITALARIA",IF(N21=CURSOS!$D$4,"ACOMPAÑAMIENTO Y MANEJO DEL DUELO",IF(N21=CURSOS!$D$5,"ATENCION A VICTIMAS DE ATAQUE CON AGENTES QUIMICOS ",IF(N21=CURSOS!$D$6,"PRIMEROS AUXILIOS ",IF(N21=CURSOS!$D$7,"DIPLOMADO DE UNIDAD DE CUIDADOS INTENSIVOS (UCI)",IF(N21=CURSOS!$D$8,"MODELO DE ATENCION PARA EVENTOS EMERGENTES EN SALUD MENTAL (CODIGO VERDE)",IF(N21=CURSOS!$D$9,"HUMANIZACION EN EL SERVICIO DE LA SALUD Y BUENAS PRACTICAS EN PACIENTE ",IF(N21=CURSOS!$D$10,"CLINICA DE HERIDAS ",IF(N21=CURSOS!$D$11,"TOMA DE CITOLOGIA CERVICO VAGINAL ",IF(N21=CURSOS!$D$12,"SOPORTE CARDIOVASCULAR AVANZADO (ACLS) ",IF(N21=CURSOS!$D$13,"CAMILLERO ",IF(N21=CURSOS!$D$14,"TOMA DE MUESTRAS Y LABORATORIO ",IF(N21=CURSOS!$D$15,"SOPORTE VITAL BASICO (BLS)",IF(N21=CURSOS!$D$16,"ATENCION A VICTIMAS DE VIOLENCIA SEXUAL ",IF(N21=CURSOS!$D$17,"PROGRAMADO AMPLIADO DE INMUNIZACION (PAI - COVID 19)",IF(N21=CURSOS!$D$18,"ATENCION INTEGRAL EN ENFERMEDADES PREVALENTES EN PRIMERA INFANCIA (AIEPI)",IF(N21=CURSOS!$D$19,"ADMINISTRACION DE MEDICAMENTOS, INYECTOLOGIA  Y CANALIZACION ",IF(N21=CURSOS!$D$20,"OPERADOR DE VEHICULOS DE EMERGENCIA (OVE)",IF(N21=CURSOS!$D$21,"INSTITUCIONES AMIGAS DE LA MUJER Y LA INFANCIA (IAMI)",IF(N21=CURSOS!$D$22,"CUIDADO DEL DONANTE DE ORGANOS",IF(N21=CURSOS!$D$23,"ATENCION A VICTIMAS POR VIOLENCIA DE GENERO",IF(N21=CURSOS!$D$24,"IGUALDAD DE GENERO EN LA SALUD",IF(N21=CURSOS!$D$25,"BRIGADA DE EMERGENCIA",IF(N21=CURSOS!$D$26,"MANEJO DEL DOLOR Y CUIDADOS PALIATIVOS",IF(N21=CURSOS!$D$27,"TOMA DE MUESTRAS Y LABORATORIO POCT",IF(N21=CURSOS!$D$28,"IMPLANTE SUBDERMICO DE DISPOSITIVO INTRAUTERINO",IF(N21=CURSOS!$D$29,"SALUD MENTAL",IF(N21=CURSOS!$D$30,"PRIMEROS AUXILIOS PSICOLOGICOS",IF(N21=CURSOS!$D$31,"ATENCION A VICTIMAS POR CONFLICTO ARMADO",IF(N21=CURSOS!$D$32,"MANIPULACION DE ALIMENTOS Y BPM",IF(N21=CURSOS!$D$33,"ATENCION A PERSONAS CON DISCAPACIDAD",IF(N21=CURSOS!$D$34,"CUIDADO INTEGRAL DEL PACIENTE ADULTO",IF(N21=CURSOS!$D$35,"MANEJO DEFENSIVO",IF(N21=CURSOS!$D$36,"SOPORTE CARDIOVASCULAR AVANZADO NEONATAL"))))))))))))))))))))))))))))))))))</f>
        <v>TOMA DE MUESTRAS Y LABORATORIO POCT</v>
      </c>
      <c r="U21" s="124" t="str">
        <f t="shared" si="3"/>
        <v>Ayensy Marisol Latorre Bolaños</v>
      </c>
      <c r="V21" s="124" t="str">
        <f t="shared" si="4"/>
        <v>Ayensy Marisol Latorre Bolaños</v>
      </c>
      <c r="W21" s="138" t="str">
        <f t="shared" si="5"/>
        <v>Ayensy Marisol Latorre Bolaños-27190934-POCT</v>
      </c>
    </row>
    <row r="22" spans="1:23" s="101" customFormat="1" x14ac:dyDescent="0.2">
      <c r="A22" s="42">
        <v>21</v>
      </c>
      <c r="B22" s="17">
        <v>36759249</v>
      </c>
      <c r="C22" s="17" t="s">
        <v>493</v>
      </c>
      <c r="D22" s="17" t="s">
        <v>172</v>
      </c>
      <c r="E22" s="17" t="s">
        <v>494</v>
      </c>
      <c r="F22" s="17" t="s">
        <v>495</v>
      </c>
      <c r="G22" s="14">
        <v>19</v>
      </c>
      <c r="H22" s="14" t="s">
        <v>89</v>
      </c>
      <c r="I22" s="16"/>
      <c r="J22" s="19"/>
      <c r="K22" s="14"/>
      <c r="L22" s="14" t="s">
        <v>90</v>
      </c>
      <c r="M22" s="14" t="s">
        <v>275</v>
      </c>
      <c r="N22" s="15" t="s">
        <v>63</v>
      </c>
      <c r="O22" s="59">
        <v>30182</v>
      </c>
      <c r="P22" s="14" t="s">
        <v>101</v>
      </c>
      <c r="Q22" s="17" t="s">
        <v>126</v>
      </c>
      <c r="R22" s="17">
        <v>3157445261</v>
      </c>
      <c r="S22" s="39"/>
      <c r="T22" s="124" t="str">
        <f>IF(N22=CURSOS!$D$3,"DIPLOMADO EN ATENCION PRE-HOSPITALARIA",IF(N22=CURSOS!$D$4,"ACOMPAÑAMIENTO Y MANEJO DEL DUELO",IF(N22=CURSOS!$D$5,"ATENCION A VICTIMAS DE ATAQUE CON AGENTES QUIMICOS ",IF(N22=CURSOS!$D$6,"PRIMEROS AUXILIOS ",IF(N22=CURSOS!$D$7,"DIPLOMADO DE UNIDAD DE CUIDADOS INTENSIVOS (UCI)",IF(N22=CURSOS!$D$8,"MODELO DE ATENCION PARA EVENTOS EMERGENTES EN SALUD MENTAL (CODIGO VERDE)",IF(N22=CURSOS!$D$9,"HUMANIZACION EN EL SERVICIO DE LA SALUD Y BUENAS PRACTICAS EN PACIENTE ",IF(N22=CURSOS!$D$10,"CLINICA DE HERIDAS ",IF(N22=CURSOS!$D$11,"TOMA DE CITOLOGIA CERVICO VAGINAL ",IF(N22=CURSOS!$D$12,"SOPORTE CARDIOVASCULAR AVANZADO (ACLS) ",IF(N22=CURSOS!$D$13,"CAMILLERO ",IF(N22=CURSOS!$D$14,"TOMA DE MUESTRAS Y LABORATORIO ",IF(N22=CURSOS!$D$15,"SOPORTE VITAL BASICO (BLS)",IF(N22=CURSOS!$D$16,"ATENCION A VICTIMAS DE VIOLENCIA SEXUAL ",IF(N22=CURSOS!$D$17,"PROGRAMADO AMPLIADO DE INMUNIZACION (PAI - COVID 19)",IF(N22=CURSOS!$D$18,"ATENCION INTEGRAL EN ENFERMEDADES PREVALENTES EN PRIMERA INFANCIA (AIEPI)",IF(N22=CURSOS!$D$19,"ADMINISTRACION DE MEDICAMENTOS, INYECTOLOGIA  Y CANALIZACION ",IF(N22=CURSOS!$D$20,"OPERADOR DE VEHICULOS DE EMERGENCIA (OVE)",IF(N22=CURSOS!$D$21,"INSTITUCIONES AMIGAS DE LA MUJER Y LA INFANCIA (IAMI)",IF(N22=CURSOS!$D$22,"CUIDADO DEL DONANTE DE ORGANOS",IF(N22=CURSOS!$D$23,"ATENCION A VICTIMAS POR VIOLENCIA DE GENERO",IF(N22=CURSOS!$D$24,"IGUALDAD DE GENERO EN LA SALUD",IF(N22=CURSOS!$D$25,"BRIGADA DE EMERGENCIA",IF(N22=CURSOS!$D$26,"MANEJO DEL DOLOR Y CUIDADOS PALIATIVOS",IF(N22=CURSOS!$D$27,"TOMA DE MUESTRAS Y LABORATORIO POCT",IF(N22=CURSOS!$D$28,"IMPLANTE SUBDERMICO DE DISPOSITIVO INTRAUTERINO",IF(N22=CURSOS!$D$29,"SALUD MENTAL",IF(N22=CURSOS!$D$30,"PRIMEROS AUXILIOS PSICOLOGICOS",IF(N22=CURSOS!$D$31,"ATENCION A VICTIMAS POR CONFLICTO ARMADO",IF(N22=CURSOS!$D$32,"MANIPULACION DE ALIMENTOS Y BPM",IF(N22=CURSOS!$D$33,"ATENCION A PERSONAS CON DISCAPACIDAD",IF(N22=CURSOS!$D$34,"CUIDADO INTEGRAL DEL PACIENTE ADULTO",IF(N22=CURSOS!$D$35,"MANEJO DEFENSIVO",IF(N22=CURSOS!$D$36,"SOPORTE CARDIOVASCULAR AVANZADO NEONATAL"))))))))))))))))))))))))))))))))))</f>
        <v>TOMA DE MUESTRAS Y LABORATORIO POCT</v>
      </c>
      <c r="U22" s="124" t="str">
        <f t="shared" si="3"/>
        <v>Dora Elisa Getial Lopez</v>
      </c>
      <c r="V22" s="124" t="str">
        <f t="shared" si="4"/>
        <v>Dora Elisa Getial Lopez</v>
      </c>
      <c r="W22" s="138" t="str">
        <f t="shared" si="5"/>
        <v>Dora Elisa Getial Lopez-36759249-POCT</v>
      </c>
    </row>
    <row r="23" spans="1:23" s="101" customFormat="1" x14ac:dyDescent="0.2">
      <c r="A23" s="42">
        <v>22</v>
      </c>
      <c r="B23" s="17">
        <v>37083427</v>
      </c>
      <c r="C23" s="17" t="s">
        <v>497</v>
      </c>
      <c r="D23" s="17" t="s">
        <v>478</v>
      </c>
      <c r="E23" s="17" t="s">
        <v>273</v>
      </c>
      <c r="F23" s="17" t="s">
        <v>498</v>
      </c>
      <c r="G23" s="14">
        <v>19</v>
      </c>
      <c r="H23" s="14" t="s">
        <v>89</v>
      </c>
      <c r="I23" s="16"/>
      <c r="J23" s="19"/>
      <c r="K23" s="14"/>
      <c r="L23" s="14" t="s">
        <v>90</v>
      </c>
      <c r="M23" s="14" t="s">
        <v>275</v>
      </c>
      <c r="N23" s="15" t="s">
        <v>63</v>
      </c>
      <c r="O23" s="59">
        <v>30465</v>
      </c>
      <c r="P23" s="14" t="s">
        <v>101</v>
      </c>
      <c r="Q23" s="17" t="s">
        <v>126</v>
      </c>
      <c r="R23" s="17">
        <v>3166215065</v>
      </c>
      <c r="S23" s="17"/>
      <c r="T23" s="124" t="str">
        <f>IF(N23=CURSOS!$D$3,"DIPLOMADO EN ATENCION PRE-HOSPITALARIA",IF(N23=CURSOS!$D$4,"ACOMPAÑAMIENTO Y MANEJO DEL DUELO",IF(N23=CURSOS!$D$5,"ATENCION A VICTIMAS DE ATAQUE CON AGENTES QUIMICOS ",IF(N23=CURSOS!$D$6,"PRIMEROS AUXILIOS ",IF(N23=CURSOS!$D$7,"DIPLOMADO DE UNIDAD DE CUIDADOS INTENSIVOS (UCI)",IF(N23=CURSOS!$D$8,"MODELO DE ATENCION PARA EVENTOS EMERGENTES EN SALUD MENTAL (CODIGO VERDE)",IF(N23=CURSOS!$D$9,"HUMANIZACION EN EL SERVICIO DE LA SALUD Y BUENAS PRACTICAS EN PACIENTE ",IF(N23=CURSOS!$D$10,"CLINICA DE HERIDAS ",IF(N23=CURSOS!$D$11,"TOMA DE CITOLOGIA CERVICO VAGINAL ",IF(N23=CURSOS!$D$12,"SOPORTE CARDIOVASCULAR AVANZADO (ACLS) ",IF(N23=CURSOS!$D$13,"CAMILLERO ",IF(N23=CURSOS!$D$14,"TOMA DE MUESTRAS Y LABORATORIO ",IF(N23=CURSOS!$D$15,"SOPORTE VITAL BASICO (BLS)",IF(N23=CURSOS!$D$16,"ATENCION A VICTIMAS DE VIOLENCIA SEXUAL ",IF(N23=CURSOS!$D$17,"PROGRAMADO AMPLIADO DE INMUNIZACION (PAI - COVID 19)",IF(N23=CURSOS!$D$18,"ATENCION INTEGRAL EN ENFERMEDADES PREVALENTES EN PRIMERA INFANCIA (AIEPI)",IF(N23=CURSOS!$D$19,"ADMINISTRACION DE MEDICAMENTOS, INYECTOLOGIA  Y CANALIZACION ",IF(N23=CURSOS!$D$20,"OPERADOR DE VEHICULOS DE EMERGENCIA (OVE)",IF(N23=CURSOS!$D$21,"INSTITUCIONES AMIGAS DE LA MUJER Y LA INFANCIA (IAMI)",IF(N23=CURSOS!$D$22,"CUIDADO DEL DONANTE DE ORGANOS",IF(N23=CURSOS!$D$23,"ATENCION A VICTIMAS POR VIOLENCIA DE GENERO",IF(N23=CURSOS!$D$24,"IGUALDAD DE GENERO EN LA SALUD",IF(N23=CURSOS!$D$25,"BRIGADA DE EMERGENCIA",IF(N23=CURSOS!$D$26,"MANEJO DEL DOLOR Y CUIDADOS PALIATIVOS",IF(N23=CURSOS!$D$27,"TOMA DE MUESTRAS Y LABORATORIO POCT",IF(N23=CURSOS!$D$28,"IMPLANTE SUBDERMICO DE DISPOSITIVO INTRAUTERINO",IF(N23=CURSOS!$D$29,"SALUD MENTAL",IF(N23=CURSOS!$D$30,"PRIMEROS AUXILIOS PSICOLOGICOS",IF(N23=CURSOS!$D$31,"ATENCION A VICTIMAS POR CONFLICTO ARMADO",IF(N23=CURSOS!$D$32,"MANIPULACION DE ALIMENTOS Y BPM",IF(N23=CURSOS!$D$33,"ATENCION A PERSONAS CON DISCAPACIDAD",IF(N23=CURSOS!$D$34,"CUIDADO INTEGRAL DEL PACIENTE ADULTO",IF(N23=CURSOS!$D$35,"MANEJO DEFENSIVO",IF(N23=CURSOS!$D$36,"SOPORTE CARDIOVASCULAR AVANZADO NEONATAL"))))))))))))))))))))))))))))))))))</f>
        <v>TOMA DE MUESTRAS Y LABORATORIO POCT</v>
      </c>
      <c r="U23" s="124" t="str">
        <f t="shared" si="3"/>
        <v>Adriana Jackeline Urbano Ortiz</v>
      </c>
      <c r="V23" s="124" t="str">
        <f t="shared" si="4"/>
        <v>Adriana Jackeline Urbano Ortiz</v>
      </c>
      <c r="W23" s="138" t="str">
        <f t="shared" si="5"/>
        <v>Adriana Jackeline Urbano Ortiz-37083427-POCT</v>
      </c>
    </row>
    <row r="24" spans="1:23" s="101" customFormat="1" x14ac:dyDescent="0.2">
      <c r="A24" s="42">
        <v>23</v>
      </c>
      <c r="B24" s="17">
        <v>1086224468</v>
      </c>
      <c r="C24" s="17" t="s">
        <v>264</v>
      </c>
      <c r="D24" s="17" t="s">
        <v>265</v>
      </c>
      <c r="E24" s="17" t="s">
        <v>266</v>
      </c>
      <c r="F24" s="17" t="s">
        <v>267</v>
      </c>
      <c r="G24" s="14">
        <v>19</v>
      </c>
      <c r="H24" s="14" t="s">
        <v>89</v>
      </c>
      <c r="I24" s="16"/>
      <c r="J24" s="19"/>
      <c r="K24" s="14"/>
      <c r="L24" s="14" t="s">
        <v>90</v>
      </c>
      <c r="M24" s="14" t="s">
        <v>275</v>
      </c>
      <c r="N24" s="15" t="s">
        <v>63</v>
      </c>
      <c r="O24" s="59">
        <v>34454</v>
      </c>
      <c r="P24" s="14" t="s">
        <v>101</v>
      </c>
      <c r="Q24" s="17" t="s">
        <v>126</v>
      </c>
      <c r="R24" s="17">
        <v>3166709864</v>
      </c>
      <c r="S24" s="17"/>
      <c r="T24" s="124" t="str">
        <f>IF(N24=CURSOS!$D$3,"DIPLOMADO EN ATENCION PRE-HOSPITALARIA",IF(N24=CURSOS!$D$4,"ACOMPAÑAMIENTO Y MANEJO DEL DUELO",IF(N24=CURSOS!$D$5,"ATENCION A VICTIMAS DE ATAQUE CON AGENTES QUIMICOS ",IF(N24=CURSOS!$D$6,"PRIMEROS AUXILIOS ",IF(N24=CURSOS!$D$7,"DIPLOMADO DE UNIDAD DE CUIDADOS INTENSIVOS (UCI)",IF(N24=CURSOS!$D$8,"MODELO DE ATENCION PARA EVENTOS EMERGENTES EN SALUD MENTAL (CODIGO VERDE)",IF(N24=CURSOS!$D$9,"HUMANIZACION EN EL SERVICIO DE LA SALUD Y BUENAS PRACTICAS EN PACIENTE ",IF(N24=CURSOS!$D$10,"CLINICA DE HERIDAS ",IF(N24=CURSOS!$D$11,"TOMA DE CITOLOGIA CERVICO VAGINAL ",IF(N24=CURSOS!$D$12,"SOPORTE CARDIOVASCULAR AVANZADO (ACLS) ",IF(N24=CURSOS!$D$13,"CAMILLERO ",IF(N24=CURSOS!$D$14,"TOMA DE MUESTRAS Y LABORATORIO ",IF(N24=CURSOS!$D$15,"SOPORTE VITAL BASICO (BLS)",IF(N24=CURSOS!$D$16,"ATENCION A VICTIMAS DE VIOLENCIA SEXUAL ",IF(N24=CURSOS!$D$17,"PROGRAMADO AMPLIADO DE INMUNIZACION (PAI - COVID 19)",IF(N24=CURSOS!$D$18,"ATENCION INTEGRAL EN ENFERMEDADES PREVALENTES EN PRIMERA INFANCIA (AIEPI)",IF(N24=CURSOS!$D$19,"ADMINISTRACION DE MEDICAMENTOS, INYECTOLOGIA  Y CANALIZACION ",IF(N24=CURSOS!$D$20,"OPERADOR DE VEHICULOS DE EMERGENCIA (OVE)",IF(N24=CURSOS!$D$21,"INSTITUCIONES AMIGAS DE LA MUJER Y LA INFANCIA (IAMI)",IF(N24=CURSOS!$D$22,"CUIDADO DEL DONANTE DE ORGANOS",IF(N24=CURSOS!$D$23,"ATENCION A VICTIMAS POR VIOLENCIA DE GENERO",IF(N24=CURSOS!$D$24,"IGUALDAD DE GENERO EN LA SALUD",IF(N24=CURSOS!$D$25,"BRIGADA DE EMERGENCIA",IF(N24=CURSOS!$D$26,"MANEJO DEL DOLOR Y CUIDADOS PALIATIVOS",IF(N24=CURSOS!$D$27,"TOMA DE MUESTRAS Y LABORATORIO POCT",IF(N24=CURSOS!$D$28,"IMPLANTE SUBDERMICO DE DISPOSITIVO INTRAUTERINO",IF(N24=CURSOS!$D$29,"SALUD MENTAL",IF(N24=CURSOS!$D$30,"PRIMEROS AUXILIOS PSICOLOGICOS",IF(N24=CURSOS!$D$31,"ATENCION A VICTIMAS POR CONFLICTO ARMADO",IF(N24=CURSOS!$D$32,"MANIPULACION DE ALIMENTOS Y BPM",IF(N24=CURSOS!$D$33,"ATENCION A PERSONAS CON DISCAPACIDAD",IF(N24=CURSOS!$D$34,"CUIDADO INTEGRAL DEL PACIENTE ADULTO",IF(N24=CURSOS!$D$35,"MANEJO DEFENSIVO",IF(N24=CURSOS!$D$36,"SOPORTE CARDIOVASCULAR AVANZADO NEONATAL"))))))))))))))))))))))))))))))))))</f>
        <v>TOMA DE MUESTRAS Y LABORATORIO POCT</v>
      </c>
      <c r="U24" s="124" t="str">
        <f t="shared" ref="U24:U87" si="6">CONCATENATE(E24," ",F24," ",C24," ",D24)</f>
        <v>Mary Cristina Cumbal Parra</v>
      </c>
      <c r="V24" s="124" t="str">
        <f t="shared" ref="V24:V87" si="7">+PROPER(U24)</f>
        <v>Mary Cristina Cumbal Parra</v>
      </c>
      <c r="W24" s="138" t="str">
        <f t="shared" ref="W24:W87" si="8">CONCATENATE(U24,"-",B24,"-",N24)</f>
        <v>Mary Cristina Cumbal Parra-1086224468-POCT</v>
      </c>
    </row>
    <row r="25" spans="1:23" s="101" customFormat="1" x14ac:dyDescent="0.2">
      <c r="A25" s="42">
        <v>24</v>
      </c>
      <c r="B25" s="17">
        <v>36953986</v>
      </c>
      <c r="C25" s="17" t="s">
        <v>499</v>
      </c>
      <c r="D25" s="17" t="s">
        <v>355</v>
      </c>
      <c r="E25" s="17" t="s">
        <v>369</v>
      </c>
      <c r="F25" s="17" t="s">
        <v>280</v>
      </c>
      <c r="G25" s="14">
        <v>19</v>
      </c>
      <c r="H25" s="14" t="s">
        <v>89</v>
      </c>
      <c r="I25" s="16"/>
      <c r="J25" s="19"/>
      <c r="K25" s="14"/>
      <c r="L25" s="14" t="s">
        <v>90</v>
      </c>
      <c r="M25" s="14" t="s">
        <v>275</v>
      </c>
      <c r="N25" s="15" t="s">
        <v>63</v>
      </c>
      <c r="O25" s="59">
        <v>28542</v>
      </c>
      <c r="P25" s="14" t="s">
        <v>101</v>
      </c>
      <c r="Q25" s="17" t="s">
        <v>126</v>
      </c>
      <c r="R25" s="17">
        <v>3167042245</v>
      </c>
      <c r="S25" s="17"/>
      <c r="T25" s="124" t="str">
        <f>IF(N25=CURSOS!$D$3,"DIPLOMADO EN ATENCION PRE-HOSPITALARIA",IF(N25=CURSOS!$D$4,"ACOMPAÑAMIENTO Y MANEJO DEL DUELO",IF(N25=CURSOS!$D$5,"ATENCION A VICTIMAS DE ATAQUE CON AGENTES QUIMICOS ",IF(N25=CURSOS!$D$6,"PRIMEROS AUXILIOS ",IF(N25=CURSOS!$D$7,"DIPLOMADO DE UNIDAD DE CUIDADOS INTENSIVOS (UCI)",IF(N25=CURSOS!$D$8,"MODELO DE ATENCION PARA EVENTOS EMERGENTES EN SALUD MENTAL (CODIGO VERDE)",IF(N25=CURSOS!$D$9,"HUMANIZACION EN EL SERVICIO DE LA SALUD Y BUENAS PRACTICAS EN PACIENTE ",IF(N25=CURSOS!$D$10,"CLINICA DE HERIDAS ",IF(N25=CURSOS!$D$11,"TOMA DE CITOLOGIA CERVICO VAGINAL ",IF(N25=CURSOS!$D$12,"SOPORTE CARDIOVASCULAR AVANZADO (ACLS) ",IF(N25=CURSOS!$D$13,"CAMILLERO ",IF(N25=CURSOS!$D$14,"TOMA DE MUESTRAS Y LABORATORIO ",IF(N25=CURSOS!$D$15,"SOPORTE VITAL BASICO (BLS)",IF(N25=CURSOS!$D$16,"ATENCION A VICTIMAS DE VIOLENCIA SEXUAL ",IF(N25=CURSOS!$D$17,"PROGRAMADO AMPLIADO DE INMUNIZACION (PAI - COVID 19)",IF(N25=CURSOS!$D$18,"ATENCION INTEGRAL EN ENFERMEDADES PREVALENTES EN PRIMERA INFANCIA (AIEPI)",IF(N25=CURSOS!$D$19,"ADMINISTRACION DE MEDICAMENTOS, INYECTOLOGIA  Y CANALIZACION ",IF(N25=CURSOS!$D$20,"OPERADOR DE VEHICULOS DE EMERGENCIA (OVE)",IF(N25=CURSOS!$D$21,"INSTITUCIONES AMIGAS DE LA MUJER Y LA INFANCIA (IAMI)",IF(N25=CURSOS!$D$22,"CUIDADO DEL DONANTE DE ORGANOS",IF(N25=CURSOS!$D$23,"ATENCION A VICTIMAS POR VIOLENCIA DE GENERO",IF(N25=CURSOS!$D$24,"IGUALDAD DE GENERO EN LA SALUD",IF(N25=CURSOS!$D$25,"BRIGADA DE EMERGENCIA",IF(N25=CURSOS!$D$26,"MANEJO DEL DOLOR Y CUIDADOS PALIATIVOS",IF(N25=CURSOS!$D$27,"TOMA DE MUESTRAS Y LABORATORIO POCT",IF(N25=CURSOS!$D$28,"IMPLANTE SUBDERMICO DE DISPOSITIVO INTRAUTERINO",IF(N25=CURSOS!$D$29,"SALUD MENTAL",IF(N25=CURSOS!$D$30,"PRIMEROS AUXILIOS PSICOLOGICOS",IF(N25=CURSOS!$D$31,"ATENCION A VICTIMAS POR CONFLICTO ARMADO",IF(N25=CURSOS!$D$32,"MANIPULACION DE ALIMENTOS Y BPM",IF(N25=CURSOS!$D$33,"ATENCION A PERSONAS CON DISCAPACIDAD",IF(N25=CURSOS!$D$34,"CUIDADO INTEGRAL DEL PACIENTE ADULTO",IF(N25=CURSOS!$D$35,"MANEJO DEFENSIVO",IF(N25=CURSOS!$D$36,"SOPORTE CARDIOVASCULAR AVANZADO NEONATAL"))))))))))))))))))))))))))))))))))</f>
        <v>TOMA DE MUESTRAS Y LABORATORIO POCT</v>
      </c>
      <c r="U25" s="124" t="str">
        <f t="shared" si="6"/>
        <v>Paola Andrea Del hierro Perez</v>
      </c>
      <c r="V25" s="124" t="str">
        <f t="shared" si="7"/>
        <v>Paola Andrea Del Hierro Perez</v>
      </c>
      <c r="W25" s="138" t="str">
        <f t="shared" si="8"/>
        <v>Paola Andrea Del hierro Perez-36953986-POCT</v>
      </c>
    </row>
    <row r="26" spans="1:23" s="101" customFormat="1" x14ac:dyDescent="0.2">
      <c r="A26" s="42">
        <v>25</v>
      </c>
      <c r="B26" s="17">
        <v>37086365</v>
      </c>
      <c r="C26" s="17" t="s">
        <v>419</v>
      </c>
      <c r="D26" s="17" t="s">
        <v>85</v>
      </c>
      <c r="E26" s="17" t="s">
        <v>504</v>
      </c>
      <c r="F26" s="17"/>
      <c r="G26" s="14">
        <v>19</v>
      </c>
      <c r="H26" s="14" t="s">
        <v>89</v>
      </c>
      <c r="I26" s="16"/>
      <c r="J26" s="19"/>
      <c r="K26" s="14"/>
      <c r="L26" s="14" t="s">
        <v>90</v>
      </c>
      <c r="M26" s="14" t="s">
        <v>275</v>
      </c>
      <c r="N26" s="15" t="s">
        <v>63</v>
      </c>
      <c r="O26" s="59">
        <v>31038</v>
      </c>
      <c r="P26" s="14" t="s">
        <v>101</v>
      </c>
      <c r="Q26" s="17" t="s">
        <v>126</v>
      </c>
      <c r="R26" s="17">
        <v>3185274971</v>
      </c>
      <c r="S26" s="17"/>
      <c r="T26" s="124" t="str">
        <f>IF(N26=CURSOS!$D$3,"DIPLOMADO EN ATENCION PRE-HOSPITALARIA",IF(N26=CURSOS!$D$4,"ACOMPAÑAMIENTO Y MANEJO DEL DUELO",IF(N26=CURSOS!$D$5,"ATENCION A VICTIMAS DE ATAQUE CON AGENTES QUIMICOS ",IF(N26=CURSOS!$D$6,"PRIMEROS AUXILIOS ",IF(N26=CURSOS!$D$7,"DIPLOMADO DE UNIDAD DE CUIDADOS INTENSIVOS (UCI)",IF(N26=CURSOS!$D$8,"MODELO DE ATENCION PARA EVENTOS EMERGENTES EN SALUD MENTAL (CODIGO VERDE)",IF(N26=CURSOS!$D$9,"HUMANIZACION EN EL SERVICIO DE LA SALUD Y BUENAS PRACTICAS EN PACIENTE ",IF(N26=CURSOS!$D$10,"CLINICA DE HERIDAS ",IF(N26=CURSOS!$D$11,"TOMA DE CITOLOGIA CERVICO VAGINAL ",IF(N26=CURSOS!$D$12,"SOPORTE CARDIOVASCULAR AVANZADO (ACLS) ",IF(N26=CURSOS!$D$13,"CAMILLERO ",IF(N26=CURSOS!$D$14,"TOMA DE MUESTRAS Y LABORATORIO ",IF(N26=CURSOS!$D$15,"SOPORTE VITAL BASICO (BLS)",IF(N26=CURSOS!$D$16,"ATENCION A VICTIMAS DE VIOLENCIA SEXUAL ",IF(N26=CURSOS!$D$17,"PROGRAMADO AMPLIADO DE INMUNIZACION (PAI - COVID 19)",IF(N26=CURSOS!$D$18,"ATENCION INTEGRAL EN ENFERMEDADES PREVALENTES EN PRIMERA INFANCIA (AIEPI)",IF(N26=CURSOS!$D$19,"ADMINISTRACION DE MEDICAMENTOS, INYECTOLOGIA  Y CANALIZACION ",IF(N26=CURSOS!$D$20,"OPERADOR DE VEHICULOS DE EMERGENCIA (OVE)",IF(N26=CURSOS!$D$21,"INSTITUCIONES AMIGAS DE LA MUJER Y LA INFANCIA (IAMI)",IF(N26=CURSOS!$D$22,"CUIDADO DEL DONANTE DE ORGANOS",IF(N26=CURSOS!$D$23,"ATENCION A VICTIMAS POR VIOLENCIA DE GENERO",IF(N26=CURSOS!$D$24,"IGUALDAD DE GENERO EN LA SALUD",IF(N26=CURSOS!$D$25,"BRIGADA DE EMERGENCIA",IF(N26=CURSOS!$D$26,"MANEJO DEL DOLOR Y CUIDADOS PALIATIVOS",IF(N26=CURSOS!$D$27,"TOMA DE MUESTRAS Y LABORATORIO POCT",IF(N26=CURSOS!$D$28,"IMPLANTE SUBDERMICO DE DISPOSITIVO INTRAUTERINO",IF(N26=CURSOS!$D$29,"SALUD MENTAL",IF(N26=CURSOS!$D$30,"PRIMEROS AUXILIOS PSICOLOGICOS",IF(N26=CURSOS!$D$31,"ATENCION A VICTIMAS POR CONFLICTO ARMADO",IF(N26=CURSOS!$D$32,"MANIPULACION DE ALIMENTOS Y BPM",IF(N26=CURSOS!$D$33,"ATENCION A PERSONAS CON DISCAPACIDAD",IF(N26=CURSOS!$D$34,"CUIDADO INTEGRAL DEL PACIENTE ADULTO",IF(N26=CURSOS!$D$35,"MANEJO DEFENSIVO",IF(N26=CURSOS!$D$36,"SOPORTE CARDIOVASCULAR AVANZADO NEONATAL"))))))))))))))))))))))))))))))))))</f>
        <v>TOMA DE MUESTRAS Y LABORATORIO POCT</v>
      </c>
      <c r="U26" s="124" t="str">
        <f t="shared" si="6"/>
        <v>Ketty  Barrera Burbano</v>
      </c>
      <c r="V26" s="124" t="str">
        <f t="shared" si="7"/>
        <v>Ketty  Barrera Burbano</v>
      </c>
      <c r="W26" s="138" t="str">
        <f t="shared" si="8"/>
        <v>Ketty  Barrera Burbano-37086365-POCT</v>
      </c>
    </row>
    <row r="27" spans="1:23" s="101" customFormat="1" x14ac:dyDescent="0.2">
      <c r="A27" s="42">
        <v>26</v>
      </c>
      <c r="B27" s="17">
        <v>36953809</v>
      </c>
      <c r="C27" s="17" t="s">
        <v>505</v>
      </c>
      <c r="D27" s="17" t="s">
        <v>506</v>
      </c>
      <c r="E27" s="17" t="s">
        <v>507</v>
      </c>
      <c r="F27" s="17" t="s">
        <v>508</v>
      </c>
      <c r="G27" s="14">
        <v>19</v>
      </c>
      <c r="H27" s="14" t="s">
        <v>89</v>
      </c>
      <c r="I27" s="16"/>
      <c r="J27" s="19"/>
      <c r="K27" s="14"/>
      <c r="L27" s="14" t="s">
        <v>90</v>
      </c>
      <c r="M27" s="14" t="s">
        <v>275</v>
      </c>
      <c r="N27" s="15" t="s">
        <v>63</v>
      </c>
      <c r="O27" s="59">
        <v>29724</v>
      </c>
      <c r="P27" s="14" t="s">
        <v>101</v>
      </c>
      <c r="Q27" s="17" t="s">
        <v>126</v>
      </c>
      <c r="R27" s="17">
        <v>3015830631</v>
      </c>
      <c r="S27" s="17"/>
      <c r="T27" s="124" t="str">
        <f>IF(N27=CURSOS!$D$3,"DIPLOMADO EN ATENCION PRE-HOSPITALARIA",IF(N27=CURSOS!$D$4,"ACOMPAÑAMIENTO Y MANEJO DEL DUELO",IF(N27=CURSOS!$D$5,"ATENCION A VICTIMAS DE ATAQUE CON AGENTES QUIMICOS ",IF(N27=CURSOS!$D$6,"PRIMEROS AUXILIOS ",IF(N27=CURSOS!$D$7,"DIPLOMADO DE UNIDAD DE CUIDADOS INTENSIVOS (UCI)",IF(N27=CURSOS!$D$8,"MODELO DE ATENCION PARA EVENTOS EMERGENTES EN SALUD MENTAL (CODIGO VERDE)",IF(N27=CURSOS!$D$9,"HUMANIZACION EN EL SERVICIO DE LA SALUD Y BUENAS PRACTICAS EN PACIENTE ",IF(N27=CURSOS!$D$10,"CLINICA DE HERIDAS ",IF(N27=CURSOS!$D$11,"TOMA DE CITOLOGIA CERVICO VAGINAL ",IF(N27=CURSOS!$D$12,"SOPORTE CARDIOVASCULAR AVANZADO (ACLS) ",IF(N27=CURSOS!$D$13,"CAMILLERO ",IF(N27=CURSOS!$D$14,"TOMA DE MUESTRAS Y LABORATORIO ",IF(N27=CURSOS!$D$15,"SOPORTE VITAL BASICO (BLS)",IF(N27=CURSOS!$D$16,"ATENCION A VICTIMAS DE VIOLENCIA SEXUAL ",IF(N27=CURSOS!$D$17,"PROGRAMADO AMPLIADO DE INMUNIZACION (PAI - COVID 19)",IF(N27=CURSOS!$D$18,"ATENCION INTEGRAL EN ENFERMEDADES PREVALENTES EN PRIMERA INFANCIA (AIEPI)",IF(N27=CURSOS!$D$19,"ADMINISTRACION DE MEDICAMENTOS, INYECTOLOGIA  Y CANALIZACION ",IF(N27=CURSOS!$D$20,"OPERADOR DE VEHICULOS DE EMERGENCIA (OVE)",IF(N27=CURSOS!$D$21,"INSTITUCIONES AMIGAS DE LA MUJER Y LA INFANCIA (IAMI)",IF(N27=CURSOS!$D$22,"CUIDADO DEL DONANTE DE ORGANOS",IF(N27=CURSOS!$D$23,"ATENCION A VICTIMAS POR VIOLENCIA DE GENERO",IF(N27=CURSOS!$D$24,"IGUALDAD DE GENERO EN LA SALUD",IF(N27=CURSOS!$D$25,"BRIGADA DE EMERGENCIA",IF(N27=CURSOS!$D$26,"MANEJO DEL DOLOR Y CUIDADOS PALIATIVOS",IF(N27=CURSOS!$D$27,"TOMA DE MUESTRAS Y LABORATORIO POCT",IF(N27=CURSOS!$D$28,"IMPLANTE SUBDERMICO DE DISPOSITIVO INTRAUTERINO",IF(N27=CURSOS!$D$29,"SALUD MENTAL",IF(N27=CURSOS!$D$30,"PRIMEROS AUXILIOS PSICOLOGICOS",IF(N27=CURSOS!$D$31,"ATENCION A VICTIMAS POR CONFLICTO ARMADO",IF(N27=CURSOS!$D$32,"MANIPULACION DE ALIMENTOS Y BPM",IF(N27=CURSOS!$D$33,"ATENCION A PERSONAS CON DISCAPACIDAD",IF(N27=CURSOS!$D$34,"CUIDADO INTEGRAL DEL PACIENTE ADULTO",IF(N27=CURSOS!$D$35,"MANEJO DEFENSIVO",IF(N27=CURSOS!$D$36,"SOPORTE CARDIOVASCULAR AVANZADO NEONATAL"))))))))))))))))))))))))))))))))))</f>
        <v>TOMA DE MUESTRAS Y LABORATORIO POCT</v>
      </c>
      <c r="U27" s="124" t="str">
        <f t="shared" si="6"/>
        <v>Giselle Nathalia Cifuentes Zuikan</v>
      </c>
      <c r="V27" s="124" t="str">
        <f t="shared" si="7"/>
        <v>Giselle Nathalia Cifuentes Zuikan</v>
      </c>
      <c r="W27" s="138" t="str">
        <f t="shared" si="8"/>
        <v>Giselle Nathalia Cifuentes Zuikan-36953809-POCT</v>
      </c>
    </row>
    <row r="28" spans="1:23" s="101" customFormat="1" x14ac:dyDescent="0.2">
      <c r="A28" s="42">
        <v>27</v>
      </c>
      <c r="B28" s="17">
        <v>1086332548</v>
      </c>
      <c r="C28" s="17" t="s">
        <v>510</v>
      </c>
      <c r="D28" s="17" t="s">
        <v>511</v>
      </c>
      <c r="E28" s="17" t="s">
        <v>427</v>
      </c>
      <c r="F28" s="17" t="s">
        <v>280</v>
      </c>
      <c r="G28" s="14">
        <v>19</v>
      </c>
      <c r="H28" s="14" t="s">
        <v>89</v>
      </c>
      <c r="I28" s="16"/>
      <c r="J28" s="19"/>
      <c r="K28" s="14"/>
      <c r="L28" s="14" t="s">
        <v>90</v>
      </c>
      <c r="M28" s="14" t="s">
        <v>275</v>
      </c>
      <c r="N28" s="15" t="s">
        <v>63</v>
      </c>
      <c r="O28" s="59">
        <v>35810</v>
      </c>
      <c r="P28" s="14" t="s">
        <v>101</v>
      </c>
      <c r="Q28" s="17" t="s">
        <v>126</v>
      </c>
      <c r="R28" s="17">
        <v>3153249915</v>
      </c>
      <c r="S28" s="17" t="s">
        <v>512</v>
      </c>
      <c r="T28" s="124" t="str">
        <f>IF(N28=CURSOS!$D$3,"DIPLOMADO EN ATENCION PRE-HOSPITALARIA",IF(N28=CURSOS!$D$4,"ACOMPAÑAMIENTO Y MANEJO DEL DUELO",IF(N28=CURSOS!$D$5,"ATENCION A VICTIMAS DE ATAQUE CON AGENTES QUIMICOS ",IF(N28=CURSOS!$D$6,"PRIMEROS AUXILIOS ",IF(N28=CURSOS!$D$7,"DIPLOMADO DE UNIDAD DE CUIDADOS INTENSIVOS (UCI)",IF(N28=CURSOS!$D$8,"MODELO DE ATENCION PARA EVENTOS EMERGENTES EN SALUD MENTAL (CODIGO VERDE)",IF(N28=CURSOS!$D$9,"HUMANIZACION EN EL SERVICIO DE LA SALUD Y BUENAS PRACTICAS EN PACIENTE ",IF(N28=CURSOS!$D$10,"CLINICA DE HERIDAS ",IF(N28=CURSOS!$D$11,"TOMA DE CITOLOGIA CERVICO VAGINAL ",IF(N28=CURSOS!$D$12,"SOPORTE CARDIOVASCULAR AVANZADO (ACLS) ",IF(N28=CURSOS!$D$13,"CAMILLERO ",IF(N28=CURSOS!$D$14,"TOMA DE MUESTRAS Y LABORATORIO ",IF(N28=CURSOS!$D$15,"SOPORTE VITAL BASICO (BLS)",IF(N28=CURSOS!$D$16,"ATENCION A VICTIMAS DE VIOLENCIA SEXUAL ",IF(N28=CURSOS!$D$17,"PROGRAMADO AMPLIADO DE INMUNIZACION (PAI - COVID 19)",IF(N28=CURSOS!$D$18,"ATENCION INTEGRAL EN ENFERMEDADES PREVALENTES EN PRIMERA INFANCIA (AIEPI)",IF(N28=CURSOS!$D$19,"ADMINISTRACION DE MEDICAMENTOS, INYECTOLOGIA  Y CANALIZACION ",IF(N28=CURSOS!$D$20,"OPERADOR DE VEHICULOS DE EMERGENCIA (OVE)",IF(N28=CURSOS!$D$21,"INSTITUCIONES AMIGAS DE LA MUJER Y LA INFANCIA (IAMI)",IF(N28=CURSOS!$D$22,"CUIDADO DEL DONANTE DE ORGANOS",IF(N28=CURSOS!$D$23,"ATENCION A VICTIMAS POR VIOLENCIA DE GENERO",IF(N28=CURSOS!$D$24,"IGUALDAD DE GENERO EN LA SALUD",IF(N28=CURSOS!$D$25,"BRIGADA DE EMERGENCIA",IF(N28=CURSOS!$D$26,"MANEJO DEL DOLOR Y CUIDADOS PALIATIVOS",IF(N28=CURSOS!$D$27,"TOMA DE MUESTRAS Y LABORATORIO POCT",IF(N28=CURSOS!$D$28,"IMPLANTE SUBDERMICO DE DISPOSITIVO INTRAUTERINO",IF(N28=CURSOS!$D$29,"SALUD MENTAL",IF(N28=CURSOS!$D$30,"PRIMEROS AUXILIOS PSICOLOGICOS",IF(N28=CURSOS!$D$31,"ATENCION A VICTIMAS POR CONFLICTO ARMADO",IF(N28=CURSOS!$D$32,"MANIPULACION DE ALIMENTOS Y BPM",IF(N28=CURSOS!$D$33,"ATENCION A PERSONAS CON DISCAPACIDAD",IF(N28=CURSOS!$D$34,"CUIDADO INTEGRAL DEL PACIENTE ADULTO",IF(N28=CURSOS!$D$35,"MANEJO DEFENSIVO",IF(N28=CURSOS!$D$36,"SOPORTE CARDIOVASCULAR AVANZADO NEONATAL"))))))))))))))))))))))))))))))))))</f>
        <v>TOMA DE MUESTRAS Y LABORATORIO POCT</v>
      </c>
      <c r="U28" s="124" t="str">
        <f t="shared" si="6"/>
        <v>Yesenia Andrea Vásquez Cardenas</v>
      </c>
      <c r="V28" s="124" t="str">
        <f t="shared" si="7"/>
        <v>Yesenia Andrea Vásquez Cardenas</v>
      </c>
      <c r="W28" s="138" t="str">
        <f t="shared" si="8"/>
        <v>Yesenia Andrea Vásquez Cardenas-1086332548-POCT</v>
      </c>
    </row>
    <row r="29" spans="1:23" s="101" customFormat="1" x14ac:dyDescent="0.2">
      <c r="A29" s="42">
        <v>28</v>
      </c>
      <c r="B29" s="17">
        <v>59826347</v>
      </c>
      <c r="C29" s="68" t="s">
        <v>269</v>
      </c>
      <c r="D29" s="68" t="s">
        <v>351</v>
      </c>
      <c r="E29" s="68" t="s">
        <v>352</v>
      </c>
      <c r="F29" s="68"/>
      <c r="G29" s="14">
        <v>19</v>
      </c>
      <c r="H29" s="14" t="s">
        <v>89</v>
      </c>
      <c r="I29" s="16"/>
      <c r="J29" s="19"/>
      <c r="K29" s="14"/>
      <c r="L29" s="14" t="s">
        <v>90</v>
      </c>
      <c r="M29" s="14" t="s">
        <v>275</v>
      </c>
      <c r="N29" s="15" t="s">
        <v>63</v>
      </c>
      <c r="O29" s="60">
        <v>29099</v>
      </c>
      <c r="P29" s="100" t="s">
        <v>101</v>
      </c>
      <c r="Q29" s="17" t="s">
        <v>353</v>
      </c>
      <c r="R29" s="68">
        <v>3007535616</v>
      </c>
      <c r="S29" s="68" t="s">
        <v>354</v>
      </c>
      <c r="T29" s="124" t="str">
        <f>IF(N29=CURSOS!$D$3,"DIPLOMADO EN ATENCION PRE-HOSPITALARIA",IF(N29=CURSOS!$D$4,"ACOMPAÑAMIENTO Y MANEJO DEL DUELO",IF(N29=CURSOS!$D$5,"ATENCION A VICTIMAS DE ATAQUE CON AGENTES QUIMICOS ",IF(N29=CURSOS!$D$6,"PRIMEROS AUXILIOS ",IF(N29=CURSOS!$D$7,"DIPLOMADO DE UNIDAD DE CUIDADOS INTENSIVOS (UCI)",IF(N29=CURSOS!$D$8,"MODELO DE ATENCION PARA EVENTOS EMERGENTES EN SALUD MENTAL (CODIGO VERDE)",IF(N29=CURSOS!$D$9,"HUMANIZACION EN EL SERVICIO DE LA SALUD Y BUENAS PRACTICAS EN PACIENTE ",IF(N29=CURSOS!$D$10,"CLINICA DE HERIDAS ",IF(N29=CURSOS!$D$11,"TOMA DE CITOLOGIA CERVICO VAGINAL ",IF(N29=CURSOS!$D$12,"SOPORTE CARDIOVASCULAR AVANZADO (ACLS) ",IF(N29=CURSOS!$D$13,"CAMILLERO ",IF(N29=CURSOS!$D$14,"TOMA DE MUESTRAS Y LABORATORIO ",IF(N29=CURSOS!$D$15,"SOPORTE VITAL BASICO (BLS)",IF(N29=CURSOS!$D$16,"ATENCION A VICTIMAS DE VIOLENCIA SEXUAL ",IF(N29=CURSOS!$D$17,"PROGRAMADO AMPLIADO DE INMUNIZACION (PAI - COVID 19)",IF(N29=CURSOS!$D$18,"ATENCION INTEGRAL EN ENFERMEDADES PREVALENTES EN PRIMERA INFANCIA (AIEPI)",IF(N29=CURSOS!$D$19,"ADMINISTRACION DE MEDICAMENTOS, INYECTOLOGIA  Y CANALIZACION ",IF(N29=CURSOS!$D$20,"OPERADOR DE VEHICULOS DE EMERGENCIA (OVE)",IF(N29=CURSOS!$D$21,"INSTITUCIONES AMIGAS DE LA MUJER Y LA INFANCIA (IAMI)",IF(N29=CURSOS!$D$22,"CUIDADO DEL DONANTE DE ORGANOS",IF(N29=CURSOS!$D$23,"ATENCION A VICTIMAS POR VIOLENCIA DE GENERO",IF(N29=CURSOS!$D$24,"IGUALDAD DE GENERO EN LA SALUD",IF(N29=CURSOS!$D$25,"BRIGADA DE EMERGENCIA",IF(N29=CURSOS!$D$26,"MANEJO DEL DOLOR Y CUIDADOS PALIATIVOS",IF(N29=CURSOS!$D$27,"TOMA DE MUESTRAS Y LABORATORIO POCT",IF(N29=CURSOS!$D$28,"IMPLANTE SUBDERMICO DE DISPOSITIVO INTRAUTERINO",IF(N29=CURSOS!$D$29,"SALUD MENTAL",IF(N29=CURSOS!$D$30,"PRIMEROS AUXILIOS PSICOLOGICOS",IF(N29=CURSOS!$D$31,"ATENCION A VICTIMAS POR CONFLICTO ARMADO",IF(N29=CURSOS!$D$32,"MANIPULACION DE ALIMENTOS Y BPM",IF(N29=CURSOS!$D$33,"ATENCION A PERSONAS CON DISCAPACIDAD",IF(N29=CURSOS!$D$34,"CUIDADO INTEGRAL DEL PACIENTE ADULTO",IF(N29=CURSOS!$D$35,"MANEJO DEFENSIVO",IF(N29=CURSOS!$D$36,"SOPORTE CARDIOVASCULAR AVANZADO NEONATAL"))))))))))))))))))))))))))))))))))</f>
        <v>TOMA DE MUESTRAS Y LABORATORIO POCT</v>
      </c>
      <c r="U29" s="124" t="str">
        <f t="shared" si="6"/>
        <v>Isabel  Martinez Claudia</v>
      </c>
      <c r="V29" s="124" t="str">
        <f t="shared" si="7"/>
        <v>Isabel  Martinez Claudia</v>
      </c>
      <c r="W29" s="138" t="str">
        <f t="shared" si="8"/>
        <v>Isabel  Martinez Claudia-59826347-POCT</v>
      </c>
    </row>
    <row r="30" spans="1:23" s="101" customFormat="1" x14ac:dyDescent="0.2">
      <c r="A30" s="42">
        <v>29</v>
      </c>
      <c r="B30" s="53">
        <v>1085347547</v>
      </c>
      <c r="C30" s="53" t="s">
        <v>460</v>
      </c>
      <c r="D30" s="53" t="s">
        <v>169</v>
      </c>
      <c r="E30" s="53" t="s">
        <v>554</v>
      </c>
      <c r="F30" s="53" t="s">
        <v>335</v>
      </c>
      <c r="G30" s="55">
        <v>19</v>
      </c>
      <c r="H30" s="55" t="s">
        <v>89</v>
      </c>
      <c r="I30" s="55"/>
      <c r="J30" s="58"/>
      <c r="K30" s="55"/>
      <c r="L30" s="55" t="s">
        <v>90</v>
      </c>
      <c r="M30" s="55" t="s">
        <v>275</v>
      </c>
      <c r="N30" s="53" t="s">
        <v>63</v>
      </c>
      <c r="O30" s="109">
        <v>36475</v>
      </c>
      <c r="P30" s="55" t="s">
        <v>91</v>
      </c>
      <c r="Q30" s="53" t="s">
        <v>126</v>
      </c>
      <c r="R30" s="53">
        <v>3168953423</v>
      </c>
      <c r="S30" s="53" t="s">
        <v>555</v>
      </c>
      <c r="T30" s="124" t="str">
        <f>IF(N30=CURSOS!$D$3,"DIPLOMADO EN ATENCION PRE-HOSPITALARIA",IF(N30=CURSOS!$D$4,"ACOMPAÑAMIENTO Y MANEJO DEL DUELO",IF(N30=CURSOS!$D$5,"ATENCION A VICTIMAS DE ATAQUE CON AGENTES QUIMICOS ",IF(N30=CURSOS!$D$6,"PRIMEROS AUXILIOS ",IF(N30=CURSOS!$D$7,"DIPLOMADO DE UNIDAD DE CUIDADOS INTENSIVOS (UCI)",IF(N30=CURSOS!$D$8,"MODELO DE ATENCION PARA EVENTOS EMERGENTES EN SALUD MENTAL (CODIGO VERDE)",IF(N30=CURSOS!$D$9,"HUMANIZACION EN EL SERVICIO DE LA SALUD Y BUENAS PRACTICAS EN PACIENTE ",IF(N30=CURSOS!$D$10,"CLINICA DE HERIDAS ",IF(N30=CURSOS!$D$11,"TOMA DE CITOLOGIA CERVICO VAGINAL ",IF(N30=CURSOS!$D$12,"SOPORTE CARDIOVASCULAR AVANZADO (ACLS) ",IF(N30=CURSOS!$D$13,"CAMILLERO ",IF(N30=CURSOS!$D$14,"TOMA DE MUESTRAS Y LABORATORIO ",IF(N30=CURSOS!$D$15,"SOPORTE VITAL BASICO (BLS)",IF(N30=CURSOS!$D$16,"ATENCION A VICTIMAS DE VIOLENCIA SEXUAL ",IF(N30=CURSOS!$D$17,"PROGRAMADO AMPLIADO DE INMUNIZACION (PAI - COVID 19)",IF(N30=CURSOS!$D$18,"ATENCION INTEGRAL EN ENFERMEDADES PREVALENTES EN PRIMERA INFANCIA (AIEPI)",IF(N30=CURSOS!$D$19,"ADMINISTRACION DE MEDICAMENTOS, INYECTOLOGIA  Y CANALIZACION ",IF(N30=CURSOS!$D$20,"OPERADOR DE VEHICULOS DE EMERGENCIA (OVE)",IF(N30=CURSOS!$D$21,"INSTITUCIONES AMIGAS DE LA MUJER Y LA INFANCIA (IAMI)",IF(N30=CURSOS!$D$22,"CUIDADO DEL DONANTE DE ORGANOS",IF(N30=CURSOS!$D$23,"ATENCION A VICTIMAS POR VIOLENCIA DE GENERO",IF(N30=CURSOS!$D$24,"IGUALDAD DE GENERO EN LA SALUD",IF(N30=CURSOS!$D$25,"BRIGADA DE EMERGENCIA",IF(N30=CURSOS!$D$26,"MANEJO DEL DOLOR Y CUIDADOS PALIATIVOS",IF(N30=CURSOS!$D$27,"TOMA DE MUESTRAS Y LABORATORIO POCT",IF(N30=CURSOS!$D$28,"IMPLANTE SUBDERMICO DE DISPOSITIVO INTRAUTERINO",IF(N30=CURSOS!$D$29,"SALUD MENTAL",IF(N30=CURSOS!$D$30,"PRIMEROS AUXILIOS PSICOLOGICOS",IF(N30=CURSOS!$D$31,"ATENCION A VICTIMAS POR CONFLICTO ARMADO",IF(N30=CURSOS!$D$32,"MANIPULACION DE ALIMENTOS Y BPM",IF(N30=CURSOS!$D$33,"ATENCION A PERSONAS CON DISCAPACIDAD",IF(N30=CURSOS!$D$34,"CUIDADO INTEGRAL DEL PACIENTE ADULTO",IF(N30=CURSOS!$D$35,"MANEJO DEFENSIVO",IF(N30=CURSOS!$D$36,"SOPORTE CARDIOVASCULAR AVANZADO NEONATAL"))))))))))))))))))))))))))))))))))</f>
        <v>TOMA DE MUESTRAS Y LABORATORIO POCT</v>
      </c>
      <c r="U30" s="124" t="str">
        <f t="shared" si="6"/>
        <v>Christian Daniel Villota Paz</v>
      </c>
      <c r="V30" s="124" t="str">
        <f t="shared" si="7"/>
        <v>Christian Daniel Villota Paz</v>
      </c>
      <c r="W30" s="138" t="str">
        <f t="shared" si="8"/>
        <v>Christian Daniel Villota Paz-1085347547-POCT</v>
      </c>
    </row>
    <row r="31" spans="1:23" x14ac:dyDescent="0.2">
      <c r="A31" s="42">
        <v>30</v>
      </c>
      <c r="B31" s="53">
        <v>1085277456</v>
      </c>
      <c r="C31" s="53" t="s">
        <v>140</v>
      </c>
      <c r="D31" s="53" t="s">
        <v>560</v>
      </c>
      <c r="E31" s="53" t="s">
        <v>561</v>
      </c>
      <c r="F31" s="53" t="s">
        <v>369</v>
      </c>
      <c r="G31" s="55">
        <v>19</v>
      </c>
      <c r="H31" s="55" t="s">
        <v>89</v>
      </c>
      <c r="I31" s="55"/>
      <c r="J31" s="58"/>
      <c r="K31" s="55"/>
      <c r="L31" s="55" t="s">
        <v>90</v>
      </c>
      <c r="M31" s="55" t="s">
        <v>275</v>
      </c>
      <c r="N31" s="53" t="s">
        <v>63</v>
      </c>
      <c r="O31" s="109">
        <v>32766</v>
      </c>
      <c r="P31" s="55" t="s">
        <v>101</v>
      </c>
      <c r="Q31" s="53" t="s">
        <v>126</v>
      </c>
      <c r="R31" s="53">
        <v>3185009058</v>
      </c>
      <c r="S31" s="53" t="s">
        <v>562</v>
      </c>
      <c r="T31" s="124" t="str">
        <f>IF(N31=CURSOS!$D$3,"DIPLOMADO EN ATENCION PRE-HOSPITALARIA",IF(N31=CURSOS!$D$4,"ACOMPAÑAMIENTO Y MANEJO DEL DUELO",IF(N31=CURSOS!$D$5,"ATENCION A VICTIMAS DE ATAQUE CON AGENTES QUIMICOS ",IF(N31=CURSOS!$D$6,"PRIMEROS AUXILIOS ",IF(N31=CURSOS!$D$7,"DIPLOMADO DE UNIDAD DE CUIDADOS INTENSIVOS (UCI)",IF(N31=CURSOS!$D$8,"MODELO DE ATENCION PARA EVENTOS EMERGENTES EN SALUD MENTAL (CODIGO VERDE)",IF(N31=CURSOS!$D$9,"HUMANIZACION EN EL SERVICIO DE LA SALUD Y BUENAS PRACTICAS EN PACIENTE ",IF(N31=CURSOS!$D$10,"CLINICA DE HERIDAS ",IF(N31=CURSOS!$D$11,"TOMA DE CITOLOGIA CERVICO VAGINAL ",IF(N31=CURSOS!$D$12,"SOPORTE CARDIOVASCULAR AVANZADO (ACLS) ",IF(N31=CURSOS!$D$13,"CAMILLERO ",IF(N31=CURSOS!$D$14,"TOMA DE MUESTRAS Y LABORATORIO ",IF(N31=CURSOS!$D$15,"SOPORTE VITAL BASICO (BLS)",IF(N31=CURSOS!$D$16,"ATENCION A VICTIMAS DE VIOLENCIA SEXUAL ",IF(N31=CURSOS!$D$17,"PROGRAMADO AMPLIADO DE INMUNIZACION (PAI - COVID 19)",IF(N31=CURSOS!$D$18,"ATENCION INTEGRAL EN ENFERMEDADES PREVALENTES EN PRIMERA INFANCIA (AIEPI)",IF(N31=CURSOS!$D$19,"ADMINISTRACION DE MEDICAMENTOS, INYECTOLOGIA  Y CANALIZACION ",IF(N31=CURSOS!$D$20,"OPERADOR DE VEHICULOS DE EMERGENCIA (OVE)",IF(N31=CURSOS!$D$21,"INSTITUCIONES AMIGAS DE LA MUJER Y LA INFANCIA (IAMI)",IF(N31=CURSOS!$D$22,"CUIDADO DEL DONANTE DE ORGANOS",IF(N31=CURSOS!$D$23,"ATENCION A VICTIMAS POR VIOLENCIA DE GENERO",IF(N31=CURSOS!$D$24,"IGUALDAD DE GENERO EN LA SALUD",IF(N31=CURSOS!$D$25,"BRIGADA DE EMERGENCIA",IF(N31=CURSOS!$D$26,"MANEJO DEL DOLOR Y CUIDADOS PALIATIVOS",IF(N31=CURSOS!$D$27,"TOMA DE MUESTRAS Y LABORATORIO POCT",IF(N31=CURSOS!$D$28,"IMPLANTE SUBDERMICO DE DISPOSITIVO INTRAUTERINO",IF(N31=CURSOS!$D$29,"SALUD MENTAL",IF(N31=CURSOS!$D$30,"PRIMEROS AUXILIOS PSICOLOGICOS",IF(N31=CURSOS!$D$31,"ATENCION A VICTIMAS POR CONFLICTO ARMADO",IF(N31=CURSOS!$D$32,"MANIPULACION DE ALIMENTOS Y BPM",IF(N31=CURSOS!$D$33,"ATENCION A PERSONAS CON DISCAPACIDAD",IF(N31=CURSOS!$D$34,"CUIDADO INTEGRAL DEL PACIENTE ADULTO",IF(N31=CURSOS!$D$35,"MANEJO DEFENSIVO",IF(N31=CURSOS!$D$36,"SOPORTE CARDIOVASCULAR AVANZADO NEONATAL"))))))))))))))))))))))))))))))))))</f>
        <v>TOMA DE MUESTRAS Y LABORATORIO POCT</v>
      </c>
      <c r="U31" s="124" t="str">
        <f t="shared" si="6"/>
        <v>Alisson Paola Santacruz Paredes</v>
      </c>
      <c r="V31" s="124" t="str">
        <f t="shared" si="7"/>
        <v>Alisson Paola Santacruz Paredes</v>
      </c>
      <c r="W31" s="138" t="str">
        <f t="shared" si="8"/>
        <v>Alisson Paola Santacruz Paredes-1085277456-POCT</v>
      </c>
    </row>
    <row r="32" spans="1:23" x14ac:dyDescent="0.2">
      <c r="A32" s="42">
        <v>31</v>
      </c>
      <c r="B32" s="53">
        <v>1085292544</v>
      </c>
      <c r="C32" s="53" t="s">
        <v>589</v>
      </c>
      <c r="D32" s="53" t="s">
        <v>590</v>
      </c>
      <c r="E32" s="53" t="s">
        <v>591</v>
      </c>
      <c r="F32" s="53" t="s">
        <v>592</v>
      </c>
      <c r="G32" s="14">
        <v>19</v>
      </c>
      <c r="H32" s="14" t="s">
        <v>89</v>
      </c>
      <c r="I32" s="55"/>
      <c r="J32" s="58"/>
      <c r="K32" s="55"/>
      <c r="L32" s="55" t="s">
        <v>90</v>
      </c>
      <c r="M32" s="55" t="s">
        <v>275</v>
      </c>
      <c r="N32" s="53" t="s">
        <v>63</v>
      </c>
      <c r="O32" s="109">
        <v>33527</v>
      </c>
      <c r="P32" s="55" t="s">
        <v>101</v>
      </c>
      <c r="Q32" s="53" t="s">
        <v>202</v>
      </c>
      <c r="R32" s="53">
        <v>3152711545</v>
      </c>
      <c r="S32" s="53"/>
      <c r="T32" s="124" t="str">
        <f>IF(N32=CURSOS!$D$3,"DIPLOMADO EN ATENCION PRE-HOSPITALARIA",IF(N32=CURSOS!$D$4,"ACOMPAÑAMIENTO Y MANEJO DEL DUELO",IF(N32=CURSOS!$D$5,"ATENCION A VICTIMAS DE ATAQUE CON AGENTES QUIMICOS ",IF(N32=CURSOS!$D$6,"PRIMEROS AUXILIOS ",IF(N32=CURSOS!$D$7,"DIPLOMADO DE UNIDAD DE CUIDADOS INTENSIVOS (UCI)",IF(N32=CURSOS!$D$8,"MODELO DE ATENCION PARA EVENTOS EMERGENTES EN SALUD MENTAL (CODIGO VERDE)",IF(N32=CURSOS!$D$9,"HUMANIZACION EN EL SERVICIO DE LA SALUD Y BUENAS PRACTICAS EN PACIENTE ",IF(N32=CURSOS!$D$10,"CLINICA DE HERIDAS ",IF(N32=CURSOS!$D$11,"TOMA DE CITOLOGIA CERVICO VAGINAL ",IF(N32=CURSOS!$D$12,"SOPORTE CARDIOVASCULAR AVANZADO (ACLS) ",IF(N32=CURSOS!$D$13,"CAMILLERO ",IF(N32=CURSOS!$D$14,"TOMA DE MUESTRAS Y LABORATORIO ",IF(N32=CURSOS!$D$15,"SOPORTE VITAL BASICO (BLS)",IF(N32=CURSOS!$D$16,"ATENCION A VICTIMAS DE VIOLENCIA SEXUAL ",IF(N32=CURSOS!$D$17,"PROGRAMADO AMPLIADO DE INMUNIZACION (PAI - COVID 19)",IF(N32=CURSOS!$D$18,"ATENCION INTEGRAL EN ENFERMEDADES PREVALENTES EN PRIMERA INFANCIA (AIEPI)",IF(N32=CURSOS!$D$19,"ADMINISTRACION DE MEDICAMENTOS, INYECTOLOGIA  Y CANALIZACION ",IF(N32=CURSOS!$D$20,"OPERADOR DE VEHICULOS DE EMERGENCIA (OVE)",IF(N32=CURSOS!$D$21,"INSTITUCIONES AMIGAS DE LA MUJER Y LA INFANCIA (IAMI)",IF(N32=CURSOS!$D$22,"CUIDADO DEL DONANTE DE ORGANOS",IF(N32=CURSOS!$D$23,"ATENCION A VICTIMAS POR VIOLENCIA DE GENERO",IF(N32=CURSOS!$D$24,"IGUALDAD DE GENERO EN LA SALUD",IF(N32=CURSOS!$D$25,"BRIGADA DE EMERGENCIA",IF(N32=CURSOS!$D$26,"MANEJO DEL DOLOR Y CUIDADOS PALIATIVOS",IF(N32=CURSOS!$D$27,"TOMA DE MUESTRAS Y LABORATORIO POCT",IF(N32=CURSOS!$D$28,"IMPLANTE SUBDERMICO DE DISPOSITIVO INTRAUTERINO",IF(N32=CURSOS!$D$29,"SALUD MENTAL",IF(N32=CURSOS!$D$30,"PRIMEROS AUXILIOS PSICOLOGICOS",IF(N32=CURSOS!$D$31,"ATENCION A VICTIMAS POR CONFLICTO ARMADO",IF(N32=CURSOS!$D$32,"MANIPULACION DE ALIMENTOS Y BPM",IF(N32=CURSOS!$D$33,"ATENCION A PERSONAS CON DISCAPACIDAD",IF(N32=CURSOS!$D$34,"CUIDADO INTEGRAL DEL PACIENTE ADULTO",IF(N32=CURSOS!$D$35,"MANEJO DEFENSIVO",IF(N32=CURSOS!$D$36,"SOPORTE CARDIOVASCULAR AVANZADO NEONATAL"))))))))))))))))))))))))))))))))))</f>
        <v>TOMA DE MUESTRAS Y LABORATORIO POCT</v>
      </c>
      <c r="U32" s="124" t="str">
        <f t="shared" si="6"/>
        <v xml:space="preserve">Meryland Stephany Torres  López  </v>
      </c>
      <c r="V32" s="124" t="str">
        <f t="shared" si="7"/>
        <v xml:space="preserve">Meryland Stephany Torres  López  </v>
      </c>
      <c r="W32" s="138" t="str">
        <f t="shared" si="8"/>
        <v>Meryland Stephany Torres  López  -1085292544-POCT</v>
      </c>
    </row>
    <row r="33" spans="1:23" x14ac:dyDescent="0.2">
      <c r="A33" s="42">
        <v>32</v>
      </c>
      <c r="B33" s="53">
        <v>20357607</v>
      </c>
      <c r="C33" s="53" t="s">
        <v>600</v>
      </c>
      <c r="D33" s="53" t="s">
        <v>601</v>
      </c>
      <c r="E33" s="53" t="s">
        <v>599</v>
      </c>
      <c r="F33" s="53" t="s">
        <v>602</v>
      </c>
      <c r="G33" s="14">
        <v>19</v>
      </c>
      <c r="H33" s="14" t="s">
        <v>89</v>
      </c>
      <c r="I33" s="55"/>
      <c r="J33" s="58"/>
      <c r="K33" s="55"/>
      <c r="L33" s="55" t="s">
        <v>90</v>
      </c>
      <c r="M33" s="55" t="s">
        <v>275</v>
      </c>
      <c r="N33" s="53" t="s">
        <v>63</v>
      </c>
      <c r="O33" s="109">
        <v>23279</v>
      </c>
      <c r="P33" s="55" t="s">
        <v>101</v>
      </c>
      <c r="Q33" s="53" t="s">
        <v>202</v>
      </c>
      <c r="R33" s="53">
        <v>3006724106</v>
      </c>
      <c r="S33" s="53"/>
      <c r="T33" s="124" t="str">
        <f>IF(N33=CURSOS!$D$3,"DIPLOMADO EN ATENCION PRE-HOSPITALARIA",IF(N33=CURSOS!$D$4,"ACOMPAÑAMIENTO Y MANEJO DEL DUELO",IF(N33=CURSOS!$D$5,"ATENCION A VICTIMAS DE ATAQUE CON AGENTES QUIMICOS ",IF(N33=CURSOS!$D$6,"PRIMEROS AUXILIOS ",IF(N33=CURSOS!$D$7,"DIPLOMADO DE UNIDAD DE CUIDADOS INTENSIVOS (UCI)",IF(N33=CURSOS!$D$8,"MODELO DE ATENCION PARA EVENTOS EMERGENTES EN SALUD MENTAL (CODIGO VERDE)",IF(N33=CURSOS!$D$9,"HUMANIZACION EN EL SERVICIO DE LA SALUD Y BUENAS PRACTICAS EN PACIENTE ",IF(N33=CURSOS!$D$10,"CLINICA DE HERIDAS ",IF(N33=CURSOS!$D$11,"TOMA DE CITOLOGIA CERVICO VAGINAL ",IF(N33=CURSOS!$D$12,"SOPORTE CARDIOVASCULAR AVANZADO (ACLS) ",IF(N33=CURSOS!$D$13,"CAMILLERO ",IF(N33=CURSOS!$D$14,"TOMA DE MUESTRAS Y LABORATORIO ",IF(N33=CURSOS!$D$15,"SOPORTE VITAL BASICO (BLS)",IF(N33=CURSOS!$D$16,"ATENCION A VICTIMAS DE VIOLENCIA SEXUAL ",IF(N33=CURSOS!$D$17,"PROGRAMADO AMPLIADO DE INMUNIZACION (PAI - COVID 19)",IF(N33=CURSOS!$D$18,"ATENCION INTEGRAL EN ENFERMEDADES PREVALENTES EN PRIMERA INFANCIA (AIEPI)",IF(N33=CURSOS!$D$19,"ADMINISTRACION DE MEDICAMENTOS, INYECTOLOGIA  Y CANALIZACION ",IF(N33=CURSOS!$D$20,"OPERADOR DE VEHICULOS DE EMERGENCIA (OVE)",IF(N33=CURSOS!$D$21,"INSTITUCIONES AMIGAS DE LA MUJER Y LA INFANCIA (IAMI)",IF(N33=CURSOS!$D$22,"CUIDADO DEL DONANTE DE ORGANOS",IF(N33=CURSOS!$D$23,"ATENCION A VICTIMAS POR VIOLENCIA DE GENERO",IF(N33=CURSOS!$D$24,"IGUALDAD DE GENERO EN LA SALUD",IF(N33=CURSOS!$D$25,"BRIGADA DE EMERGENCIA",IF(N33=CURSOS!$D$26,"MANEJO DEL DOLOR Y CUIDADOS PALIATIVOS",IF(N33=CURSOS!$D$27,"TOMA DE MUESTRAS Y LABORATORIO POCT",IF(N33=CURSOS!$D$28,"IMPLANTE SUBDERMICO DE DISPOSITIVO INTRAUTERINO",IF(N33=CURSOS!$D$29,"SALUD MENTAL",IF(N33=CURSOS!$D$30,"PRIMEROS AUXILIOS PSICOLOGICOS",IF(N33=CURSOS!$D$31,"ATENCION A VICTIMAS POR CONFLICTO ARMADO",IF(N33=CURSOS!$D$32,"MANIPULACION DE ALIMENTOS Y BPM",IF(N33=CURSOS!$D$33,"ATENCION A PERSONAS CON DISCAPACIDAD",IF(N33=CURSOS!$D$34,"CUIDADO INTEGRAL DEL PACIENTE ADULTO",IF(N33=CURSOS!$D$35,"MANEJO DEFENSIVO",IF(N33=CURSOS!$D$36,"SOPORTE CARDIOVASCULAR AVANZADO NEONATAL"))))))))))))))))))))))))))))))))))</f>
        <v>TOMA DE MUESTRAS Y LABORATORIO POCT</v>
      </c>
      <c r="U33" s="124" t="str">
        <f t="shared" si="6"/>
        <v xml:space="preserve">Jenny  Mercy Chamorro  Velasquez </v>
      </c>
      <c r="V33" s="124" t="str">
        <f t="shared" si="7"/>
        <v xml:space="preserve">Jenny  Mercy Chamorro  Velasquez </v>
      </c>
      <c r="W33" s="138" t="str">
        <f t="shared" si="8"/>
        <v>Jenny  Mercy Chamorro  Velasquez -20357607-POCT</v>
      </c>
    </row>
    <row r="34" spans="1:23" x14ac:dyDescent="0.2">
      <c r="A34" s="42">
        <v>33</v>
      </c>
      <c r="B34" s="53">
        <v>27082089</v>
      </c>
      <c r="C34" s="53" t="s">
        <v>603</v>
      </c>
      <c r="D34" s="53" t="s">
        <v>604</v>
      </c>
      <c r="E34" s="53" t="s">
        <v>605</v>
      </c>
      <c r="F34" s="53" t="s">
        <v>606</v>
      </c>
      <c r="G34" s="14">
        <v>19</v>
      </c>
      <c r="H34" s="14" t="s">
        <v>89</v>
      </c>
      <c r="I34" s="55"/>
      <c r="J34" s="58"/>
      <c r="K34" s="55"/>
      <c r="L34" s="55" t="s">
        <v>90</v>
      </c>
      <c r="M34" s="55" t="s">
        <v>275</v>
      </c>
      <c r="N34" s="53" t="s">
        <v>63</v>
      </c>
      <c r="O34" s="109">
        <v>28469</v>
      </c>
      <c r="P34" s="55" t="s">
        <v>101</v>
      </c>
      <c r="Q34" s="53" t="s">
        <v>202</v>
      </c>
      <c r="R34" s="53">
        <v>3186933343</v>
      </c>
      <c r="S34" s="53"/>
      <c r="T34" s="124" t="str">
        <f>IF(N34=CURSOS!$D$3,"DIPLOMADO EN ATENCION PRE-HOSPITALARIA",IF(N34=CURSOS!$D$4,"ACOMPAÑAMIENTO Y MANEJO DEL DUELO",IF(N34=CURSOS!$D$5,"ATENCION A VICTIMAS DE ATAQUE CON AGENTES QUIMICOS ",IF(N34=CURSOS!$D$6,"PRIMEROS AUXILIOS ",IF(N34=CURSOS!$D$7,"DIPLOMADO DE UNIDAD DE CUIDADOS INTENSIVOS (UCI)",IF(N34=CURSOS!$D$8,"MODELO DE ATENCION PARA EVENTOS EMERGENTES EN SALUD MENTAL (CODIGO VERDE)",IF(N34=CURSOS!$D$9,"HUMANIZACION EN EL SERVICIO DE LA SALUD Y BUENAS PRACTICAS EN PACIENTE ",IF(N34=CURSOS!$D$10,"CLINICA DE HERIDAS ",IF(N34=CURSOS!$D$11,"TOMA DE CITOLOGIA CERVICO VAGINAL ",IF(N34=CURSOS!$D$12,"SOPORTE CARDIOVASCULAR AVANZADO (ACLS) ",IF(N34=CURSOS!$D$13,"CAMILLERO ",IF(N34=CURSOS!$D$14,"TOMA DE MUESTRAS Y LABORATORIO ",IF(N34=CURSOS!$D$15,"SOPORTE VITAL BASICO (BLS)",IF(N34=CURSOS!$D$16,"ATENCION A VICTIMAS DE VIOLENCIA SEXUAL ",IF(N34=CURSOS!$D$17,"PROGRAMADO AMPLIADO DE INMUNIZACION (PAI - COVID 19)",IF(N34=CURSOS!$D$18,"ATENCION INTEGRAL EN ENFERMEDADES PREVALENTES EN PRIMERA INFANCIA (AIEPI)",IF(N34=CURSOS!$D$19,"ADMINISTRACION DE MEDICAMENTOS, INYECTOLOGIA  Y CANALIZACION ",IF(N34=CURSOS!$D$20,"OPERADOR DE VEHICULOS DE EMERGENCIA (OVE)",IF(N34=CURSOS!$D$21,"INSTITUCIONES AMIGAS DE LA MUJER Y LA INFANCIA (IAMI)",IF(N34=CURSOS!$D$22,"CUIDADO DEL DONANTE DE ORGANOS",IF(N34=CURSOS!$D$23,"ATENCION A VICTIMAS POR VIOLENCIA DE GENERO",IF(N34=CURSOS!$D$24,"IGUALDAD DE GENERO EN LA SALUD",IF(N34=CURSOS!$D$25,"BRIGADA DE EMERGENCIA",IF(N34=CURSOS!$D$26,"MANEJO DEL DOLOR Y CUIDADOS PALIATIVOS",IF(N34=CURSOS!$D$27,"TOMA DE MUESTRAS Y LABORATORIO POCT",IF(N34=CURSOS!$D$28,"IMPLANTE SUBDERMICO DE DISPOSITIVO INTRAUTERINO",IF(N34=CURSOS!$D$29,"SALUD MENTAL",IF(N34=CURSOS!$D$30,"PRIMEROS AUXILIOS PSICOLOGICOS",IF(N34=CURSOS!$D$31,"ATENCION A VICTIMAS POR CONFLICTO ARMADO",IF(N34=CURSOS!$D$32,"MANIPULACION DE ALIMENTOS Y BPM",IF(N34=CURSOS!$D$33,"ATENCION A PERSONAS CON DISCAPACIDAD",IF(N34=CURSOS!$D$34,"CUIDADO INTEGRAL DEL PACIENTE ADULTO",IF(N34=CURSOS!$D$35,"MANEJO DEFENSIVO",IF(N34=CURSOS!$D$36,"SOPORTE CARDIOVASCULAR AVANZADO NEONATAL"))))))))))))))))))))))))))))))))))</f>
        <v>TOMA DE MUESTRAS Y LABORATORIO POCT</v>
      </c>
      <c r="U34" s="124" t="str">
        <f t="shared" si="6"/>
        <v xml:space="preserve">Marly  Isabeth Hidalgo  Lopez </v>
      </c>
      <c r="V34" s="124" t="str">
        <f t="shared" si="7"/>
        <v xml:space="preserve">Marly  Isabeth Hidalgo  Lopez </v>
      </c>
      <c r="W34" s="138" t="str">
        <f t="shared" si="8"/>
        <v>Marly  Isabeth Hidalgo  Lopez -27082089-POCT</v>
      </c>
    </row>
    <row r="35" spans="1:23" x14ac:dyDescent="0.2">
      <c r="A35" s="42">
        <v>34</v>
      </c>
      <c r="B35" s="53">
        <v>36953809</v>
      </c>
      <c r="C35" s="53" t="s">
        <v>505</v>
      </c>
      <c r="D35" s="53" t="s">
        <v>607</v>
      </c>
      <c r="E35" s="53" t="s">
        <v>608</v>
      </c>
      <c r="F35" s="53" t="s">
        <v>508</v>
      </c>
      <c r="G35" s="14">
        <v>19</v>
      </c>
      <c r="H35" s="14" t="s">
        <v>89</v>
      </c>
      <c r="I35" s="55"/>
      <c r="J35" s="58"/>
      <c r="K35" s="55"/>
      <c r="L35" s="55" t="s">
        <v>90</v>
      </c>
      <c r="M35" s="55" t="s">
        <v>275</v>
      </c>
      <c r="N35" s="53" t="s">
        <v>63</v>
      </c>
      <c r="O35" s="109">
        <v>29724</v>
      </c>
      <c r="P35" s="55" t="s">
        <v>101</v>
      </c>
      <c r="Q35" s="53" t="s">
        <v>202</v>
      </c>
      <c r="R35" s="53">
        <v>3015830631</v>
      </c>
      <c r="S35" s="53"/>
      <c r="T35" s="124" t="str">
        <f>IF(N35=CURSOS!$D$3,"DIPLOMADO EN ATENCION PRE-HOSPITALARIA",IF(N35=CURSOS!$D$4,"ACOMPAÑAMIENTO Y MANEJO DEL DUELO",IF(N35=CURSOS!$D$5,"ATENCION A VICTIMAS DE ATAQUE CON AGENTES QUIMICOS ",IF(N35=CURSOS!$D$6,"PRIMEROS AUXILIOS ",IF(N35=CURSOS!$D$7,"DIPLOMADO DE UNIDAD DE CUIDADOS INTENSIVOS (UCI)",IF(N35=CURSOS!$D$8,"MODELO DE ATENCION PARA EVENTOS EMERGENTES EN SALUD MENTAL (CODIGO VERDE)",IF(N35=CURSOS!$D$9,"HUMANIZACION EN EL SERVICIO DE LA SALUD Y BUENAS PRACTICAS EN PACIENTE ",IF(N35=CURSOS!$D$10,"CLINICA DE HERIDAS ",IF(N35=CURSOS!$D$11,"TOMA DE CITOLOGIA CERVICO VAGINAL ",IF(N35=CURSOS!$D$12,"SOPORTE CARDIOVASCULAR AVANZADO (ACLS) ",IF(N35=CURSOS!$D$13,"CAMILLERO ",IF(N35=CURSOS!$D$14,"TOMA DE MUESTRAS Y LABORATORIO ",IF(N35=CURSOS!$D$15,"SOPORTE VITAL BASICO (BLS)",IF(N35=CURSOS!$D$16,"ATENCION A VICTIMAS DE VIOLENCIA SEXUAL ",IF(N35=CURSOS!$D$17,"PROGRAMADO AMPLIADO DE INMUNIZACION (PAI - COVID 19)",IF(N35=CURSOS!$D$18,"ATENCION INTEGRAL EN ENFERMEDADES PREVALENTES EN PRIMERA INFANCIA (AIEPI)",IF(N35=CURSOS!$D$19,"ADMINISTRACION DE MEDICAMENTOS, INYECTOLOGIA  Y CANALIZACION ",IF(N35=CURSOS!$D$20,"OPERADOR DE VEHICULOS DE EMERGENCIA (OVE)",IF(N35=CURSOS!$D$21,"INSTITUCIONES AMIGAS DE LA MUJER Y LA INFANCIA (IAMI)",IF(N35=CURSOS!$D$22,"CUIDADO DEL DONANTE DE ORGANOS",IF(N35=CURSOS!$D$23,"ATENCION A VICTIMAS POR VIOLENCIA DE GENERO",IF(N35=CURSOS!$D$24,"IGUALDAD DE GENERO EN LA SALUD",IF(N35=CURSOS!$D$25,"BRIGADA DE EMERGENCIA",IF(N35=CURSOS!$D$26,"MANEJO DEL DOLOR Y CUIDADOS PALIATIVOS",IF(N35=CURSOS!$D$27,"TOMA DE MUESTRAS Y LABORATORIO POCT",IF(N35=CURSOS!$D$28,"IMPLANTE SUBDERMICO DE DISPOSITIVO INTRAUTERINO",IF(N35=CURSOS!$D$29,"SALUD MENTAL",IF(N35=CURSOS!$D$30,"PRIMEROS AUXILIOS PSICOLOGICOS",IF(N35=CURSOS!$D$31,"ATENCION A VICTIMAS POR CONFLICTO ARMADO",IF(N35=CURSOS!$D$32,"MANIPULACION DE ALIMENTOS Y BPM",IF(N35=CURSOS!$D$33,"ATENCION A PERSONAS CON DISCAPACIDAD",IF(N35=CURSOS!$D$34,"CUIDADO INTEGRAL DEL PACIENTE ADULTO",IF(N35=CURSOS!$D$35,"MANEJO DEFENSIVO",IF(N35=CURSOS!$D$36,"SOPORTE CARDIOVASCULAR AVANZADO NEONATAL"))))))))))))))))))))))))))))))))))</f>
        <v>TOMA DE MUESTRAS Y LABORATORIO POCT</v>
      </c>
      <c r="U35" s="124" t="str">
        <f t="shared" si="6"/>
        <v xml:space="preserve"> Giselle  Nathalia Cifuentes  Zuikan</v>
      </c>
      <c r="V35" s="124" t="str">
        <f t="shared" si="7"/>
        <v xml:space="preserve"> Giselle  Nathalia Cifuentes  Zuikan</v>
      </c>
      <c r="W35" s="138" t="str">
        <f t="shared" si="8"/>
        <v xml:space="preserve"> Giselle  Nathalia Cifuentes  Zuikan-36953809-POCT</v>
      </c>
    </row>
    <row r="36" spans="1:23" x14ac:dyDescent="0.2">
      <c r="A36" s="42">
        <v>35</v>
      </c>
      <c r="B36" s="53">
        <v>1085269680</v>
      </c>
      <c r="C36" s="53" t="s">
        <v>609</v>
      </c>
      <c r="D36" s="53" t="s">
        <v>610</v>
      </c>
      <c r="E36" s="53" t="s">
        <v>611</v>
      </c>
      <c r="F36" s="53" t="s">
        <v>612</v>
      </c>
      <c r="G36" s="14">
        <v>19</v>
      </c>
      <c r="H36" s="14" t="s">
        <v>89</v>
      </c>
      <c r="I36" s="55"/>
      <c r="J36" s="58"/>
      <c r="K36" s="55"/>
      <c r="L36" s="55" t="s">
        <v>90</v>
      </c>
      <c r="M36" s="55" t="s">
        <v>275</v>
      </c>
      <c r="N36" s="53" t="s">
        <v>63</v>
      </c>
      <c r="O36" s="109">
        <v>32346</v>
      </c>
      <c r="P36" s="55" t="s">
        <v>101</v>
      </c>
      <c r="Q36" s="53" t="s">
        <v>202</v>
      </c>
      <c r="R36" s="53">
        <v>3217741718</v>
      </c>
      <c r="S36" s="53"/>
      <c r="T36" s="124" t="str">
        <f>IF(N36=CURSOS!$D$3,"DIPLOMADO EN ATENCION PRE-HOSPITALARIA",IF(N36=CURSOS!$D$4,"ACOMPAÑAMIENTO Y MANEJO DEL DUELO",IF(N36=CURSOS!$D$5,"ATENCION A VICTIMAS DE ATAQUE CON AGENTES QUIMICOS ",IF(N36=CURSOS!$D$6,"PRIMEROS AUXILIOS ",IF(N36=CURSOS!$D$7,"DIPLOMADO DE UNIDAD DE CUIDADOS INTENSIVOS (UCI)",IF(N36=CURSOS!$D$8,"MODELO DE ATENCION PARA EVENTOS EMERGENTES EN SALUD MENTAL (CODIGO VERDE)",IF(N36=CURSOS!$D$9,"HUMANIZACION EN EL SERVICIO DE LA SALUD Y BUENAS PRACTICAS EN PACIENTE ",IF(N36=CURSOS!$D$10,"CLINICA DE HERIDAS ",IF(N36=CURSOS!$D$11,"TOMA DE CITOLOGIA CERVICO VAGINAL ",IF(N36=CURSOS!$D$12,"SOPORTE CARDIOVASCULAR AVANZADO (ACLS) ",IF(N36=CURSOS!$D$13,"CAMILLERO ",IF(N36=CURSOS!$D$14,"TOMA DE MUESTRAS Y LABORATORIO ",IF(N36=CURSOS!$D$15,"SOPORTE VITAL BASICO (BLS)",IF(N36=CURSOS!$D$16,"ATENCION A VICTIMAS DE VIOLENCIA SEXUAL ",IF(N36=CURSOS!$D$17,"PROGRAMADO AMPLIADO DE INMUNIZACION (PAI - COVID 19)",IF(N36=CURSOS!$D$18,"ATENCION INTEGRAL EN ENFERMEDADES PREVALENTES EN PRIMERA INFANCIA (AIEPI)",IF(N36=CURSOS!$D$19,"ADMINISTRACION DE MEDICAMENTOS, INYECTOLOGIA  Y CANALIZACION ",IF(N36=CURSOS!$D$20,"OPERADOR DE VEHICULOS DE EMERGENCIA (OVE)",IF(N36=CURSOS!$D$21,"INSTITUCIONES AMIGAS DE LA MUJER Y LA INFANCIA (IAMI)",IF(N36=CURSOS!$D$22,"CUIDADO DEL DONANTE DE ORGANOS",IF(N36=CURSOS!$D$23,"ATENCION A VICTIMAS POR VIOLENCIA DE GENERO",IF(N36=CURSOS!$D$24,"IGUALDAD DE GENERO EN LA SALUD",IF(N36=CURSOS!$D$25,"BRIGADA DE EMERGENCIA",IF(N36=CURSOS!$D$26,"MANEJO DEL DOLOR Y CUIDADOS PALIATIVOS",IF(N36=CURSOS!$D$27,"TOMA DE MUESTRAS Y LABORATORIO POCT",IF(N36=CURSOS!$D$28,"IMPLANTE SUBDERMICO DE DISPOSITIVO INTRAUTERINO",IF(N36=CURSOS!$D$29,"SALUD MENTAL",IF(N36=CURSOS!$D$30,"PRIMEROS AUXILIOS PSICOLOGICOS",IF(N36=CURSOS!$D$31,"ATENCION A VICTIMAS POR CONFLICTO ARMADO",IF(N36=CURSOS!$D$32,"MANIPULACION DE ALIMENTOS Y BPM",IF(N36=CURSOS!$D$33,"ATENCION A PERSONAS CON DISCAPACIDAD",IF(N36=CURSOS!$D$34,"CUIDADO INTEGRAL DEL PACIENTE ADULTO",IF(N36=CURSOS!$D$35,"MANEJO DEFENSIVO",IF(N36=CURSOS!$D$36,"SOPORTE CARDIOVASCULAR AVANZADO NEONATAL"))))))))))))))))))))))))))))))))))</f>
        <v>TOMA DE MUESTRAS Y LABORATORIO POCT</v>
      </c>
      <c r="U36" s="124" t="str">
        <f t="shared" si="6"/>
        <v xml:space="preserve">Veronica  Magaly Guerrero  Pasijojoa </v>
      </c>
      <c r="V36" s="124" t="str">
        <f t="shared" si="7"/>
        <v xml:space="preserve">Veronica  Magaly Guerrero  Pasijojoa </v>
      </c>
      <c r="W36" s="138" t="str">
        <f t="shared" si="8"/>
        <v>Veronica  Magaly Guerrero  Pasijojoa -1085269680-POCT</v>
      </c>
    </row>
    <row r="37" spans="1:23" x14ac:dyDescent="0.2">
      <c r="A37" s="42">
        <v>36</v>
      </c>
      <c r="B37" s="53">
        <v>27381669</v>
      </c>
      <c r="C37" s="53" t="s">
        <v>613</v>
      </c>
      <c r="D37" s="53" t="s">
        <v>614</v>
      </c>
      <c r="E37" s="53" t="s">
        <v>615</v>
      </c>
      <c r="F37" s="53" t="s">
        <v>616</v>
      </c>
      <c r="G37" s="14">
        <v>19</v>
      </c>
      <c r="H37" s="14" t="s">
        <v>89</v>
      </c>
      <c r="I37" s="55"/>
      <c r="J37" s="58"/>
      <c r="K37" s="55"/>
      <c r="L37" s="55" t="s">
        <v>90</v>
      </c>
      <c r="M37" s="55" t="s">
        <v>275</v>
      </c>
      <c r="N37" s="53" t="s">
        <v>63</v>
      </c>
      <c r="O37" s="109">
        <v>28920</v>
      </c>
      <c r="P37" s="55" t="s">
        <v>101</v>
      </c>
      <c r="Q37" s="53" t="s">
        <v>126</v>
      </c>
      <c r="R37" s="53">
        <v>3183752511</v>
      </c>
      <c r="S37" s="53"/>
      <c r="T37" s="124" t="str">
        <f>IF(N37=CURSOS!$D$3,"DIPLOMADO EN ATENCION PRE-HOSPITALARIA",IF(N37=CURSOS!$D$4,"ACOMPAÑAMIENTO Y MANEJO DEL DUELO",IF(N37=CURSOS!$D$5,"ATENCION A VICTIMAS DE ATAQUE CON AGENTES QUIMICOS ",IF(N37=CURSOS!$D$6,"PRIMEROS AUXILIOS ",IF(N37=CURSOS!$D$7,"DIPLOMADO DE UNIDAD DE CUIDADOS INTENSIVOS (UCI)",IF(N37=CURSOS!$D$8,"MODELO DE ATENCION PARA EVENTOS EMERGENTES EN SALUD MENTAL (CODIGO VERDE)",IF(N37=CURSOS!$D$9,"HUMANIZACION EN EL SERVICIO DE LA SALUD Y BUENAS PRACTICAS EN PACIENTE ",IF(N37=CURSOS!$D$10,"CLINICA DE HERIDAS ",IF(N37=CURSOS!$D$11,"TOMA DE CITOLOGIA CERVICO VAGINAL ",IF(N37=CURSOS!$D$12,"SOPORTE CARDIOVASCULAR AVANZADO (ACLS) ",IF(N37=CURSOS!$D$13,"CAMILLERO ",IF(N37=CURSOS!$D$14,"TOMA DE MUESTRAS Y LABORATORIO ",IF(N37=CURSOS!$D$15,"SOPORTE VITAL BASICO (BLS)",IF(N37=CURSOS!$D$16,"ATENCION A VICTIMAS DE VIOLENCIA SEXUAL ",IF(N37=CURSOS!$D$17,"PROGRAMADO AMPLIADO DE INMUNIZACION (PAI - COVID 19)",IF(N37=CURSOS!$D$18,"ATENCION INTEGRAL EN ENFERMEDADES PREVALENTES EN PRIMERA INFANCIA (AIEPI)",IF(N37=CURSOS!$D$19,"ADMINISTRACION DE MEDICAMENTOS, INYECTOLOGIA  Y CANALIZACION ",IF(N37=CURSOS!$D$20,"OPERADOR DE VEHICULOS DE EMERGENCIA (OVE)",IF(N37=CURSOS!$D$21,"INSTITUCIONES AMIGAS DE LA MUJER Y LA INFANCIA (IAMI)",IF(N37=CURSOS!$D$22,"CUIDADO DEL DONANTE DE ORGANOS",IF(N37=CURSOS!$D$23,"ATENCION A VICTIMAS POR VIOLENCIA DE GENERO",IF(N37=CURSOS!$D$24,"IGUALDAD DE GENERO EN LA SALUD",IF(N37=CURSOS!$D$25,"BRIGADA DE EMERGENCIA",IF(N37=CURSOS!$D$26,"MANEJO DEL DOLOR Y CUIDADOS PALIATIVOS",IF(N37=CURSOS!$D$27,"TOMA DE MUESTRAS Y LABORATORIO POCT",IF(N37=CURSOS!$D$28,"IMPLANTE SUBDERMICO DE DISPOSITIVO INTRAUTERINO",IF(N37=CURSOS!$D$29,"SALUD MENTAL",IF(N37=CURSOS!$D$30,"PRIMEROS AUXILIOS PSICOLOGICOS",IF(N37=CURSOS!$D$31,"ATENCION A VICTIMAS POR CONFLICTO ARMADO",IF(N37=CURSOS!$D$32,"MANIPULACION DE ALIMENTOS Y BPM",IF(N37=CURSOS!$D$33,"ATENCION A PERSONAS CON DISCAPACIDAD",IF(N37=CURSOS!$D$34,"CUIDADO INTEGRAL DEL PACIENTE ADULTO",IF(N37=CURSOS!$D$35,"MANEJO DEFENSIVO",IF(N37=CURSOS!$D$36,"SOPORTE CARDIOVASCULAR AVANZADO NEONATAL"))))))))))))))))))))))))))))))))))</f>
        <v>TOMA DE MUESTRAS Y LABORATORIO POCT</v>
      </c>
      <c r="U37" s="124" t="str">
        <f t="shared" si="6"/>
        <v xml:space="preserve">Emma  Nohemy Chungana  Potosi </v>
      </c>
      <c r="V37" s="124" t="str">
        <f t="shared" si="7"/>
        <v xml:space="preserve">Emma  Nohemy Chungana  Potosi </v>
      </c>
      <c r="W37" s="138" t="str">
        <f t="shared" si="8"/>
        <v>Emma  Nohemy Chungana  Potosi -27381669-POCT</v>
      </c>
    </row>
    <row r="38" spans="1:23" x14ac:dyDescent="0.2">
      <c r="A38" s="42">
        <v>37</v>
      </c>
      <c r="B38" s="176">
        <v>36758417</v>
      </c>
      <c r="C38" s="176" t="s">
        <v>690</v>
      </c>
      <c r="D38" s="176" t="s">
        <v>691</v>
      </c>
      <c r="E38" s="176" t="s">
        <v>692</v>
      </c>
      <c r="F38" s="176" t="s">
        <v>693</v>
      </c>
      <c r="G38" s="177">
        <v>19</v>
      </c>
      <c r="H38" s="177" t="s">
        <v>89</v>
      </c>
      <c r="I38" s="177"/>
      <c r="J38" s="179"/>
      <c r="K38" s="177"/>
      <c r="L38" s="177" t="s">
        <v>90</v>
      </c>
      <c r="M38" s="177" t="s">
        <v>275</v>
      </c>
      <c r="N38" s="176" t="s">
        <v>63</v>
      </c>
      <c r="O38" s="180">
        <v>30024</v>
      </c>
      <c r="P38" s="177" t="s">
        <v>101</v>
      </c>
      <c r="Q38" s="176" t="s">
        <v>126</v>
      </c>
      <c r="R38" s="176">
        <v>3133832654</v>
      </c>
      <c r="S38" s="176" t="s">
        <v>694</v>
      </c>
      <c r="T38" s="124" t="str">
        <f>IF(N38=CURSOS!$D$3,"DIPLOMADO EN ATENCION PRE-HOSPITALARIA",IF(N38=CURSOS!$D$4,"ACOMPAÑAMIENTO Y MANEJO DEL DUELO",IF(N38=CURSOS!$D$5,"ATENCION A VICTIMAS DE ATAQUE CON AGENTES QUIMICOS ",IF(N38=CURSOS!$D$6,"PRIMEROS AUXILIOS ",IF(N38=CURSOS!$D$7,"DIPLOMADO DE UNIDAD DE CUIDADOS INTENSIVOS (UCI)",IF(N38=CURSOS!$D$8,"MODELO DE ATENCION PARA EVENTOS EMERGENTES EN SALUD MENTAL (CODIGO VERDE)",IF(N38=CURSOS!$D$9,"HUMANIZACION EN EL SERVICIO DE LA SALUD Y BUENAS PRACTICAS EN PACIENTE ",IF(N38=CURSOS!$D$10,"CLINICA DE HERIDAS ",IF(N38=CURSOS!$D$11,"TOMA DE CITOLOGIA CERVICO VAGINAL ",IF(N38=CURSOS!$D$12,"SOPORTE CARDIOVASCULAR AVANZADO (ACLS) ",IF(N38=CURSOS!$D$13,"CAMILLERO ",IF(N38=CURSOS!$D$14,"TOMA DE MUESTRAS Y LABORATORIO ",IF(N38=CURSOS!$D$15,"SOPORTE VITAL BASICO (BLS)",IF(N38=CURSOS!$D$16,"ATENCION A VICTIMAS DE VIOLENCIA SEXUAL ",IF(N38=CURSOS!$D$17,"PROGRAMADO AMPLIADO DE INMUNIZACION (PAI - COVID 19)",IF(N38=CURSOS!$D$18,"ATENCION INTEGRAL EN ENFERMEDADES PREVALENTES EN PRIMERA INFANCIA (AIEPI)",IF(N38=CURSOS!$D$19,"ADMINISTRACION DE MEDICAMENTOS, INYECTOLOGIA  Y CANALIZACION ",IF(N38=CURSOS!$D$20,"OPERADOR DE VEHICULOS DE EMERGENCIA (OVE)",IF(N38=CURSOS!$D$21,"INSTITUCIONES AMIGAS DE LA MUJER Y LA INFANCIA (IAMI)",IF(N38=CURSOS!$D$22,"CUIDADO DEL DONANTE DE ORGANOS",IF(N38=CURSOS!$D$23,"ATENCION A VICTIMAS POR VIOLENCIA DE GENERO",IF(N38=CURSOS!$D$24,"IGUALDAD DE GENERO EN LA SALUD",IF(N38=CURSOS!$D$25,"BRIGADA DE EMERGENCIA",IF(N38=CURSOS!$D$26,"MANEJO DEL DOLOR Y CUIDADOS PALIATIVOS",IF(N38=CURSOS!$D$27,"TOMA DE MUESTRAS Y LABORATORIO POCT",IF(N38=CURSOS!$D$28,"IMPLANTE SUBDERMICO DE DISPOSITIVO INTRAUTERINO",IF(N38=CURSOS!$D$29,"SALUD MENTAL",IF(N38=CURSOS!$D$30,"PRIMEROS AUXILIOS PSICOLOGICOS",IF(N38=CURSOS!$D$31,"ATENCION A VICTIMAS POR CONFLICTO ARMADO",IF(N38=CURSOS!$D$32,"MANIPULACION DE ALIMENTOS Y BPM",IF(N38=CURSOS!$D$33,"ATENCION A PERSONAS CON DISCAPACIDAD",IF(N38=CURSOS!$D$34,"CUIDADO INTEGRAL DEL PACIENTE ADULTO",IF(N38=CURSOS!$D$35,"MANEJO DEFENSIVO",IF(N38=CURSOS!$D$36,"SOPORTE CARDIOVASCULAR AVANZADO NEONATAL"))))))))))))))))))))))))))))))))))</f>
        <v>TOMA DE MUESTRAS Y LABORATORIO POCT</v>
      </c>
      <c r="U38" s="124" t="str">
        <f t="shared" si="6"/>
        <v>Julia Del socorro Cadena Gavilanes</v>
      </c>
      <c r="V38" s="124" t="str">
        <f t="shared" si="7"/>
        <v>Julia Del Socorro Cadena Gavilanes</v>
      </c>
      <c r="W38" s="138" t="str">
        <f t="shared" si="8"/>
        <v>Julia Del socorro Cadena Gavilanes-36758417-POCT</v>
      </c>
    </row>
    <row r="39" spans="1:23" ht="15.75" x14ac:dyDescent="0.25">
      <c r="A39" s="42">
        <v>38</v>
      </c>
      <c r="B39" s="139">
        <v>27534022</v>
      </c>
      <c r="C39" s="139" t="s">
        <v>463</v>
      </c>
      <c r="D39" s="139" t="s">
        <v>464</v>
      </c>
      <c r="E39" s="139" t="s">
        <v>95</v>
      </c>
      <c r="F39" s="139" t="s">
        <v>465</v>
      </c>
      <c r="G39" s="140">
        <v>19</v>
      </c>
      <c r="H39" s="140" t="s">
        <v>89</v>
      </c>
      <c r="I39" s="141">
        <v>45497</v>
      </c>
      <c r="J39" s="202">
        <v>40000</v>
      </c>
      <c r="K39" s="203" t="s">
        <v>210</v>
      </c>
      <c r="L39" s="140" t="s">
        <v>90</v>
      </c>
      <c r="M39" s="140" t="s">
        <v>275</v>
      </c>
      <c r="N39" s="143" t="s">
        <v>63</v>
      </c>
      <c r="O39" s="144">
        <v>23755</v>
      </c>
      <c r="P39" s="140" t="s">
        <v>101</v>
      </c>
      <c r="Q39" s="139" t="s">
        <v>126</v>
      </c>
      <c r="R39" s="139">
        <v>3146332203</v>
      </c>
      <c r="S39" s="139" t="s">
        <v>799</v>
      </c>
      <c r="T39" s="124" t="str">
        <f>IF(N39=CURSOS!$D$3,"DIPLOMADO EN ATENCION PRE-HOSPITALARIA",IF(N39=CURSOS!$D$4,"ACOMPAÑAMIENTO Y MANEJO DEL DUELO",IF(N39=CURSOS!$D$5,"ATENCION A VICTIMAS DE ATAQUE CON AGENTES QUIMICOS ",IF(N39=CURSOS!$D$6,"PRIMEROS AUXILIOS ",IF(N39=CURSOS!$D$7,"DIPLOMADO DE UNIDAD DE CUIDADOS INTENSIVOS (UCI)",IF(N39=CURSOS!$D$8,"MODELO DE ATENCION PARA EVENTOS EMERGENTES EN SALUD MENTAL (CODIGO VERDE)",IF(N39=CURSOS!$D$9,"HUMANIZACION EN EL SERVICIO DE LA SALUD Y BUENAS PRACTICAS EN PACIENTE ",IF(N39=CURSOS!$D$10,"CLINICA DE HERIDAS ",IF(N39=CURSOS!$D$11,"TOMA DE CITOLOGIA CERVICO VAGINAL ",IF(N39=CURSOS!$D$12,"SOPORTE CARDIOVASCULAR AVANZADO (ACLS) ",IF(N39=CURSOS!$D$13,"CAMILLERO ",IF(N39=CURSOS!$D$14,"TOMA DE MUESTRAS Y LABORATORIO ",IF(N39=CURSOS!$D$15,"SOPORTE VITAL BASICO (BLS)",IF(N39=CURSOS!$D$16,"ATENCION A VICTIMAS DE VIOLENCIA SEXUAL ",IF(N39=CURSOS!$D$17,"PROGRAMADO AMPLIADO DE INMUNIZACION (PAI - COVID 19)",IF(N39=CURSOS!$D$18,"ATENCION INTEGRAL EN ENFERMEDADES PREVALENTES EN PRIMERA INFANCIA (AIEPI)",IF(N39=CURSOS!$D$19,"ADMINISTRACION DE MEDICAMENTOS, INYECTOLOGIA  Y CANALIZACION ",IF(N39=CURSOS!$D$20,"OPERADOR DE VEHICULOS DE EMERGENCIA (OVE)",IF(N39=CURSOS!$D$21,"INSTITUCIONES AMIGAS DE LA MUJER Y LA INFANCIA (IAMI)",IF(N39=CURSOS!$D$22,"CUIDADO DEL DONANTE DE ORGANOS",IF(N39=CURSOS!$D$23,"ATENCION A VICTIMAS POR VIOLENCIA DE GENERO",IF(N39=CURSOS!$D$24,"IGUALDAD DE GENERO EN LA SALUD",IF(N39=CURSOS!$D$25,"BRIGADA DE EMERGENCIA",IF(N39=CURSOS!$D$26,"MANEJO DEL DOLOR Y CUIDADOS PALIATIVOS",IF(N39=CURSOS!$D$27,"TOMA DE MUESTRAS Y LABORATORIO POCT",IF(N39=CURSOS!$D$28,"IMPLANTE SUBDERMICO DE DISPOSITIVO INTRAUTERINO",IF(N39=CURSOS!$D$29,"SALUD MENTAL",IF(N39=CURSOS!$D$30,"PRIMEROS AUXILIOS PSICOLOGICOS",IF(N39=CURSOS!$D$31,"ATENCION A VICTIMAS POR CONFLICTO ARMADO",IF(N39=CURSOS!$D$32,"MANIPULACION DE ALIMENTOS Y BPM",IF(N39=CURSOS!$D$33,"ATENCION A PERSONAS CON DISCAPACIDAD",IF(N39=CURSOS!$D$34,"CUIDADO INTEGRAL DEL PACIENTE ADULTO",IF(N39=CURSOS!$D$35,"MANEJO DEFENSIVO",IF(N39=CURSOS!$D$36,"SOPORTE CARDIOVASCULAR AVANZADO NEONATAL"))))))))))))))))))))))))))))))))))</f>
        <v>TOMA DE MUESTRAS Y LABORATORIO POCT</v>
      </c>
      <c r="U39" s="124" t="str">
        <f t="shared" si="6"/>
        <v>Maria Eugenia Caguazango Chavez</v>
      </c>
      <c r="V39" s="124" t="str">
        <f t="shared" si="7"/>
        <v>Maria Eugenia Caguazango Chavez</v>
      </c>
      <c r="W39" s="138" t="str">
        <f t="shared" si="8"/>
        <v>Maria Eugenia Caguazango Chavez-27534022-POCT</v>
      </c>
    </row>
    <row r="40" spans="1:23" s="159" customFormat="1" ht="15.75" x14ac:dyDescent="0.25">
      <c r="A40" s="42">
        <v>39</v>
      </c>
      <c r="B40" s="155">
        <v>1085321371</v>
      </c>
      <c r="C40" s="155" t="s">
        <v>640</v>
      </c>
      <c r="D40" s="155" t="s">
        <v>641</v>
      </c>
      <c r="E40" s="155" t="s">
        <v>323</v>
      </c>
      <c r="F40" s="155" t="s">
        <v>314</v>
      </c>
      <c r="G40" s="157">
        <v>19</v>
      </c>
      <c r="H40" s="157" t="s">
        <v>89</v>
      </c>
      <c r="I40" s="156">
        <v>45490</v>
      </c>
      <c r="J40" s="200">
        <v>40000</v>
      </c>
      <c r="K40" s="201" t="s">
        <v>210</v>
      </c>
      <c r="L40" s="157" t="s">
        <v>90</v>
      </c>
      <c r="M40" s="157" t="s">
        <v>275</v>
      </c>
      <c r="N40" s="155" t="s">
        <v>63</v>
      </c>
      <c r="O40" s="158">
        <v>34847</v>
      </c>
      <c r="P40" s="157" t="s">
        <v>91</v>
      </c>
      <c r="Q40" s="155" t="s">
        <v>126</v>
      </c>
      <c r="R40" s="155">
        <v>3017992964</v>
      </c>
      <c r="S40" s="182" t="s">
        <v>645</v>
      </c>
      <c r="T40" s="124" t="str">
        <f>IF(N40=CURSOS!$D$3,"DIPLOMADO EN ATENCION PRE-HOSPITALARIA",IF(N40=CURSOS!$D$4,"ACOMPAÑAMIENTO Y MANEJO DEL DUELO",IF(N40=CURSOS!$D$5,"ATENCION A VICTIMAS DE ATAQUE CON AGENTES QUIMICOS ",IF(N40=CURSOS!$D$6,"PRIMEROS AUXILIOS ",IF(N40=CURSOS!$D$7,"DIPLOMADO DE UNIDAD DE CUIDADOS INTENSIVOS (UCI)",IF(N40=CURSOS!$D$8,"MODELO DE ATENCION PARA EVENTOS EMERGENTES EN SALUD MENTAL (CODIGO VERDE)",IF(N40=CURSOS!$D$9,"HUMANIZACION EN EL SERVICIO DE LA SALUD Y BUENAS PRACTICAS EN PACIENTE ",IF(N40=CURSOS!$D$10,"CLINICA DE HERIDAS ",IF(N40=CURSOS!$D$11,"TOMA DE CITOLOGIA CERVICO VAGINAL ",IF(N40=CURSOS!$D$12,"SOPORTE CARDIOVASCULAR AVANZADO (ACLS) ",IF(N40=CURSOS!$D$13,"CAMILLERO ",IF(N40=CURSOS!$D$14,"TOMA DE MUESTRAS Y LABORATORIO ",IF(N40=CURSOS!$D$15,"SOPORTE VITAL BASICO (BLS)",IF(N40=CURSOS!$D$16,"ATENCION A VICTIMAS DE VIOLENCIA SEXUAL ",IF(N40=CURSOS!$D$17,"PROGRAMADO AMPLIADO DE INMUNIZACION (PAI - COVID 19)",IF(N40=CURSOS!$D$18,"ATENCION INTEGRAL EN ENFERMEDADES PREVALENTES EN PRIMERA INFANCIA (AIEPI)",IF(N40=CURSOS!$D$19,"ADMINISTRACION DE MEDICAMENTOS, INYECTOLOGIA  Y CANALIZACION ",IF(N40=CURSOS!$D$20,"OPERADOR DE VEHICULOS DE EMERGENCIA (OVE)",IF(N40=CURSOS!$D$21,"INSTITUCIONES AMIGAS DE LA MUJER Y LA INFANCIA (IAMI)",IF(N40=CURSOS!$D$22,"CUIDADO DEL DONANTE DE ORGANOS",IF(N40=CURSOS!$D$23,"ATENCION A VICTIMAS POR VIOLENCIA DE GENERO",IF(N40=CURSOS!$D$24,"IGUALDAD DE GENERO EN LA SALUD",IF(N40=CURSOS!$D$25,"BRIGADA DE EMERGENCIA",IF(N40=CURSOS!$D$26,"MANEJO DEL DOLOR Y CUIDADOS PALIATIVOS",IF(N40=CURSOS!$D$27,"TOMA DE MUESTRAS Y LABORATORIO POCT",IF(N40=CURSOS!$D$28,"IMPLANTE SUBDERMICO DE DISPOSITIVO INTRAUTERINO",IF(N40=CURSOS!$D$29,"SALUD MENTAL",IF(N40=CURSOS!$D$30,"PRIMEROS AUXILIOS PSICOLOGICOS",IF(N40=CURSOS!$D$31,"ATENCION A VICTIMAS POR CONFLICTO ARMADO",IF(N40=CURSOS!$D$32,"MANIPULACION DE ALIMENTOS Y BPM",IF(N40=CURSOS!$D$33,"ATENCION A PERSONAS CON DISCAPACIDAD",IF(N40=CURSOS!$D$34,"CUIDADO INTEGRAL DEL PACIENTE ADULTO",IF(N40=CURSOS!$D$35,"MANEJO DEFENSIVO",IF(N40=CURSOS!$D$36,"SOPORTE CARDIOVASCULAR AVANZADO NEONATAL"))))))))))))))))))))))))))))))))))</f>
        <v>TOMA DE MUESTRAS Y LABORATORIO POCT</v>
      </c>
      <c r="U40" s="124" t="str">
        <f t="shared" si="6"/>
        <v>Jonathan Hernan Basante Uasapud</v>
      </c>
      <c r="V40" s="124" t="str">
        <f t="shared" si="7"/>
        <v>Jonathan Hernan Basante Uasapud</v>
      </c>
      <c r="W40" s="138" t="str">
        <f t="shared" si="8"/>
        <v>Jonathan Hernan Basante Uasapud-1085321371-POCT</v>
      </c>
    </row>
    <row r="41" spans="1:23" ht="15.75" x14ac:dyDescent="0.25">
      <c r="A41" s="42">
        <v>40</v>
      </c>
      <c r="B41" s="162">
        <v>1085307288</v>
      </c>
      <c r="C41" s="162" t="s">
        <v>642</v>
      </c>
      <c r="D41" s="162" t="s">
        <v>205</v>
      </c>
      <c r="E41" s="162" t="s">
        <v>643</v>
      </c>
      <c r="F41" s="162" t="s">
        <v>238</v>
      </c>
      <c r="G41" s="163">
        <v>19</v>
      </c>
      <c r="H41" s="163" t="s">
        <v>89</v>
      </c>
      <c r="I41" s="178">
        <v>45491</v>
      </c>
      <c r="J41" s="204">
        <v>40000</v>
      </c>
      <c r="K41" s="205" t="s">
        <v>214</v>
      </c>
      <c r="L41" s="163" t="s">
        <v>90</v>
      </c>
      <c r="M41" s="163" t="s">
        <v>275</v>
      </c>
      <c r="N41" s="162" t="s">
        <v>63</v>
      </c>
      <c r="O41" s="165">
        <v>34201</v>
      </c>
      <c r="P41" s="163" t="s">
        <v>91</v>
      </c>
      <c r="Q41" s="162" t="s">
        <v>126</v>
      </c>
      <c r="R41" s="162">
        <v>3182684851</v>
      </c>
      <c r="S41" s="162" t="s">
        <v>644</v>
      </c>
      <c r="T41" s="124" t="str">
        <f>IF(N41=CURSOS!$D$3,"DIPLOMADO EN ATENCION PRE-HOSPITALARIA",IF(N41=CURSOS!$D$4,"ACOMPAÑAMIENTO Y MANEJO DEL DUELO",IF(N41=CURSOS!$D$5,"ATENCION A VICTIMAS DE ATAQUE CON AGENTES QUIMICOS ",IF(N41=CURSOS!$D$6,"PRIMEROS AUXILIOS ",IF(N41=CURSOS!$D$7,"DIPLOMADO DE UNIDAD DE CUIDADOS INTENSIVOS (UCI)",IF(N41=CURSOS!$D$8,"MODELO DE ATENCION PARA EVENTOS EMERGENTES EN SALUD MENTAL (CODIGO VERDE)",IF(N41=CURSOS!$D$9,"HUMANIZACION EN EL SERVICIO DE LA SALUD Y BUENAS PRACTICAS EN PACIENTE ",IF(N41=CURSOS!$D$10,"CLINICA DE HERIDAS ",IF(N41=CURSOS!$D$11,"TOMA DE CITOLOGIA CERVICO VAGINAL ",IF(N41=CURSOS!$D$12,"SOPORTE CARDIOVASCULAR AVANZADO (ACLS) ",IF(N41=CURSOS!$D$13,"CAMILLERO ",IF(N41=CURSOS!$D$14,"TOMA DE MUESTRAS Y LABORATORIO ",IF(N41=CURSOS!$D$15,"SOPORTE VITAL BASICO (BLS)",IF(N41=CURSOS!$D$16,"ATENCION A VICTIMAS DE VIOLENCIA SEXUAL ",IF(N41=CURSOS!$D$17,"PROGRAMADO AMPLIADO DE INMUNIZACION (PAI - COVID 19)",IF(N41=CURSOS!$D$18,"ATENCION INTEGRAL EN ENFERMEDADES PREVALENTES EN PRIMERA INFANCIA (AIEPI)",IF(N41=CURSOS!$D$19,"ADMINISTRACION DE MEDICAMENTOS, INYECTOLOGIA  Y CANALIZACION ",IF(N41=CURSOS!$D$20,"OPERADOR DE VEHICULOS DE EMERGENCIA (OVE)",IF(N41=CURSOS!$D$21,"INSTITUCIONES AMIGAS DE LA MUJER Y LA INFANCIA (IAMI)",IF(N41=CURSOS!$D$22,"CUIDADO DEL DONANTE DE ORGANOS",IF(N41=CURSOS!$D$23,"ATENCION A VICTIMAS POR VIOLENCIA DE GENERO",IF(N41=CURSOS!$D$24,"IGUALDAD DE GENERO EN LA SALUD",IF(N41=CURSOS!$D$25,"BRIGADA DE EMERGENCIA",IF(N41=CURSOS!$D$26,"MANEJO DEL DOLOR Y CUIDADOS PALIATIVOS",IF(N41=CURSOS!$D$27,"TOMA DE MUESTRAS Y LABORATORIO POCT",IF(N41=CURSOS!$D$28,"IMPLANTE SUBDERMICO DE DISPOSITIVO INTRAUTERINO",IF(N41=CURSOS!$D$29,"SALUD MENTAL",IF(N41=CURSOS!$D$30,"PRIMEROS AUXILIOS PSICOLOGICOS",IF(N41=CURSOS!$D$31,"ATENCION A VICTIMAS POR CONFLICTO ARMADO",IF(N41=CURSOS!$D$32,"MANIPULACION DE ALIMENTOS Y BPM",IF(N41=CURSOS!$D$33,"ATENCION A PERSONAS CON DISCAPACIDAD",IF(N41=CURSOS!$D$34,"CUIDADO INTEGRAL DEL PACIENTE ADULTO",IF(N41=CURSOS!$D$35,"MANEJO DEFENSIVO",IF(N41=CURSOS!$D$36,"SOPORTE CARDIOVASCULAR AVANZADO NEONATAL"))))))))))))))))))))))))))))))))))</f>
        <v>TOMA DE MUESTRAS Y LABORATORIO POCT</v>
      </c>
      <c r="U41" s="124" t="str">
        <f t="shared" si="6"/>
        <v>Heiman Fernando Cortes Rodriguez</v>
      </c>
      <c r="V41" s="124" t="str">
        <f t="shared" si="7"/>
        <v>Heiman Fernando Cortes Rodriguez</v>
      </c>
      <c r="W41" s="138" t="str">
        <f t="shared" si="8"/>
        <v>Heiman Fernando Cortes Rodriguez-1085307288-POCT</v>
      </c>
    </row>
    <row r="42" spans="1:23" x14ac:dyDescent="0.2">
      <c r="A42" s="42">
        <v>41</v>
      </c>
      <c r="B42" s="155">
        <v>59310968</v>
      </c>
      <c r="C42" s="155" t="s">
        <v>389</v>
      </c>
      <c r="D42" s="155" t="s">
        <v>695</v>
      </c>
      <c r="E42" s="155" t="s">
        <v>696</v>
      </c>
      <c r="F42" s="155" t="s">
        <v>227</v>
      </c>
      <c r="G42" s="157">
        <v>19</v>
      </c>
      <c r="H42" s="157" t="s">
        <v>89</v>
      </c>
      <c r="I42" s="157"/>
      <c r="J42" s="160">
        <v>40000</v>
      </c>
      <c r="K42" s="157"/>
      <c r="L42" s="157" t="s">
        <v>90</v>
      </c>
      <c r="M42" s="157" t="s">
        <v>275</v>
      </c>
      <c r="N42" s="155" t="s">
        <v>63</v>
      </c>
      <c r="O42" s="158">
        <v>30640</v>
      </c>
      <c r="P42" s="157" t="s">
        <v>101</v>
      </c>
      <c r="Q42" s="155" t="s">
        <v>126</v>
      </c>
      <c r="R42" s="155">
        <v>3188465599</v>
      </c>
      <c r="S42" s="155" t="s">
        <v>697</v>
      </c>
      <c r="T42" s="124" t="str">
        <f>IF(N42=CURSOS!$D$3,"DIPLOMADO EN ATENCION PRE-HOSPITALARIA",IF(N42=CURSOS!$D$4,"ACOMPAÑAMIENTO Y MANEJO DEL DUELO",IF(N42=CURSOS!$D$5,"ATENCION A VICTIMAS DE ATAQUE CON AGENTES QUIMICOS ",IF(N42=CURSOS!$D$6,"PRIMEROS AUXILIOS ",IF(N42=CURSOS!$D$7,"DIPLOMADO DE UNIDAD DE CUIDADOS INTENSIVOS (UCI)",IF(N42=CURSOS!$D$8,"MODELO DE ATENCION PARA EVENTOS EMERGENTES EN SALUD MENTAL (CODIGO VERDE)",IF(N42=CURSOS!$D$9,"HUMANIZACION EN EL SERVICIO DE LA SALUD Y BUENAS PRACTICAS EN PACIENTE ",IF(N42=CURSOS!$D$10,"CLINICA DE HERIDAS ",IF(N42=CURSOS!$D$11,"TOMA DE CITOLOGIA CERVICO VAGINAL ",IF(N42=CURSOS!$D$12,"SOPORTE CARDIOVASCULAR AVANZADO (ACLS) ",IF(N42=CURSOS!$D$13,"CAMILLERO ",IF(N42=CURSOS!$D$14,"TOMA DE MUESTRAS Y LABORATORIO ",IF(N42=CURSOS!$D$15,"SOPORTE VITAL BASICO (BLS)",IF(N42=CURSOS!$D$16,"ATENCION A VICTIMAS DE VIOLENCIA SEXUAL ",IF(N42=CURSOS!$D$17,"PROGRAMADO AMPLIADO DE INMUNIZACION (PAI - COVID 19)",IF(N42=CURSOS!$D$18,"ATENCION INTEGRAL EN ENFERMEDADES PREVALENTES EN PRIMERA INFANCIA (AIEPI)",IF(N42=CURSOS!$D$19,"ADMINISTRACION DE MEDICAMENTOS, INYECTOLOGIA  Y CANALIZACION ",IF(N42=CURSOS!$D$20,"OPERADOR DE VEHICULOS DE EMERGENCIA (OVE)",IF(N42=CURSOS!$D$21,"INSTITUCIONES AMIGAS DE LA MUJER Y LA INFANCIA (IAMI)",IF(N42=CURSOS!$D$22,"CUIDADO DEL DONANTE DE ORGANOS",IF(N42=CURSOS!$D$23,"ATENCION A VICTIMAS POR VIOLENCIA DE GENERO",IF(N42=CURSOS!$D$24,"IGUALDAD DE GENERO EN LA SALUD",IF(N42=CURSOS!$D$25,"BRIGADA DE EMERGENCIA",IF(N42=CURSOS!$D$26,"MANEJO DEL DOLOR Y CUIDADOS PALIATIVOS",IF(N42=CURSOS!$D$27,"TOMA DE MUESTRAS Y LABORATORIO POCT",IF(N42=CURSOS!$D$28,"IMPLANTE SUBDERMICO DE DISPOSITIVO INTRAUTERINO",IF(N42=CURSOS!$D$29,"SALUD MENTAL",IF(N42=CURSOS!$D$30,"PRIMEROS AUXILIOS PSICOLOGICOS",IF(N42=CURSOS!$D$31,"ATENCION A VICTIMAS POR CONFLICTO ARMADO",IF(N42=CURSOS!$D$32,"MANIPULACION DE ALIMENTOS Y BPM",IF(N42=CURSOS!$D$33,"ATENCION A PERSONAS CON DISCAPACIDAD",IF(N42=CURSOS!$D$34,"CUIDADO INTEGRAL DEL PACIENTE ADULTO",IF(N42=CURSOS!$D$35,"MANEJO DEFENSIVO",IF(N42=CURSOS!$D$36,"SOPORTE CARDIOVASCULAR AVANZADO NEONATAL"))))))))))))))))))))))))))))))))))</f>
        <v>TOMA DE MUESTRAS Y LABORATORIO POCT</v>
      </c>
      <c r="U42" s="124" t="str">
        <f t="shared" si="6"/>
        <v>Yurani Marcela Delgado Solarte</v>
      </c>
      <c r="V42" s="124" t="str">
        <f t="shared" si="7"/>
        <v>Yurani Marcela Delgado Solarte</v>
      </c>
      <c r="W42" s="138" t="str">
        <f t="shared" si="8"/>
        <v>Yurani Marcela Delgado Solarte-59310968-POCT</v>
      </c>
    </row>
    <row r="43" spans="1:23" x14ac:dyDescent="0.2">
      <c r="A43" s="42">
        <v>42</v>
      </c>
      <c r="B43" s="155">
        <v>12997519</v>
      </c>
      <c r="C43" s="155" t="s">
        <v>343</v>
      </c>
      <c r="D43" s="155" t="s">
        <v>698</v>
      </c>
      <c r="E43" s="155" t="s">
        <v>699</v>
      </c>
      <c r="F43" s="155" t="s">
        <v>238</v>
      </c>
      <c r="G43" s="157">
        <v>19</v>
      </c>
      <c r="H43" s="157" t="s">
        <v>89</v>
      </c>
      <c r="I43" s="157"/>
      <c r="J43" s="160">
        <v>40000</v>
      </c>
      <c r="K43" s="157"/>
      <c r="L43" s="157" t="s">
        <v>90</v>
      </c>
      <c r="M43" s="157" t="s">
        <v>275</v>
      </c>
      <c r="N43" s="155" t="s">
        <v>63</v>
      </c>
      <c r="O43" s="158">
        <v>25632</v>
      </c>
      <c r="P43" s="157" t="s">
        <v>91</v>
      </c>
      <c r="Q43" s="155" t="s">
        <v>126</v>
      </c>
      <c r="R43" s="155">
        <v>3017603699</v>
      </c>
      <c r="S43" s="155" t="s">
        <v>700</v>
      </c>
      <c r="T43" s="124" t="str">
        <f>IF(N43=CURSOS!$D$3,"DIPLOMADO EN ATENCION PRE-HOSPITALARIA",IF(N43=CURSOS!$D$4,"ACOMPAÑAMIENTO Y MANEJO DEL DUELO",IF(N43=CURSOS!$D$5,"ATENCION A VICTIMAS DE ATAQUE CON AGENTES QUIMICOS ",IF(N43=CURSOS!$D$6,"PRIMEROS AUXILIOS ",IF(N43=CURSOS!$D$7,"DIPLOMADO DE UNIDAD DE CUIDADOS INTENSIVOS (UCI)",IF(N43=CURSOS!$D$8,"MODELO DE ATENCION PARA EVENTOS EMERGENTES EN SALUD MENTAL (CODIGO VERDE)",IF(N43=CURSOS!$D$9,"HUMANIZACION EN EL SERVICIO DE LA SALUD Y BUENAS PRACTICAS EN PACIENTE ",IF(N43=CURSOS!$D$10,"CLINICA DE HERIDAS ",IF(N43=CURSOS!$D$11,"TOMA DE CITOLOGIA CERVICO VAGINAL ",IF(N43=CURSOS!$D$12,"SOPORTE CARDIOVASCULAR AVANZADO (ACLS) ",IF(N43=CURSOS!$D$13,"CAMILLERO ",IF(N43=CURSOS!$D$14,"TOMA DE MUESTRAS Y LABORATORIO ",IF(N43=CURSOS!$D$15,"SOPORTE VITAL BASICO (BLS)",IF(N43=CURSOS!$D$16,"ATENCION A VICTIMAS DE VIOLENCIA SEXUAL ",IF(N43=CURSOS!$D$17,"PROGRAMADO AMPLIADO DE INMUNIZACION (PAI - COVID 19)",IF(N43=CURSOS!$D$18,"ATENCION INTEGRAL EN ENFERMEDADES PREVALENTES EN PRIMERA INFANCIA (AIEPI)",IF(N43=CURSOS!$D$19,"ADMINISTRACION DE MEDICAMENTOS, INYECTOLOGIA  Y CANALIZACION ",IF(N43=CURSOS!$D$20,"OPERADOR DE VEHICULOS DE EMERGENCIA (OVE)",IF(N43=CURSOS!$D$21,"INSTITUCIONES AMIGAS DE LA MUJER Y LA INFANCIA (IAMI)",IF(N43=CURSOS!$D$22,"CUIDADO DEL DONANTE DE ORGANOS",IF(N43=CURSOS!$D$23,"ATENCION A VICTIMAS POR VIOLENCIA DE GENERO",IF(N43=CURSOS!$D$24,"IGUALDAD DE GENERO EN LA SALUD",IF(N43=CURSOS!$D$25,"BRIGADA DE EMERGENCIA",IF(N43=CURSOS!$D$26,"MANEJO DEL DOLOR Y CUIDADOS PALIATIVOS",IF(N43=CURSOS!$D$27,"TOMA DE MUESTRAS Y LABORATORIO POCT",IF(N43=CURSOS!$D$28,"IMPLANTE SUBDERMICO DE DISPOSITIVO INTRAUTERINO",IF(N43=CURSOS!$D$29,"SALUD MENTAL",IF(N43=CURSOS!$D$30,"PRIMEROS AUXILIOS PSICOLOGICOS",IF(N43=CURSOS!$D$31,"ATENCION A VICTIMAS POR CONFLICTO ARMADO",IF(N43=CURSOS!$D$32,"MANIPULACION DE ALIMENTOS Y BPM",IF(N43=CURSOS!$D$33,"ATENCION A PERSONAS CON DISCAPACIDAD",IF(N43=CURSOS!$D$34,"CUIDADO INTEGRAL DEL PACIENTE ADULTO",IF(N43=CURSOS!$D$35,"MANEJO DEFENSIVO",IF(N43=CURSOS!$D$36,"SOPORTE CARDIOVASCULAR AVANZADO NEONATAL"))))))))))))))))))))))))))))))))))</f>
        <v>TOMA DE MUESTRAS Y LABORATORIO POCT</v>
      </c>
      <c r="U43" s="124" t="str">
        <f t="shared" si="6"/>
        <v>Silvio Fernando Mora Riascos</v>
      </c>
      <c r="V43" s="124" t="str">
        <f t="shared" si="7"/>
        <v>Silvio Fernando Mora Riascos</v>
      </c>
      <c r="W43" s="138" t="str">
        <f t="shared" si="8"/>
        <v>Silvio Fernando Mora Riascos-12997519-POCT</v>
      </c>
    </row>
    <row r="44" spans="1:23" x14ac:dyDescent="0.2">
      <c r="A44" s="42">
        <v>43</v>
      </c>
      <c r="B44" s="155">
        <v>59821369</v>
      </c>
      <c r="C44" s="155" t="s">
        <v>707</v>
      </c>
      <c r="D44" s="155" t="s">
        <v>385</v>
      </c>
      <c r="E44" s="155" t="s">
        <v>708</v>
      </c>
      <c r="F44" s="155" t="s">
        <v>154</v>
      </c>
      <c r="G44" s="157">
        <v>19</v>
      </c>
      <c r="H44" s="157" t="s">
        <v>89</v>
      </c>
      <c r="I44" s="157"/>
      <c r="J44" s="164">
        <v>40000</v>
      </c>
      <c r="K44" s="157"/>
      <c r="L44" s="157" t="s">
        <v>90</v>
      </c>
      <c r="M44" s="157" t="s">
        <v>275</v>
      </c>
      <c r="N44" s="155" t="s">
        <v>63</v>
      </c>
      <c r="O44" s="158">
        <v>26335</v>
      </c>
      <c r="P44" s="157" t="s">
        <v>101</v>
      </c>
      <c r="Q44" s="155" t="s">
        <v>126</v>
      </c>
      <c r="R44" s="155">
        <v>3185460166</v>
      </c>
      <c r="S44" s="155" t="s">
        <v>776</v>
      </c>
      <c r="T44" s="124" t="str">
        <f>IF(N44=CURSOS!$D$3,"DIPLOMADO EN ATENCION PRE-HOSPITALARIA",IF(N44=CURSOS!$D$4,"ACOMPAÑAMIENTO Y MANEJO DEL DUELO",IF(N44=CURSOS!$D$5,"ATENCION A VICTIMAS DE ATAQUE CON AGENTES QUIMICOS ",IF(N44=CURSOS!$D$6,"PRIMEROS AUXILIOS ",IF(N44=CURSOS!$D$7,"DIPLOMADO DE UNIDAD DE CUIDADOS INTENSIVOS (UCI)",IF(N44=CURSOS!$D$8,"MODELO DE ATENCION PARA EVENTOS EMERGENTES EN SALUD MENTAL (CODIGO VERDE)",IF(N44=CURSOS!$D$9,"HUMANIZACION EN EL SERVICIO DE LA SALUD Y BUENAS PRACTICAS EN PACIENTE ",IF(N44=CURSOS!$D$10,"CLINICA DE HERIDAS ",IF(N44=CURSOS!$D$11,"TOMA DE CITOLOGIA CERVICO VAGINAL ",IF(N44=CURSOS!$D$12,"SOPORTE CARDIOVASCULAR AVANZADO (ACLS) ",IF(N44=CURSOS!$D$13,"CAMILLERO ",IF(N44=CURSOS!$D$14,"TOMA DE MUESTRAS Y LABORATORIO ",IF(N44=CURSOS!$D$15,"SOPORTE VITAL BASICO (BLS)",IF(N44=CURSOS!$D$16,"ATENCION A VICTIMAS DE VIOLENCIA SEXUAL ",IF(N44=CURSOS!$D$17,"PROGRAMADO AMPLIADO DE INMUNIZACION (PAI - COVID 19)",IF(N44=CURSOS!$D$18,"ATENCION INTEGRAL EN ENFERMEDADES PREVALENTES EN PRIMERA INFANCIA (AIEPI)",IF(N44=CURSOS!$D$19,"ADMINISTRACION DE MEDICAMENTOS, INYECTOLOGIA  Y CANALIZACION ",IF(N44=CURSOS!$D$20,"OPERADOR DE VEHICULOS DE EMERGENCIA (OVE)",IF(N44=CURSOS!$D$21,"INSTITUCIONES AMIGAS DE LA MUJER Y LA INFANCIA (IAMI)",IF(N44=CURSOS!$D$22,"CUIDADO DEL DONANTE DE ORGANOS",IF(N44=CURSOS!$D$23,"ATENCION A VICTIMAS POR VIOLENCIA DE GENERO",IF(N44=CURSOS!$D$24,"IGUALDAD DE GENERO EN LA SALUD",IF(N44=CURSOS!$D$25,"BRIGADA DE EMERGENCIA",IF(N44=CURSOS!$D$26,"MANEJO DEL DOLOR Y CUIDADOS PALIATIVOS",IF(N44=CURSOS!$D$27,"TOMA DE MUESTRAS Y LABORATORIO POCT",IF(N44=CURSOS!$D$28,"IMPLANTE SUBDERMICO DE DISPOSITIVO INTRAUTERINO",IF(N44=CURSOS!$D$29,"SALUD MENTAL",IF(N44=CURSOS!$D$30,"PRIMEROS AUXILIOS PSICOLOGICOS",IF(N44=CURSOS!$D$31,"ATENCION A VICTIMAS POR CONFLICTO ARMADO",IF(N44=CURSOS!$D$32,"MANIPULACION DE ALIMENTOS Y BPM",IF(N44=CURSOS!$D$33,"ATENCION A PERSONAS CON DISCAPACIDAD",IF(N44=CURSOS!$D$34,"CUIDADO INTEGRAL DEL PACIENTE ADULTO",IF(N44=CURSOS!$D$35,"MANEJO DEFENSIVO",IF(N44=CURSOS!$D$36,"SOPORTE CARDIOVASCULAR AVANZADO NEONATAL"))))))))))))))))))))))))))))))))))</f>
        <v>TOMA DE MUESTRAS Y LABORATORIO POCT</v>
      </c>
      <c r="U44" s="124" t="str">
        <f t="shared" si="6"/>
        <v>Emilce  Patricia Ramos  Chapal</v>
      </c>
      <c r="V44" s="124" t="str">
        <f t="shared" si="7"/>
        <v>Emilce  Patricia Ramos  Chapal</v>
      </c>
      <c r="W44" s="138" t="str">
        <f t="shared" si="8"/>
        <v>Emilce  Patricia Ramos  Chapal-59821369-POCT</v>
      </c>
    </row>
    <row r="45" spans="1:23" x14ac:dyDescent="0.2">
      <c r="A45" s="42">
        <v>44</v>
      </c>
      <c r="B45" s="155">
        <v>27082504</v>
      </c>
      <c r="C45" s="155" t="s">
        <v>709</v>
      </c>
      <c r="D45" s="155" t="s">
        <v>710</v>
      </c>
      <c r="E45" s="155" t="s">
        <v>711</v>
      </c>
      <c r="F45" s="155" t="s">
        <v>712</v>
      </c>
      <c r="G45" s="157">
        <v>19</v>
      </c>
      <c r="H45" s="157" t="s">
        <v>89</v>
      </c>
      <c r="I45" s="157"/>
      <c r="J45" s="160">
        <v>40000</v>
      </c>
      <c r="K45" s="157"/>
      <c r="L45" s="157" t="s">
        <v>90</v>
      </c>
      <c r="M45" s="157" t="s">
        <v>275</v>
      </c>
      <c r="N45" s="155" t="s">
        <v>63</v>
      </c>
      <c r="O45" s="158">
        <v>28492</v>
      </c>
      <c r="P45" s="157" t="s">
        <v>101</v>
      </c>
      <c r="Q45" s="155" t="s">
        <v>126</v>
      </c>
      <c r="R45" s="155">
        <v>3185696188</v>
      </c>
      <c r="S45" s="155" t="s">
        <v>777</v>
      </c>
      <c r="T45" s="124" t="str">
        <f>IF(N45=CURSOS!$D$3,"DIPLOMADO EN ATENCION PRE-HOSPITALARIA",IF(N45=CURSOS!$D$4,"ACOMPAÑAMIENTO Y MANEJO DEL DUELO",IF(N45=CURSOS!$D$5,"ATENCION A VICTIMAS DE ATAQUE CON AGENTES QUIMICOS ",IF(N45=CURSOS!$D$6,"PRIMEROS AUXILIOS ",IF(N45=CURSOS!$D$7,"DIPLOMADO DE UNIDAD DE CUIDADOS INTENSIVOS (UCI)",IF(N45=CURSOS!$D$8,"MODELO DE ATENCION PARA EVENTOS EMERGENTES EN SALUD MENTAL (CODIGO VERDE)",IF(N45=CURSOS!$D$9,"HUMANIZACION EN EL SERVICIO DE LA SALUD Y BUENAS PRACTICAS EN PACIENTE ",IF(N45=CURSOS!$D$10,"CLINICA DE HERIDAS ",IF(N45=CURSOS!$D$11,"TOMA DE CITOLOGIA CERVICO VAGINAL ",IF(N45=CURSOS!$D$12,"SOPORTE CARDIOVASCULAR AVANZADO (ACLS) ",IF(N45=CURSOS!$D$13,"CAMILLERO ",IF(N45=CURSOS!$D$14,"TOMA DE MUESTRAS Y LABORATORIO ",IF(N45=CURSOS!$D$15,"SOPORTE VITAL BASICO (BLS)",IF(N45=CURSOS!$D$16,"ATENCION A VICTIMAS DE VIOLENCIA SEXUAL ",IF(N45=CURSOS!$D$17,"PROGRAMADO AMPLIADO DE INMUNIZACION (PAI - COVID 19)",IF(N45=CURSOS!$D$18,"ATENCION INTEGRAL EN ENFERMEDADES PREVALENTES EN PRIMERA INFANCIA (AIEPI)",IF(N45=CURSOS!$D$19,"ADMINISTRACION DE MEDICAMENTOS, INYECTOLOGIA  Y CANALIZACION ",IF(N45=CURSOS!$D$20,"OPERADOR DE VEHICULOS DE EMERGENCIA (OVE)",IF(N45=CURSOS!$D$21,"INSTITUCIONES AMIGAS DE LA MUJER Y LA INFANCIA (IAMI)",IF(N45=CURSOS!$D$22,"CUIDADO DEL DONANTE DE ORGANOS",IF(N45=CURSOS!$D$23,"ATENCION A VICTIMAS POR VIOLENCIA DE GENERO",IF(N45=CURSOS!$D$24,"IGUALDAD DE GENERO EN LA SALUD",IF(N45=CURSOS!$D$25,"BRIGADA DE EMERGENCIA",IF(N45=CURSOS!$D$26,"MANEJO DEL DOLOR Y CUIDADOS PALIATIVOS",IF(N45=CURSOS!$D$27,"TOMA DE MUESTRAS Y LABORATORIO POCT",IF(N45=CURSOS!$D$28,"IMPLANTE SUBDERMICO DE DISPOSITIVO INTRAUTERINO",IF(N45=CURSOS!$D$29,"SALUD MENTAL",IF(N45=CURSOS!$D$30,"PRIMEROS AUXILIOS PSICOLOGICOS",IF(N45=CURSOS!$D$31,"ATENCION A VICTIMAS POR CONFLICTO ARMADO",IF(N45=CURSOS!$D$32,"MANIPULACION DE ALIMENTOS Y BPM",IF(N45=CURSOS!$D$33,"ATENCION A PERSONAS CON DISCAPACIDAD",IF(N45=CURSOS!$D$34,"CUIDADO INTEGRAL DEL PACIENTE ADULTO",IF(N45=CURSOS!$D$35,"MANEJO DEFENSIVO",IF(N45=CURSOS!$D$36,"SOPORTE CARDIOVASCULAR AVANZADO NEONATAL"))))))))))))))))))))))))))))))))))</f>
        <v>TOMA DE MUESTRAS Y LABORATORIO POCT</v>
      </c>
      <c r="U45" s="124" t="str">
        <f t="shared" si="6"/>
        <v>DEYSY  CECILIA  GUERRERO  CHAPAL</v>
      </c>
      <c r="V45" s="124" t="str">
        <f t="shared" si="7"/>
        <v>Deysy  Cecilia  Guerrero  Chapal</v>
      </c>
      <c r="W45" s="138" t="str">
        <f t="shared" si="8"/>
        <v>DEYSY  CECILIA  GUERRERO  CHAPAL-27082504-POCT</v>
      </c>
    </row>
    <row r="46" spans="1:23" x14ac:dyDescent="0.2">
      <c r="A46" s="42">
        <v>45</v>
      </c>
      <c r="B46" s="155">
        <v>59314462</v>
      </c>
      <c r="C46" s="155" t="s">
        <v>714</v>
      </c>
      <c r="D46" s="155" t="s">
        <v>715</v>
      </c>
      <c r="E46" s="155" t="s">
        <v>716</v>
      </c>
      <c r="F46" s="155" t="s">
        <v>717</v>
      </c>
      <c r="G46" s="157">
        <v>19</v>
      </c>
      <c r="H46" s="157" t="s">
        <v>89</v>
      </c>
      <c r="I46" s="157"/>
      <c r="J46" s="160">
        <v>40000</v>
      </c>
      <c r="K46" s="157"/>
      <c r="L46" s="157" t="s">
        <v>90</v>
      </c>
      <c r="M46" s="157" t="s">
        <v>275</v>
      </c>
      <c r="N46" s="155" t="s">
        <v>63</v>
      </c>
      <c r="O46" s="158">
        <v>30996</v>
      </c>
      <c r="P46" s="157" t="s">
        <v>101</v>
      </c>
      <c r="Q46" s="155" t="s">
        <v>126</v>
      </c>
      <c r="R46" s="155">
        <v>3175095899</v>
      </c>
      <c r="S46" s="155" t="s">
        <v>778</v>
      </c>
      <c r="T46" s="124" t="str">
        <f>IF(N46=CURSOS!$D$3,"DIPLOMADO EN ATENCION PRE-HOSPITALARIA",IF(N46=CURSOS!$D$4,"ACOMPAÑAMIENTO Y MANEJO DEL DUELO",IF(N46=CURSOS!$D$5,"ATENCION A VICTIMAS DE ATAQUE CON AGENTES QUIMICOS ",IF(N46=CURSOS!$D$6,"PRIMEROS AUXILIOS ",IF(N46=CURSOS!$D$7,"DIPLOMADO DE UNIDAD DE CUIDADOS INTENSIVOS (UCI)",IF(N46=CURSOS!$D$8,"MODELO DE ATENCION PARA EVENTOS EMERGENTES EN SALUD MENTAL (CODIGO VERDE)",IF(N46=CURSOS!$D$9,"HUMANIZACION EN EL SERVICIO DE LA SALUD Y BUENAS PRACTICAS EN PACIENTE ",IF(N46=CURSOS!$D$10,"CLINICA DE HERIDAS ",IF(N46=CURSOS!$D$11,"TOMA DE CITOLOGIA CERVICO VAGINAL ",IF(N46=CURSOS!$D$12,"SOPORTE CARDIOVASCULAR AVANZADO (ACLS) ",IF(N46=CURSOS!$D$13,"CAMILLERO ",IF(N46=CURSOS!$D$14,"TOMA DE MUESTRAS Y LABORATORIO ",IF(N46=CURSOS!$D$15,"SOPORTE VITAL BASICO (BLS)",IF(N46=CURSOS!$D$16,"ATENCION A VICTIMAS DE VIOLENCIA SEXUAL ",IF(N46=CURSOS!$D$17,"PROGRAMADO AMPLIADO DE INMUNIZACION (PAI - COVID 19)",IF(N46=CURSOS!$D$18,"ATENCION INTEGRAL EN ENFERMEDADES PREVALENTES EN PRIMERA INFANCIA (AIEPI)",IF(N46=CURSOS!$D$19,"ADMINISTRACION DE MEDICAMENTOS, INYECTOLOGIA  Y CANALIZACION ",IF(N46=CURSOS!$D$20,"OPERADOR DE VEHICULOS DE EMERGENCIA (OVE)",IF(N46=CURSOS!$D$21,"INSTITUCIONES AMIGAS DE LA MUJER Y LA INFANCIA (IAMI)",IF(N46=CURSOS!$D$22,"CUIDADO DEL DONANTE DE ORGANOS",IF(N46=CURSOS!$D$23,"ATENCION A VICTIMAS POR VIOLENCIA DE GENERO",IF(N46=CURSOS!$D$24,"IGUALDAD DE GENERO EN LA SALUD",IF(N46=CURSOS!$D$25,"BRIGADA DE EMERGENCIA",IF(N46=CURSOS!$D$26,"MANEJO DEL DOLOR Y CUIDADOS PALIATIVOS",IF(N46=CURSOS!$D$27,"TOMA DE MUESTRAS Y LABORATORIO POCT",IF(N46=CURSOS!$D$28,"IMPLANTE SUBDERMICO DE DISPOSITIVO INTRAUTERINO",IF(N46=CURSOS!$D$29,"SALUD MENTAL",IF(N46=CURSOS!$D$30,"PRIMEROS AUXILIOS PSICOLOGICOS",IF(N46=CURSOS!$D$31,"ATENCION A VICTIMAS POR CONFLICTO ARMADO",IF(N46=CURSOS!$D$32,"MANIPULACION DE ALIMENTOS Y BPM",IF(N46=CURSOS!$D$33,"ATENCION A PERSONAS CON DISCAPACIDAD",IF(N46=CURSOS!$D$34,"CUIDADO INTEGRAL DEL PACIENTE ADULTO",IF(N46=CURSOS!$D$35,"MANEJO DEFENSIVO",IF(N46=CURSOS!$D$36,"SOPORTE CARDIOVASCULAR AVANZADO NEONATAL"))))))))))))))))))))))))))))))))))</f>
        <v>TOMA DE MUESTRAS Y LABORATORIO POCT</v>
      </c>
      <c r="U46" s="124" t="str">
        <f t="shared" si="6"/>
        <v>Ayda  luz  timaran  lopez</v>
      </c>
      <c r="V46" s="124" t="str">
        <f t="shared" si="7"/>
        <v>Ayda  Luz  Timaran  Lopez</v>
      </c>
      <c r="W46" s="138" t="str">
        <f t="shared" si="8"/>
        <v>Ayda  luz  timaran  lopez-59314462-POCT</v>
      </c>
    </row>
    <row r="47" spans="1:23" x14ac:dyDescent="0.2">
      <c r="A47" s="42">
        <v>46</v>
      </c>
      <c r="B47" s="155">
        <v>1085300500</v>
      </c>
      <c r="C47" s="155" t="s">
        <v>718</v>
      </c>
      <c r="D47" s="155" t="s">
        <v>719</v>
      </c>
      <c r="E47" s="155" t="s">
        <v>720</v>
      </c>
      <c r="F47" s="155" t="s">
        <v>721</v>
      </c>
      <c r="G47" s="157">
        <v>19</v>
      </c>
      <c r="H47" s="157" t="s">
        <v>89</v>
      </c>
      <c r="I47" s="157"/>
      <c r="J47" s="164">
        <v>40000</v>
      </c>
      <c r="K47" s="157"/>
      <c r="L47" s="157" t="s">
        <v>90</v>
      </c>
      <c r="M47" s="157" t="s">
        <v>275</v>
      </c>
      <c r="N47" s="155" t="s">
        <v>63</v>
      </c>
      <c r="O47" s="158">
        <v>33892</v>
      </c>
      <c r="P47" s="157" t="s">
        <v>101</v>
      </c>
      <c r="Q47" s="155" t="s">
        <v>328</v>
      </c>
      <c r="R47" s="155">
        <v>3164214364</v>
      </c>
      <c r="S47" s="155" t="s">
        <v>779</v>
      </c>
      <c r="T47" s="124" t="str">
        <f>IF(N47=CURSOS!$D$3,"DIPLOMADO EN ATENCION PRE-HOSPITALARIA",IF(N47=CURSOS!$D$4,"ACOMPAÑAMIENTO Y MANEJO DEL DUELO",IF(N47=CURSOS!$D$5,"ATENCION A VICTIMAS DE ATAQUE CON AGENTES QUIMICOS ",IF(N47=CURSOS!$D$6,"PRIMEROS AUXILIOS ",IF(N47=CURSOS!$D$7,"DIPLOMADO DE UNIDAD DE CUIDADOS INTENSIVOS (UCI)",IF(N47=CURSOS!$D$8,"MODELO DE ATENCION PARA EVENTOS EMERGENTES EN SALUD MENTAL (CODIGO VERDE)",IF(N47=CURSOS!$D$9,"HUMANIZACION EN EL SERVICIO DE LA SALUD Y BUENAS PRACTICAS EN PACIENTE ",IF(N47=CURSOS!$D$10,"CLINICA DE HERIDAS ",IF(N47=CURSOS!$D$11,"TOMA DE CITOLOGIA CERVICO VAGINAL ",IF(N47=CURSOS!$D$12,"SOPORTE CARDIOVASCULAR AVANZADO (ACLS) ",IF(N47=CURSOS!$D$13,"CAMILLERO ",IF(N47=CURSOS!$D$14,"TOMA DE MUESTRAS Y LABORATORIO ",IF(N47=CURSOS!$D$15,"SOPORTE VITAL BASICO (BLS)",IF(N47=CURSOS!$D$16,"ATENCION A VICTIMAS DE VIOLENCIA SEXUAL ",IF(N47=CURSOS!$D$17,"PROGRAMADO AMPLIADO DE INMUNIZACION (PAI - COVID 19)",IF(N47=CURSOS!$D$18,"ATENCION INTEGRAL EN ENFERMEDADES PREVALENTES EN PRIMERA INFANCIA (AIEPI)",IF(N47=CURSOS!$D$19,"ADMINISTRACION DE MEDICAMENTOS, INYECTOLOGIA  Y CANALIZACION ",IF(N47=CURSOS!$D$20,"OPERADOR DE VEHICULOS DE EMERGENCIA (OVE)",IF(N47=CURSOS!$D$21,"INSTITUCIONES AMIGAS DE LA MUJER Y LA INFANCIA (IAMI)",IF(N47=CURSOS!$D$22,"CUIDADO DEL DONANTE DE ORGANOS",IF(N47=CURSOS!$D$23,"ATENCION A VICTIMAS POR VIOLENCIA DE GENERO",IF(N47=CURSOS!$D$24,"IGUALDAD DE GENERO EN LA SALUD",IF(N47=CURSOS!$D$25,"BRIGADA DE EMERGENCIA",IF(N47=CURSOS!$D$26,"MANEJO DEL DOLOR Y CUIDADOS PALIATIVOS",IF(N47=CURSOS!$D$27,"TOMA DE MUESTRAS Y LABORATORIO POCT",IF(N47=CURSOS!$D$28,"IMPLANTE SUBDERMICO DE DISPOSITIVO INTRAUTERINO",IF(N47=CURSOS!$D$29,"SALUD MENTAL",IF(N47=CURSOS!$D$30,"PRIMEROS AUXILIOS PSICOLOGICOS",IF(N47=CURSOS!$D$31,"ATENCION A VICTIMAS POR CONFLICTO ARMADO",IF(N47=CURSOS!$D$32,"MANIPULACION DE ALIMENTOS Y BPM",IF(N47=CURSOS!$D$33,"ATENCION A PERSONAS CON DISCAPACIDAD",IF(N47=CURSOS!$D$34,"CUIDADO INTEGRAL DEL PACIENTE ADULTO",IF(N47=CURSOS!$D$35,"MANEJO DEFENSIVO",IF(N47=CURSOS!$D$36,"SOPORTE CARDIOVASCULAR AVANZADO NEONATAL"))))))))))))))))))))))))))))))))))</f>
        <v>TOMA DE MUESTRAS Y LABORATORIO POCT</v>
      </c>
      <c r="U47" s="124" t="str">
        <f t="shared" si="6"/>
        <v>PAOLA  ANDREA DELGADO  TELLO</v>
      </c>
      <c r="V47" s="124" t="str">
        <f t="shared" si="7"/>
        <v>Paola  Andrea Delgado  Tello</v>
      </c>
      <c r="W47" s="138" t="str">
        <f t="shared" si="8"/>
        <v>PAOLA  ANDREA DELGADO  TELLO-1085300500-POCT</v>
      </c>
    </row>
    <row r="48" spans="1:23" x14ac:dyDescent="0.2">
      <c r="A48" s="42">
        <v>47</v>
      </c>
      <c r="B48" s="155">
        <v>59820736</v>
      </c>
      <c r="C48" s="155" t="s">
        <v>722</v>
      </c>
      <c r="D48" s="155" t="s">
        <v>723</v>
      </c>
      <c r="E48" s="155" t="s">
        <v>724</v>
      </c>
      <c r="F48" s="155" t="s">
        <v>588</v>
      </c>
      <c r="G48" s="157">
        <v>19</v>
      </c>
      <c r="H48" s="157" t="s">
        <v>89</v>
      </c>
      <c r="I48" s="157"/>
      <c r="J48" s="160">
        <v>40000</v>
      </c>
      <c r="K48" s="157"/>
      <c r="L48" s="157" t="s">
        <v>90</v>
      </c>
      <c r="M48" s="157" t="s">
        <v>275</v>
      </c>
      <c r="N48" s="155" t="s">
        <v>63</v>
      </c>
      <c r="O48" s="158">
        <v>26705</v>
      </c>
      <c r="P48" s="157" t="s">
        <v>101</v>
      </c>
      <c r="Q48" s="155" t="s">
        <v>126</v>
      </c>
      <c r="R48" s="155">
        <v>3187123713</v>
      </c>
      <c r="S48" s="155" t="s">
        <v>780</v>
      </c>
      <c r="T48" s="124" t="str">
        <f>IF(N48=CURSOS!$D$3,"DIPLOMADO EN ATENCION PRE-HOSPITALARIA",IF(N48=CURSOS!$D$4,"ACOMPAÑAMIENTO Y MANEJO DEL DUELO",IF(N48=CURSOS!$D$5,"ATENCION A VICTIMAS DE ATAQUE CON AGENTES QUIMICOS ",IF(N48=CURSOS!$D$6,"PRIMEROS AUXILIOS ",IF(N48=CURSOS!$D$7,"DIPLOMADO DE UNIDAD DE CUIDADOS INTENSIVOS (UCI)",IF(N48=CURSOS!$D$8,"MODELO DE ATENCION PARA EVENTOS EMERGENTES EN SALUD MENTAL (CODIGO VERDE)",IF(N48=CURSOS!$D$9,"HUMANIZACION EN EL SERVICIO DE LA SALUD Y BUENAS PRACTICAS EN PACIENTE ",IF(N48=CURSOS!$D$10,"CLINICA DE HERIDAS ",IF(N48=CURSOS!$D$11,"TOMA DE CITOLOGIA CERVICO VAGINAL ",IF(N48=CURSOS!$D$12,"SOPORTE CARDIOVASCULAR AVANZADO (ACLS) ",IF(N48=CURSOS!$D$13,"CAMILLERO ",IF(N48=CURSOS!$D$14,"TOMA DE MUESTRAS Y LABORATORIO ",IF(N48=CURSOS!$D$15,"SOPORTE VITAL BASICO (BLS)",IF(N48=CURSOS!$D$16,"ATENCION A VICTIMAS DE VIOLENCIA SEXUAL ",IF(N48=CURSOS!$D$17,"PROGRAMADO AMPLIADO DE INMUNIZACION (PAI - COVID 19)",IF(N48=CURSOS!$D$18,"ATENCION INTEGRAL EN ENFERMEDADES PREVALENTES EN PRIMERA INFANCIA (AIEPI)",IF(N48=CURSOS!$D$19,"ADMINISTRACION DE MEDICAMENTOS, INYECTOLOGIA  Y CANALIZACION ",IF(N48=CURSOS!$D$20,"OPERADOR DE VEHICULOS DE EMERGENCIA (OVE)",IF(N48=CURSOS!$D$21,"INSTITUCIONES AMIGAS DE LA MUJER Y LA INFANCIA (IAMI)",IF(N48=CURSOS!$D$22,"CUIDADO DEL DONANTE DE ORGANOS",IF(N48=CURSOS!$D$23,"ATENCION A VICTIMAS POR VIOLENCIA DE GENERO",IF(N48=CURSOS!$D$24,"IGUALDAD DE GENERO EN LA SALUD",IF(N48=CURSOS!$D$25,"BRIGADA DE EMERGENCIA",IF(N48=CURSOS!$D$26,"MANEJO DEL DOLOR Y CUIDADOS PALIATIVOS",IF(N48=CURSOS!$D$27,"TOMA DE MUESTRAS Y LABORATORIO POCT",IF(N48=CURSOS!$D$28,"IMPLANTE SUBDERMICO DE DISPOSITIVO INTRAUTERINO",IF(N48=CURSOS!$D$29,"SALUD MENTAL",IF(N48=CURSOS!$D$30,"PRIMEROS AUXILIOS PSICOLOGICOS",IF(N48=CURSOS!$D$31,"ATENCION A VICTIMAS POR CONFLICTO ARMADO",IF(N48=CURSOS!$D$32,"MANIPULACION DE ALIMENTOS Y BPM",IF(N48=CURSOS!$D$33,"ATENCION A PERSONAS CON DISCAPACIDAD",IF(N48=CURSOS!$D$34,"CUIDADO INTEGRAL DEL PACIENTE ADULTO",IF(N48=CURSOS!$D$35,"MANEJO DEFENSIVO",IF(N48=CURSOS!$D$36,"SOPORTE CARDIOVASCULAR AVANZADO NEONATAL"))))))))))))))))))))))))))))))))))</f>
        <v>TOMA DE MUESTRAS Y LABORATORIO POCT</v>
      </c>
      <c r="U48" s="124" t="str">
        <f t="shared" si="6"/>
        <v>Carmen  Alicia  Ibarra  leiva</v>
      </c>
      <c r="V48" s="124" t="str">
        <f t="shared" si="7"/>
        <v>Carmen  Alicia  Ibarra  Leiva</v>
      </c>
      <c r="W48" s="138" t="str">
        <f t="shared" si="8"/>
        <v>Carmen  Alicia  Ibarra  leiva-59820736-POCT</v>
      </c>
    </row>
    <row r="49" spans="1:23" x14ac:dyDescent="0.2">
      <c r="A49" s="42">
        <v>48</v>
      </c>
      <c r="B49" s="155">
        <v>59830738</v>
      </c>
      <c r="C49" s="155" t="s">
        <v>725</v>
      </c>
      <c r="D49" s="155" t="s">
        <v>93</v>
      </c>
      <c r="E49" s="155" t="s">
        <v>179</v>
      </c>
      <c r="F49" s="155" t="s">
        <v>327</v>
      </c>
      <c r="G49" s="157">
        <v>19</v>
      </c>
      <c r="H49" s="157" t="s">
        <v>89</v>
      </c>
      <c r="I49" s="157"/>
      <c r="J49" s="160">
        <v>40000</v>
      </c>
      <c r="K49" s="157"/>
      <c r="L49" s="157" t="s">
        <v>90</v>
      </c>
      <c r="M49" s="157" t="s">
        <v>275</v>
      </c>
      <c r="N49" s="155" t="s">
        <v>63</v>
      </c>
      <c r="O49" s="158">
        <v>27727</v>
      </c>
      <c r="P49" s="157" t="s">
        <v>101</v>
      </c>
      <c r="Q49" s="155" t="s">
        <v>126</v>
      </c>
      <c r="R49" s="155">
        <v>3192469764</v>
      </c>
      <c r="S49" s="155" t="s">
        <v>781</v>
      </c>
      <c r="T49" s="124" t="str">
        <f>IF(N49=CURSOS!$D$3,"DIPLOMADO EN ATENCION PRE-HOSPITALARIA",IF(N49=CURSOS!$D$4,"ACOMPAÑAMIENTO Y MANEJO DEL DUELO",IF(N49=CURSOS!$D$5,"ATENCION A VICTIMAS DE ATAQUE CON AGENTES QUIMICOS ",IF(N49=CURSOS!$D$6,"PRIMEROS AUXILIOS ",IF(N49=CURSOS!$D$7,"DIPLOMADO DE UNIDAD DE CUIDADOS INTENSIVOS (UCI)",IF(N49=CURSOS!$D$8,"MODELO DE ATENCION PARA EVENTOS EMERGENTES EN SALUD MENTAL (CODIGO VERDE)",IF(N49=CURSOS!$D$9,"HUMANIZACION EN EL SERVICIO DE LA SALUD Y BUENAS PRACTICAS EN PACIENTE ",IF(N49=CURSOS!$D$10,"CLINICA DE HERIDAS ",IF(N49=CURSOS!$D$11,"TOMA DE CITOLOGIA CERVICO VAGINAL ",IF(N49=CURSOS!$D$12,"SOPORTE CARDIOVASCULAR AVANZADO (ACLS) ",IF(N49=CURSOS!$D$13,"CAMILLERO ",IF(N49=CURSOS!$D$14,"TOMA DE MUESTRAS Y LABORATORIO ",IF(N49=CURSOS!$D$15,"SOPORTE VITAL BASICO (BLS)",IF(N49=CURSOS!$D$16,"ATENCION A VICTIMAS DE VIOLENCIA SEXUAL ",IF(N49=CURSOS!$D$17,"PROGRAMADO AMPLIADO DE INMUNIZACION (PAI - COVID 19)",IF(N49=CURSOS!$D$18,"ATENCION INTEGRAL EN ENFERMEDADES PREVALENTES EN PRIMERA INFANCIA (AIEPI)",IF(N49=CURSOS!$D$19,"ADMINISTRACION DE MEDICAMENTOS, INYECTOLOGIA  Y CANALIZACION ",IF(N49=CURSOS!$D$20,"OPERADOR DE VEHICULOS DE EMERGENCIA (OVE)",IF(N49=CURSOS!$D$21,"INSTITUCIONES AMIGAS DE LA MUJER Y LA INFANCIA (IAMI)",IF(N49=CURSOS!$D$22,"CUIDADO DEL DONANTE DE ORGANOS",IF(N49=CURSOS!$D$23,"ATENCION A VICTIMAS POR VIOLENCIA DE GENERO",IF(N49=CURSOS!$D$24,"IGUALDAD DE GENERO EN LA SALUD",IF(N49=CURSOS!$D$25,"BRIGADA DE EMERGENCIA",IF(N49=CURSOS!$D$26,"MANEJO DEL DOLOR Y CUIDADOS PALIATIVOS",IF(N49=CURSOS!$D$27,"TOMA DE MUESTRAS Y LABORATORIO POCT",IF(N49=CURSOS!$D$28,"IMPLANTE SUBDERMICO DE DISPOSITIVO INTRAUTERINO",IF(N49=CURSOS!$D$29,"SALUD MENTAL",IF(N49=CURSOS!$D$30,"PRIMEROS AUXILIOS PSICOLOGICOS",IF(N49=CURSOS!$D$31,"ATENCION A VICTIMAS POR CONFLICTO ARMADO",IF(N49=CURSOS!$D$32,"MANIPULACION DE ALIMENTOS Y BPM",IF(N49=CURSOS!$D$33,"ATENCION A PERSONAS CON DISCAPACIDAD",IF(N49=CURSOS!$D$34,"CUIDADO INTEGRAL DEL PACIENTE ADULTO",IF(N49=CURSOS!$D$35,"MANEJO DEFENSIVO",IF(N49=CURSOS!$D$36,"SOPORTE CARDIOVASCULAR AVANZADO NEONATAL"))))))))))))))))))))))))))))))))))</f>
        <v>TOMA DE MUESTRAS Y LABORATORIO POCT</v>
      </c>
      <c r="U49" s="124" t="str">
        <f t="shared" si="6"/>
        <v>Sandra Milena Solarte  Gustin</v>
      </c>
      <c r="V49" s="124" t="str">
        <f t="shared" si="7"/>
        <v>Sandra Milena Solarte  Gustin</v>
      </c>
      <c r="W49" s="138" t="str">
        <f t="shared" si="8"/>
        <v>Sandra Milena Solarte  Gustin-59830738-POCT</v>
      </c>
    </row>
    <row r="50" spans="1:23" x14ac:dyDescent="0.2">
      <c r="A50" s="42">
        <v>49</v>
      </c>
      <c r="B50" s="155">
        <v>98344179</v>
      </c>
      <c r="C50" s="155" t="s">
        <v>726</v>
      </c>
      <c r="D50" s="155" t="s">
        <v>315</v>
      </c>
      <c r="E50" s="155" t="s">
        <v>727</v>
      </c>
      <c r="F50" s="155" t="s">
        <v>728</v>
      </c>
      <c r="G50" s="157">
        <v>19</v>
      </c>
      <c r="H50" s="157" t="s">
        <v>89</v>
      </c>
      <c r="I50" s="157"/>
      <c r="J50" s="164">
        <v>40000</v>
      </c>
      <c r="K50" s="157"/>
      <c r="L50" s="157" t="s">
        <v>90</v>
      </c>
      <c r="M50" s="157" t="s">
        <v>275</v>
      </c>
      <c r="N50" s="155" t="s">
        <v>63</v>
      </c>
      <c r="O50" s="158">
        <v>27223</v>
      </c>
      <c r="P50" s="157" t="s">
        <v>91</v>
      </c>
      <c r="Q50" s="155" t="s">
        <v>126</v>
      </c>
      <c r="R50" s="155">
        <v>3104719404</v>
      </c>
      <c r="S50" s="155" t="s">
        <v>782</v>
      </c>
      <c r="T50" s="124" t="str">
        <f>IF(N50=CURSOS!$D$3,"DIPLOMADO EN ATENCION PRE-HOSPITALARIA",IF(N50=CURSOS!$D$4,"ACOMPAÑAMIENTO Y MANEJO DEL DUELO",IF(N50=CURSOS!$D$5,"ATENCION A VICTIMAS DE ATAQUE CON AGENTES QUIMICOS ",IF(N50=CURSOS!$D$6,"PRIMEROS AUXILIOS ",IF(N50=CURSOS!$D$7,"DIPLOMADO DE UNIDAD DE CUIDADOS INTENSIVOS (UCI)",IF(N50=CURSOS!$D$8,"MODELO DE ATENCION PARA EVENTOS EMERGENTES EN SALUD MENTAL (CODIGO VERDE)",IF(N50=CURSOS!$D$9,"HUMANIZACION EN EL SERVICIO DE LA SALUD Y BUENAS PRACTICAS EN PACIENTE ",IF(N50=CURSOS!$D$10,"CLINICA DE HERIDAS ",IF(N50=CURSOS!$D$11,"TOMA DE CITOLOGIA CERVICO VAGINAL ",IF(N50=CURSOS!$D$12,"SOPORTE CARDIOVASCULAR AVANZADO (ACLS) ",IF(N50=CURSOS!$D$13,"CAMILLERO ",IF(N50=CURSOS!$D$14,"TOMA DE MUESTRAS Y LABORATORIO ",IF(N50=CURSOS!$D$15,"SOPORTE VITAL BASICO (BLS)",IF(N50=CURSOS!$D$16,"ATENCION A VICTIMAS DE VIOLENCIA SEXUAL ",IF(N50=CURSOS!$D$17,"PROGRAMADO AMPLIADO DE INMUNIZACION (PAI - COVID 19)",IF(N50=CURSOS!$D$18,"ATENCION INTEGRAL EN ENFERMEDADES PREVALENTES EN PRIMERA INFANCIA (AIEPI)",IF(N50=CURSOS!$D$19,"ADMINISTRACION DE MEDICAMENTOS, INYECTOLOGIA  Y CANALIZACION ",IF(N50=CURSOS!$D$20,"OPERADOR DE VEHICULOS DE EMERGENCIA (OVE)",IF(N50=CURSOS!$D$21,"INSTITUCIONES AMIGAS DE LA MUJER Y LA INFANCIA (IAMI)",IF(N50=CURSOS!$D$22,"CUIDADO DEL DONANTE DE ORGANOS",IF(N50=CURSOS!$D$23,"ATENCION A VICTIMAS POR VIOLENCIA DE GENERO",IF(N50=CURSOS!$D$24,"IGUALDAD DE GENERO EN LA SALUD",IF(N50=CURSOS!$D$25,"BRIGADA DE EMERGENCIA",IF(N50=CURSOS!$D$26,"MANEJO DEL DOLOR Y CUIDADOS PALIATIVOS",IF(N50=CURSOS!$D$27,"TOMA DE MUESTRAS Y LABORATORIO POCT",IF(N50=CURSOS!$D$28,"IMPLANTE SUBDERMICO DE DISPOSITIVO INTRAUTERINO",IF(N50=CURSOS!$D$29,"SALUD MENTAL",IF(N50=CURSOS!$D$30,"PRIMEROS AUXILIOS PSICOLOGICOS",IF(N50=CURSOS!$D$31,"ATENCION A VICTIMAS POR CONFLICTO ARMADO",IF(N50=CURSOS!$D$32,"MANIPULACION DE ALIMENTOS Y BPM",IF(N50=CURSOS!$D$33,"ATENCION A PERSONAS CON DISCAPACIDAD",IF(N50=CURSOS!$D$34,"CUIDADO INTEGRAL DEL PACIENTE ADULTO",IF(N50=CURSOS!$D$35,"MANEJO DEFENSIVO",IF(N50=CURSOS!$D$36,"SOPORTE CARDIOVASCULAR AVANZADO NEONATAL"))))))))))))))))))))))))))))))))))</f>
        <v>TOMA DE MUESTRAS Y LABORATORIO POCT</v>
      </c>
      <c r="U50" s="124" t="str">
        <f t="shared" si="6"/>
        <v>Nelson  Yobanny  Benavides  Ibarra</v>
      </c>
      <c r="V50" s="124" t="str">
        <f t="shared" si="7"/>
        <v>Nelson  Yobanny  Benavides  Ibarra</v>
      </c>
      <c r="W50" s="138" t="str">
        <f t="shared" si="8"/>
        <v>Nelson  Yobanny  Benavides  Ibarra-98344179-POCT</v>
      </c>
    </row>
    <row r="51" spans="1:23" x14ac:dyDescent="0.2">
      <c r="A51" s="42">
        <v>50</v>
      </c>
      <c r="B51" s="155">
        <v>27232414</v>
      </c>
      <c r="C51" s="155" t="s">
        <v>729</v>
      </c>
      <c r="D51" s="155" t="s">
        <v>730</v>
      </c>
      <c r="E51" s="155" t="s">
        <v>731</v>
      </c>
      <c r="F51" s="155" t="s">
        <v>678</v>
      </c>
      <c r="G51" s="157">
        <v>19</v>
      </c>
      <c r="H51" s="157" t="s">
        <v>89</v>
      </c>
      <c r="I51" s="157"/>
      <c r="J51" s="160">
        <v>40000</v>
      </c>
      <c r="K51" s="157"/>
      <c r="L51" s="157" t="s">
        <v>90</v>
      </c>
      <c r="M51" s="157" t="s">
        <v>275</v>
      </c>
      <c r="N51" s="155" t="s">
        <v>63</v>
      </c>
      <c r="O51" s="158">
        <v>26493</v>
      </c>
      <c r="P51" s="157" t="s">
        <v>101</v>
      </c>
      <c r="Q51" s="155" t="s">
        <v>126</v>
      </c>
      <c r="R51" s="155">
        <v>3165202453</v>
      </c>
      <c r="S51" s="155" t="s">
        <v>783</v>
      </c>
      <c r="T51" s="124" t="str">
        <f>IF(N51=CURSOS!$D$3,"DIPLOMADO EN ATENCION PRE-HOSPITALARIA",IF(N51=CURSOS!$D$4,"ACOMPAÑAMIENTO Y MANEJO DEL DUELO",IF(N51=CURSOS!$D$5,"ATENCION A VICTIMAS DE ATAQUE CON AGENTES QUIMICOS ",IF(N51=CURSOS!$D$6,"PRIMEROS AUXILIOS ",IF(N51=CURSOS!$D$7,"DIPLOMADO DE UNIDAD DE CUIDADOS INTENSIVOS (UCI)",IF(N51=CURSOS!$D$8,"MODELO DE ATENCION PARA EVENTOS EMERGENTES EN SALUD MENTAL (CODIGO VERDE)",IF(N51=CURSOS!$D$9,"HUMANIZACION EN EL SERVICIO DE LA SALUD Y BUENAS PRACTICAS EN PACIENTE ",IF(N51=CURSOS!$D$10,"CLINICA DE HERIDAS ",IF(N51=CURSOS!$D$11,"TOMA DE CITOLOGIA CERVICO VAGINAL ",IF(N51=CURSOS!$D$12,"SOPORTE CARDIOVASCULAR AVANZADO (ACLS) ",IF(N51=CURSOS!$D$13,"CAMILLERO ",IF(N51=CURSOS!$D$14,"TOMA DE MUESTRAS Y LABORATORIO ",IF(N51=CURSOS!$D$15,"SOPORTE VITAL BASICO (BLS)",IF(N51=CURSOS!$D$16,"ATENCION A VICTIMAS DE VIOLENCIA SEXUAL ",IF(N51=CURSOS!$D$17,"PROGRAMADO AMPLIADO DE INMUNIZACION (PAI - COVID 19)",IF(N51=CURSOS!$D$18,"ATENCION INTEGRAL EN ENFERMEDADES PREVALENTES EN PRIMERA INFANCIA (AIEPI)",IF(N51=CURSOS!$D$19,"ADMINISTRACION DE MEDICAMENTOS, INYECTOLOGIA  Y CANALIZACION ",IF(N51=CURSOS!$D$20,"OPERADOR DE VEHICULOS DE EMERGENCIA (OVE)",IF(N51=CURSOS!$D$21,"INSTITUCIONES AMIGAS DE LA MUJER Y LA INFANCIA (IAMI)",IF(N51=CURSOS!$D$22,"CUIDADO DEL DONANTE DE ORGANOS",IF(N51=CURSOS!$D$23,"ATENCION A VICTIMAS POR VIOLENCIA DE GENERO",IF(N51=CURSOS!$D$24,"IGUALDAD DE GENERO EN LA SALUD",IF(N51=CURSOS!$D$25,"BRIGADA DE EMERGENCIA",IF(N51=CURSOS!$D$26,"MANEJO DEL DOLOR Y CUIDADOS PALIATIVOS",IF(N51=CURSOS!$D$27,"TOMA DE MUESTRAS Y LABORATORIO POCT",IF(N51=CURSOS!$D$28,"IMPLANTE SUBDERMICO DE DISPOSITIVO INTRAUTERINO",IF(N51=CURSOS!$D$29,"SALUD MENTAL",IF(N51=CURSOS!$D$30,"PRIMEROS AUXILIOS PSICOLOGICOS",IF(N51=CURSOS!$D$31,"ATENCION A VICTIMAS POR CONFLICTO ARMADO",IF(N51=CURSOS!$D$32,"MANIPULACION DE ALIMENTOS Y BPM",IF(N51=CURSOS!$D$33,"ATENCION A PERSONAS CON DISCAPACIDAD",IF(N51=CURSOS!$D$34,"CUIDADO INTEGRAL DEL PACIENTE ADULTO",IF(N51=CURSOS!$D$35,"MANEJO DEFENSIVO",IF(N51=CURSOS!$D$36,"SOPORTE CARDIOVASCULAR AVANZADO NEONATAL"))))))))))))))))))))))))))))))))))</f>
        <v>TOMA DE MUESTRAS Y LABORATORIO POCT</v>
      </c>
      <c r="U51" s="124" t="str">
        <f t="shared" si="6"/>
        <v>Mariela  del Rosario  Tello  Miño</v>
      </c>
      <c r="V51" s="124" t="str">
        <f t="shared" si="7"/>
        <v>Mariela  Del Rosario  Tello  Miño</v>
      </c>
      <c r="W51" s="138" t="str">
        <f t="shared" si="8"/>
        <v>Mariela  del Rosario  Tello  Miño-27232414-POCT</v>
      </c>
    </row>
    <row r="52" spans="1:23" ht="15.75" x14ac:dyDescent="0.25">
      <c r="A52" s="42">
        <v>51</v>
      </c>
      <c r="B52" s="155">
        <v>1061763475</v>
      </c>
      <c r="C52" s="155" t="s">
        <v>646</v>
      </c>
      <c r="D52" s="155" t="s">
        <v>647</v>
      </c>
      <c r="E52" s="155" t="s">
        <v>150</v>
      </c>
      <c r="F52" s="155" t="s">
        <v>112</v>
      </c>
      <c r="G52" s="157">
        <v>19</v>
      </c>
      <c r="H52" s="157" t="s">
        <v>89</v>
      </c>
      <c r="I52" s="156">
        <v>45491</v>
      </c>
      <c r="J52" s="200">
        <v>40000</v>
      </c>
      <c r="K52" s="201" t="s">
        <v>210</v>
      </c>
      <c r="L52" s="157" t="s">
        <v>90</v>
      </c>
      <c r="M52" s="157" t="s">
        <v>275</v>
      </c>
      <c r="N52" s="155" t="s">
        <v>63</v>
      </c>
      <c r="O52" s="158">
        <v>34266</v>
      </c>
      <c r="P52" s="157" t="s">
        <v>101</v>
      </c>
      <c r="Q52" s="155" t="s">
        <v>126</v>
      </c>
      <c r="R52" s="155">
        <v>3177524217</v>
      </c>
      <c r="S52" s="155" t="s">
        <v>648</v>
      </c>
      <c r="T52" s="124" t="str">
        <f>IF(N52=CURSOS!$D$3,"DIPLOMADO EN ATENCION PRE-HOSPITALARIA",IF(N52=CURSOS!$D$4,"ACOMPAÑAMIENTO Y MANEJO DEL DUELO",IF(N52=CURSOS!$D$5,"ATENCION A VICTIMAS DE ATAQUE CON AGENTES QUIMICOS ",IF(N52=CURSOS!$D$6,"PRIMEROS AUXILIOS ",IF(N52=CURSOS!$D$7,"DIPLOMADO DE UNIDAD DE CUIDADOS INTENSIVOS (UCI)",IF(N52=CURSOS!$D$8,"MODELO DE ATENCION PARA EVENTOS EMERGENTES EN SALUD MENTAL (CODIGO VERDE)",IF(N52=CURSOS!$D$9,"HUMANIZACION EN EL SERVICIO DE LA SALUD Y BUENAS PRACTICAS EN PACIENTE ",IF(N52=CURSOS!$D$10,"CLINICA DE HERIDAS ",IF(N52=CURSOS!$D$11,"TOMA DE CITOLOGIA CERVICO VAGINAL ",IF(N52=CURSOS!$D$12,"SOPORTE CARDIOVASCULAR AVANZADO (ACLS) ",IF(N52=CURSOS!$D$13,"CAMILLERO ",IF(N52=CURSOS!$D$14,"TOMA DE MUESTRAS Y LABORATORIO ",IF(N52=CURSOS!$D$15,"SOPORTE VITAL BASICO (BLS)",IF(N52=CURSOS!$D$16,"ATENCION A VICTIMAS DE VIOLENCIA SEXUAL ",IF(N52=CURSOS!$D$17,"PROGRAMADO AMPLIADO DE INMUNIZACION (PAI - COVID 19)",IF(N52=CURSOS!$D$18,"ATENCION INTEGRAL EN ENFERMEDADES PREVALENTES EN PRIMERA INFANCIA (AIEPI)",IF(N52=CURSOS!$D$19,"ADMINISTRACION DE MEDICAMENTOS, INYECTOLOGIA  Y CANALIZACION ",IF(N52=CURSOS!$D$20,"OPERADOR DE VEHICULOS DE EMERGENCIA (OVE)",IF(N52=CURSOS!$D$21,"INSTITUCIONES AMIGAS DE LA MUJER Y LA INFANCIA (IAMI)",IF(N52=CURSOS!$D$22,"CUIDADO DEL DONANTE DE ORGANOS",IF(N52=CURSOS!$D$23,"ATENCION A VICTIMAS POR VIOLENCIA DE GENERO",IF(N52=CURSOS!$D$24,"IGUALDAD DE GENERO EN LA SALUD",IF(N52=CURSOS!$D$25,"BRIGADA DE EMERGENCIA",IF(N52=CURSOS!$D$26,"MANEJO DEL DOLOR Y CUIDADOS PALIATIVOS",IF(N52=CURSOS!$D$27,"TOMA DE MUESTRAS Y LABORATORIO POCT",IF(N52=CURSOS!$D$28,"IMPLANTE SUBDERMICO DE DISPOSITIVO INTRAUTERINO",IF(N52=CURSOS!$D$29,"SALUD MENTAL",IF(N52=CURSOS!$D$30,"PRIMEROS AUXILIOS PSICOLOGICOS",IF(N52=CURSOS!$D$31,"ATENCION A VICTIMAS POR CONFLICTO ARMADO",IF(N52=CURSOS!$D$32,"MANIPULACION DE ALIMENTOS Y BPM",IF(N52=CURSOS!$D$33,"ATENCION A PERSONAS CON DISCAPACIDAD",IF(N52=CURSOS!$D$34,"CUIDADO INTEGRAL DEL PACIENTE ADULTO",IF(N52=CURSOS!$D$35,"MANEJO DEFENSIVO",IF(N52=CURSOS!$D$36,"SOPORTE CARDIOVASCULAR AVANZADO NEONATAL"))))))))))))))))))))))))))))))))))</f>
        <v>TOMA DE MUESTRAS Y LABORATORIO POCT</v>
      </c>
      <c r="U52" s="124" t="str">
        <f t="shared" si="6"/>
        <v>Yamile Fernanda Cupacan Chaves</v>
      </c>
      <c r="V52" s="124" t="str">
        <f t="shared" si="7"/>
        <v>Yamile Fernanda Cupacan Chaves</v>
      </c>
      <c r="W52" s="138" t="str">
        <f t="shared" si="8"/>
        <v>Yamile Fernanda Cupacan Chaves-1061763475-POCT</v>
      </c>
    </row>
    <row r="53" spans="1:23" ht="15.75" x14ac:dyDescent="0.25">
      <c r="A53" s="42">
        <v>52</v>
      </c>
      <c r="B53" s="155">
        <v>1085269104</v>
      </c>
      <c r="C53" s="155" t="s">
        <v>653</v>
      </c>
      <c r="D53" s="155" t="s">
        <v>389</v>
      </c>
      <c r="E53" s="155" t="s">
        <v>654</v>
      </c>
      <c r="F53" s="155"/>
      <c r="G53" s="157">
        <v>19</v>
      </c>
      <c r="H53" s="157" t="s">
        <v>89</v>
      </c>
      <c r="I53" s="156">
        <v>45491</v>
      </c>
      <c r="J53" s="200">
        <v>40000</v>
      </c>
      <c r="K53" s="201" t="s">
        <v>210</v>
      </c>
      <c r="L53" s="157" t="s">
        <v>90</v>
      </c>
      <c r="M53" s="157" t="s">
        <v>275</v>
      </c>
      <c r="N53" s="155" t="s">
        <v>63</v>
      </c>
      <c r="O53" s="158">
        <v>32415</v>
      </c>
      <c r="P53" s="157" t="s">
        <v>101</v>
      </c>
      <c r="Q53" s="155" t="s">
        <v>126</v>
      </c>
      <c r="R53" s="155">
        <v>3152788450</v>
      </c>
      <c r="S53" s="155" t="s">
        <v>655</v>
      </c>
      <c r="T53" s="124" t="str">
        <f>IF(N53=CURSOS!$D$3,"DIPLOMADO EN ATENCION PRE-HOSPITALARIA",IF(N53=CURSOS!$D$4,"ACOMPAÑAMIENTO Y MANEJO DEL DUELO",IF(N53=CURSOS!$D$5,"ATENCION A VICTIMAS DE ATAQUE CON AGENTES QUIMICOS ",IF(N53=CURSOS!$D$6,"PRIMEROS AUXILIOS ",IF(N53=CURSOS!$D$7,"DIPLOMADO DE UNIDAD DE CUIDADOS INTENSIVOS (UCI)",IF(N53=CURSOS!$D$8,"MODELO DE ATENCION PARA EVENTOS EMERGENTES EN SALUD MENTAL (CODIGO VERDE)",IF(N53=CURSOS!$D$9,"HUMANIZACION EN EL SERVICIO DE LA SALUD Y BUENAS PRACTICAS EN PACIENTE ",IF(N53=CURSOS!$D$10,"CLINICA DE HERIDAS ",IF(N53=CURSOS!$D$11,"TOMA DE CITOLOGIA CERVICO VAGINAL ",IF(N53=CURSOS!$D$12,"SOPORTE CARDIOVASCULAR AVANZADO (ACLS) ",IF(N53=CURSOS!$D$13,"CAMILLERO ",IF(N53=CURSOS!$D$14,"TOMA DE MUESTRAS Y LABORATORIO ",IF(N53=CURSOS!$D$15,"SOPORTE VITAL BASICO (BLS)",IF(N53=CURSOS!$D$16,"ATENCION A VICTIMAS DE VIOLENCIA SEXUAL ",IF(N53=CURSOS!$D$17,"PROGRAMADO AMPLIADO DE INMUNIZACION (PAI - COVID 19)",IF(N53=CURSOS!$D$18,"ATENCION INTEGRAL EN ENFERMEDADES PREVALENTES EN PRIMERA INFANCIA (AIEPI)",IF(N53=CURSOS!$D$19,"ADMINISTRACION DE MEDICAMENTOS, INYECTOLOGIA  Y CANALIZACION ",IF(N53=CURSOS!$D$20,"OPERADOR DE VEHICULOS DE EMERGENCIA (OVE)",IF(N53=CURSOS!$D$21,"INSTITUCIONES AMIGAS DE LA MUJER Y LA INFANCIA (IAMI)",IF(N53=CURSOS!$D$22,"CUIDADO DEL DONANTE DE ORGANOS",IF(N53=CURSOS!$D$23,"ATENCION A VICTIMAS POR VIOLENCIA DE GENERO",IF(N53=CURSOS!$D$24,"IGUALDAD DE GENERO EN LA SALUD",IF(N53=CURSOS!$D$25,"BRIGADA DE EMERGENCIA",IF(N53=CURSOS!$D$26,"MANEJO DEL DOLOR Y CUIDADOS PALIATIVOS",IF(N53=CURSOS!$D$27,"TOMA DE MUESTRAS Y LABORATORIO POCT",IF(N53=CURSOS!$D$28,"IMPLANTE SUBDERMICO DE DISPOSITIVO INTRAUTERINO",IF(N53=CURSOS!$D$29,"SALUD MENTAL",IF(N53=CURSOS!$D$30,"PRIMEROS AUXILIOS PSICOLOGICOS",IF(N53=CURSOS!$D$31,"ATENCION A VICTIMAS POR CONFLICTO ARMADO",IF(N53=CURSOS!$D$32,"MANIPULACION DE ALIMENTOS Y BPM",IF(N53=CURSOS!$D$33,"ATENCION A PERSONAS CON DISCAPACIDAD",IF(N53=CURSOS!$D$34,"CUIDADO INTEGRAL DEL PACIENTE ADULTO",IF(N53=CURSOS!$D$35,"MANEJO DEFENSIVO",IF(N53=CURSOS!$D$36,"SOPORTE CARDIOVASCULAR AVANZADO NEONATAL"))))))))))))))))))))))))))))))))))</f>
        <v>TOMA DE MUESTRAS Y LABORATORIO POCT</v>
      </c>
      <c r="U53" s="124" t="str">
        <f t="shared" si="6"/>
        <v>Deyanira  Linares Delgado</v>
      </c>
      <c r="V53" s="124" t="str">
        <f t="shared" si="7"/>
        <v>Deyanira  Linares Delgado</v>
      </c>
      <c r="W53" s="138" t="str">
        <f t="shared" si="8"/>
        <v>Deyanira  Linares Delgado-1085269104-POCT</v>
      </c>
    </row>
    <row r="54" spans="1:23" ht="15.75" x14ac:dyDescent="0.25">
      <c r="A54" s="42">
        <v>53</v>
      </c>
      <c r="B54" s="155">
        <v>59837431</v>
      </c>
      <c r="C54" s="155" t="s">
        <v>763</v>
      </c>
      <c r="D54" s="155" t="s">
        <v>764</v>
      </c>
      <c r="E54" s="155" t="s">
        <v>765</v>
      </c>
      <c r="F54" s="155" t="s">
        <v>766</v>
      </c>
      <c r="G54" s="157">
        <v>19</v>
      </c>
      <c r="H54" s="157" t="s">
        <v>89</v>
      </c>
      <c r="I54" s="156">
        <v>45497</v>
      </c>
      <c r="J54" s="200">
        <v>40000</v>
      </c>
      <c r="K54" s="201" t="s">
        <v>210</v>
      </c>
      <c r="L54" s="157" t="s">
        <v>90</v>
      </c>
      <c r="M54" s="157" t="s">
        <v>275</v>
      </c>
      <c r="N54" s="155" t="s">
        <v>63</v>
      </c>
      <c r="O54" s="158">
        <v>27979</v>
      </c>
      <c r="P54" s="157" t="s">
        <v>101</v>
      </c>
      <c r="Q54" s="155" t="s">
        <v>126</v>
      </c>
      <c r="R54" s="155">
        <v>3168726685</v>
      </c>
      <c r="S54" s="155" t="s">
        <v>767</v>
      </c>
      <c r="T54" s="124" t="str">
        <f>IF(N54=CURSOS!$D$3,"DIPLOMADO EN ATENCION PRE-HOSPITALARIA",IF(N54=CURSOS!$D$4,"ACOMPAÑAMIENTO Y MANEJO DEL DUELO",IF(N54=CURSOS!$D$5,"ATENCION A VICTIMAS DE ATAQUE CON AGENTES QUIMICOS ",IF(N54=CURSOS!$D$6,"PRIMEROS AUXILIOS ",IF(N54=CURSOS!$D$7,"DIPLOMADO DE UNIDAD DE CUIDADOS INTENSIVOS (UCI)",IF(N54=CURSOS!$D$8,"MODELO DE ATENCION PARA EVENTOS EMERGENTES EN SALUD MENTAL (CODIGO VERDE)",IF(N54=CURSOS!$D$9,"HUMANIZACION EN EL SERVICIO DE LA SALUD Y BUENAS PRACTICAS EN PACIENTE ",IF(N54=CURSOS!$D$10,"CLINICA DE HERIDAS ",IF(N54=CURSOS!$D$11,"TOMA DE CITOLOGIA CERVICO VAGINAL ",IF(N54=CURSOS!$D$12,"SOPORTE CARDIOVASCULAR AVANZADO (ACLS) ",IF(N54=CURSOS!$D$13,"CAMILLERO ",IF(N54=CURSOS!$D$14,"TOMA DE MUESTRAS Y LABORATORIO ",IF(N54=CURSOS!$D$15,"SOPORTE VITAL BASICO (BLS)",IF(N54=CURSOS!$D$16,"ATENCION A VICTIMAS DE VIOLENCIA SEXUAL ",IF(N54=CURSOS!$D$17,"PROGRAMADO AMPLIADO DE INMUNIZACION (PAI - COVID 19)",IF(N54=CURSOS!$D$18,"ATENCION INTEGRAL EN ENFERMEDADES PREVALENTES EN PRIMERA INFANCIA (AIEPI)",IF(N54=CURSOS!$D$19,"ADMINISTRACION DE MEDICAMENTOS, INYECTOLOGIA  Y CANALIZACION ",IF(N54=CURSOS!$D$20,"OPERADOR DE VEHICULOS DE EMERGENCIA (OVE)",IF(N54=CURSOS!$D$21,"INSTITUCIONES AMIGAS DE LA MUJER Y LA INFANCIA (IAMI)",IF(N54=CURSOS!$D$22,"CUIDADO DEL DONANTE DE ORGANOS",IF(N54=CURSOS!$D$23,"ATENCION A VICTIMAS POR VIOLENCIA DE GENERO",IF(N54=CURSOS!$D$24,"IGUALDAD DE GENERO EN LA SALUD",IF(N54=CURSOS!$D$25,"BRIGADA DE EMERGENCIA",IF(N54=CURSOS!$D$26,"MANEJO DEL DOLOR Y CUIDADOS PALIATIVOS",IF(N54=CURSOS!$D$27,"TOMA DE MUESTRAS Y LABORATORIO POCT",IF(N54=CURSOS!$D$28,"IMPLANTE SUBDERMICO DE DISPOSITIVO INTRAUTERINO",IF(N54=CURSOS!$D$29,"SALUD MENTAL",IF(N54=CURSOS!$D$30,"PRIMEROS AUXILIOS PSICOLOGICOS",IF(N54=CURSOS!$D$31,"ATENCION A VICTIMAS POR CONFLICTO ARMADO",IF(N54=CURSOS!$D$32,"MANIPULACION DE ALIMENTOS Y BPM",IF(N54=CURSOS!$D$33,"ATENCION A PERSONAS CON DISCAPACIDAD",IF(N54=CURSOS!$D$34,"CUIDADO INTEGRAL DEL PACIENTE ADULTO",IF(N54=CURSOS!$D$35,"MANEJO DEFENSIVO",IF(N54=CURSOS!$D$36,"SOPORTE CARDIOVASCULAR AVANZADO NEONATAL"))))))))))))))))))))))))))))))))))</f>
        <v>TOMA DE MUESTRAS Y LABORATORIO POCT</v>
      </c>
      <c r="U54" s="124" t="str">
        <f t="shared" si="6"/>
        <v>Lucy Dalia Beltrán Salas</v>
      </c>
      <c r="V54" s="124" t="str">
        <f t="shared" si="7"/>
        <v>Lucy Dalia Beltrán Salas</v>
      </c>
      <c r="W54" s="138" t="str">
        <f t="shared" si="8"/>
        <v>Lucy Dalia Beltrán Salas-59837431-POCT</v>
      </c>
    </row>
    <row r="55" spans="1:23" ht="15.75" x14ac:dyDescent="0.25">
      <c r="A55" s="42">
        <v>54</v>
      </c>
      <c r="B55" s="155">
        <v>1085281472</v>
      </c>
      <c r="C55" s="155" t="s">
        <v>600</v>
      </c>
      <c r="D55" s="155" t="s">
        <v>768</v>
      </c>
      <c r="E55" s="155" t="s">
        <v>482</v>
      </c>
      <c r="F55" s="155" t="s">
        <v>227</v>
      </c>
      <c r="G55" s="157">
        <v>19</v>
      </c>
      <c r="H55" s="157" t="s">
        <v>89</v>
      </c>
      <c r="I55" s="156">
        <v>45497</v>
      </c>
      <c r="J55" s="200">
        <v>40000</v>
      </c>
      <c r="K55" s="201" t="s">
        <v>210</v>
      </c>
      <c r="L55" s="157" t="s">
        <v>90</v>
      </c>
      <c r="M55" s="157" t="s">
        <v>275</v>
      </c>
      <c r="N55" s="155" t="s">
        <v>63</v>
      </c>
      <c r="O55" s="158">
        <v>32924</v>
      </c>
      <c r="P55" s="157" t="s">
        <v>101</v>
      </c>
      <c r="Q55" s="155" t="s">
        <v>126</v>
      </c>
      <c r="R55" s="155">
        <v>3153506693</v>
      </c>
      <c r="S55" s="155" t="s">
        <v>769</v>
      </c>
      <c r="T55" s="124" t="str">
        <f>IF(N55=CURSOS!$D$3,"DIPLOMADO EN ATENCION PRE-HOSPITALARIA",IF(N55=CURSOS!$D$4,"ACOMPAÑAMIENTO Y MANEJO DEL DUELO",IF(N55=CURSOS!$D$5,"ATENCION A VICTIMAS DE ATAQUE CON AGENTES QUIMICOS ",IF(N55=CURSOS!$D$6,"PRIMEROS AUXILIOS ",IF(N55=CURSOS!$D$7,"DIPLOMADO DE UNIDAD DE CUIDADOS INTENSIVOS (UCI)",IF(N55=CURSOS!$D$8,"MODELO DE ATENCION PARA EVENTOS EMERGENTES EN SALUD MENTAL (CODIGO VERDE)",IF(N55=CURSOS!$D$9,"HUMANIZACION EN EL SERVICIO DE LA SALUD Y BUENAS PRACTICAS EN PACIENTE ",IF(N55=CURSOS!$D$10,"CLINICA DE HERIDAS ",IF(N55=CURSOS!$D$11,"TOMA DE CITOLOGIA CERVICO VAGINAL ",IF(N55=CURSOS!$D$12,"SOPORTE CARDIOVASCULAR AVANZADO (ACLS) ",IF(N55=CURSOS!$D$13,"CAMILLERO ",IF(N55=CURSOS!$D$14,"TOMA DE MUESTRAS Y LABORATORIO ",IF(N55=CURSOS!$D$15,"SOPORTE VITAL BASICO (BLS)",IF(N55=CURSOS!$D$16,"ATENCION A VICTIMAS DE VIOLENCIA SEXUAL ",IF(N55=CURSOS!$D$17,"PROGRAMADO AMPLIADO DE INMUNIZACION (PAI - COVID 19)",IF(N55=CURSOS!$D$18,"ATENCION INTEGRAL EN ENFERMEDADES PREVALENTES EN PRIMERA INFANCIA (AIEPI)",IF(N55=CURSOS!$D$19,"ADMINISTRACION DE MEDICAMENTOS, INYECTOLOGIA  Y CANALIZACION ",IF(N55=CURSOS!$D$20,"OPERADOR DE VEHICULOS DE EMERGENCIA (OVE)",IF(N55=CURSOS!$D$21,"INSTITUCIONES AMIGAS DE LA MUJER Y LA INFANCIA (IAMI)",IF(N55=CURSOS!$D$22,"CUIDADO DEL DONANTE DE ORGANOS",IF(N55=CURSOS!$D$23,"ATENCION A VICTIMAS POR VIOLENCIA DE GENERO",IF(N55=CURSOS!$D$24,"IGUALDAD DE GENERO EN LA SALUD",IF(N55=CURSOS!$D$25,"BRIGADA DE EMERGENCIA",IF(N55=CURSOS!$D$26,"MANEJO DEL DOLOR Y CUIDADOS PALIATIVOS",IF(N55=CURSOS!$D$27,"TOMA DE MUESTRAS Y LABORATORIO POCT",IF(N55=CURSOS!$D$28,"IMPLANTE SUBDERMICO DE DISPOSITIVO INTRAUTERINO",IF(N55=CURSOS!$D$29,"SALUD MENTAL",IF(N55=CURSOS!$D$30,"PRIMEROS AUXILIOS PSICOLOGICOS",IF(N55=CURSOS!$D$31,"ATENCION A VICTIMAS POR CONFLICTO ARMADO",IF(N55=CURSOS!$D$32,"MANIPULACION DE ALIMENTOS Y BPM",IF(N55=CURSOS!$D$33,"ATENCION A PERSONAS CON DISCAPACIDAD",IF(N55=CURSOS!$D$34,"CUIDADO INTEGRAL DEL PACIENTE ADULTO",IF(N55=CURSOS!$D$35,"MANEJO DEFENSIVO",IF(N55=CURSOS!$D$36,"SOPORTE CARDIOVASCULAR AVANZADO NEONATAL"))))))))))))))))))))))))))))))))))</f>
        <v>TOMA DE MUESTRAS Y LABORATORIO POCT</v>
      </c>
      <c r="U55" s="124" t="str">
        <f t="shared" si="6"/>
        <v>Viviana Marcela Chamorro  Tovar</v>
      </c>
      <c r="V55" s="124" t="str">
        <f t="shared" si="7"/>
        <v>Viviana Marcela Chamorro  Tovar</v>
      </c>
      <c r="W55" s="138" t="str">
        <f t="shared" si="8"/>
        <v>Viviana Marcela Chamorro  Tovar-1085281472-POCT</v>
      </c>
    </row>
    <row r="56" spans="1:23" x14ac:dyDescent="0.2">
      <c r="A56" s="42">
        <v>55</v>
      </c>
      <c r="B56" s="139">
        <v>1085313060</v>
      </c>
      <c r="C56" s="139" t="s">
        <v>158</v>
      </c>
      <c r="D56" s="139" t="s">
        <v>431</v>
      </c>
      <c r="E56" s="139" t="s">
        <v>432</v>
      </c>
      <c r="F56" s="139" t="s">
        <v>270</v>
      </c>
      <c r="G56" s="140">
        <v>19</v>
      </c>
      <c r="H56" s="140" t="s">
        <v>89</v>
      </c>
      <c r="I56" s="141"/>
      <c r="J56" s="142">
        <v>40000</v>
      </c>
      <c r="K56" s="140"/>
      <c r="L56" s="140" t="s">
        <v>90</v>
      </c>
      <c r="M56" s="140" t="s">
        <v>275</v>
      </c>
      <c r="N56" s="143" t="s">
        <v>63</v>
      </c>
      <c r="O56" s="144">
        <v>34494</v>
      </c>
      <c r="P56" s="140" t="s">
        <v>101</v>
      </c>
      <c r="Q56" s="139" t="s">
        <v>126</v>
      </c>
      <c r="R56" s="139">
        <v>3170988299</v>
      </c>
      <c r="S56" s="139" t="s">
        <v>784</v>
      </c>
      <c r="T56" s="124" t="str">
        <f>IF(N56=CURSOS!$D$3,"DIPLOMADO EN ATENCION PRE-HOSPITALARIA",IF(N56=CURSOS!$D$4,"ACOMPAÑAMIENTO Y MANEJO DEL DUELO",IF(N56=CURSOS!$D$5,"ATENCION A VICTIMAS DE ATAQUE CON AGENTES QUIMICOS ",IF(N56=CURSOS!$D$6,"PRIMEROS AUXILIOS ",IF(N56=CURSOS!$D$7,"DIPLOMADO DE UNIDAD DE CUIDADOS INTENSIVOS (UCI)",IF(N56=CURSOS!$D$8,"MODELO DE ATENCION PARA EVENTOS EMERGENTES EN SALUD MENTAL (CODIGO VERDE)",IF(N56=CURSOS!$D$9,"HUMANIZACION EN EL SERVICIO DE LA SALUD Y BUENAS PRACTICAS EN PACIENTE ",IF(N56=CURSOS!$D$10,"CLINICA DE HERIDAS ",IF(N56=CURSOS!$D$11,"TOMA DE CITOLOGIA CERVICO VAGINAL ",IF(N56=CURSOS!$D$12,"SOPORTE CARDIOVASCULAR AVANZADO (ACLS) ",IF(N56=CURSOS!$D$13,"CAMILLERO ",IF(N56=CURSOS!$D$14,"TOMA DE MUESTRAS Y LABORATORIO ",IF(N56=CURSOS!$D$15,"SOPORTE VITAL BASICO (BLS)",IF(N56=CURSOS!$D$16,"ATENCION A VICTIMAS DE VIOLENCIA SEXUAL ",IF(N56=CURSOS!$D$17,"PROGRAMADO AMPLIADO DE INMUNIZACION (PAI - COVID 19)",IF(N56=CURSOS!$D$18,"ATENCION INTEGRAL EN ENFERMEDADES PREVALENTES EN PRIMERA INFANCIA (AIEPI)",IF(N56=CURSOS!$D$19,"ADMINISTRACION DE MEDICAMENTOS, INYECTOLOGIA  Y CANALIZACION ",IF(N56=CURSOS!$D$20,"OPERADOR DE VEHICULOS DE EMERGENCIA (OVE)",IF(N56=CURSOS!$D$21,"INSTITUCIONES AMIGAS DE LA MUJER Y LA INFANCIA (IAMI)",IF(N56=CURSOS!$D$22,"CUIDADO DEL DONANTE DE ORGANOS",IF(N56=CURSOS!$D$23,"ATENCION A VICTIMAS POR VIOLENCIA DE GENERO",IF(N56=CURSOS!$D$24,"IGUALDAD DE GENERO EN LA SALUD",IF(N56=CURSOS!$D$25,"BRIGADA DE EMERGENCIA",IF(N56=CURSOS!$D$26,"MANEJO DEL DOLOR Y CUIDADOS PALIATIVOS",IF(N56=CURSOS!$D$27,"TOMA DE MUESTRAS Y LABORATORIO POCT",IF(N56=CURSOS!$D$28,"IMPLANTE SUBDERMICO DE DISPOSITIVO INTRAUTERINO",IF(N56=CURSOS!$D$29,"SALUD MENTAL",IF(N56=CURSOS!$D$30,"PRIMEROS AUXILIOS PSICOLOGICOS",IF(N56=CURSOS!$D$31,"ATENCION A VICTIMAS POR CONFLICTO ARMADO",IF(N56=CURSOS!$D$32,"MANIPULACION DE ALIMENTOS Y BPM",IF(N56=CURSOS!$D$33,"ATENCION A PERSONAS CON DISCAPACIDAD",IF(N56=CURSOS!$D$34,"CUIDADO INTEGRAL DEL PACIENTE ADULTO",IF(N56=CURSOS!$D$35,"MANEJO DEFENSIVO",IF(N56=CURSOS!$D$36,"SOPORTE CARDIOVASCULAR AVANZADO NEONATAL"))))))))))))))))))))))))))))))))))</f>
        <v>TOMA DE MUESTRAS Y LABORATORIO POCT</v>
      </c>
      <c r="U56" s="124" t="str">
        <f t="shared" si="6"/>
        <v>Deisy Alejandra Ruano Bucheli</v>
      </c>
      <c r="V56" s="124" t="str">
        <f t="shared" si="7"/>
        <v>Deisy Alejandra Ruano Bucheli</v>
      </c>
      <c r="W56" s="138" t="str">
        <f t="shared" si="8"/>
        <v>Deisy Alejandra Ruano Bucheli-1085313060-POCT</v>
      </c>
    </row>
    <row r="57" spans="1:23" x14ac:dyDescent="0.2">
      <c r="A57" s="42">
        <v>56</v>
      </c>
      <c r="B57" s="139">
        <v>27082281</v>
      </c>
      <c r="C57" s="146" t="s">
        <v>389</v>
      </c>
      <c r="D57" s="146" t="s">
        <v>114</v>
      </c>
      <c r="E57" s="139" t="s">
        <v>95</v>
      </c>
      <c r="F57" s="139" t="s">
        <v>352</v>
      </c>
      <c r="G57" s="140">
        <v>19</v>
      </c>
      <c r="H57" s="140" t="s">
        <v>89</v>
      </c>
      <c r="I57" s="141"/>
      <c r="J57" s="142">
        <v>40000</v>
      </c>
      <c r="K57" s="140"/>
      <c r="L57" s="140" t="s">
        <v>90</v>
      </c>
      <c r="M57" s="140" t="s">
        <v>275</v>
      </c>
      <c r="N57" s="143" t="s">
        <v>63</v>
      </c>
      <c r="O57" s="144">
        <v>28451</v>
      </c>
      <c r="P57" s="140" t="s">
        <v>101</v>
      </c>
      <c r="Q57" s="139" t="s">
        <v>126</v>
      </c>
      <c r="R57" s="139">
        <v>3186246080</v>
      </c>
      <c r="S57" s="139" t="s">
        <v>785</v>
      </c>
      <c r="T57" s="124" t="str">
        <f>IF(N57=CURSOS!$D$3,"DIPLOMADO EN ATENCION PRE-HOSPITALARIA",IF(N57=CURSOS!$D$4,"ACOMPAÑAMIENTO Y MANEJO DEL DUELO",IF(N57=CURSOS!$D$5,"ATENCION A VICTIMAS DE ATAQUE CON AGENTES QUIMICOS ",IF(N57=CURSOS!$D$6,"PRIMEROS AUXILIOS ",IF(N57=CURSOS!$D$7,"DIPLOMADO DE UNIDAD DE CUIDADOS INTENSIVOS (UCI)",IF(N57=CURSOS!$D$8,"MODELO DE ATENCION PARA EVENTOS EMERGENTES EN SALUD MENTAL (CODIGO VERDE)",IF(N57=CURSOS!$D$9,"HUMANIZACION EN EL SERVICIO DE LA SALUD Y BUENAS PRACTICAS EN PACIENTE ",IF(N57=CURSOS!$D$10,"CLINICA DE HERIDAS ",IF(N57=CURSOS!$D$11,"TOMA DE CITOLOGIA CERVICO VAGINAL ",IF(N57=CURSOS!$D$12,"SOPORTE CARDIOVASCULAR AVANZADO (ACLS) ",IF(N57=CURSOS!$D$13,"CAMILLERO ",IF(N57=CURSOS!$D$14,"TOMA DE MUESTRAS Y LABORATORIO ",IF(N57=CURSOS!$D$15,"SOPORTE VITAL BASICO (BLS)",IF(N57=CURSOS!$D$16,"ATENCION A VICTIMAS DE VIOLENCIA SEXUAL ",IF(N57=CURSOS!$D$17,"PROGRAMADO AMPLIADO DE INMUNIZACION (PAI - COVID 19)",IF(N57=CURSOS!$D$18,"ATENCION INTEGRAL EN ENFERMEDADES PREVALENTES EN PRIMERA INFANCIA (AIEPI)",IF(N57=CURSOS!$D$19,"ADMINISTRACION DE MEDICAMENTOS, INYECTOLOGIA  Y CANALIZACION ",IF(N57=CURSOS!$D$20,"OPERADOR DE VEHICULOS DE EMERGENCIA (OVE)",IF(N57=CURSOS!$D$21,"INSTITUCIONES AMIGAS DE LA MUJER Y LA INFANCIA (IAMI)",IF(N57=CURSOS!$D$22,"CUIDADO DEL DONANTE DE ORGANOS",IF(N57=CURSOS!$D$23,"ATENCION A VICTIMAS POR VIOLENCIA DE GENERO",IF(N57=CURSOS!$D$24,"IGUALDAD DE GENERO EN LA SALUD",IF(N57=CURSOS!$D$25,"BRIGADA DE EMERGENCIA",IF(N57=CURSOS!$D$26,"MANEJO DEL DOLOR Y CUIDADOS PALIATIVOS",IF(N57=CURSOS!$D$27,"TOMA DE MUESTRAS Y LABORATORIO POCT",IF(N57=CURSOS!$D$28,"IMPLANTE SUBDERMICO DE DISPOSITIVO INTRAUTERINO",IF(N57=CURSOS!$D$29,"SALUD MENTAL",IF(N57=CURSOS!$D$30,"PRIMEROS AUXILIOS PSICOLOGICOS",IF(N57=CURSOS!$D$31,"ATENCION A VICTIMAS POR CONFLICTO ARMADO",IF(N57=CURSOS!$D$32,"MANIPULACION DE ALIMENTOS Y BPM",IF(N57=CURSOS!$D$33,"ATENCION A PERSONAS CON DISCAPACIDAD",IF(N57=CURSOS!$D$34,"CUIDADO INTEGRAL DEL PACIENTE ADULTO",IF(N57=CURSOS!$D$35,"MANEJO DEFENSIVO",IF(N57=CURSOS!$D$36,"SOPORTE CARDIOVASCULAR AVANZADO NEONATAL"))))))))))))))))))))))))))))))))))</f>
        <v>TOMA DE MUESTRAS Y LABORATORIO POCT</v>
      </c>
      <c r="U57" s="124" t="str">
        <f t="shared" si="6"/>
        <v>Maria Isabel Delgado Rosero</v>
      </c>
      <c r="V57" s="124" t="str">
        <f t="shared" si="7"/>
        <v>Maria Isabel Delgado Rosero</v>
      </c>
      <c r="W57" s="138" t="str">
        <f t="shared" si="8"/>
        <v>Maria Isabel Delgado Rosero-27082281-POCT</v>
      </c>
    </row>
    <row r="58" spans="1:23" ht="15.75" x14ac:dyDescent="0.25">
      <c r="A58" s="42">
        <v>57</v>
      </c>
      <c r="B58" s="139">
        <v>59122573</v>
      </c>
      <c r="C58" s="139" t="s">
        <v>444</v>
      </c>
      <c r="D58" s="139" t="s">
        <v>445</v>
      </c>
      <c r="E58" s="139" t="s">
        <v>446</v>
      </c>
      <c r="F58" s="139" t="s">
        <v>273</v>
      </c>
      <c r="G58" s="140">
        <v>19</v>
      </c>
      <c r="H58" s="140" t="s">
        <v>89</v>
      </c>
      <c r="I58" s="141">
        <v>45491</v>
      </c>
      <c r="J58" s="142">
        <v>40000</v>
      </c>
      <c r="K58" s="140" t="s">
        <v>681</v>
      </c>
      <c r="L58" s="140" t="s">
        <v>90</v>
      </c>
      <c r="M58" s="140" t="s">
        <v>275</v>
      </c>
      <c r="N58" s="143" t="s">
        <v>63</v>
      </c>
      <c r="O58" s="144">
        <v>27680</v>
      </c>
      <c r="P58" s="140" t="s">
        <v>101</v>
      </c>
      <c r="Q58" s="139" t="s">
        <v>126</v>
      </c>
      <c r="R58" s="139">
        <v>3006539823</v>
      </c>
      <c r="S58" s="182" t="s">
        <v>786</v>
      </c>
      <c r="T58" s="124" t="str">
        <f>IF(N58=CURSOS!$D$3,"DIPLOMADO EN ATENCION PRE-HOSPITALARIA",IF(N58=CURSOS!$D$4,"ACOMPAÑAMIENTO Y MANEJO DEL DUELO",IF(N58=CURSOS!$D$5,"ATENCION A VICTIMAS DE ATAQUE CON AGENTES QUIMICOS ",IF(N58=CURSOS!$D$6,"PRIMEROS AUXILIOS ",IF(N58=CURSOS!$D$7,"DIPLOMADO DE UNIDAD DE CUIDADOS INTENSIVOS (UCI)",IF(N58=CURSOS!$D$8,"MODELO DE ATENCION PARA EVENTOS EMERGENTES EN SALUD MENTAL (CODIGO VERDE)",IF(N58=CURSOS!$D$9,"HUMANIZACION EN EL SERVICIO DE LA SALUD Y BUENAS PRACTICAS EN PACIENTE ",IF(N58=CURSOS!$D$10,"CLINICA DE HERIDAS ",IF(N58=CURSOS!$D$11,"TOMA DE CITOLOGIA CERVICO VAGINAL ",IF(N58=CURSOS!$D$12,"SOPORTE CARDIOVASCULAR AVANZADO (ACLS) ",IF(N58=CURSOS!$D$13,"CAMILLERO ",IF(N58=CURSOS!$D$14,"TOMA DE MUESTRAS Y LABORATORIO ",IF(N58=CURSOS!$D$15,"SOPORTE VITAL BASICO (BLS)",IF(N58=CURSOS!$D$16,"ATENCION A VICTIMAS DE VIOLENCIA SEXUAL ",IF(N58=CURSOS!$D$17,"PROGRAMADO AMPLIADO DE INMUNIZACION (PAI - COVID 19)",IF(N58=CURSOS!$D$18,"ATENCION INTEGRAL EN ENFERMEDADES PREVALENTES EN PRIMERA INFANCIA (AIEPI)",IF(N58=CURSOS!$D$19,"ADMINISTRACION DE MEDICAMENTOS, INYECTOLOGIA  Y CANALIZACION ",IF(N58=CURSOS!$D$20,"OPERADOR DE VEHICULOS DE EMERGENCIA (OVE)",IF(N58=CURSOS!$D$21,"INSTITUCIONES AMIGAS DE LA MUJER Y LA INFANCIA (IAMI)",IF(N58=CURSOS!$D$22,"CUIDADO DEL DONANTE DE ORGANOS",IF(N58=CURSOS!$D$23,"ATENCION A VICTIMAS POR VIOLENCIA DE GENERO",IF(N58=CURSOS!$D$24,"IGUALDAD DE GENERO EN LA SALUD",IF(N58=CURSOS!$D$25,"BRIGADA DE EMERGENCIA",IF(N58=CURSOS!$D$26,"MANEJO DEL DOLOR Y CUIDADOS PALIATIVOS",IF(N58=CURSOS!$D$27,"TOMA DE MUESTRAS Y LABORATORIO POCT",IF(N58=CURSOS!$D$28,"IMPLANTE SUBDERMICO DE DISPOSITIVO INTRAUTERINO",IF(N58=CURSOS!$D$29,"SALUD MENTAL",IF(N58=CURSOS!$D$30,"PRIMEROS AUXILIOS PSICOLOGICOS",IF(N58=CURSOS!$D$31,"ATENCION A VICTIMAS POR CONFLICTO ARMADO",IF(N58=CURSOS!$D$32,"MANIPULACION DE ALIMENTOS Y BPM",IF(N58=CURSOS!$D$33,"ATENCION A PERSONAS CON DISCAPACIDAD",IF(N58=CURSOS!$D$34,"CUIDADO INTEGRAL DEL PACIENTE ADULTO",IF(N58=CURSOS!$D$35,"MANEJO DEFENSIVO",IF(N58=CURSOS!$D$36,"SOPORTE CARDIOVASCULAR AVANZADO NEONATAL"))))))))))))))))))))))))))))))))))</f>
        <v>TOMA DE MUESTRAS Y LABORATORIO POCT</v>
      </c>
      <c r="U58" s="124" t="str">
        <f t="shared" si="6"/>
        <v>Edith Adriana Diaz Meneses</v>
      </c>
      <c r="V58" s="124" t="str">
        <f t="shared" si="7"/>
        <v>Edith Adriana Diaz Meneses</v>
      </c>
      <c r="W58" s="138" t="str">
        <f t="shared" si="8"/>
        <v>Edith Adriana Diaz Meneses-59122573-POCT</v>
      </c>
    </row>
    <row r="59" spans="1:23" x14ac:dyDescent="0.2">
      <c r="A59" s="42">
        <v>58</v>
      </c>
      <c r="B59" s="146">
        <v>1085305107</v>
      </c>
      <c r="C59" s="139" t="s">
        <v>452</v>
      </c>
      <c r="D59" s="139" t="s">
        <v>453</v>
      </c>
      <c r="E59" s="139" t="s">
        <v>248</v>
      </c>
      <c r="F59" s="139" t="s">
        <v>227</v>
      </c>
      <c r="G59" s="140">
        <v>19</v>
      </c>
      <c r="H59" s="140" t="s">
        <v>89</v>
      </c>
      <c r="I59" s="141"/>
      <c r="J59" s="142">
        <v>40000</v>
      </c>
      <c r="K59" s="140"/>
      <c r="L59" s="140" t="s">
        <v>90</v>
      </c>
      <c r="M59" s="140" t="s">
        <v>275</v>
      </c>
      <c r="N59" s="143" t="s">
        <v>63</v>
      </c>
      <c r="O59" s="144">
        <v>34126</v>
      </c>
      <c r="P59" s="140" t="s">
        <v>101</v>
      </c>
      <c r="Q59" s="139" t="s">
        <v>126</v>
      </c>
      <c r="R59" s="139">
        <v>3134121596</v>
      </c>
      <c r="S59" s="139" t="s">
        <v>787</v>
      </c>
      <c r="T59" s="124" t="str">
        <f>IF(N59=CURSOS!$D$3,"DIPLOMADO EN ATENCION PRE-HOSPITALARIA",IF(N59=CURSOS!$D$4,"ACOMPAÑAMIENTO Y MANEJO DEL DUELO",IF(N59=CURSOS!$D$5,"ATENCION A VICTIMAS DE ATAQUE CON AGENTES QUIMICOS ",IF(N59=CURSOS!$D$6,"PRIMEROS AUXILIOS ",IF(N59=CURSOS!$D$7,"DIPLOMADO DE UNIDAD DE CUIDADOS INTENSIVOS (UCI)",IF(N59=CURSOS!$D$8,"MODELO DE ATENCION PARA EVENTOS EMERGENTES EN SALUD MENTAL (CODIGO VERDE)",IF(N59=CURSOS!$D$9,"HUMANIZACION EN EL SERVICIO DE LA SALUD Y BUENAS PRACTICAS EN PACIENTE ",IF(N59=CURSOS!$D$10,"CLINICA DE HERIDAS ",IF(N59=CURSOS!$D$11,"TOMA DE CITOLOGIA CERVICO VAGINAL ",IF(N59=CURSOS!$D$12,"SOPORTE CARDIOVASCULAR AVANZADO (ACLS) ",IF(N59=CURSOS!$D$13,"CAMILLERO ",IF(N59=CURSOS!$D$14,"TOMA DE MUESTRAS Y LABORATORIO ",IF(N59=CURSOS!$D$15,"SOPORTE VITAL BASICO (BLS)",IF(N59=CURSOS!$D$16,"ATENCION A VICTIMAS DE VIOLENCIA SEXUAL ",IF(N59=CURSOS!$D$17,"PROGRAMADO AMPLIADO DE INMUNIZACION (PAI - COVID 19)",IF(N59=CURSOS!$D$18,"ATENCION INTEGRAL EN ENFERMEDADES PREVALENTES EN PRIMERA INFANCIA (AIEPI)",IF(N59=CURSOS!$D$19,"ADMINISTRACION DE MEDICAMENTOS, INYECTOLOGIA  Y CANALIZACION ",IF(N59=CURSOS!$D$20,"OPERADOR DE VEHICULOS DE EMERGENCIA (OVE)",IF(N59=CURSOS!$D$21,"INSTITUCIONES AMIGAS DE LA MUJER Y LA INFANCIA (IAMI)",IF(N59=CURSOS!$D$22,"CUIDADO DEL DONANTE DE ORGANOS",IF(N59=CURSOS!$D$23,"ATENCION A VICTIMAS POR VIOLENCIA DE GENERO",IF(N59=CURSOS!$D$24,"IGUALDAD DE GENERO EN LA SALUD",IF(N59=CURSOS!$D$25,"BRIGADA DE EMERGENCIA",IF(N59=CURSOS!$D$26,"MANEJO DEL DOLOR Y CUIDADOS PALIATIVOS",IF(N59=CURSOS!$D$27,"TOMA DE MUESTRAS Y LABORATORIO POCT",IF(N59=CURSOS!$D$28,"IMPLANTE SUBDERMICO DE DISPOSITIVO INTRAUTERINO",IF(N59=CURSOS!$D$29,"SALUD MENTAL",IF(N59=CURSOS!$D$30,"PRIMEROS AUXILIOS PSICOLOGICOS",IF(N59=CURSOS!$D$31,"ATENCION A VICTIMAS POR CONFLICTO ARMADO",IF(N59=CURSOS!$D$32,"MANIPULACION DE ALIMENTOS Y BPM",IF(N59=CURSOS!$D$33,"ATENCION A PERSONAS CON DISCAPACIDAD",IF(N59=CURSOS!$D$34,"CUIDADO INTEGRAL DEL PACIENTE ADULTO",IF(N59=CURSOS!$D$35,"MANEJO DEFENSIVO",IF(N59=CURSOS!$D$36,"SOPORTE CARDIOVASCULAR AVANZADO NEONATAL"))))))))))))))))))))))))))))))))))</f>
        <v>TOMA DE MUESTRAS Y LABORATORIO POCT</v>
      </c>
      <c r="U59" s="124" t="str">
        <f t="shared" si="6"/>
        <v>Johanna Marcela Nichoy Jojoa</v>
      </c>
      <c r="V59" s="124" t="str">
        <f t="shared" si="7"/>
        <v>Johanna Marcela Nichoy Jojoa</v>
      </c>
      <c r="W59" s="138" t="str">
        <f t="shared" si="8"/>
        <v>Johanna Marcela Nichoy Jojoa-1085305107-POCT</v>
      </c>
    </row>
    <row r="60" spans="1:23" ht="15.75" x14ac:dyDescent="0.25">
      <c r="A60" s="42">
        <v>59</v>
      </c>
      <c r="B60" s="139">
        <v>1088732053</v>
      </c>
      <c r="C60" s="139" t="s">
        <v>172</v>
      </c>
      <c r="D60" s="139" t="s">
        <v>421</v>
      </c>
      <c r="E60" s="139" t="s">
        <v>454</v>
      </c>
      <c r="F60" s="139" t="s">
        <v>112</v>
      </c>
      <c r="G60" s="140">
        <v>19</v>
      </c>
      <c r="H60" s="140" t="s">
        <v>89</v>
      </c>
      <c r="I60" s="141">
        <v>45491</v>
      </c>
      <c r="J60" s="202">
        <v>40000</v>
      </c>
      <c r="K60" s="203" t="s">
        <v>210</v>
      </c>
      <c r="L60" s="140" t="s">
        <v>90</v>
      </c>
      <c r="M60" s="140" t="s">
        <v>275</v>
      </c>
      <c r="N60" s="143" t="s">
        <v>63</v>
      </c>
      <c r="O60" s="144">
        <v>32645</v>
      </c>
      <c r="P60" s="140" t="s">
        <v>101</v>
      </c>
      <c r="Q60" s="139" t="s">
        <v>202</v>
      </c>
      <c r="R60" s="139">
        <v>3194710360</v>
      </c>
      <c r="S60" s="182" t="s">
        <v>687</v>
      </c>
      <c r="T60" s="124" t="str">
        <f>IF(N60=CURSOS!$D$3,"DIPLOMADO EN ATENCION PRE-HOSPITALARIA",IF(N60=CURSOS!$D$4,"ACOMPAÑAMIENTO Y MANEJO DEL DUELO",IF(N60=CURSOS!$D$5,"ATENCION A VICTIMAS DE ATAQUE CON AGENTES QUIMICOS ",IF(N60=CURSOS!$D$6,"PRIMEROS AUXILIOS ",IF(N60=CURSOS!$D$7,"DIPLOMADO DE UNIDAD DE CUIDADOS INTENSIVOS (UCI)",IF(N60=CURSOS!$D$8,"MODELO DE ATENCION PARA EVENTOS EMERGENTES EN SALUD MENTAL (CODIGO VERDE)",IF(N60=CURSOS!$D$9,"HUMANIZACION EN EL SERVICIO DE LA SALUD Y BUENAS PRACTICAS EN PACIENTE ",IF(N60=CURSOS!$D$10,"CLINICA DE HERIDAS ",IF(N60=CURSOS!$D$11,"TOMA DE CITOLOGIA CERVICO VAGINAL ",IF(N60=CURSOS!$D$12,"SOPORTE CARDIOVASCULAR AVANZADO (ACLS) ",IF(N60=CURSOS!$D$13,"CAMILLERO ",IF(N60=CURSOS!$D$14,"TOMA DE MUESTRAS Y LABORATORIO ",IF(N60=CURSOS!$D$15,"SOPORTE VITAL BASICO (BLS)",IF(N60=CURSOS!$D$16,"ATENCION A VICTIMAS DE VIOLENCIA SEXUAL ",IF(N60=CURSOS!$D$17,"PROGRAMADO AMPLIADO DE INMUNIZACION (PAI - COVID 19)",IF(N60=CURSOS!$D$18,"ATENCION INTEGRAL EN ENFERMEDADES PREVALENTES EN PRIMERA INFANCIA (AIEPI)",IF(N60=CURSOS!$D$19,"ADMINISTRACION DE MEDICAMENTOS, INYECTOLOGIA  Y CANALIZACION ",IF(N60=CURSOS!$D$20,"OPERADOR DE VEHICULOS DE EMERGENCIA (OVE)",IF(N60=CURSOS!$D$21,"INSTITUCIONES AMIGAS DE LA MUJER Y LA INFANCIA (IAMI)",IF(N60=CURSOS!$D$22,"CUIDADO DEL DONANTE DE ORGANOS",IF(N60=CURSOS!$D$23,"ATENCION A VICTIMAS POR VIOLENCIA DE GENERO",IF(N60=CURSOS!$D$24,"IGUALDAD DE GENERO EN LA SALUD",IF(N60=CURSOS!$D$25,"BRIGADA DE EMERGENCIA",IF(N60=CURSOS!$D$26,"MANEJO DEL DOLOR Y CUIDADOS PALIATIVOS",IF(N60=CURSOS!$D$27,"TOMA DE MUESTRAS Y LABORATORIO POCT",IF(N60=CURSOS!$D$28,"IMPLANTE SUBDERMICO DE DISPOSITIVO INTRAUTERINO",IF(N60=CURSOS!$D$29,"SALUD MENTAL",IF(N60=CURSOS!$D$30,"PRIMEROS AUXILIOS PSICOLOGICOS",IF(N60=CURSOS!$D$31,"ATENCION A VICTIMAS POR CONFLICTO ARMADO",IF(N60=CURSOS!$D$32,"MANIPULACION DE ALIMENTOS Y BPM",IF(N60=CURSOS!$D$33,"ATENCION A PERSONAS CON DISCAPACIDAD",IF(N60=CURSOS!$D$34,"CUIDADO INTEGRAL DEL PACIENTE ADULTO",IF(N60=CURSOS!$D$35,"MANEJO DEFENSIVO",IF(N60=CURSOS!$D$36,"SOPORTE CARDIOVASCULAR AVANZADO NEONATAL"))))))))))))))))))))))))))))))))))</f>
        <v>TOMA DE MUESTRAS Y LABORATORIO POCT</v>
      </c>
      <c r="U60" s="124" t="str">
        <f t="shared" si="6"/>
        <v>Luisa Fernanda Lopez Melo</v>
      </c>
      <c r="V60" s="124" t="str">
        <f t="shared" si="7"/>
        <v>Luisa Fernanda Lopez Melo</v>
      </c>
      <c r="W60" s="138" t="str">
        <f t="shared" si="8"/>
        <v>Luisa Fernanda Lopez Melo-1088732053-POCT</v>
      </c>
    </row>
    <row r="61" spans="1:23" x14ac:dyDescent="0.2">
      <c r="A61" s="42">
        <v>60</v>
      </c>
      <c r="B61" s="139">
        <v>27488378</v>
      </c>
      <c r="C61" s="139" t="s">
        <v>269</v>
      </c>
      <c r="D61" s="139" t="s">
        <v>456</v>
      </c>
      <c r="E61" s="139" t="s">
        <v>457</v>
      </c>
      <c r="F61" s="139" t="s">
        <v>458</v>
      </c>
      <c r="G61" s="140">
        <v>19</v>
      </c>
      <c r="H61" s="140" t="s">
        <v>89</v>
      </c>
      <c r="I61" s="141"/>
      <c r="J61" s="142">
        <v>40000</v>
      </c>
      <c r="K61" s="140"/>
      <c r="L61" s="140" t="s">
        <v>90</v>
      </c>
      <c r="M61" s="140" t="s">
        <v>275</v>
      </c>
      <c r="N61" s="143" t="s">
        <v>63</v>
      </c>
      <c r="O61" s="144">
        <v>29586</v>
      </c>
      <c r="P61" s="140" t="s">
        <v>101</v>
      </c>
      <c r="Q61" s="139" t="s">
        <v>126</v>
      </c>
      <c r="R61" s="139">
        <v>3174495081</v>
      </c>
      <c r="S61" s="139" t="s">
        <v>788</v>
      </c>
      <c r="T61" s="124" t="str">
        <f>IF(N61=CURSOS!$D$3,"DIPLOMADO EN ATENCION PRE-HOSPITALARIA",IF(N61=CURSOS!$D$4,"ACOMPAÑAMIENTO Y MANEJO DEL DUELO",IF(N61=CURSOS!$D$5,"ATENCION A VICTIMAS DE ATAQUE CON AGENTES QUIMICOS ",IF(N61=CURSOS!$D$6,"PRIMEROS AUXILIOS ",IF(N61=CURSOS!$D$7,"DIPLOMADO DE UNIDAD DE CUIDADOS INTENSIVOS (UCI)",IF(N61=CURSOS!$D$8,"MODELO DE ATENCION PARA EVENTOS EMERGENTES EN SALUD MENTAL (CODIGO VERDE)",IF(N61=CURSOS!$D$9,"HUMANIZACION EN EL SERVICIO DE LA SALUD Y BUENAS PRACTICAS EN PACIENTE ",IF(N61=CURSOS!$D$10,"CLINICA DE HERIDAS ",IF(N61=CURSOS!$D$11,"TOMA DE CITOLOGIA CERVICO VAGINAL ",IF(N61=CURSOS!$D$12,"SOPORTE CARDIOVASCULAR AVANZADO (ACLS) ",IF(N61=CURSOS!$D$13,"CAMILLERO ",IF(N61=CURSOS!$D$14,"TOMA DE MUESTRAS Y LABORATORIO ",IF(N61=CURSOS!$D$15,"SOPORTE VITAL BASICO (BLS)",IF(N61=CURSOS!$D$16,"ATENCION A VICTIMAS DE VIOLENCIA SEXUAL ",IF(N61=CURSOS!$D$17,"PROGRAMADO AMPLIADO DE INMUNIZACION (PAI - COVID 19)",IF(N61=CURSOS!$D$18,"ATENCION INTEGRAL EN ENFERMEDADES PREVALENTES EN PRIMERA INFANCIA (AIEPI)",IF(N61=CURSOS!$D$19,"ADMINISTRACION DE MEDICAMENTOS, INYECTOLOGIA  Y CANALIZACION ",IF(N61=CURSOS!$D$20,"OPERADOR DE VEHICULOS DE EMERGENCIA (OVE)",IF(N61=CURSOS!$D$21,"INSTITUCIONES AMIGAS DE LA MUJER Y LA INFANCIA (IAMI)",IF(N61=CURSOS!$D$22,"CUIDADO DEL DONANTE DE ORGANOS",IF(N61=CURSOS!$D$23,"ATENCION A VICTIMAS POR VIOLENCIA DE GENERO",IF(N61=CURSOS!$D$24,"IGUALDAD DE GENERO EN LA SALUD",IF(N61=CURSOS!$D$25,"BRIGADA DE EMERGENCIA",IF(N61=CURSOS!$D$26,"MANEJO DEL DOLOR Y CUIDADOS PALIATIVOS",IF(N61=CURSOS!$D$27,"TOMA DE MUESTRAS Y LABORATORIO POCT",IF(N61=CURSOS!$D$28,"IMPLANTE SUBDERMICO DE DISPOSITIVO INTRAUTERINO",IF(N61=CURSOS!$D$29,"SALUD MENTAL",IF(N61=CURSOS!$D$30,"PRIMEROS AUXILIOS PSICOLOGICOS",IF(N61=CURSOS!$D$31,"ATENCION A VICTIMAS POR CONFLICTO ARMADO",IF(N61=CURSOS!$D$32,"MANIPULACION DE ALIMENTOS Y BPM",IF(N61=CURSOS!$D$33,"ATENCION A PERSONAS CON DISCAPACIDAD",IF(N61=CURSOS!$D$34,"CUIDADO INTEGRAL DEL PACIENTE ADULTO",IF(N61=CURSOS!$D$35,"MANEJO DEFENSIVO",IF(N61=CURSOS!$D$36,"SOPORTE CARDIOVASCULAR AVANZADO NEONATAL"))))))))))))))))))))))))))))))))))</f>
        <v>TOMA DE MUESTRAS Y LABORATORIO POCT</v>
      </c>
      <c r="U61" s="124" t="str">
        <f t="shared" si="6"/>
        <v>Aide Araselis Martinez Urbina</v>
      </c>
      <c r="V61" s="124" t="str">
        <f t="shared" si="7"/>
        <v>Aide Araselis Martinez Urbina</v>
      </c>
      <c r="W61" s="138" t="str">
        <f t="shared" si="8"/>
        <v>Aide Araselis Martinez Urbina-27488378-POCT</v>
      </c>
    </row>
    <row r="62" spans="1:23" ht="15.75" x14ac:dyDescent="0.25">
      <c r="A62" s="42">
        <v>61</v>
      </c>
      <c r="B62" s="139">
        <v>36751518</v>
      </c>
      <c r="C62" s="139" t="s">
        <v>252</v>
      </c>
      <c r="D62" s="139" t="s">
        <v>461</v>
      </c>
      <c r="E62" s="139" t="s">
        <v>462</v>
      </c>
      <c r="F62" s="139" t="s">
        <v>267</v>
      </c>
      <c r="G62" s="140">
        <v>19</v>
      </c>
      <c r="H62" s="140" t="s">
        <v>89</v>
      </c>
      <c r="I62" s="141">
        <v>45490</v>
      </c>
      <c r="J62" s="202">
        <v>40000</v>
      </c>
      <c r="K62" s="203" t="s">
        <v>210</v>
      </c>
      <c r="L62" s="140" t="s">
        <v>90</v>
      </c>
      <c r="M62" s="140" t="s">
        <v>275</v>
      </c>
      <c r="N62" s="143" t="s">
        <v>63</v>
      </c>
      <c r="O62" s="144">
        <v>28815</v>
      </c>
      <c r="P62" s="140" t="s">
        <v>101</v>
      </c>
      <c r="Q62" s="139" t="s">
        <v>126</v>
      </c>
      <c r="R62" s="139">
        <v>3178084445</v>
      </c>
      <c r="S62" s="182" t="s">
        <v>633</v>
      </c>
      <c r="T62" s="124" t="str">
        <f>IF(N62=CURSOS!$D$3,"DIPLOMADO EN ATENCION PRE-HOSPITALARIA",IF(N62=CURSOS!$D$4,"ACOMPAÑAMIENTO Y MANEJO DEL DUELO",IF(N62=CURSOS!$D$5,"ATENCION A VICTIMAS DE ATAQUE CON AGENTES QUIMICOS ",IF(N62=CURSOS!$D$6,"PRIMEROS AUXILIOS ",IF(N62=CURSOS!$D$7,"DIPLOMADO DE UNIDAD DE CUIDADOS INTENSIVOS (UCI)",IF(N62=CURSOS!$D$8,"MODELO DE ATENCION PARA EVENTOS EMERGENTES EN SALUD MENTAL (CODIGO VERDE)",IF(N62=CURSOS!$D$9,"HUMANIZACION EN EL SERVICIO DE LA SALUD Y BUENAS PRACTICAS EN PACIENTE ",IF(N62=CURSOS!$D$10,"CLINICA DE HERIDAS ",IF(N62=CURSOS!$D$11,"TOMA DE CITOLOGIA CERVICO VAGINAL ",IF(N62=CURSOS!$D$12,"SOPORTE CARDIOVASCULAR AVANZADO (ACLS) ",IF(N62=CURSOS!$D$13,"CAMILLERO ",IF(N62=CURSOS!$D$14,"TOMA DE MUESTRAS Y LABORATORIO ",IF(N62=CURSOS!$D$15,"SOPORTE VITAL BASICO (BLS)",IF(N62=CURSOS!$D$16,"ATENCION A VICTIMAS DE VIOLENCIA SEXUAL ",IF(N62=CURSOS!$D$17,"PROGRAMADO AMPLIADO DE INMUNIZACION (PAI - COVID 19)",IF(N62=CURSOS!$D$18,"ATENCION INTEGRAL EN ENFERMEDADES PREVALENTES EN PRIMERA INFANCIA (AIEPI)",IF(N62=CURSOS!$D$19,"ADMINISTRACION DE MEDICAMENTOS, INYECTOLOGIA  Y CANALIZACION ",IF(N62=CURSOS!$D$20,"OPERADOR DE VEHICULOS DE EMERGENCIA (OVE)",IF(N62=CURSOS!$D$21,"INSTITUCIONES AMIGAS DE LA MUJER Y LA INFANCIA (IAMI)",IF(N62=CURSOS!$D$22,"CUIDADO DEL DONANTE DE ORGANOS",IF(N62=CURSOS!$D$23,"ATENCION A VICTIMAS POR VIOLENCIA DE GENERO",IF(N62=CURSOS!$D$24,"IGUALDAD DE GENERO EN LA SALUD",IF(N62=CURSOS!$D$25,"BRIGADA DE EMERGENCIA",IF(N62=CURSOS!$D$26,"MANEJO DEL DOLOR Y CUIDADOS PALIATIVOS",IF(N62=CURSOS!$D$27,"TOMA DE MUESTRAS Y LABORATORIO POCT",IF(N62=CURSOS!$D$28,"IMPLANTE SUBDERMICO DE DISPOSITIVO INTRAUTERINO",IF(N62=CURSOS!$D$29,"SALUD MENTAL",IF(N62=CURSOS!$D$30,"PRIMEROS AUXILIOS PSICOLOGICOS",IF(N62=CURSOS!$D$31,"ATENCION A VICTIMAS POR CONFLICTO ARMADO",IF(N62=CURSOS!$D$32,"MANIPULACION DE ALIMENTOS Y BPM",IF(N62=CURSOS!$D$33,"ATENCION A PERSONAS CON DISCAPACIDAD",IF(N62=CURSOS!$D$34,"CUIDADO INTEGRAL DEL PACIENTE ADULTO",IF(N62=CURSOS!$D$35,"MANEJO DEFENSIVO",IF(N62=CURSOS!$D$36,"SOPORTE CARDIOVASCULAR AVANZADO NEONATAL"))))))))))))))))))))))))))))))))))</f>
        <v>TOMA DE MUESTRAS Y LABORATORIO POCT</v>
      </c>
      <c r="U62" s="124" t="str">
        <f t="shared" si="6"/>
        <v>Mabel Cristina Zambrano Daza</v>
      </c>
      <c r="V62" s="124" t="str">
        <f t="shared" si="7"/>
        <v>Mabel Cristina Zambrano Daza</v>
      </c>
      <c r="W62" s="138" t="str">
        <f t="shared" si="8"/>
        <v>Mabel Cristina Zambrano Daza-36751518-POCT</v>
      </c>
    </row>
    <row r="63" spans="1:23" x14ac:dyDescent="0.2">
      <c r="A63" s="42">
        <v>62</v>
      </c>
      <c r="B63" s="139">
        <v>1084826255</v>
      </c>
      <c r="C63" s="139" t="s">
        <v>172</v>
      </c>
      <c r="D63" s="139" t="s">
        <v>467</v>
      </c>
      <c r="E63" s="139" t="s">
        <v>448</v>
      </c>
      <c r="F63" s="139" t="s">
        <v>468</v>
      </c>
      <c r="G63" s="140">
        <v>19</v>
      </c>
      <c r="H63" s="140" t="s">
        <v>89</v>
      </c>
      <c r="I63" s="141"/>
      <c r="J63" s="142">
        <v>40000</v>
      </c>
      <c r="K63" s="140"/>
      <c r="L63" s="140" t="s">
        <v>90</v>
      </c>
      <c r="M63" s="140" t="s">
        <v>275</v>
      </c>
      <c r="N63" s="143" t="s">
        <v>63</v>
      </c>
      <c r="O63" s="144">
        <v>32319</v>
      </c>
      <c r="P63" s="140" t="s">
        <v>101</v>
      </c>
      <c r="Q63" s="139" t="s">
        <v>126</v>
      </c>
      <c r="R63" s="139">
        <v>3185791298</v>
      </c>
      <c r="S63" s="139"/>
      <c r="T63" s="124" t="str">
        <f>IF(N63=CURSOS!$D$3,"DIPLOMADO EN ATENCION PRE-HOSPITALARIA",IF(N63=CURSOS!$D$4,"ACOMPAÑAMIENTO Y MANEJO DEL DUELO",IF(N63=CURSOS!$D$5,"ATENCION A VICTIMAS DE ATAQUE CON AGENTES QUIMICOS ",IF(N63=CURSOS!$D$6,"PRIMEROS AUXILIOS ",IF(N63=CURSOS!$D$7,"DIPLOMADO DE UNIDAD DE CUIDADOS INTENSIVOS (UCI)",IF(N63=CURSOS!$D$8,"MODELO DE ATENCION PARA EVENTOS EMERGENTES EN SALUD MENTAL (CODIGO VERDE)",IF(N63=CURSOS!$D$9,"HUMANIZACION EN EL SERVICIO DE LA SALUD Y BUENAS PRACTICAS EN PACIENTE ",IF(N63=CURSOS!$D$10,"CLINICA DE HERIDAS ",IF(N63=CURSOS!$D$11,"TOMA DE CITOLOGIA CERVICO VAGINAL ",IF(N63=CURSOS!$D$12,"SOPORTE CARDIOVASCULAR AVANZADO (ACLS) ",IF(N63=CURSOS!$D$13,"CAMILLERO ",IF(N63=CURSOS!$D$14,"TOMA DE MUESTRAS Y LABORATORIO ",IF(N63=CURSOS!$D$15,"SOPORTE VITAL BASICO (BLS)",IF(N63=CURSOS!$D$16,"ATENCION A VICTIMAS DE VIOLENCIA SEXUAL ",IF(N63=CURSOS!$D$17,"PROGRAMADO AMPLIADO DE INMUNIZACION (PAI - COVID 19)",IF(N63=CURSOS!$D$18,"ATENCION INTEGRAL EN ENFERMEDADES PREVALENTES EN PRIMERA INFANCIA (AIEPI)",IF(N63=CURSOS!$D$19,"ADMINISTRACION DE MEDICAMENTOS, INYECTOLOGIA  Y CANALIZACION ",IF(N63=CURSOS!$D$20,"OPERADOR DE VEHICULOS DE EMERGENCIA (OVE)",IF(N63=CURSOS!$D$21,"INSTITUCIONES AMIGAS DE LA MUJER Y LA INFANCIA (IAMI)",IF(N63=CURSOS!$D$22,"CUIDADO DEL DONANTE DE ORGANOS",IF(N63=CURSOS!$D$23,"ATENCION A VICTIMAS POR VIOLENCIA DE GENERO",IF(N63=CURSOS!$D$24,"IGUALDAD DE GENERO EN LA SALUD",IF(N63=CURSOS!$D$25,"BRIGADA DE EMERGENCIA",IF(N63=CURSOS!$D$26,"MANEJO DEL DOLOR Y CUIDADOS PALIATIVOS",IF(N63=CURSOS!$D$27,"TOMA DE MUESTRAS Y LABORATORIO POCT",IF(N63=CURSOS!$D$28,"IMPLANTE SUBDERMICO DE DISPOSITIVO INTRAUTERINO",IF(N63=CURSOS!$D$29,"SALUD MENTAL",IF(N63=CURSOS!$D$30,"PRIMEROS AUXILIOS PSICOLOGICOS",IF(N63=CURSOS!$D$31,"ATENCION A VICTIMAS POR CONFLICTO ARMADO",IF(N63=CURSOS!$D$32,"MANIPULACION DE ALIMENTOS Y BPM",IF(N63=CURSOS!$D$33,"ATENCION A PERSONAS CON DISCAPACIDAD",IF(N63=CURSOS!$D$34,"CUIDADO INTEGRAL DEL PACIENTE ADULTO",IF(N63=CURSOS!$D$35,"MANEJO DEFENSIVO",IF(N63=CURSOS!$D$36,"SOPORTE CARDIOVASCULAR AVANZADO NEONATAL"))))))))))))))))))))))))))))))))))</f>
        <v>TOMA DE MUESTRAS Y LABORATORIO POCT</v>
      </c>
      <c r="U63" s="124" t="str">
        <f t="shared" si="6"/>
        <v>Martha Irene Lopez Botina</v>
      </c>
      <c r="V63" s="124" t="str">
        <f t="shared" si="7"/>
        <v>Martha Irene Lopez Botina</v>
      </c>
      <c r="W63" s="138" t="str">
        <f t="shared" si="8"/>
        <v>Martha Irene Lopez Botina-1084826255-POCT</v>
      </c>
    </row>
    <row r="64" spans="1:23" ht="15.75" x14ac:dyDescent="0.25">
      <c r="A64" s="42">
        <v>63</v>
      </c>
      <c r="B64" s="139">
        <v>1085317112</v>
      </c>
      <c r="C64" s="139" t="s">
        <v>239</v>
      </c>
      <c r="D64" s="139" t="s">
        <v>487</v>
      </c>
      <c r="E64" s="139" t="s">
        <v>138</v>
      </c>
      <c r="F64" s="139" t="s">
        <v>112</v>
      </c>
      <c r="G64" s="140">
        <v>19</v>
      </c>
      <c r="H64" s="140" t="s">
        <v>89</v>
      </c>
      <c r="I64" s="141"/>
      <c r="J64" s="142">
        <v>40000</v>
      </c>
      <c r="K64" s="140"/>
      <c r="L64" s="140" t="s">
        <v>90</v>
      </c>
      <c r="M64" s="140" t="s">
        <v>275</v>
      </c>
      <c r="N64" s="143" t="s">
        <v>63</v>
      </c>
      <c r="O64" s="144">
        <v>34646</v>
      </c>
      <c r="P64" s="140" t="s">
        <v>101</v>
      </c>
      <c r="Q64" s="139" t="s">
        <v>126</v>
      </c>
      <c r="R64" s="139">
        <v>3155454459</v>
      </c>
      <c r="S64" s="182" t="s">
        <v>789</v>
      </c>
      <c r="T64" s="124" t="str">
        <f>IF(N64=CURSOS!$D$3,"DIPLOMADO EN ATENCION PRE-HOSPITALARIA",IF(N64=CURSOS!$D$4,"ACOMPAÑAMIENTO Y MANEJO DEL DUELO",IF(N64=CURSOS!$D$5,"ATENCION A VICTIMAS DE ATAQUE CON AGENTES QUIMICOS ",IF(N64=CURSOS!$D$6,"PRIMEROS AUXILIOS ",IF(N64=CURSOS!$D$7,"DIPLOMADO DE UNIDAD DE CUIDADOS INTENSIVOS (UCI)",IF(N64=CURSOS!$D$8,"MODELO DE ATENCION PARA EVENTOS EMERGENTES EN SALUD MENTAL (CODIGO VERDE)",IF(N64=CURSOS!$D$9,"HUMANIZACION EN EL SERVICIO DE LA SALUD Y BUENAS PRACTICAS EN PACIENTE ",IF(N64=CURSOS!$D$10,"CLINICA DE HERIDAS ",IF(N64=CURSOS!$D$11,"TOMA DE CITOLOGIA CERVICO VAGINAL ",IF(N64=CURSOS!$D$12,"SOPORTE CARDIOVASCULAR AVANZADO (ACLS) ",IF(N64=CURSOS!$D$13,"CAMILLERO ",IF(N64=CURSOS!$D$14,"TOMA DE MUESTRAS Y LABORATORIO ",IF(N64=CURSOS!$D$15,"SOPORTE VITAL BASICO (BLS)",IF(N64=CURSOS!$D$16,"ATENCION A VICTIMAS DE VIOLENCIA SEXUAL ",IF(N64=CURSOS!$D$17,"PROGRAMADO AMPLIADO DE INMUNIZACION (PAI - COVID 19)",IF(N64=CURSOS!$D$18,"ATENCION INTEGRAL EN ENFERMEDADES PREVALENTES EN PRIMERA INFANCIA (AIEPI)",IF(N64=CURSOS!$D$19,"ADMINISTRACION DE MEDICAMENTOS, INYECTOLOGIA  Y CANALIZACION ",IF(N64=CURSOS!$D$20,"OPERADOR DE VEHICULOS DE EMERGENCIA (OVE)",IF(N64=CURSOS!$D$21,"INSTITUCIONES AMIGAS DE LA MUJER Y LA INFANCIA (IAMI)",IF(N64=CURSOS!$D$22,"CUIDADO DEL DONANTE DE ORGANOS",IF(N64=CURSOS!$D$23,"ATENCION A VICTIMAS POR VIOLENCIA DE GENERO",IF(N64=CURSOS!$D$24,"IGUALDAD DE GENERO EN LA SALUD",IF(N64=CURSOS!$D$25,"BRIGADA DE EMERGENCIA",IF(N64=CURSOS!$D$26,"MANEJO DEL DOLOR Y CUIDADOS PALIATIVOS",IF(N64=CURSOS!$D$27,"TOMA DE MUESTRAS Y LABORATORIO POCT",IF(N64=CURSOS!$D$28,"IMPLANTE SUBDERMICO DE DISPOSITIVO INTRAUTERINO",IF(N64=CURSOS!$D$29,"SALUD MENTAL",IF(N64=CURSOS!$D$30,"PRIMEROS AUXILIOS PSICOLOGICOS",IF(N64=CURSOS!$D$31,"ATENCION A VICTIMAS POR CONFLICTO ARMADO",IF(N64=CURSOS!$D$32,"MANIPULACION DE ALIMENTOS Y BPM",IF(N64=CURSOS!$D$33,"ATENCION A PERSONAS CON DISCAPACIDAD",IF(N64=CURSOS!$D$34,"CUIDADO INTEGRAL DEL PACIENTE ADULTO",IF(N64=CURSOS!$D$35,"MANEJO DEFENSIVO",IF(N64=CURSOS!$D$36,"SOPORTE CARDIOVASCULAR AVANZADO NEONATAL"))))))))))))))))))))))))))))))))))</f>
        <v>TOMA DE MUESTRAS Y LABORATORIO POCT</v>
      </c>
      <c r="U64" s="124" t="str">
        <f t="shared" si="6"/>
        <v>Johana Fernanda Palacios Sinza</v>
      </c>
      <c r="V64" s="124" t="str">
        <f t="shared" si="7"/>
        <v>Johana Fernanda Palacios Sinza</v>
      </c>
      <c r="W64" s="138" t="str">
        <f t="shared" si="8"/>
        <v>Johana Fernanda Palacios Sinza-1085317112-POCT</v>
      </c>
    </row>
    <row r="65" spans="1:23" x14ac:dyDescent="0.2">
      <c r="A65" s="42">
        <v>64</v>
      </c>
      <c r="B65" s="139">
        <v>1085274932</v>
      </c>
      <c r="C65" s="139" t="s">
        <v>265</v>
      </c>
      <c r="D65" s="139" t="s">
        <v>488</v>
      </c>
      <c r="E65" s="139" t="s">
        <v>489</v>
      </c>
      <c r="F65" s="139" t="s">
        <v>434</v>
      </c>
      <c r="G65" s="140">
        <v>19</v>
      </c>
      <c r="H65" s="140" t="s">
        <v>89</v>
      </c>
      <c r="I65" s="141"/>
      <c r="J65" s="142">
        <v>40000</v>
      </c>
      <c r="K65" s="140"/>
      <c r="L65" s="140" t="s">
        <v>90</v>
      </c>
      <c r="M65" s="140" t="s">
        <v>275</v>
      </c>
      <c r="N65" s="143" t="s">
        <v>63</v>
      </c>
      <c r="O65" s="144">
        <v>32707</v>
      </c>
      <c r="P65" s="140" t="s">
        <v>101</v>
      </c>
      <c r="Q65" s="139" t="s">
        <v>126</v>
      </c>
      <c r="R65" s="139">
        <v>3113558866</v>
      </c>
      <c r="S65" s="139" t="s">
        <v>790</v>
      </c>
      <c r="T65" s="124" t="str">
        <f>IF(N65=CURSOS!$D$3,"DIPLOMADO EN ATENCION PRE-HOSPITALARIA",IF(N65=CURSOS!$D$4,"ACOMPAÑAMIENTO Y MANEJO DEL DUELO",IF(N65=CURSOS!$D$5,"ATENCION A VICTIMAS DE ATAQUE CON AGENTES QUIMICOS ",IF(N65=CURSOS!$D$6,"PRIMEROS AUXILIOS ",IF(N65=CURSOS!$D$7,"DIPLOMADO DE UNIDAD DE CUIDADOS INTENSIVOS (UCI)",IF(N65=CURSOS!$D$8,"MODELO DE ATENCION PARA EVENTOS EMERGENTES EN SALUD MENTAL (CODIGO VERDE)",IF(N65=CURSOS!$D$9,"HUMANIZACION EN EL SERVICIO DE LA SALUD Y BUENAS PRACTICAS EN PACIENTE ",IF(N65=CURSOS!$D$10,"CLINICA DE HERIDAS ",IF(N65=CURSOS!$D$11,"TOMA DE CITOLOGIA CERVICO VAGINAL ",IF(N65=CURSOS!$D$12,"SOPORTE CARDIOVASCULAR AVANZADO (ACLS) ",IF(N65=CURSOS!$D$13,"CAMILLERO ",IF(N65=CURSOS!$D$14,"TOMA DE MUESTRAS Y LABORATORIO ",IF(N65=CURSOS!$D$15,"SOPORTE VITAL BASICO (BLS)",IF(N65=CURSOS!$D$16,"ATENCION A VICTIMAS DE VIOLENCIA SEXUAL ",IF(N65=CURSOS!$D$17,"PROGRAMADO AMPLIADO DE INMUNIZACION (PAI - COVID 19)",IF(N65=CURSOS!$D$18,"ATENCION INTEGRAL EN ENFERMEDADES PREVALENTES EN PRIMERA INFANCIA (AIEPI)",IF(N65=CURSOS!$D$19,"ADMINISTRACION DE MEDICAMENTOS, INYECTOLOGIA  Y CANALIZACION ",IF(N65=CURSOS!$D$20,"OPERADOR DE VEHICULOS DE EMERGENCIA (OVE)",IF(N65=CURSOS!$D$21,"INSTITUCIONES AMIGAS DE LA MUJER Y LA INFANCIA (IAMI)",IF(N65=CURSOS!$D$22,"CUIDADO DEL DONANTE DE ORGANOS",IF(N65=CURSOS!$D$23,"ATENCION A VICTIMAS POR VIOLENCIA DE GENERO",IF(N65=CURSOS!$D$24,"IGUALDAD DE GENERO EN LA SALUD",IF(N65=CURSOS!$D$25,"BRIGADA DE EMERGENCIA",IF(N65=CURSOS!$D$26,"MANEJO DEL DOLOR Y CUIDADOS PALIATIVOS",IF(N65=CURSOS!$D$27,"TOMA DE MUESTRAS Y LABORATORIO POCT",IF(N65=CURSOS!$D$28,"IMPLANTE SUBDERMICO DE DISPOSITIVO INTRAUTERINO",IF(N65=CURSOS!$D$29,"SALUD MENTAL",IF(N65=CURSOS!$D$30,"PRIMEROS AUXILIOS PSICOLOGICOS",IF(N65=CURSOS!$D$31,"ATENCION A VICTIMAS POR CONFLICTO ARMADO",IF(N65=CURSOS!$D$32,"MANIPULACION DE ALIMENTOS Y BPM",IF(N65=CURSOS!$D$33,"ATENCION A PERSONAS CON DISCAPACIDAD",IF(N65=CURSOS!$D$34,"CUIDADO INTEGRAL DEL PACIENTE ADULTO",IF(N65=CURSOS!$D$35,"MANEJO DEFENSIVO",IF(N65=CURSOS!$D$36,"SOPORTE CARDIOVASCULAR AVANZADO NEONATAL"))))))))))))))))))))))))))))))))))</f>
        <v>TOMA DE MUESTRAS Y LABORATORIO POCT</v>
      </c>
      <c r="U65" s="124" t="str">
        <f t="shared" si="6"/>
        <v>Anabel Del carmen Parra Prado</v>
      </c>
      <c r="V65" s="124" t="str">
        <f t="shared" si="7"/>
        <v>Anabel Del Carmen Parra Prado</v>
      </c>
      <c r="W65" s="138" t="str">
        <f t="shared" si="8"/>
        <v>Anabel Del carmen Parra Prado-1085274932-POCT</v>
      </c>
    </row>
    <row r="66" spans="1:23" x14ac:dyDescent="0.2">
      <c r="A66" s="42">
        <v>65</v>
      </c>
      <c r="B66" s="139">
        <v>1087959003</v>
      </c>
      <c r="C66" s="139" t="s">
        <v>410</v>
      </c>
      <c r="D66" s="139" t="s">
        <v>410</v>
      </c>
      <c r="E66" s="139" t="s">
        <v>416</v>
      </c>
      <c r="F66" s="139" t="s">
        <v>490</v>
      </c>
      <c r="G66" s="140">
        <v>19</v>
      </c>
      <c r="H66" s="140" t="s">
        <v>89</v>
      </c>
      <c r="I66" s="141"/>
      <c r="J66" s="142">
        <v>40000</v>
      </c>
      <c r="K66" s="140"/>
      <c r="L66" s="140" t="s">
        <v>90</v>
      </c>
      <c r="M66" s="140" t="s">
        <v>275</v>
      </c>
      <c r="N66" s="143" t="s">
        <v>63</v>
      </c>
      <c r="O66" s="144">
        <v>33068</v>
      </c>
      <c r="P66" s="140" t="s">
        <v>91</v>
      </c>
      <c r="Q66" s="139" t="s">
        <v>126</v>
      </c>
      <c r="R66" s="139">
        <v>3136873399</v>
      </c>
      <c r="S66" s="147" t="s">
        <v>790</v>
      </c>
      <c r="T66" s="124" t="str">
        <f>IF(N66=CURSOS!$D$3,"DIPLOMADO EN ATENCION PRE-HOSPITALARIA",IF(N66=CURSOS!$D$4,"ACOMPAÑAMIENTO Y MANEJO DEL DUELO",IF(N66=CURSOS!$D$5,"ATENCION A VICTIMAS DE ATAQUE CON AGENTES QUIMICOS ",IF(N66=CURSOS!$D$6,"PRIMEROS AUXILIOS ",IF(N66=CURSOS!$D$7,"DIPLOMADO DE UNIDAD DE CUIDADOS INTENSIVOS (UCI)",IF(N66=CURSOS!$D$8,"MODELO DE ATENCION PARA EVENTOS EMERGENTES EN SALUD MENTAL (CODIGO VERDE)",IF(N66=CURSOS!$D$9,"HUMANIZACION EN EL SERVICIO DE LA SALUD Y BUENAS PRACTICAS EN PACIENTE ",IF(N66=CURSOS!$D$10,"CLINICA DE HERIDAS ",IF(N66=CURSOS!$D$11,"TOMA DE CITOLOGIA CERVICO VAGINAL ",IF(N66=CURSOS!$D$12,"SOPORTE CARDIOVASCULAR AVANZADO (ACLS) ",IF(N66=CURSOS!$D$13,"CAMILLERO ",IF(N66=CURSOS!$D$14,"TOMA DE MUESTRAS Y LABORATORIO ",IF(N66=CURSOS!$D$15,"SOPORTE VITAL BASICO (BLS)",IF(N66=CURSOS!$D$16,"ATENCION A VICTIMAS DE VIOLENCIA SEXUAL ",IF(N66=CURSOS!$D$17,"PROGRAMADO AMPLIADO DE INMUNIZACION (PAI - COVID 19)",IF(N66=CURSOS!$D$18,"ATENCION INTEGRAL EN ENFERMEDADES PREVALENTES EN PRIMERA INFANCIA (AIEPI)",IF(N66=CURSOS!$D$19,"ADMINISTRACION DE MEDICAMENTOS, INYECTOLOGIA  Y CANALIZACION ",IF(N66=CURSOS!$D$20,"OPERADOR DE VEHICULOS DE EMERGENCIA (OVE)",IF(N66=CURSOS!$D$21,"INSTITUCIONES AMIGAS DE LA MUJER Y LA INFANCIA (IAMI)",IF(N66=CURSOS!$D$22,"CUIDADO DEL DONANTE DE ORGANOS",IF(N66=CURSOS!$D$23,"ATENCION A VICTIMAS POR VIOLENCIA DE GENERO",IF(N66=CURSOS!$D$24,"IGUALDAD DE GENERO EN LA SALUD",IF(N66=CURSOS!$D$25,"BRIGADA DE EMERGENCIA",IF(N66=CURSOS!$D$26,"MANEJO DEL DOLOR Y CUIDADOS PALIATIVOS",IF(N66=CURSOS!$D$27,"TOMA DE MUESTRAS Y LABORATORIO POCT",IF(N66=CURSOS!$D$28,"IMPLANTE SUBDERMICO DE DISPOSITIVO INTRAUTERINO",IF(N66=CURSOS!$D$29,"SALUD MENTAL",IF(N66=CURSOS!$D$30,"PRIMEROS AUXILIOS PSICOLOGICOS",IF(N66=CURSOS!$D$31,"ATENCION A VICTIMAS POR CONFLICTO ARMADO",IF(N66=CURSOS!$D$32,"MANIPULACION DE ALIMENTOS Y BPM",IF(N66=CURSOS!$D$33,"ATENCION A PERSONAS CON DISCAPACIDAD",IF(N66=CURSOS!$D$34,"CUIDADO INTEGRAL DEL PACIENTE ADULTO",IF(N66=CURSOS!$D$35,"MANEJO DEFENSIVO",IF(N66=CURSOS!$D$36,"SOPORTE CARDIOVASCULAR AVANZADO NEONATAL"))))))))))))))))))))))))))))))))))</f>
        <v>TOMA DE MUESTRAS Y LABORATORIO POCT</v>
      </c>
      <c r="U66" s="124" t="str">
        <f t="shared" si="6"/>
        <v>Omar Augusto Insuasty Insuasty</v>
      </c>
      <c r="V66" s="124" t="str">
        <f t="shared" si="7"/>
        <v>Omar Augusto Insuasty Insuasty</v>
      </c>
      <c r="W66" s="138" t="str">
        <f t="shared" si="8"/>
        <v>Omar Augusto Insuasty Insuasty-1087959003-POCT</v>
      </c>
    </row>
    <row r="67" spans="1:23" ht="15.75" x14ac:dyDescent="0.25">
      <c r="A67" s="42">
        <v>66</v>
      </c>
      <c r="B67" s="139">
        <v>1085280682</v>
      </c>
      <c r="C67" s="139" t="s">
        <v>121</v>
      </c>
      <c r="D67" s="139" t="s">
        <v>269</v>
      </c>
      <c r="E67" s="139" t="s">
        <v>95</v>
      </c>
      <c r="F67" s="139" t="s">
        <v>267</v>
      </c>
      <c r="G67" s="140">
        <v>19</v>
      </c>
      <c r="H67" s="140" t="s">
        <v>89</v>
      </c>
      <c r="I67" s="141">
        <v>45490</v>
      </c>
      <c r="J67" s="202">
        <v>40000</v>
      </c>
      <c r="K67" s="203" t="s">
        <v>210</v>
      </c>
      <c r="L67" s="140" t="s">
        <v>90</v>
      </c>
      <c r="M67" s="140" t="s">
        <v>275</v>
      </c>
      <c r="N67" s="143" t="s">
        <v>63</v>
      </c>
      <c r="O67" s="144">
        <v>32978</v>
      </c>
      <c r="P67" s="140" t="s">
        <v>101</v>
      </c>
      <c r="Q67" s="139" t="s">
        <v>126</v>
      </c>
      <c r="R67" s="139">
        <v>3171678216</v>
      </c>
      <c r="S67" s="147" t="s">
        <v>791</v>
      </c>
      <c r="T67" s="124" t="str">
        <f>IF(N67=CURSOS!$D$3,"DIPLOMADO EN ATENCION PRE-HOSPITALARIA",IF(N67=CURSOS!$D$4,"ACOMPAÑAMIENTO Y MANEJO DEL DUELO",IF(N67=CURSOS!$D$5,"ATENCION A VICTIMAS DE ATAQUE CON AGENTES QUIMICOS ",IF(N67=CURSOS!$D$6,"PRIMEROS AUXILIOS ",IF(N67=CURSOS!$D$7,"DIPLOMADO DE UNIDAD DE CUIDADOS INTENSIVOS (UCI)",IF(N67=CURSOS!$D$8,"MODELO DE ATENCION PARA EVENTOS EMERGENTES EN SALUD MENTAL (CODIGO VERDE)",IF(N67=CURSOS!$D$9,"HUMANIZACION EN EL SERVICIO DE LA SALUD Y BUENAS PRACTICAS EN PACIENTE ",IF(N67=CURSOS!$D$10,"CLINICA DE HERIDAS ",IF(N67=CURSOS!$D$11,"TOMA DE CITOLOGIA CERVICO VAGINAL ",IF(N67=CURSOS!$D$12,"SOPORTE CARDIOVASCULAR AVANZADO (ACLS) ",IF(N67=CURSOS!$D$13,"CAMILLERO ",IF(N67=CURSOS!$D$14,"TOMA DE MUESTRAS Y LABORATORIO ",IF(N67=CURSOS!$D$15,"SOPORTE VITAL BASICO (BLS)",IF(N67=CURSOS!$D$16,"ATENCION A VICTIMAS DE VIOLENCIA SEXUAL ",IF(N67=CURSOS!$D$17,"PROGRAMADO AMPLIADO DE INMUNIZACION (PAI - COVID 19)",IF(N67=CURSOS!$D$18,"ATENCION INTEGRAL EN ENFERMEDADES PREVALENTES EN PRIMERA INFANCIA (AIEPI)",IF(N67=CURSOS!$D$19,"ADMINISTRACION DE MEDICAMENTOS, INYECTOLOGIA  Y CANALIZACION ",IF(N67=CURSOS!$D$20,"OPERADOR DE VEHICULOS DE EMERGENCIA (OVE)",IF(N67=CURSOS!$D$21,"INSTITUCIONES AMIGAS DE LA MUJER Y LA INFANCIA (IAMI)",IF(N67=CURSOS!$D$22,"CUIDADO DEL DONANTE DE ORGANOS",IF(N67=CURSOS!$D$23,"ATENCION A VICTIMAS POR VIOLENCIA DE GENERO",IF(N67=CURSOS!$D$24,"IGUALDAD DE GENERO EN LA SALUD",IF(N67=CURSOS!$D$25,"BRIGADA DE EMERGENCIA",IF(N67=CURSOS!$D$26,"MANEJO DEL DOLOR Y CUIDADOS PALIATIVOS",IF(N67=CURSOS!$D$27,"TOMA DE MUESTRAS Y LABORATORIO POCT",IF(N67=CURSOS!$D$28,"IMPLANTE SUBDERMICO DE DISPOSITIVO INTRAUTERINO",IF(N67=CURSOS!$D$29,"SALUD MENTAL",IF(N67=CURSOS!$D$30,"PRIMEROS AUXILIOS PSICOLOGICOS",IF(N67=CURSOS!$D$31,"ATENCION A VICTIMAS POR CONFLICTO ARMADO",IF(N67=CURSOS!$D$32,"MANIPULACION DE ALIMENTOS Y BPM",IF(N67=CURSOS!$D$33,"ATENCION A PERSONAS CON DISCAPACIDAD",IF(N67=CURSOS!$D$34,"CUIDADO INTEGRAL DEL PACIENTE ADULTO",IF(N67=CURSOS!$D$35,"MANEJO DEFENSIVO",IF(N67=CURSOS!$D$36,"SOPORTE CARDIOVASCULAR AVANZADO NEONATAL"))))))))))))))))))))))))))))))))))</f>
        <v>TOMA DE MUESTRAS Y LABORATORIO POCT</v>
      </c>
      <c r="U67" s="124" t="str">
        <f t="shared" si="6"/>
        <v>Maria Cristina Pantoja Martinez</v>
      </c>
      <c r="V67" s="124" t="str">
        <f t="shared" si="7"/>
        <v>Maria Cristina Pantoja Martinez</v>
      </c>
      <c r="W67" s="138" t="str">
        <f t="shared" si="8"/>
        <v>Maria Cristina Pantoja Martinez-1085280682-POCT</v>
      </c>
    </row>
    <row r="68" spans="1:23" x14ac:dyDescent="0.2">
      <c r="A68" s="42">
        <v>67</v>
      </c>
      <c r="B68" s="139">
        <v>37088223</v>
      </c>
      <c r="C68" s="139" t="s">
        <v>172</v>
      </c>
      <c r="D68" s="139" t="s">
        <v>169</v>
      </c>
      <c r="E68" s="139" t="s">
        <v>491</v>
      </c>
      <c r="F68" s="139" t="s">
        <v>492</v>
      </c>
      <c r="G68" s="140">
        <v>19</v>
      </c>
      <c r="H68" s="140" t="s">
        <v>89</v>
      </c>
      <c r="I68" s="141"/>
      <c r="J68" s="142">
        <v>40000</v>
      </c>
      <c r="K68" s="140"/>
      <c r="L68" s="140" t="s">
        <v>90</v>
      </c>
      <c r="M68" s="140" t="s">
        <v>275</v>
      </c>
      <c r="N68" s="143" t="s">
        <v>63</v>
      </c>
      <c r="O68" s="144">
        <v>31151</v>
      </c>
      <c r="P68" s="140" t="s">
        <v>101</v>
      </c>
      <c r="Q68" s="139" t="s">
        <v>126</v>
      </c>
      <c r="R68" s="139">
        <v>3206497811</v>
      </c>
      <c r="S68" s="147" t="s">
        <v>792</v>
      </c>
      <c r="T68" s="124" t="str">
        <f>IF(N68=CURSOS!$D$3,"DIPLOMADO EN ATENCION PRE-HOSPITALARIA",IF(N68=CURSOS!$D$4,"ACOMPAÑAMIENTO Y MANEJO DEL DUELO",IF(N68=CURSOS!$D$5,"ATENCION A VICTIMAS DE ATAQUE CON AGENTES QUIMICOS ",IF(N68=CURSOS!$D$6,"PRIMEROS AUXILIOS ",IF(N68=CURSOS!$D$7,"DIPLOMADO DE UNIDAD DE CUIDADOS INTENSIVOS (UCI)",IF(N68=CURSOS!$D$8,"MODELO DE ATENCION PARA EVENTOS EMERGENTES EN SALUD MENTAL (CODIGO VERDE)",IF(N68=CURSOS!$D$9,"HUMANIZACION EN EL SERVICIO DE LA SALUD Y BUENAS PRACTICAS EN PACIENTE ",IF(N68=CURSOS!$D$10,"CLINICA DE HERIDAS ",IF(N68=CURSOS!$D$11,"TOMA DE CITOLOGIA CERVICO VAGINAL ",IF(N68=CURSOS!$D$12,"SOPORTE CARDIOVASCULAR AVANZADO (ACLS) ",IF(N68=CURSOS!$D$13,"CAMILLERO ",IF(N68=CURSOS!$D$14,"TOMA DE MUESTRAS Y LABORATORIO ",IF(N68=CURSOS!$D$15,"SOPORTE VITAL BASICO (BLS)",IF(N68=CURSOS!$D$16,"ATENCION A VICTIMAS DE VIOLENCIA SEXUAL ",IF(N68=CURSOS!$D$17,"PROGRAMADO AMPLIADO DE INMUNIZACION (PAI - COVID 19)",IF(N68=CURSOS!$D$18,"ATENCION INTEGRAL EN ENFERMEDADES PREVALENTES EN PRIMERA INFANCIA (AIEPI)",IF(N68=CURSOS!$D$19,"ADMINISTRACION DE MEDICAMENTOS, INYECTOLOGIA  Y CANALIZACION ",IF(N68=CURSOS!$D$20,"OPERADOR DE VEHICULOS DE EMERGENCIA (OVE)",IF(N68=CURSOS!$D$21,"INSTITUCIONES AMIGAS DE LA MUJER Y LA INFANCIA (IAMI)",IF(N68=CURSOS!$D$22,"CUIDADO DEL DONANTE DE ORGANOS",IF(N68=CURSOS!$D$23,"ATENCION A VICTIMAS POR VIOLENCIA DE GENERO",IF(N68=CURSOS!$D$24,"IGUALDAD DE GENERO EN LA SALUD",IF(N68=CURSOS!$D$25,"BRIGADA DE EMERGENCIA",IF(N68=CURSOS!$D$26,"MANEJO DEL DOLOR Y CUIDADOS PALIATIVOS",IF(N68=CURSOS!$D$27,"TOMA DE MUESTRAS Y LABORATORIO POCT",IF(N68=CURSOS!$D$28,"IMPLANTE SUBDERMICO DE DISPOSITIVO INTRAUTERINO",IF(N68=CURSOS!$D$29,"SALUD MENTAL",IF(N68=CURSOS!$D$30,"PRIMEROS AUXILIOS PSICOLOGICOS",IF(N68=CURSOS!$D$31,"ATENCION A VICTIMAS POR CONFLICTO ARMADO",IF(N68=CURSOS!$D$32,"MANIPULACION DE ALIMENTOS Y BPM",IF(N68=CURSOS!$D$33,"ATENCION A PERSONAS CON DISCAPACIDAD",IF(N68=CURSOS!$D$34,"CUIDADO INTEGRAL DEL PACIENTE ADULTO",IF(N68=CURSOS!$D$35,"MANEJO DEFENSIVO",IF(N68=CURSOS!$D$36,"SOPORTE CARDIOVASCULAR AVANZADO NEONATAL"))))))))))))))))))))))))))))))))))</f>
        <v>TOMA DE MUESTRAS Y LABORATORIO POCT</v>
      </c>
      <c r="U68" s="124" t="str">
        <f t="shared" si="6"/>
        <v>Omayra Mercedes Lopez Paz</v>
      </c>
      <c r="V68" s="124" t="str">
        <f t="shared" si="7"/>
        <v>Omayra Mercedes Lopez Paz</v>
      </c>
      <c r="W68" s="138" t="str">
        <f t="shared" si="8"/>
        <v>Omayra Mercedes Lopez Paz-37088223-POCT</v>
      </c>
    </row>
    <row r="69" spans="1:23" x14ac:dyDescent="0.2">
      <c r="A69" s="42">
        <v>68</v>
      </c>
      <c r="B69" s="139">
        <v>1085254978</v>
      </c>
      <c r="C69" s="139" t="s">
        <v>143</v>
      </c>
      <c r="D69" s="139" t="s">
        <v>144</v>
      </c>
      <c r="E69" s="139" t="s">
        <v>145</v>
      </c>
      <c r="F69" s="139" t="s">
        <v>146</v>
      </c>
      <c r="G69" s="140">
        <v>19</v>
      </c>
      <c r="H69" s="140" t="s">
        <v>89</v>
      </c>
      <c r="I69" s="141"/>
      <c r="J69" s="142">
        <v>40000</v>
      </c>
      <c r="K69" s="140"/>
      <c r="L69" s="140" t="s">
        <v>90</v>
      </c>
      <c r="M69" s="140" t="s">
        <v>275</v>
      </c>
      <c r="N69" s="143" t="s">
        <v>63</v>
      </c>
      <c r="O69" s="144">
        <v>31742</v>
      </c>
      <c r="P69" s="140" t="s">
        <v>91</v>
      </c>
      <c r="Q69" s="139" t="s">
        <v>126</v>
      </c>
      <c r="R69" s="139">
        <v>3103714678</v>
      </c>
      <c r="S69" s="139" t="s">
        <v>186</v>
      </c>
      <c r="T69" s="124" t="str">
        <f>IF(N69=CURSOS!$D$3,"DIPLOMADO EN ATENCION PRE-HOSPITALARIA",IF(N69=CURSOS!$D$4,"ACOMPAÑAMIENTO Y MANEJO DEL DUELO",IF(N69=CURSOS!$D$5,"ATENCION A VICTIMAS DE ATAQUE CON AGENTES QUIMICOS ",IF(N69=CURSOS!$D$6,"PRIMEROS AUXILIOS ",IF(N69=CURSOS!$D$7,"DIPLOMADO DE UNIDAD DE CUIDADOS INTENSIVOS (UCI)",IF(N69=CURSOS!$D$8,"MODELO DE ATENCION PARA EVENTOS EMERGENTES EN SALUD MENTAL (CODIGO VERDE)",IF(N69=CURSOS!$D$9,"HUMANIZACION EN EL SERVICIO DE LA SALUD Y BUENAS PRACTICAS EN PACIENTE ",IF(N69=CURSOS!$D$10,"CLINICA DE HERIDAS ",IF(N69=CURSOS!$D$11,"TOMA DE CITOLOGIA CERVICO VAGINAL ",IF(N69=CURSOS!$D$12,"SOPORTE CARDIOVASCULAR AVANZADO (ACLS) ",IF(N69=CURSOS!$D$13,"CAMILLERO ",IF(N69=CURSOS!$D$14,"TOMA DE MUESTRAS Y LABORATORIO ",IF(N69=CURSOS!$D$15,"SOPORTE VITAL BASICO (BLS)",IF(N69=CURSOS!$D$16,"ATENCION A VICTIMAS DE VIOLENCIA SEXUAL ",IF(N69=CURSOS!$D$17,"PROGRAMADO AMPLIADO DE INMUNIZACION (PAI - COVID 19)",IF(N69=CURSOS!$D$18,"ATENCION INTEGRAL EN ENFERMEDADES PREVALENTES EN PRIMERA INFANCIA (AIEPI)",IF(N69=CURSOS!$D$19,"ADMINISTRACION DE MEDICAMENTOS, INYECTOLOGIA  Y CANALIZACION ",IF(N69=CURSOS!$D$20,"OPERADOR DE VEHICULOS DE EMERGENCIA (OVE)",IF(N69=CURSOS!$D$21,"INSTITUCIONES AMIGAS DE LA MUJER Y LA INFANCIA (IAMI)",IF(N69=CURSOS!$D$22,"CUIDADO DEL DONANTE DE ORGANOS",IF(N69=CURSOS!$D$23,"ATENCION A VICTIMAS POR VIOLENCIA DE GENERO",IF(N69=CURSOS!$D$24,"IGUALDAD DE GENERO EN LA SALUD",IF(N69=CURSOS!$D$25,"BRIGADA DE EMERGENCIA",IF(N69=CURSOS!$D$26,"MANEJO DEL DOLOR Y CUIDADOS PALIATIVOS",IF(N69=CURSOS!$D$27,"TOMA DE MUESTRAS Y LABORATORIO POCT",IF(N69=CURSOS!$D$28,"IMPLANTE SUBDERMICO DE DISPOSITIVO INTRAUTERINO",IF(N69=CURSOS!$D$29,"SALUD MENTAL",IF(N69=CURSOS!$D$30,"PRIMEROS AUXILIOS PSICOLOGICOS",IF(N69=CURSOS!$D$31,"ATENCION A VICTIMAS POR CONFLICTO ARMADO",IF(N69=CURSOS!$D$32,"MANIPULACION DE ALIMENTOS Y BPM",IF(N69=CURSOS!$D$33,"ATENCION A PERSONAS CON DISCAPACIDAD",IF(N69=CURSOS!$D$34,"CUIDADO INTEGRAL DEL PACIENTE ADULTO",IF(N69=CURSOS!$D$35,"MANEJO DEFENSIVO",IF(N69=CURSOS!$D$36,"SOPORTE CARDIOVASCULAR AVANZADO NEONATAL"))))))))))))))))))))))))))))))))))</f>
        <v>TOMA DE MUESTRAS Y LABORATORIO POCT</v>
      </c>
      <c r="U69" s="124" t="str">
        <f t="shared" si="6"/>
        <v>Oscar Alexander Villa Bravo</v>
      </c>
      <c r="V69" s="124" t="str">
        <f t="shared" si="7"/>
        <v>Oscar Alexander Villa Bravo</v>
      </c>
      <c r="W69" s="138" t="str">
        <f t="shared" si="8"/>
        <v>Oscar Alexander Villa Bravo-1085254978-POCT</v>
      </c>
    </row>
    <row r="70" spans="1:23" ht="15.75" x14ac:dyDescent="0.25">
      <c r="A70" s="42">
        <v>69</v>
      </c>
      <c r="B70" s="139">
        <v>1085314820</v>
      </c>
      <c r="C70" s="139" t="s">
        <v>474</v>
      </c>
      <c r="D70" s="139" t="s">
        <v>496</v>
      </c>
      <c r="E70" s="139" t="s">
        <v>95</v>
      </c>
      <c r="F70" s="139" t="s">
        <v>112</v>
      </c>
      <c r="G70" s="140">
        <v>19</v>
      </c>
      <c r="H70" s="140" t="s">
        <v>89</v>
      </c>
      <c r="I70" s="141">
        <v>45490</v>
      </c>
      <c r="J70" s="202">
        <v>40000</v>
      </c>
      <c r="K70" s="203" t="s">
        <v>210</v>
      </c>
      <c r="L70" s="140" t="s">
        <v>90</v>
      </c>
      <c r="M70" s="140" t="s">
        <v>275</v>
      </c>
      <c r="N70" s="143" t="s">
        <v>63</v>
      </c>
      <c r="O70" s="144">
        <v>34571</v>
      </c>
      <c r="P70" s="140" t="s">
        <v>101</v>
      </c>
      <c r="Q70" s="139" t="s">
        <v>202</v>
      </c>
      <c r="R70" s="139">
        <v>3042141332</v>
      </c>
      <c r="S70" s="182" t="s">
        <v>680</v>
      </c>
      <c r="T70" s="124" t="str">
        <f>IF(N70=CURSOS!$D$3,"DIPLOMADO EN ATENCION PRE-HOSPITALARIA",IF(N70=CURSOS!$D$4,"ACOMPAÑAMIENTO Y MANEJO DEL DUELO",IF(N70=CURSOS!$D$5,"ATENCION A VICTIMAS DE ATAQUE CON AGENTES QUIMICOS ",IF(N70=CURSOS!$D$6,"PRIMEROS AUXILIOS ",IF(N70=CURSOS!$D$7,"DIPLOMADO DE UNIDAD DE CUIDADOS INTENSIVOS (UCI)",IF(N70=CURSOS!$D$8,"MODELO DE ATENCION PARA EVENTOS EMERGENTES EN SALUD MENTAL (CODIGO VERDE)",IF(N70=CURSOS!$D$9,"HUMANIZACION EN EL SERVICIO DE LA SALUD Y BUENAS PRACTICAS EN PACIENTE ",IF(N70=CURSOS!$D$10,"CLINICA DE HERIDAS ",IF(N70=CURSOS!$D$11,"TOMA DE CITOLOGIA CERVICO VAGINAL ",IF(N70=CURSOS!$D$12,"SOPORTE CARDIOVASCULAR AVANZADO (ACLS) ",IF(N70=CURSOS!$D$13,"CAMILLERO ",IF(N70=CURSOS!$D$14,"TOMA DE MUESTRAS Y LABORATORIO ",IF(N70=CURSOS!$D$15,"SOPORTE VITAL BASICO (BLS)",IF(N70=CURSOS!$D$16,"ATENCION A VICTIMAS DE VIOLENCIA SEXUAL ",IF(N70=CURSOS!$D$17,"PROGRAMADO AMPLIADO DE INMUNIZACION (PAI - COVID 19)",IF(N70=CURSOS!$D$18,"ATENCION INTEGRAL EN ENFERMEDADES PREVALENTES EN PRIMERA INFANCIA (AIEPI)",IF(N70=CURSOS!$D$19,"ADMINISTRACION DE MEDICAMENTOS, INYECTOLOGIA  Y CANALIZACION ",IF(N70=CURSOS!$D$20,"OPERADOR DE VEHICULOS DE EMERGENCIA (OVE)",IF(N70=CURSOS!$D$21,"INSTITUCIONES AMIGAS DE LA MUJER Y LA INFANCIA (IAMI)",IF(N70=CURSOS!$D$22,"CUIDADO DEL DONANTE DE ORGANOS",IF(N70=CURSOS!$D$23,"ATENCION A VICTIMAS POR VIOLENCIA DE GENERO",IF(N70=CURSOS!$D$24,"IGUALDAD DE GENERO EN LA SALUD",IF(N70=CURSOS!$D$25,"BRIGADA DE EMERGENCIA",IF(N70=CURSOS!$D$26,"MANEJO DEL DOLOR Y CUIDADOS PALIATIVOS",IF(N70=CURSOS!$D$27,"TOMA DE MUESTRAS Y LABORATORIO POCT",IF(N70=CURSOS!$D$28,"IMPLANTE SUBDERMICO DE DISPOSITIVO INTRAUTERINO",IF(N70=CURSOS!$D$29,"SALUD MENTAL",IF(N70=CURSOS!$D$30,"PRIMEROS AUXILIOS PSICOLOGICOS",IF(N70=CURSOS!$D$31,"ATENCION A VICTIMAS POR CONFLICTO ARMADO",IF(N70=CURSOS!$D$32,"MANIPULACION DE ALIMENTOS Y BPM",IF(N70=CURSOS!$D$33,"ATENCION A PERSONAS CON DISCAPACIDAD",IF(N70=CURSOS!$D$34,"CUIDADO INTEGRAL DEL PACIENTE ADULTO",IF(N70=CURSOS!$D$35,"MANEJO DEFENSIVO",IF(N70=CURSOS!$D$36,"SOPORTE CARDIOVASCULAR AVANZADO NEONATAL"))))))))))))))))))))))))))))))))))</f>
        <v>TOMA DE MUESTRAS Y LABORATORIO POCT</v>
      </c>
      <c r="U70" s="124" t="str">
        <f t="shared" si="6"/>
        <v>Maria Fernanda Torres Paladines</v>
      </c>
      <c r="V70" s="124" t="str">
        <f t="shared" si="7"/>
        <v>Maria Fernanda Torres Paladines</v>
      </c>
      <c r="W70" s="138" t="str">
        <f t="shared" si="8"/>
        <v>Maria Fernanda Torres Paladines-1085314820-POCT</v>
      </c>
    </row>
    <row r="71" spans="1:23" x14ac:dyDescent="0.2">
      <c r="A71" s="42">
        <v>70</v>
      </c>
      <c r="B71" s="139">
        <v>1085300368</v>
      </c>
      <c r="C71" s="139" t="s">
        <v>115</v>
      </c>
      <c r="D71" s="139" t="s">
        <v>500</v>
      </c>
      <c r="E71" s="139" t="s">
        <v>237</v>
      </c>
      <c r="F71" s="139" t="s">
        <v>146</v>
      </c>
      <c r="G71" s="140">
        <v>19</v>
      </c>
      <c r="H71" s="140" t="s">
        <v>89</v>
      </c>
      <c r="I71" s="141"/>
      <c r="J71" s="142">
        <v>40000</v>
      </c>
      <c r="K71" s="140"/>
      <c r="L71" s="140" t="s">
        <v>90</v>
      </c>
      <c r="M71" s="140" t="s">
        <v>275</v>
      </c>
      <c r="N71" s="143" t="s">
        <v>63</v>
      </c>
      <c r="O71" s="144">
        <v>33757</v>
      </c>
      <c r="P71" s="140" t="s">
        <v>91</v>
      </c>
      <c r="Q71" s="139" t="s">
        <v>202</v>
      </c>
      <c r="R71" s="139">
        <v>3113818668</v>
      </c>
      <c r="S71" s="139" t="s">
        <v>793</v>
      </c>
      <c r="T71" s="124" t="str">
        <f>IF(N71=CURSOS!$D$3,"DIPLOMADO EN ATENCION PRE-HOSPITALARIA",IF(N71=CURSOS!$D$4,"ACOMPAÑAMIENTO Y MANEJO DEL DUELO",IF(N71=CURSOS!$D$5,"ATENCION A VICTIMAS DE ATAQUE CON AGENTES QUIMICOS ",IF(N71=CURSOS!$D$6,"PRIMEROS AUXILIOS ",IF(N71=CURSOS!$D$7,"DIPLOMADO DE UNIDAD DE CUIDADOS INTENSIVOS (UCI)",IF(N71=CURSOS!$D$8,"MODELO DE ATENCION PARA EVENTOS EMERGENTES EN SALUD MENTAL (CODIGO VERDE)",IF(N71=CURSOS!$D$9,"HUMANIZACION EN EL SERVICIO DE LA SALUD Y BUENAS PRACTICAS EN PACIENTE ",IF(N71=CURSOS!$D$10,"CLINICA DE HERIDAS ",IF(N71=CURSOS!$D$11,"TOMA DE CITOLOGIA CERVICO VAGINAL ",IF(N71=CURSOS!$D$12,"SOPORTE CARDIOVASCULAR AVANZADO (ACLS) ",IF(N71=CURSOS!$D$13,"CAMILLERO ",IF(N71=CURSOS!$D$14,"TOMA DE MUESTRAS Y LABORATORIO ",IF(N71=CURSOS!$D$15,"SOPORTE VITAL BASICO (BLS)",IF(N71=CURSOS!$D$16,"ATENCION A VICTIMAS DE VIOLENCIA SEXUAL ",IF(N71=CURSOS!$D$17,"PROGRAMADO AMPLIADO DE INMUNIZACION (PAI - COVID 19)",IF(N71=CURSOS!$D$18,"ATENCION INTEGRAL EN ENFERMEDADES PREVALENTES EN PRIMERA INFANCIA (AIEPI)",IF(N71=CURSOS!$D$19,"ADMINISTRACION DE MEDICAMENTOS, INYECTOLOGIA  Y CANALIZACION ",IF(N71=CURSOS!$D$20,"OPERADOR DE VEHICULOS DE EMERGENCIA (OVE)",IF(N71=CURSOS!$D$21,"INSTITUCIONES AMIGAS DE LA MUJER Y LA INFANCIA (IAMI)",IF(N71=CURSOS!$D$22,"CUIDADO DEL DONANTE DE ORGANOS",IF(N71=CURSOS!$D$23,"ATENCION A VICTIMAS POR VIOLENCIA DE GENERO",IF(N71=CURSOS!$D$24,"IGUALDAD DE GENERO EN LA SALUD",IF(N71=CURSOS!$D$25,"BRIGADA DE EMERGENCIA",IF(N71=CURSOS!$D$26,"MANEJO DEL DOLOR Y CUIDADOS PALIATIVOS",IF(N71=CURSOS!$D$27,"TOMA DE MUESTRAS Y LABORATORIO POCT",IF(N71=CURSOS!$D$28,"IMPLANTE SUBDERMICO DE DISPOSITIVO INTRAUTERINO",IF(N71=CURSOS!$D$29,"SALUD MENTAL",IF(N71=CURSOS!$D$30,"PRIMEROS AUXILIOS PSICOLOGICOS",IF(N71=CURSOS!$D$31,"ATENCION A VICTIMAS POR CONFLICTO ARMADO",IF(N71=CURSOS!$D$32,"MANIPULACION DE ALIMENTOS Y BPM",IF(N71=CURSOS!$D$33,"ATENCION A PERSONAS CON DISCAPACIDAD",IF(N71=CURSOS!$D$34,"CUIDADO INTEGRAL DEL PACIENTE ADULTO",IF(N71=CURSOS!$D$35,"MANEJO DEFENSIVO",IF(N71=CURSOS!$D$36,"SOPORTE CARDIOVASCULAR AVANZADO NEONATAL"))))))))))))))))))))))))))))))))))</f>
        <v>TOMA DE MUESTRAS Y LABORATORIO POCT</v>
      </c>
      <c r="U71" s="124" t="str">
        <f t="shared" si="6"/>
        <v>Diego Alexander Florez Bacca</v>
      </c>
      <c r="V71" s="124" t="str">
        <f t="shared" si="7"/>
        <v>Diego Alexander Florez Bacca</v>
      </c>
      <c r="W71" s="138" t="str">
        <f t="shared" si="8"/>
        <v>Diego Alexander Florez Bacca-1085300368-POCT</v>
      </c>
    </row>
    <row r="72" spans="1:23" ht="15.75" x14ac:dyDescent="0.25">
      <c r="A72" s="42">
        <v>71</v>
      </c>
      <c r="B72" s="139">
        <v>1085923837</v>
      </c>
      <c r="C72" s="139" t="s">
        <v>501</v>
      </c>
      <c r="D72" s="139" t="s">
        <v>122</v>
      </c>
      <c r="E72" s="139" t="s">
        <v>377</v>
      </c>
      <c r="F72" s="139" t="s">
        <v>502</v>
      </c>
      <c r="G72" s="140">
        <v>19</v>
      </c>
      <c r="H72" s="140" t="s">
        <v>89</v>
      </c>
      <c r="I72" s="141">
        <v>45490</v>
      </c>
      <c r="J72" s="202">
        <v>40000</v>
      </c>
      <c r="K72" s="203" t="s">
        <v>210</v>
      </c>
      <c r="L72" s="140" t="s">
        <v>90</v>
      </c>
      <c r="M72" s="140" t="s">
        <v>275</v>
      </c>
      <c r="N72" s="143" t="s">
        <v>63</v>
      </c>
      <c r="O72" s="144">
        <v>33456</v>
      </c>
      <c r="P72" s="140" t="s">
        <v>101</v>
      </c>
      <c r="Q72" s="139" t="s">
        <v>202</v>
      </c>
      <c r="R72" s="139">
        <v>3168223653</v>
      </c>
      <c r="S72" s="182" t="s">
        <v>679</v>
      </c>
      <c r="T72" s="124" t="str">
        <f>IF(N72=CURSOS!$D$3,"DIPLOMADO EN ATENCION PRE-HOSPITALARIA",IF(N72=CURSOS!$D$4,"ACOMPAÑAMIENTO Y MANEJO DEL DUELO",IF(N72=CURSOS!$D$5,"ATENCION A VICTIMAS DE ATAQUE CON AGENTES QUIMICOS ",IF(N72=CURSOS!$D$6,"PRIMEROS AUXILIOS ",IF(N72=CURSOS!$D$7,"DIPLOMADO DE UNIDAD DE CUIDADOS INTENSIVOS (UCI)",IF(N72=CURSOS!$D$8,"MODELO DE ATENCION PARA EVENTOS EMERGENTES EN SALUD MENTAL (CODIGO VERDE)",IF(N72=CURSOS!$D$9,"HUMANIZACION EN EL SERVICIO DE LA SALUD Y BUENAS PRACTICAS EN PACIENTE ",IF(N72=CURSOS!$D$10,"CLINICA DE HERIDAS ",IF(N72=CURSOS!$D$11,"TOMA DE CITOLOGIA CERVICO VAGINAL ",IF(N72=CURSOS!$D$12,"SOPORTE CARDIOVASCULAR AVANZADO (ACLS) ",IF(N72=CURSOS!$D$13,"CAMILLERO ",IF(N72=CURSOS!$D$14,"TOMA DE MUESTRAS Y LABORATORIO ",IF(N72=CURSOS!$D$15,"SOPORTE VITAL BASICO (BLS)",IF(N72=CURSOS!$D$16,"ATENCION A VICTIMAS DE VIOLENCIA SEXUAL ",IF(N72=CURSOS!$D$17,"PROGRAMADO AMPLIADO DE INMUNIZACION (PAI - COVID 19)",IF(N72=CURSOS!$D$18,"ATENCION INTEGRAL EN ENFERMEDADES PREVALENTES EN PRIMERA INFANCIA (AIEPI)",IF(N72=CURSOS!$D$19,"ADMINISTRACION DE MEDICAMENTOS, INYECTOLOGIA  Y CANALIZACION ",IF(N72=CURSOS!$D$20,"OPERADOR DE VEHICULOS DE EMERGENCIA (OVE)",IF(N72=CURSOS!$D$21,"INSTITUCIONES AMIGAS DE LA MUJER Y LA INFANCIA (IAMI)",IF(N72=CURSOS!$D$22,"CUIDADO DEL DONANTE DE ORGANOS",IF(N72=CURSOS!$D$23,"ATENCION A VICTIMAS POR VIOLENCIA DE GENERO",IF(N72=CURSOS!$D$24,"IGUALDAD DE GENERO EN LA SALUD",IF(N72=CURSOS!$D$25,"BRIGADA DE EMERGENCIA",IF(N72=CURSOS!$D$26,"MANEJO DEL DOLOR Y CUIDADOS PALIATIVOS",IF(N72=CURSOS!$D$27,"TOMA DE MUESTRAS Y LABORATORIO POCT",IF(N72=CURSOS!$D$28,"IMPLANTE SUBDERMICO DE DISPOSITIVO INTRAUTERINO",IF(N72=CURSOS!$D$29,"SALUD MENTAL",IF(N72=CURSOS!$D$30,"PRIMEROS AUXILIOS PSICOLOGICOS",IF(N72=CURSOS!$D$31,"ATENCION A VICTIMAS POR CONFLICTO ARMADO",IF(N72=CURSOS!$D$32,"MANIPULACION DE ALIMENTOS Y BPM",IF(N72=CURSOS!$D$33,"ATENCION A PERSONAS CON DISCAPACIDAD",IF(N72=CURSOS!$D$34,"CUIDADO INTEGRAL DEL PACIENTE ADULTO",IF(N72=CURSOS!$D$35,"MANEJO DEFENSIVO",IF(N72=CURSOS!$D$36,"SOPORTE CARDIOVASCULAR AVANZADO NEONATAL"))))))))))))))))))))))))))))))))))</f>
        <v>TOMA DE MUESTRAS Y LABORATORIO POCT</v>
      </c>
      <c r="U72" s="124" t="str">
        <f t="shared" si="6"/>
        <v>Lorena Steffania Cuasquer Benavides</v>
      </c>
      <c r="V72" s="124" t="str">
        <f t="shared" si="7"/>
        <v>Lorena Steffania Cuasquer Benavides</v>
      </c>
      <c r="W72" s="138" t="str">
        <f t="shared" si="8"/>
        <v>Lorena Steffania Cuasquer Benavides-1085923837-POCT</v>
      </c>
    </row>
    <row r="73" spans="1:23" x14ac:dyDescent="0.2">
      <c r="A73" s="42">
        <v>72</v>
      </c>
      <c r="B73" s="139">
        <v>1085268666</v>
      </c>
      <c r="C73" s="139" t="s">
        <v>85</v>
      </c>
      <c r="D73" s="139" t="s">
        <v>109</v>
      </c>
      <c r="E73" s="139" t="s">
        <v>503</v>
      </c>
      <c r="F73" s="139" t="s">
        <v>137</v>
      </c>
      <c r="G73" s="140">
        <v>19</v>
      </c>
      <c r="H73" s="140" t="s">
        <v>89</v>
      </c>
      <c r="I73" s="141"/>
      <c r="J73" s="142">
        <v>40000</v>
      </c>
      <c r="K73" s="140"/>
      <c r="L73" s="140" t="s">
        <v>90</v>
      </c>
      <c r="M73" s="140" t="s">
        <v>275</v>
      </c>
      <c r="N73" s="143" t="s">
        <v>63</v>
      </c>
      <c r="O73" s="144">
        <v>32329</v>
      </c>
      <c r="P73" s="140" t="s">
        <v>101</v>
      </c>
      <c r="Q73" s="139" t="s">
        <v>126</v>
      </c>
      <c r="R73" s="139">
        <v>3123640605</v>
      </c>
      <c r="S73" s="139" t="s">
        <v>794</v>
      </c>
      <c r="T73" s="124" t="str">
        <f>IF(N73=CURSOS!$D$3,"DIPLOMADO EN ATENCION PRE-HOSPITALARIA",IF(N73=CURSOS!$D$4,"ACOMPAÑAMIENTO Y MANEJO DEL DUELO",IF(N73=CURSOS!$D$5,"ATENCION A VICTIMAS DE ATAQUE CON AGENTES QUIMICOS ",IF(N73=CURSOS!$D$6,"PRIMEROS AUXILIOS ",IF(N73=CURSOS!$D$7,"DIPLOMADO DE UNIDAD DE CUIDADOS INTENSIVOS (UCI)",IF(N73=CURSOS!$D$8,"MODELO DE ATENCION PARA EVENTOS EMERGENTES EN SALUD MENTAL (CODIGO VERDE)",IF(N73=CURSOS!$D$9,"HUMANIZACION EN EL SERVICIO DE LA SALUD Y BUENAS PRACTICAS EN PACIENTE ",IF(N73=CURSOS!$D$10,"CLINICA DE HERIDAS ",IF(N73=CURSOS!$D$11,"TOMA DE CITOLOGIA CERVICO VAGINAL ",IF(N73=CURSOS!$D$12,"SOPORTE CARDIOVASCULAR AVANZADO (ACLS) ",IF(N73=CURSOS!$D$13,"CAMILLERO ",IF(N73=CURSOS!$D$14,"TOMA DE MUESTRAS Y LABORATORIO ",IF(N73=CURSOS!$D$15,"SOPORTE VITAL BASICO (BLS)",IF(N73=CURSOS!$D$16,"ATENCION A VICTIMAS DE VIOLENCIA SEXUAL ",IF(N73=CURSOS!$D$17,"PROGRAMADO AMPLIADO DE INMUNIZACION (PAI - COVID 19)",IF(N73=CURSOS!$D$18,"ATENCION INTEGRAL EN ENFERMEDADES PREVALENTES EN PRIMERA INFANCIA (AIEPI)",IF(N73=CURSOS!$D$19,"ADMINISTRACION DE MEDICAMENTOS, INYECTOLOGIA  Y CANALIZACION ",IF(N73=CURSOS!$D$20,"OPERADOR DE VEHICULOS DE EMERGENCIA (OVE)",IF(N73=CURSOS!$D$21,"INSTITUCIONES AMIGAS DE LA MUJER Y LA INFANCIA (IAMI)",IF(N73=CURSOS!$D$22,"CUIDADO DEL DONANTE DE ORGANOS",IF(N73=CURSOS!$D$23,"ATENCION A VICTIMAS POR VIOLENCIA DE GENERO",IF(N73=CURSOS!$D$24,"IGUALDAD DE GENERO EN LA SALUD",IF(N73=CURSOS!$D$25,"BRIGADA DE EMERGENCIA",IF(N73=CURSOS!$D$26,"MANEJO DEL DOLOR Y CUIDADOS PALIATIVOS",IF(N73=CURSOS!$D$27,"TOMA DE MUESTRAS Y LABORATORIO POCT",IF(N73=CURSOS!$D$28,"IMPLANTE SUBDERMICO DE DISPOSITIVO INTRAUTERINO",IF(N73=CURSOS!$D$29,"SALUD MENTAL",IF(N73=CURSOS!$D$30,"PRIMEROS AUXILIOS PSICOLOGICOS",IF(N73=CURSOS!$D$31,"ATENCION A VICTIMAS POR CONFLICTO ARMADO",IF(N73=CURSOS!$D$32,"MANIPULACION DE ALIMENTOS Y BPM",IF(N73=CURSOS!$D$33,"ATENCION A PERSONAS CON DISCAPACIDAD",IF(N73=CURSOS!$D$34,"CUIDADO INTEGRAL DEL PACIENTE ADULTO",IF(N73=CURSOS!$D$35,"MANEJO DEFENSIVO",IF(N73=CURSOS!$D$36,"SOPORTE CARDIOVASCULAR AVANZADO NEONATAL"))))))))))))))))))))))))))))))))))</f>
        <v>TOMA DE MUESTRAS Y LABORATORIO POCT</v>
      </c>
      <c r="U73" s="124" t="str">
        <f t="shared" si="6"/>
        <v>Blanca Alicia Burbano Obando</v>
      </c>
      <c r="V73" s="124" t="str">
        <f t="shared" si="7"/>
        <v>Blanca Alicia Burbano Obando</v>
      </c>
      <c r="W73" s="138" t="str">
        <f t="shared" si="8"/>
        <v>Blanca Alicia Burbano Obando-1085268666-POCT</v>
      </c>
    </row>
    <row r="74" spans="1:23" ht="15.75" x14ac:dyDescent="0.25">
      <c r="A74" s="42">
        <v>73</v>
      </c>
      <c r="B74" s="139">
        <v>1086222848</v>
      </c>
      <c r="C74" s="139" t="s">
        <v>469</v>
      </c>
      <c r="D74" s="139" t="s">
        <v>372</v>
      </c>
      <c r="E74" s="139" t="s">
        <v>438</v>
      </c>
      <c r="F74" s="139" t="s">
        <v>369</v>
      </c>
      <c r="G74" s="140">
        <v>19</v>
      </c>
      <c r="H74" s="140" t="s">
        <v>89</v>
      </c>
      <c r="I74" s="141"/>
      <c r="J74" s="142">
        <v>40000</v>
      </c>
      <c r="K74" s="140"/>
      <c r="L74" s="140" t="s">
        <v>90</v>
      </c>
      <c r="M74" s="140" t="s">
        <v>275</v>
      </c>
      <c r="N74" s="143" t="s">
        <v>63</v>
      </c>
      <c r="O74" s="144">
        <v>32151</v>
      </c>
      <c r="P74" s="140" t="s">
        <v>101</v>
      </c>
      <c r="Q74" s="139" t="s">
        <v>126</v>
      </c>
      <c r="R74" s="139">
        <v>3104794394</v>
      </c>
      <c r="S74" s="182" t="s">
        <v>509</v>
      </c>
      <c r="T74" s="124" t="str">
        <f>IF(N74=CURSOS!$D$3,"DIPLOMADO EN ATENCION PRE-HOSPITALARIA",IF(N74=CURSOS!$D$4,"ACOMPAÑAMIENTO Y MANEJO DEL DUELO",IF(N74=CURSOS!$D$5,"ATENCION A VICTIMAS DE ATAQUE CON AGENTES QUIMICOS ",IF(N74=CURSOS!$D$6,"PRIMEROS AUXILIOS ",IF(N74=CURSOS!$D$7,"DIPLOMADO DE UNIDAD DE CUIDADOS INTENSIVOS (UCI)",IF(N74=CURSOS!$D$8,"MODELO DE ATENCION PARA EVENTOS EMERGENTES EN SALUD MENTAL (CODIGO VERDE)",IF(N74=CURSOS!$D$9,"HUMANIZACION EN EL SERVICIO DE LA SALUD Y BUENAS PRACTICAS EN PACIENTE ",IF(N74=CURSOS!$D$10,"CLINICA DE HERIDAS ",IF(N74=CURSOS!$D$11,"TOMA DE CITOLOGIA CERVICO VAGINAL ",IF(N74=CURSOS!$D$12,"SOPORTE CARDIOVASCULAR AVANZADO (ACLS) ",IF(N74=CURSOS!$D$13,"CAMILLERO ",IF(N74=CURSOS!$D$14,"TOMA DE MUESTRAS Y LABORATORIO ",IF(N74=CURSOS!$D$15,"SOPORTE VITAL BASICO (BLS)",IF(N74=CURSOS!$D$16,"ATENCION A VICTIMAS DE VIOLENCIA SEXUAL ",IF(N74=CURSOS!$D$17,"PROGRAMADO AMPLIADO DE INMUNIZACION (PAI - COVID 19)",IF(N74=CURSOS!$D$18,"ATENCION INTEGRAL EN ENFERMEDADES PREVALENTES EN PRIMERA INFANCIA (AIEPI)",IF(N74=CURSOS!$D$19,"ADMINISTRACION DE MEDICAMENTOS, INYECTOLOGIA  Y CANALIZACION ",IF(N74=CURSOS!$D$20,"OPERADOR DE VEHICULOS DE EMERGENCIA (OVE)",IF(N74=CURSOS!$D$21,"INSTITUCIONES AMIGAS DE LA MUJER Y LA INFANCIA (IAMI)",IF(N74=CURSOS!$D$22,"CUIDADO DEL DONANTE DE ORGANOS",IF(N74=CURSOS!$D$23,"ATENCION A VICTIMAS POR VIOLENCIA DE GENERO",IF(N74=CURSOS!$D$24,"IGUALDAD DE GENERO EN LA SALUD",IF(N74=CURSOS!$D$25,"BRIGADA DE EMERGENCIA",IF(N74=CURSOS!$D$26,"MANEJO DEL DOLOR Y CUIDADOS PALIATIVOS",IF(N74=CURSOS!$D$27,"TOMA DE MUESTRAS Y LABORATORIO POCT",IF(N74=CURSOS!$D$28,"IMPLANTE SUBDERMICO DE DISPOSITIVO INTRAUTERINO",IF(N74=CURSOS!$D$29,"SALUD MENTAL",IF(N74=CURSOS!$D$30,"PRIMEROS AUXILIOS PSICOLOGICOS",IF(N74=CURSOS!$D$31,"ATENCION A VICTIMAS POR CONFLICTO ARMADO",IF(N74=CURSOS!$D$32,"MANIPULACION DE ALIMENTOS Y BPM",IF(N74=CURSOS!$D$33,"ATENCION A PERSONAS CON DISCAPACIDAD",IF(N74=CURSOS!$D$34,"CUIDADO INTEGRAL DEL PACIENTE ADULTO",IF(N74=CURSOS!$D$35,"MANEJO DEFENSIVO",IF(N74=CURSOS!$D$36,"SOPORTE CARDIOVASCULAR AVANZADO NEONATAL"))))))))))))))))))))))))))))))))))</f>
        <v>TOMA DE MUESTRAS Y LABORATORIO POCT</v>
      </c>
      <c r="U74" s="124" t="str">
        <f t="shared" si="6"/>
        <v>Diana Paola De la cruz Fajardo</v>
      </c>
      <c r="V74" s="124" t="str">
        <f t="shared" si="7"/>
        <v>Diana Paola De La Cruz Fajardo</v>
      </c>
      <c r="W74" s="138" t="str">
        <f t="shared" si="8"/>
        <v>Diana Paola De la cruz Fajardo-1086222848-POCT</v>
      </c>
    </row>
    <row r="75" spans="1:23" x14ac:dyDescent="0.2">
      <c r="A75" s="42">
        <v>74</v>
      </c>
      <c r="B75" s="146">
        <v>1085296068</v>
      </c>
      <c r="C75" s="146" t="s">
        <v>385</v>
      </c>
      <c r="D75" s="146" t="s">
        <v>386</v>
      </c>
      <c r="E75" s="146" t="s">
        <v>261</v>
      </c>
      <c r="F75" s="146" t="s">
        <v>223</v>
      </c>
      <c r="G75" s="148">
        <v>19</v>
      </c>
      <c r="H75" s="140" t="s">
        <v>89</v>
      </c>
      <c r="I75" s="149"/>
      <c r="J75" s="150">
        <v>40000</v>
      </c>
      <c r="K75" s="151"/>
      <c r="L75" s="151" t="s">
        <v>90</v>
      </c>
      <c r="M75" s="152" t="s">
        <v>275</v>
      </c>
      <c r="N75" s="153" t="s">
        <v>63</v>
      </c>
      <c r="O75" s="154">
        <v>33656</v>
      </c>
      <c r="P75" s="151" t="s">
        <v>101</v>
      </c>
      <c r="Q75" s="146" t="s">
        <v>328</v>
      </c>
      <c r="R75" s="146">
        <v>3167595834</v>
      </c>
      <c r="S75" s="146" t="s">
        <v>387</v>
      </c>
      <c r="T75" s="124" t="str">
        <f>IF(N75=CURSOS!$D$3,"DIPLOMADO EN ATENCION PRE-HOSPITALARIA",IF(N75=CURSOS!$D$4,"ACOMPAÑAMIENTO Y MANEJO DEL DUELO",IF(N75=CURSOS!$D$5,"ATENCION A VICTIMAS DE ATAQUE CON AGENTES QUIMICOS ",IF(N75=CURSOS!$D$6,"PRIMEROS AUXILIOS ",IF(N75=CURSOS!$D$7,"DIPLOMADO DE UNIDAD DE CUIDADOS INTENSIVOS (UCI)",IF(N75=CURSOS!$D$8,"MODELO DE ATENCION PARA EVENTOS EMERGENTES EN SALUD MENTAL (CODIGO VERDE)",IF(N75=CURSOS!$D$9,"HUMANIZACION EN EL SERVICIO DE LA SALUD Y BUENAS PRACTICAS EN PACIENTE ",IF(N75=CURSOS!$D$10,"CLINICA DE HERIDAS ",IF(N75=CURSOS!$D$11,"TOMA DE CITOLOGIA CERVICO VAGINAL ",IF(N75=CURSOS!$D$12,"SOPORTE CARDIOVASCULAR AVANZADO (ACLS) ",IF(N75=CURSOS!$D$13,"CAMILLERO ",IF(N75=CURSOS!$D$14,"TOMA DE MUESTRAS Y LABORATORIO ",IF(N75=CURSOS!$D$15,"SOPORTE VITAL BASICO (BLS)",IF(N75=CURSOS!$D$16,"ATENCION A VICTIMAS DE VIOLENCIA SEXUAL ",IF(N75=CURSOS!$D$17,"PROGRAMADO AMPLIADO DE INMUNIZACION (PAI - COVID 19)",IF(N75=CURSOS!$D$18,"ATENCION INTEGRAL EN ENFERMEDADES PREVALENTES EN PRIMERA INFANCIA (AIEPI)",IF(N75=CURSOS!$D$19,"ADMINISTRACION DE MEDICAMENTOS, INYECTOLOGIA  Y CANALIZACION ",IF(N75=CURSOS!$D$20,"OPERADOR DE VEHICULOS DE EMERGENCIA (OVE)",IF(N75=CURSOS!$D$21,"INSTITUCIONES AMIGAS DE LA MUJER Y LA INFANCIA (IAMI)",IF(N75=CURSOS!$D$22,"CUIDADO DEL DONANTE DE ORGANOS",IF(N75=CURSOS!$D$23,"ATENCION A VICTIMAS POR VIOLENCIA DE GENERO",IF(N75=CURSOS!$D$24,"IGUALDAD DE GENERO EN LA SALUD",IF(N75=CURSOS!$D$25,"BRIGADA DE EMERGENCIA",IF(N75=CURSOS!$D$26,"MANEJO DEL DOLOR Y CUIDADOS PALIATIVOS",IF(N75=CURSOS!$D$27,"TOMA DE MUESTRAS Y LABORATORIO POCT",IF(N75=CURSOS!$D$28,"IMPLANTE SUBDERMICO DE DISPOSITIVO INTRAUTERINO",IF(N75=CURSOS!$D$29,"SALUD MENTAL",IF(N75=CURSOS!$D$30,"PRIMEROS AUXILIOS PSICOLOGICOS",IF(N75=CURSOS!$D$31,"ATENCION A VICTIMAS POR CONFLICTO ARMADO",IF(N75=CURSOS!$D$32,"MANIPULACION DE ALIMENTOS Y BPM",IF(N75=CURSOS!$D$33,"ATENCION A PERSONAS CON DISCAPACIDAD",IF(N75=CURSOS!$D$34,"CUIDADO INTEGRAL DEL PACIENTE ADULTO",IF(N75=CURSOS!$D$35,"MANEJO DEFENSIVO",IF(N75=CURSOS!$D$36,"SOPORTE CARDIOVASCULAR AVANZADO NEONATAL"))))))))))))))))))))))))))))))))))</f>
        <v>TOMA DE MUESTRAS Y LABORATORIO POCT</v>
      </c>
      <c r="U75" s="124" t="str">
        <f t="shared" si="6"/>
        <v>Dayana Vanessa Chapal Mallama</v>
      </c>
      <c r="V75" s="124" t="str">
        <f t="shared" si="7"/>
        <v>Dayana Vanessa Chapal Mallama</v>
      </c>
      <c r="W75" s="138" t="str">
        <f t="shared" si="8"/>
        <v>Dayana Vanessa Chapal Mallama-1085296068-POCT</v>
      </c>
    </row>
    <row r="76" spans="1:23" ht="15.75" x14ac:dyDescent="0.25">
      <c r="A76" s="42">
        <v>75</v>
      </c>
      <c r="B76" s="155">
        <v>1085287704</v>
      </c>
      <c r="C76" s="139" t="s">
        <v>549</v>
      </c>
      <c r="D76" s="139" t="s">
        <v>513</v>
      </c>
      <c r="E76" s="139" t="s">
        <v>550</v>
      </c>
      <c r="F76" s="139" t="s">
        <v>427</v>
      </c>
      <c r="G76" s="140">
        <v>19</v>
      </c>
      <c r="H76" s="140" t="s">
        <v>89</v>
      </c>
      <c r="I76" s="156">
        <v>45485</v>
      </c>
      <c r="J76" s="202">
        <v>40000</v>
      </c>
      <c r="K76" s="201" t="s">
        <v>210</v>
      </c>
      <c r="L76" s="140" t="s">
        <v>90</v>
      </c>
      <c r="M76" s="140" t="s">
        <v>275</v>
      </c>
      <c r="N76" s="143" t="s">
        <v>63</v>
      </c>
      <c r="O76" s="158">
        <v>33328</v>
      </c>
      <c r="P76" s="140" t="s">
        <v>101</v>
      </c>
      <c r="Q76" s="139" t="s">
        <v>328</v>
      </c>
      <c r="R76" s="155">
        <v>3153570524</v>
      </c>
      <c r="S76" s="155" t="s">
        <v>551</v>
      </c>
      <c r="T76" s="124" t="str">
        <f>IF(N76=CURSOS!$D$3,"DIPLOMADO EN ATENCION PRE-HOSPITALARIA",IF(N76=CURSOS!$D$4,"ACOMPAÑAMIENTO Y MANEJO DEL DUELO",IF(N76=CURSOS!$D$5,"ATENCION A VICTIMAS DE ATAQUE CON AGENTES QUIMICOS ",IF(N76=CURSOS!$D$6,"PRIMEROS AUXILIOS ",IF(N76=CURSOS!$D$7,"DIPLOMADO DE UNIDAD DE CUIDADOS INTENSIVOS (UCI)",IF(N76=CURSOS!$D$8,"MODELO DE ATENCION PARA EVENTOS EMERGENTES EN SALUD MENTAL (CODIGO VERDE)",IF(N76=CURSOS!$D$9,"HUMANIZACION EN EL SERVICIO DE LA SALUD Y BUENAS PRACTICAS EN PACIENTE ",IF(N76=CURSOS!$D$10,"CLINICA DE HERIDAS ",IF(N76=CURSOS!$D$11,"TOMA DE CITOLOGIA CERVICO VAGINAL ",IF(N76=CURSOS!$D$12,"SOPORTE CARDIOVASCULAR AVANZADO (ACLS) ",IF(N76=CURSOS!$D$13,"CAMILLERO ",IF(N76=CURSOS!$D$14,"TOMA DE MUESTRAS Y LABORATORIO ",IF(N76=CURSOS!$D$15,"SOPORTE VITAL BASICO (BLS)",IF(N76=CURSOS!$D$16,"ATENCION A VICTIMAS DE VIOLENCIA SEXUAL ",IF(N76=CURSOS!$D$17,"PROGRAMADO AMPLIADO DE INMUNIZACION (PAI - COVID 19)",IF(N76=CURSOS!$D$18,"ATENCION INTEGRAL EN ENFERMEDADES PREVALENTES EN PRIMERA INFANCIA (AIEPI)",IF(N76=CURSOS!$D$19,"ADMINISTRACION DE MEDICAMENTOS, INYECTOLOGIA  Y CANALIZACION ",IF(N76=CURSOS!$D$20,"OPERADOR DE VEHICULOS DE EMERGENCIA (OVE)",IF(N76=CURSOS!$D$21,"INSTITUCIONES AMIGAS DE LA MUJER Y LA INFANCIA (IAMI)",IF(N76=CURSOS!$D$22,"CUIDADO DEL DONANTE DE ORGANOS",IF(N76=CURSOS!$D$23,"ATENCION A VICTIMAS POR VIOLENCIA DE GENERO",IF(N76=CURSOS!$D$24,"IGUALDAD DE GENERO EN LA SALUD",IF(N76=CURSOS!$D$25,"BRIGADA DE EMERGENCIA",IF(N76=CURSOS!$D$26,"MANEJO DEL DOLOR Y CUIDADOS PALIATIVOS",IF(N76=CURSOS!$D$27,"TOMA DE MUESTRAS Y LABORATORIO POCT",IF(N76=CURSOS!$D$28,"IMPLANTE SUBDERMICO DE DISPOSITIVO INTRAUTERINO",IF(N76=CURSOS!$D$29,"SALUD MENTAL",IF(N76=CURSOS!$D$30,"PRIMEROS AUXILIOS PSICOLOGICOS",IF(N76=CURSOS!$D$31,"ATENCION A VICTIMAS POR CONFLICTO ARMADO",IF(N76=CURSOS!$D$32,"MANIPULACION DE ALIMENTOS Y BPM",IF(N76=CURSOS!$D$33,"ATENCION A PERSONAS CON DISCAPACIDAD",IF(N76=CURSOS!$D$34,"CUIDADO INTEGRAL DEL PACIENTE ADULTO",IF(N76=CURSOS!$D$35,"MANEJO DEFENSIVO",IF(N76=CURSOS!$D$36,"SOPORTE CARDIOVASCULAR AVANZADO NEONATAL"))))))))))))))))))))))))))))))))))</f>
        <v>TOMA DE MUESTRAS Y LABORATORIO POCT</v>
      </c>
      <c r="U76" s="124" t="str">
        <f t="shared" si="6"/>
        <v>Leizeth Yesenia Timana Escobar</v>
      </c>
      <c r="V76" s="124" t="str">
        <f t="shared" si="7"/>
        <v>Leizeth Yesenia Timana Escobar</v>
      </c>
      <c r="W76" s="138" t="str">
        <f t="shared" si="8"/>
        <v>Leizeth Yesenia Timana Escobar-1085287704-POCT</v>
      </c>
    </row>
    <row r="77" spans="1:23" x14ac:dyDescent="0.2">
      <c r="A77" s="42">
        <v>76</v>
      </c>
      <c r="B77" s="155">
        <v>1085282130</v>
      </c>
      <c r="C77" s="139" t="s">
        <v>114</v>
      </c>
      <c r="D77" s="139" t="s">
        <v>552</v>
      </c>
      <c r="E77" s="139" t="s">
        <v>369</v>
      </c>
      <c r="F77" s="139" t="s">
        <v>280</v>
      </c>
      <c r="G77" s="140">
        <v>19</v>
      </c>
      <c r="H77" s="140" t="s">
        <v>89</v>
      </c>
      <c r="I77" s="156">
        <v>45485</v>
      </c>
      <c r="J77" s="142">
        <v>40000</v>
      </c>
      <c r="K77" s="157" t="s">
        <v>214</v>
      </c>
      <c r="L77" s="140" t="s">
        <v>90</v>
      </c>
      <c r="M77" s="140" t="s">
        <v>275</v>
      </c>
      <c r="N77" s="143" t="s">
        <v>63</v>
      </c>
      <c r="O77" s="158">
        <v>33052</v>
      </c>
      <c r="P77" s="140" t="s">
        <v>101</v>
      </c>
      <c r="Q77" s="139" t="s">
        <v>328</v>
      </c>
      <c r="R77" s="155">
        <v>3218015368</v>
      </c>
      <c r="S77" s="155" t="s">
        <v>553</v>
      </c>
      <c r="T77" s="124" t="str">
        <f>IF(N77=CURSOS!$D$3,"DIPLOMADO EN ATENCION PRE-HOSPITALARIA",IF(N77=CURSOS!$D$4,"ACOMPAÑAMIENTO Y MANEJO DEL DUELO",IF(N77=CURSOS!$D$5,"ATENCION A VICTIMAS DE ATAQUE CON AGENTES QUIMICOS ",IF(N77=CURSOS!$D$6,"PRIMEROS AUXILIOS ",IF(N77=CURSOS!$D$7,"DIPLOMADO DE UNIDAD DE CUIDADOS INTENSIVOS (UCI)",IF(N77=CURSOS!$D$8,"MODELO DE ATENCION PARA EVENTOS EMERGENTES EN SALUD MENTAL (CODIGO VERDE)",IF(N77=CURSOS!$D$9,"HUMANIZACION EN EL SERVICIO DE LA SALUD Y BUENAS PRACTICAS EN PACIENTE ",IF(N77=CURSOS!$D$10,"CLINICA DE HERIDAS ",IF(N77=CURSOS!$D$11,"TOMA DE CITOLOGIA CERVICO VAGINAL ",IF(N77=CURSOS!$D$12,"SOPORTE CARDIOVASCULAR AVANZADO (ACLS) ",IF(N77=CURSOS!$D$13,"CAMILLERO ",IF(N77=CURSOS!$D$14,"TOMA DE MUESTRAS Y LABORATORIO ",IF(N77=CURSOS!$D$15,"SOPORTE VITAL BASICO (BLS)",IF(N77=CURSOS!$D$16,"ATENCION A VICTIMAS DE VIOLENCIA SEXUAL ",IF(N77=CURSOS!$D$17,"PROGRAMADO AMPLIADO DE INMUNIZACION (PAI - COVID 19)",IF(N77=CURSOS!$D$18,"ATENCION INTEGRAL EN ENFERMEDADES PREVALENTES EN PRIMERA INFANCIA (AIEPI)",IF(N77=CURSOS!$D$19,"ADMINISTRACION DE MEDICAMENTOS, INYECTOLOGIA  Y CANALIZACION ",IF(N77=CURSOS!$D$20,"OPERADOR DE VEHICULOS DE EMERGENCIA (OVE)",IF(N77=CURSOS!$D$21,"INSTITUCIONES AMIGAS DE LA MUJER Y LA INFANCIA (IAMI)",IF(N77=CURSOS!$D$22,"CUIDADO DEL DONANTE DE ORGANOS",IF(N77=CURSOS!$D$23,"ATENCION A VICTIMAS POR VIOLENCIA DE GENERO",IF(N77=CURSOS!$D$24,"IGUALDAD DE GENERO EN LA SALUD",IF(N77=CURSOS!$D$25,"BRIGADA DE EMERGENCIA",IF(N77=CURSOS!$D$26,"MANEJO DEL DOLOR Y CUIDADOS PALIATIVOS",IF(N77=CURSOS!$D$27,"TOMA DE MUESTRAS Y LABORATORIO POCT",IF(N77=CURSOS!$D$28,"IMPLANTE SUBDERMICO DE DISPOSITIVO INTRAUTERINO",IF(N77=CURSOS!$D$29,"SALUD MENTAL",IF(N77=CURSOS!$D$30,"PRIMEROS AUXILIOS PSICOLOGICOS",IF(N77=CURSOS!$D$31,"ATENCION A VICTIMAS POR CONFLICTO ARMADO",IF(N77=CURSOS!$D$32,"MANIPULACION DE ALIMENTOS Y BPM",IF(N77=CURSOS!$D$33,"ATENCION A PERSONAS CON DISCAPACIDAD",IF(N77=CURSOS!$D$34,"CUIDADO INTEGRAL DEL PACIENTE ADULTO",IF(N77=CURSOS!$D$35,"MANEJO DEFENSIVO",IF(N77=CURSOS!$D$36,"SOPORTE CARDIOVASCULAR AVANZADO NEONATAL"))))))))))))))))))))))))))))))))))</f>
        <v>TOMA DE MUESTRAS Y LABORATORIO POCT</v>
      </c>
      <c r="U77" s="124" t="str">
        <f t="shared" si="6"/>
        <v>Paola Andrea Rosero Silva</v>
      </c>
      <c r="V77" s="124" t="str">
        <f t="shared" si="7"/>
        <v>Paola Andrea Rosero Silva</v>
      </c>
      <c r="W77" s="138" t="str">
        <f t="shared" si="8"/>
        <v>Paola Andrea Rosero Silva-1085282130-POCT</v>
      </c>
    </row>
    <row r="78" spans="1:23" ht="15.75" x14ac:dyDescent="0.25">
      <c r="A78" s="42">
        <v>77</v>
      </c>
      <c r="B78" s="155">
        <v>37083816</v>
      </c>
      <c r="C78" s="155" t="s">
        <v>567</v>
      </c>
      <c r="D78" s="155" t="s">
        <v>545</v>
      </c>
      <c r="E78" s="155" t="s">
        <v>568</v>
      </c>
      <c r="F78" s="155"/>
      <c r="G78" s="157">
        <v>19</v>
      </c>
      <c r="H78" s="157" t="s">
        <v>89</v>
      </c>
      <c r="I78" s="156">
        <v>45488</v>
      </c>
      <c r="J78" s="200">
        <v>40000</v>
      </c>
      <c r="K78" s="201" t="s">
        <v>210</v>
      </c>
      <c r="L78" s="157" t="s">
        <v>90</v>
      </c>
      <c r="M78" s="157" t="s">
        <v>275</v>
      </c>
      <c r="N78" s="155" t="s">
        <v>63</v>
      </c>
      <c r="O78" s="158">
        <v>30222</v>
      </c>
      <c r="P78" s="157" t="s">
        <v>101</v>
      </c>
      <c r="Q78" s="155" t="s">
        <v>328</v>
      </c>
      <c r="R78" s="155">
        <v>3173654168</v>
      </c>
      <c r="S78" s="155" t="s">
        <v>566</v>
      </c>
      <c r="T78" s="124" t="str">
        <f>IF(N78=CURSOS!$D$3,"DIPLOMADO EN ATENCION PRE-HOSPITALARIA",IF(N78=CURSOS!$D$4,"ACOMPAÑAMIENTO Y MANEJO DEL DUELO",IF(N78=CURSOS!$D$5,"ATENCION A VICTIMAS DE ATAQUE CON AGENTES QUIMICOS ",IF(N78=CURSOS!$D$6,"PRIMEROS AUXILIOS ",IF(N78=CURSOS!$D$7,"DIPLOMADO DE UNIDAD DE CUIDADOS INTENSIVOS (UCI)",IF(N78=CURSOS!$D$8,"MODELO DE ATENCION PARA EVENTOS EMERGENTES EN SALUD MENTAL (CODIGO VERDE)",IF(N78=CURSOS!$D$9,"HUMANIZACION EN EL SERVICIO DE LA SALUD Y BUENAS PRACTICAS EN PACIENTE ",IF(N78=CURSOS!$D$10,"CLINICA DE HERIDAS ",IF(N78=CURSOS!$D$11,"TOMA DE CITOLOGIA CERVICO VAGINAL ",IF(N78=CURSOS!$D$12,"SOPORTE CARDIOVASCULAR AVANZADO (ACLS) ",IF(N78=CURSOS!$D$13,"CAMILLERO ",IF(N78=CURSOS!$D$14,"TOMA DE MUESTRAS Y LABORATORIO ",IF(N78=CURSOS!$D$15,"SOPORTE VITAL BASICO (BLS)",IF(N78=CURSOS!$D$16,"ATENCION A VICTIMAS DE VIOLENCIA SEXUAL ",IF(N78=CURSOS!$D$17,"PROGRAMADO AMPLIADO DE INMUNIZACION (PAI - COVID 19)",IF(N78=CURSOS!$D$18,"ATENCION INTEGRAL EN ENFERMEDADES PREVALENTES EN PRIMERA INFANCIA (AIEPI)",IF(N78=CURSOS!$D$19,"ADMINISTRACION DE MEDICAMENTOS, INYECTOLOGIA  Y CANALIZACION ",IF(N78=CURSOS!$D$20,"OPERADOR DE VEHICULOS DE EMERGENCIA (OVE)",IF(N78=CURSOS!$D$21,"INSTITUCIONES AMIGAS DE LA MUJER Y LA INFANCIA (IAMI)",IF(N78=CURSOS!$D$22,"CUIDADO DEL DONANTE DE ORGANOS",IF(N78=CURSOS!$D$23,"ATENCION A VICTIMAS POR VIOLENCIA DE GENERO",IF(N78=CURSOS!$D$24,"IGUALDAD DE GENERO EN LA SALUD",IF(N78=CURSOS!$D$25,"BRIGADA DE EMERGENCIA",IF(N78=CURSOS!$D$26,"MANEJO DEL DOLOR Y CUIDADOS PALIATIVOS",IF(N78=CURSOS!$D$27,"TOMA DE MUESTRAS Y LABORATORIO POCT",IF(N78=CURSOS!$D$28,"IMPLANTE SUBDERMICO DE DISPOSITIVO INTRAUTERINO",IF(N78=CURSOS!$D$29,"SALUD MENTAL",IF(N78=CURSOS!$D$30,"PRIMEROS AUXILIOS PSICOLOGICOS",IF(N78=CURSOS!$D$31,"ATENCION A VICTIMAS POR CONFLICTO ARMADO",IF(N78=CURSOS!$D$32,"MANIPULACION DE ALIMENTOS Y BPM",IF(N78=CURSOS!$D$33,"ATENCION A PERSONAS CON DISCAPACIDAD",IF(N78=CURSOS!$D$34,"CUIDADO INTEGRAL DEL PACIENTE ADULTO",IF(N78=CURSOS!$D$35,"MANEJO DEFENSIVO",IF(N78=CURSOS!$D$36,"SOPORTE CARDIOVASCULAR AVANZADO NEONATAL"))))))))))))))))))))))))))))))))))</f>
        <v>TOMA DE MUESTRAS Y LABORATORIO POCT</v>
      </c>
      <c r="U78" s="124" t="str">
        <f t="shared" si="6"/>
        <v>Lilia  Velazques Ascuntar</v>
      </c>
      <c r="V78" s="124" t="str">
        <f t="shared" si="7"/>
        <v>Lilia  Velazques Ascuntar</v>
      </c>
      <c r="W78" s="138" t="str">
        <f t="shared" si="8"/>
        <v>Lilia  Velazques Ascuntar-37083816-POCT</v>
      </c>
    </row>
    <row r="79" spans="1:23" x14ac:dyDescent="0.2">
      <c r="A79" s="42">
        <v>78</v>
      </c>
      <c r="B79" s="155">
        <v>27488544</v>
      </c>
      <c r="C79" s="155" t="s">
        <v>585</v>
      </c>
      <c r="D79" s="155" t="s">
        <v>586</v>
      </c>
      <c r="E79" s="155" t="s">
        <v>587</v>
      </c>
      <c r="F79" s="155" t="s">
        <v>588</v>
      </c>
      <c r="G79" s="140">
        <v>19</v>
      </c>
      <c r="H79" s="140" t="s">
        <v>89</v>
      </c>
      <c r="I79" s="156">
        <v>45490</v>
      </c>
      <c r="J79" s="160">
        <v>40000</v>
      </c>
      <c r="K79" s="157" t="s">
        <v>639</v>
      </c>
      <c r="L79" s="157" t="s">
        <v>90</v>
      </c>
      <c r="M79" s="157" t="s">
        <v>275</v>
      </c>
      <c r="N79" s="155" t="s">
        <v>63</v>
      </c>
      <c r="O79" s="158">
        <v>30687</v>
      </c>
      <c r="P79" s="157" t="s">
        <v>101</v>
      </c>
      <c r="Q79" s="155" t="s">
        <v>202</v>
      </c>
      <c r="R79" s="155">
        <v>3136057444</v>
      </c>
      <c r="S79" s="155" t="s">
        <v>795</v>
      </c>
      <c r="T79" s="124" t="str">
        <f>IF(N79=CURSOS!$D$3,"DIPLOMADO EN ATENCION PRE-HOSPITALARIA",IF(N79=CURSOS!$D$4,"ACOMPAÑAMIENTO Y MANEJO DEL DUELO",IF(N79=CURSOS!$D$5,"ATENCION A VICTIMAS DE ATAQUE CON AGENTES QUIMICOS ",IF(N79=CURSOS!$D$6,"PRIMEROS AUXILIOS ",IF(N79=CURSOS!$D$7,"DIPLOMADO DE UNIDAD DE CUIDADOS INTENSIVOS (UCI)",IF(N79=CURSOS!$D$8,"MODELO DE ATENCION PARA EVENTOS EMERGENTES EN SALUD MENTAL (CODIGO VERDE)",IF(N79=CURSOS!$D$9,"HUMANIZACION EN EL SERVICIO DE LA SALUD Y BUENAS PRACTICAS EN PACIENTE ",IF(N79=CURSOS!$D$10,"CLINICA DE HERIDAS ",IF(N79=CURSOS!$D$11,"TOMA DE CITOLOGIA CERVICO VAGINAL ",IF(N79=CURSOS!$D$12,"SOPORTE CARDIOVASCULAR AVANZADO (ACLS) ",IF(N79=CURSOS!$D$13,"CAMILLERO ",IF(N79=CURSOS!$D$14,"TOMA DE MUESTRAS Y LABORATORIO ",IF(N79=CURSOS!$D$15,"SOPORTE VITAL BASICO (BLS)",IF(N79=CURSOS!$D$16,"ATENCION A VICTIMAS DE VIOLENCIA SEXUAL ",IF(N79=CURSOS!$D$17,"PROGRAMADO AMPLIADO DE INMUNIZACION (PAI - COVID 19)",IF(N79=CURSOS!$D$18,"ATENCION INTEGRAL EN ENFERMEDADES PREVALENTES EN PRIMERA INFANCIA (AIEPI)",IF(N79=CURSOS!$D$19,"ADMINISTRACION DE MEDICAMENTOS, INYECTOLOGIA  Y CANALIZACION ",IF(N79=CURSOS!$D$20,"OPERADOR DE VEHICULOS DE EMERGENCIA (OVE)",IF(N79=CURSOS!$D$21,"INSTITUCIONES AMIGAS DE LA MUJER Y LA INFANCIA (IAMI)",IF(N79=CURSOS!$D$22,"CUIDADO DEL DONANTE DE ORGANOS",IF(N79=CURSOS!$D$23,"ATENCION A VICTIMAS POR VIOLENCIA DE GENERO",IF(N79=CURSOS!$D$24,"IGUALDAD DE GENERO EN LA SALUD",IF(N79=CURSOS!$D$25,"BRIGADA DE EMERGENCIA",IF(N79=CURSOS!$D$26,"MANEJO DEL DOLOR Y CUIDADOS PALIATIVOS",IF(N79=CURSOS!$D$27,"TOMA DE MUESTRAS Y LABORATORIO POCT",IF(N79=CURSOS!$D$28,"IMPLANTE SUBDERMICO DE DISPOSITIVO INTRAUTERINO",IF(N79=CURSOS!$D$29,"SALUD MENTAL",IF(N79=CURSOS!$D$30,"PRIMEROS AUXILIOS PSICOLOGICOS",IF(N79=CURSOS!$D$31,"ATENCION A VICTIMAS POR CONFLICTO ARMADO",IF(N79=CURSOS!$D$32,"MANIPULACION DE ALIMENTOS Y BPM",IF(N79=CURSOS!$D$33,"ATENCION A PERSONAS CON DISCAPACIDAD",IF(N79=CURSOS!$D$34,"CUIDADO INTEGRAL DEL PACIENTE ADULTO",IF(N79=CURSOS!$D$35,"MANEJO DEFENSIVO",IF(N79=CURSOS!$D$36,"SOPORTE CARDIOVASCULAR AVANZADO NEONATAL"))))))))))))))))))))))))))))))))))</f>
        <v>TOMA DE MUESTRAS Y LABORATORIO POCT</v>
      </c>
      <c r="U79" s="124" t="str">
        <f t="shared" si="6"/>
        <v xml:space="preserve">Vilma  Alicia Escobar  Burbano </v>
      </c>
      <c r="V79" s="124" t="str">
        <f t="shared" si="7"/>
        <v xml:space="preserve">Vilma  Alicia Escobar  Burbano </v>
      </c>
      <c r="W79" s="138" t="str">
        <f t="shared" si="8"/>
        <v>Vilma  Alicia Escobar  Burbano -27488544-POCT</v>
      </c>
    </row>
    <row r="80" spans="1:23" ht="15.75" x14ac:dyDescent="0.25">
      <c r="A80" s="42">
        <v>79</v>
      </c>
      <c r="B80" s="155">
        <v>59829939</v>
      </c>
      <c r="C80" s="155" t="s">
        <v>593</v>
      </c>
      <c r="D80" s="155" t="s">
        <v>594</v>
      </c>
      <c r="E80" s="155" t="s">
        <v>595</v>
      </c>
      <c r="F80" s="155" t="s">
        <v>596</v>
      </c>
      <c r="G80" s="140">
        <v>19</v>
      </c>
      <c r="H80" s="140" t="s">
        <v>89</v>
      </c>
      <c r="I80" s="156">
        <v>45491</v>
      </c>
      <c r="J80" s="200">
        <v>40000</v>
      </c>
      <c r="K80" s="201" t="s">
        <v>210</v>
      </c>
      <c r="L80" s="157" t="s">
        <v>90</v>
      </c>
      <c r="M80" s="157" t="s">
        <v>275</v>
      </c>
      <c r="N80" s="155" t="s">
        <v>63</v>
      </c>
      <c r="O80" s="158">
        <v>27516</v>
      </c>
      <c r="P80" s="157" t="s">
        <v>101</v>
      </c>
      <c r="Q80" s="155" t="s">
        <v>126</v>
      </c>
      <c r="R80" s="155">
        <v>3167082688</v>
      </c>
      <c r="S80" s="155"/>
      <c r="T80" s="124" t="str">
        <f>IF(N80=CURSOS!$D$3,"DIPLOMADO EN ATENCION PRE-HOSPITALARIA",IF(N80=CURSOS!$D$4,"ACOMPAÑAMIENTO Y MANEJO DEL DUELO",IF(N80=CURSOS!$D$5,"ATENCION A VICTIMAS DE ATAQUE CON AGENTES QUIMICOS ",IF(N80=CURSOS!$D$6,"PRIMEROS AUXILIOS ",IF(N80=CURSOS!$D$7,"DIPLOMADO DE UNIDAD DE CUIDADOS INTENSIVOS (UCI)",IF(N80=CURSOS!$D$8,"MODELO DE ATENCION PARA EVENTOS EMERGENTES EN SALUD MENTAL (CODIGO VERDE)",IF(N80=CURSOS!$D$9,"HUMANIZACION EN EL SERVICIO DE LA SALUD Y BUENAS PRACTICAS EN PACIENTE ",IF(N80=CURSOS!$D$10,"CLINICA DE HERIDAS ",IF(N80=CURSOS!$D$11,"TOMA DE CITOLOGIA CERVICO VAGINAL ",IF(N80=CURSOS!$D$12,"SOPORTE CARDIOVASCULAR AVANZADO (ACLS) ",IF(N80=CURSOS!$D$13,"CAMILLERO ",IF(N80=CURSOS!$D$14,"TOMA DE MUESTRAS Y LABORATORIO ",IF(N80=CURSOS!$D$15,"SOPORTE VITAL BASICO (BLS)",IF(N80=CURSOS!$D$16,"ATENCION A VICTIMAS DE VIOLENCIA SEXUAL ",IF(N80=CURSOS!$D$17,"PROGRAMADO AMPLIADO DE INMUNIZACION (PAI - COVID 19)",IF(N80=CURSOS!$D$18,"ATENCION INTEGRAL EN ENFERMEDADES PREVALENTES EN PRIMERA INFANCIA (AIEPI)",IF(N80=CURSOS!$D$19,"ADMINISTRACION DE MEDICAMENTOS, INYECTOLOGIA  Y CANALIZACION ",IF(N80=CURSOS!$D$20,"OPERADOR DE VEHICULOS DE EMERGENCIA (OVE)",IF(N80=CURSOS!$D$21,"INSTITUCIONES AMIGAS DE LA MUJER Y LA INFANCIA (IAMI)",IF(N80=CURSOS!$D$22,"CUIDADO DEL DONANTE DE ORGANOS",IF(N80=CURSOS!$D$23,"ATENCION A VICTIMAS POR VIOLENCIA DE GENERO",IF(N80=CURSOS!$D$24,"IGUALDAD DE GENERO EN LA SALUD",IF(N80=CURSOS!$D$25,"BRIGADA DE EMERGENCIA",IF(N80=CURSOS!$D$26,"MANEJO DEL DOLOR Y CUIDADOS PALIATIVOS",IF(N80=CURSOS!$D$27,"TOMA DE MUESTRAS Y LABORATORIO POCT",IF(N80=CURSOS!$D$28,"IMPLANTE SUBDERMICO DE DISPOSITIVO INTRAUTERINO",IF(N80=CURSOS!$D$29,"SALUD MENTAL",IF(N80=CURSOS!$D$30,"PRIMEROS AUXILIOS PSICOLOGICOS",IF(N80=CURSOS!$D$31,"ATENCION A VICTIMAS POR CONFLICTO ARMADO",IF(N80=CURSOS!$D$32,"MANIPULACION DE ALIMENTOS Y BPM",IF(N80=CURSOS!$D$33,"ATENCION A PERSONAS CON DISCAPACIDAD",IF(N80=CURSOS!$D$34,"CUIDADO INTEGRAL DEL PACIENTE ADULTO",IF(N80=CURSOS!$D$35,"MANEJO DEFENSIVO",IF(N80=CURSOS!$D$36,"SOPORTE CARDIOVASCULAR AVANZADO NEONATAL"))))))))))))))))))))))))))))))))))</f>
        <v>TOMA DE MUESTRAS Y LABORATORIO POCT</v>
      </c>
      <c r="U80" s="124" t="str">
        <f t="shared" si="6"/>
        <v xml:space="preserve"> Elizabeth  del Socorro Eraso  Bisbicus</v>
      </c>
      <c r="V80" s="124" t="str">
        <f t="shared" si="7"/>
        <v xml:space="preserve"> Elizabeth  Del Socorro Eraso  Bisbicus</v>
      </c>
      <c r="W80" s="138" t="str">
        <f t="shared" si="8"/>
        <v xml:space="preserve"> Elizabeth  del Socorro Eraso  Bisbicus-59829939-POCT</v>
      </c>
    </row>
    <row r="81" spans="1:23" x14ac:dyDescent="0.2">
      <c r="A81" s="42">
        <v>80</v>
      </c>
      <c r="B81" s="155">
        <v>1193486373</v>
      </c>
      <c r="C81" s="155" t="s">
        <v>597</v>
      </c>
      <c r="D81" s="155" t="s">
        <v>598</v>
      </c>
      <c r="E81" s="155" t="s">
        <v>599</v>
      </c>
      <c r="F81" s="155" t="s">
        <v>291</v>
      </c>
      <c r="G81" s="140">
        <v>19</v>
      </c>
      <c r="H81" s="140" t="s">
        <v>89</v>
      </c>
      <c r="I81" s="157"/>
      <c r="J81" s="160">
        <v>40000</v>
      </c>
      <c r="K81" s="157"/>
      <c r="L81" s="157" t="s">
        <v>90</v>
      </c>
      <c r="M81" s="157" t="s">
        <v>275</v>
      </c>
      <c r="N81" s="155" t="s">
        <v>63</v>
      </c>
      <c r="O81" s="158">
        <v>37141</v>
      </c>
      <c r="P81" s="157" t="s">
        <v>101</v>
      </c>
      <c r="Q81" s="155" t="s">
        <v>126</v>
      </c>
      <c r="R81" s="155">
        <v>3153694004</v>
      </c>
      <c r="S81" s="155" t="s">
        <v>796</v>
      </c>
      <c r="T81" s="124" t="str">
        <f>IF(N81=CURSOS!$D$3,"DIPLOMADO EN ATENCION PRE-HOSPITALARIA",IF(N81=CURSOS!$D$4,"ACOMPAÑAMIENTO Y MANEJO DEL DUELO",IF(N81=CURSOS!$D$5,"ATENCION A VICTIMAS DE ATAQUE CON AGENTES QUIMICOS ",IF(N81=CURSOS!$D$6,"PRIMEROS AUXILIOS ",IF(N81=CURSOS!$D$7,"DIPLOMADO DE UNIDAD DE CUIDADOS INTENSIVOS (UCI)",IF(N81=CURSOS!$D$8,"MODELO DE ATENCION PARA EVENTOS EMERGENTES EN SALUD MENTAL (CODIGO VERDE)",IF(N81=CURSOS!$D$9,"HUMANIZACION EN EL SERVICIO DE LA SALUD Y BUENAS PRACTICAS EN PACIENTE ",IF(N81=CURSOS!$D$10,"CLINICA DE HERIDAS ",IF(N81=CURSOS!$D$11,"TOMA DE CITOLOGIA CERVICO VAGINAL ",IF(N81=CURSOS!$D$12,"SOPORTE CARDIOVASCULAR AVANZADO (ACLS) ",IF(N81=CURSOS!$D$13,"CAMILLERO ",IF(N81=CURSOS!$D$14,"TOMA DE MUESTRAS Y LABORATORIO ",IF(N81=CURSOS!$D$15,"SOPORTE VITAL BASICO (BLS)",IF(N81=CURSOS!$D$16,"ATENCION A VICTIMAS DE VIOLENCIA SEXUAL ",IF(N81=CURSOS!$D$17,"PROGRAMADO AMPLIADO DE INMUNIZACION (PAI - COVID 19)",IF(N81=CURSOS!$D$18,"ATENCION INTEGRAL EN ENFERMEDADES PREVALENTES EN PRIMERA INFANCIA (AIEPI)",IF(N81=CURSOS!$D$19,"ADMINISTRACION DE MEDICAMENTOS, INYECTOLOGIA  Y CANALIZACION ",IF(N81=CURSOS!$D$20,"OPERADOR DE VEHICULOS DE EMERGENCIA (OVE)",IF(N81=CURSOS!$D$21,"INSTITUCIONES AMIGAS DE LA MUJER Y LA INFANCIA (IAMI)",IF(N81=CURSOS!$D$22,"CUIDADO DEL DONANTE DE ORGANOS",IF(N81=CURSOS!$D$23,"ATENCION A VICTIMAS POR VIOLENCIA DE GENERO",IF(N81=CURSOS!$D$24,"IGUALDAD DE GENERO EN LA SALUD",IF(N81=CURSOS!$D$25,"BRIGADA DE EMERGENCIA",IF(N81=CURSOS!$D$26,"MANEJO DEL DOLOR Y CUIDADOS PALIATIVOS",IF(N81=CURSOS!$D$27,"TOMA DE MUESTRAS Y LABORATORIO POCT",IF(N81=CURSOS!$D$28,"IMPLANTE SUBDERMICO DE DISPOSITIVO INTRAUTERINO",IF(N81=CURSOS!$D$29,"SALUD MENTAL",IF(N81=CURSOS!$D$30,"PRIMEROS AUXILIOS PSICOLOGICOS",IF(N81=CURSOS!$D$31,"ATENCION A VICTIMAS POR CONFLICTO ARMADO",IF(N81=CURSOS!$D$32,"MANIPULACION DE ALIMENTOS Y BPM",IF(N81=CURSOS!$D$33,"ATENCION A PERSONAS CON DISCAPACIDAD",IF(N81=CURSOS!$D$34,"CUIDADO INTEGRAL DEL PACIENTE ADULTO",IF(N81=CURSOS!$D$35,"MANEJO DEFENSIVO",IF(N81=CURSOS!$D$36,"SOPORTE CARDIOVASCULAR AVANZADO NEONATAL"))))))))))))))))))))))))))))))))))</f>
        <v>TOMA DE MUESTRAS Y LABORATORIO POCT</v>
      </c>
      <c r="U81" s="124" t="str">
        <f t="shared" si="6"/>
        <v xml:space="preserve">Jenny  Tatiana Mayac  Igua </v>
      </c>
      <c r="V81" s="124" t="str">
        <f t="shared" si="7"/>
        <v xml:space="preserve">Jenny  Tatiana Mayac  Igua </v>
      </c>
      <c r="W81" s="138" t="str">
        <f t="shared" si="8"/>
        <v>Jenny  Tatiana Mayac  Igua -1193486373-POCT</v>
      </c>
    </row>
    <row r="82" spans="1:23" x14ac:dyDescent="0.2">
      <c r="A82" s="42">
        <v>81</v>
      </c>
      <c r="B82" s="155">
        <v>1002982087</v>
      </c>
      <c r="C82" s="155" t="s">
        <v>617</v>
      </c>
      <c r="D82" s="155" t="s">
        <v>618</v>
      </c>
      <c r="E82" s="155" t="s">
        <v>619</v>
      </c>
      <c r="F82" s="155" t="s">
        <v>318</v>
      </c>
      <c r="G82" s="140">
        <v>19</v>
      </c>
      <c r="H82" s="140" t="s">
        <v>89</v>
      </c>
      <c r="I82" s="157"/>
      <c r="J82" s="160">
        <v>40000</v>
      </c>
      <c r="K82" s="157"/>
      <c r="L82" s="157" t="s">
        <v>90</v>
      </c>
      <c r="M82" s="157" t="s">
        <v>275</v>
      </c>
      <c r="N82" s="155" t="s">
        <v>63</v>
      </c>
      <c r="O82" s="158">
        <v>37288</v>
      </c>
      <c r="P82" s="157" t="s">
        <v>101</v>
      </c>
      <c r="Q82" s="155" t="s">
        <v>126</v>
      </c>
      <c r="R82" s="155">
        <v>3012572270</v>
      </c>
      <c r="S82" s="155" t="s">
        <v>797</v>
      </c>
      <c r="T82" s="124" t="str">
        <f>IF(N82=CURSOS!$D$3,"DIPLOMADO EN ATENCION PRE-HOSPITALARIA",IF(N82=CURSOS!$D$4,"ACOMPAÑAMIENTO Y MANEJO DEL DUELO",IF(N82=CURSOS!$D$5,"ATENCION A VICTIMAS DE ATAQUE CON AGENTES QUIMICOS ",IF(N82=CURSOS!$D$6,"PRIMEROS AUXILIOS ",IF(N82=CURSOS!$D$7,"DIPLOMADO DE UNIDAD DE CUIDADOS INTENSIVOS (UCI)",IF(N82=CURSOS!$D$8,"MODELO DE ATENCION PARA EVENTOS EMERGENTES EN SALUD MENTAL (CODIGO VERDE)",IF(N82=CURSOS!$D$9,"HUMANIZACION EN EL SERVICIO DE LA SALUD Y BUENAS PRACTICAS EN PACIENTE ",IF(N82=CURSOS!$D$10,"CLINICA DE HERIDAS ",IF(N82=CURSOS!$D$11,"TOMA DE CITOLOGIA CERVICO VAGINAL ",IF(N82=CURSOS!$D$12,"SOPORTE CARDIOVASCULAR AVANZADO (ACLS) ",IF(N82=CURSOS!$D$13,"CAMILLERO ",IF(N82=CURSOS!$D$14,"TOMA DE MUESTRAS Y LABORATORIO ",IF(N82=CURSOS!$D$15,"SOPORTE VITAL BASICO (BLS)",IF(N82=CURSOS!$D$16,"ATENCION A VICTIMAS DE VIOLENCIA SEXUAL ",IF(N82=CURSOS!$D$17,"PROGRAMADO AMPLIADO DE INMUNIZACION (PAI - COVID 19)",IF(N82=CURSOS!$D$18,"ATENCION INTEGRAL EN ENFERMEDADES PREVALENTES EN PRIMERA INFANCIA (AIEPI)",IF(N82=CURSOS!$D$19,"ADMINISTRACION DE MEDICAMENTOS, INYECTOLOGIA  Y CANALIZACION ",IF(N82=CURSOS!$D$20,"OPERADOR DE VEHICULOS DE EMERGENCIA (OVE)",IF(N82=CURSOS!$D$21,"INSTITUCIONES AMIGAS DE LA MUJER Y LA INFANCIA (IAMI)",IF(N82=CURSOS!$D$22,"CUIDADO DEL DONANTE DE ORGANOS",IF(N82=CURSOS!$D$23,"ATENCION A VICTIMAS POR VIOLENCIA DE GENERO",IF(N82=CURSOS!$D$24,"IGUALDAD DE GENERO EN LA SALUD",IF(N82=CURSOS!$D$25,"BRIGADA DE EMERGENCIA",IF(N82=CURSOS!$D$26,"MANEJO DEL DOLOR Y CUIDADOS PALIATIVOS",IF(N82=CURSOS!$D$27,"TOMA DE MUESTRAS Y LABORATORIO POCT",IF(N82=CURSOS!$D$28,"IMPLANTE SUBDERMICO DE DISPOSITIVO INTRAUTERINO",IF(N82=CURSOS!$D$29,"SALUD MENTAL",IF(N82=CURSOS!$D$30,"PRIMEROS AUXILIOS PSICOLOGICOS",IF(N82=CURSOS!$D$31,"ATENCION A VICTIMAS POR CONFLICTO ARMADO",IF(N82=CURSOS!$D$32,"MANIPULACION DE ALIMENTOS Y BPM",IF(N82=CURSOS!$D$33,"ATENCION A PERSONAS CON DISCAPACIDAD",IF(N82=CURSOS!$D$34,"CUIDADO INTEGRAL DEL PACIENTE ADULTO",IF(N82=CURSOS!$D$35,"MANEJO DEFENSIVO",IF(N82=CURSOS!$D$36,"SOPORTE CARDIOVASCULAR AVANZADO NEONATAL"))))))))))))))))))))))))))))))))))</f>
        <v>TOMA DE MUESTRAS Y LABORATORIO POCT</v>
      </c>
      <c r="U82" s="124" t="str">
        <f t="shared" si="6"/>
        <v xml:space="preserve">Julian  David Calvache  valencia </v>
      </c>
      <c r="V82" s="124" t="str">
        <f t="shared" si="7"/>
        <v xml:space="preserve">Julian  David Calvache  Valencia </v>
      </c>
      <c r="W82" s="138" t="str">
        <f t="shared" si="8"/>
        <v>Julian  David Calvache  valencia -1002982087-POCT</v>
      </c>
    </row>
    <row r="83" spans="1:23" ht="15.75" x14ac:dyDescent="0.25">
      <c r="A83" s="42">
        <v>82</v>
      </c>
      <c r="B83" s="155">
        <v>12754653</v>
      </c>
      <c r="C83" s="155" t="s">
        <v>637</v>
      </c>
      <c r="D83" s="155"/>
      <c r="E83" s="155" t="s">
        <v>321</v>
      </c>
      <c r="F83" s="155" t="s">
        <v>130</v>
      </c>
      <c r="G83" s="157">
        <v>19</v>
      </c>
      <c r="H83" s="157" t="s">
        <v>89</v>
      </c>
      <c r="I83" s="156">
        <v>45490</v>
      </c>
      <c r="J83" s="200">
        <v>40000</v>
      </c>
      <c r="K83" s="201" t="s">
        <v>210</v>
      </c>
      <c r="L83" s="157" t="s">
        <v>90</v>
      </c>
      <c r="M83" s="157" t="s">
        <v>275</v>
      </c>
      <c r="N83" s="155" t="s">
        <v>63</v>
      </c>
      <c r="O83" s="158">
        <v>30129</v>
      </c>
      <c r="P83" s="157" t="s">
        <v>91</v>
      </c>
      <c r="Q83" s="155" t="s">
        <v>126</v>
      </c>
      <c r="R83" s="155">
        <v>3218988565</v>
      </c>
      <c r="S83" s="155" t="s">
        <v>638</v>
      </c>
      <c r="T83" s="124" t="str">
        <f>IF(N83=CURSOS!$D$3,"DIPLOMADO EN ATENCION PRE-HOSPITALARIA",IF(N83=CURSOS!$D$4,"ACOMPAÑAMIENTO Y MANEJO DEL DUELO",IF(N83=CURSOS!$D$5,"ATENCION A VICTIMAS DE ATAQUE CON AGENTES QUIMICOS ",IF(N83=CURSOS!$D$6,"PRIMEROS AUXILIOS ",IF(N83=CURSOS!$D$7,"DIPLOMADO DE UNIDAD DE CUIDADOS INTENSIVOS (UCI)",IF(N83=CURSOS!$D$8,"MODELO DE ATENCION PARA EVENTOS EMERGENTES EN SALUD MENTAL (CODIGO VERDE)",IF(N83=CURSOS!$D$9,"HUMANIZACION EN EL SERVICIO DE LA SALUD Y BUENAS PRACTICAS EN PACIENTE ",IF(N83=CURSOS!$D$10,"CLINICA DE HERIDAS ",IF(N83=CURSOS!$D$11,"TOMA DE CITOLOGIA CERVICO VAGINAL ",IF(N83=CURSOS!$D$12,"SOPORTE CARDIOVASCULAR AVANZADO (ACLS) ",IF(N83=CURSOS!$D$13,"CAMILLERO ",IF(N83=CURSOS!$D$14,"TOMA DE MUESTRAS Y LABORATORIO ",IF(N83=CURSOS!$D$15,"SOPORTE VITAL BASICO (BLS)",IF(N83=CURSOS!$D$16,"ATENCION A VICTIMAS DE VIOLENCIA SEXUAL ",IF(N83=CURSOS!$D$17,"PROGRAMADO AMPLIADO DE INMUNIZACION (PAI - COVID 19)",IF(N83=CURSOS!$D$18,"ATENCION INTEGRAL EN ENFERMEDADES PREVALENTES EN PRIMERA INFANCIA (AIEPI)",IF(N83=CURSOS!$D$19,"ADMINISTRACION DE MEDICAMENTOS, INYECTOLOGIA  Y CANALIZACION ",IF(N83=CURSOS!$D$20,"OPERADOR DE VEHICULOS DE EMERGENCIA (OVE)",IF(N83=CURSOS!$D$21,"INSTITUCIONES AMIGAS DE LA MUJER Y LA INFANCIA (IAMI)",IF(N83=CURSOS!$D$22,"CUIDADO DEL DONANTE DE ORGANOS",IF(N83=CURSOS!$D$23,"ATENCION A VICTIMAS POR VIOLENCIA DE GENERO",IF(N83=CURSOS!$D$24,"IGUALDAD DE GENERO EN LA SALUD",IF(N83=CURSOS!$D$25,"BRIGADA DE EMERGENCIA",IF(N83=CURSOS!$D$26,"MANEJO DEL DOLOR Y CUIDADOS PALIATIVOS",IF(N83=CURSOS!$D$27,"TOMA DE MUESTRAS Y LABORATORIO POCT",IF(N83=CURSOS!$D$28,"IMPLANTE SUBDERMICO DE DISPOSITIVO INTRAUTERINO",IF(N83=CURSOS!$D$29,"SALUD MENTAL",IF(N83=CURSOS!$D$30,"PRIMEROS AUXILIOS PSICOLOGICOS",IF(N83=CURSOS!$D$31,"ATENCION A VICTIMAS POR CONFLICTO ARMADO",IF(N83=CURSOS!$D$32,"MANIPULACION DE ALIMENTOS Y BPM",IF(N83=CURSOS!$D$33,"ATENCION A PERSONAS CON DISCAPACIDAD",IF(N83=CURSOS!$D$34,"CUIDADO INTEGRAL DEL PACIENTE ADULTO",IF(N83=CURSOS!$D$35,"MANEJO DEFENSIVO",IF(N83=CURSOS!$D$36,"SOPORTE CARDIOVASCULAR AVANZADO NEONATAL"))))))))))))))))))))))))))))))))))</f>
        <v>TOMA DE MUESTRAS Y LABORATORIO POCT</v>
      </c>
      <c r="U83" s="124" t="str">
        <f t="shared" si="6"/>
        <v xml:space="preserve">Juan Carlos Tiraca </v>
      </c>
      <c r="V83" s="124" t="str">
        <f t="shared" si="7"/>
        <v xml:space="preserve">Juan Carlos Tiraca </v>
      </c>
      <c r="W83" s="138" t="str">
        <f t="shared" si="8"/>
        <v>Juan Carlos Tiraca -12754653-POCT</v>
      </c>
    </row>
    <row r="84" spans="1:23" ht="15.75" x14ac:dyDescent="0.25">
      <c r="A84" s="42">
        <v>83</v>
      </c>
      <c r="B84" s="139">
        <v>1085300108</v>
      </c>
      <c r="C84" s="155" t="s">
        <v>675</v>
      </c>
      <c r="D84" s="155" t="s">
        <v>676</v>
      </c>
      <c r="E84" s="155" t="s">
        <v>321</v>
      </c>
      <c r="F84" s="155" t="s">
        <v>130</v>
      </c>
      <c r="G84" s="157">
        <v>19</v>
      </c>
      <c r="H84" s="157" t="s">
        <v>89</v>
      </c>
      <c r="I84" s="156">
        <v>45491</v>
      </c>
      <c r="J84" s="200">
        <v>40000</v>
      </c>
      <c r="K84" s="201" t="s">
        <v>210</v>
      </c>
      <c r="L84" s="157" t="s">
        <v>90</v>
      </c>
      <c r="M84" s="157" t="s">
        <v>275</v>
      </c>
      <c r="N84" s="155" t="s">
        <v>63</v>
      </c>
      <c r="O84" s="158">
        <v>33801</v>
      </c>
      <c r="P84" s="157" t="s">
        <v>91</v>
      </c>
      <c r="Q84" s="155" t="s">
        <v>126</v>
      </c>
      <c r="R84" s="155">
        <v>3138422921</v>
      </c>
      <c r="S84" s="155" t="s">
        <v>677</v>
      </c>
      <c r="T84" s="124" t="str">
        <f>IF(N84=CURSOS!$D$3,"DIPLOMADO EN ATENCION PRE-HOSPITALARIA",IF(N84=CURSOS!$D$4,"ACOMPAÑAMIENTO Y MANEJO DEL DUELO",IF(N84=CURSOS!$D$5,"ATENCION A VICTIMAS DE ATAQUE CON AGENTES QUIMICOS ",IF(N84=CURSOS!$D$6,"PRIMEROS AUXILIOS ",IF(N84=CURSOS!$D$7,"DIPLOMADO DE UNIDAD DE CUIDADOS INTENSIVOS (UCI)",IF(N84=CURSOS!$D$8,"MODELO DE ATENCION PARA EVENTOS EMERGENTES EN SALUD MENTAL (CODIGO VERDE)",IF(N84=CURSOS!$D$9,"HUMANIZACION EN EL SERVICIO DE LA SALUD Y BUENAS PRACTICAS EN PACIENTE ",IF(N84=CURSOS!$D$10,"CLINICA DE HERIDAS ",IF(N84=CURSOS!$D$11,"TOMA DE CITOLOGIA CERVICO VAGINAL ",IF(N84=CURSOS!$D$12,"SOPORTE CARDIOVASCULAR AVANZADO (ACLS) ",IF(N84=CURSOS!$D$13,"CAMILLERO ",IF(N84=CURSOS!$D$14,"TOMA DE MUESTRAS Y LABORATORIO ",IF(N84=CURSOS!$D$15,"SOPORTE VITAL BASICO (BLS)",IF(N84=CURSOS!$D$16,"ATENCION A VICTIMAS DE VIOLENCIA SEXUAL ",IF(N84=CURSOS!$D$17,"PROGRAMADO AMPLIADO DE INMUNIZACION (PAI - COVID 19)",IF(N84=CURSOS!$D$18,"ATENCION INTEGRAL EN ENFERMEDADES PREVALENTES EN PRIMERA INFANCIA (AIEPI)",IF(N84=CURSOS!$D$19,"ADMINISTRACION DE MEDICAMENTOS, INYECTOLOGIA  Y CANALIZACION ",IF(N84=CURSOS!$D$20,"OPERADOR DE VEHICULOS DE EMERGENCIA (OVE)",IF(N84=CURSOS!$D$21,"INSTITUCIONES AMIGAS DE LA MUJER Y LA INFANCIA (IAMI)",IF(N84=CURSOS!$D$22,"CUIDADO DEL DONANTE DE ORGANOS",IF(N84=CURSOS!$D$23,"ATENCION A VICTIMAS POR VIOLENCIA DE GENERO",IF(N84=CURSOS!$D$24,"IGUALDAD DE GENERO EN LA SALUD",IF(N84=CURSOS!$D$25,"BRIGADA DE EMERGENCIA",IF(N84=CURSOS!$D$26,"MANEJO DEL DOLOR Y CUIDADOS PALIATIVOS",IF(N84=CURSOS!$D$27,"TOMA DE MUESTRAS Y LABORATORIO POCT",IF(N84=CURSOS!$D$28,"IMPLANTE SUBDERMICO DE DISPOSITIVO INTRAUTERINO",IF(N84=CURSOS!$D$29,"SALUD MENTAL",IF(N84=CURSOS!$D$30,"PRIMEROS AUXILIOS PSICOLOGICOS",IF(N84=CURSOS!$D$31,"ATENCION A VICTIMAS POR CONFLICTO ARMADO",IF(N84=CURSOS!$D$32,"MANIPULACION DE ALIMENTOS Y BPM",IF(N84=CURSOS!$D$33,"ATENCION A PERSONAS CON DISCAPACIDAD",IF(N84=CURSOS!$D$34,"CUIDADO INTEGRAL DEL PACIENTE ADULTO",IF(N84=CURSOS!$D$35,"MANEJO DEFENSIVO",IF(N84=CURSOS!$D$36,"SOPORTE CARDIOVASCULAR AVANZADO NEONATAL"))))))))))))))))))))))))))))))))))</f>
        <v>TOMA DE MUESTRAS Y LABORATORIO POCT</v>
      </c>
      <c r="U84" s="124" t="str">
        <f t="shared" si="6"/>
        <v>Juan Carlos Josa Valenzuela</v>
      </c>
      <c r="V84" s="124" t="str">
        <f t="shared" si="7"/>
        <v>Juan Carlos Josa Valenzuela</v>
      </c>
      <c r="W84" s="138" t="str">
        <f t="shared" si="8"/>
        <v>Juan Carlos Josa Valenzuela-1085300108-POCT</v>
      </c>
    </row>
    <row r="85" spans="1:23" ht="15.75" x14ac:dyDescent="0.25">
      <c r="A85" s="42">
        <v>84</v>
      </c>
      <c r="B85" s="155">
        <v>27168885</v>
      </c>
      <c r="C85" s="155" t="s">
        <v>628</v>
      </c>
      <c r="D85" s="155" t="s">
        <v>421</v>
      </c>
      <c r="E85" s="155" t="s">
        <v>629</v>
      </c>
      <c r="F85" s="155" t="s">
        <v>678</v>
      </c>
      <c r="G85" s="157">
        <v>19</v>
      </c>
      <c r="H85" s="157" t="s">
        <v>89</v>
      </c>
      <c r="I85" s="156">
        <v>45490</v>
      </c>
      <c r="J85" s="207">
        <v>40000</v>
      </c>
      <c r="K85" s="208" t="s">
        <v>246</v>
      </c>
      <c r="L85" s="157" t="s">
        <v>90</v>
      </c>
      <c r="M85" s="157" t="s">
        <v>275</v>
      </c>
      <c r="N85" s="155" t="s">
        <v>63</v>
      </c>
      <c r="O85" s="158">
        <v>29188</v>
      </c>
      <c r="P85" s="157" t="s">
        <v>101</v>
      </c>
      <c r="Q85" s="155" t="s">
        <v>126</v>
      </c>
      <c r="R85" s="155">
        <v>3113135249</v>
      </c>
      <c r="S85" s="155" t="s">
        <v>798</v>
      </c>
      <c r="T85" s="124" t="str">
        <f>IF(N85=CURSOS!$D$3,"DIPLOMADO EN ATENCION PRE-HOSPITALARIA",IF(N85=CURSOS!$D$4,"ACOMPAÑAMIENTO Y MANEJO DEL DUELO",IF(N85=CURSOS!$D$5,"ATENCION A VICTIMAS DE ATAQUE CON AGENTES QUIMICOS ",IF(N85=CURSOS!$D$6,"PRIMEROS AUXILIOS ",IF(N85=CURSOS!$D$7,"DIPLOMADO DE UNIDAD DE CUIDADOS INTENSIVOS (UCI)",IF(N85=CURSOS!$D$8,"MODELO DE ATENCION PARA EVENTOS EMERGENTES EN SALUD MENTAL (CODIGO VERDE)",IF(N85=CURSOS!$D$9,"HUMANIZACION EN EL SERVICIO DE LA SALUD Y BUENAS PRACTICAS EN PACIENTE ",IF(N85=CURSOS!$D$10,"CLINICA DE HERIDAS ",IF(N85=CURSOS!$D$11,"TOMA DE CITOLOGIA CERVICO VAGINAL ",IF(N85=CURSOS!$D$12,"SOPORTE CARDIOVASCULAR AVANZADO (ACLS) ",IF(N85=CURSOS!$D$13,"CAMILLERO ",IF(N85=CURSOS!$D$14,"TOMA DE MUESTRAS Y LABORATORIO ",IF(N85=CURSOS!$D$15,"SOPORTE VITAL BASICO (BLS)",IF(N85=CURSOS!$D$16,"ATENCION A VICTIMAS DE VIOLENCIA SEXUAL ",IF(N85=CURSOS!$D$17,"PROGRAMADO AMPLIADO DE INMUNIZACION (PAI - COVID 19)",IF(N85=CURSOS!$D$18,"ATENCION INTEGRAL EN ENFERMEDADES PREVALENTES EN PRIMERA INFANCIA (AIEPI)",IF(N85=CURSOS!$D$19,"ADMINISTRACION DE MEDICAMENTOS, INYECTOLOGIA  Y CANALIZACION ",IF(N85=CURSOS!$D$20,"OPERADOR DE VEHICULOS DE EMERGENCIA (OVE)",IF(N85=CURSOS!$D$21,"INSTITUCIONES AMIGAS DE LA MUJER Y LA INFANCIA (IAMI)",IF(N85=CURSOS!$D$22,"CUIDADO DEL DONANTE DE ORGANOS",IF(N85=CURSOS!$D$23,"ATENCION A VICTIMAS POR VIOLENCIA DE GENERO",IF(N85=CURSOS!$D$24,"IGUALDAD DE GENERO EN LA SALUD",IF(N85=CURSOS!$D$25,"BRIGADA DE EMERGENCIA",IF(N85=CURSOS!$D$26,"MANEJO DEL DOLOR Y CUIDADOS PALIATIVOS",IF(N85=CURSOS!$D$27,"TOMA DE MUESTRAS Y LABORATORIO POCT",IF(N85=CURSOS!$D$28,"IMPLANTE SUBDERMICO DE DISPOSITIVO INTRAUTERINO",IF(N85=CURSOS!$D$29,"SALUD MENTAL",IF(N85=CURSOS!$D$30,"PRIMEROS AUXILIOS PSICOLOGICOS",IF(N85=CURSOS!$D$31,"ATENCION A VICTIMAS POR CONFLICTO ARMADO",IF(N85=CURSOS!$D$32,"MANIPULACION DE ALIMENTOS Y BPM",IF(N85=CURSOS!$D$33,"ATENCION A PERSONAS CON DISCAPACIDAD",IF(N85=CURSOS!$D$34,"CUIDADO INTEGRAL DEL PACIENTE ADULTO",IF(N85=CURSOS!$D$35,"MANEJO DEFENSIVO",IF(N85=CURSOS!$D$36,"SOPORTE CARDIOVASCULAR AVANZADO NEONATAL"))))))))))))))))))))))))))))))))))</f>
        <v>TOMA DE MUESTRAS Y LABORATORIO POCT</v>
      </c>
      <c r="U85" s="124" t="str">
        <f t="shared" si="6"/>
        <v>Aracely del Rosario Bastidas Melo</v>
      </c>
      <c r="V85" s="124" t="str">
        <f t="shared" si="7"/>
        <v>Aracely Del Rosario Bastidas Melo</v>
      </c>
      <c r="W85" s="138" t="str">
        <f t="shared" si="8"/>
        <v>Aracely del Rosario Bastidas Melo-27168885-POCT</v>
      </c>
    </row>
    <row r="86" spans="1:23" ht="15.75" x14ac:dyDescent="0.25">
      <c r="A86" s="42">
        <v>85</v>
      </c>
      <c r="B86" s="155">
        <v>27221084</v>
      </c>
      <c r="C86" s="155" t="s">
        <v>640</v>
      </c>
      <c r="D86" s="155" t="s">
        <v>628</v>
      </c>
      <c r="E86" s="155" t="s">
        <v>489</v>
      </c>
      <c r="F86" s="155"/>
      <c r="G86" s="157">
        <v>19</v>
      </c>
      <c r="H86" s="157" t="s">
        <v>89</v>
      </c>
      <c r="I86" s="156">
        <v>45491</v>
      </c>
      <c r="J86" s="200">
        <v>40000</v>
      </c>
      <c r="K86" s="201" t="s">
        <v>210</v>
      </c>
      <c r="L86" s="157" t="s">
        <v>90</v>
      </c>
      <c r="M86" s="157" t="s">
        <v>275</v>
      </c>
      <c r="N86" s="155" t="s">
        <v>63</v>
      </c>
      <c r="O86" s="158">
        <v>28049</v>
      </c>
      <c r="P86" s="157" t="s">
        <v>101</v>
      </c>
      <c r="Q86" s="155" t="s">
        <v>126</v>
      </c>
      <c r="R86" s="155">
        <v>3184413922</v>
      </c>
      <c r="S86" s="155" t="s">
        <v>682</v>
      </c>
      <c r="T86" s="124" t="str">
        <f>IF(N86=CURSOS!$D$3,"DIPLOMADO EN ATENCION PRE-HOSPITALARIA",IF(N86=CURSOS!$D$4,"ACOMPAÑAMIENTO Y MANEJO DEL DUELO",IF(N86=CURSOS!$D$5,"ATENCION A VICTIMAS DE ATAQUE CON AGENTES QUIMICOS ",IF(N86=CURSOS!$D$6,"PRIMEROS AUXILIOS ",IF(N86=CURSOS!$D$7,"DIPLOMADO DE UNIDAD DE CUIDADOS INTENSIVOS (UCI)",IF(N86=CURSOS!$D$8,"MODELO DE ATENCION PARA EVENTOS EMERGENTES EN SALUD MENTAL (CODIGO VERDE)",IF(N86=CURSOS!$D$9,"HUMANIZACION EN EL SERVICIO DE LA SALUD Y BUENAS PRACTICAS EN PACIENTE ",IF(N86=CURSOS!$D$10,"CLINICA DE HERIDAS ",IF(N86=CURSOS!$D$11,"TOMA DE CITOLOGIA CERVICO VAGINAL ",IF(N86=CURSOS!$D$12,"SOPORTE CARDIOVASCULAR AVANZADO (ACLS) ",IF(N86=CURSOS!$D$13,"CAMILLERO ",IF(N86=CURSOS!$D$14,"TOMA DE MUESTRAS Y LABORATORIO ",IF(N86=CURSOS!$D$15,"SOPORTE VITAL BASICO (BLS)",IF(N86=CURSOS!$D$16,"ATENCION A VICTIMAS DE VIOLENCIA SEXUAL ",IF(N86=CURSOS!$D$17,"PROGRAMADO AMPLIADO DE INMUNIZACION (PAI - COVID 19)",IF(N86=CURSOS!$D$18,"ATENCION INTEGRAL EN ENFERMEDADES PREVALENTES EN PRIMERA INFANCIA (AIEPI)",IF(N86=CURSOS!$D$19,"ADMINISTRACION DE MEDICAMENTOS, INYECTOLOGIA  Y CANALIZACION ",IF(N86=CURSOS!$D$20,"OPERADOR DE VEHICULOS DE EMERGENCIA (OVE)",IF(N86=CURSOS!$D$21,"INSTITUCIONES AMIGAS DE LA MUJER Y LA INFANCIA (IAMI)",IF(N86=CURSOS!$D$22,"CUIDADO DEL DONANTE DE ORGANOS",IF(N86=CURSOS!$D$23,"ATENCION A VICTIMAS POR VIOLENCIA DE GENERO",IF(N86=CURSOS!$D$24,"IGUALDAD DE GENERO EN LA SALUD",IF(N86=CURSOS!$D$25,"BRIGADA DE EMERGENCIA",IF(N86=CURSOS!$D$26,"MANEJO DEL DOLOR Y CUIDADOS PALIATIVOS",IF(N86=CURSOS!$D$27,"TOMA DE MUESTRAS Y LABORATORIO POCT",IF(N86=CURSOS!$D$28,"IMPLANTE SUBDERMICO DE DISPOSITIVO INTRAUTERINO",IF(N86=CURSOS!$D$29,"SALUD MENTAL",IF(N86=CURSOS!$D$30,"PRIMEROS AUXILIOS PSICOLOGICOS",IF(N86=CURSOS!$D$31,"ATENCION A VICTIMAS POR CONFLICTO ARMADO",IF(N86=CURSOS!$D$32,"MANIPULACION DE ALIMENTOS Y BPM",IF(N86=CURSOS!$D$33,"ATENCION A PERSONAS CON DISCAPACIDAD",IF(N86=CURSOS!$D$34,"CUIDADO INTEGRAL DEL PACIENTE ADULTO",IF(N86=CURSOS!$D$35,"MANEJO DEFENSIVO",IF(N86=CURSOS!$D$36,"SOPORTE CARDIOVASCULAR AVANZADO NEONATAL"))))))))))))))))))))))))))))))))))</f>
        <v>TOMA DE MUESTRAS Y LABORATORIO POCT</v>
      </c>
      <c r="U86" s="124" t="str">
        <f t="shared" si="6"/>
        <v>Anabel  Basante Bastidas</v>
      </c>
      <c r="V86" s="124" t="str">
        <f t="shared" si="7"/>
        <v>Anabel  Basante Bastidas</v>
      </c>
      <c r="W86" s="138" t="str">
        <f t="shared" si="8"/>
        <v>Anabel  Basante Bastidas-27221084-POCT</v>
      </c>
    </row>
    <row r="87" spans="1:23" ht="15.75" x14ac:dyDescent="0.25">
      <c r="A87" s="42">
        <v>86</v>
      </c>
      <c r="B87" s="155">
        <v>1085299549</v>
      </c>
      <c r="C87" s="155" t="s">
        <v>181</v>
      </c>
      <c r="D87" s="155" t="s">
        <v>683</v>
      </c>
      <c r="E87" s="155" t="s">
        <v>684</v>
      </c>
      <c r="F87" s="155" t="s">
        <v>685</v>
      </c>
      <c r="G87" s="157">
        <v>19</v>
      </c>
      <c r="H87" s="157" t="s">
        <v>89</v>
      </c>
      <c r="I87" s="156">
        <v>45491</v>
      </c>
      <c r="J87" s="200">
        <v>40000</v>
      </c>
      <c r="K87" s="201" t="s">
        <v>210</v>
      </c>
      <c r="L87" s="157" t="s">
        <v>90</v>
      </c>
      <c r="M87" s="157" t="s">
        <v>275</v>
      </c>
      <c r="N87" s="155" t="s">
        <v>63</v>
      </c>
      <c r="O87" s="158">
        <v>33851</v>
      </c>
      <c r="P87" s="157" t="s">
        <v>101</v>
      </c>
      <c r="Q87" s="155" t="s">
        <v>126</v>
      </c>
      <c r="R87" s="155">
        <v>3166475674</v>
      </c>
      <c r="S87" s="155" t="s">
        <v>686</v>
      </c>
      <c r="T87" s="124" t="str">
        <f>IF(N87=CURSOS!$D$3,"DIPLOMADO EN ATENCION PRE-HOSPITALARIA",IF(N87=CURSOS!$D$4,"ACOMPAÑAMIENTO Y MANEJO DEL DUELO",IF(N87=CURSOS!$D$5,"ATENCION A VICTIMAS DE ATAQUE CON AGENTES QUIMICOS ",IF(N87=CURSOS!$D$6,"PRIMEROS AUXILIOS ",IF(N87=CURSOS!$D$7,"DIPLOMADO DE UNIDAD DE CUIDADOS INTENSIVOS (UCI)",IF(N87=CURSOS!$D$8,"MODELO DE ATENCION PARA EVENTOS EMERGENTES EN SALUD MENTAL (CODIGO VERDE)",IF(N87=CURSOS!$D$9,"HUMANIZACION EN EL SERVICIO DE LA SALUD Y BUENAS PRACTICAS EN PACIENTE ",IF(N87=CURSOS!$D$10,"CLINICA DE HERIDAS ",IF(N87=CURSOS!$D$11,"TOMA DE CITOLOGIA CERVICO VAGINAL ",IF(N87=CURSOS!$D$12,"SOPORTE CARDIOVASCULAR AVANZADO (ACLS) ",IF(N87=CURSOS!$D$13,"CAMILLERO ",IF(N87=CURSOS!$D$14,"TOMA DE MUESTRAS Y LABORATORIO ",IF(N87=CURSOS!$D$15,"SOPORTE VITAL BASICO (BLS)",IF(N87=CURSOS!$D$16,"ATENCION A VICTIMAS DE VIOLENCIA SEXUAL ",IF(N87=CURSOS!$D$17,"PROGRAMADO AMPLIADO DE INMUNIZACION (PAI - COVID 19)",IF(N87=CURSOS!$D$18,"ATENCION INTEGRAL EN ENFERMEDADES PREVALENTES EN PRIMERA INFANCIA (AIEPI)",IF(N87=CURSOS!$D$19,"ADMINISTRACION DE MEDICAMENTOS, INYECTOLOGIA  Y CANALIZACION ",IF(N87=CURSOS!$D$20,"OPERADOR DE VEHICULOS DE EMERGENCIA (OVE)",IF(N87=CURSOS!$D$21,"INSTITUCIONES AMIGAS DE LA MUJER Y LA INFANCIA (IAMI)",IF(N87=CURSOS!$D$22,"CUIDADO DEL DONANTE DE ORGANOS",IF(N87=CURSOS!$D$23,"ATENCION A VICTIMAS POR VIOLENCIA DE GENERO",IF(N87=CURSOS!$D$24,"IGUALDAD DE GENERO EN LA SALUD",IF(N87=CURSOS!$D$25,"BRIGADA DE EMERGENCIA",IF(N87=CURSOS!$D$26,"MANEJO DEL DOLOR Y CUIDADOS PALIATIVOS",IF(N87=CURSOS!$D$27,"TOMA DE MUESTRAS Y LABORATORIO POCT",IF(N87=CURSOS!$D$28,"IMPLANTE SUBDERMICO DE DISPOSITIVO INTRAUTERINO",IF(N87=CURSOS!$D$29,"SALUD MENTAL",IF(N87=CURSOS!$D$30,"PRIMEROS AUXILIOS PSICOLOGICOS",IF(N87=CURSOS!$D$31,"ATENCION A VICTIMAS POR CONFLICTO ARMADO",IF(N87=CURSOS!$D$32,"MANIPULACION DE ALIMENTOS Y BPM",IF(N87=CURSOS!$D$33,"ATENCION A PERSONAS CON DISCAPACIDAD",IF(N87=CURSOS!$D$34,"CUIDADO INTEGRAL DEL PACIENTE ADULTO",IF(N87=CURSOS!$D$35,"MANEJO DEFENSIVO",IF(N87=CURSOS!$D$36,"SOPORTE CARDIOVASCULAR AVANZADO NEONATAL"))))))))))))))))))))))))))))))))))</f>
        <v>TOMA DE MUESTRAS Y LABORATORIO POCT</v>
      </c>
      <c r="U87" s="124" t="str">
        <f t="shared" si="6"/>
        <v>Kelly Jhasmin Morales Eraso</v>
      </c>
      <c r="V87" s="124" t="str">
        <f t="shared" si="7"/>
        <v>Kelly Jhasmin Morales Eraso</v>
      </c>
      <c r="W87" s="138" t="str">
        <f t="shared" si="8"/>
        <v>Kelly Jhasmin Morales Eraso-1085299549-POCT</v>
      </c>
    </row>
    <row r="88" spans="1:23" ht="15.75" x14ac:dyDescent="0.25">
      <c r="A88" s="111">
        <v>87</v>
      </c>
      <c r="B88" s="162">
        <v>1085261891</v>
      </c>
      <c r="C88" s="162" t="s">
        <v>688</v>
      </c>
      <c r="D88" s="162" t="s">
        <v>225</v>
      </c>
      <c r="E88" s="162" t="s">
        <v>448</v>
      </c>
      <c r="F88" s="162" t="s">
        <v>352</v>
      </c>
      <c r="G88" s="163">
        <v>19</v>
      </c>
      <c r="H88" s="163" t="s">
        <v>89</v>
      </c>
      <c r="I88" s="178">
        <v>45491</v>
      </c>
      <c r="J88" s="204">
        <v>40000</v>
      </c>
      <c r="K88" s="205" t="s">
        <v>210</v>
      </c>
      <c r="L88" s="163" t="s">
        <v>90</v>
      </c>
      <c r="M88" s="163" t="s">
        <v>275</v>
      </c>
      <c r="N88" s="162" t="s">
        <v>63</v>
      </c>
      <c r="O88" s="165">
        <v>32067</v>
      </c>
      <c r="P88" s="163" t="s">
        <v>101</v>
      </c>
      <c r="Q88" s="162" t="s">
        <v>126</v>
      </c>
      <c r="R88" s="162">
        <v>3104346175</v>
      </c>
      <c r="S88" s="162" t="s">
        <v>689</v>
      </c>
      <c r="T88" s="124" t="str">
        <f>IF(N88=CURSOS!$D$3,"DIPLOMADO EN ATENCION PRE-HOSPITALARIA",IF(N88=CURSOS!$D$4,"ACOMPAÑAMIENTO Y MANEJO DEL DUELO",IF(N88=CURSOS!$D$5,"ATENCION A VICTIMAS DE ATAQUE CON AGENTES QUIMICOS ",IF(N88=CURSOS!$D$6,"PRIMEROS AUXILIOS ",IF(N88=CURSOS!$D$7,"DIPLOMADO DE UNIDAD DE CUIDADOS INTENSIVOS (UCI)",IF(N88=CURSOS!$D$8,"MODELO DE ATENCION PARA EVENTOS EMERGENTES EN SALUD MENTAL (CODIGO VERDE)",IF(N88=CURSOS!$D$9,"HUMANIZACION EN EL SERVICIO DE LA SALUD Y BUENAS PRACTICAS EN PACIENTE ",IF(N88=CURSOS!$D$10,"CLINICA DE HERIDAS ",IF(N88=CURSOS!$D$11,"TOMA DE CITOLOGIA CERVICO VAGINAL ",IF(N88=CURSOS!$D$12,"SOPORTE CARDIOVASCULAR AVANZADO (ACLS) ",IF(N88=CURSOS!$D$13,"CAMILLERO ",IF(N88=CURSOS!$D$14,"TOMA DE MUESTRAS Y LABORATORIO ",IF(N88=CURSOS!$D$15,"SOPORTE VITAL BASICO (BLS)",IF(N88=CURSOS!$D$16,"ATENCION A VICTIMAS DE VIOLENCIA SEXUAL ",IF(N88=CURSOS!$D$17,"PROGRAMADO AMPLIADO DE INMUNIZACION (PAI - COVID 19)",IF(N88=CURSOS!$D$18,"ATENCION INTEGRAL EN ENFERMEDADES PREVALENTES EN PRIMERA INFANCIA (AIEPI)",IF(N88=CURSOS!$D$19,"ADMINISTRACION DE MEDICAMENTOS, INYECTOLOGIA  Y CANALIZACION ",IF(N88=CURSOS!$D$20,"OPERADOR DE VEHICULOS DE EMERGENCIA (OVE)",IF(N88=CURSOS!$D$21,"INSTITUCIONES AMIGAS DE LA MUJER Y LA INFANCIA (IAMI)",IF(N88=CURSOS!$D$22,"CUIDADO DEL DONANTE DE ORGANOS",IF(N88=CURSOS!$D$23,"ATENCION A VICTIMAS POR VIOLENCIA DE GENERO",IF(N88=CURSOS!$D$24,"IGUALDAD DE GENERO EN LA SALUD",IF(N88=CURSOS!$D$25,"BRIGADA DE EMERGENCIA",IF(N88=CURSOS!$D$26,"MANEJO DEL DOLOR Y CUIDADOS PALIATIVOS",IF(N88=CURSOS!$D$27,"TOMA DE MUESTRAS Y LABORATORIO POCT",IF(N88=CURSOS!$D$28,"IMPLANTE SUBDERMICO DE DISPOSITIVO INTRAUTERINO",IF(N88=CURSOS!$D$29,"SALUD MENTAL",IF(N88=CURSOS!$D$30,"PRIMEROS AUXILIOS PSICOLOGICOS",IF(N88=CURSOS!$D$31,"ATENCION A VICTIMAS POR CONFLICTO ARMADO",IF(N88=CURSOS!$D$32,"MANIPULACION DE ALIMENTOS Y BPM",IF(N88=CURSOS!$D$33,"ATENCION A PERSONAS CON DISCAPACIDAD",IF(N88=CURSOS!$D$34,"CUIDADO INTEGRAL DEL PACIENTE ADULTO",IF(N88=CURSOS!$D$35,"MANEJO DEFENSIVO",IF(N88=CURSOS!$D$36,"SOPORTE CARDIOVASCULAR AVANZADO NEONATAL"))))))))))))))))))))))))))))))))))</f>
        <v>TOMA DE MUESTRAS Y LABORATORIO POCT</v>
      </c>
      <c r="U88" s="124" t="str">
        <f t="shared" ref="U88:U89" si="9">CONCATENATE(E88," ",F88," ",C88," ",D88)</f>
        <v>Martha Isabel Gomajoa Moreno</v>
      </c>
      <c r="V88" s="124" t="str">
        <f t="shared" ref="V88:V89" si="10">+PROPER(U88)</f>
        <v>Martha Isabel Gomajoa Moreno</v>
      </c>
      <c r="W88" s="138" t="str">
        <f t="shared" ref="W88:W89" si="11">CONCATENATE(U88,"-",B88,"-",N88)</f>
        <v>Martha Isabel Gomajoa Moreno-1085261891-POCT</v>
      </c>
    </row>
    <row r="89" spans="1:23" s="155" customFormat="1" ht="15.75" x14ac:dyDescent="0.25">
      <c r="A89" s="181">
        <v>88</v>
      </c>
      <c r="B89" s="155">
        <v>1085297070</v>
      </c>
      <c r="C89" s="155" t="s">
        <v>453</v>
      </c>
      <c r="D89" s="155" t="s">
        <v>770</v>
      </c>
      <c r="E89" s="155" t="s">
        <v>771</v>
      </c>
      <c r="F89" s="155" t="s">
        <v>270</v>
      </c>
      <c r="G89" s="157">
        <v>19</v>
      </c>
      <c r="H89" s="157" t="s">
        <v>89</v>
      </c>
      <c r="I89" s="156">
        <v>45492</v>
      </c>
      <c r="J89" s="200">
        <v>40000</v>
      </c>
      <c r="K89" s="201" t="s">
        <v>210</v>
      </c>
      <c r="L89" s="157" t="s">
        <v>90</v>
      </c>
      <c r="M89" s="157" t="s">
        <v>275</v>
      </c>
      <c r="N89" s="155" t="s">
        <v>63</v>
      </c>
      <c r="O89" s="158">
        <v>33710</v>
      </c>
      <c r="P89" s="157" t="s">
        <v>101</v>
      </c>
      <c r="Q89" s="155" t="s">
        <v>126</v>
      </c>
      <c r="R89" s="155">
        <v>3175789938</v>
      </c>
      <c r="S89" s="155" t="s">
        <v>772</v>
      </c>
      <c r="T89" s="124" t="str">
        <f>IF(N89=CURSOS!$D$3,"DIPLOMADO EN ATENCION PRE-HOSPITALARIA",IF(N89=CURSOS!$D$4,"ACOMPAÑAMIENTO Y MANEJO DEL DUELO",IF(N89=CURSOS!$D$5,"ATENCION A VICTIMAS DE ATAQUE CON AGENTES QUIMICOS ",IF(N89=CURSOS!$D$6,"PRIMEROS AUXILIOS ",IF(N89=CURSOS!$D$7,"DIPLOMADO DE UNIDAD DE CUIDADOS INTENSIVOS (UCI)",IF(N89=CURSOS!$D$8,"MODELO DE ATENCION PARA EVENTOS EMERGENTES EN SALUD MENTAL (CODIGO VERDE)",IF(N89=CURSOS!$D$9,"HUMANIZACION EN EL SERVICIO DE LA SALUD Y BUENAS PRACTICAS EN PACIENTE ",IF(N89=CURSOS!$D$10,"CLINICA DE HERIDAS ",IF(N89=CURSOS!$D$11,"TOMA DE CITOLOGIA CERVICO VAGINAL ",IF(N89=CURSOS!$D$12,"SOPORTE CARDIOVASCULAR AVANZADO (ACLS) ",IF(N89=CURSOS!$D$13,"CAMILLERO ",IF(N89=CURSOS!$D$14,"TOMA DE MUESTRAS Y LABORATORIO ",IF(N89=CURSOS!$D$15,"SOPORTE VITAL BASICO (BLS)",IF(N89=CURSOS!$D$16,"ATENCION A VICTIMAS DE VIOLENCIA SEXUAL ",IF(N89=CURSOS!$D$17,"PROGRAMADO AMPLIADO DE INMUNIZACION (PAI - COVID 19)",IF(N89=CURSOS!$D$18,"ATENCION INTEGRAL EN ENFERMEDADES PREVALENTES EN PRIMERA INFANCIA (AIEPI)",IF(N89=CURSOS!$D$19,"ADMINISTRACION DE MEDICAMENTOS, INYECTOLOGIA  Y CANALIZACION ",IF(N89=CURSOS!$D$20,"OPERADOR DE VEHICULOS DE EMERGENCIA (OVE)",IF(N89=CURSOS!$D$21,"INSTITUCIONES AMIGAS DE LA MUJER Y LA INFANCIA (IAMI)",IF(N89=CURSOS!$D$22,"CUIDADO DEL DONANTE DE ORGANOS",IF(N89=CURSOS!$D$23,"ATENCION A VICTIMAS POR VIOLENCIA DE GENERO",IF(N89=CURSOS!$D$24,"IGUALDAD DE GENERO EN LA SALUD",IF(N89=CURSOS!$D$25,"BRIGADA DE EMERGENCIA",IF(N89=CURSOS!$D$26,"MANEJO DEL DOLOR Y CUIDADOS PALIATIVOS",IF(N89=CURSOS!$D$27,"TOMA DE MUESTRAS Y LABORATORIO POCT",IF(N89=CURSOS!$D$28,"IMPLANTE SUBDERMICO DE DISPOSITIVO INTRAUTERINO",IF(N89=CURSOS!$D$29,"SALUD MENTAL",IF(N89=CURSOS!$D$30,"PRIMEROS AUXILIOS PSICOLOGICOS",IF(N89=CURSOS!$D$31,"ATENCION A VICTIMAS POR CONFLICTO ARMADO",IF(N89=CURSOS!$D$32,"MANIPULACION DE ALIMENTOS Y BPM",IF(N89=CURSOS!$D$33,"ATENCION A PERSONAS CON DISCAPACIDAD",IF(N89=CURSOS!$D$34,"CUIDADO INTEGRAL DEL PACIENTE ADULTO",IF(N89=CURSOS!$D$35,"MANEJO DEFENSIVO",IF(N89=CURSOS!$D$36,"SOPORTE CARDIOVASCULAR AVANZADO NEONATAL"))))))))))))))))))))))))))))))))))</f>
        <v>TOMA DE MUESTRAS Y LABORATORIO POCT</v>
      </c>
      <c r="U89" s="124" t="str">
        <f t="shared" si="9"/>
        <v>María Alejandra Jojoa Maya</v>
      </c>
      <c r="V89" s="124" t="str">
        <f t="shared" si="10"/>
        <v>María Alejandra Jojoa Maya</v>
      </c>
      <c r="W89" s="138" t="str">
        <f t="shared" si="11"/>
        <v>María Alejandra Jojoa Maya-1085297070-POCT</v>
      </c>
    </row>
    <row r="90" spans="1:23" ht="15.75" x14ac:dyDescent="0.25">
      <c r="A90" s="181">
        <v>89</v>
      </c>
      <c r="B90" s="155">
        <v>24341152</v>
      </c>
      <c r="C90" s="155" t="s">
        <v>252</v>
      </c>
      <c r="D90" s="155" t="s">
        <v>225</v>
      </c>
      <c r="E90" s="155" t="s">
        <v>306</v>
      </c>
      <c r="F90" s="155" t="s">
        <v>853</v>
      </c>
      <c r="G90" s="157">
        <v>19</v>
      </c>
      <c r="H90" s="157" t="s">
        <v>89</v>
      </c>
      <c r="I90" s="156">
        <v>45485</v>
      </c>
      <c r="J90" s="207">
        <v>40000</v>
      </c>
      <c r="K90" s="208" t="s">
        <v>246</v>
      </c>
      <c r="L90" s="157" t="s">
        <v>90</v>
      </c>
      <c r="M90" s="157" t="s">
        <v>275</v>
      </c>
      <c r="N90" s="155" t="s">
        <v>63</v>
      </c>
      <c r="O90" s="158">
        <v>29637</v>
      </c>
      <c r="P90" s="157" t="s">
        <v>101</v>
      </c>
      <c r="Q90" s="155" t="s">
        <v>353</v>
      </c>
      <c r="R90" s="155">
        <v>3043536395</v>
      </c>
      <c r="S90" s="155" t="s">
        <v>854</v>
      </c>
      <c r="T90" s="124" t="str">
        <f>IF(N90=CURSOS!$D$3,"DIPLOMADO EN ATENCION PRE-HOSPITALARIA",IF(N90=CURSOS!$D$4,"ACOMPAÑAMIENTO Y MANEJO DEL DUELO",IF(N90=CURSOS!$D$5,"ATENCION A VICTIMAS DE ATAQUE CON AGENTES QUIMICOS ",IF(N90=CURSOS!$D$6,"PRIMEROS AUXILIOS ",IF(N90=CURSOS!$D$7,"DIPLOMADO DE UNIDAD DE CUIDADOS INTENSIVOS (UCI)",IF(N90=CURSOS!$D$8,"MODELO DE ATENCION PARA EVENTOS EMERGENTES EN SALUD MENTAL (CODIGO VERDE)",IF(N90=CURSOS!$D$9,"HUMANIZACION EN EL SERVICIO DE LA SALUD Y BUENAS PRACTICAS EN PACIENTE ",IF(N90=CURSOS!$D$10,"CLINICA DE HERIDAS ",IF(N90=CURSOS!$D$11,"TOMA DE CITOLOGIA CERVICO VAGINAL ",IF(N90=CURSOS!$D$12,"SOPORTE CARDIOVASCULAR AVANZADO (ACLS) ",IF(N90=CURSOS!$D$13,"CAMILLERO ",IF(N90=CURSOS!$D$14,"TOMA DE MUESTRAS Y LABORATORIO ",IF(N90=CURSOS!$D$15,"SOPORTE VITAL BASICO (BLS)",IF(N90=CURSOS!$D$16,"ATENCION A VICTIMAS DE VIOLENCIA SEXUAL ",IF(N90=CURSOS!$D$17,"PROGRAMADO AMPLIADO DE INMUNIZACION (PAI - COVID 19)",IF(N90=CURSOS!$D$18,"ATENCION INTEGRAL EN ENFERMEDADES PREVALENTES EN PRIMERA INFANCIA (AIEPI)",IF(N90=CURSOS!$D$19,"ADMINISTRACION DE MEDICAMENTOS, INYECTOLOGIA  Y CANALIZACION ",IF(N90=CURSOS!$D$20,"OPERADOR DE VEHICULOS DE EMERGENCIA (OVE)",IF(N90=CURSOS!$D$21,"INSTITUCIONES AMIGAS DE LA MUJER Y LA INFANCIA (IAMI)",IF(N90=CURSOS!$D$22,"CUIDADO DEL DONANTE DE ORGANOS",IF(N90=CURSOS!$D$23,"ATENCION A VICTIMAS POR VIOLENCIA DE GENERO",IF(N90=CURSOS!$D$24,"IGUALDAD DE GENERO EN LA SALUD",IF(N90=CURSOS!$D$25,"BRIGADA DE EMERGENCIA",IF(N90=CURSOS!$D$26,"MANEJO DEL DOLOR Y CUIDADOS PALIATIVOS",IF(N90=CURSOS!$D$27,"TOMA DE MUESTRAS Y LABORATORIO POCT",IF(N90=CURSOS!$D$28,"IMPLANTE SUBDERMICO DE DISPOSITIVO INTRAUTERINO",IF(N90=CURSOS!$D$29,"SALUD MENTAL",IF(N90=CURSOS!$D$30,"PRIMEROS AUXILIOS PSICOLOGICOS",IF(N90=CURSOS!$D$31,"ATENCION A VICTIMAS POR CONFLICTO ARMADO",IF(N90=CURSOS!$D$32,"MANIPULACION DE ALIMENTOS Y BPM",IF(N90=CURSOS!$D$33,"ATENCION A PERSONAS CON DISCAPACIDAD",IF(N90=CURSOS!$D$34,"CUIDADO INTEGRAL DEL PACIENTE ADULTO",IF(N90=CURSOS!$D$35,"MANEJO DEFENSIVO",IF(N90=CURSOS!$D$36,"SOPORTE CARDIOVASCULAR AVANZADO NEONATAL"))))))))))))))))))))))))))))))))))</f>
        <v>TOMA DE MUESTRAS Y LABORATORIO POCT</v>
      </c>
      <c r="U90" s="124" t="str">
        <f t="shared" ref="U90" si="12">CONCATENATE(E90," ",F90," ",C90," ",D90)</f>
        <v>Rosa Victoria Zambrano Moreno</v>
      </c>
      <c r="V90" s="124" t="str">
        <f t="shared" ref="V90" si="13">+PROPER(U90)</f>
        <v>Rosa Victoria Zambrano Moreno</v>
      </c>
      <c r="W90" s="138" t="str">
        <f t="shared" ref="W90" si="14">CONCATENATE(U90,"-",B90,"-",N90)</f>
        <v>Rosa Victoria Zambrano Moreno-24341152-POCT</v>
      </c>
    </row>
    <row r="91" spans="1:23" x14ac:dyDescent="0.2">
      <c r="A91" s="122"/>
      <c r="O91" s="161"/>
      <c r="Q91" s="102"/>
      <c r="R91" s="102"/>
      <c r="S91" s="102"/>
      <c r="T91" s="101"/>
      <c r="U91" s="101"/>
      <c r="V91" s="101"/>
      <c r="W91" s="101"/>
    </row>
    <row r="92" spans="1:23" x14ac:dyDescent="0.2">
      <c r="A92" s="42"/>
      <c r="O92" s="161"/>
      <c r="Q92" s="102"/>
      <c r="R92" s="102"/>
      <c r="S92" s="102"/>
      <c r="T92" s="101"/>
      <c r="U92" s="101"/>
      <c r="V92" s="101"/>
      <c r="W92" s="101"/>
    </row>
    <row r="93" spans="1:23" x14ac:dyDescent="0.2">
      <c r="A93" s="42"/>
      <c r="O93" s="161"/>
      <c r="Q93" s="102"/>
      <c r="R93" s="102"/>
      <c r="S93" s="102"/>
      <c r="T93" s="101"/>
      <c r="U93" s="101"/>
      <c r="V93" s="101"/>
      <c r="W93" s="101"/>
    </row>
    <row r="94" spans="1:23" x14ac:dyDescent="0.2">
      <c r="A94" s="42"/>
      <c r="O94" s="161"/>
      <c r="Q94" s="102"/>
      <c r="R94" s="102"/>
      <c r="S94" s="102"/>
      <c r="T94" s="101"/>
      <c r="U94" s="101"/>
      <c r="V94" s="101"/>
      <c r="W94" s="101"/>
    </row>
    <row r="95" spans="1:23" x14ac:dyDescent="0.2">
      <c r="A95" s="42"/>
      <c r="O95" s="161"/>
      <c r="Q95" s="102"/>
      <c r="R95" s="102"/>
      <c r="S95" s="102"/>
      <c r="T95" s="101"/>
      <c r="U95" s="101"/>
      <c r="V95" s="101"/>
      <c r="W95" s="101"/>
    </row>
    <row r="96" spans="1:23" x14ac:dyDescent="0.2">
      <c r="A96" s="42"/>
      <c r="O96" s="161"/>
      <c r="Q96" s="102"/>
      <c r="R96" s="102"/>
      <c r="S96" s="102"/>
      <c r="T96" s="101"/>
      <c r="U96" s="101"/>
      <c r="V96" s="101"/>
      <c r="W96" s="101"/>
    </row>
    <row r="97" spans="1:23" x14ac:dyDescent="0.2">
      <c r="A97" s="42"/>
      <c r="O97" s="161"/>
      <c r="Q97" s="102"/>
      <c r="R97" s="102"/>
      <c r="S97" s="102"/>
      <c r="T97" s="101"/>
      <c r="U97" s="101"/>
      <c r="V97" s="101"/>
      <c r="W97" s="101"/>
    </row>
    <row r="98" spans="1:23" x14ac:dyDescent="0.2">
      <c r="A98" s="42"/>
      <c r="O98" s="161"/>
      <c r="Q98" s="102"/>
      <c r="R98" s="102"/>
      <c r="S98" s="102"/>
      <c r="T98" s="101"/>
      <c r="U98" s="101"/>
      <c r="V98" s="101"/>
      <c r="W98" s="101"/>
    </row>
    <row r="99" spans="1:23" x14ac:dyDescent="0.2">
      <c r="A99" s="42"/>
      <c r="O99" s="161"/>
      <c r="Q99" s="102"/>
      <c r="R99" s="102"/>
      <c r="S99" s="102"/>
      <c r="T99" s="101"/>
      <c r="U99" s="101"/>
      <c r="V99" s="101"/>
      <c r="W99" s="101"/>
    </row>
    <row r="100" spans="1:23" x14ac:dyDescent="0.2">
      <c r="A100" s="42"/>
      <c r="O100" s="161"/>
      <c r="Q100" s="102"/>
      <c r="R100" s="102"/>
      <c r="S100" s="102"/>
      <c r="T100" s="101"/>
      <c r="U100" s="101"/>
      <c r="V100" s="101"/>
      <c r="W100" s="101"/>
    </row>
    <row r="101" spans="1:23" x14ac:dyDescent="0.2">
      <c r="A101" s="42"/>
      <c r="O101" s="161"/>
      <c r="Q101" s="102"/>
      <c r="R101" s="102"/>
      <c r="S101" s="102"/>
      <c r="T101" s="101"/>
      <c r="U101" s="101"/>
      <c r="V101" s="101"/>
      <c r="W101" s="101"/>
    </row>
    <row r="102" spans="1:23" x14ac:dyDescent="0.2">
      <c r="A102" s="42"/>
      <c r="O102" s="161"/>
      <c r="Q102" s="102"/>
      <c r="R102" s="102"/>
      <c r="S102" s="102"/>
      <c r="T102" s="101"/>
      <c r="U102" s="101"/>
      <c r="V102" s="101"/>
      <c r="W102" s="101"/>
    </row>
    <row r="103" spans="1:23" x14ac:dyDescent="0.2">
      <c r="A103" s="42"/>
      <c r="O103" s="161"/>
      <c r="Q103" s="102"/>
      <c r="R103" s="102"/>
      <c r="S103" s="102"/>
      <c r="T103" s="101"/>
      <c r="U103" s="101"/>
      <c r="V103" s="101"/>
      <c r="W103" s="101"/>
    </row>
    <row r="104" spans="1:23" x14ac:dyDescent="0.2">
      <c r="A104" s="42"/>
      <c r="O104" s="161"/>
      <c r="Q104" s="102"/>
      <c r="R104" s="102"/>
      <c r="S104" s="102"/>
      <c r="T104" s="101"/>
      <c r="U104" s="101"/>
      <c r="V104" s="101"/>
      <c r="W104" s="101"/>
    </row>
    <row r="105" spans="1:23" x14ac:dyDescent="0.2">
      <c r="A105" s="42"/>
      <c r="O105" s="161"/>
      <c r="Q105" s="102"/>
      <c r="R105" s="102"/>
      <c r="S105" s="102"/>
      <c r="T105" s="101"/>
      <c r="U105" s="101"/>
      <c r="V105" s="101"/>
      <c r="W105" s="101"/>
    </row>
    <row r="106" spans="1:23" x14ac:dyDescent="0.2">
      <c r="A106" s="42"/>
      <c r="O106" s="161"/>
      <c r="Q106" s="102"/>
      <c r="R106" s="102"/>
      <c r="S106" s="102"/>
      <c r="T106" s="101"/>
      <c r="U106" s="101"/>
      <c r="V106" s="101"/>
      <c r="W106" s="101"/>
    </row>
    <row r="107" spans="1:23" x14ac:dyDescent="0.2">
      <c r="A107" s="42"/>
      <c r="O107" s="161"/>
      <c r="Q107" s="102"/>
      <c r="R107" s="102"/>
      <c r="S107" s="102"/>
      <c r="T107" s="101"/>
      <c r="U107" s="101"/>
      <c r="V107" s="101"/>
      <c r="W107" s="101"/>
    </row>
    <row r="108" spans="1:23" x14ac:dyDescent="0.2">
      <c r="A108" s="42"/>
      <c r="O108" s="161"/>
      <c r="Q108" s="102"/>
      <c r="R108" s="102"/>
      <c r="S108" s="102"/>
      <c r="T108" s="101"/>
      <c r="U108" s="101"/>
      <c r="V108" s="101"/>
      <c r="W108" s="101"/>
    </row>
    <row r="109" spans="1:23" x14ac:dyDescent="0.2">
      <c r="Q109" s="102"/>
      <c r="R109" s="102"/>
      <c r="S109" s="102"/>
    </row>
    <row r="110" spans="1:23" x14ac:dyDescent="0.2">
      <c r="Q110" s="102"/>
      <c r="R110" s="102"/>
      <c r="S110" s="102"/>
    </row>
  </sheetData>
  <autoFilter ref="A1:W90" xr:uid="{00000000-0001-0000-0100-000000000000}"/>
  <phoneticPr fontId="7" type="noConversion"/>
  <hyperlinks>
    <hyperlink ref="S62" r:id="rId1" xr:uid="{00000000-0004-0000-0100-000000000000}"/>
    <hyperlink ref="S40" r:id="rId2" xr:uid="{00000000-0004-0000-0100-000001000000}"/>
    <hyperlink ref="S58" r:id="rId3" xr:uid="{00000000-0004-0000-0100-000002000000}"/>
    <hyperlink ref="S60" r:id="rId4" xr:uid="{00000000-0004-0000-0100-000003000000}"/>
    <hyperlink ref="S64" r:id="rId5" xr:uid="{00000000-0004-0000-0100-000004000000}"/>
    <hyperlink ref="S70" r:id="rId6" xr:uid="{00000000-0004-0000-0100-000005000000}"/>
    <hyperlink ref="S72" r:id="rId7" xr:uid="{00000000-0004-0000-0100-000006000000}"/>
    <hyperlink ref="S74" r:id="rId8" xr:uid="{00000000-0004-0000-0100-000007000000}"/>
  </hyperlinks>
  <pageMargins left="0.7" right="0.7" top="0.75" bottom="0.75" header="0.3" footer="0.3"/>
  <pageSetup orientation="portrait" verticalDpi="0" r:id="rId9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C1:E37"/>
  <sheetViews>
    <sheetView topLeftCell="B4" zoomScale="85" zoomScaleNormal="85" workbookViewId="0">
      <selection activeCell="D40" sqref="D40"/>
    </sheetView>
  </sheetViews>
  <sheetFormatPr baseColWidth="10" defaultRowHeight="15" x14ac:dyDescent="0.25"/>
  <cols>
    <col min="3" max="3" width="8.140625" style="1" bestFit="1" customWidth="1"/>
    <col min="4" max="4" width="32.5703125" bestFit="1" customWidth="1"/>
    <col min="5" max="5" width="97" bestFit="1" customWidth="1"/>
  </cols>
  <sheetData>
    <row r="1" spans="3:5" ht="15.75" thickBot="1" x14ac:dyDescent="0.3"/>
    <row r="2" spans="3:5" ht="15.75" thickBot="1" x14ac:dyDescent="0.3">
      <c r="C2" s="34" t="s">
        <v>20</v>
      </c>
      <c r="D2" s="34" t="s">
        <v>11</v>
      </c>
      <c r="E2" s="35" t="s">
        <v>15</v>
      </c>
    </row>
    <row r="3" spans="3:5" x14ac:dyDescent="0.25">
      <c r="C3" s="2">
        <v>1</v>
      </c>
      <c r="D3" s="3" t="s">
        <v>21</v>
      </c>
      <c r="E3" s="4" t="s">
        <v>22</v>
      </c>
    </row>
    <row r="4" spans="3:5" x14ac:dyDescent="0.25">
      <c r="C4" s="5">
        <v>2</v>
      </c>
      <c r="D4" s="6" t="s">
        <v>23</v>
      </c>
      <c r="E4" s="7" t="s">
        <v>24</v>
      </c>
    </row>
    <row r="5" spans="3:5" x14ac:dyDescent="0.25">
      <c r="C5" s="8">
        <v>3</v>
      </c>
      <c r="D5" s="6" t="s">
        <v>25</v>
      </c>
      <c r="E5" s="7" t="s">
        <v>26</v>
      </c>
    </row>
    <row r="6" spans="3:5" x14ac:dyDescent="0.25">
      <c r="C6" s="5">
        <v>4</v>
      </c>
      <c r="D6" s="6" t="s">
        <v>27</v>
      </c>
      <c r="E6" s="7" t="s">
        <v>28</v>
      </c>
    </row>
    <row r="7" spans="3:5" x14ac:dyDescent="0.25">
      <c r="C7" s="8">
        <v>5</v>
      </c>
      <c r="D7" s="6" t="s">
        <v>29</v>
      </c>
      <c r="E7" s="7" t="s">
        <v>30</v>
      </c>
    </row>
    <row r="8" spans="3:5" x14ac:dyDescent="0.25">
      <c r="C8" s="5">
        <v>6</v>
      </c>
      <c r="D8" s="6" t="s">
        <v>31</v>
      </c>
      <c r="E8" s="7" t="s">
        <v>32</v>
      </c>
    </row>
    <row r="9" spans="3:5" x14ac:dyDescent="0.25">
      <c r="C9" s="8">
        <v>7</v>
      </c>
      <c r="D9" s="6" t="s">
        <v>33</v>
      </c>
      <c r="E9" s="7" t="s">
        <v>571</v>
      </c>
    </row>
    <row r="10" spans="3:5" x14ac:dyDescent="0.25">
      <c r="C10" s="5">
        <v>8</v>
      </c>
      <c r="D10" s="6" t="s">
        <v>34</v>
      </c>
      <c r="E10" s="7" t="s">
        <v>35</v>
      </c>
    </row>
    <row r="11" spans="3:5" x14ac:dyDescent="0.25">
      <c r="C11" s="8">
        <v>9</v>
      </c>
      <c r="D11" s="9" t="s">
        <v>36</v>
      </c>
      <c r="E11" s="7" t="s">
        <v>37</v>
      </c>
    </row>
    <row r="12" spans="3:5" x14ac:dyDescent="0.25">
      <c r="C12" s="5">
        <v>10</v>
      </c>
      <c r="D12" s="10" t="s">
        <v>38</v>
      </c>
      <c r="E12" s="7" t="s">
        <v>573</v>
      </c>
    </row>
    <row r="13" spans="3:5" x14ac:dyDescent="0.25">
      <c r="C13" s="8">
        <v>11</v>
      </c>
      <c r="D13" s="10" t="s">
        <v>39</v>
      </c>
      <c r="E13" s="7" t="s">
        <v>40</v>
      </c>
    </row>
    <row r="14" spans="3:5" x14ac:dyDescent="0.25">
      <c r="C14" s="5">
        <v>12</v>
      </c>
      <c r="D14" s="10" t="s">
        <v>41</v>
      </c>
      <c r="E14" s="7" t="s">
        <v>572</v>
      </c>
    </row>
    <row r="15" spans="3:5" x14ac:dyDescent="0.25">
      <c r="C15" s="8">
        <v>13</v>
      </c>
      <c r="D15" s="10" t="s">
        <v>19</v>
      </c>
      <c r="E15" s="7" t="s">
        <v>42</v>
      </c>
    </row>
    <row r="16" spans="3:5" x14ac:dyDescent="0.25">
      <c r="C16" s="5">
        <v>14</v>
      </c>
      <c r="D16" s="10" t="s">
        <v>43</v>
      </c>
      <c r="E16" s="7" t="s">
        <v>44</v>
      </c>
    </row>
    <row r="17" spans="3:5" x14ac:dyDescent="0.25">
      <c r="C17" s="8">
        <v>15</v>
      </c>
      <c r="D17" s="10" t="s">
        <v>77</v>
      </c>
      <c r="E17" s="7" t="s">
        <v>45</v>
      </c>
    </row>
    <row r="18" spans="3:5" x14ac:dyDescent="0.25">
      <c r="C18" s="5">
        <v>16</v>
      </c>
      <c r="D18" s="10" t="s">
        <v>46</v>
      </c>
      <c r="E18" s="7" t="s">
        <v>47</v>
      </c>
    </row>
    <row r="19" spans="3:5" x14ac:dyDescent="0.25">
      <c r="C19" s="8">
        <v>17</v>
      </c>
      <c r="D19" s="10" t="s">
        <v>48</v>
      </c>
      <c r="E19" s="7" t="s">
        <v>80</v>
      </c>
    </row>
    <row r="20" spans="3:5" x14ac:dyDescent="0.25">
      <c r="C20" s="5">
        <v>18</v>
      </c>
      <c r="D20" s="10" t="s">
        <v>49</v>
      </c>
      <c r="E20" s="7" t="s">
        <v>50</v>
      </c>
    </row>
    <row r="21" spans="3:5" x14ac:dyDescent="0.25">
      <c r="C21" s="8">
        <v>19</v>
      </c>
      <c r="D21" s="10" t="s">
        <v>51</v>
      </c>
      <c r="E21" s="11" t="s">
        <v>52</v>
      </c>
    </row>
    <row r="22" spans="3:5" x14ac:dyDescent="0.25">
      <c r="C22" s="5">
        <v>20</v>
      </c>
      <c r="D22" s="10" t="s">
        <v>53</v>
      </c>
      <c r="E22" s="11" t="s">
        <v>54</v>
      </c>
    </row>
    <row r="23" spans="3:5" x14ac:dyDescent="0.25">
      <c r="C23" s="8">
        <v>21</v>
      </c>
      <c r="D23" s="10" t="s">
        <v>55</v>
      </c>
      <c r="E23" s="11" t="s">
        <v>56</v>
      </c>
    </row>
    <row r="24" spans="3:5" x14ac:dyDescent="0.25">
      <c r="C24" s="5">
        <v>22</v>
      </c>
      <c r="D24" s="10" t="s">
        <v>57</v>
      </c>
      <c r="E24" s="12" t="s">
        <v>58</v>
      </c>
    </row>
    <row r="25" spans="3:5" x14ac:dyDescent="0.25">
      <c r="C25" s="36">
        <v>23</v>
      </c>
      <c r="D25" s="10" t="s">
        <v>59</v>
      </c>
      <c r="E25" s="7" t="s">
        <v>60</v>
      </c>
    </row>
    <row r="26" spans="3:5" x14ac:dyDescent="0.25">
      <c r="C26" s="36">
        <v>24</v>
      </c>
      <c r="D26" s="10" t="s">
        <v>61</v>
      </c>
      <c r="E26" s="11" t="s">
        <v>62</v>
      </c>
    </row>
    <row r="27" spans="3:5" x14ac:dyDescent="0.25">
      <c r="C27" s="36">
        <v>25</v>
      </c>
      <c r="D27" s="10" t="s">
        <v>63</v>
      </c>
      <c r="E27" s="7" t="s">
        <v>574</v>
      </c>
    </row>
    <row r="28" spans="3:5" x14ac:dyDescent="0.25">
      <c r="C28" s="36">
        <v>26</v>
      </c>
      <c r="D28" s="10" t="s">
        <v>64</v>
      </c>
      <c r="E28" s="7" t="s">
        <v>575</v>
      </c>
    </row>
    <row r="29" spans="3:5" x14ac:dyDescent="0.25">
      <c r="C29" s="36">
        <v>27</v>
      </c>
      <c r="D29" s="10" t="s">
        <v>65</v>
      </c>
      <c r="E29" s="7" t="s">
        <v>65</v>
      </c>
    </row>
    <row r="30" spans="3:5" x14ac:dyDescent="0.25">
      <c r="C30" s="36">
        <v>28</v>
      </c>
      <c r="D30" s="10" t="s">
        <v>66</v>
      </c>
      <c r="E30" s="7" t="s">
        <v>67</v>
      </c>
    </row>
    <row r="31" spans="3:5" x14ac:dyDescent="0.25">
      <c r="C31" s="36">
        <v>29</v>
      </c>
      <c r="D31" s="10" t="s">
        <v>68</v>
      </c>
      <c r="E31" s="7" t="s">
        <v>69</v>
      </c>
    </row>
    <row r="32" spans="3:5" x14ac:dyDescent="0.25">
      <c r="C32" s="36">
        <v>30</v>
      </c>
      <c r="D32" s="10" t="s">
        <v>78</v>
      </c>
      <c r="E32" s="7" t="s">
        <v>79</v>
      </c>
    </row>
    <row r="33" spans="3:5" x14ac:dyDescent="0.25">
      <c r="C33" s="36">
        <v>31</v>
      </c>
      <c r="D33" s="10" t="s">
        <v>82</v>
      </c>
      <c r="E33" s="7" t="s">
        <v>81</v>
      </c>
    </row>
    <row r="34" spans="3:5" x14ac:dyDescent="0.25">
      <c r="C34" s="71">
        <v>32</v>
      </c>
      <c r="D34" s="72" t="s">
        <v>83</v>
      </c>
      <c r="E34" s="73" t="s">
        <v>84</v>
      </c>
    </row>
    <row r="35" spans="3:5" x14ac:dyDescent="0.25">
      <c r="C35" s="36">
        <v>33</v>
      </c>
      <c r="D35" s="78" t="s">
        <v>338</v>
      </c>
      <c r="E35" s="79" t="s">
        <v>338</v>
      </c>
    </row>
    <row r="36" spans="3:5" x14ac:dyDescent="0.25">
      <c r="C36" s="71">
        <v>34</v>
      </c>
      <c r="D36" s="72" t="s">
        <v>367</v>
      </c>
      <c r="E36" s="73" t="s">
        <v>368</v>
      </c>
    </row>
    <row r="37" spans="3:5" ht="15.75" thickBot="1" x14ac:dyDescent="0.3">
      <c r="C37" s="37">
        <v>35</v>
      </c>
      <c r="D37" s="174" t="s">
        <v>760</v>
      </c>
      <c r="E37" s="175" t="s">
        <v>759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H320"/>
  <sheetViews>
    <sheetView topLeftCell="A280" zoomScale="55" zoomScaleNormal="55" workbookViewId="0">
      <selection activeCell="E285" sqref="E285:E298"/>
    </sheetView>
  </sheetViews>
  <sheetFormatPr baseColWidth="10" defaultRowHeight="15" customHeight="1" x14ac:dyDescent="0.25"/>
  <cols>
    <col min="1" max="1" width="39.28515625" bestFit="1" customWidth="1"/>
    <col min="2" max="2" width="84.140625" bestFit="1" customWidth="1"/>
    <col min="3" max="3" width="14.5703125" bestFit="1" customWidth="1"/>
    <col min="4" max="4" width="100.140625" bestFit="1" customWidth="1"/>
    <col min="5" max="5" width="15.85546875" customWidth="1"/>
    <col min="6" max="6" width="38.140625" bestFit="1" customWidth="1"/>
    <col min="7" max="7" width="11.140625" bestFit="1" customWidth="1"/>
    <col min="8" max="8" width="35" bestFit="1" customWidth="1"/>
  </cols>
  <sheetData>
    <row r="1" spans="1:8" ht="15.75" thickBot="1" x14ac:dyDescent="0.3">
      <c r="A1" s="23" t="s">
        <v>11</v>
      </c>
      <c r="B1" s="24" t="s">
        <v>74</v>
      </c>
      <c r="C1" s="24" t="s">
        <v>75</v>
      </c>
      <c r="D1" s="24" t="s">
        <v>76</v>
      </c>
      <c r="E1" s="25"/>
      <c r="F1" s="13"/>
      <c r="G1" s="22" t="s">
        <v>20</v>
      </c>
      <c r="H1" s="20" t="s">
        <v>11</v>
      </c>
    </row>
    <row r="2" spans="1:8" ht="15.75" x14ac:dyDescent="0.25">
      <c r="A2" s="21" t="str">
        <f>INSCRITOS!N2</f>
        <v>QUIMICOS</v>
      </c>
      <c r="B2" s="13" t="str">
        <f>IF(A2=$H$19,"https://centrodecapacitaciondelsur.com/o-v-e-",IF(A2=$H$2,"https://centrodecapacitaciondelsur.com/aph-",IF(A2=$H$3,"https://centrodecapacitaciondelsur.com/manejo-del-duelo-",IF(A2=$H$4,"https://centrodecapacitaciondelsur.com/victimas-por-agentes-quimicos-",IF(A2=$H$5,"https://centrodecapacitaciondelsur.com/primeros-auxilios-",IF(A2=$H$6,"https://centrodecapacitaciondelsur.com/uci-",IF(A2=$H$8,"https://centrodecapacitaciondelsur.com/humanizacion-",IF(A2=$H$11,"https://centrodecapacitaciondelsur.com/soporte-cardiovascular-avanzado-",IF(A2=$H$12,"https://centrodecapacitaciondelsur.com/camillero-",IF(A2=$H$13,"https://centrodecapacitaciondelsur.com/toma-de-muestras-y-lab-clinico-",IF(A2=$H$14,"https://centrodecapacitaciondelsur.com/soporte-basico-de-vida-",IF(A2=$H$15,"https://centrodecapacitaciondelsur.com/violencia-sexual-",IF(A2=$H$17,"https://centrodecapacitaciondelsur.com/aiepi-",IF(A2=$H$18,"https://centrodecapacitaciondelsur.com/adm-medicamentos-canalizacion-inyectologia-",IF(A2=$H$25,"https://centrodecapacitaciondelsur.com/manejo-del-dolor-y-cuidados-paliativos-",IF(A2=$H$26,"https://centrodecapacitaciondelsur.com/toma-de-muestras-y-lab-clinico-poct-",IF(A2=$H$27,"https://centrodecapacitaciondelsur.com/implante-subdermico-",IF(A2=$H$21,"https://centrodecapacitaciondelsur.com/donante-de-organos-",IF(A2=$H$30,"https://centrodecapacitaciondelsur.com/atencion-a-victimas-del-conflicto-armado-",IF(A2=$H$20,"https://centrodecapacitaciondelsur.com/iami-",IF(A2=$H$22,"https://centrodecapacitaciondelsur.com/violencia-de-genero-",IF(A2=$H$23,"https://centrodecapacitaciondelsur.com/igualdad-de-genero-",IF(A2=$H$16,"https://centrodecapacitaciondelsur.com/pai-",IF(A2=$H$31,"https://centrodecapacitaciondelsur.com/manipulacion-de-alimentos-",IF(A2=$H$32,"https://centrodecapacitaciondelsur.com/atencion-a-personas-con-discapacidad-",IF(A2=$H$33,"https://centrodecapacitaciondelsur.com/atencion-al-adulto-mayor-",IF(A2=$H$34,"https://centrodecapacitaciondelsur.com/manejo-defensivo-",IF(A2=$H$35,"https://centrodecapacitaciondelsur.com/soporte-basico-neonatal-",IF(A2=$H$36,"https://centrodecapacitaciondelsur.com/seguridad-del-paciente-")))))))))))))))))))))))))))))</f>
        <v>https://centrodecapacitaciondelsur.com/victimas-por-agentes-quimicos-</v>
      </c>
      <c r="C2" s="21">
        <f>INSCRITOS!B2</f>
        <v>87550138</v>
      </c>
      <c r="D2" t="str">
        <f>CONCATENATE(B2,C2,"/")</f>
        <v>https://centrodecapacitaciondelsur.com/victimas-por-agentes-quimicos-87550138/</v>
      </c>
      <c r="G2" s="2">
        <v>1</v>
      </c>
      <c r="H2" s="40" t="s">
        <v>21</v>
      </c>
    </row>
    <row r="3" spans="1:8" ht="15" customHeight="1" x14ac:dyDescent="0.25">
      <c r="A3" s="21" t="str">
        <f>INSCRITOS!N3</f>
        <v>DUELO</v>
      </c>
      <c r="B3" s="13" t="str">
        <f t="shared" ref="B3:B66" si="0">IF(A3=$H$19,"https://centrodecapacitaciondelsur.com/o-v-e-",IF(A3=$H$2,"https://centrodecapacitaciondelsur.com/aph-",IF(A3=$H$3,"https://centrodecapacitaciondelsur.com/manejo-del-duelo-",IF(A3=$H$4,"https://centrodecapacitaciondelsur.com/victimas-por-agentes-quimicos-",IF(A3=$H$5,"https://centrodecapacitaciondelsur.com/primeros-auxilios-",IF(A3=$H$6,"https://centrodecapacitaciondelsur.com/uci-",IF(A3=$H$8,"https://centrodecapacitaciondelsur.com/humanizacion-",IF(A3=$H$11,"https://centrodecapacitaciondelsur.com/soporte-cardiovascular-avanzado-",IF(A3=$H$12,"https://centrodecapacitaciondelsur.com/camillero-",IF(A3=$H$13,"https://centrodecapacitaciondelsur.com/toma-de-muestras-y-lab-clinico-",IF(A3=$H$14,"https://centrodecapacitaciondelsur.com/soporte-basico-de-vida-",IF(A3=$H$15,"https://centrodecapacitaciondelsur.com/violencia-sexual-",IF(A3=$H$17,"https://centrodecapacitaciondelsur.com/aiepi-",IF(A3=$H$18,"https://centrodecapacitaciondelsur.com/adm-medicamentos-canalizacion-inyectologia-",IF(A3=$H$25,"https://centrodecapacitaciondelsur.com/manejo-del-dolor-y-cuidados-paliativos-",IF(A3=$H$26,"https://centrodecapacitaciondelsur.com/toma-de-muestras-y-lab-clinico-poct-",IF(A3=$H$27,"https://centrodecapacitaciondelsur.com/implante-subdermico-",IF(A3=$H$21,"https://centrodecapacitaciondelsur.com/donante-de-organos-",IF(A3=$H$30,"https://centrodecapacitaciondelsur.com/atencion-a-victimas-del-conflicto-armado-",IF(A3=$H$20,"https://centrodecapacitaciondelsur.com/iami-",IF(A3=$H$22,"https://centrodecapacitaciondelsur.com/violencia-de-genero-",IF(A3=$H$23,"https://centrodecapacitaciondelsur.com/igualdad-de-genero-",IF(A3=$H$16,"https://centrodecapacitaciondelsur.com/pai-",IF(A3=$H$31,"https://centrodecapacitaciondelsur.com/manipulacion-de-alimentos-",IF(A3=$H$32,"https://centrodecapacitaciondelsur.com/atencion-a-personas-con-discapacidad-",IF(A3=$H$33,"https://centrodecapacitaciondelsur.com/atencion-al-adulto-mayor-",IF(A3=$H$34,"https://centrodecapacitaciondelsur.com/manejo-defensivo-",IF(A3=$H$35,"https://centrodecapacitaciondelsur.com/soporte-basico-neonatal-",IF(A3=$H$36,"https://centrodecapacitaciondelsur.com/seguridad-del-paciente-")))))))))))))))))))))))))))))</f>
        <v>https://centrodecapacitaciondelsur.com/manejo-del-duelo-</v>
      </c>
      <c r="C3" s="21">
        <f>INSCRITOS!B3</f>
        <v>87550138</v>
      </c>
      <c r="D3" t="str">
        <f t="shared" ref="D3:D66" si="1">CONCATENATE(B3,C3,"/")</f>
        <v>https://centrodecapacitaciondelsur.com/manejo-del-duelo-87550138/</v>
      </c>
      <c r="G3" s="5">
        <v>2</v>
      </c>
      <c r="H3" s="11" t="s">
        <v>23</v>
      </c>
    </row>
    <row r="4" spans="1:8" ht="15" customHeight="1" x14ac:dyDescent="0.25">
      <c r="A4" s="21" t="str">
        <f>INSCRITOS!N4</f>
        <v>VIOLENCIA SEXUAL</v>
      </c>
      <c r="B4" s="13" t="str">
        <f t="shared" si="0"/>
        <v>https://centrodecapacitaciondelsur.com/violencia-sexual-</v>
      </c>
      <c r="C4" s="21">
        <f>INSCRITOS!B4</f>
        <v>87550138</v>
      </c>
      <c r="D4" t="str">
        <f t="shared" si="1"/>
        <v>https://centrodecapacitaciondelsur.com/violencia-sexual-87550138/</v>
      </c>
      <c r="G4" s="8">
        <v>3</v>
      </c>
      <c r="H4" s="11" t="s">
        <v>25</v>
      </c>
    </row>
    <row r="5" spans="1:8" ht="15" customHeight="1" x14ac:dyDescent="0.25">
      <c r="A5" s="21" t="str">
        <f>INSCRITOS!N5</f>
        <v>BLS</v>
      </c>
      <c r="B5" s="13" t="str">
        <f t="shared" si="0"/>
        <v>https://centrodecapacitaciondelsur.com/soporte-basico-de-vida-</v>
      </c>
      <c r="C5" s="21">
        <f>INSCRITOS!B5</f>
        <v>59828869</v>
      </c>
      <c r="D5" t="str">
        <f t="shared" si="1"/>
        <v>https://centrodecapacitaciondelsur.com/soporte-basico-de-vida-59828869/</v>
      </c>
      <c r="G5" s="5">
        <v>4</v>
      </c>
      <c r="H5" s="11" t="s">
        <v>27</v>
      </c>
    </row>
    <row r="6" spans="1:8" ht="15" customHeight="1" x14ac:dyDescent="0.25">
      <c r="A6" s="21" t="str">
        <f>INSCRITOS!N6</f>
        <v>DUELO</v>
      </c>
      <c r="B6" s="13" t="str">
        <f t="shared" si="0"/>
        <v>https://centrodecapacitaciondelsur.com/manejo-del-duelo-</v>
      </c>
      <c r="C6" s="21">
        <f>INSCRITOS!B6</f>
        <v>59828869</v>
      </c>
      <c r="D6" t="str">
        <f t="shared" si="1"/>
        <v>https://centrodecapacitaciondelsur.com/manejo-del-duelo-59828869/</v>
      </c>
      <c r="G6" s="8">
        <v>5</v>
      </c>
      <c r="H6" s="11" t="s">
        <v>29</v>
      </c>
    </row>
    <row r="7" spans="1:8" ht="15" customHeight="1" x14ac:dyDescent="0.25">
      <c r="A7" s="21" t="str">
        <f>INSCRITOS!N7</f>
        <v>QUIMICOS</v>
      </c>
      <c r="B7" s="13" t="str">
        <f t="shared" si="0"/>
        <v>https://centrodecapacitaciondelsur.com/victimas-por-agentes-quimicos-</v>
      </c>
      <c r="C7" s="21">
        <f>INSCRITOS!B7</f>
        <v>59828869</v>
      </c>
      <c r="D7" t="str">
        <f t="shared" si="1"/>
        <v>https://centrodecapacitaciondelsur.com/victimas-por-agentes-quimicos-59828869/</v>
      </c>
      <c r="G7" s="5">
        <v>6</v>
      </c>
      <c r="H7" s="11" t="s">
        <v>31</v>
      </c>
    </row>
    <row r="8" spans="1:8" ht="15" customHeight="1" x14ac:dyDescent="0.25">
      <c r="A8" s="21" t="str">
        <f>INSCRITOS!N8</f>
        <v>VIOLENCIA SEXUAL</v>
      </c>
      <c r="B8" s="13" t="str">
        <f t="shared" si="0"/>
        <v>https://centrodecapacitaciondelsur.com/violencia-sexual-</v>
      </c>
      <c r="C8" s="21">
        <f>INSCRITOS!B8</f>
        <v>59828869</v>
      </c>
      <c r="D8" t="str">
        <f t="shared" si="1"/>
        <v>https://centrodecapacitaciondelsur.com/violencia-sexual-59828869/</v>
      </c>
      <c r="G8" s="8">
        <v>7</v>
      </c>
      <c r="H8" s="11" t="s">
        <v>33</v>
      </c>
    </row>
    <row r="9" spans="1:8" ht="15" customHeight="1" x14ac:dyDescent="0.25">
      <c r="A9" s="21" t="str">
        <f>INSCRITOS!N9</f>
        <v>HUMANIZACION</v>
      </c>
      <c r="B9" s="13" t="str">
        <f t="shared" si="0"/>
        <v>https://centrodecapacitaciondelsur.com/humanizacion-</v>
      </c>
      <c r="C9" s="21">
        <f>INSCRITOS!B9</f>
        <v>59828869</v>
      </c>
      <c r="D9" t="str">
        <f t="shared" si="1"/>
        <v>https://centrodecapacitaciondelsur.com/humanizacion-59828869/</v>
      </c>
      <c r="G9" s="5">
        <v>8</v>
      </c>
      <c r="H9" s="11" t="s">
        <v>34</v>
      </c>
    </row>
    <row r="10" spans="1:8" ht="15" customHeight="1" x14ac:dyDescent="0.25">
      <c r="A10" s="21" t="str">
        <f>INSCRITOS!N10</f>
        <v>DUELO</v>
      </c>
      <c r="B10" s="13" t="str">
        <f t="shared" si="0"/>
        <v>https://centrodecapacitaciondelsur.com/manejo-del-duelo-</v>
      </c>
      <c r="C10" s="21">
        <f>INSCRITOS!B10</f>
        <v>1085305507</v>
      </c>
      <c r="D10" t="str">
        <f t="shared" si="1"/>
        <v>https://centrodecapacitaciondelsur.com/manejo-del-duelo-1085305507/</v>
      </c>
      <c r="G10" s="8">
        <v>9</v>
      </c>
      <c r="H10" s="12" t="s">
        <v>36</v>
      </c>
    </row>
    <row r="11" spans="1:8" ht="15" customHeight="1" x14ac:dyDescent="0.25">
      <c r="A11" s="21" t="str">
        <f>INSCRITOS!N11</f>
        <v>QUIMICOS</v>
      </c>
      <c r="B11" s="13" t="str">
        <f t="shared" si="0"/>
        <v>https://centrodecapacitaciondelsur.com/victimas-por-agentes-quimicos-</v>
      </c>
      <c r="C11" s="21">
        <f>INSCRITOS!B11</f>
        <v>1085305507</v>
      </c>
      <c r="D11" t="str">
        <f t="shared" si="1"/>
        <v>https://centrodecapacitaciondelsur.com/victimas-por-agentes-quimicos-1085305507/</v>
      </c>
      <c r="G11" s="5">
        <v>10</v>
      </c>
      <c r="H11" s="7" t="s">
        <v>38</v>
      </c>
    </row>
    <row r="12" spans="1:8" ht="15" customHeight="1" x14ac:dyDescent="0.25">
      <c r="A12" s="21" t="str">
        <f>INSCRITOS!N12</f>
        <v>VIOLENCIA SEXUAL</v>
      </c>
      <c r="B12" s="13" t="str">
        <f t="shared" si="0"/>
        <v>https://centrodecapacitaciondelsur.com/violencia-sexual-</v>
      </c>
      <c r="C12" s="21">
        <f>INSCRITOS!B12</f>
        <v>1085305507</v>
      </c>
      <c r="D12" t="str">
        <f t="shared" si="1"/>
        <v>https://centrodecapacitaciondelsur.com/violencia-sexual-1085305507/</v>
      </c>
      <c r="G12" s="8">
        <v>11</v>
      </c>
      <c r="H12" s="7" t="s">
        <v>39</v>
      </c>
    </row>
    <row r="13" spans="1:8" ht="15" customHeight="1" x14ac:dyDescent="0.25">
      <c r="A13" s="21" t="str">
        <f>INSCRITOS!N13</f>
        <v>HUMANIZACION</v>
      </c>
      <c r="B13" s="13" t="str">
        <f t="shared" si="0"/>
        <v>https://centrodecapacitaciondelsur.com/humanizacion-</v>
      </c>
      <c r="C13" s="21">
        <f>INSCRITOS!B13</f>
        <v>1085305507</v>
      </c>
      <c r="D13" t="str">
        <f t="shared" si="1"/>
        <v>https://centrodecapacitaciondelsur.com/humanizacion-1085305507/</v>
      </c>
      <c r="G13" s="5">
        <v>12</v>
      </c>
      <c r="H13" s="7" t="s">
        <v>41</v>
      </c>
    </row>
    <row r="14" spans="1:8" ht="15" customHeight="1" x14ac:dyDescent="0.25">
      <c r="A14" s="21" t="str">
        <f>INSCRITOS!N14</f>
        <v>DONANTE</v>
      </c>
      <c r="B14" s="13" t="str">
        <f t="shared" si="0"/>
        <v>https://centrodecapacitaciondelsur.com/donante-de-organos-</v>
      </c>
      <c r="C14" s="21">
        <f>INSCRITOS!B14</f>
        <v>1085305507</v>
      </c>
      <c r="D14" t="str">
        <f t="shared" si="1"/>
        <v>https://centrodecapacitaciondelsur.com/donante-de-organos-1085305507/</v>
      </c>
      <c r="G14" s="8">
        <v>13</v>
      </c>
      <c r="H14" s="7" t="s">
        <v>19</v>
      </c>
    </row>
    <row r="15" spans="1:8" ht="15" customHeight="1" x14ac:dyDescent="0.25">
      <c r="A15" s="21" t="str">
        <f>INSCRITOS!N15</f>
        <v>OVE</v>
      </c>
      <c r="B15" s="13" t="str">
        <f t="shared" si="0"/>
        <v>https://centrodecapacitaciondelsur.com/o-v-e-</v>
      </c>
      <c r="C15" s="21">
        <f>INSCRITOS!B15</f>
        <v>13070959</v>
      </c>
      <c r="D15" t="str">
        <f t="shared" si="1"/>
        <v>https://centrodecapacitaciondelsur.com/o-v-e-13070959/</v>
      </c>
      <c r="G15" s="5">
        <v>14</v>
      </c>
      <c r="H15" s="7" t="s">
        <v>43</v>
      </c>
    </row>
    <row r="16" spans="1:8" ht="15" customHeight="1" x14ac:dyDescent="0.25">
      <c r="A16" s="21" t="str">
        <f>INSCRITOS!N16</f>
        <v>QUIMICOS</v>
      </c>
      <c r="B16" s="13" t="str">
        <f t="shared" si="0"/>
        <v>https://centrodecapacitaciondelsur.com/victimas-por-agentes-quimicos-</v>
      </c>
      <c r="C16" s="21">
        <f>INSCRITOS!B16</f>
        <v>13070959</v>
      </c>
      <c r="D16" t="str">
        <f t="shared" si="1"/>
        <v>https://centrodecapacitaciondelsur.com/victimas-por-agentes-quimicos-13070959/</v>
      </c>
      <c r="G16" s="8">
        <v>15</v>
      </c>
      <c r="H16" s="7" t="s">
        <v>77</v>
      </c>
    </row>
    <row r="17" spans="1:8" ht="15" customHeight="1" x14ac:dyDescent="0.25">
      <c r="A17" s="21" t="str">
        <f>INSCRITOS!N17</f>
        <v>DUELO</v>
      </c>
      <c r="B17" s="13" t="str">
        <f t="shared" si="0"/>
        <v>https://centrodecapacitaciondelsur.com/manejo-del-duelo-</v>
      </c>
      <c r="C17" s="21">
        <f>INSCRITOS!B17</f>
        <v>13070959</v>
      </c>
      <c r="D17" t="str">
        <f t="shared" si="1"/>
        <v>https://centrodecapacitaciondelsur.com/manejo-del-duelo-13070959/</v>
      </c>
      <c r="G17" s="5">
        <v>16</v>
      </c>
      <c r="H17" s="7" t="s">
        <v>46</v>
      </c>
    </row>
    <row r="18" spans="1:8" ht="15" customHeight="1" x14ac:dyDescent="0.25">
      <c r="A18" s="21" t="str">
        <f>INSCRITOS!N18</f>
        <v>VIOLENCIA SEXUAL</v>
      </c>
      <c r="B18" s="13" t="str">
        <f t="shared" si="0"/>
        <v>https://centrodecapacitaciondelsur.com/violencia-sexual-</v>
      </c>
      <c r="C18" s="21">
        <f>INSCRITOS!B18</f>
        <v>13070959</v>
      </c>
      <c r="D18" t="str">
        <f t="shared" si="1"/>
        <v>https://centrodecapacitaciondelsur.com/violencia-sexual-13070959/</v>
      </c>
      <c r="G18" s="8">
        <v>17</v>
      </c>
      <c r="H18" s="7" t="s">
        <v>48</v>
      </c>
    </row>
    <row r="19" spans="1:8" ht="15" customHeight="1" x14ac:dyDescent="0.25">
      <c r="A19" s="21" t="str">
        <f>INSCRITOS!N19</f>
        <v>BLS</v>
      </c>
      <c r="B19" s="13" t="str">
        <f t="shared" si="0"/>
        <v>https://centrodecapacitaciondelsur.com/soporte-basico-de-vida-</v>
      </c>
      <c r="C19" s="21">
        <f>INSCRITOS!B19</f>
        <v>59856252</v>
      </c>
      <c r="D19" t="str">
        <f t="shared" si="1"/>
        <v>https://centrodecapacitaciondelsur.com/soporte-basico-de-vida-59856252/</v>
      </c>
      <c r="G19" s="5">
        <v>18</v>
      </c>
      <c r="H19" s="7" t="s">
        <v>49</v>
      </c>
    </row>
    <row r="20" spans="1:8" ht="15" customHeight="1" x14ac:dyDescent="0.25">
      <c r="A20" s="21" t="str">
        <f>INSCRITOS!N20</f>
        <v>HUMANIZACION</v>
      </c>
      <c r="B20" s="13" t="str">
        <f t="shared" si="0"/>
        <v>https://centrodecapacitaciondelsur.com/humanizacion-</v>
      </c>
      <c r="C20" s="21">
        <f>INSCRITOS!B20</f>
        <v>59856252</v>
      </c>
      <c r="D20" t="str">
        <f t="shared" si="1"/>
        <v>https://centrodecapacitaciondelsur.com/humanizacion-59856252/</v>
      </c>
      <c r="G20" s="8">
        <v>19</v>
      </c>
      <c r="H20" s="7" t="s">
        <v>51</v>
      </c>
    </row>
    <row r="21" spans="1:8" ht="15" customHeight="1" x14ac:dyDescent="0.25">
      <c r="A21" s="21" t="str">
        <f>INSCRITOS!N21</f>
        <v>VIOLENCIA SEXUAL</v>
      </c>
      <c r="B21" s="13" t="str">
        <f t="shared" si="0"/>
        <v>https://centrodecapacitaciondelsur.com/violencia-sexual-</v>
      </c>
      <c r="C21" s="21">
        <f>INSCRITOS!B21</f>
        <v>1087209119</v>
      </c>
      <c r="D21" t="str">
        <f t="shared" si="1"/>
        <v>https://centrodecapacitaciondelsur.com/violencia-sexual-1087209119/</v>
      </c>
      <c r="G21" s="5">
        <v>20</v>
      </c>
      <c r="H21" s="7" t="s">
        <v>53</v>
      </c>
    </row>
    <row r="22" spans="1:8" ht="15" customHeight="1" x14ac:dyDescent="0.25">
      <c r="A22" s="21" t="str">
        <f>INSCRITOS!N22</f>
        <v>DUELO</v>
      </c>
      <c r="B22" s="13" t="str">
        <f t="shared" si="0"/>
        <v>https://centrodecapacitaciondelsur.com/manejo-del-duelo-</v>
      </c>
      <c r="C22" s="21">
        <f>INSCRITOS!B22</f>
        <v>36759646</v>
      </c>
      <c r="D22" t="str">
        <f t="shared" si="1"/>
        <v>https://centrodecapacitaciondelsur.com/manejo-del-duelo-36759646/</v>
      </c>
      <c r="G22" s="8">
        <v>21</v>
      </c>
      <c r="H22" s="7" t="s">
        <v>55</v>
      </c>
    </row>
    <row r="23" spans="1:8" ht="15" customHeight="1" x14ac:dyDescent="0.25">
      <c r="A23" s="21" t="str">
        <f>INSCRITOS!N23</f>
        <v>QUIMICOS</v>
      </c>
      <c r="B23" s="13" t="str">
        <f t="shared" si="0"/>
        <v>https://centrodecapacitaciondelsur.com/victimas-por-agentes-quimicos-</v>
      </c>
      <c r="C23" s="21">
        <f>INSCRITOS!B23</f>
        <v>1088738129</v>
      </c>
      <c r="D23" t="str">
        <f t="shared" si="1"/>
        <v>https://centrodecapacitaciondelsur.com/victimas-por-agentes-quimicos-1088738129/</v>
      </c>
      <c r="G23" s="5">
        <v>22</v>
      </c>
      <c r="H23" s="7" t="s">
        <v>57</v>
      </c>
    </row>
    <row r="24" spans="1:8" ht="15" customHeight="1" x14ac:dyDescent="0.25">
      <c r="A24" s="21" t="str">
        <f>INSCRITOS!N24</f>
        <v>DUELO</v>
      </c>
      <c r="B24" s="13" t="str">
        <f t="shared" si="0"/>
        <v>https://centrodecapacitaciondelsur.com/manejo-del-duelo-</v>
      </c>
      <c r="C24" s="21">
        <f>INSCRITOS!B24</f>
        <v>1088738129</v>
      </c>
      <c r="D24" t="str">
        <f t="shared" si="1"/>
        <v>https://centrodecapacitaciondelsur.com/manejo-del-duelo-1088738129/</v>
      </c>
      <c r="G24" s="41">
        <v>23</v>
      </c>
      <c r="H24" s="7" t="s">
        <v>59</v>
      </c>
    </row>
    <row r="25" spans="1:8" ht="15" customHeight="1" x14ac:dyDescent="0.25">
      <c r="A25" s="21" t="str">
        <f>INSCRITOS!N25</f>
        <v>QUIMICOS</v>
      </c>
      <c r="B25" s="13" t="str">
        <f t="shared" si="0"/>
        <v>https://centrodecapacitaciondelsur.com/victimas-por-agentes-quimicos-</v>
      </c>
      <c r="C25" s="21">
        <f>INSCRITOS!B25</f>
        <v>12753421</v>
      </c>
      <c r="D25" t="str">
        <f t="shared" si="1"/>
        <v>https://centrodecapacitaciondelsur.com/victimas-por-agentes-quimicos-12753421/</v>
      </c>
      <c r="G25" s="41">
        <v>24</v>
      </c>
      <c r="H25" s="7" t="s">
        <v>61</v>
      </c>
    </row>
    <row r="26" spans="1:8" ht="15" customHeight="1" x14ac:dyDescent="0.25">
      <c r="A26" s="21" t="str">
        <f>INSCRITOS!N26</f>
        <v>DONANTE</v>
      </c>
      <c r="B26" s="13" t="str">
        <f t="shared" si="0"/>
        <v>https://centrodecapacitaciondelsur.com/donante-de-organos-</v>
      </c>
      <c r="C26" s="21">
        <f>INSCRITOS!B26</f>
        <v>12753421</v>
      </c>
      <c r="D26" t="str">
        <f t="shared" si="1"/>
        <v>https://centrodecapacitaciondelsur.com/donante-de-organos-12753421/</v>
      </c>
      <c r="G26" s="41">
        <v>25</v>
      </c>
      <c r="H26" s="7" t="s">
        <v>63</v>
      </c>
    </row>
    <row r="27" spans="1:8" ht="15" customHeight="1" x14ac:dyDescent="0.25">
      <c r="A27" s="21" t="str">
        <f>INSCRITOS!N27</f>
        <v>PRIMEROS AUXILIOS</v>
      </c>
      <c r="B27" s="13" t="str">
        <f t="shared" si="0"/>
        <v>https://centrodecapacitaciondelsur.com/primeros-auxilios-</v>
      </c>
      <c r="C27" s="21">
        <f>INSCRITOS!B27</f>
        <v>1085250816</v>
      </c>
      <c r="D27" t="str">
        <f t="shared" si="1"/>
        <v>https://centrodecapacitaciondelsur.com/primeros-auxilios-1085250816/</v>
      </c>
      <c r="G27" s="41">
        <v>26</v>
      </c>
      <c r="H27" s="7" t="s">
        <v>64</v>
      </c>
    </row>
    <row r="28" spans="1:8" ht="15" customHeight="1" x14ac:dyDescent="0.25">
      <c r="A28" s="21" t="str">
        <f>INSCRITOS!N28</f>
        <v>PRIMEROS AUXILIOS</v>
      </c>
      <c r="B28" s="13" t="str">
        <f t="shared" si="0"/>
        <v>https://centrodecapacitaciondelsur.com/primeros-auxilios-</v>
      </c>
      <c r="C28" s="21">
        <f>INSCRITOS!B28</f>
        <v>1085253092</v>
      </c>
      <c r="D28" t="str">
        <f t="shared" si="1"/>
        <v>https://centrodecapacitaciondelsur.com/primeros-auxilios-1085253092/</v>
      </c>
      <c r="G28" s="41">
        <v>27</v>
      </c>
      <c r="H28" s="7" t="s">
        <v>65</v>
      </c>
    </row>
    <row r="29" spans="1:8" ht="15" customHeight="1" x14ac:dyDescent="0.25">
      <c r="A29" s="21" t="str">
        <f>INSCRITOS!N29</f>
        <v>PRIMEROS AUXILIOS</v>
      </c>
      <c r="B29" s="13" t="str">
        <f t="shared" si="0"/>
        <v>https://centrodecapacitaciondelsur.com/primeros-auxilios-</v>
      </c>
      <c r="C29" s="21">
        <f>INSCRITOS!B29</f>
        <v>1085254978</v>
      </c>
      <c r="D29" t="str">
        <f t="shared" si="1"/>
        <v>https://centrodecapacitaciondelsur.com/primeros-auxilios-1085254978/</v>
      </c>
      <c r="G29" s="41">
        <v>28</v>
      </c>
      <c r="H29" s="7" t="s">
        <v>66</v>
      </c>
    </row>
    <row r="30" spans="1:8" ht="15" customHeight="1" x14ac:dyDescent="0.25">
      <c r="A30" s="21" t="str">
        <f>INSCRITOS!N30</f>
        <v>PRIMEROS AUXILIOS</v>
      </c>
      <c r="B30" s="13" t="str">
        <f t="shared" si="0"/>
        <v>https://centrodecapacitaciondelsur.com/primeros-auxilios-</v>
      </c>
      <c r="C30" s="21">
        <f>INSCRITOS!B30</f>
        <v>1085261716</v>
      </c>
      <c r="D30" t="str">
        <f t="shared" si="1"/>
        <v>https://centrodecapacitaciondelsur.com/primeros-auxilios-1085261716/</v>
      </c>
      <c r="G30" s="41">
        <v>29</v>
      </c>
      <c r="H30" s="7" t="s">
        <v>68</v>
      </c>
    </row>
    <row r="31" spans="1:8" ht="15" customHeight="1" x14ac:dyDescent="0.25">
      <c r="A31" s="21" t="str">
        <f>INSCRITOS!N31</f>
        <v>PRIMEROS AUXILIOS</v>
      </c>
      <c r="B31" s="13" t="str">
        <f t="shared" si="0"/>
        <v>https://centrodecapacitaciondelsur.com/primeros-auxilios-</v>
      </c>
      <c r="C31" s="21">
        <f>INSCRITOS!B31</f>
        <v>1085270065</v>
      </c>
      <c r="D31" t="str">
        <f t="shared" si="1"/>
        <v>https://centrodecapacitaciondelsur.com/primeros-auxilios-1085270065/</v>
      </c>
      <c r="G31" s="41">
        <v>30</v>
      </c>
      <c r="H31" s="7" t="s">
        <v>78</v>
      </c>
    </row>
    <row r="32" spans="1:8" ht="15" customHeight="1" x14ac:dyDescent="0.25">
      <c r="A32" s="21" t="str">
        <f>INSCRITOS!N32</f>
        <v>PRIMEROS AUXILIOS</v>
      </c>
      <c r="B32" s="13" t="str">
        <f t="shared" si="0"/>
        <v>https://centrodecapacitaciondelsur.com/primeros-auxilios-</v>
      </c>
      <c r="C32" s="21">
        <f>INSCRITOS!B32</f>
        <v>1085280825</v>
      </c>
      <c r="D32" t="str">
        <f t="shared" si="1"/>
        <v>https://centrodecapacitaciondelsur.com/primeros-auxilios-1085280825/</v>
      </c>
      <c r="G32" s="41">
        <v>31</v>
      </c>
      <c r="H32" s="7" t="s">
        <v>82</v>
      </c>
    </row>
    <row r="33" spans="1:8" ht="15.75" x14ac:dyDescent="0.25">
      <c r="A33" s="21" t="str">
        <f>INSCRITOS!N33</f>
        <v>PRIMEROS AUXILIOS</v>
      </c>
      <c r="B33" s="13" t="str">
        <f t="shared" si="0"/>
        <v>https://centrodecapacitaciondelsur.com/primeros-auxilios-</v>
      </c>
      <c r="C33" s="21">
        <f>INSCRITOS!B33</f>
        <v>1085281731</v>
      </c>
      <c r="D33" t="str">
        <f t="shared" si="1"/>
        <v>https://centrodecapacitaciondelsur.com/primeros-auxilios-1085281731/</v>
      </c>
      <c r="G33" s="41">
        <v>32</v>
      </c>
      <c r="H33" s="7" t="s">
        <v>83</v>
      </c>
    </row>
    <row r="34" spans="1:8" ht="15.75" x14ac:dyDescent="0.25">
      <c r="A34" s="21" t="str">
        <f>INSCRITOS!N34</f>
        <v>PRIMEROS AUXILIOS</v>
      </c>
      <c r="B34" s="13" t="str">
        <f t="shared" si="0"/>
        <v>https://centrodecapacitaciondelsur.com/primeros-auxilios-</v>
      </c>
      <c r="C34" s="21">
        <f>INSCRITOS!B34</f>
        <v>1085305464</v>
      </c>
      <c r="D34" t="str">
        <f t="shared" si="1"/>
        <v>https://centrodecapacitaciondelsur.com/primeros-auxilios-1085305464/</v>
      </c>
      <c r="G34" s="80">
        <v>33</v>
      </c>
      <c r="H34" s="79" t="s">
        <v>338</v>
      </c>
    </row>
    <row r="35" spans="1:8" ht="15.75" x14ac:dyDescent="0.25">
      <c r="A35" s="21" t="str">
        <f>INSCRITOS!N35</f>
        <v>PRIMEROS AUXILIOS</v>
      </c>
      <c r="B35" s="13" t="str">
        <f t="shared" si="0"/>
        <v>https://centrodecapacitaciondelsur.com/primeros-auxilios-</v>
      </c>
      <c r="C35" s="21">
        <f>INSCRITOS!B35</f>
        <v>1085323138</v>
      </c>
      <c r="D35" t="str">
        <f t="shared" si="1"/>
        <v>https://centrodecapacitaciondelsur.com/primeros-auxilios-1085323138/</v>
      </c>
      <c r="G35" s="80">
        <v>34</v>
      </c>
      <c r="H35" s="7" t="s">
        <v>367</v>
      </c>
    </row>
    <row r="36" spans="1:8" ht="16.5" thickBot="1" x14ac:dyDescent="0.3">
      <c r="A36" s="21" t="str">
        <f>INSCRITOS!N36</f>
        <v>PRIMEROS AUXILIOS</v>
      </c>
      <c r="B36" s="13" t="str">
        <f t="shared" si="0"/>
        <v>https://centrodecapacitaciondelsur.com/primeros-auxilios-</v>
      </c>
      <c r="C36" s="21">
        <f>INSCRITOS!B36</f>
        <v>1085346372</v>
      </c>
      <c r="D36" t="str">
        <f t="shared" si="1"/>
        <v>https://centrodecapacitaciondelsur.com/primeros-auxilios-1085346372/</v>
      </c>
      <c r="G36" s="37">
        <v>35</v>
      </c>
      <c r="H36" s="175" t="s">
        <v>760</v>
      </c>
    </row>
    <row r="37" spans="1:8" ht="59.25" customHeight="1" x14ac:dyDescent="0.25">
      <c r="A37" s="21" t="str">
        <f>INSCRITOS!N37</f>
        <v>PRIMEROS AUXILIOS</v>
      </c>
      <c r="B37" s="13" t="str">
        <f t="shared" si="0"/>
        <v>https://centrodecapacitaciondelsur.com/primeros-auxilios-</v>
      </c>
      <c r="C37" s="21">
        <f>INSCRITOS!B37</f>
        <v>1086140525</v>
      </c>
      <c r="D37" t="str">
        <f t="shared" si="1"/>
        <v>https://centrodecapacitaciondelsur.com/primeros-auxilios-1086140525/</v>
      </c>
    </row>
    <row r="38" spans="1:8" ht="59.25" customHeight="1" x14ac:dyDescent="0.25">
      <c r="A38" s="21" t="str">
        <f>INSCRITOS!N38</f>
        <v>PRIMEROS AUXILIOS</v>
      </c>
      <c r="B38" s="13" t="str">
        <f t="shared" si="0"/>
        <v>https://centrodecapacitaciondelsur.com/primeros-auxilios-</v>
      </c>
      <c r="C38" s="21">
        <f>INSCRITOS!B38</f>
        <v>27094002</v>
      </c>
      <c r="D38" t="str">
        <f t="shared" si="1"/>
        <v>https://centrodecapacitaciondelsur.com/primeros-auxilios-27094002/</v>
      </c>
    </row>
    <row r="39" spans="1:8" ht="59.25" customHeight="1" x14ac:dyDescent="0.25">
      <c r="A39" s="21" t="str">
        <f>INSCRITOS!N39</f>
        <v>PRIMEROS AUXILIOS</v>
      </c>
      <c r="B39" s="13" t="str">
        <f t="shared" si="0"/>
        <v>https://centrodecapacitaciondelsur.com/primeros-auxilios-</v>
      </c>
      <c r="C39" s="21">
        <f>INSCRITOS!B39</f>
        <v>27094164</v>
      </c>
      <c r="D39" t="str">
        <f t="shared" si="1"/>
        <v>https://centrodecapacitaciondelsur.com/primeros-auxilios-27094164/</v>
      </c>
    </row>
    <row r="40" spans="1:8" ht="59.25" customHeight="1" x14ac:dyDescent="0.25">
      <c r="A40" s="21" t="str">
        <f>INSCRITOS!N40</f>
        <v>PRIMEROS AUXILIOS</v>
      </c>
      <c r="B40" s="13" t="str">
        <f t="shared" si="0"/>
        <v>https://centrodecapacitaciondelsur.com/primeros-auxilios-</v>
      </c>
      <c r="C40" s="21">
        <f>INSCRITOS!B40</f>
        <v>59831638</v>
      </c>
      <c r="D40" t="str">
        <f t="shared" si="1"/>
        <v>https://centrodecapacitaciondelsur.com/primeros-auxilios-59831638/</v>
      </c>
    </row>
    <row r="41" spans="1:8" ht="59.25" customHeight="1" x14ac:dyDescent="0.25">
      <c r="A41" s="21" t="str">
        <f>INSCRITOS!N41</f>
        <v>BLS</v>
      </c>
      <c r="B41" s="13" t="str">
        <f t="shared" si="0"/>
        <v>https://centrodecapacitaciondelsur.com/soporte-basico-de-vida-</v>
      </c>
      <c r="C41" s="21">
        <f>INSCRITOS!B41</f>
        <v>59679057</v>
      </c>
      <c r="D41" t="str">
        <f t="shared" si="1"/>
        <v>https://centrodecapacitaciondelsur.com/soporte-basico-de-vida-59679057/</v>
      </c>
    </row>
    <row r="42" spans="1:8" ht="59.25" customHeight="1" x14ac:dyDescent="0.25">
      <c r="A42" s="21" t="str">
        <f>INSCRITOS!N42</f>
        <v>ACLS</v>
      </c>
      <c r="B42" s="13" t="str">
        <f t="shared" si="0"/>
        <v>https://centrodecapacitaciondelsur.com/soporte-cardiovascular-avanzado-</v>
      </c>
      <c r="C42" s="21">
        <f>INSCRITOS!B42</f>
        <v>1086017994</v>
      </c>
      <c r="D42" t="str">
        <f t="shared" si="1"/>
        <v>https://centrodecapacitaciondelsur.com/soporte-cardiovascular-avanzado-1086017994/</v>
      </c>
    </row>
    <row r="43" spans="1:8" ht="59.25" customHeight="1" x14ac:dyDescent="0.25">
      <c r="A43" s="21" t="str">
        <f>INSCRITOS!N43</f>
        <v>BLS</v>
      </c>
      <c r="B43" s="13" t="str">
        <f t="shared" si="0"/>
        <v>https://centrodecapacitaciondelsur.com/soporte-basico-de-vida-</v>
      </c>
      <c r="C43" s="21">
        <f>INSCRITOS!B43</f>
        <v>1086017994</v>
      </c>
      <c r="D43" t="str">
        <f t="shared" si="1"/>
        <v>https://centrodecapacitaciondelsur.com/soporte-basico-de-vida-1086017994/</v>
      </c>
    </row>
    <row r="44" spans="1:8" ht="59.25" customHeight="1" x14ac:dyDescent="0.25">
      <c r="A44" s="21" t="str">
        <f>INSCRITOS!N44</f>
        <v>BLS</v>
      </c>
      <c r="B44" s="13" t="str">
        <f t="shared" si="0"/>
        <v>https://centrodecapacitaciondelsur.com/soporte-basico-de-vida-</v>
      </c>
      <c r="C44" s="21">
        <f>INSCRITOS!B44</f>
        <v>1087027186</v>
      </c>
      <c r="D44" t="str">
        <f t="shared" si="1"/>
        <v>https://centrodecapacitaciondelsur.com/soporte-basico-de-vida-1087027186/</v>
      </c>
    </row>
    <row r="45" spans="1:8" ht="59.25" customHeight="1" x14ac:dyDescent="0.25">
      <c r="A45" s="21" t="str">
        <f>INSCRITOS!N45</f>
        <v>QUIMICOS</v>
      </c>
      <c r="B45" s="13" t="str">
        <f t="shared" si="0"/>
        <v>https://centrodecapacitaciondelsur.com/victimas-por-agentes-quimicos-</v>
      </c>
      <c r="C45" s="21">
        <f>INSCRITOS!B45</f>
        <v>1087027186</v>
      </c>
      <c r="D45" t="str">
        <f t="shared" si="1"/>
        <v>https://centrodecapacitaciondelsur.com/victimas-por-agentes-quimicos-1087027186/</v>
      </c>
    </row>
    <row r="46" spans="1:8" ht="59.25" customHeight="1" x14ac:dyDescent="0.25">
      <c r="A46" s="21" t="str">
        <f>INSCRITOS!N46</f>
        <v>VIOLENCIA SEXUAL</v>
      </c>
      <c r="B46" s="13" t="str">
        <f t="shared" si="0"/>
        <v>https://centrodecapacitaciondelsur.com/violencia-sexual-</v>
      </c>
      <c r="C46" s="21">
        <f>INSCRITOS!B46</f>
        <v>1087027186</v>
      </c>
      <c r="D46" t="str">
        <f t="shared" si="1"/>
        <v>https://centrodecapacitaciondelsur.com/violencia-sexual-1087027186/</v>
      </c>
    </row>
    <row r="47" spans="1:8" ht="59.25" customHeight="1" x14ac:dyDescent="0.25">
      <c r="A47" s="21" t="str">
        <f>INSCRITOS!N47</f>
        <v>DUELO</v>
      </c>
      <c r="B47" s="13" t="str">
        <f t="shared" si="0"/>
        <v>https://centrodecapacitaciondelsur.com/manejo-del-duelo-</v>
      </c>
      <c r="C47" s="21">
        <f>INSCRITOS!B47</f>
        <v>1087027186</v>
      </c>
      <c r="D47" t="str">
        <f t="shared" si="1"/>
        <v>https://centrodecapacitaciondelsur.com/manejo-del-duelo-1087027186/</v>
      </c>
    </row>
    <row r="48" spans="1:8" ht="59.25" customHeight="1" x14ac:dyDescent="0.25">
      <c r="A48" s="21" t="str">
        <f>INSCRITOS!N48</f>
        <v>VIOLENCIA SEXUAL</v>
      </c>
      <c r="B48" s="13" t="str">
        <f t="shared" si="0"/>
        <v>https://centrodecapacitaciondelsur.com/violencia-sexual-</v>
      </c>
      <c r="C48" s="21">
        <f>INSCRITOS!B48</f>
        <v>1233189989</v>
      </c>
      <c r="D48" t="str">
        <f t="shared" si="1"/>
        <v>https://centrodecapacitaciondelsur.com/violencia-sexual-1233189989/</v>
      </c>
    </row>
    <row r="49" spans="1:4" ht="59.25" customHeight="1" x14ac:dyDescent="0.25">
      <c r="A49" s="21" t="str">
        <f>INSCRITOS!N49</f>
        <v>QUIMICOS</v>
      </c>
      <c r="B49" s="13" t="str">
        <f t="shared" si="0"/>
        <v>https://centrodecapacitaciondelsur.com/victimas-por-agentes-quimicos-</v>
      </c>
      <c r="C49" s="21">
        <f>INSCRITOS!B49</f>
        <v>1085257636</v>
      </c>
      <c r="D49" t="str">
        <f t="shared" si="1"/>
        <v>https://centrodecapacitaciondelsur.com/victimas-por-agentes-quimicos-1085257636/</v>
      </c>
    </row>
    <row r="50" spans="1:4" ht="59.25" customHeight="1" x14ac:dyDescent="0.25">
      <c r="A50" s="21" t="str">
        <f>INSCRITOS!N50</f>
        <v>PRIMEROS AUXILIOS</v>
      </c>
      <c r="B50" s="13" t="str">
        <f t="shared" si="0"/>
        <v>https://centrodecapacitaciondelsur.com/primeros-auxilios-</v>
      </c>
      <c r="C50" s="21">
        <f>INSCRITOS!B50</f>
        <v>1143869172</v>
      </c>
      <c r="D50" t="str">
        <f t="shared" si="1"/>
        <v>https://centrodecapacitaciondelsur.com/primeros-auxilios-1143869172/</v>
      </c>
    </row>
    <row r="51" spans="1:4" ht="59.25" customHeight="1" x14ac:dyDescent="0.25">
      <c r="A51" s="21" t="str">
        <f>INSCRITOS!N51</f>
        <v>PRIMEROS AUXILIOS</v>
      </c>
      <c r="B51" s="13" t="str">
        <f t="shared" si="0"/>
        <v>https://centrodecapacitaciondelsur.com/primeros-auxilios-</v>
      </c>
      <c r="C51" s="21">
        <f>INSCRITOS!B51</f>
        <v>1085937992</v>
      </c>
      <c r="D51" t="str">
        <f t="shared" si="1"/>
        <v>https://centrodecapacitaciondelsur.com/primeros-auxilios-1085937992/</v>
      </c>
    </row>
    <row r="52" spans="1:4" ht="59.25" customHeight="1" x14ac:dyDescent="0.25">
      <c r="A52" s="21" t="str">
        <f>INSCRITOS!N52</f>
        <v>PRIMEROS AUXILIOS</v>
      </c>
      <c r="B52" s="13" t="str">
        <f t="shared" si="0"/>
        <v>https://centrodecapacitaciondelsur.com/primeros-auxilios-</v>
      </c>
      <c r="C52" s="21">
        <f>INSCRITOS!B52</f>
        <v>1085329610</v>
      </c>
      <c r="D52" t="str">
        <f t="shared" si="1"/>
        <v>https://centrodecapacitaciondelsur.com/primeros-auxilios-1085329610/</v>
      </c>
    </row>
    <row r="53" spans="1:4" ht="59.25" customHeight="1" x14ac:dyDescent="0.25">
      <c r="A53" s="21" t="str">
        <f>INSCRITOS!N53</f>
        <v>CONFLICTO ARMADO</v>
      </c>
      <c r="B53" s="13" t="str">
        <f t="shared" si="0"/>
        <v>https://centrodecapacitaciondelsur.com/atencion-a-victimas-del-conflicto-armado-</v>
      </c>
      <c r="C53" s="21">
        <f>INSCRITOS!B53</f>
        <v>1085257636</v>
      </c>
      <c r="D53" t="str">
        <f t="shared" si="1"/>
        <v>https://centrodecapacitaciondelsur.com/atencion-a-victimas-del-conflicto-armado-1085257636/</v>
      </c>
    </row>
    <row r="54" spans="1:4" ht="59.25" customHeight="1" x14ac:dyDescent="0.25">
      <c r="A54" s="21" t="str">
        <f>INSCRITOS!N54</f>
        <v>PRIMEROS AUXILIOS</v>
      </c>
      <c r="B54" s="13" t="str">
        <f t="shared" si="0"/>
        <v>https://centrodecapacitaciondelsur.com/primeros-auxilios-</v>
      </c>
      <c r="C54" s="21">
        <f>INSCRITOS!B54</f>
        <v>1085277200</v>
      </c>
      <c r="D54" t="str">
        <f t="shared" si="1"/>
        <v>https://centrodecapacitaciondelsur.com/primeros-auxilios-1085277200/</v>
      </c>
    </row>
    <row r="55" spans="1:4" ht="59.25" customHeight="1" x14ac:dyDescent="0.25">
      <c r="A55" s="21" t="str">
        <f>INSCRITOS!N55</f>
        <v>ADMON DE MEDICAMENTOS</v>
      </c>
      <c r="B55" s="13" t="str">
        <f t="shared" si="0"/>
        <v>https://centrodecapacitaciondelsur.com/adm-medicamentos-canalizacion-inyectologia-</v>
      </c>
      <c r="C55" s="21">
        <f>INSCRITOS!B55</f>
        <v>1085277200</v>
      </c>
      <c r="D55" t="str">
        <f t="shared" si="1"/>
        <v>https://centrodecapacitaciondelsur.com/adm-medicamentos-canalizacion-inyectologia-1085277200/</v>
      </c>
    </row>
    <row r="56" spans="1:4" ht="59.25" customHeight="1" x14ac:dyDescent="0.25">
      <c r="A56" s="21" t="str">
        <f>INSCRITOS!N56</f>
        <v>ACLS</v>
      </c>
      <c r="B56" s="13" t="str">
        <f t="shared" si="0"/>
        <v>https://centrodecapacitaciondelsur.com/soporte-cardiovascular-avanzado-</v>
      </c>
      <c r="C56" s="21">
        <f>INSCRITOS!B56</f>
        <v>98399410</v>
      </c>
      <c r="D56" t="str">
        <f t="shared" si="1"/>
        <v>https://centrodecapacitaciondelsur.com/soporte-cardiovascular-avanzado-98399410/</v>
      </c>
    </row>
    <row r="57" spans="1:4" ht="59.25" customHeight="1" x14ac:dyDescent="0.25">
      <c r="A57" s="21" t="str">
        <f>INSCRITOS!N57</f>
        <v>VIOLENCIA SEXUAL</v>
      </c>
      <c r="B57" s="13" t="str">
        <f t="shared" si="0"/>
        <v>https://centrodecapacitaciondelsur.com/violencia-sexual-</v>
      </c>
      <c r="C57" s="21">
        <f>INSCRITOS!B57</f>
        <v>98399410</v>
      </c>
      <c r="D57" t="str">
        <f t="shared" si="1"/>
        <v>https://centrodecapacitaciondelsur.com/violencia-sexual-98399410/</v>
      </c>
    </row>
    <row r="58" spans="1:4" ht="59.25" customHeight="1" x14ac:dyDescent="0.25">
      <c r="A58" s="21" t="str">
        <f>INSCRITOS!N58</f>
        <v>QUIMICOS</v>
      </c>
      <c r="B58" s="13" t="str">
        <f t="shared" si="0"/>
        <v>https://centrodecapacitaciondelsur.com/victimas-por-agentes-quimicos-</v>
      </c>
      <c r="C58" s="21">
        <f>INSCRITOS!B58</f>
        <v>98399410</v>
      </c>
      <c r="D58" t="str">
        <f t="shared" si="1"/>
        <v>https://centrodecapacitaciondelsur.com/victimas-por-agentes-quimicos-98399410/</v>
      </c>
    </row>
    <row r="59" spans="1:4" ht="59.25" customHeight="1" x14ac:dyDescent="0.25">
      <c r="A59" s="21" t="str">
        <f>INSCRITOS!N59</f>
        <v>DUELO</v>
      </c>
      <c r="B59" s="13" t="str">
        <f t="shared" si="0"/>
        <v>https://centrodecapacitaciondelsur.com/manejo-del-duelo-</v>
      </c>
      <c r="C59" s="21">
        <f>INSCRITOS!B59</f>
        <v>12753235</v>
      </c>
      <c r="D59" t="str">
        <f t="shared" si="1"/>
        <v>https://centrodecapacitaciondelsur.com/manejo-del-duelo-12753235/</v>
      </c>
    </row>
    <row r="60" spans="1:4" ht="63.75" customHeight="1" x14ac:dyDescent="0.25">
      <c r="A60" s="21" t="str">
        <f>INSCRITOS!N60</f>
        <v>DUELO</v>
      </c>
      <c r="B60" s="13" t="str">
        <f t="shared" si="0"/>
        <v>https://centrodecapacitaciondelsur.com/manejo-del-duelo-</v>
      </c>
      <c r="C60" s="21">
        <f>INSCRITOS!B60</f>
        <v>1085346372</v>
      </c>
      <c r="D60" t="str">
        <f t="shared" si="1"/>
        <v>https://centrodecapacitaciondelsur.com/manejo-del-duelo-1085346372/</v>
      </c>
    </row>
    <row r="61" spans="1:4" ht="63.75" customHeight="1" x14ac:dyDescent="0.25">
      <c r="A61" s="21" t="str">
        <f>INSCRITOS!N61</f>
        <v>VIOLENCIA SEXUAL</v>
      </c>
      <c r="B61" s="13" t="str">
        <f t="shared" si="0"/>
        <v>https://centrodecapacitaciondelsur.com/violencia-sexual-</v>
      </c>
      <c r="C61" s="21">
        <f>INSCRITOS!B61</f>
        <v>1085346372</v>
      </c>
      <c r="D61" t="str">
        <f t="shared" si="1"/>
        <v>https://centrodecapacitaciondelsur.com/violencia-sexual-1085346372/</v>
      </c>
    </row>
    <row r="62" spans="1:4" ht="63.75" customHeight="1" x14ac:dyDescent="0.25">
      <c r="A62" s="21" t="str">
        <f>INSCRITOS!N62</f>
        <v>HUMANIZACION</v>
      </c>
      <c r="B62" s="13" t="str">
        <f t="shared" si="0"/>
        <v>https://centrodecapacitaciondelsur.com/humanizacion-</v>
      </c>
      <c r="C62" s="21">
        <f>INSCRITOS!B62</f>
        <v>1085346372</v>
      </c>
      <c r="D62" t="str">
        <f t="shared" si="1"/>
        <v>https://centrodecapacitaciondelsur.com/humanizacion-1085346372/</v>
      </c>
    </row>
    <row r="63" spans="1:4" ht="63.75" customHeight="1" x14ac:dyDescent="0.25">
      <c r="A63" s="21" t="str">
        <f>INSCRITOS!N63</f>
        <v>ACLS</v>
      </c>
      <c r="B63" s="13" t="str">
        <f t="shared" si="0"/>
        <v>https://centrodecapacitaciondelsur.com/soporte-cardiovascular-avanzado-</v>
      </c>
      <c r="C63" s="21">
        <f>INSCRITOS!B63</f>
        <v>1085346372</v>
      </c>
      <c r="D63" t="str">
        <f t="shared" si="1"/>
        <v>https://centrodecapacitaciondelsur.com/soporte-cardiovascular-avanzado-1085346372/</v>
      </c>
    </row>
    <row r="64" spans="1:4" ht="63.75" customHeight="1" x14ac:dyDescent="0.25">
      <c r="A64" s="21" t="str">
        <f>INSCRITOS!N64</f>
        <v>BLS</v>
      </c>
      <c r="B64" s="13" t="str">
        <f t="shared" si="0"/>
        <v>https://centrodecapacitaciondelsur.com/soporte-basico-de-vida-</v>
      </c>
      <c r="C64" s="21">
        <f>INSCRITOS!B64</f>
        <v>1086498144</v>
      </c>
      <c r="D64" t="str">
        <f t="shared" si="1"/>
        <v>https://centrodecapacitaciondelsur.com/soporte-basico-de-vida-1086498144/</v>
      </c>
    </row>
    <row r="65" spans="1:4" ht="63.75" customHeight="1" x14ac:dyDescent="0.25">
      <c r="A65" s="21" t="str">
        <f>INSCRITOS!N65</f>
        <v>BLS</v>
      </c>
      <c r="B65" s="13" t="str">
        <f t="shared" si="0"/>
        <v>https://centrodecapacitaciondelsur.com/soporte-basico-de-vida-</v>
      </c>
      <c r="C65" s="21">
        <f>INSCRITOS!B65</f>
        <v>1086224468</v>
      </c>
      <c r="D65" t="str">
        <f t="shared" si="1"/>
        <v>https://centrodecapacitaciondelsur.com/soporte-basico-de-vida-1086224468/</v>
      </c>
    </row>
    <row r="66" spans="1:4" ht="63.75" customHeight="1" x14ac:dyDescent="0.25">
      <c r="A66" s="21" t="str">
        <f>INSCRITOS!N66</f>
        <v>CONFLICTO ARMADO</v>
      </c>
      <c r="B66" s="13" t="str">
        <f t="shared" si="0"/>
        <v>https://centrodecapacitaciondelsur.com/atencion-a-victimas-del-conflicto-armado-</v>
      </c>
      <c r="C66" s="21">
        <f>INSCRITOS!B66</f>
        <v>1004214936</v>
      </c>
      <c r="D66" t="str">
        <f t="shared" si="1"/>
        <v>https://centrodecapacitaciondelsur.com/atencion-a-victimas-del-conflicto-armado-1004214936/</v>
      </c>
    </row>
    <row r="67" spans="1:4" ht="63.75" customHeight="1" x14ac:dyDescent="0.25">
      <c r="A67" s="21" t="str">
        <f>INSCRITOS!N67</f>
        <v>DUELO</v>
      </c>
      <c r="B67" s="13" t="str">
        <f t="shared" ref="B67:B130" si="2">IF(A67=$H$19,"https://centrodecapacitaciondelsur.com/o-v-e-",IF(A67=$H$2,"https://centrodecapacitaciondelsur.com/aph-",IF(A67=$H$3,"https://centrodecapacitaciondelsur.com/manejo-del-duelo-",IF(A67=$H$4,"https://centrodecapacitaciondelsur.com/victimas-por-agentes-quimicos-",IF(A67=$H$5,"https://centrodecapacitaciondelsur.com/primeros-auxilios-",IF(A67=$H$6,"https://centrodecapacitaciondelsur.com/uci-",IF(A67=$H$8,"https://centrodecapacitaciondelsur.com/humanizacion-",IF(A67=$H$11,"https://centrodecapacitaciondelsur.com/soporte-cardiovascular-avanzado-",IF(A67=$H$12,"https://centrodecapacitaciondelsur.com/camillero-",IF(A67=$H$13,"https://centrodecapacitaciondelsur.com/toma-de-muestras-y-lab-clinico-",IF(A67=$H$14,"https://centrodecapacitaciondelsur.com/soporte-basico-de-vida-",IF(A67=$H$15,"https://centrodecapacitaciondelsur.com/violencia-sexual-",IF(A67=$H$17,"https://centrodecapacitaciondelsur.com/aiepi-",IF(A67=$H$18,"https://centrodecapacitaciondelsur.com/adm-medicamentos-canalizacion-inyectologia-",IF(A67=$H$25,"https://centrodecapacitaciondelsur.com/manejo-del-dolor-y-cuidados-paliativos-",IF(A67=$H$26,"https://centrodecapacitaciondelsur.com/toma-de-muestras-y-lab-clinico-poct-",IF(A67=$H$27,"https://centrodecapacitaciondelsur.com/implante-subdermico-",IF(A67=$H$21,"https://centrodecapacitaciondelsur.com/donante-de-organos-",IF(A67=$H$30,"https://centrodecapacitaciondelsur.com/atencion-a-victimas-del-conflicto-armado-",IF(A67=$H$20,"https://centrodecapacitaciondelsur.com/iami-",IF(A67=$H$22,"https://centrodecapacitaciondelsur.com/violencia-de-genero-",IF(A67=$H$23,"https://centrodecapacitaciondelsur.com/igualdad-de-genero-",IF(A67=$H$16,"https://centrodecapacitaciondelsur.com/pai-",IF(A67=$H$31,"https://centrodecapacitaciondelsur.com/manipulacion-de-alimentos-",IF(A67=$H$32,"https://centrodecapacitaciondelsur.com/atencion-a-personas-con-discapacidad-",IF(A67=$H$33,"https://centrodecapacitaciondelsur.com/atencion-al-adulto-mayor-",IF(A67=$H$34,"https://centrodecapacitaciondelsur.com/manejo-defensivo-",IF(A67=$H$35,"https://centrodecapacitaciondelsur.com/soporte-basico-neonatal-",IF(A67=$H$36,"https://centrodecapacitaciondelsur.com/seguridad-del-paciente-")))))))))))))))))))))))))))))</f>
        <v>https://centrodecapacitaciondelsur.com/manejo-del-duelo-</v>
      </c>
      <c r="C67" s="21">
        <f>INSCRITOS!B67</f>
        <v>1004214936</v>
      </c>
      <c r="D67" t="str">
        <f t="shared" ref="D67:D130" si="3">CONCATENATE(B67,C67,"/")</f>
        <v>https://centrodecapacitaciondelsur.com/manejo-del-duelo-1004214936/</v>
      </c>
    </row>
    <row r="68" spans="1:4" ht="63.75" customHeight="1" x14ac:dyDescent="0.25">
      <c r="A68" s="21" t="str">
        <f>INSCRITOS!N68</f>
        <v>PALIATIVOS</v>
      </c>
      <c r="B68" s="13" t="str">
        <f t="shared" si="2"/>
        <v>https://centrodecapacitaciondelsur.com/manejo-del-dolor-y-cuidados-paliativos-</v>
      </c>
      <c r="C68" s="21">
        <f>INSCRITOS!B68</f>
        <v>1004214936</v>
      </c>
      <c r="D68" t="str">
        <f t="shared" si="3"/>
        <v>https://centrodecapacitaciondelsur.com/manejo-del-dolor-y-cuidados-paliativos-1004214936/</v>
      </c>
    </row>
    <row r="69" spans="1:4" ht="63.75" customHeight="1" x14ac:dyDescent="0.25">
      <c r="A69" s="21" t="str">
        <f>INSCRITOS!N69</f>
        <v>QUIMICOS</v>
      </c>
      <c r="B69" s="13" t="str">
        <f t="shared" si="2"/>
        <v>https://centrodecapacitaciondelsur.com/victimas-por-agentes-quimicos-</v>
      </c>
      <c r="C69" s="21">
        <f>INSCRITOS!B69</f>
        <v>1004214936</v>
      </c>
      <c r="D69" t="str">
        <f t="shared" si="3"/>
        <v>https://centrodecapacitaciondelsur.com/victimas-por-agentes-quimicos-1004214936/</v>
      </c>
    </row>
    <row r="70" spans="1:4" ht="63.75" customHeight="1" x14ac:dyDescent="0.25">
      <c r="A70" s="21" t="str">
        <f>INSCRITOS!N70</f>
        <v>ACLS</v>
      </c>
      <c r="B70" s="13" t="str">
        <f t="shared" si="2"/>
        <v>https://centrodecapacitaciondelsur.com/soporte-cardiovascular-avanzado-</v>
      </c>
      <c r="C70" s="21">
        <f>INSCRITOS!B70</f>
        <v>1233188367</v>
      </c>
      <c r="D70" t="str">
        <f t="shared" si="3"/>
        <v>https://centrodecapacitaciondelsur.com/soporte-cardiovascular-avanzado-1233188367/</v>
      </c>
    </row>
    <row r="71" spans="1:4" ht="63.75" customHeight="1" x14ac:dyDescent="0.25">
      <c r="A71" s="21" t="str">
        <f>INSCRITOS!N71</f>
        <v>BLS</v>
      </c>
      <c r="B71" s="13" t="str">
        <f t="shared" si="2"/>
        <v>https://centrodecapacitaciondelsur.com/soporte-basico-de-vida-</v>
      </c>
      <c r="C71" s="21">
        <f>INSCRITOS!B71</f>
        <v>1085244856</v>
      </c>
      <c r="D71" t="str">
        <f t="shared" si="3"/>
        <v>https://centrodecapacitaciondelsur.com/soporte-basico-de-vida-1085244856/</v>
      </c>
    </row>
    <row r="72" spans="1:4" ht="63.75" customHeight="1" x14ac:dyDescent="0.25">
      <c r="A72" s="21" t="str">
        <f>INSCRITOS!N72</f>
        <v>BLS</v>
      </c>
      <c r="B72" s="13" t="str">
        <f t="shared" si="2"/>
        <v>https://centrodecapacitaciondelsur.com/soporte-basico-de-vida-</v>
      </c>
      <c r="C72" s="21">
        <f>INSCRITOS!B72</f>
        <v>1006998155</v>
      </c>
      <c r="D72" t="str">
        <f t="shared" si="3"/>
        <v>https://centrodecapacitaciondelsur.com/soporte-basico-de-vida-1006998155/</v>
      </c>
    </row>
    <row r="73" spans="1:4" ht="63.75" customHeight="1" x14ac:dyDescent="0.25">
      <c r="A73" s="21" t="str">
        <f>INSCRITOS!N73</f>
        <v>VIOLENCIA SEXUAL</v>
      </c>
      <c r="B73" s="13" t="str">
        <f t="shared" si="2"/>
        <v>https://centrodecapacitaciondelsur.com/violencia-sexual-</v>
      </c>
      <c r="C73" s="21">
        <f>INSCRITOS!B73</f>
        <v>1085341821</v>
      </c>
      <c r="D73" t="str">
        <f t="shared" si="3"/>
        <v>https://centrodecapacitaciondelsur.com/violencia-sexual-1085341821/</v>
      </c>
    </row>
    <row r="74" spans="1:4" ht="63.75" customHeight="1" x14ac:dyDescent="0.25">
      <c r="A74" s="21" t="str">
        <f>INSCRITOS!N74</f>
        <v>DUELO</v>
      </c>
      <c r="B74" s="13" t="str">
        <f t="shared" si="2"/>
        <v>https://centrodecapacitaciondelsur.com/manejo-del-duelo-</v>
      </c>
      <c r="C74" s="21">
        <f>INSCRITOS!B74</f>
        <v>1085341821</v>
      </c>
      <c r="D74" t="str">
        <f t="shared" si="3"/>
        <v>https://centrodecapacitaciondelsur.com/manejo-del-duelo-1085341821/</v>
      </c>
    </row>
    <row r="75" spans="1:4" ht="63.75" customHeight="1" x14ac:dyDescent="0.25">
      <c r="A75" s="21" t="str">
        <f>INSCRITOS!N75</f>
        <v>QUIMICOS</v>
      </c>
      <c r="B75" s="13" t="str">
        <f t="shared" si="2"/>
        <v>https://centrodecapacitaciondelsur.com/victimas-por-agentes-quimicos-</v>
      </c>
      <c r="C75" s="21">
        <f>INSCRITOS!B75</f>
        <v>1085341821</v>
      </c>
      <c r="D75" t="str">
        <f t="shared" si="3"/>
        <v>https://centrodecapacitaciondelsur.com/victimas-por-agentes-quimicos-1085341821/</v>
      </c>
    </row>
    <row r="76" spans="1:4" ht="63.75" customHeight="1" x14ac:dyDescent="0.25">
      <c r="A76" s="21" t="str">
        <f>INSCRITOS!N76</f>
        <v>VIOLENCIA SEXUAL</v>
      </c>
      <c r="B76" s="13" t="str">
        <f t="shared" si="2"/>
        <v>https://centrodecapacitaciondelsur.com/violencia-sexual-</v>
      </c>
      <c r="C76" s="21">
        <f>INSCRITOS!B76</f>
        <v>1010140050</v>
      </c>
      <c r="D76" t="str">
        <f t="shared" si="3"/>
        <v>https://centrodecapacitaciondelsur.com/violencia-sexual-1010140050/</v>
      </c>
    </row>
    <row r="77" spans="1:4" ht="63.75" customHeight="1" x14ac:dyDescent="0.25">
      <c r="A77" s="21" t="str">
        <f>INSCRITOS!N77</f>
        <v>POCT</v>
      </c>
      <c r="B77" s="13" t="str">
        <f t="shared" si="2"/>
        <v>https://centrodecapacitaciondelsur.com/toma-de-muestras-y-lab-clinico-poct-</v>
      </c>
      <c r="C77" s="21">
        <f>INSCRITOS!B77</f>
        <v>1010140050</v>
      </c>
      <c r="D77" t="str">
        <f t="shared" si="3"/>
        <v>https://centrodecapacitaciondelsur.com/toma-de-muestras-y-lab-clinico-poct-1010140050/</v>
      </c>
    </row>
    <row r="78" spans="1:4" ht="63.75" customHeight="1" x14ac:dyDescent="0.25">
      <c r="A78" s="21" t="str">
        <f>INSCRITOS!N78</f>
        <v>TOMA DE MUESTRAS</v>
      </c>
      <c r="B78" s="13" t="str">
        <f t="shared" si="2"/>
        <v>https://centrodecapacitaciondelsur.com/toma-de-muestras-y-lab-clinico-</v>
      </c>
      <c r="C78" s="21">
        <f>INSCRITOS!B78</f>
        <v>1010140050</v>
      </c>
      <c r="D78" t="str">
        <f t="shared" si="3"/>
        <v>https://centrodecapacitaciondelsur.com/toma-de-muestras-y-lab-clinico-1010140050/</v>
      </c>
    </row>
    <row r="79" spans="1:4" ht="63.75" customHeight="1" x14ac:dyDescent="0.25">
      <c r="A79" s="21" t="str">
        <f>INSCRITOS!N79</f>
        <v>HUMANIZACION</v>
      </c>
      <c r="B79" s="13" t="str">
        <f t="shared" si="2"/>
        <v>https://centrodecapacitaciondelsur.com/humanizacion-</v>
      </c>
      <c r="C79" s="21">
        <f>INSCRITOS!B79</f>
        <v>1010140050</v>
      </c>
      <c r="D79" t="str">
        <f t="shared" si="3"/>
        <v>https://centrodecapacitaciondelsur.com/humanizacion-1010140050/</v>
      </c>
    </row>
    <row r="80" spans="1:4" ht="63.75" customHeight="1" x14ac:dyDescent="0.25">
      <c r="A80" s="21" t="str">
        <f>INSCRITOS!N80</f>
        <v>BLS</v>
      </c>
      <c r="B80" s="13" t="str">
        <f t="shared" si="2"/>
        <v>https://centrodecapacitaciondelsur.com/soporte-basico-de-vida-</v>
      </c>
      <c r="C80" s="21">
        <f>INSCRITOS!B80</f>
        <v>1085257361</v>
      </c>
      <c r="D80" t="str">
        <f t="shared" si="3"/>
        <v>https://centrodecapacitaciondelsur.com/soporte-basico-de-vida-1085257361/</v>
      </c>
    </row>
    <row r="81" spans="1:4" ht="63.75" customHeight="1" x14ac:dyDescent="0.25">
      <c r="A81" s="21" t="str">
        <f>INSCRITOS!N81</f>
        <v>PRIMEROS AUXILIOS</v>
      </c>
      <c r="B81" s="13" t="str">
        <f t="shared" si="2"/>
        <v>https://centrodecapacitaciondelsur.com/primeros-auxilios-</v>
      </c>
      <c r="C81" s="21">
        <f>INSCRITOS!B81</f>
        <v>16665586</v>
      </c>
      <c r="D81" t="str">
        <f t="shared" si="3"/>
        <v>https://centrodecapacitaciondelsur.com/primeros-auxilios-16665586/</v>
      </c>
    </row>
    <row r="82" spans="1:4" ht="63.75" customHeight="1" x14ac:dyDescent="0.25">
      <c r="A82" s="21" t="str">
        <f>INSCRITOS!N82</f>
        <v>PRIMEROS AUXILIOS</v>
      </c>
      <c r="B82" s="13" t="str">
        <f t="shared" si="2"/>
        <v>https://centrodecapacitaciondelsur.com/primeros-auxilios-</v>
      </c>
      <c r="C82" s="21">
        <f>INSCRITOS!B82</f>
        <v>1085303158</v>
      </c>
      <c r="D82" t="str">
        <f t="shared" si="3"/>
        <v>https://centrodecapacitaciondelsur.com/primeros-auxilios-1085303158/</v>
      </c>
    </row>
    <row r="83" spans="1:4" ht="63.75" customHeight="1" x14ac:dyDescent="0.25">
      <c r="A83" s="21" t="str">
        <f>INSCRITOS!N83</f>
        <v>PRIMEROS AUXILIOS</v>
      </c>
      <c r="B83" s="13" t="str">
        <f t="shared" si="2"/>
        <v>https://centrodecapacitaciondelsur.com/primeros-auxilios-</v>
      </c>
      <c r="C83" s="21">
        <f>INSCRITOS!B83</f>
        <v>36751549</v>
      </c>
      <c r="D83" t="str">
        <f t="shared" si="3"/>
        <v>https://centrodecapacitaciondelsur.com/primeros-auxilios-36751549/</v>
      </c>
    </row>
    <row r="84" spans="1:4" ht="63.75" customHeight="1" x14ac:dyDescent="0.25">
      <c r="A84" s="21" t="str">
        <f>INSCRITOS!N84</f>
        <v>PRIMEROS AUXILIOS</v>
      </c>
      <c r="B84" s="13" t="str">
        <f t="shared" si="2"/>
        <v>https://centrodecapacitaciondelsur.com/primeros-auxilios-</v>
      </c>
      <c r="C84" s="21">
        <f>INSCRITOS!B84</f>
        <v>1085295079</v>
      </c>
      <c r="D84" t="str">
        <f t="shared" si="3"/>
        <v>https://centrodecapacitaciondelsur.com/primeros-auxilios-1085295079/</v>
      </c>
    </row>
    <row r="85" spans="1:4" ht="63.75" customHeight="1" x14ac:dyDescent="0.25">
      <c r="A85" s="21" t="str">
        <f>INSCRITOS!N85</f>
        <v>PRIMEROS AUXILIOS</v>
      </c>
      <c r="B85" s="13" t="str">
        <f t="shared" si="2"/>
        <v>https://centrodecapacitaciondelsur.com/primeros-auxilios-</v>
      </c>
      <c r="C85" s="21">
        <f>INSCRITOS!B85</f>
        <v>1085281660</v>
      </c>
      <c r="D85" t="str">
        <f t="shared" si="3"/>
        <v>https://centrodecapacitaciondelsur.com/primeros-auxilios-1085281660/</v>
      </c>
    </row>
    <row r="86" spans="1:4" ht="63.75" customHeight="1" x14ac:dyDescent="0.25">
      <c r="A86" s="21" t="str">
        <f>INSCRITOS!N86</f>
        <v>PRIMEROS AUXILIOS</v>
      </c>
      <c r="B86" s="13" t="str">
        <f t="shared" si="2"/>
        <v>https://centrodecapacitaciondelsur.com/primeros-auxilios-</v>
      </c>
      <c r="C86" s="21">
        <f>INSCRITOS!B86</f>
        <v>12989568</v>
      </c>
      <c r="D86" t="str">
        <f t="shared" si="3"/>
        <v>https://centrodecapacitaciondelsur.com/primeros-auxilios-12989568/</v>
      </c>
    </row>
    <row r="87" spans="1:4" ht="63.75" customHeight="1" x14ac:dyDescent="0.25">
      <c r="A87" s="21" t="str">
        <f>INSCRITOS!N87</f>
        <v>PRIMEROS AUXILIOS</v>
      </c>
      <c r="B87" s="13" t="str">
        <f t="shared" si="2"/>
        <v>https://centrodecapacitaciondelsur.com/primeros-auxilios-</v>
      </c>
      <c r="C87" s="21">
        <f>INSCRITOS!B87</f>
        <v>1085255237</v>
      </c>
      <c r="D87" t="str">
        <f t="shared" si="3"/>
        <v>https://centrodecapacitaciondelsur.com/primeros-auxilios-1085255237/</v>
      </c>
    </row>
    <row r="88" spans="1:4" ht="63.75" customHeight="1" x14ac:dyDescent="0.25">
      <c r="A88" s="21" t="str">
        <f>INSCRITOS!N88</f>
        <v>PRIMEROS AUXILIOS</v>
      </c>
      <c r="B88" s="13" t="str">
        <f t="shared" si="2"/>
        <v>https://centrodecapacitaciondelsur.com/primeros-auxilios-</v>
      </c>
      <c r="C88" s="21">
        <f>INSCRITOS!B88</f>
        <v>98386119</v>
      </c>
      <c r="D88" t="str">
        <f t="shared" si="3"/>
        <v>https://centrodecapacitaciondelsur.com/primeros-auxilios-98386119/</v>
      </c>
    </row>
    <row r="89" spans="1:4" ht="63.75" customHeight="1" x14ac:dyDescent="0.25">
      <c r="A89" s="21" t="str">
        <f>INSCRITOS!N89</f>
        <v>PRIMEROS AUXILIOS</v>
      </c>
      <c r="B89" s="13" t="str">
        <f t="shared" si="2"/>
        <v>https://centrodecapacitaciondelsur.com/primeros-auxilios-</v>
      </c>
      <c r="C89" s="21">
        <f>INSCRITOS!B89</f>
        <v>1085250220</v>
      </c>
      <c r="D89" t="str">
        <f t="shared" si="3"/>
        <v>https://centrodecapacitaciondelsur.com/primeros-auxilios-1085250220/</v>
      </c>
    </row>
    <row r="90" spans="1:4" ht="63.75" customHeight="1" x14ac:dyDescent="0.25">
      <c r="A90" s="21" t="str">
        <f>INSCRITOS!N90</f>
        <v>OVE</v>
      </c>
      <c r="B90" s="13" t="str">
        <f t="shared" si="2"/>
        <v>https://centrodecapacitaciondelsur.com/o-v-e-</v>
      </c>
      <c r="C90" s="21">
        <f>INSCRITOS!B90</f>
        <v>1085296693</v>
      </c>
      <c r="D90" t="str">
        <f t="shared" si="3"/>
        <v>https://centrodecapacitaciondelsur.com/o-v-e-1085296693/</v>
      </c>
    </row>
    <row r="91" spans="1:4" ht="63.75" customHeight="1" x14ac:dyDescent="0.25">
      <c r="A91" s="21" t="str">
        <f>INSCRITOS!N91</f>
        <v>MANEJO DEFENSIVO</v>
      </c>
      <c r="B91" s="13" t="str">
        <f t="shared" si="2"/>
        <v>https://centrodecapacitaciondelsur.com/manejo-defensivo-</v>
      </c>
      <c r="C91" s="21">
        <f>INSCRITOS!B91</f>
        <v>1085296693</v>
      </c>
      <c r="D91" t="str">
        <f t="shared" si="3"/>
        <v>https://centrodecapacitaciondelsur.com/manejo-defensivo-1085296693/</v>
      </c>
    </row>
    <row r="92" spans="1:4" ht="63.75" customHeight="1" x14ac:dyDescent="0.25">
      <c r="A92" s="21" t="str">
        <f>INSCRITOS!N92</f>
        <v>MANEJO DEFENSIVO</v>
      </c>
      <c r="B92" s="13" t="str">
        <f t="shared" si="2"/>
        <v>https://centrodecapacitaciondelsur.com/manejo-defensivo-</v>
      </c>
      <c r="C92" s="21">
        <f>INSCRITOS!B92</f>
        <v>1085334755</v>
      </c>
      <c r="D92" t="str">
        <f t="shared" si="3"/>
        <v>https://centrodecapacitaciondelsur.com/manejo-defensivo-1085334755/</v>
      </c>
    </row>
    <row r="93" spans="1:4" ht="63.75" customHeight="1" x14ac:dyDescent="0.25">
      <c r="A93" s="21" t="str">
        <f>INSCRITOS!N93</f>
        <v>OVE</v>
      </c>
      <c r="B93" s="13" t="str">
        <f t="shared" si="2"/>
        <v>https://centrodecapacitaciondelsur.com/o-v-e-</v>
      </c>
      <c r="C93" s="21">
        <f>INSCRITOS!B93</f>
        <v>1085334755</v>
      </c>
      <c r="D93" t="str">
        <f t="shared" si="3"/>
        <v>https://centrodecapacitaciondelsur.com/o-v-e-1085334755/</v>
      </c>
    </row>
    <row r="94" spans="1:4" ht="63.75" customHeight="1" x14ac:dyDescent="0.25">
      <c r="A94" s="21" t="str">
        <f>INSCRITOS!N94</f>
        <v>QUIMICOS</v>
      </c>
      <c r="B94" s="13" t="str">
        <f t="shared" si="2"/>
        <v>https://centrodecapacitaciondelsur.com/victimas-por-agentes-quimicos-</v>
      </c>
      <c r="C94" s="21">
        <f>INSCRITOS!B94</f>
        <v>1085334755</v>
      </c>
      <c r="D94" t="str">
        <f t="shared" si="3"/>
        <v>https://centrodecapacitaciondelsur.com/victimas-por-agentes-quimicos-1085334755/</v>
      </c>
    </row>
    <row r="95" spans="1:4" ht="63.75" customHeight="1" x14ac:dyDescent="0.25">
      <c r="A95" s="21" t="str">
        <f>INSCRITOS!N95</f>
        <v>DUELO</v>
      </c>
      <c r="B95" s="13" t="str">
        <f t="shared" si="2"/>
        <v>https://centrodecapacitaciondelsur.com/manejo-del-duelo-</v>
      </c>
      <c r="C95" s="21">
        <f>INSCRITOS!B95</f>
        <v>1085334755</v>
      </c>
      <c r="D95" t="str">
        <f t="shared" si="3"/>
        <v>https://centrodecapacitaciondelsur.com/manejo-del-duelo-1085334755/</v>
      </c>
    </row>
    <row r="96" spans="1:4" ht="63.75" customHeight="1" x14ac:dyDescent="0.25">
      <c r="A96" s="21" t="str">
        <f>INSCRITOS!N96</f>
        <v>VIOLENCIA SEXUAL</v>
      </c>
      <c r="B96" s="13" t="str">
        <f t="shared" si="2"/>
        <v>https://centrodecapacitaciondelsur.com/violencia-sexual-</v>
      </c>
      <c r="C96" s="21">
        <f>INSCRITOS!B96</f>
        <v>1085334755</v>
      </c>
      <c r="D96" t="str">
        <f t="shared" si="3"/>
        <v>https://centrodecapacitaciondelsur.com/violencia-sexual-1085334755/</v>
      </c>
    </row>
    <row r="97" spans="1:4" ht="63.75" customHeight="1" x14ac:dyDescent="0.25">
      <c r="A97" s="21" t="str">
        <f>INSCRITOS!N97</f>
        <v>OVE</v>
      </c>
      <c r="B97" s="13" t="str">
        <f t="shared" si="2"/>
        <v>https://centrodecapacitaciondelsur.com/o-v-e-</v>
      </c>
      <c r="C97" s="21">
        <f>INSCRITOS!B97</f>
        <v>1085319388</v>
      </c>
      <c r="D97" t="str">
        <f t="shared" si="3"/>
        <v>https://centrodecapacitaciondelsur.com/o-v-e-1085319388/</v>
      </c>
    </row>
    <row r="98" spans="1:4" ht="63.75" customHeight="1" x14ac:dyDescent="0.25">
      <c r="A98" s="21" t="str">
        <f>INSCRITOS!N98</f>
        <v>DUELO</v>
      </c>
      <c r="B98" s="13" t="str">
        <f t="shared" si="2"/>
        <v>https://centrodecapacitaciondelsur.com/manejo-del-duelo-</v>
      </c>
      <c r="C98" s="21">
        <f>INSCRITOS!B98</f>
        <v>1086895517</v>
      </c>
      <c r="D98" t="str">
        <f t="shared" si="3"/>
        <v>https://centrodecapacitaciondelsur.com/manejo-del-duelo-1086895517/</v>
      </c>
    </row>
    <row r="99" spans="1:4" ht="63.75" customHeight="1" x14ac:dyDescent="0.25">
      <c r="A99" s="21" t="str">
        <f>INSCRITOS!N99</f>
        <v>QUIMICOS</v>
      </c>
      <c r="B99" s="13" t="str">
        <f t="shared" si="2"/>
        <v>https://centrodecapacitaciondelsur.com/victimas-por-agentes-quimicos-</v>
      </c>
      <c r="C99" s="21">
        <f>INSCRITOS!B99</f>
        <v>1086895517</v>
      </c>
      <c r="D99" t="str">
        <f t="shared" si="3"/>
        <v>https://centrodecapacitaciondelsur.com/victimas-por-agentes-quimicos-1086895517/</v>
      </c>
    </row>
    <row r="100" spans="1:4" ht="63.75" customHeight="1" x14ac:dyDescent="0.25">
      <c r="A100" s="21" t="str">
        <f>INSCRITOS!N100</f>
        <v>VIOLENCIA SEXUAL</v>
      </c>
      <c r="B100" s="13" t="str">
        <f t="shared" si="2"/>
        <v>https://centrodecapacitaciondelsur.com/violencia-sexual-</v>
      </c>
      <c r="C100" s="21">
        <f>INSCRITOS!B100</f>
        <v>1086895517</v>
      </c>
      <c r="D100" t="str">
        <f t="shared" si="3"/>
        <v>https://centrodecapacitaciondelsur.com/violencia-sexual-1086895517/</v>
      </c>
    </row>
    <row r="101" spans="1:4" ht="63.75" customHeight="1" x14ac:dyDescent="0.25">
      <c r="A101" s="21" t="str">
        <f>INSCRITOS!N101</f>
        <v>OVE</v>
      </c>
      <c r="B101" s="13" t="str">
        <f t="shared" si="2"/>
        <v>https://centrodecapacitaciondelsur.com/o-v-e-</v>
      </c>
      <c r="C101" s="21">
        <f>INSCRITOS!B101</f>
        <v>1086895517</v>
      </c>
      <c r="D101" t="str">
        <f t="shared" si="3"/>
        <v>https://centrodecapacitaciondelsur.com/o-v-e-1086895517/</v>
      </c>
    </row>
    <row r="102" spans="1:4" ht="63.75" customHeight="1" x14ac:dyDescent="0.25">
      <c r="A102" s="21" t="str">
        <f>INSCRITOS!N102</f>
        <v>MANEJO DEFENSIVO</v>
      </c>
      <c r="B102" s="13" t="str">
        <f t="shared" si="2"/>
        <v>https://centrodecapacitaciondelsur.com/manejo-defensivo-</v>
      </c>
      <c r="C102" s="21">
        <f>INSCRITOS!B102</f>
        <v>1086895517</v>
      </c>
      <c r="D102" t="str">
        <f t="shared" si="3"/>
        <v>https://centrodecapacitaciondelsur.com/manejo-defensivo-1086895517/</v>
      </c>
    </row>
    <row r="103" spans="1:4" ht="63.75" customHeight="1" x14ac:dyDescent="0.25">
      <c r="A103" s="21" t="str">
        <f>INSCRITOS!N103</f>
        <v>DUELO</v>
      </c>
      <c r="B103" s="13" t="str">
        <f t="shared" si="2"/>
        <v>https://centrodecapacitaciondelsur.com/manejo-del-duelo-</v>
      </c>
      <c r="C103" s="21">
        <f>INSCRITOS!B103</f>
        <v>1116248523</v>
      </c>
      <c r="D103" t="str">
        <f t="shared" si="3"/>
        <v>https://centrodecapacitaciondelsur.com/manejo-del-duelo-1116248523/</v>
      </c>
    </row>
    <row r="104" spans="1:4" ht="63.75" customHeight="1" x14ac:dyDescent="0.25">
      <c r="A104" s="21" t="str">
        <f>INSCRITOS!N104</f>
        <v>TOMA DE MUESTRAS</v>
      </c>
      <c r="B104" s="13" t="str">
        <f t="shared" si="2"/>
        <v>https://centrodecapacitaciondelsur.com/toma-de-muestras-y-lab-clinico-</v>
      </c>
      <c r="C104" s="21">
        <f>INSCRITOS!B104</f>
        <v>1085247367</v>
      </c>
      <c r="D104" t="str">
        <f t="shared" si="3"/>
        <v>https://centrodecapacitaciondelsur.com/toma-de-muestras-y-lab-clinico-1085247367/</v>
      </c>
    </row>
    <row r="105" spans="1:4" ht="63.75" customHeight="1" x14ac:dyDescent="0.25">
      <c r="A105" s="21" t="str">
        <f>INSCRITOS!N105</f>
        <v>TOMA DE MUESTRAS</v>
      </c>
      <c r="B105" s="13" t="str">
        <f t="shared" si="2"/>
        <v>https://centrodecapacitaciondelsur.com/toma-de-muestras-y-lab-clinico-</v>
      </c>
      <c r="C105" s="21">
        <f>INSCRITOS!B105</f>
        <v>5205151</v>
      </c>
      <c r="D105" t="str">
        <f t="shared" si="3"/>
        <v>https://centrodecapacitaciondelsur.com/toma-de-muestras-y-lab-clinico-5205151/</v>
      </c>
    </row>
    <row r="106" spans="1:4" ht="63.75" customHeight="1" x14ac:dyDescent="0.25">
      <c r="A106" s="21" t="str">
        <f>INSCRITOS!N106</f>
        <v>ACLS</v>
      </c>
      <c r="B106" s="13" t="str">
        <f t="shared" si="2"/>
        <v>https://centrodecapacitaciondelsur.com/soporte-cardiovascular-avanzado-</v>
      </c>
      <c r="C106" s="21">
        <f>INSCRITOS!B106</f>
        <v>87940265</v>
      </c>
      <c r="D106" t="str">
        <f t="shared" si="3"/>
        <v>https://centrodecapacitaciondelsur.com/soporte-cardiovascular-avanzado-87940265/</v>
      </c>
    </row>
    <row r="107" spans="1:4" ht="63.75" customHeight="1" x14ac:dyDescent="0.25">
      <c r="A107" s="21" t="str">
        <f>INSCRITOS!N107</f>
        <v>DUELO</v>
      </c>
      <c r="B107" s="13" t="str">
        <f t="shared" si="2"/>
        <v>https://centrodecapacitaciondelsur.com/manejo-del-duelo-</v>
      </c>
      <c r="C107" s="21">
        <f>INSCRITOS!B107</f>
        <v>87940265</v>
      </c>
      <c r="D107" t="str">
        <f t="shared" si="3"/>
        <v>https://centrodecapacitaciondelsur.com/manejo-del-duelo-87940265/</v>
      </c>
    </row>
    <row r="108" spans="1:4" ht="63.75" customHeight="1" x14ac:dyDescent="0.25">
      <c r="A108" s="21" t="str">
        <f>INSCRITOS!N108</f>
        <v>HUMANIZACION</v>
      </c>
      <c r="B108" s="13" t="str">
        <f t="shared" si="2"/>
        <v>https://centrodecapacitaciondelsur.com/humanizacion-</v>
      </c>
      <c r="C108" s="21">
        <f>INSCRITOS!B108</f>
        <v>87940265</v>
      </c>
      <c r="D108" t="str">
        <f t="shared" si="3"/>
        <v>https://centrodecapacitaciondelsur.com/humanizacion-87940265/</v>
      </c>
    </row>
    <row r="109" spans="1:4" ht="63.75" customHeight="1" x14ac:dyDescent="0.25">
      <c r="A109" s="21" t="str">
        <f>INSCRITOS!N109</f>
        <v>VIOLENCIA SEXUAL</v>
      </c>
      <c r="B109" s="13" t="str">
        <f t="shared" si="2"/>
        <v>https://centrodecapacitaciondelsur.com/violencia-sexual-</v>
      </c>
      <c r="C109" s="21">
        <f>INSCRITOS!B109</f>
        <v>87940265</v>
      </c>
      <c r="D109" t="str">
        <f t="shared" si="3"/>
        <v>https://centrodecapacitaciondelsur.com/violencia-sexual-87940265/</v>
      </c>
    </row>
    <row r="110" spans="1:4" ht="63.75" customHeight="1" x14ac:dyDescent="0.25">
      <c r="A110" s="21" t="str">
        <f>INSCRITOS!N110</f>
        <v>QUIMICOS</v>
      </c>
      <c r="B110" s="13" t="str">
        <f t="shared" si="2"/>
        <v>https://centrodecapacitaciondelsur.com/victimas-por-agentes-quimicos-</v>
      </c>
      <c r="C110" s="21">
        <f>INSCRITOS!B110</f>
        <v>1085319388</v>
      </c>
      <c r="D110" t="str">
        <f t="shared" si="3"/>
        <v>https://centrodecapacitaciondelsur.com/victimas-por-agentes-quimicos-1085319388/</v>
      </c>
    </row>
    <row r="111" spans="1:4" ht="63.75" customHeight="1" x14ac:dyDescent="0.25">
      <c r="A111" s="21" t="str">
        <f>INSCRITOS!N111</f>
        <v>DUELO</v>
      </c>
      <c r="B111" s="13" t="str">
        <f t="shared" si="2"/>
        <v>https://centrodecapacitaciondelsur.com/manejo-del-duelo-</v>
      </c>
      <c r="C111" s="21">
        <f>INSCRITOS!B111</f>
        <v>1085319388</v>
      </c>
      <c r="D111" t="str">
        <f t="shared" si="3"/>
        <v>https://centrodecapacitaciondelsur.com/manejo-del-duelo-1085319388/</v>
      </c>
    </row>
    <row r="112" spans="1:4" ht="63.75" customHeight="1" x14ac:dyDescent="0.25">
      <c r="A112" s="21" t="str">
        <f>INSCRITOS!N112</f>
        <v>VIOLENCIA SEXUAL</v>
      </c>
      <c r="B112" s="13" t="str">
        <f t="shared" si="2"/>
        <v>https://centrodecapacitaciondelsur.com/violencia-sexual-</v>
      </c>
      <c r="C112" s="21">
        <f>INSCRITOS!B112</f>
        <v>1085319388</v>
      </c>
      <c r="D112" t="str">
        <f t="shared" si="3"/>
        <v>https://centrodecapacitaciondelsur.com/violencia-sexual-1085319388/</v>
      </c>
    </row>
    <row r="113" spans="1:4" ht="63.75" customHeight="1" x14ac:dyDescent="0.25">
      <c r="A113" s="21" t="str">
        <f>INSCRITOS!N113</f>
        <v>HUMANIZACION</v>
      </c>
      <c r="B113" s="13" t="str">
        <f t="shared" si="2"/>
        <v>https://centrodecapacitaciondelsur.com/humanizacion-</v>
      </c>
      <c r="C113" s="21">
        <f>INSCRITOS!B113</f>
        <v>1085319388</v>
      </c>
      <c r="D113" t="str">
        <f t="shared" si="3"/>
        <v>https://centrodecapacitaciondelsur.com/humanizacion-1085319388/</v>
      </c>
    </row>
    <row r="114" spans="1:4" ht="63.75" customHeight="1" x14ac:dyDescent="0.25">
      <c r="A114" s="21" t="str">
        <f>INSCRITOS!N114</f>
        <v>DONANTE</v>
      </c>
      <c r="B114" s="13" t="str">
        <f t="shared" si="2"/>
        <v>https://centrodecapacitaciondelsur.com/donante-de-organos-</v>
      </c>
      <c r="C114" s="21">
        <f>INSCRITOS!B114</f>
        <v>1085319388</v>
      </c>
      <c r="D114" t="str">
        <f t="shared" si="3"/>
        <v>https://centrodecapacitaciondelsur.com/donante-de-organos-1085319388/</v>
      </c>
    </row>
    <row r="115" spans="1:4" ht="63.75" customHeight="1" x14ac:dyDescent="0.25">
      <c r="A115" s="21" t="str">
        <f>INSCRITOS!N115</f>
        <v>MANEJO DEFENSIVO</v>
      </c>
      <c r="B115" s="13" t="str">
        <f t="shared" si="2"/>
        <v>https://centrodecapacitaciondelsur.com/manejo-defensivo-</v>
      </c>
      <c r="C115" s="21">
        <f>INSCRITOS!B115</f>
        <v>1085319388</v>
      </c>
      <c r="D115" t="str">
        <f t="shared" si="3"/>
        <v>https://centrodecapacitaciondelsur.com/manejo-defensivo-1085319388/</v>
      </c>
    </row>
    <row r="116" spans="1:4" ht="63.75" customHeight="1" x14ac:dyDescent="0.25">
      <c r="A116" s="21" t="str">
        <f>INSCRITOS!N116</f>
        <v>ACLSN</v>
      </c>
      <c r="B116" s="13" t="str">
        <f t="shared" si="2"/>
        <v>https://centrodecapacitaciondelsur.com/soporte-basico-neonatal-</v>
      </c>
      <c r="C116" s="21">
        <f>INSCRITOS!B116</f>
        <v>12994862</v>
      </c>
      <c r="D116" t="str">
        <f t="shared" si="3"/>
        <v>https://centrodecapacitaciondelsur.com/soporte-basico-neonatal-12994862/</v>
      </c>
    </row>
    <row r="117" spans="1:4" ht="63.75" customHeight="1" x14ac:dyDescent="0.25">
      <c r="A117" s="21" t="str">
        <f>INSCRITOS!N117</f>
        <v>TOMA DE MUESTRAS</v>
      </c>
      <c r="B117" s="13" t="str">
        <f t="shared" si="2"/>
        <v>https://centrodecapacitaciondelsur.com/toma-de-muestras-y-lab-clinico-</v>
      </c>
      <c r="C117" s="21">
        <f>INSCRITOS!B117</f>
        <v>1007180708</v>
      </c>
      <c r="D117" t="str">
        <f t="shared" si="3"/>
        <v>https://centrodecapacitaciondelsur.com/toma-de-muestras-y-lab-clinico-1007180708/</v>
      </c>
    </row>
    <row r="118" spans="1:4" ht="63.75" customHeight="1" x14ac:dyDescent="0.25">
      <c r="A118" s="21" t="str">
        <f>INSCRITOS!N118</f>
        <v>PALIATIVOS</v>
      </c>
      <c r="B118" s="13" t="str">
        <f t="shared" si="2"/>
        <v>https://centrodecapacitaciondelsur.com/manejo-del-dolor-y-cuidados-paliativos-</v>
      </c>
      <c r="C118" s="21">
        <f>INSCRITOS!B118</f>
        <v>87217660</v>
      </c>
      <c r="D118" t="str">
        <f t="shared" si="3"/>
        <v>https://centrodecapacitaciondelsur.com/manejo-del-dolor-y-cuidados-paliativos-87217660/</v>
      </c>
    </row>
    <row r="119" spans="1:4" ht="63.75" customHeight="1" x14ac:dyDescent="0.25">
      <c r="A119" s="21" t="str">
        <f>INSCRITOS!N119</f>
        <v>VIOLENCIA SEXUAL</v>
      </c>
      <c r="B119" s="13" t="str">
        <f t="shared" si="2"/>
        <v>https://centrodecapacitaciondelsur.com/violencia-sexual-</v>
      </c>
      <c r="C119" s="21">
        <f>INSCRITOS!B119</f>
        <v>87217660</v>
      </c>
      <c r="D119" t="str">
        <f t="shared" si="3"/>
        <v>https://centrodecapacitaciondelsur.com/violencia-sexual-87217660/</v>
      </c>
    </row>
    <row r="120" spans="1:4" ht="63.75" customHeight="1" x14ac:dyDescent="0.25">
      <c r="A120" s="21" t="str">
        <f>INSCRITOS!N120</f>
        <v>POCT</v>
      </c>
      <c r="B120" s="13" t="str">
        <f t="shared" si="2"/>
        <v>https://centrodecapacitaciondelsur.com/toma-de-muestras-y-lab-clinico-poct-</v>
      </c>
      <c r="C120" s="21">
        <f>INSCRITOS!B120</f>
        <v>34327037</v>
      </c>
      <c r="D120" t="str">
        <f t="shared" si="3"/>
        <v>https://centrodecapacitaciondelsur.com/toma-de-muestras-y-lab-clinico-poct-34327037/</v>
      </c>
    </row>
    <row r="121" spans="1:4" ht="63.75" customHeight="1" x14ac:dyDescent="0.25">
      <c r="A121" s="21" t="str">
        <f>INSCRITOS!N121</f>
        <v>POCT</v>
      </c>
      <c r="B121" s="13" t="str">
        <f t="shared" si="2"/>
        <v>https://centrodecapacitaciondelsur.com/toma-de-muestras-y-lab-clinico-poct-</v>
      </c>
      <c r="C121" s="21">
        <f>INSCRITOS!B121</f>
        <v>1085663367</v>
      </c>
      <c r="D121" t="str">
        <f t="shared" si="3"/>
        <v>https://centrodecapacitaciondelsur.com/toma-de-muestras-y-lab-clinico-poct-1085663367/</v>
      </c>
    </row>
    <row r="122" spans="1:4" ht="63.75" customHeight="1" x14ac:dyDescent="0.25">
      <c r="A122" s="21" t="str">
        <f>INSCRITOS!N122</f>
        <v>TOMA DE MUESTRAS</v>
      </c>
      <c r="B122" s="13" t="str">
        <f t="shared" si="2"/>
        <v>https://centrodecapacitaciondelsur.com/toma-de-muestras-y-lab-clinico-</v>
      </c>
      <c r="C122" s="21">
        <f>INSCRITOS!B122</f>
        <v>1085267687</v>
      </c>
      <c r="D122" t="str">
        <f t="shared" si="3"/>
        <v>https://centrodecapacitaciondelsur.com/toma-de-muestras-y-lab-clinico-1085267687/</v>
      </c>
    </row>
    <row r="123" spans="1:4" ht="63.75" customHeight="1" x14ac:dyDescent="0.25">
      <c r="A123" s="21" t="str">
        <f>INSCRITOS!N123</f>
        <v>ACLSN</v>
      </c>
      <c r="B123" s="13" t="str">
        <f t="shared" si="2"/>
        <v>https://centrodecapacitaciondelsur.com/soporte-basico-neonatal-</v>
      </c>
      <c r="C123" s="21">
        <f>INSCRITOS!B123</f>
        <v>59314424</v>
      </c>
      <c r="D123" t="str">
        <f t="shared" si="3"/>
        <v>https://centrodecapacitaciondelsur.com/soporte-basico-neonatal-59314424/</v>
      </c>
    </row>
    <row r="124" spans="1:4" ht="63.75" customHeight="1" x14ac:dyDescent="0.25">
      <c r="A124" s="21" t="str">
        <f>INSCRITOS!N124</f>
        <v>VIOLENCIA SEXUAL</v>
      </c>
      <c r="B124" s="13" t="str">
        <f t="shared" si="2"/>
        <v>https://centrodecapacitaciondelsur.com/violencia-sexual-</v>
      </c>
      <c r="C124" s="21">
        <f>INSCRITOS!B124</f>
        <v>59653690</v>
      </c>
      <c r="D124" t="str">
        <f t="shared" si="3"/>
        <v>https://centrodecapacitaciondelsur.com/violencia-sexual-59653690/</v>
      </c>
    </row>
    <row r="125" spans="1:4" ht="63.75" customHeight="1" x14ac:dyDescent="0.25">
      <c r="A125" s="21" t="str">
        <f>INSCRITOS!N125</f>
        <v>CONFLICTO ARMADO</v>
      </c>
      <c r="B125" s="13" t="str">
        <f t="shared" si="2"/>
        <v>https://centrodecapacitaciondelsur.com/atencion-a-victimas-del-conflicto-armado-</v>
      </c>
      <c r="C125" s="21">
        <f>INSCRITOS!B125</f>
        <v>59653690</v>
      </c>
      <c r="D125" t="str">
        <f t="shared" si="3"/>
        <v>https://centrodecapacitaciondelsur.com/atencion-a-victimas-del-conflicto-armado-59653690/</v>
      </c>
    </row>
    <row r="126" spans="1:4" ht="63.75" customHeight="1" x14ac:dyDescent="0.25">
      <c r="A126" s="21" t="str">
        <f>INSCRITOS!N126</f>
        <v>HUMANIZACION</v>
      </c>
      <c r="B126" s="13" t="str">
        <f t="shared" si="2"/>
        <v>https://centrodecapacitaciondelsur.com/humanizacion-</v>
      </c>
      <c r="C126" s="21">
        <f>INSCRITOS!B126</f>
        <v>59653690</v>
      </c>
      <c r="D126" t="str">
        <f t="shared" si="3"/>
        <v>https://centrodecapacitaciondelsur.com/humanizacion-59653690/</v>
      </c>
    </row>
    <row r="127" spans="1:4" ht="63.75" customHeight="1" x14ac:dyDescent="0.25">
      <c r="A127" s="21" t="str">
        <f>INSCRITOS!N127</f>
        <v>VIOLENCIA SEXUAL</v>
      </c>
      <c r="B127" s="13" t="str">
        <f t="shared" si="2"/>
        <v>https://centrodecapacitaciondelsur.com/violencia-sexual-</v>
      </c>
      <c r="C127" s="21">
        <f>INSCRITOS!B127</f>
        <v>59825509</v>
      </c>
      <c r="D127" t="str">
        <f t="shared" si="3"/>
        <v>https://centrodecapacitaciondelsur.com/violencia-sexual-59825509/</v>
      </c>
    </row>
    <row r="128" spans="1:4" ht="63.75" customHeight="1" x14ac:dyDescent="0.25">
      <c r="A128" s="21" t="str">
        <f>INSCRITOS!N128</f>
        <v>HUMANIZACION</v>
      </c>
      <c r="B128" s="13" t="str">
        <f t="shared" si="2"/>
        <v>https://centrodecapacitaciondelsur.com/humanizacion-</v>
      </c>
      <c r="C128" s="21">
        <f>INSCRITOS!B128</f>
        <v>59825509</v>
      </c>
      <c r="D128" t="str">
        <f t="shared" si="3"/>
        <v>https://centrodecapacitaciondelsur.com/humanizacion-59825509/</v>
      </c>
    </row>
    <row r="129" spans="1:4" ht="63.75" customHeight="1" x14ac:dyDescent="0.25">
      <c r="A129" s="21" t="str">
        <f>INSCRITOS!N129</f>
        <v>DUELO</v>
      </c>
      <c r="B129" s="13" t="str">
        <f t="shared" si="2"/>
        <v>https://centrodecapacitaciondelsur.com/manejo-del-duelo-</v>
      </c>
      <c r="C129" s="21">
        <f>INSCRITOS!B129</f>
        <v>59825509</v>
      </c>
      <c r="D129" t="str">
        <f t="shared" si="3"/>
        <v>https://centrodecapacitaciondelsur.com/manejo-del-duelo-59825509/</v>
      </c>
    </row>
    <row r="130" spans="1:4" ht="63.75" customHeight="1" x14ac:dyDescent="0.25">
      <c r="A130" s="21" t="str">
        <f>INSCRITOS!N130</f>
        <v>VIOLENCIA SEXUAL</v>
      </c>
      <c r="B130" s="13" t="str">
        <f t="shared" si="2"/>
        <v>https://centrodecapacitaciondelsur.com/violencia-sexual-</v>
      </c>
      <c r="C130" s="21">
        <f>INSCRITOS!B130</f>
        <v>27109229</v>
      </c>
      <c r="D130" t="str">
        <f t="shared" si="3"/>
        <v>https://centrodecapacitaciondelsur.com/violencia-sexual-27109229/</v>
      </c>
    </row>
    <row r="131" spans="1:4" ht="63.75" customHeight="1" x14ac:dyDescent="0.25">
      <c r="A131" s="21" t="str">
        <f>INSCRITOS!N131</f>
        <v>HUMANIZACION</v>
      </c>
      <c r="B131" s="13" t="str">
        <f t="shared" ref="B131:B194" si="4">IF(A131=$H$19,"https://centrodecapacitaciondelsur.com/o-v-e-",IF(A131=$H$2,"https://centrodecapacitaciondelsur.com/aph-",IF(A131=$H$3,"https://centrodecapacitaciondelsur.com/manejo-del-duelo-",IF(A131=$H$4,"https://centrodecapacitaciondelsur.com/victimas-por-agentes-quimicos-",IF(A131=$H$5,"https://centrodecapacitaciondelsur.com/primeros-auxilios-",IF(A131=$H$6,"https://centrodecapacitaciondelsur.com/uci-",IF(A131=$H$8,"https://centrodecapacitaciondelsur.com/humanizacion-",IF(A131=$H$11,"https://centrodecapacitaciondelsur.com/soporte-cardiovascular-avanzado-",IF(A131=$H$12,"https://centrodecapacitaciondelsur.com/camillero-",IF(A131=$H$13,"https://centrodecapacitaciondelsur.com/toma-de-muestras-y-lab-clinico-",IF(A131=$H$14,"https://centrodecapacitaciondelsur.com/soporte-basico-de-vida-",IF(A131=$H$15,"https://centrodecapacitaciondelsur.com/violencia-sexual-",IF(A131=$H$17,"https://centrodecapacitaciondelsur.com/aiepi-",IF(A131=$H$18,"https://centrodecapacitaciondelsur.com/adm-medicamentos-canalizacion-inyectologia-",IF(A131=$H$25,"https://centrodecapacitaciondelsur.com/manejo-del-dolor-y-cuidados-paliativos-",IF(A131=$H$26,"https://centrodecapacitaciondelsur.com/toma-de-muestras-y-lab-clinico-poct-",IF(A131=$H$27,"https://centrodecapacitaciondelsur.com/implante-subdermico-",IF(A131=$H$21,"https://centrodecapacitaciondelsur.com/donante-de-organos-",IF(A131=$H$30,"https://centrodecapacitaciondelsur.com/atencion-a-victimas-del-conflicto-armado-",IF(A131=$H$20,"https://centrodecapacitaciondelsur.com/iami-",IF(A131=$H$22,"https://centrodecapacitaciondelsur.com/violencia-de-genero-",IF(A131=$H$23,"https://centrodecapacitaciondelsur.com/igualdad-de-genero-",IF(A131=$H$16,"https://centrodecapacitaciondelsur.com/pai-",IF(A131=$H$31,"https://centrodecapacitaciondelsur.com/manipulacion-de-alimentos-",IF(A131=$H$32,"https://centrodecapacitaciondelsur.com/atencion-a-personas-con-discapacidad-",IF(A131=$H$33,"https://centrodecapacitaciondelsur.com/atencion-al-adulto-mayor-",IF(A131=$H$34,"https://centrodecapacitaciondelsur.com/manejo-defensivo-",IF(A131=$H$35,"https://centrodecapacitaciondelsur.com/soporte-basico-neonatal-",IF(A131=$H$36,"https://centrodecapacitaciondelsur.com/seguridad-del-paciente-")))))))))))))))))))))))))))))</f>
        <v>https://centrodecapacitaciondelsur.com/humanizacion-</v>
      </c>
      <c r="C131" s="21">
        <f>INSCRITOS!B131</f>
        <v>27109229</v>
      </c>
      <c r="D131" t="str">
        <f t="shared" ref="D131:D194" si="5">CONCATENATE(B131,C131,"/")</f>
        <v>https://centrodecapacitaciondelsur.com/humanizacion-27109229/</v>
      </c>
    </row>
    <row r="132" spans="1:4" ht="63.75" customHeight="1" x14ac:dyDescent="0.25">
      <c r="A132" s="21" t="str">
        <f>INSCRITOS!N132</f>
        <v>QUIMICOS</v>
      </c>
      <c r="B132" s="13" t="str">
        <f t="shared" si="4"/>
        <v>https://centrodecapacitaciondelsur.com/victimas-por-agentes-quimicos-</v>
      </c>
      <c r="C132" s="21">
        <f>INSCRITOS!B132</f>
        <v>27109229</v>
      </c>
      <c r="D132" t="str">
        <f t="shared" si="5"/>
        <v>https://centrodecapacitaciondelsur.com/victimas-por-agentes-quimicos-27109229/</v>
      </c>
    </row>
    <row r="133" spans="1:4" ht="60" customHeight="1" x14ac:dyDescent="0.25">
      <c r="A133" s="21" t="str">
        <f>INSCRITOS!N133</f>
        <v>DUELO</v>
      </c>
      <c r="B133" s="13" t="str">
        <f t="shared" si="4"/>
        <v>https://centrodecapacitaciondelsur.com/manejo-del-duelo-</v>
      </c>
      <c r="C133" s="21">
        <f>INSCRITOS!B133</f>
        <v>27109229</v>
      </c>
      <c r="D133" t="str">
        <f t="shared" si="5"/>
        <v>https://centrodecapacitaciondelsur.com/manejo-del-duelo-27109229/</v>
      </c>
    </row>
    <row r="134" spans="1:4" ht="60" customHeight="1" x14ac:dyDescent="0.25">
      <c r="A134" s="21" t="str">
        <f>INSCRITOS!N134</f>
        <v>ACLS</v>
      </c>
      <c r="B134" s="13" t="str">
        <f t="shared" si="4"/>
        <v>https://centrodecapacitaciondelsur.com/soporte-cardiovascular-avanzado-</v>
      </c>
      <c r="C134" s="21">
        <f>INSCRITOS!B134</f>
        <v>27109229</v>
      </c>
      <c r="D134" t="str">
        <f t="shared" si="5"/>
        <v>https://centrodecapacitaciondelsur.com/soporte-cardiovascular-avanzado-27109229/</v>
      </c>
    </row>
    <row r="135" spans="1:4" ht="60" customHeight="1" x14ac:dyDescent="0.25">
      <c r="A135" s="21" t="str">
        <f>INSCRITOS!N135</f>
        <v>PALIATIVOS</v>
      </c>
      <c r="B135" s="13" t="str">
        <f t="shared" si="4"/>
        <v>https://centrodecapacitaciondelsur.com/manejo-del-dolor-y-cuidados-paliativos-</v>
      </c>
      <c r="C135" s="21">
        <f>INSCRITOS!B135</f>
        <v>27109229</v>
      </c>
      <c r="D135" t="str">
        <f t="shared" si="5"/>
        <v>https://centrodecapacitaciondelsur.com/manejo-del-dolor-y-cuidados-paliativos-27109229/</v>
      </c>
    </row>
    <row r="136" spans="1:4" ht="60" customHeight="1" x14ac:dyDescent="0.25">
      <c r="A136" s="21" t="str">
        <f>INSCRITOS!N136</f>
        <v>VIOLENCIA SEXUAL</v>
      </c>
      <c r="B136" s="13" t="str">
        <f t="shared" si="4"/>
        <v>https://centrodecapacitaciondelsur.com/violencia-sexual-</v>
      </c>
      <c r="C136" s="21">
        <f>INSCRITOS!B136</f>
        <v>1085312568</v>
      </c>
      <c r="D136" t="str">
        <f t="shared" si="5"/>
        <v>https://centrodecapacitaciondelsur.com/violencia-sexual-1085312568/</v>
      </c>
    </row>
    <row r="137" spans="1:4" ht="60" customHeight="1" x14ac:dyDescent="0.25">
      <c r="A137" s="21" t="str">
        <f>INSCRITOS!N137</f>
        <v>HUMANIZACION</v>
      </c>
      <c r="B137" s="13" t="str">
        <f t="shared" si="4"/>
        <v>https://centrodecapacitaciondelsur.com/humanizacion-</v>
      </c>
      <c r="C137" s="21">
        <f>INSCRITOS!B137</f>
        <v>1085312568</v>
      </c>
      <c r="D137" t="str">
        <f t="shared" si="5"/>
        <v>https://centrodecapacitaciondelsur.com/humanizacion-1085312568/</v>
      </c>
    </row>
    <row r="138" spans="1:4" ht="60" customHeight="1" x14ac:dyDescent="0.25">
      <c r="A138" s="21" t="str">
        <f>INSCRITOS!N138</f>
        <v>QUIMICOS</v>
      </c>
      <c r="B138" s="13" t="str">
        <f t="shared" si="4"/>
        <v>https://centrodecapacitaciondelsur.com/victimas-por-agentes-quimicos-</v>
      </c>
      <c r="C138" s="21">
        <f>INSCRITOS!B138</f>
        <v>1085312568</v>
      </c>
      <c r="D138" t="str">
        <f t="shared" si="5"/>
        <v>https://centrodecapacitaciondelsur.com/victimas-por-agentes-quimicos-1085312568/</v>
      </c>
    </row>
    <row r="139" spans="1:4" ht="60" customHeight="1" x14ac:dyDescent="0.25">
      <c r="A139" s="21" t="str">
        <f>INSCRITOS!N139</f>
        <v>DUELO</v>
      </c>
      <c r="B139" s="13" t="str">
        <f t="shared" si="4"/>
        <v>https://centrodecapacitaciondelsur.com/manejo-del-duelo-</v>
      </c>
      <c r="C139" s="21">
        <f>INSCRITOS!B139</f>
        <v>1085312568</v>
      </c>
      <c r="D139" t="str">
        <f t="shared" si="5"/>
        <v>https://centrodecapacitaciondelsur.com/manejo-del-duelo-1085312568/</v>
      </c>
    </row>
    <row r="140" spans="1:4" ht="60" customHeight="1" x14ac:dyDescent="0.25">
      <c r="A140" s="21" t="str">
        <f>INSCRITOS!N140</f>
        <v>ACLS</v>
      </c>
      <c r="B140" s="13" t="str">
        <f t="shared" si="4"/>
        <v>https://centrodecapacitaciondelsur.com/soporte-cardiovascular-avanzado-</v>
      </c>
      <c r="C140" s="21">
        <f>INSCRITOS!B140</f>
        <v>1085312568</v>
      </c>
      <c r="D140" t="str">
        <f t="shared" si="5"/>
        <v>https://centrodecapacitaciondelsur.com/soporte-cardiovascular-avanzado-1085312568/</v>
      </c>
    </row>
    <row r="141" spans="1:4" ht="60" customHeight="1" x14ac:dyDescent="0.25">
      <c r="A141" s="21" t="str">
        <f>INSCRITOS!N141</f>
        <v>ACLS</v>
      </c>
      <c r="B141" s="13" t="str">
        <f t="shared" si="4"/>
        <v>https://centrodecapacitaciondelsur.com/soporte-cardiovascular-avanzado-</v>
      </c>
      <c r="C141" s="21">
        <f>INSCRITOS!B141</f>
        <v>98396643</v>
      </c>
      <c r="D141" t="str">
        <f t="shared" si="5"/>
        <v>https://centrodecapacitaciondelsur.com/soporte-cardiovascular-avanzado-98396643/</v>
      </c>
    </row>
    <row r="142" spans="1:4" ht="60" customHeight="1" x14ac:dyDescent="0.25">
      <c r="A142" s="21" t="str">
        <f>INSCRITOS!N142</f>
        <v>PALIATIVOS</v>
      </c>
      <c r="B142" s="13" t="str">
        <f t="shared" si="4"/>
        <v>https://centrodecapacitaciondelsur.com/manejo-del-dolor-y-cuidados-paliativos-</v>
      </c>
      <c r="C142" s="21">
        <f>INSCRITOS!B142</f>
        <v>98396643</v>
      </c>
      <c r="D142" t="str">
        <f t="shared" si="5"/>
        <v>https://centrodecapacitaciondelsur.com/manejo-del-dolor-y-cuidados-paliativos-98396643/</v>
      </c>
    </row>
    <row r="143" spans="1:4" ht="60" customHeight="1" x14ac:dyDescent="0.25">
      <c r="A143" s="21" t="str">
        <f>INSCRITOS!N143</f>
        <v>VIOLENCIA SEXUAL</v>
      </c>
      <c r="B143" s="13" t="str">
        <f t="shared" si="4"/>
        <v>https://centrodecapacitaciondelsur.com/violencia-sexual-</v>
      </c>
      <c r="C143" s="21">
        <f>INSCRITOS!B143</f>
        <v>88195662</v>
      </c>
      <c r="D143" t="str">
        <f t="shared" si="5"/>
        <v>https://centrodecapacitaciondelsur.com/violencia-sexual-88195662/</v>
      </c>
    </row>
    <row r="144" spans="1:4" ht="60" customHeight="1" x14ac:dyDescent="0.25">
      <c r="A144" s="21" t="str">
        <f>INSCRITOS!N144</f>
        <v>HUMANIZACION</v>
      </c>
      <c r="B144" s="13" t="str">
        <f t="shared" si="4"/>
        <v>https://centrodecapacitaciondelsur.com/humanizacion-</v>
      </c>
      <c r="C144" s="21">
        <f>INSCRITOS!B144</f>
        <v>88195662</v>
      </c>
      <c r="D144" t="str">
        <f t="shared" si="5"/>
        <v>https://centrodecapacitaciondelsur.com/humanizacion-88195662/</v>
      </c>
    </row>
    <row r="145" spans="1:4" ht="60" customHeight="1" x14ac:dyDescent="0.25">
      <c r="A145" s="21" t="str">
        <f>INSCRITOS!N145</f>
        <v>QUIMICOS</v>
      </c>
      <c r="B145" s="13" t="str">
        <f t="shared" si="4"/>
        <v>https://centrodecapacitaciondelsur.com/victimas-por-agentes-quimicos-</v>
      </c>
      <c r="C145" s="21">
        <f>INSCRITOS!B145</f>
        <v>88195662</v>
      </c>
      <c r="D145" t="str">
        <f t="shared" si="5"/>
        <v>https://centrodecapacitaciondelsur.com/victimas-por-agentes-quimicos-88195662/</v>
      </c>
    </row>
    <row r="146" spans="1:4" ht="60" customHeight="1" x14ac:dyDescent="0.25">
      <c r="A146" s="21" t="str">
        <f>INSCRITOS!N146</f>
        <v>DUELO</v>
      </c>
      <c r="B146" s="13" t="str">
        <f t="shared" si="4"/>
        <v>https://centrodecapacitaciondelsur.com/manejo-del-duelo-</v>
      </c>
      <c r="C146" s="21">
        <f>INSCRITOS!B146</f>
        <v>88195662</v>
      </c>
      <c r="D146" t="str">
        <f t="shared" si="5"/>
        <v>https://centrodecapacitaciondelsur.com/manejo-del-duelo-88195662/</v>
      </c>
    </row>
    <row r="147" spans="1:4" ht="60" customHeight="1" x14ac:dyDescent="0.25">
      <c r="A147" s="21" t="str">
        <f>INSCRITOS!N147</f>
        <v>ACLS</v>
      </c>
      <c r="B147" s="13" t="str">
        <f t="shared" si="4"/>
        <v>https://centrodecapacitaciondelsur.com/soporte-cardiovascular-avanzado-</v>
      </c>
      <c r="C147" s="21">
        <f>INSCRITOS!B147</f>
        <v>88195662</v>
      </c>
      <c r="D147" t="str">
        <f t="shared" si="5"/>
        <v>https://centrodecapacitaciondelsur.com/soporte-cardiovascular-avanzado-88195662/</v>
      </c>
    </row>
    <row r="148" spans="1:4" ht="60" customHeight="1" x14ac:dyDescent="0.25">
      <c r="A148" s="21" t="str">
        <f>INSCRITOS!N148</f>
        <v>PALIATIVOS</v>
      </c>
      <c r="B148" s="13" t="str">
        <f t="shared" si="4"/>
        <v>https://centrodecapacitaciondelsur.com/manejo-del-dolor-y-cuidados-paliativos-</v>
      </c>
      <c r="C148" s="21">
        <f>INSCRITOS!B148</f>
        <v>88195662</v>
      </c>
      <c r="D148" t="str">
        <f t="shared" si="5"/>
        <v>https://centrodecapacitaciondelsur.com/manejo-del-dolor-y-cuidados-paliativos-88195662/</v>
      </c>
    </row>
    <row r="149" spans="1:4" ht="60" customHeight="1" x14ac:dyDescent="0.25">
      <c r="A149" s="21" t="str">
        <f>INSCRITOS!N149</f>
        <v>BLS</v>
      </c>
      <c r="B149" s="13" t="str">
        <f t="shared" si="4"/>
        <v>https://centrodecapacitaciondelsur.com/soporte-basico-de-vida-</v>
      </c>
      <c r="C149" s="21">
        <f>INSCRITOS!B149</f>
        <v>1085317150</v>
      </c>
      <c r="D149" t="str">
        <f t="shared" si="5"/>
        <v>https://centrodecapacitaciondelsur.com/soporte-basico-de-vida-1085317150/</v>
      </c>
    </row>
    <row r="150" spans="1:4" ht="60" customHeight="1" x14ac:dyDescent="0.25">
      <c r="A150" s="21" t="str">
        <f>INSCRITOS!N150</f>
        <v>POCT</v>
      </c>
      <c r="B150" s="13" t="str">
        <f t="shared" si="4"/>
        <v>https://centrodecapacitaciondelsur.com/toma-de-muestras-y-lab-clinico-poct-</v>
      </c>
      <c r="C150" s="21">
        <f>INSCRITOS!B150</f>
        <v>59832474</v>
      </c>
      <c r="D150" t="str">
        <f t="shared" si="5"/>
        <v>https://centrodecapacitaciondelsur.com/toma-de-muestras-y-lab-clinico-poct-59832474/</v>
      </c>
    </row>
    <row r="151" spans="1:4" ht="60" customHeight="1" x14ac:dyDescent="0.25">
      <c r="A151" s="21" t="str">
        <f>INSCRITOS!N151</f>
        <v>ACLS</v>
      </c>
      <c r="B151" s="13" t="str">
        <f t="shared" si="4"/>
        <v>https://centrodecapacitaciondelsur.com/soporte-cardiovascular-avanzado-</v>
      </c>
      <c r="C151" s="21">
        <f>INSCRITOS!B151</f>
        <v>98364079</v>
      </c>
      <c r="D151" t="str">
        <f t="shared" si="5"/>
        <v>https://centrodecapacitaciondelsur.com/soporte-cardiovascular-avanzado-98364079/</v>
      </c>
    </row>
    <row r="152" spans="1:4" ht="60" customHeight="1" x14ac:dyDescent="0.25">
      <c r="A152" s="21" t="str">
        <f>INSCRITOS!N152</f>
        <v>QUIMICOS</v>
      </c>
      <c r="B152" s="13" t="str">
        <f t="shared" si="4"/>
        <v>https://centrodecapacitaciondelsur.com/victimas-por-agentes-quimicos-</v>
      </c>
      <c r="C152" s="21">
        <f>INSCRITOS!B152</f>
        <v>98364079</v>
      </c>
      <c r="D152" t="str">
        <f t="shared" si="5"/>
        <v>https://centrodecapacitaciondelsur.com/victimas-por-agentes-quimicos-98364079/</v>
      </c>
    </row>
    <row r="153" spans="1:4" ht="60" customHeight="1" x14ac:dyDescent="0.25">
      <c r="A153" s="21" t="str">
        <f>INSCRITOS!N153</f>
        <v>DUELO</v>
      </c>
      <c r="B153" s="13" t="str">
        <f t="shared" si="4"/>
        <v>https://centrodecapacitaciondelsur.com/manejo-del-duelo-</v>
      </c>
      <c r="C153" s="21">
        <f>INSCRITOS!B153</f>
        <v>98364079</v>
      </c>
      <c r="D153" t="str">
        <f t="shared" si="5"/>
        <v>https://centrodecapacitaciondelsur.com/manejo-del-duelo-98364079/</v>
      </c>
    </row>
    <row r="154" spans="1:4" ht="60" customHeight="1" x14ac:dyDescent="0.25">
      <c r="A154" s="21" t="str">
        <f>INSCRITOS!N154</f>
        <v>VIOLENCIA SEXUAL</v>
      </c>
      <c r="B154" s="13" t="str">
        <f t="shared" si="4"/>
        <v>https://centrodecapacitaciondelsur.com/violencia-sexual-</v>
      </c>
      <c r="C154" s="21">
        <f>INSCRITOS!B154</f>
        <v>98364079</v>
      </c>
      <c r="D154" t="str">
        <f t="shared" si="5"/>
        <v>https://centrodecapacitaciondelsur.com/violencia-sexual-98364079/</v>
      </c>
    </row>
    <row r="155" spans="1:4" ht="60" customHeight="1" x14ac:dyDescent="0.25">
      <c r="A155" s="21" t="str">
        <f>INSCRITOS!N155</f>
        <v>HUMANIZACION</v>
      </c>
      <c r="B155" s="13" t="str">
        <f t="shared" si="4"/>
        <v>https://centrodecapacitaciondelsur.com/humanizacion-</v>
      </c>
      <c r="C155" s="21">
        <f>INSCRITOS!B155</f>
        <v>98364079</v>
      </c>
      <c r="D155" t="str">
        <f t="shared" si="5"/>
        <v>https://centrodecapacitaciondelsur.com/humanizacion-98364079/</v>
      </c>
    </row>
    <row r="156" spans="1:4" ht="60" customHeight="1" x14ac:dyDescent="0.25">
      <c r="A156" s="21" t="str">
        <f>INSCRITOS!N156</f>
        <v>PALIATIVOS</v>
      </c>
      <c r="B156" s="13" t="str">
        <f t="shared" si="4"/>
        <v>https://centrodecapacitaciondelsur.com/manejo-del-dolor-y-cuidados-paliativos-</v>
      </c>
      <c r="C156" s="21">
        <f>INSCRITOS!B156</f>
        <v>98364079</v>
      </c>
      <c r="D156" t="str">
        <f t="shared" si="5"/>
        <v>https://centrodecapacitaciondelsur.com/manejo-del-dolor-y-cuidados-paliativos-98364079/</v>
      </c>
    </row>
    <row r="157" spans="1:4" ht="60" customHeight="1" x14ac:dyDescent="0.25">
      <c r="A157" s="21" t="str">
        <f>INSCRITOS!N157</f>
        <v>POCT</v>
      </c>
      <c r="B157" s="13" t="str">
        <f t="shared" si="4"/>
        <v>https://centrodecapacitaciondelsur.com/toma-de-muestras-y-lab-clinico-poct-</v>
      </c>
      <c r="C157" s="21">
        <f>INSCRITOS!B157</f>
        <v>1085297387</v>
      </c>
      <c r="D157" t="str">
        <f t="shared" si="5"/>
        <v>https://centrodecapacitaciondelsur.com/toma-de-muestras-y-lab-clinico-poct-1085297387/</v>
      </c>
    </row>
    <row r="158" spans="1:4" ht="60" customHeight="1" x14ac:dyDescent="0.25">
      <c r="A158" s="21" t="str">
        <f>INSCRITOS!N158</f>
        <v>QUIMICOS</v>
      </c>
      <c r="B158" s="13" t="str">
        <f t="shared" si="4"/>
        <v>https://centrodecapacitaciondelsur.com/victimas-por-agentes-quimicos-</v>
      </c>
      <c r="C158" s="21">
        <f>INSCRITOS!B158</f>
        <v>1004694891</v>
      </c>
      <c r="D158" t="str">
        <f t="shared" si="5"/>
        <v>https://centrodecapacitaciondelsur.com/victimas-por-agentes-quimicos-1004694891/</v>
      </c>
    </row>
    <row r="159" spans="1:4" ht="60" customHeight="1" x14ac:dyDescent="0.25">
      <c r="A159" s="21" t="str">
        <f>INSCRITOS!N159</f>
        <v>DUELO</v>
      </c>
      <c r="B159" s="13" t="str">
        <f t="shared" si="4"/>
        <v>https://centrodecapacitaciondelsur.com/manejo-del-duelo-</v>
      </c>
      <c r="C159" s="21">
        <f>INSCRITOS!B159</f>
        <v>1004694891</v>
      </c>
      <c r="D159" t="str">
        <f t="shared" si="5"/>
        <v>https://centrodecapacitaciondelsur.com/manejo-del-duelo-1004694891/</v>
      </c>
    </row>
    <row r="160" spans="1:4" ht="60" customHeight="1" x14ac:dyDescent="0.25">
      <c r="A160" s="21" t="str">
        <f>INSCRITOS!N160</f>
        <v>PRIMEROS AUXILIOS</v>
      </c>
      <c r="B160" s="13" t="str">
        <f t="shared" si="4"/>
        <v>https://centrodecapacitaciondelsur.com/primeros-auxilios-</v>
      </c>
      <c r="C160" s="21">
        <f>INSCRITOS!B160</f>
        <v>1085259836</v>
      </c>
      <c r="D160" t="str">
        <f t="shared" si="5"/>
        <v>https://centrodecapacitaciondelsur.com/primeros-auxilios-1085259836/</v>
      </c>
    </row>
    <row r="161" spans="1:4" ht="60" customHeight="1" x14ac:dyDescent="0.25">
      <c r="A161" s="21" t="str">
        <f>INSCRITOS!N161</f>
        <v>PRIMEROS AUXILIOS</v>
      </c>
      <c r="B161" s="13" t="str">
        <f t="shared" si="4"/>
        <v>https://centrodecapacitaciondelsur.com/primeros-auxilios-</v>
      </c>
      <c r="C161" s="21">
        <f>INSCRITOS!B161</f>
        <v>12749705</v>
      </c>
      <c r="D161" t="str">
        <f t="shared" si="5"/>
        <v>https://centrodecapacitaciondelsur.com/primeros-auxilios-12749705/</v>
      </c>
    </row>
    <row r="162" spans="1:4" ht="60" customHeight="1" x14ac:dyDescent="0.25">
      <c r="A162" s="21" t="str">
        <f>INSCRITOS!N162</f>
        <v>PRIMEROS AUXILIOS</v>
      </c>
      <c r="B162" s="13" t="str">
        <f t="shared" si="4"/>
        <v>https://centrodecapacitaciondelsur.com/primeros-auxilios-</v>
      </c>
      <c r="C162" s="21">
        <f>INSCRITOS!B162</f>
        <v>1131085837</v>
      </c>
      <c r="D162" t="str">
        <f t="shared" si="5"/>
        <v>https://centrodecapacitaciondelsur.com/primeros-auxilios-1131085837/</v>
      </c>
    </row>
    <row r="163" spans="1:4" ht="60" customHeight="1" x14ac:dyDescent="0.25">
      <c r="A163" s="21" t="str">
        <f>INSCRITOS!N163</f>
        <v>PRIMEROS AUXILIOS</v>
      </c>
      <c r="B163" s="13" t="str">
        <f t="shared" si="4"/>
        <v>https://centrodecapacitaciondelsur.com/primeros-auxilios-</v>
      </c>
      <c r="C163" s="21">
        <f>INSCRITOS!B163</f>
        <v>12998916</v>
      </c>
      <c r="D163" t="str">
        <f t="shared" si="5"/>
        <v>https://centrodecapacitaciondelsur.com/primeros-auxilios-12998916/</v>
      </c>
    </row>
    <row r="164" spans="1:4" ht="60" customHeight="1" x14ac:dyDescent="0.25">
      <c r="A164" s="21" t="str">
        <f>INSCRITOS!N164</f>
        <v>PRIMEROS AUXILIOS</v>
      </c>
      <c r="B164" s="13" t="str">
        <f t="shared" si="4"/>
        <v>https://centrodecapacitaciondelsur.com/primeros-auxilios-</v>
      </c>
      <c r="C164" s="21">
        <f>INSCRITOS!B164</f>
        <v>1085268543</v>
      </c>
      <c r="D164" t="str">
        <f t="shared" si="5"/>
        <v>https://centrodecapacitaciondelsur.com/primeros-auxilios-1085268543/</v>
      </c>
    </row>
    <row r="165" spans="1:4" ht="60" customHeight="1" x14ac:dyDescent="0.25">
      <c r="A165" s="21" t="str">
        <f>INSCRITOS!N165</f>
        <v>PRIMEROS AUXILIOS</v>
      </c>
      <c r="B165" s="13" t="str">
        <f t="shared" si="4"/>
        <v>https://centrodecapacitaciondelsur.com/primeros-auxilios-</v>
      </c>
      <c r="C165" s="21">
        <f>INSCRITOS!B165</f>
        <v>98381679</v>
      </c>
      <c r="D165" t="str">
        <f t="shared" si="5"/>
        <v>https://centrodecapacitaciondelsur.com/primeros-auxilios-98381679/</v>
      </c>
    </row>
    <row r="166" spans="1:4" ht="60" customHeight="1" x14ac:dyDescent="0.25">
      <c r="A166" s="21" t="str">
        <f>INSCRITOS!N166</f>
        <v>PRIMEROS AUXILIOS</v>
      </c>
      <c r="B166" s="13" t="str">
        <f t="shared" si="4"/>
        <v>https://centrodecapacitaciondelsur.com/primeros-auxilios-</v>
      </c>
      <c r="C166" s="21">
        <f>INSCRITOS!B166</f>
        <v>1085317935</v>
      </c>
      <c r="D166" t="str">
        <f t="shared" si="5"/>
        <v>https://centrodecapacitaciondelsur.com/primeros-auxilios-1085317935/</v>
      </c>
    </row>
    <row r="167" spans="1:4" ht="60" customHeight="1" x14ac:dyDescent="0.25">
      <c r="A167" s="21" t="str">
        <f>INSCRITOS!N167</f>
        <v>PRIMEROS AUXILIOS</v>
      </c>
      <c r="B167" s="13" t="str">
        <f t="shared" si="4"/>
        <v>https://centrodecapacitaciondelsur.com/primeros-auxilios-</v>
      </c>
      <c r="C167" s="21">
        <f>INSCRITOS!B167</f>
        <v>12980991</v>
      </c>
      <c r="D167" t="str">
        <f t="shared" si="5"/>
        <v>https://centrodecapacitaciondelsur.com/primeros-auxilios-12980991/</v>
      </c>
    </row>
    <row r="168" spans="1:4" ht="60" customHeight="1" x14ac:dyDescent="0.25">
      <c r="A168" s="21" t="str">
        <f>INSCRITOS!N168</f>
        <v>PRIMEROS AUXILIOS</v>
      </c>
      <c r="B168" s="13" t="str">
        <f t="shared" si="4"/>
        <v>https://centrodecapacitaciondelsur.com/primeros-auxilios-</v>
      </c>
      <c r="C168" s="21">
        <f>INSCRITOS!B168</f>
        <v>1085282174</v>
      </c>
      <c r="D168" t="str">
        <f t="shared" si="5"/>
        <v>https://centrodecapacitaciondelsur.com/primeros-auxilios-1085282174/</v>
      </c>
    </row>
    <row r="169" spans="1:4" ht="60" customHeight="1" x14ac:dyDescent="0.25">
      <c r="A169" s="21" t="str">
        <f>INSCRITOS!N169</f>
        <v>PRIMEROS AUXILIOS</v>
      </c>
      <c r="B169" s="13" t="str">
        <f t="shared" si="4"/>
        <v>https://centrodecapacitaciondelsur.com/primeros-auxilios-</v>
      </c>
      <c r="C169" s="21">
        <f>INSCRITOS!B169</f>
        <v>1085286180</v>
      </c>
      <c r="D169" t="str">
        <f t="shared" si="5"/>
        <v>https://centrodecapacitaciondelsur.com/primeros-auxilios-1085286180/</v>
      </c>
    </row>
    <row r="170" spans="1:4" ht="60" customHeight="1" x14ac:dyDescent="0.25">
      <c r="A170" s="21" t="str">
        <f>INSCRITOS!N170</f>
        <v>PRIMEROS AUXILIOS</v>
      </c>
      <c r="B170" s="13" t="str">
        <f t="shared" si="4"/>
        <v>https://centrodecapacitaciondelsur.com/primeros-auxilios-</v>
      </c>
      <c r="C170" s="21">
        <f>INSCRITOS!B170</f>
        <v>12991989</v>
      </c>
      <c r="D170" t="str">
        <f t="shared" si="5"/>
        <v>https://centrodecapacitaciondelsur.com/primeros-auxilios-12991989/</v>
      </c>
    </row>
    <row r="171" spans="1:4" ht="60" customHeight="1" x14ac:dyDescent="0.25">
      <c r="A171" s="21" t="str">
        <f>INSCRITOS!N171</f>
        <v>PRIMEROS AUXILIOS</v>
      </c>
      <c r="B171" s="13" t="str">
        <f t="shared" si="4"/>
        <v>https://centrodecapacitaciondelsur.com/primeros-auxilios-</v>
      </c>
      <c r="C171" s="21">
        <f>INSCRITOS!B171</f>
        <v>12976886</v>
      </c>
      <c r="D171" t="str">
        <f t="shared" si="5"/>
        <v>https://centrodecapacitaciondelsur.com/primeros-auxilios-12976886/</v>
      </c>
    </row>
    <row r="172" spans="1:4" ht="60" customHeight="1" x14ac:dyDescent="0.25">
      <c r="A172" s="21" t="str">
        <f>INSCRITOS!N172</f>
        <v>PRIMEROS AUXILIOS</v>
      </c>
      <c r="B172" s="13" t="str">
        <f t="shared" si="4"/>
        <v>https://centrodecapacitaciondelsur.com/primeros-auxilios-</v>
      </c>
      <c r="C172" s="21">
        <f>INSCRITOS!B172</f>
        <v>12987367</v>
      </c>
      <c r="D172" t="str">
        <f t="shared" si="5"/>
        <v>https://centrodecapacitaciondelsur.com/primeros-auxilios-12987367/</v>
      </c>
    </row>
    <row r="173" spans="1:4" ht="60" customHeight="1" x14ac:dyDescent="0.25">
      <c r="A173" s="21" t="str">
        <f>INSCRITOS!N173</f>
        <v>PRIMEROS AUXILIOS</v>
      </c>
      <c r="B173" s="13" t="str">
        <f t="shared" si="4"/>
        <v>https://centrodecapacitaciondelsur.com/primeros-auxilios-</v>
      </c>
      <c r="C173" s="21">
        <f>INSCRITOS!B173</f>
        <v>12987021</v>
      </c>
      <c r="D173" t="str">
        <f t="shared" si="5"/>
        <v>https://centrodecapacitaciondelsur.com/primeros-auxilios-12987021/</v>
      </c>
    </row>
    <row r="174" spans="1:4" ht="60" customHeight="1" x14ac:dyDescent="0.25">
      <c r="A174" s="21" t="str">
        <f>INSCRITOS!N174</f>
        <v>PRIMEROS AUXILIOS</v>
      </c>
      <c r="B174" s="13" t="str">
        <f t="shared" si="4"/>
        <v>https://centrodecapacitaciondelsur.com/primeros-auxilios-</v>
      </c>
      <c r="C174" s="21">
        <f>INSCRITOS!B174</f>
        <v>12983945</v>
      </c>
      <c r="D174" t="str">
        <f t="shared" si="5"/>
        <v>https://centrodecapacitaciondelsur.com/primeros-auxilios-12983945/</v>
      </c>
    </row>
    <row r="175" spans="1:4" ht="60" customHeight="1" x14ac:dyDescent="0.25">
      <c r="A175" s="21" t="str">
        <f>INSCRITOS!N175</f>
        <v>PRIMEROS AUXILIOS</v>
      </c>
      <c r="B175" s="13" t="str">
        <f t="shared" si="4"/>
        <v>https://centrodecapacitaciondelsur.com/primeros-auxilios-</v>
      </c>
      <c r="C175" s="21">
        <f>INSCRITOS!B175</f>
        <v>14930382</v>
      </c>
      <c r="D175" t="str">
        <f t="shared" si="5"/>
        <v>https://centrodecapacitaciondelsur.com/primeros-auxilios-14930382/</v>
      </c>
    </row>
    <row r="176" spans="1:4" ht="60" customHeight="1" x14ac:dyDescent="0.25">
      <c r="A176" s="21" t="str">
        <f>INSCRITOS!N176</f>
        <v>PRIMEROS AUXILIOS</v>
      </c>
      <c r="B176" s="13" t="str">
        <f t="shared" si="4"/>
        <v>https://centrodecapacitaciondelsur.com/primeros-auxilios-</v>
      </c>
      <c r="C176" s="21">
        <f>INSCRITOS!B176</f>
        <v>12965235</v>
      </c>
      <c r="D176" t="str">
        <f t="shared" si="5"/>
        <v>https://centrodecapacitaciondelsur.com/primeros-auxilios-12965235/</v>
      </c>
    </row>
    <row r="177" spans="1:4" ht="60" customHeight="1" x14ac:dyDescent="0.25">
      <c r="A177" s="21" t="str">
        <f>INSCRITOS!N177</f>
        <v>PRIMEROS AUXILIOS</v>
      </c>
      <c r="B177" s="13" t="str">
        <f t="shared" si="4"/>
        <v>https://centrodecapacitaciondelsur.com/primeros-auxilios-</v>
      </c>
      <c r="C177" s="21">
        <f>INSCRITOS!B177</f>
        <v>98385211</v>
      </c>
      <c r="D177" t="str">
        <f t="shared" si="5"/>
        <v>https://centrodecapacitaciondelsur.com/primeros-auxilios-98385211/</v>
      </c>
    </row>
    <row r="178" spans="1:4" ht="60" customHeight="1" x14ac:dyDescent="0.25">
      <c r="A178" s="21" t="str">
        <f>INSCRITOS!N178</f>
        <v>PRIMEROS AUXILIOS</v>
      </c>
      <c r="B178" s="13" t="str">
        <f t="shared" si="4"/>
        <v>https://centrodecapacitaciondelsur.com/primeros-auxilios-</v>
      </c>
      <c r="C178" s="21">
        <f>INSCRITOS!B178</f>
        <v>12989759</v>
      </c>
      <c r="D178" t="str">
        <f t="shared" si="5"/>
        <v>https://centrodecapacitaciondelsur.com/primeros-auxilios-12989759/</v>
      </c>
    </row>
    <row r="179" spans="1:4" ht="60" customHeight="1" x14ac:dyDescent="0.25">
      <c r="A179" s="21" t="str">
        <f>INSCRITOS!N179</f>
        <v>PRIMEROS AUXILIOS</v>
      </c>
      <c r="B179" s="13" t="str">
        <f t="shared" si="4"/>
        <v>https://centrodecapacitaciondelsur.com/primeros-auxilios-</v>
      </c>
      <c r="C179" s="21">
        <f>INSCRITOS!B179</f>
        <v>12997881</v>
      </c>
      <c r="D179" t="str">
        <f t="shared" si="5"/>
        <v>https://centrodecapacitaciondelsur.com/primeros-auxilios-12997881/</v>
      </c>
    </row>
    <row r="180" spans="1:4" ht="60" customHeight="1" x14ac:dyDescent="0.25">
      <c r="A180" s="21" t="str">
        <f>INSCRITOS!N180</f>
        <v>PRIMEROS AUXILIOS</v>
      </c>
      <c r="B180" s="13" t="str">
        <f t="shared" si="4"/>
        <v>https://centrodecapacitaciondelsur.com/primeros-auxilios-</v>
      </c>
      <c r="C180" s="21">
        <f>INSCRITOS!B180</f>
        <v>12748338</v>
      </c>
      <c r="D180" t="str">
        <f t="shared" si="5"/>
        <v>https://centrodecapacitaciondelsur.com/primeros-auxilios-12748338/</v>
      </c>
    </row>
    <row r="181" spans="1:4" ht="60" customHeight="1" x14ac:dyDescent="0.25">
      <c r="A181" s="21" t="str">
        <f>INSCRITOS!N181</f>
        <v>PRIMEROS AUXILIOS</v>
      </c>
      <c r="B181" s="13" t="str">
        <f t="shared" si="4"/>
        <v>https://centrodecapacitaciondelsur.com/primeros-auxilios-</v>
      </c>
      <c r="C181" s="21">
        <f>INSCRITOS!B181</f>
        <v>1085323959</v>
      </c>
      <c r="D181" t="str">
        <f t="shared" si="5"/>
        <v>https://centrodecapacitaciondelsur.com/primeros-auxilios-1085323959/</v>
      </c>
    </row>
    <row r="182" spans="1:4" ht="60" customHeight="1" x14ac:dyDescent="0.25">
      <c r="A182" s="21" t="str">
        <f>INSCRITOS!N182</f>
        <v>PRIMEROS AUXILIOS</v>
      </c>
      <c r="B182" s="13" t="str">
        <f t="shared" si="4"/>
        <v>https://centrodecapacitaciondelsur.com/primeros-auxilios-</v>
      </c>
      <c r="C182" s="21">
        <f>INSCRITOS!B182</f>
        <v>1085288310</v>
      </c>
      <c r="D182" t="str">
        <f t="shared" si="5"/>
        <v>https://centrodecapacitaciondelsur.com/primeros-auxilios-1085288310/</v>
      </c>
    </row>
    <row r="183" spans="1:4" ht="60" customHeight="1" x14ac:dyDescent="0.25">
      <c r="A183" s="21" t="str">
        <f>INSCRITOS!N183</f>
        <v>BLS</v>
      </c>
      <c r="B183" s="13" t="str">
        <f t="shared" si="4"/>
        <v>https://centrodecapacitaciondelsur.com/soporte-basico-de-vida-</v>
      </c>
      <c r="C183" s="21">
        <f>INSCRITOS!B183</f>
        <v>1085345264</v>
      </c>
      <c r="D183" t="str">
        <f t="shared" si="5"/>
        <v>https://centrodecapacitaciondelsur.com/soporte-basico-de-vida-1085345264/</v>
      </c>
    </row>
    <row r="184" spans="1:4" ht="60" customHeight="1" x14ac:dyDescent="0.25">
      <c r="A184" s="21" t="str">
        <f>INSCRITOS!N184</f>
        <v>VIOLENCIA SEXUAL</v>
      </c>
      <c r="B184" s="13" t="str">
        <f t="shared" si="4"/>
        <v>https://centrodecapacitaciondelsur.com/violencia-sexual-</v>
      </c>
      <c r="C184" s="21">
        <f>INSCRITOS!B184</f>
        <v>1085345264</v>
      </c>
      <c r="D184" t="str">
        <f t="shared" si="5"/>
        <v>https://centrodecapacitaciondelsur.com/violencia-sexual-1085345264/</v>
      </c>
    </row>
    <row r="185" spans="1:4" ht="60" customHeight="1" x14ac:dyDescent="0.25">
      <c r="A185" s="21" t="str">
        <f>INSCRITOS!N185</f>
        <v>PALIATIVOS</v>
      </c>
      <c r="B185" s="13" t="str">
        <f t="shared" si="4"/>
        <v>https://centrodecapacitaciondelsur.com/manejo-del-dolor-y-cuidados-paliativos-</v>
      </c>
      <c r="C185" s="21">
        <f>INSCRITOS!B185</f>
        <v>1085345264</v>
      </c>
      <c r="D185" t="str">
        <f t="shared" si="5"/>
        <v>https://centrodecapacitaciondelsur.com/manejo-del-dolor-y-cuidados-paliativos-1085345264/</v>
      </c>
    </row>
    <row r="186" spans="1:4" ht="60" customHeight="1" x14ac:dyDescent="0.25">
      <c r="A186" s="21" t="str">
        <f>INSCRITOS!N186</f>
        <v>DUELO</v>
      </c>
      <c r="B186" s="13" t="str">
        <f t="shared" si="4"/>
        <v>https://centrodecapacitaciondelsur.com/manejo-del-duelo-</v>
      </c>
      <c r="C186" s="21">
        <f>INSCRITOS!B186</f>
        <v>1085345264</v>
      </c>
      <c r="D186" t="str">
        <f t="shared" si="5"/>
        <v>https://centrodecapacitaciondelsur.com/manejo-del-duelo-1085345264/</v>
      </c>
    </row>
    <row r="187" spans="1:4" ht="60" customHeight="1" x14ac:dyDescent="0.25">
      <c r="A187" s="21" t="str">
        <f>INSCRITOS!N187</f>
        <v>ACLS</v>
      </c>
      <c r="B187" s="13" t="str">
        <f t="shared" si="4"/>
        <v>https://centrodecapacitaciondelsur.com/soporte-cardiovascular-avanzado-</v>
      </c>
      <c r="C187" s="21">
        <f>INSCRITOS!B187</f>
        <v>1085299731</v>
      </c>
      <c r="D187" t="str">
        <f t="shared" si="5"/>
        <v>https://centrodecapacitaciondelsur.com/soporte-cardiovascular-avanzado-1085299731/</v>
      </c>
    </row>
    <row r="188" spans="1:4" ht="60" customHeight="1" x14ac:dyDescent="0.25">
      <c r="A188" s="21" t="str">
        <f>INSCRITOS!N188</f>
        <v>DUELO</v>
      </c>
      <c r="B188" s="13" t="str">
        <f t="shared" si="4"/>
        <v>https://centrodecapacitaciondelsur.com/manejo-del-duelo-</v>
      </c>
      <c r="C188" s="21">
        <f>INSCRITOS!B188</f>
        <v>1085299731</v>
      </c>
      <c r="D188" t="str">
        <f t="shared" si="5"/>
        <v>https://centrodecapacitaciondelsur.com/manejo-del-duelo-1085299731/</v>
      </c>
    </row>
    <row r="189" spans="1:4" ht="60" customHeight="1" x14ac:dyDescent="0.25">
      <c r="A189" s="21" t="str">
        <f>INSCRITOS!N189</f>
        <v>QUIMICOS</v>
      </c>
      <c r="B189" s="13" t="str">
        <f t="shared" si="4"/>
        <v>https://centrodecapacitaciondelsur.com/victimas-por-agentes-quimicos-</v>
      </c>
      <c r="C189" s="21">
        <f>INSCRITOS!B189</f>
        <v>1085299731</v>
      </c>
      <c r="D189" t="str">
        <f t="shared" si="5"/>
        <v>https://centrodecapacitaciondelsur.com/victimas-por-agentes-quimicos-1085299731/</v>
      </c>
    </row>
    <row r="190" spans="1:4" ht="60" customHeight="1" x14ac:dyDescent="0.25">
      <c r="A190" s="21" t="str">
        <f>INSCRITOS!N190</f>
        <v>PALIATIVOS</v>
      </c>
      <c r="B190" s="13" t="str">
        <f t="shared" si="4"/>
        <v>https://centrodecapacitaciondelsur.com/manejo-del-dolor-y-cuidados-paliativos-</v>
      </c>
      <c r="C190" s="21">
        <f>INSCRITOS!B190</f>
        <v>1085299731</v>
      </c>
      <c r="D190" t="str">
        <f t="shared" si="5"/>
        <v>https://centrodecapacitaciondelsur.com/manejo-del-dolor-y-cuidados-paliativos-1085299731/</v>
      </c>
    </row>
    <row r="191" spans="1:4" ht="60" customHeight="1" x14ac:dyDescent="0.25">
      <c r="A191" s="21" t="str">
        <f>INSCRITOS!N191</f>
        <v>TOMA DE MUESTRAS</v>
      </c>
      <c r="B191" s="13" t="str">
        <f t="shared" si="4"/>
        <v>https://centrodecapacitaciondelsur.com/toma-de-muestras-y-lab-clinico-</v>
      </c>
      <c r="C191" s="21">
        <f>INSCRITOS!B191</f>
        <v>37013121</v>
      </c>
      <c r="D191" t="str">
        <f t="shared" si="5"/>
        <v>https://centrodecapacitaciondelsur.com/toma-de-muestras-y-lab-clinico-37013121/</v>
      </c>
    </row>
    <row r="192" spans="1:4" ht="60" customHeight="1" x14ac:dyDescent="0.25">
      <c r="A192" s="21" t="str">
        <f>INSCRITOS!N192</f>
        <v>POCT</v>
      </c>
      <c r="B192" s="13" t="str">
        <f t="shared" si="4"/>
        <v>https://centrodecapacitaciondelsur.com/toma-de-muestras-y-lab-clinico-poct-</v>
      </c>
      <c r="C192" s="21">
        <f>INSCRITOS!B192</f>
        <v>1086359222</v>
      </c>
      <c r="D192" t="str">
        <f t="shared" si="5"/>
        <v>https://centrodecapacitaciondelsur.com/toma-de-muestras-y-lab-clinico-poct-1086359222/</v>
      </c>
    </row>
    <row r="193" spans="1:4" ht="60" customHeight="1" x14ac:dyDescent="0.25">
      <c r="A193" s="21" t="str">
        <f>INSCRITOS!N193</f>
        <v>HUMANIZACION</v>
      </c>
      <c r="B193" s="13" t="str">
        <f t="shared" si="4"/>
        <v>https://centrodecapacitaciondelsur.com/humanizacion-</v>
      </c>
      <c r="C193" s="21">
        <f>INSCRITOS!B193</f>
        <v>1086359222</v>
      </c>
      <c r="D193" t="str">
        <f t="shared" si="5"/>
        <v>https://centrodecapacitaciondelsur.com/humanizacion-1086359222/</v>
      </c>
    </row>
    <row r="194" spans="1:4" ht="60" customHeight="1" x14ac:dyDescent="0.25">
      <c r="A194" s="21" t="str">
        <f>INSCRITOS!N194</f>
        <v>PALIATIVOS</v>
      </c>
      <c r="B194" s="13" t="str">
        <f t="shared" si="4"/>
        <v>https://centrodecapacitaciondelsur.com/manejo-del-dolor-y-cuidados-paliativos-</v>
      </c>
      <c r="C194" s="21">
        <f>INSCRITOS!B194</f>
        <v>1086359222</v>
      </c>
      <c r="D194" t="str">
        <f t="shared" si="5"/>
        <v>https://centrodecapacitaciondelsur.com/manejo-del-dolor-y-cuidados-paliativos-1086359222/</v>
      </c>
    </row>
    <row r="195" spans="1:4" ht="60" customHeight="1" x14ac:dyDescent="0.25">
      <c r="A195" s="21" t="str">
        <f>INSCRITOS!N195</f>
        <v>IGUALDAD DE GENERO</v>
      </c>
      <c r="B195" s="13" t="str">
        <f t="shared" ref="B195:B258" si="6">IF(A195=$H$19,"https://centrodecapacitaciondelsur.com/o-v-e-",IF(A195=$H$2,"https://centrodecapacitaciondelsur.com/aph-",IF(A195=$H$3,"https://centrodecapacitaciondelsur.com/manejo-del-duelo-",IF(A195=$H$4,"https://centrodecapacitaciondelsur.com/victimas-por-agentes-quimicos-",IF(A195=$H$5,"https://centrodecapacitaciondelsur.com/primeros-auxilios-",IF(A195=$H$6,"https://centrodecapacitaciondelsur.com/uci-",IF(A195=$H$8,"https://centrodecapacitaciondelsur.com/humanizacion-",IF(A195=$H$11,"https://centrodecapacitaciondelsur.com/soporte-cardiovascular-avanzado-",IF(A195=$H$12,"https://centrodecapacitaciondelsur.com/camillero-",IF(A195=$H$13,"https://centrodecapacitaciondelsur.com/toma-de-muestras-y-lab-clinico-",IF(A195=$H$14,"https://centrodecapacitaciondelsur.com/soporte-basico-de-vida-",IF(A195=$H$15,"https://centrodecapacitaciondelsur.com/violencia-sexual-",IF(A195=$H$17,"https://centrodecapacitaciondelsur.com/aiepi-",IF(A195=$H$18,"https://centrodecapacitaciondelsur.com/adm-medicamentos-canalizacion-inyectologia-",IF(A195=$H$25,"https://centrodecapacitaciondelsur.com/manejo-del-dolor-y-cuidados-paliativos-",IF(A195=$H$26,"https://centrodecapacitaciondelsur.com/toma-de-muestras-y-lab-clinico-poct-",IF(A195=$H$27,"https://centrodecapacitaciondelsur.com/implante-subdermico-",IF(A195=$H$21,"https://centrodecapacitaciondelsur.com/donante-de-organos-",IF(A195=$H$30,"https://centrodecapacitaciondelsur.com/atencion-a-victimas-del-conflicto-armado-",IF(A195=$H$20,"https://centrodecapacitaciondelsur.com/iami-",IF(A195=$H$22,"https://centrodecapacitaciondelsur.com/violencia-de-genero-",IF(A195=$H$23,"https://centrodecapacitaciondelsur.com/igualdad-de-genero-",IF(A195=$H$16,"https://centrodecapacitaciondelsur.com/pai-",IF(A195=$H$31,"https://centrodecapacitaciondelsur.com/manipulacion-de-alimentos-",IF(A195=$H$32,"https://centrodecapacitaciondelsur.com/atencion-a-personas-con-discapacidad-",IF(A195=$H$33,"https://centrodecapacitaciondelsur.com/atencion-al-adulto-mayor-",IF(A195=$H$34,"https://centrodecapacitaciondelsur.com/manejo-defensivo-",IF(A195=$H$35,"https://centrodecapacitaciondelsur.com/soporte-basico-neonatal-",IF(A195=$H$36,"https://centrodecapacitaciondelsur.com/seguridad-del-paciente-")))))))))))))))))))))))))))))</f>
        <v>https://centrodecapacitaciondelsur.com/igualdad-de-genero-</v>
      </c>
      <c r="C195" s="21">
        <f>INSCRITOS!B195</f>
        <v>1085327325</v>
      </c>
      <c r="D195" t="str">
        <f t="shared" ref="D195:D231" si="7">CONCATENATE(B195,C195,"/")</f>
        <v>https://centrodecapacitaciondelsur.com/igualdad-de-genero-1085327325/</v>
      </c>
    </row>
    <row r="196" spans="1:4" ht="60" customHeight="1" x14ac:dyDescent="0.25">
      <c r="A196" s="21" t="str">
        <f>INSCRITOS!N196</f>
        <v>VIOLENCIA SEXUAL</v>
      </c>
      <c r="B196" s="13" t="str">
        <f t="shared" si="6"/>
        <v>https://centrodecapacitaciondelsur.com/violencia-sexual-</v>
      </c>
      <c r="C196" s="21">
        <f>INSCRITOS!B196</f>
        <v>1085327325</v>
      </c>
      <c r="D196" t="str">
        <f t="shared" si="7"/>
        <v>https://centrodecapacitaciondelsur.com/violencia-sexual-1085327325/</v>
      </c>
    </row>
    <row r="197" spans="1:4" ht="60" customHeight="1" x14ac:dyDescent="0.25">
      <c r="A197" s="21" t="str">
        <f>INSCRITOS!N197</f>
        <v>BLS</v>
      </c>
      <c r="B197" s="13" t="str">
        <f t="shared" si="6"/>
        <v>https://centrodecapacitaciondelsur.com/soporte-basico-de-vida-</v>
      </c>
      <c r="C197" s="21">
        <f>INSCRITOS!B197</f>
        <v>1033716880</v>
      </c>
      <c r="D197" t="str">
        <f t="shared" si="7"/>
        <v>https://centrodecapacitaciondelsur.com/soporte-basico-de-vida-1033716880/</v>
      </c>
    </row>
    <row r="198" spans="1:4" ht="60" customHeight="1" x14ac:dyDescent="0.25">
      <c r="A198" s="21" t="str">
        <f>INSCRITOS!N198</f>
        <v>BLS</v>
      </c>
      <c r="B198" s="13" t="str">
        <f t="shared" si="6"/>
        <v>https://centrodecapacitaciondelsur.com/soporte-basico-de-vida-</v>
      </c>
      <c r="C198" s="21">
        <f>INSCRITOS!B198</f>
        <v>87450507</v>
      </c>
      <c r="D198" t="str">
        <f t="shared" si="7"/>
        <v>https://centrodecapacitaciondelsur.com/soporte-basico-de-vida-87450507/</v>
      </c>
    </row>
    <row r="199" spans="1:4" ht="60" customHeight="1" x14ac:dyDescent="0.25">
      <c r="A199" s="21" t="str">
        <f>INSCRITOS!N199</f>
        <v>PRIMEROS AUXILIOS</v>
      </c>
      <c r="B199" s="13" t="str">
        <f t="shared" si="6"/>
        <v>https://centrodecapacitaciondelsur.com/primeros-auxilios-</v>
      </c>
      <c r="C199" s="21">
        <f>INSCRITOS!B199</f>
        <v>87450507</v>
      </c>
      <c r="D199" t="str">
        <f t="shared" si="7"/>
        <v>https://centrodecapacitaciondelsur.com/primeros-auxilios-87450507/</v>
      </c>
    </row>
    <row r="200" spans="1:4" ht="60" customHeight="1" x14ac:dyDescent="0.25">
      <c r="A200" s="21" t="str">
        <f>INSCRITOS!N200</f>
        <v>AIEPI</v>
      </c>
      <c r="B200" s="13" t="str">
        <f t="shared" si="6"/>
        <v>https://centrodecapacitaciondelsur.com/aiepi-</v>
      </c>
      <c r="C200" s="21">
        <f>INSCRITOS!B200</f>
        <v>1085342398</v>
      </c>
      <c r="D200" t="str">
        <f t="shared" si="7"/>
        <v>https://centrodecapacitaciondelsur.com/aiepi-1085342398/</v>
      </c>
    </row>
    <row r="201" spans="1:4" ht="60" customHeight="1" x14ac:dyDescent="0.25">
      <c r="A201" s="21" t="str">
        <f>INSCRITOS!N201</f>
        <v>BLS</v>
      </c>
      <c r="B201" s="13" t="str">
        <f t="shared" si="6"/>
        <v>https://centrodecapacitaciondelsur.com/soporte-basico-de-vida-</v>
      </c>
      <c r="C201" s="21">
        <f>INSCRITOS!B201</f>
        <v>1004193308</v>
      </c>
      <c r="D201" t="str">
        <f t="shared" si="7"/>
        <v>https://centrodecapacitaciondelsur.com/soporte-basico-de-vida-1004193308/</v>
      </c>
    </row>
    <row r="202" spans="1:4" ht="60" customHeight="1" x14ac:dyDescent="0.25">
      <c r="A202" s="21" t="str">
        <f>INSCRITOS!N202</f>
        <v>VIOLENCIA SEXUAL</v>
      </c>
      <c r="B202" s="13" t="str">
        <f t="shared" si="6"/>
        <v>https://centrodecapacitaciondelsur.com/violencia-sexual-</v>
      </c>
      <c r="C202" s="21">
        <f>INSCRITOS!B202</f>
        <v>27168885</v>
      </c>
      <c r="D202" t="str">
        <f t="shared" si="7"/>
        <v>https://centrodecapacitaciondelsur.com/violencia-sexual-27168885/</v>
      </c>
    </row>
    <row r="203" spans="1:4" ht="60" customHeight="1" x14ac:dyDescent="0.25">
      <c r="A203" s="21" t="str">
        <f>INSCRITOS!N203</f>
        <v>TOMA DE MUESTRAS</v>
      </c>
      <c r="B203" s="13" t="str">
        <f t="shared" si="6"/>
        <v>https://centrodecapacitaciondelsur.com/toma-de-muestras-y-lab-clinico-</v>
      </c>
      <c r="C203" s="21">
        <f>INSCRITOS!B203</f>
        <v>1085330304</v>
      </c>
      <c r="D203" t="str">
        <f t="shared" si="7"/>
        <v>https://centrodecapacitaciondelsur.com/toma-de-muestras-y-lab-clinico-1085330304/</v>
      </c>
    </row>
    <row r="204" spans="1:4" ht="60" customHeight="1" x14ac:dyDescent="0.25">
      <c r="A204" s="21" t="str">
        <f>INSCRITOS!N204</f>
        <v>BLS</v>
      </c>
      <c r="B204" s="13" t="str">
        <f t="shared" si="6"/>
        <v>https://centrodecapacitaciondelsur.com/soporte-basico-de-vida-</v>
      </c>
      <c r="C204" s="21">
        <f>INSCRITOS!B204</f>
        <v>1085307288</v>
      </c>
      <c r="D204" t="str">
        <f t="shared" si="7"/>
        <v>https://centrodecapacitaciondelsur.com/soporte-basico-de-vida-1085307288/</v>
      </c>
    </row>
    <row r="205" spans="1:4" ht="60" customHeight="1" x14ac:dyDescent="0.25">
      <c r="A205" s="21" t="str">
        <f>INSCRITOS!N205</f>
        <v>BLS</v>
      </c>
      <c r="B205" s="13" t="str">
        <f t="shared" si="6"/>
        <v>https://centrodecapacitaciondelsur.com/soporte-basico-de-vida-</v>
      </c>
      <c r="C205" s="21">
        <f>INSCRITOS!B205</f>
        <v>1086754309</v>
      </c>
      <c r="D205" t="str">
        <f t="shared" si="7"/>
        <v>https://centrodecapacitaciondelsur.com/soporte-basico-de-vida-1086754309/</v>
      </c>
    </row>
    <row r="206" spans="1:4" ht="60" customHeight="1" x14ac:dyDescent="0.25">
      <c r="A206" s="21" t="str">
        <f>INSCRITOS!N206</f>
        <v>VIOLENCIA SEXUAL</v>
      </c>
      <c r="B206" s="13" t="str">
        <f t="shared" si="6"/>
        <v>https://centrodecapacitaciondelsur.com/violencia-sexual-</v>
      </c>
      <c r="C206" s="21">
        <f>INSCRITOS!B206</f>
        <v>1086754309</v>
      </c>
      <c r="D206" t="str">
        <f t="shared" si="7"/>
        <v>https://centrodecapacitaciondelsur.com/violencia-sexual-1086754309/</v>
      </c>
    </row>
    <row r="207" spans="1:4" ht="60" customHeight="1" x14ac:dyDescent="0.25">
      <c r="A207" s="21" t="str">
        <f>INSCRITOS!N207</f>
        <v>DUELO</v>
      </c>
      <c r="B207" s="13" t="str">
        <f t="shared" si="6"/>
        <v>https://centrodecapacitaciondelsur.com/manejo-del-duelo-</v>
      </c>
      <c r="C207" s="21">
        <f>INSCRITOS!B207</f>
        <v>1086754309</v>
      </c>
      <c r="D207" t="str">
        <f t="shared" si="7"/>
        <v>https://centrodecapacitaciondelsur.com/manejo-del-duelo-1086754309/</v>
      </c>
    </row>
    <row r="208" spans="1:4" ht="60" customHeight="1" x14ac:dyDescent="0.25">
      <c r="A208" s="21" t="str">
        <f>INSCRITOS!N208</f>
        <v>POCT</v>
      </c>
      <c r="B208" s="13" t="str">
        <f t="shared" si="6"/>
        <v>https://centrodecapacitaciondelsur.com/toma-de-muestras-y-lab-clinico-poct-</v>
      </c>
      <c r="C208" s="21">
        <f>INSCRITOS!B208</f>
        <v>1085273465</v>
      </c>
      <c r="D208" t="str">
        <f t="shared" si="7"/>
        <v>https://centrodecapacitaciondelsur.com/toma-de-muestras-y-lab-clinico-poct-1085273465/</v>
      </c>
    </row>
    <row r="209" spans="1:4" ht="60" customHeight="1" x14ac:dyDescent="0.25">
      <c r="A209" s="21" t="str">
        <f>INSCRITOS!N209</f>
        <v>POCT</v>
      </c>
      <c r="B209" s="13" t="str">
        <f t="shared" si="6"/>
        <v>https://centrodecapacitaciondelsur.com/toma-de-muestras-y-lab-clinico-poct-</v>
      </c>
      <c r="C209" s="21">
        <f>INSCRITOS!B209</f>
        <v>1085281731</v>
      </c>
      <c r="D209" t="str">
        <f t="shared" si="7"/>
        <v>https://centrodecapacitaciondelsur.com/toma-de-muestras-y-lab-clinico-poct-1085281731/</v>
      </c>
    </row>
    <row r="210" spans="1:4" ht="60" customHeight="1" x14ac:dyDescent="0.25">
      <c r="A210" s="21" t="str">
        <f>INSCRITOS!N210</f>
        <v>POCT</v>
      </c>
      <c r="B210" s="13" t="str">
        <f t="shared" si="6"/>
        <v>https://centrodecapacitaciondelsur.com/toma-de-muestras-y-lab-clinico-poct-</v>
      </c>
      <c r="C210" s="21">
        <f>INSCRITOS!B210</f>
        <v>1085303363</v>
      </c>
      <c r="D210" t="str">
        <f t="shared" si="7"/>
        <v>https://centrodecapacitaciondelsur.com/toma-de-muestras-y-lab-clinico-poct-1085303363/</v>
      </c>
    </row>
    <row r="211" spans="1:4" ht="60" customHeight="1" x14ac:dyDescent="0.25">
      <c r="A211" s="21" t="str">
        <f>INSCRITOS!N211</f>
        <v>POCT</v>
      </c>
      <c r="B211" s="13" t="str">
        <f t="shared" si="6"/>
        <v>https://centrodecapacitaciondelsur.com/toma-de-muestras-y-lab-clinico-poct-</v>
      </c>
      <c r="C211" s="21">
        <f>INSCRITOS!B211</f>
        <v>1085296543</v>
      </c>
      <c r="D211" t="str">
        <f t="shared" si="7"/>
        <v>https://centrodecapacitaciondelsur.com/toma-de-muestras-y-lab-clinico-poct-1085296543/</v>
      </c>
    </row>
    <row r="212" spans="1:4" ht="60" customHeight="1" x14ac:dyDescent="0.25">
      <c r="A212" s="21" t="str">
        <f>INSCRITOS!N212</f>
        <v>POCT</v>
      </c>
      <c r="B212" s="13" t="str">
        <f t="shared" si="6"/>
        <v>https://centrodecapacitaciondelsur.com/toma-de-muestras-y-lab-clinico-poct-</v>
      </c>
      <c r="C212" s="21">
        <f>INSCRITOS!B212</f>
        <v>1085290684</v>
      </c>
      <c r="D212" t="str">
        <f t="shared" si="7"/>
        <v>https://centrodecapacitaciondelsur.com/toma-de-muestras-y-lab-clinico-poct-1085290684/</v>
      </c>
    </row>
    <row r="213" spans="1:4" ht="60" customHeight="1" x14ac:dyDescent="0.25">
      <c r="A213" s="21" t="str">
        <f>INSCRITOS!N213</f>
        <v>BLS</v>
      </c>
      <c r="B213" s="13" t="str">
        <f t="shared" si="6"/>
        <v>https://centrodecapacitaciondelsur.com/soporte-basico-de-vida-</v>
      </c>
      <c r="C213" s="21">
        <f>INSCRITOS!B213</f>
        <v>27308124</v>
      </c>
      <c r="D213" t="str">
        <f t="shared" si="7"/>
        <v>https://centrodecapacitaciondelsur.com/soporte-basico-de-vida-27308124/</v>
      </c>
    </row>
    <row r="214" spans="1:4" ht="60" customHeight="1" x14ac:dyDescent="0.25">
      <c r="A214" s="21" t="str">
        <f>INSCRITOS!N214</f>
        <v>VIOLENCIA SEXUAL</v>
      </c>
      <c r="B214" s="13" t="str">
        <f t="shared" si="6"/>
        <v>https://centrodecapacitaciondelsur.com/violencia-sexual-</v>
      </c>
      <c r="C214" s="21">
        <f>INSCRITOS!B214</f>
        <v>27308124</v>
      </c>
      <c r="D214" t="str">
        <f t="shared" si="7"/>
        <v>https://centrodecapacitaciondelsur.com/violencia-sexual-27308124/</v>
      </c>
    </row>
    <row r="215" spans="1:4" ht="60" customHeight="1" x14ac:dyDescent="0.25">
      <c r="A215" s="21" t="str">
        <f>INSCRITOS!N215</f>
        <v>DUELO</v>
      </c>
      <c r="B215" s="13" t="str">
        <f t="shared" si="6"/>
        <v>https://centrodecapacitaciondelsur.com/manejo-del-duelo-</v>
      </c>
      <c r="C215" s="21">
        <f>INSCRITOS!B215</f>
        <v>1089030527</v>
      </c>
      <c r="D215" t="str">
        <f t="shared" si="7"/>
        <v>https://centrodecapacitaciondelsur.com/manejo-del-duelo-1089030527/</v>
      </c>
    </row>
    <row r="216" spans="1:4" ht="60" customHeight="1" x14ac:dyDescent="0.25">
      <c r="A216" s="21" t="str">
        <f>INSCRITOS!N216</f>
        <v>VIOLENCIA SEXUAL</v>
      </c>
      <c r="B216" s="13" t="str">
        <f t="shared" si="6"/>
        <v>https://centrodecapacitaciondelsur.com/violencia-sexual-</v>
      </c>
      <c r="C216" s="21">
        <f>INSCRITOS!B216</f>
        <v>36861134</v>
      </c>
      <c r="D216" t="str">
        <f t="shared" si="7"/>
        <v>https://centrodecapacitaciondelsur.com/violencia-sexual-36861134/</v>
      </c>
    </row>
    <row r="217" spans="1:4" ht="60" customHeight="1" x14ac:dyDescent="0.25">
      <c r="A217" s="21" t="str">
        <f>INSCRITOS!N217</f>
        <v>DUELO</v>
      </c>
      <c r="B217" s="13" t="str">
        <f t="shared" si="6"/>
        <v>https://centrodecapacitaciondelsur.com/manejo-del-duelo-</v>
      </c>
      <c r="C217" s="21">
        <f>INSCRITOS!B217</f>
        <v>1084226977</v>
      </c>
      <c r="D217" t="str">
        <f t="shared" si="7"/>
        <v>https://centrodecapacitaciondelsur.com/manejo-del-duelo-1084226977/</v>
      </c>
    </row>
    <row r="218" spans="1:4" ht="60.75" customHeight="1" x14ac:dyDescent="0.25">
      <c r="A218" s="21" t="str">
        <f>INSCRITOS!N218</f>
        <v>QUIMICOS</v>
      </c>
      <c r="B218" s="13" t="str">
        <f t="shared" si="6"/>
        <v>https://centrodecapacitaciondelsur.com/victimas-por-agentes-quimicos-</v>
      </c>
      <c r="C218" s="21">
        <f>INSCRITOS!B218</f>
        <v>1084226977</v>
      </c>
      <c r="D218" t="str">
        <f t="shared" si="7"/>
        <v>https://centrodecapacitaciondelsur.com/victimas-por-agentes-quimicos-1084226977/</v>
      </c>
    </row>
    <row r="219" spans="1:4" ht="60.75" customHeight="1" x14ac:dyDescent="0.25">
      <c r="A219" s="21" t="str">
        <f>INSCRITOS!N219</f>
        <v>QUIMICOS</v>
      </c>
      <c r="B219" s="13" t="str">
        <f t="shared" si="6"/>
        <v>https://centrodecapacitaciondelsur.com/victimas-por-agentes-quimicos-</v>
      </c>
      <c r="C219" s="21">
        <f>INSCRITOS!B219</f>
        <v>1084226634</v>
      </c>
      <c r="D219" t="str">
        <f t="shared" si="7"/>
        <v>https://centrodecapacitaciondelsur.com/victimas-por-agentes-quimicos-1084226634/</v>
      </c>
    </row>
    <row r="220" spans="1:4" ht="60.75" customHeight="1" x14ac:dyDescent="0.25">
      <c r="A220" s="21" t="str">
        <f>INSCRITOS!N220</f>
        <v>VIOLENCIA SEXUAL</v>
      </c>
      <c r="B220" s="13" t="str">
        <f t="shared" si="6"/>
        <v>https://centrodecapacitaciondelsur.com/violencia-sexual-</v>
      </c>
      <c r="C220" s="21">
        <f>INSCRITOS!B220</f>
        <v>1084226634</v>
      </c>
      <c r="D220" t="str">
        <f t="shared" si="7"/>
        <v>https://centrodecapacitaciondelsur.com/violencia-sexual-1084226634/</v>
      </c>
    </row>
    <row r="221" spans="1:4" ht="60.75" customHeight="1" x14ac:dyDescent="0.25">
      <c r="A221" s="21" t="str">
        <f>INSCRITOS!N221</f>
        <v>DUELO</v>
      </c>
      <c r="B221" s="13" t="str">
        <f t="shared" si="6"/>
        <v>https://centrodecapacitaciondelsur.com/manejo-del-duelo-</v>
      </c>
      <c r="C221" s="21">
        <f>INSCRITOS!B221</f>
        <v>1084226634</v>
      </c>
      <c r="D221" t="str">
        <f t="shared" si="7"/>
        <v>https://centrodecapacitaciondelsur.com/manejo-del-duelo-1084226634/</v>
      </c>
    </row>
    <row r="222" spans="1:4" ht="60.75" customHeight="1" x14ac:dyDescent="0.25">
      <c r="A222" s="21" t="str">
        <f>INSCRITOS!N222</f>
        <v>BLS</v>
      </c>
      <c r="B222" s="13" t="str">
        <f t="shared" si="6"/>
        <v>https://centrodecapacitaciondelsur.com/soporte-basico-de-vida-</v>
      </c>
      <c r="C222" s="21">
        <f>INSCRITOS!B222</f>
        <v>1084226634</v>
      </c>
      <c r="D222" t="str">
        <f t="shared" si="7"/>
        <v>https://centrodecapacitaciondelsur.com/soporte-basico-de-vida-1084226634/</v>
      </c>
    </row>
    <row r="223" spans="1:4" ht="60.75" customHeight="1" x14ac:dyDescent="0.25">
      <c r="A223" s="21" t="str">
        <f>INSCRITOS!N223</f>
        <v>ACLS</v>
      </c>
      <c r="B223" s="13" t="str">
        <f t="shared" si="6"/>
        <v>https://centrodecapacitaciondelsur.com/soporte-cardiovascular-avanzado-</v>
      </c>
      <c r="C223" s="21">
        <f>INSCRITOS!B223</f>
        <v>12983912</v>
      </c>
      <c r="D223" t="str">
        <f t="shared" si="7"/>
        <v>https://centrodecapacitaciondelsur.com/soporte-cardiovascular-avanzado-12983912/</v>
      </c>
    </row>
    <row r="224" spans="1:4" ht="60.75" customHeight="1" x14ac:dyDescent="0.25">
      <c r="A224" s="21" t="str">
        <f>INSCRITOS!N224</f>
        <v>VIOLENCIA SEXUAL</v>
      </c>
      <c r="B224" s="13" t="str">
        <f t="shared" si="6"/>
        <v>https://centrodecapacitaciondelsur.com/violencia-sexual-</v>
      </c>
      <c r="C224" s="21">
        <f>INSCRITOS!B224</f>
        <v>12983912</v>
      </c>
      <c r="D224" t="str">
        <f t="shared" si="7"/>
        <v>https://centrodecapacitaciondelsur.com/violencia-sexual-12983912/</v>
      </c>
    </row>
    <row r="225" spans="1:4" ht="60.75" customHeight="1" x14ac:dyDescent="0.25">
      <c r="A225" s="21" t="str">
        <f>INSCRITOS!N225</f>
        <v>VIOLENCIA SEXUAL</v>
      </c>
      <c r="B225" s="13" t="str">
        <f t="shared" si="6"/>
        <v>https://centrodecapacitaciondelsur.com/violencia-sexual-</v>
      </c>
      <c r="C225" s="21">
        <f>INSCRITOS!B225</f>
        <v>1004541003</v>
      </c>
      <c r="D225" t="str">
        <f t="shared" si="7"/>
        <v>https://centrodecapacitaciondelsur.com/violencia-sexual-1004541003/</v>
      </c>
    </row>
    <row r="226" spans="1:4" ht="60.75" customHeight="1" x14ac:dyDescent="0.25">
      <c r="A226" s="21" t="str">
        <f>INSCRITOS!N226</f>
        <v>QUIMICOS</v>
      </c>
      <c r="B226" s="13" t="str">
        <f t="shared" si="6"/>
        <v>https://centrodecapacitaciondelsur.com/victimas-por-agentes-quimicos-</v>
      </c>
      <c r="C226" s="21">
        <f>INSCRITOS!B226</f>
        <v>1004541003</v>
      </c>
      <c r="D226" t="str">
        <f t="shared" si="7"/>
        <v>https://centrodecapacitaciondelsur.com/victimas-por-agentes-quimicos-1004541003/</v>
      </c>
    </row>
    <row r="227" spans="1:4" ht="72.75" customHeight="1" x14ac:dyDescent="0.25">
      <c r="A227" s="21" t="str">
        <f>INSCRITOS!N227</f>
        <v>DUELO</v>
      </c>
      <c r="B227" s="13" t="str">
        <f t="shared" si="6"/>
        <v>https://centrodecapacitaciondelsur.com/manejo-del-duelo-</v>
      </c>
      <c r="C227" s="21">
        <f>INSCRITOS!B227</f>
        <v>1004541003</v>
      </c>
      <c r="D227" t="str">
        <f t="shared" si="7"/>
        <v>https://centrodecapacitaciondelsur.com/manejo-del-duelo-1004541003/</v>
      </c>
    </row>
    <row r="228" spans="1:4" ht="72.75" customHeight="1" x14ac:dyDescent="0.25">
      <c r="A228" s="21" t="str">
        <f>INSCRITOS!N228</f>
        <v>PALIATIVOS</v>
      </c>
      <c r="B228" s="13" t="str">
        <f t="shared" si="6"/>
        <v>https://centrodecapacitaciondelsur.com/manejo-del-dolor-y-cuidados-paliativos-</v>
      </c>
      <c r="C228" s="21">
        <f>INSCRITOS!B228</f>
        <v>1004541003</v>
      </c>
      <c r="D228" t="str">
        <f t="shared" si="7"/>
        <v>https://centrodecapacitaciondelsur.com/manejo-del-dolor-y-cuidados-paliativos-1004541003/</v>
      </c>
    </row>
    <row r="229" spans="1:4" ht="72.75" customHeight="1" x14ac:dyDescent="0.25">
      <c r="A229" s="21" t="str">
        <f>INSCRITOS!N229</f>
        <v>HUMANIZACION</v>
      </c>
      <c r="B229" s="13" t="str">
        <f t="shared" si="6"/>
        <v>https://centrodecapacitaciondelsur.com/humanizacion-</v>
      </c>
      <c r="C229" s="21">
        <f>INSCRITOS!B229</f>
        <v>1004541003</v>
      </c>
      <c r="D229" t="str">
        <f t="shared" si="7"/>
        <v>https://centrodecapacitaciondelsur.com/humanizacion-1004541003/</v>
      </c>
    </row>
    <row r="230" spans="1:4" ht="72.75" customHeight="1" x14ac:dyDescent="0.25">
      <c r="A230" s="21" t="str">
        <f>INSCRITOS!N230</f>
        <v>DONANTE</v>
      </c>
      <c r="B230" s="13" t="str">
        <f t="shared" si="6"/>
        <v>https://centrodecapacitaciondelsur.com/donante-de-organos-</v>
      </c>
      <c r="C230" s="21">
        <f>INSCRITOS!B230</f>
        <v>1004541003</v>
      </c>
      <c r="D230" t="str">
        <f t="shared" si="7"/>
        <v>https://centrodecapacitaciondelsur.com/donante-de-organos-1004541003/</v>
      </c>
    </row>
    <row r="231" spans="1:4" ht="72.75" customHeight="1" x14ac:dyDescent="0.25">
      <c r="A231" s="21" t="str">
        <f>INSCRITOS!N231</f>
        <v>TOMA DE MUESTRAS</v>
      </c>
      <c r="B231" s="13" t="str">
        <f t="shared" si="6"/>
        <v>https://centrodecapacitaciondelsur.com/toma-de-muestras-y-lab-clinico-</v>
      </c>
      <c r="C231" s="21">
        <f>INSCRITOS!B231</f>
        <v>27332829</v>
      </c>
      <c r="D231" t="str">
        <f t="shared" si="7"/>
        <v>https://centrodecapacitaciondelsur.com/toma-de-muestras-y-lab-clinico-27332829/</v>
      </c>
    </row>
    <row r="232" spans="1:4" ht="72.75" customHeight="1" x14ac:dyDescent="0.25">
      <c r="A232" s="21" t="str">
        <f>INSCRITOS!N232</f>
        <v>BLS</v>
      </c>
      <c r="B232" s="13" t="str">
        <f t="shared" si="6"/>
        <v>https://centrodecapacitaciondelsur.com/soporte-basico-de-vida-</v>
      </c>
      <c r="C232" s="21">
        <f>INSCRITOS!B232</f>
        <v>1010137978</v>
      </c>
      <c r="D232" t="str">
        <f t="shared" ref="D232:D260" si="8">CONCATENATE(B232,C232,"/")</f>
        <v>https://centrodecapacitaciondelsur.com/soporte-basico-de-vida-1010137978/</v>
      </c>
    </row>
    <row r="233" spans="1:4" ht="72.75" customHeight="1" x14ac:dyDescent="0.25">
      <c r="A233" s="21" t="str">
        <f>INSCRITOS!N233</f>
        <v>ACLS</v>
      </c>
      <c r="B233" s="13" t="str">
        <f t="shared" si="6"/>
        <v>https://centrodecapacitaciondelsur.com/soporte-cardiovascular-avanzado-</v>
      </c>
      <c r="C233" s="21">
        <f>INSCRITOS!B233</f>
        <v>1085244378</v>
      </c>
      <c r="D233" t="str">
        <f t="shared" si="8"/>
        <v>https://centrodecapacitaciondelsur.com/soporte-cardiovascular-avanzado-1085244378/</v>
      </c>
    </row>
    <row r="234" spans="1:4" ht="72.75" customHeight="1" x14ac:dyDescent="0.25">
      <c r="A234" s="21" t="str">
        <f>INSCRITOS!N234</f>
        <v>BLS</v>
      </c>
      <c r="B234" s="13" t="str">
        <f t="shared" si="6"/>
        <v>https://centrodecapacitaciondelsur.com/soporte-basico-de-vida-</v>
      </c>
      <c r="C234" s="21">
        <f>INSCRITOS!B234</f>
        <v>1085244378</v>
      </c>
      <c r="D234" t="str">
        <f t="shared" si="8"/>
        <v>https://centrodecapacitaciondelsur.com/soporte-basico-de-vida-1085244378/</v>
      </c>
    </row>
    <row r="235" spans="1:4" ht="72.75" customHeight="1" x14ac:dyDescent="0.25">
      <c r="A235" s="21" t="str">
        <f>INSCRITOS!N235</f>
        <v>PALIATIVOS</v>
      </c>
      <c r="B235" s="13" t="str">
        <f t="shared" si="6"/>
        <v>https://centrodecapacitaciondelsur.com/manejo-del-dolor-y-cuidados-paliativos-</v>
      </c>
      <c r="C235" s="21">
        <f>INSCRITOS!B235</f>
        <v>12962212</v>
      </c>
      <c r="D235" t="str">
        <f t="shared" si="8"/>
        <v>https://centrodecapacitaciondelsur.com/manejo-del-dolor-y-cuidados-paliativos-12962212/</v>
      </c>
    </row>
    <row r="236" spans="1:4" ht="72.75" customHeight="1" x14ac:dyDescent="0.25">
      <c r="A236" s="21" t="str">
        <f>INSCRITOS!N236</f>
        <v>DUELO</v>
      </c>
      <c r="B236" s="13" t="str">
        <f t="shared" si="6"/>
        <v>https://centrodecapacitaciondelsur.com/manejo-del-duelo-</v>
      </c>
      <c r="C236" s="21">
        <f>INSCRITOS!B236</f>
        <v>12962212</v>
      </c>
      <c r="D236" t="str">
        <f t="shared" si="8"/>
        <v>https://centrodecapacitaciondelsur.com/manejo-del-duelo-12962212/</v>
      </c>
    </row>
    <row r="237" spans="1:4" ht="72.75" customHeight="1" x14ac:dyDescent="0.25">
      <c r="A237" s="21" t="str">
        <f>INSCRITOS!N237</f>
        <v>VIOLENCIA SEXUAL</v>
      </c>
      <c r="B237" s="13" t="str">
        <f t="shared" si="6"/>
        <v>https://centrodecapacitaciondelsur.com/violencia-sexual-</v>
      </c>
      <c r="C237" s="21">
        <f>INSCRITOS!B237</f>
        <v>12962212</v>
      </c>
      <c r="D237" t="str">
        <f t="shared" si="8"/>
        <v>https://centrodecapacitaciondelsur.com/violencia-sexual-12962212/</v>
      </c>
    </row>
    <row r="238" spans="1:4" ht="72.75" customHeight="1" x14ac:dyDescent="0.25">
      <c r="A238" s="21" t="str">
        <f>INSCRITOS!N238</f>
        <v>ACLS</v>
      </c>
      <c r="B238" s="13" t="str">
        <f t="shared" si="6"/>
        <v>https://centrodecapacitaciondelsur.com/soporte-cardiovascular-avanzado-</v>
      </c>
      <c r="C238" s="21">
        <f>INSCRITOS!B238</f>
        <v>12962212</v>
      </c>
      <c r="D238" t="str">
        <f t="shared" si="8"/>
        <v>https://centrodecapacitaciondelsur.com/soporte-cardiovascular-avanzado-12962212/</v>
      </c>
    </row>
    <row r="239" spans="1:4" ht="72.75" customHeight="1" x14ac:dyDescent="0.25">
      <c r="A239" s="21" t="str">
        <f>INSCRITOS!N239</f>
        <v>POCT</v>
      </c>
      <c r="B239" s="13" t="str">
        <f t="shared" si="6"/>
        <v>https://centrodecapacitaciondelsur.com/toma-de-muestras-y-lab-clinico-poct-</v>
      </c>
      <c r="C239" s="21">
        <f>INSCRITOS!B239</f>
        <v>1085284105</v>
      </c>
      <c r="D239" t="str">
        <f t="shared" si="8"/>
        <v>https://centrodecapacitaciondelsur.com/toma-de-muestras-y-lab-clinico-poct-1085284105/</v>
      </c>
    </row>
    <row r="240" spans="1:4" ht="72.75" customHeight="1" x14ac:dyDescent="0.25">
      <c r="A240" s="21" t="str">
        <f>INSCRITOS!N240</f>
        <v>DUELO</v>
      </c>
      <c r="B240" s="13" t="str">
        <f t="shared" si="6"/>
        <v>https://centrodecapacitaciondelsur.com/manejo-del-duelo-</v>
      </c>
      <c r="C240" s="21">
        <f>INSCRITOS!B240</f>
        <v>1084848011</v>
      </c>
      <c r="D240" t="str">
        <f t="shared" si="8"/>
        <v>https://centrodecapacitaciondelsur.com/manejo-del-duelo-1084848011/</v>
      </c>
    </row>
    <row r="241" spans="1:4" ht="72.75" customHeight="1" x14ac:dyDescent="0.25">
      <c r="A241" s="21" t="str">
        <f>INSCRITOS!N241</f>
        <v>QUIMICOS</v>
      </c>
      <c r="B241" s="13" t="str">
        <f t="shared" si="6"/>
        <v>https://centrodecapacitaciondelsur.com/victimas-por-agentes-quimicos-</v>
      </c>
      <c r="C241" s="21">
        <f>INSCRITOS!B241</f>
        <v>1084848011</v>
      </c>
      <c r="D241" t="str">
        <f t="shared" si="8"/>
        <v>https://centrodecapacitaciondelsur.com/victimas-por-agentes-quimicos-1084848011/</v>
      </c>
    </row>
    <row r="242" spans="1:4" ht="72.75" customHeight="1" x14ac:dyDescent="0.25">
      <c r="A242" s="21" t="str">
        <f>INSCRITOS!N242</f>
        <v>TOMA DE MUESTRAS</v>
      </c>
      <c r="B242" s="13" t="str">
        <f t="shared" si="6"/>
        <v>https://centrodecapacitaciondelsur.com/toma-de-muestras-y-lab-clinico-</v>
      </c>
      <c r="C242" s="21">
        <f>INSCRITOS!B242</f>
        <v>1084848011</v>
      </c>
      <c r="D242" t="str">
        <f t="shared" si="8"/>
        <v>https://centrodecapacitaciondelsur.com/toma-de-muestras-y-lab-clinico-1084848011/</v>
      </c>
    </row>
    <row r="243" spans="1:4" ht="72.75" customHeight="1" x14ac:dyDescent="0.25">
      <c r="A243" s="21" t="str">
        <f>INSCRITOS!N243</f>
        <v>BLS</v>
      </c>
      <c r="B243" s="13" t="str">
        <f t="shared" si="6"/>
        <v>https://centrodecapacitaciondelsur.com/soporte-basico-de-vida-</v>
      </c>
      <c r="C243" s="21">
        <f>INSCRITOS!B243</f>
        <v>1084848011</v>
      </c>
      <c r="D243" t="str">
        <f t="shared" si="8"/>
        <v>https://centrodecapacitaciondelsur.com/soporte-basico-de-vida-1084848011/</v>
      </c>
    </row>
    <row r="244" spans="1:4" ht="72.75" customHeight="1" x14ac:dyDescent="0.25">
      <c r="A244" s="21" t="str">
        <f>INSCRITOS!N244</f>
        <v>VIOLENCIA SEXUAL</v>
      </c>
      <c r="B244" s="13" t="str">
        <f t="shared" si="6"/>
        <v>https://centrodecapacitaciondelsur.com/violencia-sexual-</v>
      </c>
      <c r="C244" s="21">
        <f>INSCRITOS!B244</f>
        <v>87217580</v>
      </c>
      <c r="D244" t="str">
        <f t="shared" si="8"/>
        <v>https://centrodecapacitaciondelsur.com/violencia-sexual-87217580/</v>
      </c>
    </row>
    <row r="245" spans="1:4" ht="72.75" customHeight="1" x14ac:dyDescent="0.25">
      <c r="A245" s="21" t="str">
        <f>INSCRITOS!N245</f>
        <v>QUIMICOS</v>
      </c>
      <c r="B245" s="13" t="str">
        <f t="shared" si="6"/>
        <v>https://centrodecapacitaciondelsur.com/victimas-por-agentes-quimicos-</v>
      </c>
      <c r="C245" s="21">
        <f>INSCRITOS!B245</f>
        <v>87217580</v>
      </c>
      <c r="D245" t="str">
        <f t="shared" si="8"/>
        <v>https://centrodecapacitaciondelsur.com/victimas-por-agentes-quimicos-87217580/</v>
      </c>
    </row>
    <row r="246" spans="1:4" ht="72.75" customHeight="1" x14ac:dyDescent="0.25">
      <c r="A246" s="21" t="str">
        <f>INSCRITOS!N246</f>
        <v>ACLS</v>
      </c>
      <c r="B246" s="13" t="str">
        <f t="shared" si="6"/>
        <v>https://centrodecapacitaciondelsur.com/soporte-cardiovascular-avanzado-</v>
      </c>
      <c r="C246" s="21">
        <f>INSCRITOS!B246</f>
        <v>1086223377</v>
      </c>
      <c r="D246" t="str">
        <f t="shared" si="8"/>
        <v>https://centrodecapacitaciondelsur.com/soporte-cardiovascular-avanzado-1086223377/</v>
      </c>
    </row>
    <row r="247" spans="1:4" ht="72.75" customHeight="1" x14ac:dyDescent="0.25">
      <c r="A247" s="21" t="str">
        <f>INSCRITOS!N247</f>
        <v>VIOLENCIA SEXUAL</v>
      </c>
      <c r="B247" s="13" t="str">
        <f t="shared" si="6"/>
        <v>https://centrodecapacitaciondelsur.com/violencia-sexual-</v>
      </c>
      <c r="C247" s="21">
        <f>INSCRITOS!B247</f>
        <v>1086223377</v>
      </c>
      <c r="D247" t="str">
        <f t="shared" si="8"/>
        <v>https://centrodecapacitaciondelsur.com/violencia-sexual-1086223377/</v>
      </c>
    </row>
    <row r="248" spans="1:4" ht="72.75" customHeight="1" x14ac:dyDescent="0.25">
      <c r="A248" s="21" t="str">
        <f>INSCRITOS!N248</f>
        <v>HUMANIZACION</v>
      </c>
      <c r="B248" s="13" t="str">
        <f t="shared" si="6"/>
        <v>https://centrodecapacitaciondelsur.com/humanizacion-</v>
      </c>
      <c r="C248" s="21">
        <f>INSCRITOS!B248</f>
        <v>1086223377</v>
      </c>
      <c r="D248" t="str">
        <f t="shared" si="8"/>
        <v>https://centrodecapacitaciondelsur.com/humanizacion-1086223377/</v>
      </c>
    </row>
    <row r="249" spans="1:4" ht="72.75" customHeight="1" x14ac:dyDescent="0.25">
      <c r="A249" s="21" t="str">
        <f>INSCRITOS!N249</f>
        <v>PACIENTE</v>
      </c>
      <c r="B249" s="13" t="str">
        <f t="shared" si="6"/>
        <v>https://centrodecapacitaciondelsur.com/seguridad-del-paciente-</v>
      </c>
      <c r="C249" s="21">
        <f>INSCRITOS!B249</f>
        <v>1086223377</v>
      </c>
      <c r="D249" t="str">
        <f t="shared" si="8"/>
        <v>https://centrodecapacitaciondelsur.com/seguridad-del-paciente-1086223377/</v>
      </c>
    </row>
    <row r="250" spans="1:4" ht="72.75" customHeight="1" x14ac:dyDescent="0.25">
      <c r="A250" s="21" t="str">
        <f>INSCRITOS!N250</f>
        <v>DUELO</v>
      </c>
      <c r="B250" s="13" t="str">
        <f t="shared" si="6"/>
        <v>https://centrodecapacitaciondelsur.com/manejo-del-duelo-</v>
      </c>
      <c r="C250" s="21">
        <f>INSCRITOS!B250</f>
        <v>1087960230</v>
      </c>
      <c r="D250" t="str">
        <f t="shared" si="8"/>
        <v>https://centrodecapacitaciondelsur.com/manejo-del-duelo-1087960230/</v>
      </c>
    </row>
    <row r="251" spans="1:4" ht="72.75" customHeight="1" x14ac:dyDescent="0.25">
      <c r="A251" s="21" t="str">
        <f>INSCRITOS!N251</f>
        <v>HUMANIZACION</v>
      </c>
      <c r="B251" s="13" t="str">
        <f t="shared" si="6"/>
        <v>https://centrodecapacitaciondelsur.com/humanizacion-</v>
      </c>
      <c r="C251" s="21">
        <f>INSCRITOS!B251</f>
        <v>1086104848</v>
      </c>
      <c r="D251" t="str">
        <f t="shared" ref="D251" si="9">CONCATENATE(B251,C251,"/")</f>
        <v>https://centrodecapacitaciondelsur.com/humanizacion-1086104848/</v>
      </c>
    </row>
    <row r="252" spans="1:4" ht="72.75" customHeight="1" x14ac:dyDescent="0.25">
      <c r="A252" s="21" t="str">
        <f>INSCRITOS!N252</f>
        <v>VIOLENCIA SEXUAL</v>
      </c>
      <c r="B252" s="13" t="str">
        <f t="shared" ref="B252:B253" si="10">IF(A252=$H$19,"https://centrodecapacitaciondelsur.com/o-v-e-",IF(A252=$H$2,"https://centrodecapacitaciondelsur.com/aph-",IF(A252=$H$3,"https://centrodecapacitaciondelsur.com/manejo-del-duelo-",IF(A252=$H$4,"https://centrodecapacitaciondelsur.com/victimas-por-agentes-quimicos-",IF(A252=$H$5,"https://centrodecapacitaciondelsur.com/primeros-auxilios-",IF(A252=$H$6,"https://centrodecapacitaciondelsur.com/uci-",IF(A252=$H$8,"https://centrodecapacitaciondelsur.com/humanizacion-",IF(A252=$H$11,"https://centrodecapacitaciondelsur.com/soporte-cardiovascular-avanzado-",IF(A252=$H$12,"https://centrodecapacitaciondelsur.com/camillero-",IF(A252=$H$13,"https://centrodecapacitaciondelsur.com/toma-de-muestras-y-lab-clinico-",IF(A252=$H$14,"https://centrodecapacitaciondelsur.com/soporte-basico-de-vida-",IF(A252=$H$15,"https://centrodecapacitaciondelsur.com/violencia-sexual-",IF(A252=$H$17,"https://centrodecapacitaciondelsur.com/aiepi-",IF(A252=$H$18,"https://centrodecapacitaciondelsur.com/adm-medicamentos-canalizacion-inyectologia-",IF(A252=$H$25,"https://centrodecapacitaciondelsur.com/manejo-del-dolor-y-cuidados-paliativos-",IF(A252=$H$26,"https://centrodecapacitaciondelsur.com/toma-de-muestras-y-lab-clinico-poct-",IF(A252=$H$27,"https://centrodecapacitaciondelsur.com/implante-subdermico-",IF(A252=$H$21,"https://centrodecapacitaciondelsur.com/donante-de-organos-",IF(A252=$H$30,"https://centrodecapacitaciondelsur.com/atencion-a-victimas-del-conflicto-armado-",IF(A252=$H$20,"https://centrodecapacitaciondelsur.com/iami-",IF(A252=$H$22,"https://centrodecapacitaciondelsur.com/violencia-de-genero-",IF(A252=$H$23,"https://centrodecapacitaciondelsur.com/igualdad-de-genero-",IF(A252=$H$16,"https://centrodecapacitaciondelsur.com/pai-",IF(A252=$H$31,"https://centrodecapacitaciondelsur.com/manipulacion-de-alimentos-",IF(A252=$H$32,"https://centrodecapacitaciondelsur.com/atencion-a-personas-con-discapacidad-",IF(A252=$H$33,"https://centrodecapacitaciondelsur.com/atencion-al-adulto-mayor-",IF(A252=$H$34,"https://centrodecapacitaciondelsur.com/manejo-defensivo-",IF(A252=$H$35,"https://centrodecapacitaciondelsur.com/soporte-basico-neonatal-",IF(A252=$H$36,"https://centrodecapacitaciondelsur.com/seguridad-del-paciente-")))))))))))))))))))))))))))))</f>
        <v>https://centrodecapacitaciondelsur.com/violencia-sexual-</v>
      </c>
      <c r="C252" s="21">
        <f>INSCRITOS!B252</f>
        <v>1085281101</v>
      </c>
      <c r="D252" t="str">
        <f t="shared" ref="D252:D253" si="11">CONCATENATE(B252,C252,"/")</f>
        <v>https://centrodecapacitaciondelsur.com/violencia-sexual-1085281101/</v>
      </c>
    </row>
    <row r="253" spans="1:4" ht="72.75" customHeight="1" x14ac:dyDescent="0.25">
      <c r="A253" s="21" t="str">
        <f>INSCRITOS!N253</f>
        <v>VIOLENCIA SEXUAL</v>
      </c>
      <c r="B253" s="13" t="str">
        <f t="shared" si="10"/>
        <v>https://centrodecapacitaciondelsur.com/violencia-sexual-</v>
      </c>
      <c r="C253" s="21">
        <f>INSCRITOS!B253</f>
        <v>1087489794</v>
      </c>
      <c r="D253" t="str">
        <f t="shared" si="11"/>
        <v>https://centrodecapacitaciondelsur.com/violencia-sexual-1087489794/</v>
      </c>
    </row>
    <row r="254" spans="1:4" ht="72.75" customHeight="1" x14ac:dyDescent="0.25">
      <c r="A254" s="21" t="str">
        <f>INSCRITOS!N254</f>
        <v>VIOLENCIA SEXUAL</v>
      </c>
      <c r="B254" s="13" t="str">
        <f t="shared" si="6"/>
        <v>https://centrodecapacitaciondelsur.com/violencia-sexual-</v>
      </c>
      <c r="C254" s="21">
        <f>INSCRITOS!B254</f>
        <v>1130629354</v>
      </c>
      <c r="D254" t="str">
        <f t="shared" ref="D254:D256" si="12">CONCATENATE(B254,C254,"/")</f>
        <v>https://centrodecapacitaciondelsur.com/violencia-sexual-1130629354/</v>
      </c>
    </row>
    <row r="255" spans="1:4" ht="72.75" customHeight="1" x14ac:dyDescent="0.25">
      <c r="A255" s="21" t="str">
        <f>INSCRITOS!N255</f>
        <v>VIOLENCIA SEXUAL</v>
      </c>
      <c r="B255" s="13" t="str">
        <f t="shared" si="6"/>
        <v>https://centrodecapacitaciondelsur.com/violencia-sexual-</v>
      </c>
      <c r="C255" s="21">
        <f>INSCRITOS!B255</f>
        <v>1089598127</v>
      </c>
      <c r="D255" t="str">
        <f t="shared" si="12"/>
        <v>https://centrodecapacitaciondelsur.com/violencia-sexual-1089598127/</v>
      </c>
    </row>
    <row r="256" spans="1:4" ht="72.75" customHeight="1" x14ac:dyDescent="0.25">
      <c r="A256" s="21" t="str">
        <f>INSCRITOS!N256</f>
        <v>PRIMEROS AUXILIOS</v>
      </c>
      <c r="B256" s="13" t="str">
        <f t="shared" si="6"/>
        <v>https://centrodecapacitaciondelsur.com/primeros-auxilios-</v>
      </c>
      <c r="C256" s="21">
        <f>INSCRITOS!B256</f>
        <v>59825386</v>
      </c>
      <c r="D256" t="str">
        <f t="shared" si="12"/>
        <v>https://centrodecapacitaciondelsur.com/primeros-auxilios-59825386/</v>
      </c>
    </row>
    <row r="257" spans="1:4" ht="72.75" customHeight="1" x14ac:dyDescent="0.25">
      <c r="A257" s="21" t="str">
        <f>INSCRITOS!N257</f>
        <v>DUELO</v>
      </c>
      <c r="B257" s="13" t="str">
        <f t="shared" si="6"/>
        <v>https://centrodecapacitaciondelsur.com/manejo-del-duelo-</v>
      </c>
      <c r="C257" s="21">
        <f>INSCRITOS!B257</f>
        <v>27082089</v>
      </c>
      <c r="D257" t="str">
        <f t="shared" ref="D257:D259" si="13">CONCATENATE(B257,C257,"/")</f>
        <v>https://centrodecapacitaciondelsur.com/manejo-del-duelo-27082089/</v>
      </c>
    </row>
    <row r="258" spans="1:4" ht="72.75" customHeight="1" x14ac:dyDescent="0.25">
      <c r="A258" s="21" t="str">
        <f>INSCRITOS!N258</f>
        <v>BLS</v>
      </c>
      <c r="B258" s="13" t="str">
        <f t="shared" si="6"/>
        <v>https://centrodecapacitaciondelsur.com/soporte-basico-de-vida-</v>
      </c>
      <c r="C258" s="21">
        <f>INSCRITOS!B258</f>
        <v>1087424189</v>
      </c>
      <c r="D258" t="str">
        <f t="shared" si="13"/>
        <v>https://centrodecapacitaciondelsur.com/soporte-basico-de-vida-1087424189/</v>
      </c>
    </row>
    <row r="259" spans="1:4" ht="72.75" customHeight="1" x14ac:dyDescent="0.25">
      <c r="A259" s="21" t="str">
        <f>INSCRITOS!N259</f>
        <v>QUIMICOS</v>
      </c>
      <c r="B259" s="13" t="str">
        <f t="shared" ref="B259" si="14">IF(A259=$H$19,"https://centrodecapacitaciondelsur.com/o-v-e-",IF(A259=$H$2,"https://centrodecapacitaciondelsur.com/aph-",IF(A259=$H$3,"https://centrodecapacitaciondelsur.com/manejo-del-duelo-",IF(A259=$H$4,"https://centrodecapacitaciondelsur.com/victimas-por-agentes-quimicos-",IF(A259=$H$5,"https://centrodecapacitaciondelsur.com/primeros-auxilios-",IF(A259=$H$6,"https://centrodecapacitaciondelsur.com/uci-",IF(A259=$H$8,"https://centrodecapacitaciondelsur.com/humanizacion-",IF(A259=$H$11,"https://centrodecapacitaciondelsur.com/soporte-cardiovascular-avanzado-",IF(A259=$H$12,"https://centrodecapacitaciondelsur.com/camillero-",IF(A259=$H$13,"https://centrodecapacitaciondelsur.com/toma-de-muestras-y-lab-clinico-",IF(A259=$H$14,"https://centrodecapacitaciondelsur.com/soporte-basico-de-vida-",IF(A259=$H$15,"https://centrodecapacitaciondelsur.com/violencia-sexual-",IF(A259=$H$17,"https://centrodecapacitaciondelsur.com/aiepi-",IF(A259=$H$18,"https://centrodecapacitaciondelsur.com/adm-medicamentos-canalizacion-inyectologia-",IF(A259=$H$25,"https://centrodecapacitaciondelsur.com/manejo-del-dolor-y-cuidados-paliativos-",IF(A259=$H$26,"https://centrodecapacitaciondelsur.com/toma-de-muestras-y-lab-clinico-poct-",IF(A259=$H$27,"https://centrodecapacitaciondelsur.com/implante-subdermico-",IF(A259=$H$21,"https://centrodecapacitaciondelsur.com/donante-de-organos-",IF(A259=$H$30,"https://centrodecapacitaciondelsur.com/atencion-a-victimas-del-conflicto-armado-",IF(A259=$H$20,"https://centrodecapacitaciondelsur.com/iami-",IF(A259=$H$22,"https://centrodecapacitaciondelsur.com/violencia-de-genero-",IF(A259=$H$23,"https://centrodecapacitaciondelsur.com/igualdad-de-genero-",IF(A259=$H$16,"https://centrodecapacitaciondelsur.com/pai-",IF(A259=$H$31,"https://centrodecapacitaciondelsur.com/manipulacion-de-alimentos-",IF(A259=$H$32,"https://centrodecapacitaciondelsur.com/atencion-a-personas-con-discapacidad-",IF(A259=$H$33,"https://centrodecapacitaciondelsur.com/atencion-al-adulto-mayor-",IF(A259=$H$34,"https://centrodecapacitaciondelsur.com/manejo-defensivo-",IF(A259=$H$35,"https://centrodecapacitaciondelsur.com/soporte-basico-neonatal-",IF(A259=$H$36,"https://centrodecapacitaciondelsur.com/seguridad-del-paciente-")))))))))))))))))))))))))))))</f>
        <v>https://centrodecapacitaciondelsur.com/victimas-por-agentes-quimicos-</v>
      </c>
      <c r="C259" s="21">
        <f>INSCRITOS!B259</f>
        <v>1087424189</v>
      </c>
      <c r="D259" t="str">
        <f t="shared" si="13"/>
        <v>https://centrodecapacitaciondelsur.com/victimas-por-agentes-quimicos-1087424189/</v>
      </c>
    </row>
    <row r="260" spans="1:4" ht="72.75" customHeight="1" x14ac:dyDescent="0.25">
      <c r="A260" s="21" t="str">
        <f>INSCRITOS!N260</f>
        <v>VIOLENCIA SEXUAL</v>
      </c>
      <c r="B260" s="13" t="str">
        <f t="shared" ref="B260" si="15">IF(A260=$H$19,"https://centrodecapacitaciondelsur.com/o-v-e-",IF(A260=$H$2,"https://centrodecapacitaciondelsur.com/aph-",IF(A260=$H$3,"https://centrodecapacitaciondelsur.com/manejo-del-duelo-",IF(A260=$H$4,"https://centrodecapacitaciondelsur.com/victimas-por-agentes-quimicos-",IF(A260=$H$5,"https://centrodecapacitaciondelsur.com/primeros-auxilios-",IF(A260=$H$6,"https://centrodecapacitaciondelsur.com/uci-",IF(A260=$H$8,"https://centrodecapacitaciondelsur.com/humanizacion-",IF(A260=$H$11,"https://centrodecapacitaciondelsur.com/soporte-cardiovascular-avanzado-",IF(A260=$H$12,"https://centrodecapacitaciondelsur.com/camillero-",IF(A260=$H$13,"https://centrodecapacitaciondelsur.com/toma-de-muestras-y-lab-clinico-",IF(A260=$H$14,"https://centrodecapacitaciondelsur.com/soporte-basico-de-vida-",IF(A260=$H$15,"https://centrodecapacitaciondelsur.com/violencia-sexual-",IF(A260=$H$17,"https://centrodecapacitaciondelsur.com/aiepi-",IF(A260=$H$18,"https://centrodecapacitaciondelsur.com/adm-medicamentos-canalizacion-inyectologia-",IF(A260=$H$25,"https://centrodecapacitaciondelsur.com/manejo-del-dolor-y-cuidados-paliativos-",IF(A260=$H$26,"https://centrodecapacitaciondelsur.com/toma-de-muestras-y-lab-clinico-poct-",IF(A260=$H$27,"https://centrodecapacitaciondelsur.com/implante-subdermico-",IF(A260=$H$21,"https://centrodecapacitaciondelsur.com/donante-de-organos-",IF(A260=$H$30,"https://centrodecapacitaciondelsur.com/atencion-a-victimas-del-conflicto-armado-",IF(A260=$H$20,"https://centrodecapacitaciondelsur.com/iami-",IF(A260=$H$22,"https://centrodecapacitaciondelsur.com/violencia-de-genero-",IF(A260=$H$23,"https://centrodecapacitaciondelsur.com/igualdad-de-genero-",IF(A260=$H$16,"https://centrodecapacitaciondelsur.com/pai-",IF(A260=$H$31,"https://centrodecapacitaciondelsur.com/manipulacion-de-alimentos-",IF(A260=$H$32,"https://centrodecapacitaciondelsur.com/atencion-a-personas-con-discapacidad-",IF(A260=$H$33,"https://centrodecapacitaciondelsur.com/atencion-al-adulto-mayor-",IF(A260=$H$34,"https://centrodecapacitaciondelsur.com/manejo-defensivo-",IF(A260=$H$35,"https://centrodecapacitaciondelsur.com/soporte-basico-neonatal-",IF(A260=$H$36,"https://centrodecapacitaciondelsur.com/seguridad-del-paciente-")))))))))))))))))))))))))))))</f>
        <v>https://centrodecapacitaciondelsur.com/violencia-sexual-</v>
      </c>
      <c r="C260" s="21">
        <f>INSCRITOS!B260</f>
        <v>1087424189</v>
      </c>
      <c r="D260" t="str">
        <f t="shared" si="8"/>
        <v>https://centrodecapacitaciondelsur.com/violencia-sexual-1087424189/</v>
      </c>
    </row>
    <row r="261" spans="1:4" ht="72.75" customHeight="1" x14ac:dyDescent="0.25">
      <c r="A261" s="21" t="str">
        <f>INSCRITOS!N261</f>
        <v>ACLS</v>
      </c>
      <c r="B261" s="13" t="str">
        <f t="shared" ref="B261:B265" si="16">IF(A261=$H$19,"https://centrodecapacitaciondelsur.com/o-v-e-",IF(A261=$H$2,"https://centrodecapacitaciondelsur.com/aph-",IF(A261=$H$3,"https://centrodecapacitaciondelsur.com/manejo-del-duelo-",IF(A261=$H$4,"https://centrodecapacitaciondelsur.com/victimas-por-agentes-quimicos-",IF(A261=$H$5,"https://centrodecapacitaciondelsur.com/primeros-auxilios-",IF(A261=$H$6,"https://centrodecapacitaciondelsur.com/uci-",IF(A261=$H$8,"https://centrodecapacitaciondelsur.com/humanizacion-",IF(A261=$H$11,"https://centrodecapacitaciondelsur.com/soporte-cardiovascular-avanzado-",IF(A261=$H$12,"https://centrodecapacitaciondelsur.com/camillero-",IF(A261=$H$13,"https://centrodecapacitaciondelsur.com/toma-de-muestras-y-lab-clinico-",IF(A261=$H$14,"https://centrodecapacitaciondelsur.com/soporte-basico-de-vida-",IF(A261=$H$15,"https://centrodecapacitaciondelsur.com/violencia-sexual-",IF(A261=$H$17,"https://centrodecapacitaciondelsur.com/aiepi-",IF(A261=$H$18,"https://centrodecapacitaciondelsur.com/adm-medicamentos-canalizacion-inyectologia-",IF(A261=$H$25,"https://centrodecapacitaciondelsur.com/manejo-del-dolor-y-cuidados-paliativos-",IF(A261=$H$26,"https://centrodecapacitaciondelsur.com/toma-de-muestras-y-lab-clinico-poct-",IF(A261=$H$27,"https://centrodecapacitaciondelsur.com/implante-subdermico-",IF(A261=$H$21,"https://centrodecapacitaciondelsur.com/donante-de-organos-",IF(A261=$H$30,"https://centrodecapacitaciondelsur.com/atencion-a-victimas-del-conflicto-armado-",IF(A261=$H$20,"https://centrodecapacitaciondelsur.com/iami-",IF(A261=$H$22,"https://centrodecapacitaciondelsur.com/violencia-de-genero-",IF(A261=$H$23,"https://centrodecapacitaciondelsur.com/igualdad-de-genero-",IF(A261=$H$16,"https://centrodecapacitaciondelsur.com/pai-",IF(A261=$H$31,"https://centrodecapacitaciondelsur.com/manipulacion-de-alimentos-",IF(A261=$H$32,"https://centrodecapacitaciondelsur.com/atencion-a-personas-con-discapacidad-",IF(A261=$H$33,"https://centrodecapacitaciondelsur.com/atencion-al-adulto-mayor-",IF(A261=$H$34,"https://centrodecapacitaciondelsur.com/manejo-defensivo-",IF(A261=$H$35,"https://centrodecapacitaciondelsur.com/soporte-basico-neonatal-",IF(A261=$H$36,"https://centrodecapacitaciondelsur.com/seguridad-del-paciente-")))))))))))))))))))))))))))))</f>
        <v>https://centrodecapacitaciondelsur.com/soporte-cardiovascular-avanzado-</v>
      </c>
      <c r="C261" s="21">
        <f>INSCRITOS!B261</f>
        <v>1085931202</v>
      </c>
      <c r="D261" t="str">
        <f t="shared" ref="D261:D265" si="17">CONCATENATE(B261,C261,"/")</f>
        <v>https://centrodecapacitaciondelsur.com/soporte-cardiovascular-avanzado-1085931202/</v>
      </c>
    </row>
    <row r="262" spans="1:4" ht="72.75" customHeight="1" x14ac:dyDescent="0.25">
      <c r="A262" s="21" t="str">
        <f>INSCRITOS!N262</f>
        <v>VIOLENCIA SEXUAL</v>
      </c>
      <c r="B262" s="13" t="str">
        <f t="shared" si="16"/>
        <v>https://centrodecapacitaciondelsur.com/violencia-sexual-</v>
      </c>
      <c r="C262" s="21">
        <f>INSCRITOS!B262</f>
        <v>59815992</v>
      </c>
      <c r="D262" t="str">
        <f t="shared" si="17"/>
        <v>https://centrodecapacitaciondelsur.com/violencia-sexual-59815992/</v>
      </c>
    </row>
    <row r="263" spans="1:4" ht="72.75" customHeight="1" x14ac:dyDescent="0.25">
      <c r="A263" s="21" t="str">
        <f>INSCRITOS!N263</f>
        <v>CONFLICTO ARMADO</v>
      </c>
      <c r="B263" s="13" t="str">
        <f t="shared" si="16"/>
        <v>https://centrodecapacitaciondelsur.com/atencion-a-victimas-del-conflicto-armado-</v>
      </c>
      <c r="C263" s="21">
        <f>INSCRITOS!B263</f>
        <v>59815992</v>
      </c>
      <c r="D263" t="str">
        <f t="shared" si="17"/>
        <v>https://centrodecapacitaciondelsur.com/atencion-a-victimas-del-conflicto-armado-59815992/</v>
      </c>
    </row>
    <row r="264" spans="1:4" ht="72.75" customHeight="1" x14ac:dyDescent="0.25">
      <c r="A264" s="21" t="str">
        <f>INSCRITOS!N264</f>
        <v>DUELO</v>
      </c>
      <c r="B264" s="13" t="str">
        <f t="shared" si="16"/>
        <v>https://centrodecapacitaciondelsur.com/manejo-del-duelo-</v>
      </c>
      <c r="C264" s="21">
        <f>INSCRITOS!B264</f>
        <v>59815992</v>
      </c>
      <c r="D264" t="str">
        <f t="shared" si="17"/>
        <v>https://centrodecapacitaciondelsur.com/manejo-del-duelo-59815992/</v>
      </c>
    </row>
    <row r="265" spans="1:4" ht="72.75" customHeight="1" x14ac:dyDescent="0.25">
      <c r="A265" s="21" t="str">
        <f>INSCRITOS!N265</f>
        <v>QUIMICOS</v>
      </c>
      <c r="B265" s="13" t="str">
        <f t="shared" si="16"/>
        <v>https://centrodecapacitaciondelsur.com/victimas-por-agentes-quimicos-</v>
      </c>
      <c r="C265" s="21">
        <f>INSCRITOS!B265</f>
        <v>59815992</v>
      </c>
      <c r="D265" t="str">
        <f t="shared" si="17"/>
        <v>https://centrodecapacitaciondelsur.com/victimas-por-agentes-quimicos-59815992/</v>
      </c>
    </row>
    <row r="266" spans="1:4" ht="72.75" customHeight="1" x14ac:dyDescent="0.25">
      <c r="A266" s="21" t="str">
        <f>INSCRITOS!N266</f>
        <v>BLS</v>
      </c>
      <c r="B266" s="13" t="str">
        <f t="shared" ref="B266:B293" si="18">IF(A266=$H$19,"https://centrodecapacitaciondelsur.com/o-v-e-",IF(A266=$H$2,"https://centrodecapacitaciondelsur.com/aph-",IF(A266=$H$3,"https://centrodecapacitaciondelsur.com/manejo-del-duelo-",IF(A266=$H$4,"https://centrodecapacitaciondelsur.com/victimas-por-agentes-quimicos-",IF(A266=$H$5,"https://centrodecapacitaciondelsur.com/primeros-auxilios-",IF(A266=$H$6,"https://centrodecapacitaciondelsur.com/uci-",IF(A266=$H$8,"https://centrodecapacitaciondelsur.com/humanizacion-",IF(A266=$H$11,"https://centrodecapacitaciondelsur.com/soporte-cardiovascular-avanzado-",IF(A266=$H$12,"https://centrodecapacitaciondelsur.com/camillero-",IF(A266=$H$13,"https://centrodecapacitaciondelsur.com/toma-de-muestras-y-lab-clinico-",IF(A266=$H$14,"https://centrodecapacitaciondelsur.com/soporte-basico-de-vida-",IF(A266=$H$15,"https://centrodecapacitaciondelsur.com/violencia-sexual-",IF(A266=$H$17,"https://centrodecapacitaciondelsur.com/aiepi-",IF(A266=$H$18,"https://centrodecapacitaciondelsur.com/adm-medicamentos-canalizacion-inyectologia-",IF(A266=$H$25,"https://centrodecapacitaciondelsur.com/manejo-del-dolor-y-cuidados-paliativos-",IF(A266=$H$26,"https://centrodecapacitaciondelsur.com/toma-de-muestras-y-lab-clinico-poct-",IF(A266=$H$27,"https://centrodecapacitaciondelsur.com/implante-subdermico-",IF(A266=$H$21,"https://centrodecapacitaciondelsur.com/donante-de-organos-",IF(A266=$H$30,"https://centrodecapacitaciondelsur.com/atencion-a-victimas-del-conflicto-armado-",IF(A266=$H$20,"https://centrodecapacitaciondelsur.com/iami-",IF(A266=$H$22,"https://centrodecapacitaciondelsur.com/violencia-de-genero-",IF(A266=$H$23,"https://centrodecapacitaciondelsur.com/igualdad-de-genero-",IF(A266=$H$16,"https://centrodecapacitaciondelsur.com/pai-",IF(A266=$H$31,"https://centrodecapacitaciondelsur.com/manipulacion-de-alimentos-",IF(A266=$H$32,"https://centrodecapacitaciondelsur.com/atencion-a-personas-con-discapacidad-",IF(A266=$H$33,"https://centrodecapacitaciondelsur.com/atencion-al-adulto-mayor-",IF(A266=$H$34,"https://centrodecapacitaciondelsur.com/manejo-defensivo-",IF(A266=$H$35,"https://centrodecapacitaciondelsur.com/soporte-basico-neonatal-",IF(A266=$H$36,"https://centrodecapacitaciondelsur.com/seguridad-del-paciente-")))))))))))))))))))))))))))))</f>
        <v>https://centrodecapacitaciondelsur.com/soporte-basico-de-vida-</v>
      </c>
      <c r="C266" s="21">
        <f>INSCRITOS!B266</f>
        <v>13040300</v>
      </c>
      <c r="D266" t="str">
        <f t="shared" ref="D266:D293" si="19">CONCATENATE(B266,C266,"/")</f>
        <v>https://centrodecapacitaciondelsur.com/soporte-basico-de-vida-13040300/</v>
      </c>
    </row>
    <row r="267" spans="1:4" ht="72.75" customHeight="1" x14ac:dyDescent="0.25">
      <c r="A267" s="21" t="str">
        <f>INSCRITOS!N267</f>
        <v>VIOLENCIA SEXUAL</v>
      </c>
      <c r="B267" s="13" t="str">
        <f t="shared" si="18"/>
        <v>https://centrodecapacitaciondelsur.com/violencia-sexual-</v>
      </c>
      <c r="C267" s="21">
        <f>INSCRITOS!B267</f>
        <v>1085254745</v>
      </c>
      <c r="D267" t="str">
        <f t="shared" si="19"/>
        <v>https://centrodecapacitaciondelsur.com/violencia-sexual-1085254745/</v>
      </c>
    </row>
    <row r="268" spans="1:4" ht="72.75" customHeight="1" x14ac:dyDescent="0.25">
      <c r="A268" s="21" t="str">
        <f>INSCRITOS!N268</f>
        <v>TOMA DE MUESTRAS</v>
      </c>
      <c r="B268" s="13" t="str">
        <f t="shared" si="18"/>
        <v>https://centrodecapacitaciondelsur.com/toma-de-muestras-y-lab-clinico-</v>
      </c>
      <c r="C268" s="21">
        <f>INSCRITOS!B268</f>
        <v>1004578255</v>
      </c>
      <c r="D268" t="str">
        <f t="shared" si="19"/>
        <v>https://centrodecapacitaciondelsur.com/toma-de-muestras-y-lab-clinico-1004578255/</v>
      </c>
    </row>
    <row r="269" spans="1:4" ht="72.75" customHeight="1" x14ac:dyDescent="0.25">
      <c r="A269" s="21" t="str">
        <f>INSCRITOS!N269</f>
        <v>DUELO</v>
      </c>
      <c r="B269" s="13" t="str">
        <f t="shared" si="18"/>
        <v>https://centrodecapacitaciondelsur.com/manejo-del-duelo-</v>
      </c>
      <c r="C269" s="21">
        <f>INSCRITOS!B269</f>
        <v>1004578255</v>
      </c>
      <c r="D269" t="str">
        <f t="shared" si="19"/>
        <v>https://centrodecapacitaciondelsur.com/manejo-del-duelo-1004578255/</v>
      </c>
    </row>
    <row r="270" spans="1:4" ht="72.75" customHeight="1" x14ac:dyDescent="0.25">
      <c r="A270" s="21" t="str">
        <f>INSCRITOS!N270</f>
        <v>VIOLENCIA SEXUAL</v>
      </c>
      <c r="B270" s="13" t="str">
        <f t="shared" si="18"/>
        <v>https://centrodecapacitaciondelsur.com/violencia-sexual-</v>
      </c>
      <c r="C270" s="21">
        <f>INSCRITOS!B270</f>
        <v>1004578255</v>
      </c>
      <c r="D270" t="str">
        <f t="shared" si="19"/>
        <v>https://centrodecapacitaciondelsur.com/violencia-sexual-1004578255/</v>
      </c>
    </row>
    <row r="271" spans="1:4" ht="72.75" customHeight="1" x14ac:dyDescent="0.25">
      <c r="A271" s="21" t="str">
        <f>INSCRITOS!N271</f>
        <v>QUIMICOS</v>
      </c>
      <c r="B271" s="13" t="str">
        <f t="shared" si="18"/>
        <v>https://centrodecapacitaciondelsur.com/victimas-por-agentes-quimicos-</v>
      </c>
      <c r="C271" s="21">
        <f>INSCRITOS!B271</f>
        <v>1004578255</v>
      </c>
      <c r="D271" t="str">
        <f t="shared" si="19"/>
        <v>https://centrodecapacitaciondelsur.com/victimas-por-agentes-quimicos-1004578255/</v>
      </c>
    </row>
    <row r="272" spans="1:4" ht="72.75" customHeight="1" x14ac:dyDescent="0.25">
      <c r="A272" s="21" t="str">
        <f>INSCRITOS!N272</f>
        <v>TOMA DE MUESTRAS</v>
      </c>
      <c r="B272" s="13" t="str">
        <f t="shared" si="18"/>
        <v>https://centrodecapacitaciondelsur.com/toma-de-muestras-y-lab-clinico-</v>
      </c>
      <c r="C272" s="21">
        <f>INSCRITOS!B272</f>
        <v>1084848135</v>
      </c>
      <c r="D272" t="str">
        <f t="shared" si="19"/>
        <v>https://centrodecapacitaciondelsur.com/toma-de-muestras-y-lab-clinico-1084848135/</v>
      </c>
    </row>
    <row r="273" spans="1:4" ht="72.75" customHeight="1" x14ac:dyDescent="0.25">
      <c r="A273" s="21" t="str">
        <f>INSCRITOS!N273</f>
        <v>DUELO</v>
      </c>
      <c r="B273" s="13" t="str">
        <f t="shared" si="18"/>
        <v>https://centrodecapacitaciondelsur.com/manejo-del-duelo-</v>
      </c>
      <c r="C273" s="21">
        <f>INSCRITOS!B273</f>
        <v>1084848135</v>
      </c>
      <c r="D273" t="str">
        <f t="shared" si="19"/>
        <v>https://centrodecapacitaciondelsur.com/manejo-del-duelo-1084848135/</v>
      </c>
    </row>
    <row r="274" spans="1:4" ht="72.75" customHeight="1" x14ac:dyDescent="0.25">
      <c r="A274" s="21" t="str">
        <f>INSCRITOS!N274</f>
        <v>VIOLENCIA SEXUAL</v>
      </c>
      <c r="B274" s="13" t="str">
        <f t="shared" si="18"/>
        <v>https://centrodecapacitaciondelsur.com/violencia-sexual-</v>
      </c>
      <c r="C274" s="21">
        <f>INSCRITOS!B274</f>
        <v>1084848135</v>
      </c>
      <c r="D274" t="str">
        <f t="shared" si="19"/>
        <v>https://centrodecapacitaciondelsur.com/violencia-sexual-1084848135/</v>
      </c>
    </row>
    <row r="275" spans="1:4" ht="72.75" customHeight="1" x14ac:dyDescent="0.25">
      <c r="A275" s="21" t="str">
        <f>INSCRITOS!N275</f>
        <v>QUIMICOS</v>
      </c>
      <c r="B275" s="13" t="str">
        <f t="shared" si="18"/>
        <v>https://centrodecapacitaciondelsur.com/victimas-por-agentes-quimicos-</v>
      </c>
      <c r="C275" s="21">
        <f>INSCRITOS!B275</f>
        <v>1084848135</v>
      </c>
      <c r="D275" t="str">
        <f t="shared" si="19"/>
        <v>https://centrodecapacitaciondelsur.com/victimas-por-agentes-quimicos-1084848135/</v>
      </c>
    </row>
    <row r="276" spans="1:4" ht="72.75" customHeight="1" x14ac:dyDescent="0.25">
      <c r="A276" s="21" t="str">
        <f>INSCRITOS!N276</f>
        <v>TOMA DE MUESTRAS</v>
      </c>
      <c r="B276" s="13" t="str">
        <f t="shared" si="18"/>
        <v>https://centrodecapacitaciondelsur.com/toma-de-muestras-y-lab-clinico-</v>
      </c>
      <c r="C276" s="21">
        <f>INSCRITOS!B276</f>
        <v>1085344753</v>
      </c>
      <c r="D276" t="str">
        <f t="shared" si="19"/>
        <v>https://centrodecapacitaciondelsur.com/toma-de-muestras-y-lab-clinico-1085344753/</v>
      </c>
    </row>
    <row r="277" spans="1:4" ht="72.75" customHeight="1" x14ac:dyDescent="0.25">
      <c r="A277" s="21" t="str">
        <f>INSCRITOS!N277</f>
        <v>VIOLENCIA SEXUAL</v>
      </c>
      <c r="B277" s="13" t="str">
        <f t="shared" si="18"/>
        <v>https://centrodecapacitaciondelsur.com/violencia-sexual-</v>
      </c>
      <c r="C277" s="21">
        <f>INSCRITOS!B277</f>
        <v>1085305833</v>
      </c>
      <c r="D277" t="str">
        <f t="shared" si="19"/>
        <v>https://centrodecapacitaciondelsur.com/violencia-sexual-1085305833/</v>
      </c>
    </row>
    <row r="278" spans="1:4" ht="72.75" customHeight="1" x14ac:dyDescent="0.25">
      <c r="A278" s="21" t="str">
        <f>INSCRITOS!N278</f>
        <v>QUIMICOS</v>
      </c>
      <c r="B278" s="13" t="str">
        <f t="shared" si="18"/>
        <v>https://centrodecapacitaciondelsur.com/victimas-por-agentes-quimicos-</v>
      </c>
      <c r="C278" s="21">
        <f>INSCRITOS!B278</f>
        <v>1088734268</v>
      </c>
      <c r="D278" t="str">
        <f t="shared" si="19"/>
        <v>https://centrodecapacitaciondelsur.com/victimas-por-agentes-quimicos-1088734268/</v>
      </c>
    </row>
    <row r="279" spans="1:4" ht="72.75" customHeight="1" x14ac:dyDescent="0.25">
      <c r="A279" s="21" t="str">
        <f>INSCRITOS!N279</f>
        <v>VIOLENCIA SEXUAL</v>
      </c>
      <c r="B279" s="13" t="str">
        <f t="shared" si="18"/>
        <v>https://centrodecapacitaciondelsur.com/violencia-sexual-</v>
      </c>
      <c r="C279" s="21">
        <f>INSCRITOS!B279</f>
        <v>1088734268</v>
      </c>
      <c r="D279" t="str">
        <f t="shared" si="19"/>
        <v>https://centrodecapacitaciondelsur.com/violencia-sexual-1088734268/</v>
      </c>
    </row>
    <row r="280" spans="1:4" ht="72.75" customHeight="1" x14ac:dyDescent="0.25">
      <c r="A280" s="21" t="str">
        <f>INSCRITOS!N280</f>
        <v>DUELO</v>
      </c>
      <c r="B280" s="13" t="str">
        <f t="shared" si="18"/>
        <v>https://centrodecapacitaciondelsur.com/manejo-del-duelo-</v>
      </c>
      <c r="C280" s="21">
        <f>INSCRITOS!B280</f>
        <v>1088734268</v>
      </c>
      <c r="D280" t="str">
        <f t="shared" si="19"/>
        <v>https://centrodecapacitaciondelsur.com/manejo-del-duelo-1088734268/</v>
      </c>
    </row>
    <row r="281" spans="1:4" ht="72.75" customHeight="1" x14ac:dyDescent="0.25">
      <c r="A281" s="21" t="str">
        <f>INSCRITOS!N281</f>
        <v>BLS</v>
      </c>
      <c r="B281" s="13" t="str">
        <f t="shared" si="18"/>
        <v>https://centrodecapacitaciondelsur.com/soporte-basico-de-vida-</v>
      </c>
      <c r="C281" s="21">
        <f>INSCRITOS!B281</f>
        <v>1088734268</v>
      </c>
      <c r="D281" t="str">
        <f t="shared" si="19"/>
        <v>https://centrodecapacitaciondelsur.com/soporte-basico-de-vida-1088734268/</v>
      </c>
    </row>
    <row r="282" spans="1:4" ht="72.75" customHeight="1" x14ac:dyDescent="0.25">
      <c r="A282" s="21" t="str">
        <f>INSCRITOS!N282</f>
        <v>DUELO</v>
      </c>
      <c r="B282" s="13" t="str">
        <f t="shared" si="18"/>
        <v>https://centrodecapacitaciondelsur.com/manejo-del-duelo-</v>
      </c>
      <c r="C282" s="21">
        <f>INSCRITOS!B282</f>
        <v>1007282229</v>
      </c>
      <c r="D282" t="str">
        <f t="shared" si="19"/>
        <v>https://centrodecapacitaciondelsur.com/manejo-del-duelo-1007282229/</v>
      </c>
    </row>
    <row r="283" spans="1:4" ht="72.75" customHeight="1" x14ac:dyDescent="0.25">
      <c r="A283" s="21" t="str">
        <f>INSCRITOS!N283</f>
        <v>QUIMICOS</v>
      </c>
      <c r="B283" s="13" t="str">
        <f t="shared" si="18"/>
        <v>https://centrodecapacitaciondelsur.com/victimas-por-agentes-quimicos-</v>
      </c>
      <c r="C283" s="21">
        <f>INSCRITOS!B283</f>
        <v>1007282229</v>
      </c>
      <c r="D283" t="str">
        <f t="shared" si="19"/>
        <v>https://centrodecapacitaciondelsur.com/victimas-por-agentes-quimicos-1007282229/</v>
      </c>
    </row>
    <row r="284" spans="1:4" ht="72.75" customHeight="1" x14ac:dyDescent="0.25">
      <c r="A284" s="21" t="str">
        <f>INSCRITOS!N284</f>
        <v>VIOLENCIA SEXUAL</v>
      </c>
      <c r="B284" s="13" t="str">
        <f t="shared" si="18"/>
        <v>https://centrodecapacitaciondelsur.com/violencia-sexual-</v>
      </c>
      <c r="C284" s="21">
        <f>INSCRITOS!B284</f>
        <v>1007282229</v>
      </c>
      <c r="D284" t="str">
        <f t="shared" si="19"/>
        <v>https://centrodecapacitaciondelsur.com/violencia-sexual-1007282229/</v>
      </c>
    </row>
    <row r="285" spans="1:4" ht="72.75" customHeight="1" x14ac:dyDescent="0.25">
      <c r="A285" s="21" t="str">
        <f>INSCRITOS!N285</f>
        <v>VIOLENCIA SEXUAL</v>
      </c>
      <c r="B285" s="13" t="str">
        <f t="shared" si="18"/>
        <v>https://centrodecapacitaciondelsur.com/violencia-sexual-</v>
      </c>
      <c r="C285" s="21">
        <f>INSCRITOS!B285</f>
        <v>1085286920</v>
      </c>
      <c r="D285" t="str">
        <f t="shared" si="19"/>
        <v>https://centrodecapacitaciondelsur.com/violencia-sexual-1085286920/</v>
      </c>
    </row>
    <row r="286" spans="1:4" ht="72.75" customHeight="1" x14ac:dyDescent="0.25">
      <c r="A286" s="21" t="str">
        <f>INSCRITOS!N286</f>
        <v>VIOLENCIA SEXUAL</v>
      </c>
      <c r="B286" s="13" t="str">
        <f t="shared" si="18"/>
        <v>https://centrodecapacitaciondelsur.com/violencia-sexual-</v>
      </c>
      <c r="C286" s="21">
        <f>INSCRITOS!B286</f>
        <v>30731972</v>
      </c>
      <c r="D286" t="str">
        <f t="shared" si="19"/>
        <v>https://centrodecapacitaciondelsur.com/violencia-sexual-30731972/</v>
      </c>
    </row>
    <row r="287" spans="1:4" ht="72.75" customHeight="1" x14ac:dyDescent="0.25">
      <c r="A287" s="21" t="str">
        <f>INSCRITOS!N287</f>
        <v>VIOLENCIA SEXUAL</v>
      </c>
      <c r="B287" s="13" t="str">
        <f t="shared" si="18"/>
        <v>https://centrodecapacitaciondelsur.com/violencia-sexual-</v>
      </c>
      <c r="C287" s="21">
        <f>INSCRITOS!B287</f>
        <v>30729187</v>
      </c>
      <c r="D287" t="str">
        <f t="shared" si="19"/>
        <v>https://centrodecapacitaciondelsur.com/violencia-sexual-30729187/</v>
      </c>
    </row>
    <row r="288" spans="1:4" ht="72.75" customHeight="1" x14ac:dyDescent="0.25">
      <c r="A288" s="21" t="str">
        <f>INSCRITOS!N288</f>
        <v>VIOLENCIA SEXUAL</v>
      </c>
      <c r="B288" s="13" t="str">
        <f t="shared" si="18"/>
        <v>https://centrodecapacitaciondelsur.com/violencia-sexual-</v>
      </c>
      <c r="C288" s="21">
        <f>INSCRITOS!B288</f>
        <v>30732881</v>
      </c>
      <c r="D288" t="str">
        <f t="shared" si="19"/>
        <v>https://centrodecapacitaciondelsur.com/violencia-sexual-30732881/</v>
      </c>
    </row>
    <row r="289" spans="1:4" ht="72.75" customHeight="1" x14ac:dyDescent="0.25">
      <c r="A289" s="21" t="str">
        <f>INSCRITOS!N289</f>
        <v>VIOLENCIA SEXUAL</v>
      </c>
      <c r="B289" s="13" t="str">
        <f t="shared" si="18"/>
        <v>https://centrodecapacitaciondelsur.com/violencia-sexual-</v>
      </c>
      <c r="C289" s="21">
        <f>INSCRITOS!B289</f>
        <v>30744402</v>
      </c>
      <c r="D289" t="str">
        <f t="shared" si="19"/>
        <v>https://centrodecapacitaciondelsur.com/violencia-sexual-30744402/</v>
      </c>
    </row>
    <row r="290" spans="1:4" ht="72.75" customHeight="1" x14ac:dyDescent="0.25">
      <c r="A290" s="21" t="str">
        <f>INSCRITOS!N290</f>
        <v>VIOLENCIA SEXUAL</v>
      </c>
      <c r="B290" s="13" t="str">
        <f t="shared" si="18"/>
        <v>https://centrodecapacitaciondelsur.com/violencia-sexual-</v>
      </c>
      <c r="C290" s="21">
        <f>INSCRITOS!B290</f>
        <v>30715742</v>
      </c>
      <c r="D290" t="str">
        <f t="shared" si="19"/>
        <v>https://centrodecapacitaciondelsur.com/violencia-sexual-30715742/</v>
      </c>
    </row>
    <row r="291" spans="1:4" ht="72.75" customHeight="1" x14ac:dyDescent="0.25">
      <c r="A291" s="21" t="str">
        <f>INSCRITOS!N291</f>
        <v>VIOLENCIA SEXUAL</v>
      </c>
      <c r="B291" s="13" t="str">
        <f t="shared" si="18"/>
        <v>https://centrodecapacitaciondelsur.com/violencia-sexual-</v>
      </c>
      <c r="C291" s="21">
        <f>INSCRITOS!B291</f>
        <v>100435287</v>
      </c>
      <c r="D291" t="str">
        <f t="shared" si="19"/>
        <v>https://centrodecapacitaciondelsur.com/violencia-sexual-100435287/</v>
      </c>
    </row>
    <row r="292" spans="1:4" ht="72.75" customHeight="1" x14ac:dyDescent="0.25">
      <c r="A292" s="21" t="str">
        <f>INSCRITOS!N292</f>
        <v>VIOLENCIA SEXUAL</v>
      </c>
      <c r="B292" s="13" t="str">
        <f t="shared" si="18"/>
        <v>https://centrodecapacitaciondelsur.com/violencia-sexual-</v>
      </c>
      <c r="C292" s="21">
        <f>INSCRITOS!B292</f>
        <v>1004770580</v>
      </c>
      <c r="D292" t="str">
        <f t="shared" si="19"/>
        <v>https://centrodecapacitaciondelsur.com/violencia-sexual-1004770580/</v>
      </c>
    </row>
    <row r="293" spans="1:4" ht="72.75" customHeight="1" x14ac:dyDescent="0.25">
      <c r="A293" s="21" t="str">
        <f>INSCRITOS!N293</f>
        <v>VIOLENCIA SEXUAL</v>
      </c>
      <c r="B293" s="13" t="str">
        <f t="shared" si="18"/>
        <v>https://centrodecapacitaciondelsur.com/violencia-sexual-</v>
      </c>
      <c r="C293" s="21">
        <f>INSCRITOS!B293</f>
        <v>1085661547</v>
      </c>
      <c r="D293" t="str">
        <f t="shared" si="19"/>
        <v>https://centrodecapacitaciondelsur.com/violencia-sexual-1085661547/</v>
      </c>
    </row>
    <row r="294" spans="1:4" ht="72.75" customHeight="1" x14ac:dyDescent="0.25">
      <c r="A294" s="21" t="str">
        <f>INSCRITOS!N294</f>
        <v>VIOLENCIA SEXUAL</v>
      </c>
      <c r="B294" s="13" t="str">
        <f t="shared" ref="B294:B318" si="20">IF(A294=$H$19,"https://centrodecapacitaciondelsur.com/o-v-e-",IF(A294=$H$2,"https://centrodecapacitaciondelsur.com/aph-",IF(A294=$H$3,"https://centrodecapacitaciondelsur.com/manejo-del-duelo-",IF(A294=$H$4,"https://centrodecapacitaciondelsur.com/victimas-por-agentes-quimicos-",IF(A294=$H$5,"https://centrodecapacitaciondelsur.com/primeros-auxilios-",IF(A294=$H$6,"https://centrodecapacitaciondelsur.com/uci-",IF(A294=$H$8,"https://centrodecapacitaciondelsur.com/humanizacion-",IF(A294=$H$11,"https://centrodecapacitaciondelsur.com/soporte-cardiovascular-avanzado-",IF(A294=$H$12,"https://centrodecapacitaciondelsur.com/camillero-",IF(A294=$H$13,"https://centrodecapacitaciondelsur.com/toma-de-muestras-y-lab-clinico-",IF(A294=$H$14,"https://centrodecapacitaciondelsur.com/soporte-basico-de-vida-",IF(A294=$H$15,"https://centrodecapacitaciondelsur.com/violencia-sexual-",IF(A294=$H$17,"https://centrodecapacitaciondelsur.com/aiepi-",IF(A294=$H$18,"https://centrodecapacitaciondelsur.com/adm-medicamentos-canalizacion-inyectologia-",IF(A294=$H$25,"https://centrodecapacitaciondelsur.com/manejo-del-dolor-y-cuidados-paliativos-",IF(A294=$H$26,"https://centrodecapacitaciondelsur.com/toma-de-muestras-y-lab-clinico-poct-",IF(A294=$H$27,"https://centrodecapacitaciondelsur.com/implante-subdermico-",IF(A294=$H$21,"https://centrodecapacitaciondelsur.com/donante-de-organos-",IF(A294=$H$30,"https://centrodecapacitaciondelsur.com/atencion-a-victimas-del-conflicto-armado-",IF(A294=$H$20,"https://centrodecapacitaciondelsur.com/iami-",IF(A294=$H$22,"https://centrodecapacitaciondelsur.com/violencia-de-genero-",IF(A294=$H$23,"https://centrodecapacitaciondelsur.com/igualdad-de-genero-",IF(A294=$H$16,"https://centrodecapacitaciondelsur.com/pai-",IF(A294=$H$31,"https://centrodecapacitaciondelsur.com/manipulacion-de-alimentos-",IF(A294=$H$32,"https://centrodecapacitaciondelsur.com/atencion-a-personas-con-discapacidad-",IF(A294=$H$33,"https://centrodecapacitaciondelsur.com/atencion-al-adulto-mayor-",IF(A294=$H$34,"https://centrodecapacitaciondelsur.com/manejo-defensivo-",IF(A294=$H$35,"https://centrodecapacitaciondelsur.com/soporte-basico-neonatal-",IF(A294=$H$36,"https://centrodecapacitaciondelsur.com/seguridad-del-paciente-")))))))))))))))))))))))))))))</f>
        <v>https://centrodecapacitaciondelsur.com/violencia-sexual-</v>
      </c>
      <c r="C294" s="21">
        <f>INSCRITOS!B294</f>
        <v>1087960360</v>
      </c>
      <c r="D294" t="str">
        <f t="shared" ref="D294:D318" si="21">CONCATENATE(B294,C294,"/")</f>
        <v>https://centrodecapacitaciondelsur.com/violencia-sexual-1087960360/</v>
      </c>
    </row>
    <row r="295" spans="1:4" ht="72.75" customHeight="1" x14ac:dyDescent="0.25">
      <c r="A295" s="21" t="str">
        <f>INSCRITOS!N295</f>
        <v>VIOLENCIA SEXUAL</v>
      </c>
      <c r="B295" s="13" t="str">
        <f t="shared" si="20"/>
        <v>https://centrodecapacitaciondelsur.com/violencia-sexual-</v>
      </c>
      <c r="C295" s="21">
        <f>INSCRITOS!B295</f>
        <v>1086016343</v>
      </c>
      <c r="D295" t="str">
        <f t="shared" si="21"/>
        <v>https://centrodecapacitaciondelsur.com/violencia-sexual-1086016343/</v>
      </c>
    </row>
    <row r="296" spans="1:4" ht="72.75" customHeight="1" x14ac:dyDescent="0.25">
      <c r="A296" s="21" t="str">
        <f>INSCRITOS!N296</f>
        <v>VIOLENCIA SEXUAL</v>
      </c>
      <c r="B296" s="13" t="str">
        <f t="shared" si="20"/>
        <v>https://centrodecapacitaciondelsur.com/violencia-sexual-</v>
      </c>
      <c r="C296" s="21">
        <f>INSCRITOS!B296</f>
        <v>27090650</v>
      </c>
      <c r="D296" t="str">
        <f t="shared" si="21"/>
        <v>https://centrodecapacitaciondelsur.com/violencia-sexual-27090650/</v>
      </c>
    </row>
    <row r="297" spans="1:4" ht="72.75" customHeight="1" x14ac:dyDescent="0.25">
      <c r="A297" s="21" t="str">
        <f>INSCRITOS!N297</f>
        <v>VIOLENCIA SEXUAL</v>
      </c>
      <c r="B297" s="13" t="str">
        <f t="shared" si="20"/>
        <v>https://centrodecapacitaciondelsur.com/violencia-sexual-</v>
      </c>
      <c r="C297" s="21">
        <f>INSCRITOS!B297</f>
        <v>1085341669</v>
      </c>
      <c r="D297" t="str">
        <f t="shared" si="21"/>
        <v>https://centrodecapacitaciondelsur.com/violencia-sexual-1085341669/</v>
      </c>
    </row>
    <row r="298" spans="1:4" ht="72.75" customHeight="1" x14ac:dyDescent="0.25">
      <c r="A298" s="21" t="str">
        <f>INSCRITOS!N298</f>
        <v>VIOLENCIA SEXUAL</v>
      </c>
      <c r="B298" s="13" t="str">
        <f t="shared" si="20"/>
        <v>https://centrodecapacitaciondelsur.com/violencia-sexual-</v>
      </c>
      <c r="C298" s="21">
        <f>INSCRITOS!B298</f>
        <v>1087959060</v>
      </c>
      <c r="D298" t="str">
        <f t="shared" si="21"/>
        <v>https://centrodecapacitaciondelsur.com/violencia-sexual-1087959060/</v>
      </c>
    </row>
    <row r="299" spans="1:4" ht="72.75" customHeight="1" x14ac:dyDescent="0.25">
      <c r="A299" s="21">
        <f>INSCRITOS!N299</f>
        <v>0</v>
      </c>
      <c r="B299" s="13" t="b">
        <f t="shared" si="20"/>
        <v>0</v>
      </c>
      <c r="C299" s="21">
        <f>INSCRITOS!B299</f>
        <v>0</v>
      </c>
      <c r="D299" t="str">
        <f t="shared" si="21"/>
        <v>FALSO0/</v>
      </c>
    </row>
    <row r="300" spans="1:4" ht="72.75" customHeight="1" x14ac:dyDescent="0.25">
      <c r="A300" s="21">
        <f>INSCRITOS!N300</f>
        <v>0</v>
      </c>
      <c r="B300" s="13" t="b">
        <f t="shared" si="20"/>
        <v>0</v>
      </c>
      <c r="C300" s="21">
        <f>INSCRITOS!B300</f>
        <v>0</v>
      </c>
      <c r="D300" t="str">
        <f t="shared" si="21"/>
        <v>FALSO0/</v>
      </c>
    </row>
    <row r="301" spans="1:4" ht="72.75" customHeight="1" x14ac:dyDescent="0.25">
      <c r="A301" s="21">
        <f>INSCRITOS!N301</f>
        <v>0</v>
      </c>
      <c r="B301" s="13" t="b">
        <f t="shared" si="20"/>
        <v>0</v>
      </c>
      <c r="C301" s="21">
        <f>INSCRITOS!B301</f>
        <v>0</v>
      </c>
      <c r="D301" t="str">
        <f t="shared" si="21"/>
        <v>FALSO0/</v>
      </c>
    </row>
    <row r="302" spans="1:4" ht="72.75" customHeight="1" x14ac:dyDescent="0.25">
      <c r="A302" s="21">
        <f>INSCRITOS!N302</f>
        <v>0</v>
      </c>
      <c r="B302" s="13" t="b">
        <f t="shared" si="20"/>
        <v>0</v>
      </c>
      <c r="C302" s="21">
        <f>INSCRITOS!B302</f>
        <v>0</v>
      </c>
      <c r="D302" t="str">
        <f t="shared" si="21"/>
        <v>FALSO0/</v>
      </c>
    </row>
    <row r="303" spans="1:4" ht="72.75" customHeight="1" x14ac:dyDescent="0.25">
      <c r="A303" s="21">
        <f>INSCRITOS!N303</f>
        <v>0</v>
      </c>
      <c r="B303" s="13" t="b">
        <f t="shared" si="20"/>
        <v>0</v>
      </c>
      <c r="C303" s="21">
        <f>INSCRITOS!B303</f>
        <v>0</v>
      </c>
      <c r="D303" t="str">
        <f t="shared" si="21"/>
        <v>FALSO0/</v>
      </c>
    </row>
    <row r="304" spans="1:4" ht="72.75" customHeight="1" x14ac:dyDescent="0.25">
      <c r="A304" s="21">
        <f>INSCRITOS!N304</f>
        <v>0</v>
      </c>
      <c r="B304" s="13" t="b">
        <f t="shared" si="20"/>
        <v>0</v>
      </c>
      <c r="C304" s="21">
        <f>INSCRITOS!B304</f>
        <v>0</v>
      </c>
      <c r="D304" t="str">
        <f t="shared" si="21"/>
        <v>FALSO0/</v>
      </c>
    </row>
    <row r="305" spans="1:4" ht="72.75" customHeight="1" x14ac:dyDescent="0.25">
      <c r="A305" s="21">
        <f>INSCRITOS!N305</f>
        <v>0</v>
      </c>
      <c r="B305" s="13" t="b">
        <f t="shared" si="20"/>
        <v>0</v>
      </c>
      <c r="C305" s="21">
        <f>INSCRITOS!B305</f>
        <v>0</v>
      </c>
      <c r="D305" t="str">
        <f t="shared" si="21"/>
        <v>FALSO0/</v>
      </c>
    </row>
    <row r="306" spans="1:4" ht="72.75" customHeight="1" x14ac:dyDescent="0.25">
      <c r="A306" s="21">
        <f>INSCRITOS!N306</f>
        <v>0</v>
      </c>
      <c r="B306" s="13" t="b">
        <f t="shared" si="20"/>
        <v>0</v>
      </c>
      <c r="C306" s="21">
        <f>INSCRITOS!B306</f>
        <v>0</v>
      </c>
      <c r="D306" t="str">
        <f t="shared" si="21"/>
        <v>FALSO0/</v>
      </c>
    </row>
    <row r="307" spans="1:4" ht="72.75" customHeight="1" x14ac:dyDescent="0.25">
      <c r="A307" s="21">
        <f>INSCRITOS!N307</f>
        <v>0</v>
      </c>
      <c r="B307" s="13" t="b">
        <f t="shared" si="20"/>
        <v>0</v>
      </c>
      <c r="C307" s="21">
        <f>INSCRITOS!B307</f>
        <v>0</v>
      </c>
      <c r="D307" t="str">
        <f t="shared" si="21"/>
        <v>FALSO0/</v>
      </c>
    </row>
    <row r="308" spans="1:4" ht="72.75" customHeight="1" x14ac:dyDescent="0.25">
      <c r="A308" s="21">
        <f>INSCRITOS!N308</f>
        <v>0</v>
      </c>
      <c r="B308" s="13" t="b">
        <f t="shared" si="20"/>
        <v>0</v>
      </c>
      <c r="C308" s="21">
        <f>INSCRITOS!B308</f>
        <v>0</v>
      </c>
      <c r="D308" t="str">
        <f t="shared" si="21"/>
        <v>FALSO0/</v>
      </c>
    </row>
    <row r="309" spans="1:4" ht="72.75" customHeight="1" x14ac:dyDescent="0.25">
      <c r="A309" s="21">
        <f>INSCRITOS!N309</f>
        <v>0</v>
      </c>
      <c r="B309" s="13" t="b">
        <f t="shared" si="20"/>
        <v>0</v>
      </c>
      <c r="C309" s="21">
        <f>INSCRITOS!B309</f>
        <v>0</v>
      </c>
      <c r="D309" t="str">
        <f t="shared" si="21"/>
        <v>FALSO0/</v>
      </c>
    </row>
    <row r="310" spans="1:4" ht="72.75" customHeight="1" x14ac:dyDescent="0.25">
      <c r="A310" s="21">
        <f>INSCRITOS!N310</f>
        <v>0</v>
      </c>
      <c r="B310" s="13" t="b">
        <f t="shared" si="20"/>
        <v>0</v>
      </c>
      <c r="C310" s="21">
        <f>INSCRITOS!B310</f>
        <v>0</v>
      </c>
      <c r="D310" t="str">
        <f t="shared" si="21"/>
        <v>FALSO0/</v>
      </c>
    </row>
    <row r="311" spans="1:4" ht="72.75" customHeight="1" x14ac:dyDescent="0.25">
      <c r="A311" s="21">
        <f>INSCRITOS!N311</f>
        <v>0</v>
      </c>
      <c r="B311" s="13" t="b">
        <f t="shared" si="20"/>
        <v>0</v>
      </c>
      <c r="C311" s="21">
        <f>INSCRITOS!B311</f>
        <v>0</v>
      </c>
      <c r="D311" t="str">
        <f t="shared" si="21"/>
        <v>FALSO0/</v>
      </c>
    </row>
    <row r="312" spans="1:4" ht="72.75" customHeight="1" x14ac:dyDescent="0.25">
      <c r="A312" s="21">
        <f>INSCRITOS!N312</f>
        <v>0</v>
      </c>
      <c r="B312" s="13" t="b">
        <f t="shared" si="20"/>
        <v>0</v>
      </c>
      <c r="C312" s="21">
        <f>INSCRITOS!B312</f>
        <v>0</v>
      </c>
      <c r="D312" t="str">
        <f t="shared" si="21"/>
        <v>FALSO0/</v>
      </c>
    </row>
    <row r="313" spans="1:4" ht="72.75" customHeight="1" x14ac:dyDescent="0.25">
      <c r="A313" s="21">
        <f>INSCRITOS!N313</f>
        <v>0</v>
      </c>
      <c r="B313" s="13" t="b">
        <f t="shared" si="20"/>
        <v>0</v>
      </c>
      <c r="C313" s="21">
        <f>INSCRITOS!B313</f>
        <v>0</v>
      </c>
      <c r="D313" t="str">
        <f t="shared" si="21"/>
        <v>FALSO0/</v>
      </c>
    </row>
    <row r="314" spans="1:4" ht="72.75" customHeight="1" x14ac:dyDescent="0.25">
      <c r="A314" s="21">
        <f>INSCRITOS!N314</f>
        <v>0</v>
      </c>
      <c r="B314" s="13" t="b">
        <f t="shared" si="20"/>
        <v>0</v>
      </c>
      <c r="C314" s="21">
        <f>INSCRITOS!B314</f>
        <v>0</v>
      </c>
      <c r="D314" t="str">
        <f t="shared" si="21"/>
        <v>FALSO0/</v>
      </c>
    </row>
    <row r="315" spans="1:4" ht="72.75" customHeight="1" x14ac:dyDescent="0.25">
      <c r="A315" s="21">
        <f>INSCRITOS!N315</f>
        <v>0</v>
      </c>
      <c r="B315" s="13" t="b">
        <f t="shared" si="20"/>
        <v>0</v>
      </c>
      <c r="C315" s="21">
        <f>INSCRITOS!B315</f>
        <v>0</v>
      </c>
      <c r="D315" t="str">
        <f t="shared" si="21"/>
        <v>FALSO0/</v>
      </c>
    </row>
    <row r="316" spans="1:4" ht="72.75" customHeight="1" x14ac:dyDescent="0.25">
      <c r="A316" s="21">
        <f>INSCRITOS!N316</f>
        <v>0</v>
      </c>
      <c r="B316" s="13" t="b">
        <f t="shared" si="20"/>
        <v>0</v>
      </c>
      <c r="C316" s="21">
        <f>INSCRITOS!B316</f>
        <v>0</v>
      </c>
      <c r="D316" t="str">
        <f t="shared" si="21"/>
        <v>FALSO0/</v>
      </c>
    </row>
    <row r="317" spans="1:4" ht="72.75" customHeight="1" x14ac:dyDescent="0.25">
      <c r="A317" s="21">
        <f>INSCRITOS!N317</f>
        <v>0</v>
      </c>
      <c r="B317" s="13" t="b">
        <f t="shared" si="20"/>
        <v>0</v>
      </c>
      <c r="C317" s="21">
        <f>INSCRITOS!B317</f>
        <v>0</v>
      </c>
      <c r="D317" t="str">
        <f t="shared" si="21"/>
        <v>FALSO0/</v>
      </c>
    </row>
    <row r="318" spans="1:4" ht="72.75" customHeight="1" x14ac:dyDescent="0.25">
      <c r="A318" s="21">
        <f>INSCRITOS!N318</f>
        <v>0</v>
      </c>
      <c r="B318" s="13" t="b">
        <f t="shared" si="20"/>
        <v>0</v>
      </c>
      <c r="C318" s="21">
        <f>INSCRITOS!B318</f>
        <v>0</v>
      </c>
      <c r="D318" t="str">
        <f t="shared" si="21"/>
        <v>FALSO0/</v>
      </c>
    </row>
    <row r="319" spans="1:4" ht="72.75" customHeight="1" x14ac:dyDescent="0.25"/>
    <row r="320" spans="1:4" ht="72.75" customHeight="1" x14ac:dyDescent="0.25"/>
  </sheetData>
  <hyperlinks>
    <hyperlink ref="B2" r:id="rId1" display="https://centrodecapacitaciondelsur.com/soporte-basico-de-vida-" xr:uid="{00000000-0004-0000-0300-000000000000}"/>
    <hyperlink ref="B3" r:id="rId2" display="https://centrodecapacitaciondelsur.com/soporte-basico-de-vida-" xr:uid="{00000000-0004-0000-0300-000001000000}"/>
    <hyperlink ref="B4" r:id="rId3" display="https://centrodecapacitaciondelsur.com/soporte-basico-de-vida-" xr:uid="{00000000-0004-0000-0300-000002000000}"/>
    <hyperlink ref="B5" r:id="rId4" display="https://centrodecapacitaciondelsur.com/soporte-basico-de-vida-" xr:uid="{00000000-0004-0000-0300-000003000000}"/>
    <hyperlink ref="B6" r:id="rId5" display="https://centrodecapacitaciondelsur.com/soporte-basico-de-vida-" xr:uid="{00000000-0004-0000-0300-000004000000}"/>
    <hyperlink ref="B7" r:id="rId6" display="https://centrodecapacitaciondelsur.com/soporte-basico-de-vida-" xr:uid="{00000000-0004-0000-0300-000005000000}"/>
    <hyperlink ref="B8" r:id="rId7" display="https://centrodecapacitaciondelsur.com/soporte-basico-de-vida-" xr:uid="{00000000-0004-0000-0300-000006000000}"/>
    <hyperlink ref="B9" r:id="rId8" display="https://centrodecapacitaciondelsur.com/soporte-basico-de-vida-" xr:uid="{00000000-0004-0000-0300-000007000000}"/>
    <hyperlink ref="B10" r:id="rId9" display="https://centrodecapacitaciondelsur.com/soporte-basico-de-vida-" xr:uid="{00000000-0004-0000-0300-000008000000}"/>
    <hyperlink ref="B11" r:id="rId10" display="https://centrodecapacitaciondelsur.com/soporte-basico-de-vida-" xr:uid="{00000000-0004-0000-0300-000009000000}"/>
    <hyperlink ref="B12" r:id="rId11" display="https://centrodecapacitaciondelsur.com/soporte-basico-de-vida-" xr:uid="{00000000-0004-0000-0300-00000A000000}"/>
    <hyperlink ref="B13" r:id="rId12" display="https://centrodecapacitaciondelsur.com/soporte-basico-de-vida-" xr:uid="{00000000-0004-0000-0300-00000B000000}"/>
    <hyperlink ref="B14" r:id="rId13" display="https://centrodecapacitaciondelsur.com/soporte-basico-de-vida-" xr:uid="{00000000-0004-0000-0300-00000C000000}"/>
    <hyperlink ref="B15" r:id="rId14" display="https://centrodecapacitaciondelsur.com/soporte-basico-de-vida-" xr:uid="{00000000-0004-0000-0300-00000D000000}"/>
    <hyperlink ref="B16" r:id="rId15" display="https://centrodecapacitaciondelsur.com/soporte-basico-de-vida-" xr:uid="{00000000-0004-0000-0300-00000E000000}"/>
    <hyperlink ref="B17" r:id="rId16" display="https://centrodecapacitaciondelsur.com/soporte-basico-de-vida-" xr:uid="{00000000-0004-0000-0300-00000F000000}"/>
    <hyperlink ref="B18" r:id="rId17" display="https://centrodecapacitaciondelsur.com/soporte-basico-de-vida-" xr:uid="{00000000-0004-0000-0300-000010000000}"/>
    <hyperlink ref="B19" r:id="rId18" display="https://centrodecapacitaciondelsur.com/soporte-basico-de-vida-" xr:uid="{00000000-0004-0000-0300-000011000000}"/>
    <hyperlink ref="B20" r:id="rId19" display="https://centrodecapacitaciondelsur.com/soporte-basico-de-vida-" xr:uid="{00000000-0004-0000-0300-000012000000}"/>
    <hyperlink ref="B21" r:id="rId20" display="https://centrodecapacitaciondelsur.com/soporte-basico-de-vida-" xr:uid="{00000000-0004-0000-0300-000013000000}"/>
    <hyperlink ref="B22" r:id="rId21" display="https://centrodecapacitaciondelsur.com/soporte-basico-de-vida-" xr:uid="{00000000-0004-0000-0300-000014000000}"/>
    <hyperlink ref="B23" r:id="rId22" display="https://centrodecapacitaciondelsur.com/soporte-basico-de-vida-" xr:uid="{00000000-0004-0000-0300-000015000000}"/>
    <hyperlink ref="B24" r:id="rId23" display="https://centrodecapacitaciondelsur.com/soporte-basico-de-vida-" xr:uid="{00000000-0004-0000-0300-000016000000}"/>
    <hyperlink ref="B25" r:id="rId24" display="https://centrodecapacitaciondelsur.com/soporte-basico-de-vida-" xr:uid="{00000000-0004-0000-0300-000017000000}"/>
    <hyperlink ref="B26" r:id="rId25" display="https://centrodecapacitaciondelsur.com/soporte-basico-de-vida-" xr:uid="{00000000-0004-0000-0300-000018000000}"/>
    <hyperlink ref="B27" r:id="rId26" display="https://centrodecapacitaciondelsur.com/soporte-basico-de-vida-" xr:uid="{00000000-0004-0000-0300-000019000000}"/>
    <hyperlink ref="B28" r:id="rId27" display="https://centrodecapacitaciondelsur.com/soporte-basico-de-vida-" xr:uid="{00000000-0004-0000-0300-00001A000000}"/>
    <hyperlink ref="B29" r:id="rId28" display="https://centrodecapacitaciondelsur.com/soporte-basico-de-vida-" xr:uid="{00000000-0004-0000-0300-00001B000000}"/>
    <hyperlink ref="B30" r:id="rId29" display="https://centrodecapacitaciondelsur.com/soporte-basico-de-vida-" xr:uid="{00000000-0004-0000-0300-00001C000000}"/>
    <hyperlink ref="B31" r:id="rId30" display="https://centrodecapacitaciondelsur.com/soporte-basico-de-vida-" xr:uid="{00000000-0004-0000-0300-00001D000000}"/>
    <hyperlink ref="B32" r:id="rId31" display="https://centrodecapacitaciondelsur.com/soporte-basico-de-vida-" xr:uid="{00000000-0004-0000-0300-00001E000000}"/>
    <hyperlink ref="B33" r:id="rId32" display="https://centrodecapacitaciondelsur.com/soporte-basico-de-vida-" xr:uid="{00000000-0004-0000-0300-00001F000000}"/>
    <hyperlink ref="B34" r:id="rId33" display="https://centrodecapacitaciondelsur.com/soporte-basico-de-vida-" xr:uid="{00000000-0004-0000-0300-000020000000}"/>
    <hyperlink ref="B35" r:id="rId34" display="https://centrodecapacitaciondelsur.com/soporte-basico-de-vida-" xr:uid="{00000000-0004-0000-0300-000021000000}"/>
    <hyperlink ref="B36" r:id="rId35" display="https://centrodecapacitaciondelsur.com/soporte-basico-de-vida-" xr:uid="{00000000-0004-0000-0300-000022000000}"/>
    <hyperlink ref="B37" r:id="rId36" display="https://centrodecapacitaciondelsur.com/soporte-basico-de-vida-" xr:uid="{00000000-0004-0000-0300-000023000000}"/>
    <hyperlink ref="B38" r:id="rId37" display="https://centrodecapacitaciondelsur.com/soporte-basico-de-vida-" xr:uid="{00000000-0004-0000-0300-000024000000}"/>
    <hyperlink ref="B39" r:id="rId38" display="https://centrodecapacitaciondelsur.com/soporte-basico-de-vida-" xr:uid="{00000000-0004-0000-0300-000025000000}"/>
    <hyperlink ref="B40" r:id="rId39" display="https://centrodecapacitaciondelsur.com/soporte-basico-de-vida-" xr:uid="{00000000-0004-0000-0300-000026000000}"/>
    <hyperlink ref="B41" r:id="rId40" display="https://centrodecapacitaciondelsur.com/soporte-basico-de-vida-" xr:uid="{00000000-0004-0000-0300-000027000000}"/>
    <hyperlink ref="B42" r:id="rId41" display="https://centrodecapacitaciondelsur.com/soporte-basico-de-vida-" xr:uid="{00000000-0004-0000-0300-000028000000}"/>
    <hyperlink ref="B43" r:id="rId42" display="https://centrodecapacitaciondelsur.com/soporte-basico-de-vida-" xr:uid="{00000000-0004-0000-0300-000029000000}"/>
    <hyperlink ref="B44" r:id="rId43" display="https://centrodecapacitaciondelsur.com/soporte-basico-de-vida-" xr:uid="{00000000-0004-0000-0300-00002A000000}"/>
    <hyperlink ref="B45" r:id="rId44" display="https://centrodecapacitaciondelsur.com/soporte-basico-de-vida-" xr:uid="{00000000-0004-0000-0300-00002B000000}"/>
    <hyperlink ref="B46" r:id="rId45" display="https://centrodecapacitaciondelsur.com/soporte-basico-de-vida-" xr:uid="{00000000-0004-0000-0300-00002C000000}"/>
    <hyperlink ref="B47" r:id="rId46" display="https://centrodecapacitaciondelsur.com/soporte-basico-de-vida-" xr:uid="{00000000-0004-0000-0300-00002D000000}"/>
    <hyperlink ref="B48" r:id="rId47" display="https://centrodecapacitaciondelsur.com/soporte-basico-de-vida-" xr:uid="{00000000-0004-0000-0300-00002E000000}"/>
    <hyperlink ref="B49" r:id="rId48" display="https://centrodecapacitaciondelsur.com/soporte-basico-de-vida-" xr:uid="{00000000-0004-0000-0300-00002F000000}"/>
    <hyperlink ref="B50" r:id="rId49" display="https://centrodecapacitaciondelsur.com/soporte-basico-de-vida-" xr:uid="{00000000-0004-0000-0300-000030000000}"/>
    <hyperlink ref="B51" r:id="rId50" display="https://centrodecapacitaciondelsur.com/soporte-basico-de-vida-" xr:uid="{00000000-0004-0000-0300-000031000000}"/>
    <hyperlink ref="B52" r:id="rId51" display="https://centrodecapacitaciondelsur.com/soporte-basico-de-vida-" xr:uid="{00000000-0004-0000-0300-000032000000}"/>
    <hyperlink ref="B53" r:id="rId52" display="https://centrodecapacitaciondelsur.com/soporte-basico-de-vida-" xr:uid="{00000000-0004-0000-0300-000033000000}"/>
    <hyperlink ref="B54" r:id="rId53" display="https://centrodecapacitaciondelsur.com/soporte-basico-de-vida-" xr:uid="{00000000-0004-0000-0300-000034000000}"/>
    <hyperlink ref="B55" r:id="rId54" display="https://centrodecapacitaciondelsur.com/soporte-basico-de-vida-" xr:uid="{00000000-0004-0000-0300-000035000000}"/>
    <hyperlink ref="B56" r:id="rId55" display="https://centrodecapacitaciondelsur.com/soporte-basico-de-vida-" xr:uid="{00000000-0004-0000-0300-000036000000}"/>
    <hyperlink ref="B57" r:id="rId56" display="https://centrodecapacitaciondelsur.com/soporte-basico-de-vida-" xr:uid="{00000000-0004-0000-0300-000037000000}"/>
    <hyperlink ref="B58" r:id="rId57" display="https://centrodecapacitaciondelsur.com/soporte-basico-de-vida-" xr:uid="{00000000-0004-0000-0300-000038000000}"/>
    <hyperlink ref="B59" r:id="rId58" display="https://centrodecapacitaciondelsur.com/soporte-basico-de-vida-" xr:uid="{00000000-0004-0000-0300-000039000000}"/>
    <hyperlink ref="B60" r:id="rId59" display="https://centrodecapacitaciondelsur.com/soporte-basico-de-vida-" xr:uid="{00000000-0004-0000-0300-00003A000000}"/>
    <hyperlink ref="B61" r:id="rId60" display="https://centrodecapacitaciondelsur.com/soporte-basico-de-vida-" xr:uid="{00000000-0004-0000-0300-00003B000000}"/>
    <hyperlink ref="B62" r:id="rId61" display="https://centrodecapacitaciondelsur.com/soporte-basico-de-vida-" xr:uid="{00000000-0004-0000-0300-00003C000000}"/>
    <hyperlink ref="B63" r:id="rId62" display="https://centrodecapacitaciondelsur.com/soporte-basico-de-vida-" xr:uid="{00000000-0004-0000-0300-00003D000000}"/>
    <hyperlink ref="B64" r:id="rId63" display="https://centrodecapacitaciondelsur.com/soporte-basico-de-vida-" xr:uid="{00000000-0004-0000-0300-00003E000000}"/>
    <hyperlink ref="B65" r:id="rId64" display="https://centrodecapacitaciondelsur.com/soporte-basico-de-vida-" xr:uid="{00000000-0004-0000-0300-00003F000000}"/>
    <hyperlink ref="B66" r:id="rId65" display="https://centrodecapacitaciondelsur.com/soporte-basico-de-vida-" xr:uid="{00000000-0004-0000-0300-000040000000}"/>
    <hyperlink ref="B67" r:id="rId66" display="https://centrodecapacitaciondelsur.com/soporte-basico-de-vida-" xr:uid="{00000000-0004-0000-0300-000041000000}"/>
    <hyperlink ref="B68" r:id="rId67" display="https://centrodecapacitaciondelsur.com/soporte-basico-de-vida-" xr:uid="{00000000-0004-0000-0300-000042000000}"/>
    <hyperlink ref="B69" r:id="rId68" display="https://centrodecapacitaciondelsur.com/soporte-basico-de-vida-" xr:uid="{00000000-0004-0000-0300-000043000000}"/>
    <hyperlink ref="B70" r:id="rId69" display="https://centrodecapacitaciondelsur.com/soporte-basico-de-vida-" xr:uid="{00000000-0004-0000-0300-000044000000}"/>
    <hyperlink ref="B71" r:id="rId70" display="https://centrodecapacitaciondelsur.com/soporte-basico-de-vida-" xr:uid="{00000000-0004-0000-0300-000045000000}"/>
    <hyperlink ref="B72" r:id="rId71" display="https://centrodecapacitaciondelsur.com/soporte-basico-de-vida-" xr:uid="{00000000-0004-0000-0300-000046000000}"/>
    <hyperlink ref="B73" r:id="rId72" display="https://centrodecapacitaciondelsur.com/soporte-basico-de-vida-" xr:uid="{00000000-0004-0000-0300-000047000000}"/>
    <hyperlink ref="B74" r:id="rId73" display="https://centrodecapacitaciondelsur.com/soporte-basico-de-vida-" xr:uid="{00000000-0004-0000-0300-000048000000}"/>
    <hyperlink ref="B75" r:id="rId74" display="https://centrodecapacitaciondelsur.com/soporte-basico-de-vida-" xr:uid="{00000000-0004-0000-0300-000049000000}"/>
    <hyperlink ref="B76" r:id="rId75" display="https://centrodecapacitaciondelsur.com/soporte-basico-de-vida-" xr:uid="{00000000-0004-0000-0300-00004A000000}"/>
    <hyperlink ref="B77" r:id="rId76" display="https://centrodecapacitaciondelsur.com/soporte-basico-de-vida-" xr:uid="{00000000-0004-0000-0300-00004B000000}"/>
    <hyperlink ref="B78" r:id="rId77" display="https://centrodecapacitaciondelsur.com/soporte-basico-de-vida-" xr:uid="{00000000-0004-0000-0300-00004C000000}"/>
    <hyperlink ref="B79" r:id="rId78" display="https://centrodecapacitaciondelsur.com/soporte-basico-de-vida-" xr:uid="{00000000-0004-0000-0300-00004D000000}"/>
    <hyperlink ref="B80" r:id="rId79" display="https://centrodecapacitaciondelsur.com/soporte-basico-de-vida-" xr:uid="{00000000-0004-0000-0300-00004E000000}"/>
    <hyperlink ref="B81" r:id="rId80" display="https://centrodecapacitaciondelsur.com/soporte-basico-de-vida-" xr:uid="{00000000-0004-0000-0300-00004F000000}"/>
    <hyperlink ref="B82" r:id="rId81" display="https://centrodecapacitaciondelsur.com/soporte-basico-de-vida-" xr:uid="{00000000-0004-0000-0300-000050000000}"/>
    <hyperlink ref="B83" r:id="rId82" display="https://centrodecapacitaciondelsur.com/soporte-basico-de-vida-" xr:uid="{00000000-0004-0000-0300-000051000000}"/>
    <hyperlink ref="B84" r:id="rId83" display="https://centrodecapacitaciondelsur.com/soporte-basico-de-vida-" xr:uid="{00000000-0004-0000-0300-000052000000}"/>
    <hyperlink ref="B85" r:id="rId84" display="https://centrodecapacitaciondelsur.com/soporte-basico-de-vida-" xr:uid="{00000000-0004-0000-0300-000053000000}"/>
    <hyperlink ref="B86" r:id="rId85" display="https://centrodecapacitaciondelsur.com/soporte-basico-de-vida-" xr:uid="{00000000-0004-0000-0300-000054000000}"/>
    <hyperlink ref="B87" r:id="rId86" display="https://centrodecapacitaciondelsur.com/soporte-basico-de-vida-" xr:uid="{00000000-0004-0000-0300-000055000000}"/>
    <hyperlink ref="B88" r:id="rId87" display="https://centrodecapacitaciondelsur.com/soporte-basico-de-vida-" xr:uid="{00000000-0004-0000-0300-000056000000}"/>
    <hyperlink ref="B89" r:id="rId88" display="https://centrodecapacitaciondelsur.com/soporte-basico-de-vida-" xr:uid="{00000000-0004-0000-0300-000057000000}"/>
    <hyperlink ref="B90" r:id="rId89" display="https://centrodecapacitaciondelsur.com/soporte-basico-de-vida-" xr:uid="{00000000-0004-0000-0300-000058000000}"/>
    <hyperlink ref="B91" r:id="rId90" display="https://centrodecapacitaciondelsur.com/soporte-basico-de-vida-" xr:uid="{00000000-0004-0000-0300-000059000000}"/>
    <hyperlink ref="B92" r:id="rId91" display="https://centrodecapacitaciondelsur.com/soporte-basico-de-vida-" xr:uid="{00000000-0004-0000-0300-00005A000000}"/>
    <hyperlink ref="B93" r:id="rId92" display="https://centrodecapacitaciondelsur.com/soporte-basico-de-vida-" xr:uid="{00000000-0004-0000-0300-00005B000000}"/>
    <hyperlink ref="B94" r:id="rId93" display="https://centrodecapacitaciondelsur.com/soporte-basico-de-vida-" xr:uid="{00000000-0004-0000-0300-00005C000000}"/>
    <hyperlink ref="B95" r:id="rId94" display="https://centrodecapacitaciondelsur.com/soporte-basico-de-vida-" xr:uid="{00000000-0004-0000-0300-00005D000000}"/>
    <hyperlink ref="B96" r:id="rId95" display="https://centrodecapacitaciondelsur.com/soporte-basico-de-vida-" xr:uid="{00000000-0004-0000-0300-00005E000000}"/>
    <hyperlink ref="B97" r:id="rId96" display="https://centrodecapacitaciondelsur.com/soporte-basico-de-vida-" xr:uid="{00000000-0004-0000-0300-00005F000000}"/>
    <hyperlink ref="B98" r:id="rId97" display="https://centrodecapacitaciondelsur.com/soporte-basico-de-vida-" xr:uid="{00000000-0004-0000-0300-000060000000}"/>
    <hyperlink ref="B99" r:id="rId98" display="https://centrodecapacitaciondelsur.com/soporte-basico-de-vida-" xr:uid="{00000000-0004-0000-0300-000061000000}"/>
    <hyperlink ref="B100" r:id="rId99" display="https://centrodecapacitaciondelsur.com/soporte-basico-de-vida-" xr:uid="{00000000-0004-0000-0300-000062000000}"/>
    <hyperlink ref="B101" r:id="rId100" display="https://centrodecapacitaciondelsur.com/soporte-basico-de-vida-" xr:uid="{00000000-0004-0000-0300-000063000000}"/>
    <hyperlink ref="B102" r:id="rId101" display="https://centrodecapacitaciondelsur.com/soporte-basico-de-vida-" xr:uid="{00000000-0004-0000-0300-000064000000}"/>
    <hyperlink ref="B103" r:id="rId102" display="https://centrodecapacitaciondelsur.com/soporte-basico-de-vida-" xr:uid="{00000000-0004-0000-0300-000065000000}"/>
    <hyperlink ref="B104" r:id="rId103" display="https://centrodecapacitaciondelsur.com/soporte-basico-de-vida-" xr:uid="{00000000-0004-0000-0300-000066000000}"/>
    <hyperlink ref="B105" r:id="rId104" display="https://centrodecapacitaciondelsur.com/soporte-basico-de-vida-" xr:uid="{00000000-0004-0000-0300-000067000000}"/>
    <hyperlink ref="B106" r:id="rId105" display="https://centrodecapacitaciondelsur.com/soporte-basico-de-vida-" xr:uid="{00000000-0004-0000-0300-000068000000}"/>
    <hyperlink ref="B107" r:id="rId106" display="https://centrodecapacitaciondelsur.com/soporte-basico-de-vida-" xr:uid="{00000000-0004-0000-0300-000069000000}"/>
    <hyperlink ref="B108" r:id="rId107" display="https://centrodecapacitaciondelsur.com/soporte-basico-de-vida-" xr:uid="{00000000-0004-0000-0300-00006A000000}"/>
    <hyperlink ref="B109" r:id="rId108" display="https://centrodecapacitaciondelsur.com/soporte-basico-de-vida-" xr:uid="{00000000-0004-0000-0300-00006B000000}"/>
    <hyperlink ref="B110" r:id="rId109" display="https://centrodecapacitaciondelsur.com/soporte-basico-de-vida-" xr:uid="{00000000-0004-0000-0300-00006C000000}"/>
    <hyperlink ref="B111" r:id="rId110" display="https://centrodecapacitaciondelsur.com/soporte-basico-de-vida-" xr:uid="{00000000-0004-0000-0300-00006D000000}"/>
    <hyperlink ref="B112" r:id="rId111" display="https://centrodecapacitaciondelsur.com/soporte-basico-de-vida-" xr:uid="{00000000-0004-0000-0300-00006E000000}"/>
    <hyperlink ref="B113" r:id="rId112" display="https://centrodecapacitaciondelsur.com/soporte-basico-de-vida-" xr:uid="{00000000-0004-0000-0300-00006F000000}"/>
    <hyperlink ref="B114" r:id="rId113" display="https://centrodecapacitaciondelsur.com/soporte-basico-de-vida-" xr:uid="{00000000-0004-0000-0300-000070000000}"/>
    <hyperlink ref="B115" r:id="rId114" display="https://centrodecapacitaciondelsur.com/soporte-basico-de-vida-" xr:uid="{00000000-0004-0000-0300-000071000000}"/>
    <hyperlink ref="B116" r:id="rId115" display="https://centrodecapacitaciondelsur.com/soporte-basico-de-vida-" xr:uid="{00000000-0004-0000-0300-000072000000}"/>
    <hyperlink ref="B117" r:id="rId116" display="https://centrodecapacitaciondelsur.com/soporte-basico-de-vida-" xr:uid="{00000000-0004-0000-0300-000073000000}"/>
    <hyperlink ref="B118" r:id="rId117" display="https://centrodecapacitaciondelsur.com/soporte-basico-de-vida-" xr:uid="{00000000-0004-0000-0300-000074000000}"/>
    <hyperlink ref="B119" r:id="rId118" display="https://centrodecapacitaciondelsur.com/soporte-basico-de-vida-" xr:uid="{00000000-0004-0000-0300-000075000000}"/>
    <hyperlink ref="B120" r:id="rId119" display="https://centrodecapacitaciondelsur.com/soporte-basico-de-vida-" xr:uid="{00000000-0004-0000-0300-000076000000}"/>
    <hyperlink ref="B121" r:id="rId120" display="https://centrodecapacitaciondelsur.com/soporte-basico-de-vida-" xr:uid="{00000000-0004-0000-0300-000077000000}"/>
    <hyperlink ref="B122" r:id="rId121" display="https://centrodecapacitaciondelsur.com/soporte-basico-de-vida-" xr:uid="{00000000-0004-0000-0300-000078000000}"/>
    <hyperlink ref="B123" r:id="rId122" display="https://centrodecapacitaciondelsur.com/soporte-basico-de-vida-" xr:uid="{00000000-0004-0000-0300-000079000000}"/>
    <hyperlink ref="B124" r:id="rId123" display="https://centrodecapacitaciondelsur.com/soporte-basico-de-vida-" xr:uid="{00000000-0004-0000-0300-00007A000000}"/>
    <hyperlink ref="B125" r:id="rId124" display="https://centrodecapacitaciondelsur.com/soporte-basico-de-vida-" xr:uid="{00000000-0004-0000-0300-00007B000000}"/>
    <hyperlink ref="B126" r:id="rId125" display="https://centrodecapacitaciondelsur.com/soporte-basico-de-vida-" xr:uid="{00000000-0004-0000-0300-00007C000000}"/>
    <hyperlink ref="B127" r:id="rId126" display="https://centrodecapacitaciondelsur.com/soporte-basico-de-vida-" xr:uid="{00000000-0004-0000-0300-00007D000000}"/>
    <hyperlink ref="B128" r:id="rId127" display="https://centrodecapacitaciondelsur.com/soporte-basico-de-vida-" xr:uid="{00000000-0004-0000-0300-00007E000000}"/>
    <hyperlink ref="B129" r:id="rId128" display="https://centrodecapacitaciondelsur.com/soporte-basico-de-vida-" xr:uid="{00000000-0004-0000-0300-00007F000000}"/>
    <hyperlink ref="B130" r:id="rId129" display="https://centrodecapacitaciondelsur.com/soporte-basico-de-vida-" xr:uid="{00000000-0004-0000-0300-000080000000}"/>
    <hyperlink ref="B131" r:id="rId130" display="https://centrodecapacitaciondelsur.com/soporte-basico-de-vida-" xr:uid="{00000000-0004-0000-0300-000081000000}"/>
    <hyperlink ref="B132" r:id="rId131" display="https://centrodecapacitaciondelsur.com/soporte-basico-de-vida-" xr:uid="{00000000-0004-0000-0300-000082000000}"/>
    <hyperlink ref="B133" r:id="rId132" display="https://centrodecapacitaciondelsur.com/soporte-basico-de-vida-" xr:uid="{00000000-0004-0000-0300-000083000000}"/>
    <hyperlink ref="B134" r:id="rId133" display="https://centrodecapacitaciondelsur.com/soporte-basico-de-vida-" xr:uid="{00000000-0004-0000-0300-000084000000}"/>
    <hyperlink ref="B135" r:id="rId134" display="https://centrodecapacitaciondelsur.com/soporte-basico-de-vida-" xr:uid="{00000000-0004-0000-0300-000085000000}"/>
    <hyperlink ref="B136" r:id="rId135" display="https://centrodecapacitaciondelsur.com/soporte-basico-de-vida-" xr:uid="{00000000-0004-0000-0300-000086000000}"/>
    <hyperlink ref="B137" r:id="rId136" display="https://centrodecapacitaciondelsur.com/soporte-basico-de-vida-" xr:uid="{00000000-0004-0000-0300-000087000000}"/>
    <hyperlink ref="B138" r:id="rId137" display="https://centrodecapacitaciondelsur.com/soporte-basico-de-vida-" xr:uid="{00000000-0004-0000-0300-000088000000}"/>
    <hyperlink ref="B139" r:id="rId138" display="https://centrodecapacitaciondelsur.com/soporte-basico-de-vida-" xr:uid="{00000000-0004-0000-0300-000089000000}"/>
    <hyperlink ref="B140" r:id="rId139" display="https://centrodecapacitaciondelsur.com/soporte-basico-de-vida-" xr:uid="{00000000-0004-0000-0300-00008A000000}"/>
    <hyperlink ref="B141" r:id="rId140" display="https://centrodecapacitaciondelsur.com/soporte-basico-de-vida-" xr:uid="{00000000-0004-0000-0300-00008B000000}"/>
    <hyperlink ref="B142" r:id="rId141" display="https://centrodecapacitaciondelsur.com/soporte-basico-de-vida-" xr:uid="{00000000-0004-0000-0300-00008C000000}"/>
    <hyperlink ref="B143" r:id="rId142" display="https://centrodecapacitaciondelsur.com/soporte-basico-de-vida-" xr:uid="{00000000-0004-0000-0300-00008D000000}"/>
    <hyperlink ref="B144" r:id="rId143" display="https://centrodecapacitaciondelsur.com/soporte-basico-de-vida-" xr:uid="{00000000-0004-0000-0300-00008E000000}"/>
    <hyperlink ref="B145" r:id="rId144" display="https://centrodecapacitaciondelsur.com/soporte-basico-de-vida-" xr:uid="{00000000-0004-0000-0300-00008F000000}"/>
    <hyperlink ref="B146" r:id="rId145" display="https://centrodecapacitaciondelsur.com/soporte-basico-de-vida-" xr:uid="{00000000-0004-0000-0300-000090000000}"/>
    <hyperlink ref="B147" r:id="rId146" display="https://centrodecapacitaciondelsur.com/soporte-basico-de-vida-" xr:uid="{00000000-0004-0000-0300-000091000000}"/>
    <hyperlink ref="B148" r:id="rId147" display="https://centrodecapacitaciondelsur.com/soporte-basico-de-vida-" xr:uid="{00000000-0004-0000-0300-000092000000}"/>
    <hyperlink ref="B149" r:id="rId148" display="https://centrodecapacitaciondelsur.com/soporte-basico-de-vida-" xr:uid="{00000000-0004-0000-0300-000093000000}"/>
    <hyperlink ref="B150" r:id="rId149" display="https://centrodecapacitaciondelsur.com/soporte-basico-de-vida-" xr:uid="{00000000-0004-0000-0300-000094000000}"/>
    <hyperlink ref="B151" r:id="rId150" display="https://centrodecapacitaciondelsur.com/soporte-basico-de-vida-" xr:uid="{00000000-0004-0000-0300-000095000000}"/>
    <hyperlink ref="B152" r:id="rId151" display="https://centrodecapacitaciondelsur.com/soporte-basico-de-vida-" xr:uid="{00000000-0004-0000-0300-000096000000}"/>
    <hyperlink ref="B153" r:id="rId152" display="https://centrodecapacitaciondelsur.com/soporte-basico-de-vida-" xr:uid="{00000000-0004-0000-0300-000097000000}"/>
    <hyperlink ref="B154" r:id="rId153" display="https://centrodecapacitaciondelsur.com/soporte-basico-de-vida-" xr:uid="{00000000-0004-0000-0300-000098000000}"/>
    <hyperlink ref="B155" r:id="rId154" display="https://centrodecapacitaciondelsur.com/soporte-basico-de-vida-" xr:uid="{00000000-0004-0000-0300-000099000000}"/>
    <hyperlink ref="B156" r:id="rId155" display="https://centrodecapacitaciondelsur.com/soporte-basico-de-vida-" xr:uid="{00000000-0004-0000-0300-00009A000000}"/>
    <hyperlink ref="B157" r:id="rId156" display="https://centrodecapacitaciondelsur.com/soporte-basico-de-vida-" xr:uid="{00000000-0004-0000-0300-00009B000000}"/>
    <hyperlink ref="B158" r:id="rId157" display="https://centrodecapacitaciondelsur.com/soporte-basico-de-vida-" xr:uid="{00000000-0004-0000-0300-00009C000000}"/>
    <hyperlink ref="B159" r:id="rId158" display="https://centrodecapacitaciondelsur.com/soporte-basico-de-vida-" xr:uid="{00000000-0004-0000-0300-00009D000000}"/>
    <hyperlink ref="B160" r:id="rId159" display="https://centrodecapacitaciondelsur.com/soporte-basico-de-vida-" xr:uid="{00000000-0004-0000-0300-00009E000000}"/>
    <hyperlink ref="B161" r:id="rId160" display="https://centrodecapacitaciondelsur.com/soporte-basico-de-vida-" xr:uid="{00000000-0004-0000-0300-00009F000000}"/>
    <hyperlink ref="B162" r:id="rId161" display="https://centrodecapacitaciondelsur.com/soporte-basico-de-vida-" xr:uid="{00000000-0004-0000-0300-0000A0000000}"/>
    <hyperlink ref="B163" r:id="rId162" display="https://centrodecapacitaciondelsur.com/soporte-basico-de-vida-" xr:uid="{00000000-0004-0000-0300-0000A1000000}"/>
    <hyperlink ref="B164" r:id="rId163" display="https://centrodecapacitaciondelsur.com/soporte-basico-de-vida-" xr:uid="{00000000-0004-0000-0300-0000A2000000}"/>
    <hyperlink ref="B165" r:id="rId164" display="https://centrodecapacitaciondelsur.com/soporte-basico-de-vida-" xr:uid="{00000000-0004-0000-0300-0000A3000000}"/>
    <hyperlink ref="B166" r:id="rId165" display="https://centrodecapacitaciondelsur.com/soporte-basico-de-vida-" xr:uid="{00000000-0004-0000-0300-0000A4000000}"/>
    <hyperlink ref="B167" r:id="rId166" display="https://centrodecapacitaciondelsur.com/soporte-basico-de-vida-" xr:uid="{00000000-0004-0000-0300-0000A5000000}"/>
    <hyperlink ref="B168" r:id="rId167" display="https://centrodecapacitaciondelsur.com/soporte-basico-de-vida-" xr:uid="{00000000-0004-0000-0300-0000A6000000}"/>
    <hyperlink ref="B169" r:id="rId168" display="https://centrodecapacitaciondelsur.com/soporte-basico-de-vida-" xr:uid="{00000000-0004-0000-0300-0000A7000000}"/>
    <hyperlink ref="B170" r:id="rId169" display="https://centrodecapacitaciondelsur.com/soporte-basico-de-vida-" xr:uid="{00000000-0004-0000-0300-0000A8000000}"/>
    <hyperlink ref="B171" r:id="rId170" display="https://centrodecapacitaciondelsur.com/soporte-basico-de-vida-" xr:uid="{00000000-0004-0000-0300-0000A9000000}"/>
    <hyperlink ref="B172" r:id="rId171" display="https://centrodecapacitaciondelsur.com/soporte-basico-de-vida-" xr:uid="{00000000-0004-0000-0300-0000AA000000}"/>
    <hyperlink ref="B173" r:id="rId172" display="https://centrodecapacitaciondelsur.com/soporte-basico-de-vida-" xr:uid="{00000000-0004-0000-0300-0000AB000000}"/>
    <hyperlink ref="B174" r:id="rId173" display="https://centrodecapacitaciondelsur.com/soporte-basico-de-vida-" xr:uid="{00000000-0004-0000-0300-0000AC000000}"/>
    <hyperlink ref="B175" r:id="rId174" display="https://centrodecapacitaciondelsur.com/soporte-basico-de-vida-" xr:uid="{00000000-0004-0000-0300-0000AD000000}"/>
    <hyperlink ref="B176" r:id="rId175" display="https://centrodecapacitaciondelsur.com/soporte-basico-de-vida-" xr:uid="{00000000-0004-0000-0300-0000AE000000}"/>
    <hyperlink ref="B177" r:id="rId176" display="https://centrodecapacitaciondelsur.com/soporte-basico-de-vida-" xr:uid="{00000000-0004-0000-0300-0000AF000000}"/>
    <hyperlink ref="B178" r:id="rId177" display="https://centrodecapacitaciondelsur.com/soporte-basico-de-vida-" xr:uid="{00000000-0004-0000-0300-0000B0000000}"/>
    <hyperlink ref="B179" r:id="rId178" display="https://centrodecapacitaciondelsur.com/soporte-basico-de-vida-" xr:uid="{00000000-0004-0000-0300-0000B1000000}"/>
    <hyperlink ref="B180" r:id="rId179" display="https://centrodecapacitaciondelsur.com/soporte-basico-de-vida-" xr:uid="{00000000-0004-0000-0300-0000B2000000}"/>
    <hyperlink ref="B181" r:id="rId180" display="https://centrodecapacitaciondelsur.com/soporte-basico-de-vida-" xr:uid="{00000000-0004-0000-0300-0000B3000000}"/>
    <hyperlink ref="B182" r:id="rId181" display="https://centrodecapacitaciondelsur.com/soporte-basico-de-vida-" xr:uid="{00000000-0004-0000-0300-0000B4000000}"/>
    <hyperlink ref="B183" r:id="rId182" display="https://centrodecapacitaciondelsur.com/soporte-basico-de-vida-" xr:uid="{00000000-0004-0000-0300-0000B5000000}"/>
    <hyperlink ref="B184" r:id="rId183" display="https://centrodecapacitaciondelsur.com/soporte-basico-de-vida-" xr:uid="{00000000-0004-0000-0300-0000B6000000}"/>
    <hyperlink ref="B185" r:id="rId184" display="https://centrodecapacitaciondelsur.com/soporte-basico-de-vida-" xr:uid="{00000000-0004-0000-0300-0000B7000000}"/>
    <hyperlink ref="B186" r:id="rId185" display="https://centrodecapacitaciondelsur.com/soporte-basico-de-vida-" xr:uid="{00000000-0004-0000-0300-0000B8000000}"/>
    <hyperlink ref="B187" r:id="rId186" display="https://centrodecapacitaciondelsur.com/soporte-basico-de-vida-" xr:uid="{00000000-0004-0000-0300-0000B9000000}"/>
    <hyperlink ref="B188" r:id="rId187" display="https://centrodecapacitaciondelsur.com/soporte-basico-de-vida-" xr:uid="{00000000-0004-0000-0300-0000BA000000}"/>
    <hyperlink ref="B189" r:id="rId188" display="https://centrodecapacitaciondelsur.com/soporte-basico-de-vida-" xr:uid="{00000000-0004-0000-0300-0000BB000000}"/>
    <hyperlink ref="B190" r:id="rId189" display="https://centrodecapacitaciondelsur.com/soporte-basico-de-vida-" xr:uid="{00000000-0004-0000-0300-0000BC000000}"/>
    <hyperlink ref="B191" r:id="rId190" display="https://centrodecapacitaciondelsur.com/soporte-basico-de-vida-" xr:uid="{00000000-0004-0000-0300-0000BD000000}"/>
    <hyperlink ref="B192" r:id="rId191" display="https://centrodecapacitaciondelsur.com/soporte-basico-de-vida-" xr:uid="{00000000-0004-0000-0300-0000BE000000}"/>
    <hyperlink ref="B193" r:id="rId192" display="https://centrodecapacitaciondelsur.com/soporte-basico-de-vida-" xr:uid="{00000000-0004-0000-0300-0000BF000000}"/>
    <hyperlink ref="B194" r:id="rId193" display="https://centrodecapacitaciondelsur.com/soporte-basico-de-vida-" xr:uid="{00000000-0004-0000-0300-0000C0000000}"/>
    <hyperlink ref="B195" r:id="rId194" display="https://centrodecapacitaciondelsur.com/soporte-basico-de-vida-" xr:uid="{00000000-0004-0000-0300-0000C1000000}"/>
    <hyperlink ref="B196" r:id="rId195" display="https://centrodecapacitaciondelsur.com/soporte-basico-de-vida-" xr:uid="{00000000-0004-0000-0300-0000C2000000}"/>
    <hyperlink ref="B197" r:id="rId196" display="https://centrodecapacitaciondelsur.com/soporte-basico-de-vida-" xr:uid="{00000000-0004-0000-0300-0000C3000000}"/>
    <hyperlink ref="B198" r:id="rId197" display="https://centrodecapacitaciondelsur.com/soporte-basico-de-vida-" xr:uid="{00000000-0004-0000-0300-0000C4000000}"/>
    <hyperlink ref="B199" r:id="rId198" display="https://centrodecapacitaciondelsur.com/soporte-basico-de-vida-" xr:uid="{00000000-0004-0000-0300-0000C5000000}"/>
    <hyperlink ref="B200" r:id="rId199" display="https://centrodecapacitaciondelsur.com/soporte-basico-de-vida-" xr:uid="{00000000-0004-0000-0300-0000C6000000}"/>
    <hyperlink ref="B201" r:id="rId200" display="https://centrodecapacitaciondelsur.com/soporte-basico-de-vida-" xr:uid="{00000000-0004-0000-0300-0000C7000000}"/>
    <hyperlink ref="B202" r:id="rId201" display="https://centrodecapacitaciondelsur.com/soporte-basico-de-vida-" xr:uid="{00000000-0004-0000-0300-0000C8000000}"/>
    <hyperlink ref="B203" r:id="rId202" display="https://centrodecapacitaciondelsur.com/soporte-basico-de-vida-" xr:uid="{00000000-0004-0000-0300-0000C9000000}"/>
    <hyperlink ref="B204" r:id="rId203" display="https://centrodecapacitaciondelsur.com/soporte-basico-de-vida-" xr:uid="{00000000-0004-0000-0300-0000CA000000}"/>
    <hyperlink ref="B205" r:id="rId204" display="https://centrodecapacitaciondelsur.com/soporte-basico-de-vida-" xr:uid="{00000000-0004-0000-0300-0000CB000000}"/>
    <hyperlink ref="B206" r:id="rId205" display="https://centrodecapacitaciondelsur.com/soporte-basico-de-vida-" xr:uid="{00000000-0004-0000-0300-0000CC000000}"/>
    <hyperlink ref="B207" r:id="rId206" display="https://centrodecapacitaciondelsur.com/soporte-basico-de-vida-" xr:uid="{00000000-0004-0000-0300-0000CD000000}"/>
    <hyperlink ref="B208" r:id="rId207" display="https://centrodecapacitaciondelsur.com/soporte-basico-de-vida-" xr:uid="{00000000-0004-0000-0300-0000CE000000}"/>
    <hyperlink ref="B209" r:id="rId208" display="https://centrodecapacitaciondelsur.com/soporte-basico-de-vida-" xr:uid="{00000000-0004-0000-0300-0000CF000000}"/>
    <hyperlink ref="B210" r:id="rId209" display="https://centrodecapacitaciondelsur.com/soporte-basico-de-vida-" xr:uid="{00000000-0004-0000-0300-0000D0000000}"/>
    <hyperlink ref="B211" r:id="rId210" display="https://centrodecapacitaciondelsur.com/soporte-basico-de-vida-" xr:uid="{00000000-0004-0000-0300-0000D1000000}"/>
    <hyperlink ref="B212" r:id="rId211" display="https://centrodecapacitaciondelsur.com/soporte-basico-de-vida-" xr:uid="{00000000-0004-0000-0300-0000D2000000}"/>
    <hyperlink ref="B213" r:id="rId212" display="https://centrodecapacitaciondelsur.com/soporte-basico-de-vida-" xr:uid="{00000000-0004-0000-0300-0000D3000000}"/>
    <hyperlink ref="B214" r:id="rId213" display="https://centrodecapacitaciondelsur.com/soporte-basico-de-vida-" xr:uid="{00000000-0004-0000-0300-0000D4000000}"/>
    <hyperlink ref="B215" r:id="rId214" display="https://centrodecapacitaciondelsur.com/soporte-basico-de-vida-" xr:uid="{00000000-0004-0000-0300-0000D5000000}"/>
    <hyperlink ref="B216" r:id="rId215" display="https://centrodecapacitaciondelsur.com/soporte-basico-de-vida-" xr:uid="{00000000-0004-0000-0300-0000D6000000}"/>
    <hyperlink ref="B217" r:id="rId216" display="https://centrodecapacitaciondelsur.com/soporte-basico-de-vida-" xr:uid="{00000000-0004-0000-0300-0000D7000000}"/>
    <hyperlink ref="B218" r:id="rId217" display="https://centrodecapacitaciondelsur.com/soporte-basico-de-vida-" xr:uid="{00000000-0004-0000-0300-0000D8000000}"/>
    <hyperlink ref="B219" r:id="rId218" display="https://centrodecapacitaciondelsur.com/soporte-basico-de-vida-" xr:uid="{00000000-0004-0000-0300-0000D9000000}"/>
    <hyperlink ref="B220" r:id="rId219" display="https://centrodecapacitaciondelsur.com/soporte-basico-de-vida-" xr:uid="{00000000-0004-0000-0300-0000DA000000}"/>
    <hyperlink ref="B221" r:id="rId220" display="https://centrodecapacitaciondelsur.com/soporte-basico-de-vida-" xr:uid="{00000000-0004-0000-0300-0000DB000000}"/>
    <hyperlink ref="B222" r:id="rId221" display="https://centrodecapacitaciondelsur.com/soporte-basico-de-vida-" xr:uid="{00000000-0004-0000-0300-0000DC000000}"/>
    <hyperlink ref="B223" r:id="rId222" display="https://centrodecapacitaciondelsur.com/soporte-basico-de-vida-" xr:uid="{00000000-0004-0000-0300-0000DD000000}"/>
    <hyperlink ref="B224" r:id="rId223" display="https://centrodecapacitaciondelsur.com/soporte-basico-de-vida-" xr:uid="{00000000-0004-0000-0300-0000DE000000}"/>
    <hyperlink ref="B225" r:id="rId224" display="https://centrodecapacitaciondelsur.com/soporte-basico-de-vida-" xr:uid="{00000000-0004-0000-0300-0000DF000000}"/>
    <hyperlink ref="B226" r:id="rId225" display="https://centrodecapacitaciondelsur.com/soporte-basico-de-vida-" xr:uid="{00000000-0004-0000-0300-0000E0000000}"/>
    <hyperlink ref="B227" r:id="rId226" display="https://centrodecapacitaciondelsur.com/soporte-basico-de-vida-" xr:uid="{00000000-0004-0000-0300-0000E1000000}"/>
    <hyperlink ref="B228" r:id="rId227" display="https://centrodecapacitaciondelsur.com/soporte-basico-de-vida-" xr:uid="{00000000-0004-0000-0300-0000E2000000}"/>
    <hyperlink ref="B229" r:id="rId228" display="https://centrodecapacitaciondelsur.com/soporte-basico-de-vida-" xr:uid="{00000000-0004-0000-0300-0000E3000000}"/>
    <hyperlink ref="B230" r:id="rId229" display="https://centrodecapacitaciondelsur.com/soporte-basico-de-vida-" xr:uid="{00000000-0004-0000-0300-0000E4000000}"/>
    <hyperlink ref="B231" r:id="rId230" display="https://centrodecapacitaciondelsur.com/soporte-basico-de-vida-" xr:uid="{00000000-0004-0000-0300-0000E5000000}"/>
    <hyperlink ref="B232" r:id="rId231" display="https://centrodecapacitaciondelsur.com/soporte-basico-de-vida-" xr:uid="{00000000-0004-0000-0300-0000E6000000}"/>
    <hyperlink ref="B233" r:id="rId232" display="https://centrodecapacitaciondelsur.com/soporte-basico-de-vida-" xr:uid="{00000000-0004-0000-0300-0000E7000000}"/>
    <hyperlink ref="B234" r:id="rId233" display="https://centrodecapacitaciondelsur.com/soporte-basico-de-vida-" xr:uid="{00000000-0004-0000-0300-0000E8000000}"/>
    <hyperlink ref="B235" r:id="rId234" display="https://centrodecapacitaciondelsur.com/soporte-basico-de-vida-" xr:uid="{00000000-0004-0000-0300-0000E9000000}"/>
    <hyperlink ref="B236" r:id="rId235" display="https://centrodecapacitaciondelsur.com/soporte-basico-de-vida-" xr:uid="{00000000-0004-0000-0300-0000EA000000}"/>
    <hyperlink ref="B237" r:id="rId236" display="https://centrodecapacitaciondelsur.com/soporte-basico-de-vida-" xr:uid="{00000000-0004-0000-0300-0000EB000000}"/>
    <hyperlink ref="B238" r:id="rId237" display="https://centrodecapacitaciondelsur.com/soporte-basico-de-vida-" xr:uid="{00000000-0004-0000-0300-0000EC000000}"/>
    <hyperlink ref="B239" r:id="rId238" display="https://centrodecapacitaciondelsur.com/soporte-basico-de-vida-" xr:uid="{00000000-0004-0000-0300-0000ED000000}"/>
    <hyperlink ref="B240" r:id="rId239" display="https://centrodecapacitaciondelsur.com/soporte-basico-de-vida-" xr:uid="{00000000-0004-0000-0300-0000EE000000}"/>
    <hyperlink ref="B241" r:id="rId240" display="https://centrodecapacitaciondelsur.com/soporte-basico-de-vida-" xr:uid="{00000000-0004-0000-0300-0000EF000000}"/>
    <hyperlink ref="B242" r:id="rId241" display="https://centrodecapacitaciondelsur.com/soporte-basico-de-vida-" xr:uid="{00000000-0004-0000-0300-0000F0000000}"/>
    <hyperlink ref="B243" r:id="rId242" display="https://centrodecapacitaciondelsur.com/soporte-basico-de-vida-" xr:uid="{00000000-0004-0000-0300-0000F1000000}"/>
    <hyperlink ref="B244" r:id="rId243" display="https://centrodecapacitaciondelsur.com/soporte-basico-de-vida-" xr:uid="{00000000-0004-0000-0300-0000F2000000}"/>
    <hyperlink ref="B245" r:id="rId244" display="https://centrodecapacitaciondelsur.com/soporte-basico-de-vida-" xr:uid="{00000000-0004-0000-0300-0000F3000000}"/>
    <hyperlink ref="B246" r:id="rId245" display="https://centrodecapacitaciondelsur.com/soporte-basico-de-vida-" xr:uid="{00000000-0004-0000-0300-0000F4000000}"/>
    <hyperlink ref="B247" r:id="rId246" display="https://centrodecapacitaciondelsur.com/soporte-basico-de-vida-" xr:uid="{00000000-0004-0000-0300-0000F5000000}"/>
    <hyperlink ref="B248" r:id="rId247" display="https://centrodecapacitaciondelsur.com/soporte-basico-de-vida-" xr:uid="{00000000-0004-0000-0300-0000F6000000}"/>
    <hyperlink ref="B249" r:id="rId248" display="https://centrodecapacitaciondelsur.com/soporte-basico-de-vida-" xr:uid="{00000000-0004-0000-0300-0000F7000000}"/>
    <hyperlink ref="B250" r:id="rId249" display="https://centrodecapacitaciondelsur.com/soporte-basico-de-vida-" xr:uid="{00000000-0004-0000-0300-0000F8000000}"/>
    <hyperlink ref="B260" r:id="rId250" display="https://centrodecapacitaciondelsur.com/soporte-basico-de-vida-" xr:uid="{00000000-0004-0000-0300-0000F9000000}"/>
    <hyperlink ref="B251" r:id="rId251" display="https://centrodecapacitaciondelsur.com/soporte-basico-de-vida-" xr:uid="{00000000-0004-0000-0300-0000FA000000}"/>
    <hyperlink ref="B257" r:id="rId252" display="https://centrodecapacitaciondelsur.com/soporte-basico-de-vida-" xr:uid="{00000000-0004-0000-0300-0000FB000000}"/>
    <hyperlink ref="B258" r:id="rId253" display="https://centrodecapacitaciondelsur.com/soporte-basico-de-vida-" xr:uid="{00000000-0004-0000-0300-0000FC000000}"/>
    <hyperlink ref="B259" r:id="rId254" display="https://centrodecapacitaciondelsur.com/soporte-basico-de-vida-" xr:uid="{00000000-0004-0000-0300-0000FD000000}"/>
    <hyperlink ref="B254" r:id="rId255" display="https://centrodecapacitaciondelsur.com/soporte-basico-de-vida-" xr:uid="{00000000-0004-0000-0300-0000FE000000}"/>
    <hyperlink ref="B255" r:id="rId256" display="https://centrodecapacitaciondelsur.com/soporte-basico-de-vida-" xr:uid="{00000000-0004-0000-0300-0000FF000000}"/>
    <hyperlink ref="B256" r:id="rId257" display="https://centrodecapacitaciondelsur.com/soporte-basico-de-vida-" xr:uid="{00000000-0004-0000-0300-000000010000}"/>
    <hyperlink ref="B252" r:id="rId258" display="https://centrodecapacitaciondelsur.com/soporte-basico-de-vida-" xr:uid="{00000000-0004-0000-0300-000001010000}"/>
    <hyperlink ref="B253" r:id="rId259" display="https://centrodecapacitaciondelsur.com/soporte-basico-de-vida-" xr:uid="{00000000-0004-0000-0300-000002010000}"/>
    <hyperlink ref="B261" r:id="rId260" display="https://centrodecapacitaciondelsur.com/soporte-basico-de-vida-" xr:uid="{00000000-0004-0000-0300-000003010000}"/>
    <hyperlink ref="B262" r:id="rId261" display="https://centrodecapacitaciondelsur.com/soporte-basico-de-vida-" xr:uid="{00000000-0004-0000-0300-000004010000}"/>
    <hyperlink ref="B263" r:id="rId262" display="https://centrodecapacitaciondelsur.com/soporte-basico-de-vida-" xr:uid="{00000000-0004-0000-0300-000005010000}"/>
    <hyperlink ref="B264" r:id="rId263" display="https://centrodecapacitaciondelsur.com/soporte-basico-de-vida-" xr:uid="{00000000-0004-0000-0300-000006010000}"/>
    <hyperlink ref="B265" r:id="rId264" display="https://centrodecapacitaciondelsur.com/soporte-basico-de-vida-" xr:uid="{00000000-0004-0000-0300-000007010000}"/>
    <hyperlink ref="B266" r:id="rId265" display="https://centrodecapacitaciondelsur.com/soporte-basico-de-vida-" xr:uid="{00000000-0004-0000-0300-000008010000}"/>
    <hyperlink ref="B267" r:id="rId266" display="https://centrodecapacitaciondelsur.com/soporte-basico-de-vida-" xr:uid="{00000000-0004-0000-0300-000009010000}"/>
    <hyperlink ref="B268" r:id="rId267" display="https://centrodecapacitaciondelsur.com/soporte-basico-de-vida-" xr:uid="{00000000-0004-0000-0300-00000A010000}"/>
    <hyperlink ref="B269" r:id="rId268" display="https://centrodecapacitaciondelsur.com/soporte-basico-de-vida-" xr:uid="{00000000-0004-0000-0300-00000B010000}"/>
    <hyperlink ref="B270" r:id="rId269" display="https://centrodecapacitaciondelsur.com/soporte-basico-de-vida-" xr:uid="{00000000-0004-0000-0300-00000C010000}"/>
    <hyperlink ref="B271" r:id="rId270" display="https://centrodecapacitaciondelsur.com/soporte-basico-de-vida-" xr:uid="{00000000-0004-0000-0300-00000D010000}"/>
    <hyperlink ref="B272" r:id="rId271" display="https://centrodecapacitaciondelsur.com/soporte-basico-de-vida-" xr:uid="{00000000-0004-0000-0300-00000E010000}"/>
    <hyperlink ref="B273" r:id="rId272" display="https://centrodecapacitaciondelsur.com/soporte-basico-de-vida-" xr:uid="{00000000-0004-0000-0300-00000F010000}"/>
    <hyperlink ref="B274" r:id="rId273" display="https://centrodecapacitaciondelsur.com/soporte-basico-de-vida-" xr:uid="{00000000-0004-0000-0300-000010010000}"/>
    <hyperlink ref="B275" r:id="rId274" display="https://centrodecapacitaciondelsur.com/soporte-basico-de-vida-" xr:uid="{00000000-0004-0000-0300-000011010000}"/>
    <hyperlink ref="B276" r:id="rId275" display="https://centrodecapacitaciondelsur.com/soporte-basico-de-vida-" xr:uid="{00000000-0004-0000-0300-000012010000}"/>
    <hyperlink ref="B277" r:id="rId276" display="https://centrodecapacitaciondelsur.com/soporte-basico-de-vida-" xr:uid="{00000000-0004-0000-0300-000013010000}"/>
    <hyperlink ref="B278" r:id="rId277" display="https://centrodecapacitaciondelsur.com/soporte-basico-de-vida-" xr:uid="{00000000-0004-0000-0300-000014010000}"/>
    <hyperlink ref="B279" r:id="rId278" display="https://centrodecapacitaciondelsur.com/soporte-basico-de-vida-" xr:uid="{00000000-0004-0000-0300-000015010000}"/>
    <hyperlink ref="B280" r:id="rId279" display="https://centrodecapacitaciondelsur.com/soporte-basico-de-vida-" xr:uid="{00000000-0004-0000-0300-000016010000}"/>
    <hyperlink ref="B281" r:id="rId280" display="https://centrodecapacitaciondelsur.com/soporte-basico-de-vida-" xr:uid="{00000000-0004-0000-0300-000017010000}"/>
    <hyperlink ref="B282" r:id="rId281" display="https://centrodecapacitaciondelsur.com/soporte-basico-de-vida-" xr:uid="{00000000-0004-0000-0300-000018010000}"/>
    <hyperlink ref="B283" r:id="rId282" display="https://centrodecapacitaciondelsur.com/soporte-basico-de-vida-" xr:uid="{00000000-0004-0000-0300-000019010000}"/>
    <hyperlink ref="B284" r:id="rId283" display="https://centrodecapacitaciondelsur.com/soporte-basico-de-vida-" xr:uid="{00000000-0004-0000-0300-00001A010000}"/>
    <hyperlink ref="B285" r:id="rId284" display="https://centrodecapacitaciondelsur.com/soporte-basico-de-vida-" xr:uid="{00000000-0004-0000-0300-00001B010000}"/>
    <hyperlink ref="B286" r:id="rId285" display="https://centrodecapacitaciondelsur.com/soporte-basico-de-vida-" xr:uid="{00000000-0004-0000-0300-00001C010000}"/>
    <hyperlink ref="B287" r:id="rId286" display="https://centrodecapacitaciondelsur.com/soporte-basico-de-vida-" xr:uid="{00000000-0004-0000-0300-00001D010000}"/>
    <hyperlink ref="B288" r:id="rId287" display="https://centrodecapacitaciondelsur.com/soporte-basico-de-vida-" xr:uid="{00000000-0004-0000-0300-00001E010000}"/>
    <hyperlink ref="B289" r:id="rId288" display="https://centrodecapacitaciondelsur.com/soporte-basico-de-vida-" xr:uid="{00000000-0004-0000-0300-00001F010000}"/>
    <hyperlink ref="B290" r:id="rId289" display="https://centrodecapacitaciondelsur.com/soporte-basico-de-vida-" xr:uid="{00000000-0004-0000-0300-000020010000}"/>
    <hyperlink ref="B291" r:id="rId290" display="https://centrodecapacitaciondelsur.com/soporte-basico-de-vida-" xr:uid="{00000000-0004-0000-0300-000021010000}"/>
    <hyperlink ref="B292" r:id="rId291" display="https://centrodecapacitaciondelsur.com/soporte-basico-de-vida-" xr:uid="{00000000-0004-0000-0300-000022010000}"/>
    <hyperlink ref="B293" r:id="rId292" display="https://centrodecapacitaciondelsur.com/soporte-basico-de-vida-" xr:uid="{00000000-0004-0000-0300-000023010000}"/>
    <hyperlink ref="B294" r:id="rId293" display="https://centrodecapacitaciondelsur.com/soporte-basico-de-vida-" xr:uid="{00000000-0004-0000-0300-000024010000}"/>
    <hyperlink ref="B295" r:id="rId294" display="https://centrodecapacitaciondelsur.com/soporte-basico-de-vida-" xr:uid="{00000000-0004-0000-0300-000025010000}"/>
    <hyperlink ref="B296" r:id="rId295" display="https://centrodecapacitaciondelsur.com/soporte-basico-de-vida-" xr:uid="{00000000-0004-0000-0300-000026010000}"/>
    <hyperlink ref="B297" r:id="rId296" display="https://centrodecapacitaciondelsur.com/soporte-basico-de-vida-" xr:uid="{00000000-0004-0000-0300-000027010000}"/>
    <hyperlink ref="B298" r:id="rId297" display="https://centrodecapacitaciondelsur.com/soporte-basico-de-vida-" xr:uid="{00000000-0004-0000-0300-000028010000}"/>
    <hyperlink ref="B299" r:id="rId298" display="https://centrodecapacitaciondelsur.com/soporte-basico-de-vida-" xr:uid="{00000000-0004-0000-0300-000029010000}"/>
    <hyperlink ref="B300" r:id="rId299" display="https://centrodecapacitaciondelsur.com/soporte-basico-de-vida-" xr:uid="{00000000-0004-0000-0300-00002A010000}"/>
    <hyperlink ref="B301" r:id="rId300" display="https://centrodecapacitaciondelsur.com/soporte-basico-de-vida-" xr:uid="{00000000-0004-0000-0300-00002B010000}"/>
    <hyperlink ref="B302" r:id="rId301" display="https://centrodecapacitaciondelsur.com/soporte-basico-de-vida-" xr:uid="{00000000-0004-0000-0300-00002C010000}"/>
    <hyperlink ref="B303" r:id="rId302" display="https://centrodecapacitaciondelsur.com/soporte-basico-de-vida-" xr:uid="{00000000-0004-0000-0300-00002D010000}"/>
    <hyperlink ref="B304" r:id="rId303" display="https://centrodecapacitaciondelsur.com/soporte-basico-de-vida-" xr:uid="{00000000-0004-0000-0300-00002E010000}"/>
    <hyperlink ref="B305" r:id="rId304" display="https://centrodecapacitaciondelsur.com/soporte-basico-de-vida-" xr:uid="{00000000-0004-0000-0300-00002F010000}"/>
    <hyperlink ref="B306" r:id="rId305" display="https://centrodecapacitaciondelsur.com/soporte-basico-de-vida-" xr:uid="{00000000-0004-0000-0300-000030010000}"/>
    <hyperlink ref="B307" r:id="rId306" display="https://centrodecapacitaciondelsur.com/soporte-basico-de-vida-" xr:uid="{00000000-0004-0000-0300-000031010000}"/>
    <hyperlink ref="B308" r:id="rId307" display="https://centrodecapacitaciondelsur.com/soporte-basico-de-vida-" xr:uid="{00000000-0004-0000-0300-000032010000}"/>
    <hyperlink ref="B309" r:id="rId308" display="https://centrodecapacitaciondelsur.com/soporte-basico-de-vida-" xr:uid="{00000000-0004-0000-0300-000033010000}"/>
    <hyperlink ref="B310" r:id="rId309" display="https://centrodecapacitaciondelsur.com/soporte-basico-de-vida-" xr:uid="{00000000-0004-0000-0300-000034010000}"/>
    <hyperlink ref="B311" r:id="rId310" display="https://centrodecapacitaciondelsur.com/soporte-basico-de-vida-" xr:uid="{00000000-0004-0000-0300-000035010000}"/>
    <hyperlink ref="B312" r:id="rId311" display="https://centrodecapacitaciondelsur.com/soporte-basico-de-vida-" xr:uid="{00000000-0004-0000-0300-000036010000}"/>
    <hyperlink ref="B313" r:id="rId312" display="https://centrodecapacitaciondelsur.com/soporte-basico-de-vida-" xr:uid="{00000000-0004-0000-0300-000037010000}"/>
    <hyperlink ref="B314" r:id="rId313" display="https://centrodecapacitaciondelsur.com/soporte-basico-de-vida-" xr:uid="{00000000-0004-0000-0300-000038010000}"/>
    <hyperlink ref="B315" r:id="rId314" display="https://centrodecapacitaciondelsur.com/soporte-basico-de-vida-" xr:uid="{00000000-0004-0000-0300-000039010000}"/>
    <hyperlink ref="B316" r:id="rId315" display="https://centrodecapacitaciondelsur.com/soporte-basico-de-vida-" xr:uid="{00000000-0004-0000-0300-00003A010000}"/>
    <hyperlink ref="B317" r:id="rId316" display="https://centrodecapacitaciondelsur.com/soporte-basico-de-vida-" xr:uid="{00000000-0004-0000-0300-00003B010000}"/>
    <hyperlink ref="B318" r:id="rId317" display="https://centrodecapacitaciondelsur.com/soporte-basico-de-vida-" xr:uid="{00000000-0004-0000-0300-00003C010000}"/>
  </hyperlinks>
  <pageMargins left="0.7" right="0.7" top="0.75" bottom="0.75" header="0.3" footer="0.3"/>
  <pageSetup orientation="portrait" r:id="rId3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INSCRITOS</vt:lpstr>
      <vt:lpstr>POCT</vt:lpstr>
      <vt:lpstr>CURSOS</vt:lpstr>
      <vt:lpstr>LINK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NICOLAS ROSERO</cp:lastModifiedBy>
  <cp:lastPrinted>2023-10-09T20:56:18Z</cp:lastPrinted>
  <dcterms:created xsi:type="dcterms:W3CDTF">2023-09-02T16:45:54Z</dcterms:created>
  <dcterms:modified xsi:type="dcterms:W3CDTF">2025-01-23T23:07:22Z</dcterms:modified>
</cp:coreProperties>
</file>