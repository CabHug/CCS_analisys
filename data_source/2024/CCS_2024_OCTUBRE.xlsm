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go\Downloads\"/>
    </mc:Choice>
  </mc:AlternateContent>
  <xr:revisionPtr revIDLastSave="0" documentId="13_ncr:1_{76672F7B-4A26-4D96-B539-346F5B8FA981}" xr6:coauthVersionLast="47" xr6:coauthVersionMax="47" xr10:uidLastSave="{00000000-0000-0000-0000-000000000000}"/>
  <bookViews>
    <workbookView xWindow="-120" yWindow="-120" windowWidth="29040" windowHeight="15720" tabRatio="574" xr2:uid="{00000000-000D-0000-FFFF-FFFF00000000}"/>
  </bookViews>
  <sheets>
    <sheet name="INSCRITOS" sheetId="1" r:id="rId1"/>
    <sheet name="CURSOS" sheetId="2" r:id="rId2"/>
    <sheet name="LINK" sheetId="7" r:id="rId3"/>
  </sheets>
  <externalReferences>
    <externalReference r:id="rId4"/>
  </externalReferences>
  <definedNames>
    <definedName name="_xlnm._FilterDatabase" localSheetId="0" hidden="1">INSCRITOS!$A$1:$X$249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" i="1" l="1"/>
  <c r="V3" i="1"/>
  <c r="W3" i="1" s="1"/>
  <c r="U4" i="1"/>
  <c r="V4" i="1"/>
  <c r="W4" i="1" s="1"/>
  <c r="U5" i="1"/>
  <c r="V5" i="1"/>
  <c r="W5" i="1" s="1"/>
  <c r="U6" i="1"/>
  <c r="V6" i="1"/>
  <c r="W6" i="1" s="1"/>
  <c r="U7" i="1"/>
  <c r="V7" i="1"/>
  <c r="W7" i="1" s="1"/>
  <c r="U8" i="1"/>
  <c r="V8" i="1"/>
  <c r="W8" i="1" s="1"/>
  <c r="U9" i="1"/>
  <c r="V9" i="1"/>
  <c r="W9" i="1" s="1"/>
  <c r="U10" i="1"/>
  <c r="V10" i="1"/>
  <c r="W10" i="1" s="1"/>
  <c r="U11" i="1"/>
  <c r="V11" i="1"/>
  <c r="W11" i="1" s="1"/>
  <c r="U12" i="1"/>
  <c r="V12" i="1"/>
  <c r="W12" i="1" s="1"/>
  <c r="U13" i="1"/>
  <c r="V13" i="1"/>
  <c r="W13" i="1" s="1"/>
  <c r="U14" i="1"/>
  <c r="V14" i="1"/>
  <c r="W14" i="1" s="1"/>
  <c r="U15" i="1"/>
  <c r="V15" i="1"/>
  <c r="W15" i="1" s="1"/>
  <c r="U16" i="1"/>
  <c r="V16" i="1"/>
  <c r="W16" i="1" s="1"/>
  <c r="U17" i="1"/>
  <c r="V17" i="1"/>
  <c r="W17" i="1" s="1"/>
  <c r="U18" i="1"/>
  <c r="V18" i="1"/>
  <c r="W18" i="1" s="1"/>
  <c r="U19" i="1"/>
  <c r="V19" i="1"/>
  <c r="W19" i="1" s="1"/>
  <c r="U20" i="1"/>
  <c r="V20" i="1"/>
  <c r="W20" i="1" s="1"/>
  <c r="U21" i="1"/>
  <c r="V21" i="1"/>
  <c r="W21" i="1" s="1"/>
  <c r="U22" i="1"/>
  <c r="V22" i="1"/>
  <c r="W22" i="1" s="1"/>
  <c r="U23" i="1"/>
  <c r="V23" i="1"/>
  <c r="W23" i="1" s="1"/>
  <c r="U24" i="1"/>
  <c r="V24" i="1"/>
  <c r="W24" i="1" s="1"/>
  <c r="U25" i="1"/>
  <c r="V25" i="1"/>
  <c r="W25" i="1" s="1"/>
  <c r="U26" i="1"/>
  <c r="V26" i="1"/>
  <c r="W26" i="1" s="1"/>
  <c r="U27" i="1"/>
  <c r="V27" i="1"/>
  <c r="W27" i="1" s="1"/>
  <c r="U28" i="1"/>
  <c r="V28" i="1"/>
  <c r="W28" i="1" s="1"/>
  <c r="U29" i="1"/>
  <c r="V29" i="1"/>
  <c r="U30" i="1"/>
  <c r="V30" i="1"/>
  <c r="W30" i="1" s="1"/>
  <c r="U31" i="1"/>
  <c r="V31" i="1"/>
  <c r="U32" i="1"/>
  <c r="V32" i="1"/>
  <c r="W32" i="1" s="1"/>
  <c r="U33" i="1"/>
  <c r="V33" i="1"/>
  <c r="U34" i="1"/>
  <c r="V34" i="1"/>
  <c r="W34" i="1" s="1"/>
  <c r="U35" i="1"/>
  <c r="V35" i="1"/>
  <c r="U36" i="1"/>
  <c r="V36" i="1"/>
  <c r="W36" i="1" s="1"/>
  <c r="U37" i="1"/>
  <c r="V37" i="1"/>
  <c r="U38" i="1"/>
  <c r="V38" i="1"/>
  <c r="W38" i="1" s="1"/>
  <c r="U39" i="1"/>
  <c r="V39" i="1"/>
  <c r="U40" i="1"/>
  <c r="V40" i="1"/>
  <c r="W40" i="1" s="1"/>
  <c r="U41" i="1"/>
  <c r="V41" i="1"/>
  <c r="U42" i="1"/>
  <c r="V42" i="1"/>
  <c r="W42" i="1" s="1"/>
  <c r="U43" i="1"/>
  <c r="V43" i="1"/>
  <c r="U44" i="1"/>
  <c r="V44" i="1"/>
  <c r="W44" i="1" s="1"/>
  <c r="U45" i="1"/>
  <c r="V45" i="1"/>
  <c r="U46" i="1"/>
  <c r="V46" i="1"/>
  <c r="W46" i="1" s="1"/>
  <c r="U47" i="1"/>
  <c r="V47" i="1"/>
  <c r="U48" i="1"/>
  <c r="V48" i="1"/>
  <c r="W48" i="1" s="1"/>
  <c r="U49" i="1"/>
  <c r="V49" i="1"/>
  <c r="U50" i="1"/>
  <c r="V50" i="1"/>
  <c r="W50" i="1" s="1"/>
  <c r="U51" i="1"/>
  <c r="V51" i="1"/>
  <c r="U52" i="1"/>
  <c r="V52" i="1"/>
  <c r="W52" i="1" s="1"/>
  <c r="U53" i="1"/>
  <c r="V53" i="1"/>
  <c r="U54" i="1"/>
  <c r="V54" i="1"/>
  <c r="W54" i="1" s="1"/>
  <c r="U55" i="1"/>
  <c r="V55" i="1"/>
  <c r="U56" i="1"/>
  <c r="V56" i="1"/>
  <c r="W56" i="1" s="1"/>
  <c r="U57" i="1"/>
  <c r="V57" i="1"/>
  <c r="U58" i="1"/>
  <c r="V58" i="1"/>
  <c r="W58" i="1" s="1"/>
  <c r="U59" i="1"/>
  <c r="V59" i="1"/>
  <c r="U60" i="1"/>
  <c r="V60" i="1"/>
  <c r="W60" i="1" s="1"/>
  <c r="U61" i="1"/>
  <c r="V61" i="1"/>
  <c r="U62" i="1"/>
  <c r="V62" i="1"/>
  <c r="W62" i="1" s="1"/>
  <c r="U63" i="1"/>
  <c r="V63" i="1"/>
  <c r="U64" i="1"/>
  <c r="V64" i="1"/>
  <c r="W64" i="1" s="1"/>
  <c r="U65" i="1"/>
  <c r="V65" i="1"/>
  <c r="U66" i="1"/>
  <c r="V66" i="1"/>
  <c r="W66" i="1" s="1"/>
  <c r="U67" i="1"/>
  <c r="V67" i="1"/>
  <c r="U68" i="1"/>
  <c r="V68" i="1"/>
  <c r="W68" i="1" s="1"/>
  <c r="U69" i="1"/>
  <c r="V69" i="1"/>
  <c r="U70" i="1"/>
  <c r="V70" i="1"/>
  <c r="W70" i="1" s="1"/>
  <c r="U71" i="1"/>
  <c r="V71" i="1"/>
  <c r="U72" i="1"/>
  <c r="V72" i="1"/>
  <c r="W72" i="1" s="1"/>
  <c r="U73" i="1"/>
  <c r="V73" i="1"/>
  <c r="U74" i="1"/>
  <c r="V74" i="1"/>
  <c r="W74" i="1" s="1"/>
  <c r="U75" i="1"/>
  <c r="V75" i="1"/>
  <c r="U76" i="1"/>
  <c r="V76" i="1"/>
  <c r="W76" i="1" s="1"/>
  <c r="U77" i="1"/>
  <c r="V77" i="1"/>
  <c r="U78" i="1"/>
  <c r="V78" i="1"/>
  <c r="W78" i="1" s="1"/>
  <c r="U79" i="1"/>
  <c r="V79" i="1"/>
  <c r="U80" i="1"/>
  <c r="V80" i="1"/>
  <c r="W80" i="1" s="1"/>
  <c r="U81" i="1"/>
  <c r="V81" i="1"/>
  <c r="U82" i="1"/>
  <c r="V82" i="1"/>
  <c r="W82" i="1" s="1"/>
  <c r="U83" i="1"/>
  <c r="V83" i="1"/>
  <c r="U84" i="1"/>
  <c r="V84" i="1"/>
  <c r="W84" i="1" s="1"/>
  <c r="U85" i="1"/>
  <c r="V85" i="1"/>
  <c r="U86" i="1"/>
  <c r="V86" i="1"/>
  <c r="W86" i="1" s="1"/>
  <c r="U87" i="1"/>
  <c r="V87" i="1"/>
  <c r="U88" i="1"/>
  <c r="V88" i="1"/>
  <c r="W88" i="1" s="1"/>
  <c r="U89" i="1"/>
  <c r="V89" i="1"/>
  <c r="U90" i="1"/>
  <c r="V90" i="1"/>
  <c r="W90" i="1" s="1"/>
  <c r="U91" i="1"/>
  <c r="V91" i="1"/>
  <c r="U92" i="1"/>
  <c r="V92" i="1"/>
  <c r="W92" i="1" s="1"/>
  <c r="U93" i="1"/>
  <c r="V93" i="1"/>
  <c r="U94" i="1"/>
  <c r="V94" i="1"/>
  <c r="W94" i="1" s="1"/>
  <c r="U95" i="1"/>
  <c r="V95" i="1"/>
  <c r="U96" i="1"/>
  <c r="V96" i="1"/>
  <c r="W96" i="1" s="1"/>
  <c r="U97" i="1"/>
  <c r="V97" i="1"/>
  <c r="U98" i="1"/>
  <c r="V98" i="1"/>
  <c r="W98" i="1" s="1"/>
  <c r="U99" i="1"/>
  <c r="V99" i="1"/>
  <c r="U100" i="1"/>
  <c r="V100" i="1"/>
  <c r="W100" i="1" s="1"/>
  <c r="U101" i="1"/>
  <c r="V101" i="1"/>
  <c r="U102" i="1"/>
  <c r="V102" i="1"/>
  <c r="W102" i="1" s="1"/>
  <c r="U103" i="1"/>
  <c r="V103" i="1"/>
  <c r="U104" i="1"/>
  <c r="V104" i="1"/>
  <c r="W104" i="1" s="1"/>
  <c r="U105" i="1"/>
  <c r="V105" i="1"/>
  <c r="U106" i="1"/>
  <c r="V106" i="1"/>
  <c r="W106" i="1" s="1"/>
  <c r="U107" i="1"/>
  <c r="V107" i="1"/>
  <c r="U108" i="1"/>
  <c r="V108" i="1"/>
  <c r="W108" i="1" s="1"/>
  <c r="U109" i="1"/>
  <c r="V109" i="1"/>
  <c r="U110" i="1"/>
  <c r="V110" i="1"/>
  <c r="W110" i="1" s="1"/>
  <c r="U111" i="1"/>
  <c r="V111" i="1"/>
  <c r="U112" i="1"/>
  <c r="V112" i="1"/>
  <c r="W112" i="1" s="1"/>
  <c r="U113" i="1"/>
  <c r="V113" i="1"/>
  <c r="U114" i="1"/>
  <c r="V114" i="1"/>
  <c r="W114" i="1" s="1"/>
  <c r="U115" i="1"/>
  <c r="V115" i="1"/>
  <c r="U116" i="1"/>
  <c r="V116" i="1"/>
  <c r="W116" i="1" s="1"/>
  <c r="U117" i="1"/>
  <c r="V117" i="1"/>
  <c r="U118" i="1"/>
  <c r="V118" i="1"/>
  <c r="W118" i="1" s="1"/>
  <c r="U119" i="1"/>
  <c r="V119" i="1"/>
  <c r="U120" i="1"/>
  <c r="V120" i="1"/>
  <c r="W120" i="1" s="1"/>
  <c r="U121" i="1"/>
  <c r="V121" i="1"/>
  <c r="U122" i="1"/>
  <c r="V122" i="1"/>
  <c r="W122" i="1" s="1"/>
  <c r="U123" i="1"/>
  <c r="V123" i="1"/>
  <c r="U124" i="1"/>
  <c r="V124" i="1"/>
  <c r="W124" i="1" s="1"/>
  <c r="U125" i="1"/>
  <c r="V125" i="1"/>
  <c r="U126" i="1"/>
  <c r="V126" i="1"/>
  <c r="W126" i="1" s="1"/>
  <c r="U127" i="1"/>
  <c r="V127" i="1"/>
  <c r="U128" i="1"/>
  <c r="V128" i="1"/>
  <c r="W128" i="1" s="1"/>
  <c r="U129" i="1"/>
  <c r="V129" i="1"/>
  <c r="U130" i="1"/>
  <c r="V130" i="1"/>
  <c r="W130" i="1" s="1"/>
  <c r="U131" i="1"/>
  <c r="V131" i="1"/>
  <c r="U132" i="1"/>
  <c r="V132" i="1"/>
  <c r="W132" i="1" s="1"/>
  <c r="U133" i="1"/>
  <c r="V133" i="1"/>
  <c r="U134" i="1"/>
  <c r="V134" i="1"/>
  <c r="W134" i="1" s="1"/>
  <c r="U135" i="1"/>
  <c r="V135" i="1"/>
  <c r="U136" i="1"/>
  <c r="V136" i="1"/>
  <c r="W136" i="1" s="1"/>
  <c r="U137" i="1"/>
  <c r="V137" i="1"/>
  <c r="U138" i="1"/>
  <c r="V138" i="1"/>
  <c r="W138" i="1" s="1"/>
  <c r="U139" i="1"/>
  <c r="V139" i="1"/>
  <c r="U140" i="1"/>
  <c r="V140" i="1"/>
  <c r="W140" i="1" s="1"/>
  <c r="U141" i="1"/>
  <c r="V141" i="1"/>
  <c r="U142" i="1"/>
  <c r="V142" i="1"/>
  <c r="W142" i="1" s="1"/>
  <c r="U143" i="1"/>
  <c r="V143" i="1"/>
  <c r="U144" i="1"/>
  <c r="V144" i="1"/>
  <c r="W144" i="1" s="1"/>
  <c r="U145" i="1"/>
  <c r="V145" i="1"/>
  <c r="U146" i="1"/>
  <c r="V146" i="1"/>
  <c r="W146" i="1" s="1"/>
  <c r="U147" i="1"/>
  <c r="V147" i="1"/>
  <c r="U148" i="1"/>
  <c r="V148" i="1"/>
  <c r="W148" i="1" s="1"/>
  <c r="U149" i="1"/>
  <c r="V149" i="1"/>
  <c r="U150" i="1"/>
  <c r="V150" i="1"/>
  <c r="W150" i="1" s="1"/>
  <c r="U151" i="1"/>
  <c r="V151" i="1"/>
  <c r="U152" i="1"/>
  <c r="V152" i="1"/>
  <c r="W152" i="1" s="1"/>
  <c r="U153" i="1"/>
  <c r="V153" i="1"/>
  <c r="U154" i="1"/>
  <c r="V154" i="1"/>
  <c r="W154" i="1" s="1"/>
  <c r="U155" i="1"/>
  <c r="V155" i="1"/>
  <c r="U156" i="1"/>
  <c r="V156" i="1"/>
  <c r="W156" i="1" s="1"/>
  <c r="U157" i="1"/>
  <c r="V157" i="1"/>
  <c r="U158" i="1"/>
  <c r="V158" i="1"/>
  <c r="W158" i="1" s="1"/>
  <c r="U159" i="1"/>
  <c r="V159" i="1"/>
  <c r="U160" i="1"/>
  <c r="V160" i="1"/>
  <c r="W160" i="1" s="1"/>
  <c r="U161" i="1"/>
  <c r="V161" i="1"/>
  <c r="U162" i="1"/>
  <c r="V162" i="1"/>
  <c r="W162" i="1" s="1"/>
  <c r="U163" i="1"/>
  <c r="V163" i="1"/>
  <c r="U164" i="1"/>
  <c r="V164" i="1"/>
  <c r="W164" i="1" s="1"/>
  <c r="U165" i="1"/>
  <c r="V165" i="1"/>
  <c r="U166" i="1"/>
  <c r="V166" i="1"/>
  <c r="W166" i="1" s="1"/>
  <c r="U167" i="1"/>
  <c r="V167" i="1"/>
  <c r="U168" i="1"/>
  <c r="V168" i="1"/>
  <c r="W168" i="1" s="1"/>
  <c r="U169" i="1"/>
  <c r="V169" i="1"/>
  <c r="U170" i="1"/>
  <c r="V170" i="1"/>
  <c r="W170" i="1" s="1"/>
  <c r="U171" i="1"/>
  <c r="V171" i="1"/>
  <c r="U172" i="1"/>
  <c r="V172" i="1"/>
  <c r="W172" i="1" s="1"/>
  <c r="U173" i="1"/>
  <c r="V173" i="1"/>
  <c r="W173" i="1" s="1"/>
  <c r="U174" i="1"/>
  <c r="V174" i="1"/>
  <c r="X174" i="1" s="1"/>
  <c r="U175" i="1"/>
  <c r="V175" i="1"/>
  <c r="W175" i="1" s="1"/>
  <c r="U176" i="1"/>
  <c r="V176" i="1"/>
  <c r="X176" i="1" s="1"/>
  <c r="U177" i="1"/>
  <c r="V177" i="1"/>
  <c r="W177" i="1" s="1"/>
  <c r="U178" i="1"/>
  <c r="V178" i="1"/>
  <c r="X178" i="1" s="1"/>
  <c r="U179" i="1"/>
  <c r="V179" i="1"/>
  <c r="W179" i="1" s="1"/>
  <c r="U180" i="1"/>
  <c r="V180" i="1"/>
  <c r="X180" i="1" s="1"/>
  <c r="U181" i="1"/>
  <c r="V181" i="1"/>
  <c r="W181" i="1" s="1"/>
  <c r="U182" i="1"/>
  <c r="V182" i="1"/>
  <c r="X182" i="1" s="1"/>
  <c r="U183" i="1"/>
  <c r="V183" i="1"/>
  <c r="W183" i="1" s="1"/>
  <c r="U184" i="1"/>
  <c r="V184" i="1"/>
  <c r="X184" i="1" s="1"/>
  <c r="U185" i="1"/>
  <c r="V185" i="1"/>
  <c r="W185" i="1" s="1"/>
  <c r="U186" i="1"/>
  <c r="V186" i="1"/>
  <c r="X186" i="1" s="1"/>
  <c r="U187" i="1"/>
  <c r="V187" i="1"/>
  <c r="W187" i="1" s="1"/>
  <c r="U188" i="1"/>
  <c r="V188" i="1"/>
  <c r="X188" i="1" s="1"/>
  <c r="U189" i="1"/>
  <c r="V189" i="1"/>
  <c r="W189" i="1" s="1"/>
  <c r="U190" i="1"/>
  <c r="V190" i="1"/>
  <c r="X190" i="1" s="1"/>
  <c r="U191" i="1"/>
  <c r="V191" i="1"/>
  <c r="W191" i="1" s="1"/>
  <c r="U192" i="1"/>
  <c r="V192" i="1"/>
  <c r="X192" i="1" s="1"/>
  <c r="U193" i="1"/>
  <c r="V193" i="1"/>
  <c r="W193" i="1" s="1"/>
  <c r="U194" i="1"/>
  <c r="V194" i="1"/>
  <c r="X194" i="1" s="1"/>
  <c r="U195" i="1"/>
  <c r="V195" i="1"/>
  <c r="W195" i="1" s="1"/>
  <c r="U196" i="1"/>
  <c r="V196" i="1"/>
  <c r="X196" i="1" s="1"/>
  <c r="U197" i="1"/>
  <c r="V197" i="1"/>
  <c r="W197" i="1" s="1"/>
  <c r="U198" i="1"/>
  <c r="V198" i="1"/>
  <c r="X198" i="1" s="1"/>
  <c r="U199" i="1"/>
  <c r="V199" i="1"/>
  <c r="W199" i="1" s="1"/>
  <c r="U200" i="1"/>
  <c r="V200" i="1"/>
  <c r="X200" i="1" s="1"/>
  <c r="U201" i="1"/>
  <c r="V201" i="1"/>
  <c r="W201" i="1" s="1"/>
  <c r="U202" i="1"/>
  <c r="V202" i="1"/>
  <c r="X202" i="1" s="1"/>
  <c r="U203" i="1"/>
  <c r="V203" i="1"/>
  <c r="W203" i="1" s="1"/>
  <c r="U204" i="1"/>
  <c r="V204" i="1"/>
  <c r="X204" i="1" s="1"/>
  <c r="U205" i="1"/>
  <c r="V205" i="1"/>
  <c r="W205" i="1" s="1"/>
  <c r="U206" i="1"/>
  <c r="V206" i="1"/>
  <c r="X206" i="1" s="1"/>
  <c r="U207" i="1"/>
  <c r="V207" i="1"/>
  <c r="W207" i="1" s="1"/>
  <c r="U208" i="1"/>
  <c r="V208" i="1"/>
  <c r="X208" i="1" s="1"/>
  <c r="U209" i="1"/>
  <c r="V209" i="1"/>
  <c r="W209" i="1" s="1"/>
  <c r="U210" i="1"/>
  <c r="V210" i="1"/>
  <c r="X210" i="1" s="1"/>
  <c r="U211" i="1"/>
  <c r="V211" i="1"/>
  <c r="W211" i="1" s="1"/>
  <c r="U212" i="1"/>
  <c r="V212" i="1"/>
  <c r="X212" i="1" s="1"/>
  <c r="U213" i="1"/>
  <c r="V213" i="1"/>
  <c r="W213" i="1" s="1"/>
  <c r="U214" i="1"/>
  <c r="V214" i="1"/>
  <c r="X214" i="1" s="1"/>
  <c r="U215" i="1"/>
  <c r="V215" i="1"/>
  <c r="W215" i="1" s="1"/>
  <c r="U216" i="1"/>
  <c r="V216" i="1"/>
  <c r="X216" i="1" s="1"/>
  <c r="U217" i="1"/>
  <c r="V217" i="1"/>
  <c r="W217" i="1" s="1"/>
  <c r="U218" i="1"/>
  <c r="V218" i="1"/>
  <c r="X218" i="1" s="1"/>
  <c r="U219" i="1"/>
  <c r="V219" i="1"/>
  <c r="W219" i="1" s="1"/>
  <c r="U220" i="1"/>
  <c r="V220" i="1"/>
  <c r="X220" i="1" s="1"/>
  <c r="U221" i="1"/>
  <c r="V221" i="1"/>
  <c r="W221" i="1" s="1"/>
  <c r="U222" i="1"/>
  <c r="V222" i="1"/>
  <c r="X222" i="1" s="1"/>
  <c r="U223" i="1"/>
  <c r="V223" i="1"/>
  <c r="W223" i="1" s="1"/>
  <c r="U224" i="1"/>
  <c r="V224" i="1"/>
  <c r="X224" i="1" s="1"/>
  <c r="U225" i="1"/>
  <c r="V225" i="1"/>
  <c r="W225" i="1" s="1"/>
  <c r="U226" i="1"/>
  <c r="V226" i="1"/>
  <c r="X226" i="1" s="1"/>
  <c r="U227" i="1"/>
  <c r="V227" i="1"/>
  <c r="W227" i="1" s="1"/>
  <c r="U228" i="1"/>
  <c r="V228" i="1"/>
  <c r="X228" i="1" s="1"/>
  <c r="U229" i="1"/>
  <c r="V229" i="1"/>
  <c r="W229" i="1" s="1"/>
  <c r="U230" i="1"/>
  <c r="V230" i="1"/>
  <c r="X230" i="1" s="1"/>
  <c r="U231" i="1"/>
  <c r="V231" i="1"/>
  <c r="W231" i="1" s="1"/>
  <c r="U232" i="1"/>
  <c r="V232" i="1"/>
  <c r="X232" i="1" s="1"/>
  <c r="U233" i="1"/>
  <c r="V233" i="1"/>
  <c r="W233" i="1" s="1"/>
  <c r="U234" i="1"/>
  <c r="V234" i="1"/>
  <c r="X234" i="1" s="1"/>
  <c r="U235" i="1"/>
  <c r="V235" i="1"/>
  <c r="W235" i="1" s="1"/>
  <c r="U236" i="1"/>
  <c r="V236" i="1"/>
  <c r="X236" i="1" s="1"/>
  <c r="U237" i="1"/>
  <c r="V237" i="1"/>
  <c r="W237" i="1" s="1"/>
  <c r="U238" i="1"/>
  <c r="V238" i="1"/>
  <c r="X238" i="1" s="1"/>
  <c r="U239" i="1"/>
  <c r="V239" i="1"/>
  <c r="W239" i="1" s="1"/>
  <c r="U240" i="1"/>
  <c r="V240" i="1"/>
  <c r="X240" i="1" s="1"/>
  <c r="U241" i="1"/>
  <c r="V241" i="1"/>
  <c r="W241" i="1" s="1"/>
  <c r="U242" i="1"/>
  <c r="V242" i="1"/>
  <c r="X242" i="1" s="1"/>
  <c r="U243" i="1"/>
  <c r="V243" i="1"/>
  <c r="W243" i="1" s="1"/>
  <c r="U244" i="1"/>
  <c r="V244" i="1"/>
  <c r="X244" i="1" s="1"/>
  <c r="U245" i="1"/>
  <c r="V245" i="1"/>
  <c r="W245" i="1" s="1"/>
  <c r="U246" i="1"/>
  <c r="V246" i="1"/>
  <c r="X246" i="1" s="1"/>
  <c r="U247" i="1"/>
  <c r="V247" i="1"/>
  <c r="W247" i="1" s="1"/>
  <c r="U248" i="1"/>
  <c r="V248" i="1"/>
  <c r="X248" i="1" s="1"/>
  <c r="U249" i="1"/>
  <c r="V249" i="1"/>
  <c r="W249" i="1" s="1"/>
  <c r="U2" i="1"/>
  <c r="A40" i="7"/>
  <c r="B40" i="7" s="1"/>
  <c r="C40" i="7"/>
  <c r="A41" i="7"/>
  <c r="B41" i="7" s="1"/>
  <c r="C41" i="7"/>
  <c r="A42" i="7"/>
  <c r="B42" i="7" s="1"/>
  <c r="C42" i="7"/>
  <c r="A43" i="7"/>
  <c r="B43" i="7" s="1"/>
  <c r="C43" i="7"/>
  <c r="A44" i="7"/>
  <c r="B44" i="7" s="1"/>
  <c r="C44" i="7"/>
  <c r="A45" i="7"/>
  <c r="B45" i="7" s="1"/>
  <c r="C45" i="7"/>
  <c r="A46" i="7"/>
  <c r="B46" i="7" s="1"/>
  <c r="C46" i="7"/>
  <c r="A47" i="7"/>
  <c r="B47" i="7" s="1"/>
  <c r="C47" i="7"/>
  <c r="A48" i="7"/>
  <c r="B48" i="7" s="1"/>
  <c r="C48" i="7"/>
  <c r="A49" i="7"/>
  <c r="B49" i="7" s="1"/>
  <c r="C49" i="7"/>
  <c r="A50" i="7"/>
  <c r="B50" i="7" s="1"/>
  <c r="C50" i="7"/>
  <c r="A51" i="7"/>
  <c r="B51" i="7" s="1"/>
  <c r="C51" i="7"/>
  <c r="A52" i="7"/>
  <c r="B52" i="7" s="1"/>
  <c r="C52" i="7"/>
  <c r="A53" i="7"/>
  <c r="B53" i="7" s="1"/>
  <c r="C53" i="7"/>
  <c r="A54" i="7"/>
  <c r="B54" i="7" s="1"/>
  <c r="C54" i="7"/>
  <c r="A55" i="7"/>
  <c r="B55" i="7" s="1"/>
  <c r="C55" i="7"/>
  <c r="A56" i="7"/>
  <c r="B56" i="7" s="1"/>
  <c r="C56" i="7"/>
  <c r="A57" i="7"/>
  <c r="B57" i="7" s="1"/>
  <c r="C57" i="7"/>
  <c r="A58" i="7"/>
  <c r="B58" i="7" s="1"/>
  <c r="C58" i="7"/>
  <c r="A59" i="7"/>
  <c r="B59" i="7" s="1"/>
  <c r="C59" i="7"/>
  <c r="A60" i="7"/>
  <c r="B60" i="7" s="1"/>
  <c r="C60" i="7"/>
  <c r="A61" i="7"/>
  <c r="B61" i="7" s="1"/>
  <c r="C61" i="7"/>
  <c r="A62" i="7"/>
  <c r="B62" i="7" s="1"/>
  <c r="C62" i="7"/>
  <c r="A63" i="7"/>
  <c r="B63" i="7" s="1"/>
  <c r="C63" i="7"/>
  <c r="A64" i="7"/>
  <c r="B64" i="7" s="1"/>
  <c r="C64" i="7"/>
  <c r="A65" i="7"/>
  <c r="B65" i="7" s="1"/>
  <c r="C65" i="7"/>
  <c r="A66" i="7"/>
  <c r="B66" i="7" s="1"/>
  <c r="C66" i="7"/>
  <c r="A67" i="7"/>
  <c r="B67" i="7" s="1"/>
  <c r="C67" i="7"/>
  <c r="A68" i="7"/>
  <c r="B68" i="7" s="1"/>
  <c r="C68" i="7"/>
  <c r="A69" i="7"/>
  <c r="B69" i="7" s="1"/>
  <c r="C69" i="7"/>
  <c r="A70" i="7"/>
  <c r="B70" i="7" s="1"/>
  <c r="C70" i="7"/>
  <c r="A71" i="7"/>
  <c r="B71" i="7" s="1"/>
  <c r="C71" i="7"/>
  <c r="A72" i="7"/>
  <c r="B72" i="7" s="1"/>
  <c r="C72" i="7"/>
  <c r="A73" i="7"/>
  <c r="B73" i="7" s="1"/>
  <c r="C73" i="7"/>
  <c r="A74" i="7"/>
  <c r="B74" i="7" s="1"/>
  <c r="C74" i="7"/>
  <c r="A75" i="7"/>
  <c r="B75" i="7" s="1"/>
  <c r="C75" i="7"/>
  <c r="A76" i="7"/>
  <c r="B76" i="7" s="1"/>
  <c r="C76" i="7"/>
  <c r="A77" i="7"/>
  <c r="B77" i="7" s="1"/>
  <c r="C77" i="7"/>
  <c r="A78" i="7"/>
  <c r="B78" i="7" s="1"/>
  <c r="C78" i="7"/>
  <c r="A79" i="7"/>
  <c r="B79" i="7" s="1"/>
  <c r="C79" i="7"/>
  <c r="A80" i="7"/>
  <c r="B80" i="7" s="1"/>
  <c r="C80" i="7"/>
  <c r="A81" i="7"/>
  <c r="B81" i="7" s="1"/>
  <c r="C81" i="7"/>
  <c r="A82" i="7"/>
  <c r="B82" i="7" s="1"/>
  <c r="C82" i="7"/>
  <c r="A83" i="7"/>
  <c r="B83" i="7" s="1"/>
  <c r="C83" i="7"/>
  <c r="A84" i="7"/>
  <c r="B84" i="7" s="1"/>
  <c r="C84" i="7"/>
  <c r="A85" i="7"/>
  <c r="B85" i="7" s="1"/>
  <c r="C85" i="7"/>
  <c r="A86" i="7"/>
  <c r="B86" i="7" s="1"/>
  <c r="C86" i="7"/>
  <c r="A87" i="7"/>
  <c r="B87" i="7" s="1"/>
  <c r="C87" i="7"/>
  <c r="A88" i="7"/>
  <c r="B88" i="7" s="1"/>
  <c r="C88" i="7"/>
  <c r="A89" i="7"/>
  <c r="B89" i="7" s="1"/>
  <c r="C89" i="7"/>
  <c r="A90" i="7"/>
  <c r="B90" i="7" s="1"/>
  <c r="C90" i="7"/>
  <c r="A91" i="7"/>
  <c r="B91" i="7" s="1"/>
  <c r="C91" i="7"/>
  <c r="A92" i="7"/>
  <c r="B92" i="7" s="1"/>
  <c r="C92" i="7"/>
  <c r="A93" i="7"/>
  <c r="B93" i="7" s="1"/>
  <c r="C93" i="7"/>
  <c r="A94" i="7"/>
  <c r="B94" i="7" s="1"/>
  <c r="C94" i="7"/>
  <c r="A95" i="7"/>
  <c r="B95" i="7" s="1"/>
  <c r="C95" i="7"/>
  <c r="A96" i="7"/>
  <c r="B96" i="7" s="1"/>
  <c r="C96" i="7"/>
  <c r="A97" i="7"/>
  <c r="B97" i="7" s="1"/>
  <c r="C97" i="7"/>
  <c r="A98" i="7"/>
  <c r="B98" i="7" s="1"/>
  <c r="C98" i="7"/>
  <c r="A99" i="7"/>
  <c r="B99" i="7" s="1"/>
  <c r="C99" i="7"/>
  <c r="A100" i="7"/>
  <c r="B100" i="7" s="1"/>
  <c r="C100" i="7"/>
  <c r="A101" i="7"/>
  <c r="B101" i="7" s="1"/>
  <c r="C101" i="7"/>
  <c r="A102" i="7"/>
  <c r="B102" i="7" s="1"/>
  <c r="C102" i="7"/>
  <c r="A103" i="7"/>
  <c r="B103" i="7" s="1"/>
  <c r="C103" i="7"/>
  <c r="A104" i="7"/>
  <c r="B104" i="7" s="1"/>
  <c r="C104" i="7"/>
  <c r="A105" i="7"/>
  <c r="B105" i="7" s="1"/>
  <c r="C105" i="7"/>
  <c r="A106" i="7"/>
  <c r="B106" i="7" s="1"/>
  <c r="C106" i="7"/>
  <c r="A107" i="7"/>
  <c r="B107" i="7" s="1"/>
  <c r="C107" i="7"/>
  <c r="A108" i="7"/>
  <c r="B108" i="7" s="1"/>
  <c r="C108" i="7"/>
  <c r="A109" i="7"/>
  <c r="B109" i="7" s="1"/>
  <c r="C109" i="7"/>
  <c r="A110" i="7"/>
  <c r="B110" i="7" s="1"/>
  <c r="C110" i="7"/>
  <c r="A111" i="7"/>
  <c r="B111" i="7" s="1"/>
  <c r="C111" i="7"/>
  <c r="A112" i="7"/>
  <c r="B112" i="7" s="1"/>
  <c r="C112" i="7"/>
  <c r="A113" i="7"/>
  <c r="B113" i="7" s="1"/>
  <c r="C113" i="7"/>
  <c r="A114" i="7"/>
  <c r="B114" i="7" s="1"/>
  <c r="C114" i="7"/>
  <c r="A115" i="7"/>
  <c r="B115" i="7" s="1"/>
  <c r="C115" i="7"/>
  <c r="A116" i="7"/>
  <c r="B116" i="7" s="1"/>
  <c r="C116" i="7"/>
  <c r="A117" i="7"/>
  <c r="B117" i="7" s="1"/>
  <c r="C117" i="7"/>
  <c r="A118" i="7"/>
  <c r="B118" i="7" s="1"/>
  <c r="C118" i="7"/>
  <c r="A119" i="7"/>
  <c r="B119" i="7" s="1"/>
  <c r="C119" i="7"/>
  <c r="A120" i="7"/>
  <c r="B120" i="7" s="1"/>
  <c r="C120" i="7"/>
  <c r="A121" i="7"/>
  <c r="B121" i="7" s="1"/>
  <c r="C121" i="7"/>
  <c r="A122" i="7"/>
  <c r="B122" i="7" s="1"/>
  <c r="C122" i="7"/>
  <c r="A123" i="7"/>
  <c r="B123" i="7" s="1"/>
  <c r="C123" i="7"/>
  <c r="A124" i="7"/>
  <c r="B124" i="7" s="1"/>
  <c r="C124" i="7"/>
  <c r="A125" i="7"/>
  <c r="B125" i="7" s="1"/>
  <c r="C125" i="7"/>
  <c r="A126" i="7"/>
  <c r="B126" i="7" s="1"/>
  <c r="C126" i="7"/>
  <c r="A127" i="7"/>
  <c r="B127" i="7" s="1"/>
  <c r="C127" i="7"/>
  <c r="A128" i="7"/>
  <c r="B128" i="7" s="1"/>
  <c r="C128" i="7"/>
  <c r="A129" i="7"/>
  <c r="B129" i="7" s="1"/>
  <c r="C129" i="7"/>
  <c r="A130" i="7"/>
  <c r="B130" i="7" s="1"/>
  <c r="C130" i="7"/>
  <c r="A131" i="7"/>
  <c r="B131" i="7" s="1"/>
  <c r="C131" i="7"/>
  <c r="A132" i="7"/>
  <c r="B132" i="7" s="1"/>
  <c r="C132" i="7"/>
  <c r="A133" i="7"/>
  <c r="B133" i="7" s="1"/>
  <c r="C133" i="7"/>
  <c r="A134" i="7"/>
  <c r="B134" i="7" s="1"/>
  <c r="C134" i="7"/>
  <c r="A135" i="7"/>
  <c r="B135" i="7" s="1"/>
  <c r="C135" i="7"/>
  <c r="A136" i="7"/>
  <c r="B136" i="7" s="1"/>
  <c r="C136" i="7"/>
  <c r="A137" i="7"/>
  <c r="B137" i="7" s="1"/>
  <c r="C137" i="7"/>
  <c r="A138" i="7"/>
  <c r="B138" i="7" s="1"/>
  <c r="C138" i="7"/>
  <c r="A139" i="7"/>
  <c r="B139" i="7" s="1"/>
  <c r="C139" i="7"/>
  <c r="A140" i="7"/>
  <c r="B140" i="7" s="1"/>
  <c r="C140" i="7"/>
  <c r="A141" i="7"/>
  <c r="B141" i="7" s="1"/>
  <c r="C141" i="7"/>
  <c r="A142" i="7"/>
  <c r="B142" i="7" s="1"/>
  <c r="C142" i="7"/>
  <c r="A143" i="7"/>
  <c r="B143" i="7" s="1"/>
  <c r="C143" i="7"/>
  <c r="A144" i="7"/>
  <c r="B144" i="7" s="1"/>
  <c r="C144" i="7"/>
  <c r="A145" i="7"/>
  <c r="B145" i="7" s="1"/>
  <c r="C145" i="7"/>
  <c r="A146" i="7"/>
  <c r="B146" i="7" s="1"/>
  <c r="C146" i="7"/>
  <c r="A147" i="7"/>
  <c r="B147" i="7" s="1"/>
  <c r="C147" i="7"/>
  <c r="A148" i="7"/>
  <c r="B148" i="7" s="1"/>
  <c r="C148" i="7"/>
  <c r="A149" i="7"/>
  <c r="B149" i="7" s="1"/>
  <c r="C149" i="7"/>
  <c r="A150" i="7"/>
  <c r="B150" i="7" s="1"/>
  <c r="C150" i="7"/>
  <c r="A151" i="7"/>
  <c r="B151" i="7" s="1"/>
  <c r="C151" i="7"/>
  <c r="A152" i="7"/>
  <c r="B152" i="7" s="1"/>
  <c r="C152" i="7"/>
  <c r="A153" i="7"/>
  <c r="B153" i="7" s="1"/>
  <c r="C153" i="7"/>
  <c r="A154" i="7"/>
  <c r="B154" i="7" s="1"/>
  <c r="C154" i="7"/>
  <c r="A155" i="7"/>
  <c r="B155" i="7" s="1"/>
  <c r="C155" i="7"/>
  <c r="A156" i="7"/>
  <c r="B156" i="7" s="1"/>
  <c r="C156" i="7"/>
  <c r="A157" i="7"/>
  <c r="B157" i="7" s="1"/>
  <c r="C157" i="7"/>
  <c r="A158" i="7"/>
  <c r="B158" i="7" s="1"/>
  <c r="C158" i="7"/>
  <c r="A159" i="7"/>
  <c r="B159" i="7" s="1"/>
  <c r="C159" i="7"/>
  <c r="A160" i="7"/>
  <c r="B160" i="7" s="1"/>
  <c r="C160" i="7"/>
  <c r="A161" i="7"/>
  <c r="B161" i="7" s="1"/>
  <c r="C161" i="7"/>
  <c r="A162" i="7"/>
  <c r="B162" i="7" s="1"/>
  <c r="C162" i="7"/>
  <c r="A163" i="7"/>
  <c r="B163" i="7" s="1"/>
  <c r="C163" i="7"/>
  <c r="A164" i="7"/>
  <c r="B164" i="7" s="1"/>
  <c r="C164" i="7"/>
  <c r="A165" i="7"/>
  <c r="B165" i="7" s="1"/>
  <c r="C165" i="7"/>
  <c r="A166" i="7"/>
  <c r="B166" i="7" s="1"/>
  <c r="C166" i="7"/>
  <c r="A167" i="7"/>
  <c r="B167" i="7" s="1"/>
  <c r="C167" i="7"/>
  <c r="A168" i="7"/>
  <c r="B168" i="7" s="1"/>
  <c r="C168" i="7"/>
  <c r="A169" i="7"/>
  <c r="B169" i="7" s="1"/>
  <c r="C169" i="7"/>
  <c r="A170" i="7"/>
  <c r="B170" i="7" s="1"/>
  <c r="C170" i="7"/>
  <c r="A171" i="7"/>
  <c r="B171" i="7" s="1"/>
  <c r="C171" i="7"/>
  <c r="A172" i="7"/>
  <c r="B172" i="7" s="1"/>
  <c r="C172" i="7"/>
  <c r="A173" i="7"/>
  <c r="B173" i="7" s="1"/>
  <c r="C173" i="7"/>
  <c r="A174" i="7"/>
  <c r="B174" i="7" s="1"/>
  <c r="C174" i="7"/>
  <c r="A175" i="7"/>
  <c r="B175" i="7" s="1"/>
  <c r="C175" i="7"/>
  <c r="A176" i="7"/>
  <c r="B176" i="7" s="1"/>
  <c r="C176" i="7"/>
  <c r="A177" i="7"/>
  <c r="B177" i="7" s="1"/>
  <c r="C177" i="7"/>
  <c r="A178" i="7"/>
  <c r="B178" i="7" s="1"/>
  <c r="C178" i="7"/>
  <c r="A179" i="7"/>
  <c r="B179" i="7" s="1"/>
  <c r="C179" i="7"/>
  <c r="A180" i="7"/>
  <c r="B180" i="7" s="1"/>
  <c r="C180" i="7"/>
  <c r="A181" i="7"/>
  <c r="B181" i="7" s="1"/>
  <c r="C181" i="7"/>
  <c r="A182" i="7"/>
  <c r="B182" i="7" s="1"/>
  <c r="C182" i="7"/>
  <c r="A183" i="7"/>
  <c r="B183" i="7" s="1"/>
  <c r="C183" i="7"/>
  <c r="A184" i="7"/>
  <c r="B184" i="7" s="1"/>
  <c r="C184" i="7"/>
  <c r="A185" i="7"/>
  <c r="B185" i="7" s="1"/>
  <c r="C185" i="7"/>
  <c r="A186" i="7"/>
  <c r="B186" i="7" s="1"/>
  <c r="C186" i="7"/>
  <c r="A187" i="7"/>
  <c r="B187" i="7" s="1"/>
  <c r="C187" i="7"/>
  <c r="A188" i="7"/>
  <c r="B188" i="7" s="1"/>
  <c r="C188" i="7"/>
  <c r="A189" i="7"/>
  <c r="B189" i="7" s="1"/>
  <c r="C189" i="7"/>
  <c r="A190" i="7"/>
  <c r="B190" i="7" s="1"/>
  <c r="C190" i="7"/>
  <c r="A191" i="7"/>
  <c r="B191" i="7" s="1"/>
  <c r="C191" i="7"/>
  <c r="A192" i="7"/>
  <c r="B192" i="7" s="1"/>
  <c r="C192" i="7"/>
  <c r="A193" i="7"/>
  <c r="B193" i="7" s="1"/>
  <c r="C193" i="7"/>
  <c r="A194" i="7"/>
  <c r="B194" i="7" s="1"/>
  <c r="C194" i="7"/>
  <c r="A195" i="7"/>
  <c r="C195" i="7"/>
  <c r="A196" i="7"/>
  <c r="B196" i="7" s="1"/>
  <c r="C196" i="7"/>
  <c r="A197" i="7"/>
  <c r="B197" i="7" s="1"/>
  <c r="C197" i="7"/>
  <c r="A198" i="7"/>
  <c r="B198" i="7" s="1"/>
  <c r="C198" i="7"/>
  <c r="A199" i="7"/>
  <c r="B199" i="7" s="1"/>
  <c r="C199" i="7"/>
  <c r="A200" i="7"/>
  <c r="B200" i="7" s="1"/>
  <c r="C200" i="7"/>
  <c r="A201" i="7"/>
  <c r="B201" i="7" s="1"/>
  <c r="C201" i="7"/>
  <c r="A202" i="7"/>
  <c r="B202" i="7" s="1"/>
  <c r="C202" i="7"/>
  <c r="A203" i="7"/>
  <c r="B203" i="7" s="1"/>
  <c r="C203" i="7"/>
  <c r="A204" i="7"/>
  <c r="B204" i="7" s="1"/>
  <c r="C204" i="7"/>
  <c r="A205" i="7"/>
  <c r="B205" i="7" s="1"/>
  <c r="C205" i="7"/>
  <c r="A206" i="7"/>
  <c r="B206" i="7" s="1"/>
  <c r="C206" i="7"/>
  <c r="A207" i="7"/>
  <c r="B207" i="7" s="1"/>
  <c r="C207" i="7"/>
  <c r="A208" i="7"/>
  <c r="B208" i="7" s="1"/>
  <c r="C208" i="7"/>
  <c r="A209" i="7"/>
  <c r="B209" i="7" s="1"/>
  <c r="C209" i="7"/>
  <c r="A210" i="7"/>
  <c r="B210" i="7" s="1"/>
  <c r="C210" i="7"/>
  <c r="A211" i="7"/>
  <c r="B211" i="7" s="1"/>
  <c r="C211" i="7"/>
  <c r="A212" i="7"/>
  <c r="B212" i="7" s="1"/>
  <c r="C212" i="7"/>
  <c r="A213" i="7"/>
  <c r="B213" i="7" s="1"/>
  <c r="C213" i="7"/>
  <c r="A214" i="7"/>
  <c r="B214" i="7" s="1"/>
  <c r="C214" i="7"/>
  <c r="A215" i="7"/>
  <c r="B215" i="7" s="1"/>
  <c r="C215" i="7"/>
  <c r="A216" i="7"/>
  <c r="B216" i="7" s="1"/>
  <c r="C216" i="7"/>
  <c r="A217" i="7"/>
  <c r="B217" i="7" s="1"/>
  <c r="C217" i="7"/>
  <c r="A218" i="7"/>
  <c r="B218" i="7" s="1"/>
  <c r="C218" i="7"/>
  <c r="A219" i="7"/>
  <c r="B219" i="7" s="1"/>
  <c r="C219" i="7"/>
  <c r="A220" i="7"/>
  <c r="B220" i="7" s="1"/>
  <c r="C220" i="7"/>
  <c r="A221" i="7"/>
  <c r="B221" i="7" s="1"/>
  <c r="C221" i="7"/>
  <c r="A222" i="7"/>
  <c r="B222" i="7" s="1"/>
  <c r="C222" i="7"/>
  <c r="A223" i="7"/>
  <c r="B223" i="7" s="1"/>
  <c r="C223" i="7"/>
  <c r="A224" i="7"/>
  <c r="B224" i="7" s="1"/>
  <c r="C224" i="7"/>
  <c r="A225" i="7"/>
  <c r="B225" i="7" s="1"/>
  <c r="C225" i="7"/>
  <c r="A226" i="7"/>
  <c r="B226" i="7" s="1"/>
  <c r="C226" i="7"/>
  <c r="A227" i="7"/>
  <c r="B227" i="7" s="1"/>
  <c r="C227" i="7"/>
  <c r="A228" i="7"/>
  <c r="B228" i="7" s="1"/>
  <c r="C228" i="7"/>
  <c r="A229" i="7"/>
  <c r="B229" i="7" s="1"/>
  <c r="C229" i="7"/>
  <c r="A230" i="7"/>
  <c r="B230" i="7" s="1"/>
  <c r="C230" i="7"/>
  <c r="A231" i="7"/>
  <c r="B231" i="7" s="1"/>
  <c r="C231" i="7"/>
  <c r="A232" i="7"/>
  <c r="B232" i="7" s="1"/>
  <c r="C232" i="7"/>
  <c r="A233" i="7"/>
  <c r="B233" i="7" s="1"/>
  <c r="C233" i="7"/>
  <c r="A234" i="7"/>
  <c r="B234" i="7" s="1"/>
  <c r="C234" i="7"/>
  <c r="A235" i="7"/>
  <c r="B235" i="7" s="1"/>
  <c r="C235" i="7"/>
  <c r="A236" i="7"/>
  <c r="B236" i="7" s="1"/>
  <c r="C236" i="7"/>
  <c r="A237" i="7"/>
  <c r="B237" i="7" s="1"/>
  <c r="C237" i="7"/>
  <c r="A238" i="7"/>
  <c r="B238" i="7" s="1"/>
  <c r="C238" i="7"/>
  <c r="A239" i="7"/>
  <c r="B239" i="7" s="1"/>
  <c r="C239" i="7"/>
  <c r="A240" i="7"/>
  <c r="B240" i="7" s="1"/>
  <c r="C240" i="7"/>
  <c r="A241" i="7"/>
  <c r="B241" i="7" s="1"/>
  <c r="C241" i="7"/>
  <c r="A242" i="7"/>
  <c r="B242" i="7" s="1"/>
  <c r="C242" i="7"/>
  <c r="A243" i="7"/>
  <c r="B243" i="7" s="1"/>
  <c r="C243" i="7"/>
  <c r="A244" i="7"/>
  <c r="B244" i="7" s="1"/>
  <c r="C244" i="7"/>
  <c r="A245" i="7"/>
  <c r="B245" i="7" s="1"/>
  <c r="C245" i="7"/>
  <c r="A246" i="7"/>
  <c r="B246" i="7" s="1"/>
  <c r="C246" i="7"/>
  <c r="A247" i="7"/>
  <c r="B247" i="7" s="1"/>
  <c r="C247" i="7"/>
  <c r="A248" i="7"/>
  <c r="B248" i="7" s="1"/>
  <c r="C248" i="7"/>
  <c r="A249" i="7"/>
  <c r="B249" i="7" s="1"/>
  <c r="C249" i="7"/>
  <c r="A250" i="7"/>
  <c r="B250" i="7" s="1"/>
  <c r="C250" i="7"/>
  <c r="A251" i="7"/>
  <c r="B251" i="7" s="1"/>
  <c r="C251" i="7"/>
  <c r="A252" i="7"/>
  <c r="B252" i="7" s="1"/>
  <c r="C252" i="7"/>
  <c r="A253" i="7"/>
  <c r="B253" i="7" s="1"/>
  <c r="C253" i="7"/>
  <c r="A254" i="7"/>
  <c r="B254" i="7" s="1"/>
  <c r="C254" i="7"/>
  <c r="A255" i="7"/>
  <c r="B255" i="7" s="1"/>
  <c r="C255" i="7"/>
  <c r="A256" i="7"/>
  <c r="B256" i="7" s="1"/>
  <c r="C256" i="7"/>
  <c r="A257" i="7"/>
  <c r="B257" i="7" s="1"/>
  <c r="C257" i="7"/>
  <c r="A258" i="7"/>
  <c r="B258" i="7" s="1"/>
  <c r="C258" i="7"/>
  <c r="A259" i="7"/>
  <c r="B259" i="7" s="1"/>
  <c r="C259" i="7"/>
  <c r="A260" i="7"/>
  <c r="B260" i="7" s="1"/>
  <c r="C260" i="7"/>
  <c r="A261" i="7"/>
  <c r="B261" i="7" s="1"/>
  <c r="C261" i="7"/>
  <c r="A262" i="7"/>
  <c r="B262" i="7" s="1"/>
  <c r="C262" i="7"/>
  <c r="A263" i="7"/>
  <c r="B263" i="7" s="1"/>
  <c r="C263" i="7"/>
  <c r="A264" i="7"/>
  <c r="B264" i="7" s="1"/>
  <c r="C264" i="7"/>
  <c r="A265" i="7"/>
  <c r="B265" i="7" s="1"/>
  <c r="C265" i="7"/>
  <c r="A266" i="7"/>
  <c r="B266" i="7" s="1"/>
  <c r="C266" i="7"/>
  <c r="A267" i="7"/>
  <c r="B267" i="7" s="1"/>
  <c r="C267" i="7"/>
  <c r="A268" i="7"/>
  <c r="B268" i="7" s="1"/>
  <c r="C268" i="7"/>
  <c r="A269" i="7"/>
  <c r="B269" i="7" s="1"/>
  <c r="C269" i="7"/>
  <c r="A270" i="7"/>
  <c r="B270" i="7" s="1"/>
  <c r="C270" i="7"/>
  <c r="A271" i="7"/>
  <c r="B271" i="7" s="1"/>
  <c r="C271" i="7"/>
  <c r="A272" i="7"/>
  <c r="B272" i="7" s="1"/>
  <c r="C272" i="7"/>
  <c r="A273" i="7"/>
  <c r="B273" i="7" s="1"/>
  <c r="C273" i="7"/>
  <c r="A274" i="7"/>
  <c r="B274" i="7" s="1"/>
  <c r="C274" i="7"/>
  <c r="A275" i="7"/>
  <c r="B275" i="7" s="1"/>
  <c r="C275" i="7"/>
  <c r="A276" i="7"/>
  <c r="B276" i="7" s="1"/>
  <c r="C276" i="7"/>
  <c r="A277" i="7"/>
  <c r="B277" i="7" s="1"/>
  <c r="C277" i="7"/>
  <c r="A278" i="7"/>
  <c r="B278" i="7" s="1"/>
  <c r="C278" i="7"/>
  <c r="A279" i="7"/>
  <c r="B279" i="7" s="1"/>
  <c r="C279" i="7"/>
  <c r="A280" i="7"/>
  <c r="B280" i="7" s="1"/>
  <c r="C280" i="7"/>
  <c r="A281" i="7"/>
  <c r="B281" i="7" s="1"/>
  <c r="C281" i="7"/>
  <c r="A282" i="7"/>
  <c r="B282" i="7" s="1"/>
  <c r="C282" i="7"/>
  <c r="A283" i="7"/>
  <c r="B283" i="7" s="1"/>
  <c r="C283" i="7"/>
  <c r="A284" i="7"/>
  <c r="B284" i="7" s="1"/>
  <c r="C284" i="7"/>
  <c r="A285" i="7"/>
  <c r="B285" i="7" s="1"/>
  <c r="C285" i="7"/>
  <c r="A286" i="7"/>
  <c r="B286" i="7" s="1"/>
  <c r="C286" i="7"/>
  <c r="A287" i="7"/>
  <c r="B287" i="7" s="1"/>
  <c r="C287" i="7"/>
  <c r="A288" i="7"/>
  <c r="B288" i="7" s="1"/>
  <c r="C288" i="7"/>
  <c r="A289" i="7"/>
  <c r="B289" i="7" s="1"/>
  <c r="C289" i="7"/>
  <c r="A290" i="7"/>
  <c r="B290" i="7" s="1"/>
  <c r="C290" i="7"/>
  <c r="A291" i="7"/>
  <c r="B291" i="7" s="1"/>
  <c r="C291" i="7"/>
  <c r="A292" i="7"/>
  <c r="B292" i="7" s="1"/>
  <c r="C292" i="7"/>
  <c r="A293" i="7"/>
  <c r="B293" i="7" s="1"/>
  <c r="C293" i="7"/>
  <c r="A294" i="7"/>
  <c r="B294" i="7" s="1"/>
  <c r="C294" i="7"/>
  <c r="A295" i="7"/>
  <c r="B295" i="7" s="1"/>
  <c r="C295" i="7"/>
  <c r="A296" i="7"/>
  <c r="B296" i="7" s="1"/>
  <c r="C296" i="7"/>
  <c r="A297" i="7"/>
  <c r="B297" i="7" s="1"/>
  <c r="C297" i="7"/>
  <c r="A298" i="7"/>
  <c r="B298" i="7" s="1"/>
  <c r="C298" i="7"/>
  <c r="A299" i="7"/>
  <c r="B299" i="7" s="1"/>
  <c r="C299" i="7"/>
  <c r="A300" i="7"/>
  <c r="B300" i="7" s="1"/>
  <c r="C300" i="7"/>
  <c r="A301" i="7"/>
  <c r="B301" i="7" s="1"/>
  <c r="C301" i="7"/>
  <c r="A302" i="7"/>
  <c r="B302" i="7" s="1"/>
  <c r="C302" i="7"/>
  <c r="A303" i="7"/>
  <c r="B303" i="7" s="1"/>
  <c r="C303" i="7"/>
  <c r="A304" i="7"/>
  <c r="B304" i="7" s="1"/>
  <c r="C304" i="7"/>
  <c r="A305" i="7"/>
  <c r="B305" i="7" s="1"/>
  <c r="C305" i="7"/>
  <c r="A306" i="7"/>
  <c r="B306" i="7" s="1"/>
  <c r="C306" i="7"/>
  <c r="A307" i="7"/>
  <c r="B307" i="7" s="1"/>
  <c r="C307" i="7"/>
  <c r="A308" i="7"/>
  <c r="B308" i="7" s="1"/>
  <c r="C308" i="7"/>
  <c r="A309" i="7"/>
  <c r="B309" i="7" s="1"/>
  <c r="C309" i="7"/>
  <c r="A310" i="7"/>
  <c r="B310" i="7" s="1"/>
  <c r="C310" i="7"/>
  <c r="A311" i="7"/>
  <c r="B311" i="7" s="1"/>
  <c r="C311" i="7"/>
  <c r="A312" i="7"/>
  <c r="B312" i="7" s="1"/>
  <c r="C312" i="7"/>
  <c r="A313" i="7"/>
  <c r="B313" i="7" s="1"/>
  <c r="C313" i="7"/>
  <c r="A314" i="7"/>
  <c r="B314" i="7" s="1"/>
  <c r="C314" i="7"/>
  <c r="A315" i="7"/>
  <c r="B315" i="7" s="1"/>
  <c r="C315" i="7"/>
  <c r="A316" i="7"/>
  <c r="B316" i="7" s="1"/>
  <c r="C316" i="7"/>
  <c r="A317" i="7"/>
  <c r="B317" i="7" s="1"/>
  <c r="C317" i="7"/>
  <c r="A318" i="7"/>
  <c r="B318" i="7" s="1"/>
  <c r="C318" i="7"/>
  <c r="A319" i="7"/>
  <c r="B319" i="7" s="1"/>
  <c r="C319" i="7"/>
  <c r="A320" i="7"/>
  <c r="B320" i="7" s="1"/>
  <c r="C320" i="7"/>
  <c r="A321" i="7"/>
  <c r="B321" i="7" s="1"/>
  <c r="C321" i="7"/>
  <c r="A322" i="7"/>
  <c r="B322" i="7" s="1"/>
  <c r="C322" i="7"/>
  <c r="A323" i="7"/>
  <c r="B323" i="7" s="1"/>
  <c r="C323" i="7"/>
  <c r="A324" i="7"/>
  <c r="B324" i="7" s="1"/>
  <c r="C324" i="7"/>
  <c r="A325" i="7"/>
  <c r="B325" i="7" s="1"/>
  <c r="C325" i="7"/>
  <c r="A326" i="7"/>
  <c r="B326" i="7" s="1"/>
  <c r="C326" i="7"/>
  <c r="A327" i="7"/>
  <c r="B327" i="7" s="1"/>
  <c r="C327" i="7"/>
  <c r="A328" i="7"/>
  <c r="B328" i="7" s="1"/>
  <c r="C328" i="7"/>
  <c r="A329" i="7"/>
  <c r="B329" i="7" s="1"/>
  <c r="C329" i="7"/>
  <c r="A330" i="7"/>
  <c r="B330" i="7" s="1"/>
  <c r="C330" i="7"/>
  <c r="A331" i="7"/>
  <c r="B331" i="7" s="1"/>
  <c r="C331" i="7"/>
  <c r="A332" i="7"/>
  <c r="B332" i="7" s="1"/>
  <c r="C332" i="7"/>
  <c r="A333" i="7"/>
  <c r="B333" i="7" s="1"/>
  <c r="C333" i="7"/>
  <c r="A334" i="7"/>
  <c r="B334" i="7" s="1"/>
  <c r="C334" i="7"/>
  <c r="A335" i="7"/>
  <c r="B335" i="7" s="1"/>
  <c r="C335" i="7"/>
  <c r="A336" i="7"/>
  <c r="B336" i="7" s="1"/>
  <c r="C336" i="7"/>
  <c r="A337" i="7"/>
  <c r="B337" i="7" s="1"/>
  <c r="C337" i="7"/>
  <c r="A338" i="7"/>
  <c r="B338" i="7" s="1"/>
  <c r="C338" i="7"/>
  <c r="A339" i="7"/>
  <c r="B339" i="7" s="1"/>
  <c r="C339" i="7"/>
  <c r="A340" i="7"/>
  <c r="B340" i="7" s="1"/>
  <c r="C340" i="7"/>
  <c r="A341" i="7"/>
  <c r="B341" i="7" s="1"/>
  <c r="C341" i="7"/>
  <c r="A342" i="7"/>
  <c r="B342" i="7" s="1"/>
  <c r="C342" i="7"/>
  <c r="A343" i="7"/>
  <c r="B343" i="7" s="1"/>
  <c r="C343" i="7"/>
  <c r="A344" i="7"/>
  <c r="B344" i="7" s="1"/>
  <c r="C344" i="7"/>
  <c r="A345" i="7"/>
  <c r="B345" i="7" s="1"/>
  <c r="C345" i="7"/>
  <c r="A346" i="7"/>
  <c r="B346" i="7" s="1"/>
  <c r="C346" i="7"/>
  <c r="A347" i="7"/>
  <c r="B347" i="7" s="1"/>
  <c r="C347" i="7"/>
  <c r="A348" i="7"/>
  <c r="B348" i="7" s="1"/>
  <c r="C348" i="7"/>
  <c r="A349" i="7"/>
  <c r="B349" i="7" s="1"/>
  <c r="C349" i="7"/>
  <c r="A350" i="7"/>
  <c r="B350" i="7" s="1"/>
  <c r="C350" i="7"/>
  <c r="A351" i="7"/>
  <c r="B351" i="7" s="1"/>
  <c r="C351" i="7"/>
  <c r="A352" i="7"/>
  <c r="B352" i="7" s="1"/>
  <c r="C352" i="7"/>
  <c r="A353" i="7"/>
  <c r="B353" i="7" s="1"/>
  <c r="C353" i="7"/>
  <c r="A354" i="7"/>
  <c r="B354" i="7" s="1"/>
  <c r="C354" i="7"/>
  <c r="A355" i="7"/>
  <c r="B355" i="7" s="1"/>
  <c r="C355" i="7"/>
  <c r="X24" i="1" l="1"/>
  <c r="W238" i="1"/>
  <c r="W204" i="1"/>
  <c r="W182" i="1"/>
  <c r="X136" i="1"/>
  <c r="W222" i="1"/>
  <c r="X54" i="1"/>
  <c r="X10" i="1"/>
  <c r="X26" i="1"/>
  <c r="X168" i="1"/>
  <c r="W240" i="1"/>
  <c r="W218" i="1"/>
  <c r="W176" i="1"/>
  <c r="X46" i="1"/>
  <c r="W230" i="1"/>
  <c r="W194" i="1"/>
  <c r="X144" i="1"/>
  <c r="X40" i="1"/>
  <c r="W246" i="1"/>
  <c r="W236" i="1"/>
  <c r="W220" i="1"/>
  <c r="W202" i="1"/>
  <c r="W178" i="1"/>
  <c r="X158" i="1"/>
  <c r="W242" i="1"/>
  <c r="W224" i="1"/>
  <c r="W214" i="1"/>
  <c r="W192" i="1"/>
  <c r="W174" i="1"/>
  <c r="X142" i="1"/>
  <c r="X34" i="1"/>
  <c r="X130" i="1"/>
  <c r="X126" i="1"/>
  <c r="X98" i="1"/>
  <c r="B195" i="7"/>
  <c r="D195" i="7" s="1"/>
  <c r="D147" i="7"/>
  <c r="D207" i="7"/>
  <c r="D87" i="7"/>
  <c r="D71" i="7"/>
  <c r="D159" i="7"/>
  <c r="D151" i="7"/>
  <c r="X104" i="1"/>
  <c r="W234" i="1"/>
  <c r="W210" i="1"/>
  <c r="W190" i="1"/>
  <c r="X162" i="1"/>
  <c r="X114" i="1"/>
  <c r="W226" i="1"/>
  <c r="W206" i="1"/>
  <c r="W186" i="1"/>
  <c r="X146" i="1"/>
  <c r="X110" i="1"/>
  <c r="X30" i="1"/>
  <c r="W208" i="1"/>
  <c r="W198" i="1"/>
  <c r="W188" i="1"/>
  <c r="X112" i="1"/>
  <c r="X62" i="1"/>
  <c r="X18" i="1"/>
  <c r="X6" i="1"/>
  <c r="D139" i="7"/>
  <c r="D164" i="7"/>
  <c r="D152" i="7"/>
  <c r="W248" i="1"/>
  <c r="W232" i="1"/>
  <c r="W216" i="1"/>
  <c r="W200" i="1"/>
  <c r="W184" i="1"/>
  <c r="X160" i="1"/>
  <c r="X128" i="1"/>
  <c r="X80" i="1"/>
  <c r="X50" i="1"/>
  <c r="X22" i="1"/>
  <c r="W244" i="1"/>
  <c r="W228" i="1"/>
  <c r="W212" i="1"/>
  <c r="W196" i="1"/>
  <c r="W180" i="1"/>
  <c r="X152" i="1"/>
  <c r="X120" i="1"/>
  <c r="X56" i="1"/>
  <c r="X42" i="1"/>
  <c r="X14" i="1"/>
  <c r="D311" i="7"/>
  <c r="D295" i="7"/>
  <c r="D247" i="7"/>
  <c r="D231" i="7"/>
  <c r="X96" i="1"/>
  <c r="X94" i="1"/>
  <c r="D131" i="7"/>
  <c r="X88" i="1"/>
  <c r="X82" i="1"/>
  <c r="X78" i="1"/>
  <c r="X72" i="1"/>
  <c r="X66" i="1"/>
  <c r="W143" i="1"/>
  <c r="X143" i="1"/>
  <c r="W127" i="1"/>
  <c r="X127" i="1"/>
  <c r="W79" i="1"/>
  <c r="X79" i="1"/>
  <c r="W47" i="1"/>
  <c r="X47" i="1"/>
  <c r="W31" i="1"/>
  <c r="X31" i="1"/>
  <c r="W101" i="1"/>
  <c r="X101" i="1"/>
  <c r="W53" i="1"/>
  <c r="X53" i="1"/>
  <c r="W37" i="1"/>
  <c r="X37" i="1"/>
  <c r="X8" i="1"/>
  <c r="W117" i="1"/>
  <c r="X117" i="1"/>
  <c r="W139" i="1"/>
  <c r="X139" i="1"/>
  <c r="W107" i="1"/>
  <c r="X107" i="1"/>
  <c r="W43" i="1"/>
  <c r="X43" i="1"/>
  <c r="X249" i="1"/>
  <c r="X247" i="1"/>
  <c r="X245" i="1"/>
  <c r="X243" i="1"/>
  <c r="X241" i="1"/>
  <c r="X239" i="1"/>
  <c r="X237" i="1"/>
  <c r="X235" i="1"/>
  <c r="X233" i="1"/>
  <c r="X231" i="1"/>
  <c r="X229" i="1"/>
  <c r="X227" i="1"/>
  <c r="X225" i="1"/>
  <c r="X223" i="1"/>
  <c r="X221" i="1"/>
  <c r="X219" i="1"/>
  <c r="X217" i="1"/>
  <c r="X215" i="1"/>
  <c r="X213" i="1"/>
  <c r="X211" i="1"/>
  <c r="X209" i="1"/>
  <c r="X207" i="1"/>
  <c r="X205" i="1"/>
  <c r="X203" i="1"/>
  <c r="X201" i="1"/>
  <c r="X199" i="1"/>
  <c r="X197" i="1"/>
  <c r="X195" i="1"/>
  <c r="X193" i="1"/>
  <c r="X191" i="1"/>
  <c r="X189" i="1"/>
  <c r="X187" i="1"/>
  <c r="X185" i="1"/>
  <c r="X183" i="1"/>
  <c r="X181" i="1"/>
  <c r="X179" i="1"/>
  <c r="X177" i="1"/>
  <c r="X175" i="1"/>
  <c r="X173" i="1"/>
  <c r="X164" i="1"/>
  <c r="W161" i="1"/>
  <c r="X161" i="1"/>
  <c r="X148" i="1"/>
  <c r="W145" i="1"/>
  <c r="X145" i="1"/>
  <c r="X132" i="1"/>
  <c r="W129" i="1"/>
  <c r="X129" i="1"/>
  <c r="X116" i="1"/>
  <c r="W113" i="1"/>
  <c r="X113" i="1"/>
  <c r="X100" i="1"/>
  <c r="W97" i="1"/>
  <c r="X97" i="1"/>
  <c r="X84" i="1"/>
  <c r="W81" i="1"/>
  <c r="X81" i="1"/>
  <c r="X68" i="1"/>
  <c r="W65" i="1"/>
  <c r="X65" i="1"/>
  <c r="X52" i="1"/>
  <c r="W49" i="1"/>
  <c r="X49" i="1"/>
  <c r="X36" i="1"/>
  <c r="W33" i="1"/>
  <c r="X33" i="1"/>
  <c r="X20" i="1"/>
  <c r="X4" i="1"/>
  <c r="W159" i="1"/>
  <c r="X159" i="1"/>
  <c r="W63" i="1"/>
  <c r="X63" i="1"/>
  <c r="W149" i="1"/>
  <c r="X149" i="1"/>
  <c r="W155" i="1"/>
  <c r="X155" i="1"/>
  <c r="W123" i="1"/>
  <c r="X123" i="1"/>
  <c r="W75" i="1"/>
  <c r="X75" i="1"/>
  <c r="W59" i="1"/>
  <c r="X59" i="1"/>
  <c r="X170" i="1"/>
  <c r="W167" i="1"/>
  <c r="X167" i="1"/>
  <c r="X154" i="1"/>
  <c r="W151" i="1"/>
  <c r="X151" i="1"/>
  <c r="X138" i="1"/>
  <c r="W135" i="1"/>
  <c r="X135" i="1"/>
  <c r="X122" i="1"/>
  <c r="W119" i="1"/>
  <c r="X119" i="1"/>
  <c r="X106" i="1"/>
  <c r="W103" i="1"/>
  <c r="X103" i="1"/>
  <c r="X90" i="1"/>
  <c r="W87" i="1"/>
  <c r="X87" i="1"/>
  <c r="X74" i="1"/>
  <c r="W71" i="1"/>
  <c r="X71" i="1"/>
  <c r="X58" i="1"/>
  <c r="W55" i="1"/>
  <c r="X55" i="1"/>
  <c r="W39" i="1"/>
  <c r="X39" i="1"/>
  <c r="W95" i="1"/>
  <c r="X95" i="1"/>
  <c r="W165" i="1"/>
  <c r="X165" i="1"/>
  <c r="W133" i="1"/>
  <c r="X133" i="1"/>
  <c r="W69" i="1"/>
  <c r="X69" i="1"/>
  <c r="W171" i="1"/>
  <c r="X171" i="1"/>
  <c r="W91" i="1"/>
  <c r="X91" i="1"/>
  <c r="W157" i="1"/>
  <c r="X157" i="1"/>
  <c r="W141" i="1"/>
  <c r="X141" i="1"/>
  <c r="W125" i="1"/>
  <c r="X125" i="1"/>
  <c r="W109" i="1"/>
  <c r="X109" i="1"/>
  <c r="W93" i="1"/>
  <c r="X93" i="1"/>
  <c r="W77" i="1"/>
  <c r="X77" i="1"/>
  <c r="X64" i="1"/>
  <c r="W61" i="1"/>
  <c r="X61" i="1"/>
  <c r="X48" i="1"/>
  <c r="W45" i="1"/>
  <c r="X45" i="1"/>
  <c r="X32" i="1"/>
  <c r="W29" i="1"/>
  <c r="X29" i="1"/>
  <c r="X16" i="1"/>
  <c r="W111" i="1"/>
  <c r="X111" i="1"/>
  <c r="W85" i="1"/>
  <c r="X85" i="1"/>
  <c r="X166" i="1"/>
  <c r="W163" i="1"/>
  <c r="X163" i="1"/>
  <c r="X150" i="1"/>
  <c r="W147" i="1"/>
  <c r="X147" i="1"/>
  <c r="X134" i="1"/>
  <c r="W131" i="1"/>
  <c r="X131" i="1"/>
  <c r="X118" i="1"/>
  <c r="W115" i="1"/>
  <c r="X115" i="1"/>
  <c r="X102" i="1"/>
  <c r="W99" i="1"/>
  <c r="X99" i="1"/>
  <c r="X86" i="1"/>
  <c r="W83" i="1"/>
  <c r="X83" i="1"/>
  <c r="X70" i="1"/>
  <c r="W67" i="1"/>
  <c r="X67" i="1"/>
  <c r="W51" i="1"/>
  <c r="X51" i="1"/>
  <c r="X38" i="1"/>
  <c r="W35" i="1"/>
  <c r="X35" i="1"/>
  <c r="X172" i="1"/>
  <c r="W169" i="1"/>
  <c r="X169" i="1"/>
  <c r="X156" i="1"/>
  <c r="W153" i="1"/>
  <c r="X153" i="1"/>
  <c r="X140" i="1"/>
  <c r="W137" i="1"/>
  <c r="X137" i="1"/>
  <c r="X124" i="1"/>
  <c r="W121" i="1"/>
  <c r="X121" i="1"/>
  <c r="X108" i="1"/>
  <c r="W105" i="1"/>
  <c r="X105" i="1"/>
  <c r="X92" i="1"/>
  <c r="W89" i="1"/>
  <c r="X89" i="1"/>
  <c r="X76" i="1"/>
  <c r="W73" i="1"/>
  <c r="X73" i="1"/>
  <c r="X60" i="1"/>
  <c r="W57" i="1"/>
  <c r="X57" i="1"/>
  <c r="X44" i="1"/>
  <c r="W41" i="1"/>
  <c r="X41" i="1"/>
  <c r="X28" i="1"/>
  <c r="X12" i="1"/>
  <c r="X27" i="1"/>
  <c r="X25" i="1"/>
  <c r="X23" i="1"/>
  <c r="X21" i="1"/>
  <c r="X19" i="1"/>
  <c r="X17" i="1"/>
  <c r="X15" i="1"/>
  <c r="X13" i="1"/>
  <c r="X11" i="1"/>
  <c r="X9" i="1"/>
  <c r="X7" i="1"/>
  <c r="X5" i="1"/>
  <c r="X3" i="1"/>
  <c r="D334" i="7"/>
  <c r="D330" i="7"/>
  <c r="D318" i="7"/>
  <c r="D314" i="7"/>
  <c r="D302" i="7"/>
  <c r="D298" i="7"/>
  <c r="D286" i="7"/>
  <c r="D282" i="7"/>
  <c r="D270" i="7"/>
  <c r="D266" i="7"/>
  <c r="D254" i="7"/>
  <c r="D250" i="7"/>
  <c r="D238" i="7"/>
  <c r="D234" i="7"/>
  <c r="D222" i="7"/>
  <c r="D218" i="7"/>
  <c r="D198" i="7"/>
  <c r="D191" i="7"/>
  <c r="D167" i="7"/>
  <c r="D142" i="7"/>
  <c r="D173" i="7"/>
  <c r="D161" i="7"/>
  <c r="D176" i="7"/>
  <c r="D65" i="7"/>
  <c r="D49" i="7"/>
  <c r="D41" i="7"/>
  <c r="D353" i="7"/>
  <c r="D349" i="7"/>
  <c r="D345" i="7"/>
  <c r="D341" i="7"/>
  <c r="D337" i="7"/>
  <c r="D325" i="7"/>
  <c r="D321" i="7"/>
  <c r="D309" i="7"/>
  <c r="D305" i="7"/>
  <c r="D293" i="7"/>
  <c r="D289" i="7"/>
  <c r="D277" i="7"/>
  <c r="D273" i="7"/>
  <c r="D261" i="7"/>
  <c r="D257" i="7"/>
  <c r="D245" i="7"/>
  <c r="D241" i="7"/>
  <c r="D229" i="7"/>
  <c r="D225" i="7"/>
  <c r="D213" i="7"/>
  <c r="D209" i="7"/>
  <c r="D104" i="7"/>
  <c r="D182" i="7"/>
  <c r="D202" i="7"/>
  <c r="D179" i="7"/>
  <c r="D85" i="7"/>
  <c r="D81" i="7"/>
  <c r="D77" i="7"/>
  <c r="D69" i="7"/>
  <c r="D61" i="7"/>
  <c r="D53" i="7"/>
  <c r="D187" i="7"/>
  <c r="D45" i="7"/>
  <c r="D150" i="7"/>
  <c r="D208" i="7"/>
  <c r="D165" i="7"/>
  <c r="D136" i="7"/>
  <c r="D180" i="7"/>
  <c r="D157" i="7"/>
  <c r="D153" i="7"/>
  <c r="D149" i="7"/>
  <c r="D135" i="7"/>
  <c r="D76" i="7"/>
  <c r="D68" i="7"/>
  <c r="D185" i="7"/>
  <c r="D174" i="7"/>
  <c r="D130" i="7"/>
  <c r="D122" i="7"/>
  <c r="D114" i="7"/>
  <c r="D98" i="7"/>
  <c r="D43" i="7"/>
  <c r="D355" i="7"/>
  <c r="D347" i="7"/>
  <c r="D339" i="7"/>
  <c r="D323" i="7"/>
  <c r="D307" i="7"/>
  <c r="D291" i="7"/>
  <c r="D275" i="7"/>
  <c r="D259" i="7"/>
  <c r="D243" i="7"/>
  <c r="D227" i="7"/>
  <c r="D211" i="7"/>
  <c r="D163" i="7"/>
  <c r="D155" i="7"/>
  <c r="D129" i="7"/>
  <c r="D70" i="7"/>
  <c r="D54" i="7"/>
  <c r="D144" i="7"/>
  <c r="D113" i="7"/>
  <c r="D86" i="7"/>
  <c r="D78" i="7"/>
  <c r="D62" i="7"/>
  <c r="D354" i="7"/>
  <c r="D350" i="7"/>
  <c r="D346" i="7"/>
  <c r="D342" i="7"/>
  <c r="D203" i="7"/>
  <c r="D192" i="7"/>
  <c r="D169" i="7"/>
  <c r="D154" i="7"/>
  <c r="D73" i="7"/>
  <c r="D57" i="7"/>
  <c r="D46" i="7"/>
  <c r="D42" i="7"/>
  <c r="D177" i="7"/>
  <c r="D137" i="7"/>
  <c r="D121" i="7"/>
  <c r="D105" i="7"/>
  <c r="D52" i="7"/>
  <c r="D166" i="7"/>
  <c r="D74" i="7"/>
  <c r="D58" i="7"/>
  <c r="D352" i="7"/>
  <c r="D344" i="7"/>
  <c r="D336" i="7"/>
  <c r="D320" i="7"/>
  <c r="D304" i="7"/>
  <c r="D288" i="7"/>
  <c r="D272" i="7"/>
  <c r="D256" i="7"/>
  <c r="D240" i="7"/>
  <c r="D224" i="7"/>
  <c r="D186" i="7"/>
  <c r="D160" i="7"/>
  <c r="D123" i="7"/>
  <c r="D115" i="7"/>
  <c r="D99" i="7"/>
  <c r="D44" i="7"/>
  <c r="D205" i="7"/>
  <c r="D189" i="7"/>
  <c r="D141" i="7"/>
  <c r="D84" i="7"/>
  <c r="D60" i="7"/>
  <c r="D83" i="7"/>
  <c r="D75" i="7"/>
  <c r="D67" i="7"/>
  <c r="D59" i="7"/>
  <c r="D51" i="7"/>
  <c r="D348" i="7"/>
  <c r="D340" i="7"/>
  <c r="D324" i="7"/>
  <c r="D308" i="7"/>
  <c r="D292" i="7"/>
  <c r="D276" i="7"/>
  <c r="D260" i="7"/>
  <c r="D244" i="7"/>
  <c r="D228" i="7"/>
  <c r="D212" i="7"/>
  <c r="D204" i="7"/>
  <c r="D196" i="7"/>
  <c r="D188" i="7"/>
  <c r="D156" i="7"/>
  <c r="D148" i="7"/>
  <c r="D140" i="7"/>
  <c r="D80" i="7"/>
  <c r="D64" i="7"/>
  <c r="D48" i="7"/>
  <c r="D40" i="7"/>
  <c r="D97" i="7"/>
  <c r="D199" i="7"/>
  <c r="D103" i="7"/>
  <c r="D319" i="7"/>
  <c r="D79" i="7"/>
  <c r="D351" i="7"/>
  <c r="D343" i="7"/>
  <c r="D335" i="7"/>
  <c r="D327" i="7"/>
  <c r="D63" i="7"/>
  <c r="D55" i="7"/>
  <c r="D303" i="7"/>
  <c r="D287" i="7"/>
  <c r="D47" i="7"/>
  <c r="D279" i="7"/>
  <c r="D271" i="7"/>
  <c r="D263" i="7"/>
  <c r="D255" i="7"/>
  <c r="D239" i="7"/>
  <c r="D223" i="7"/>
  <c r="D175" i="7"/>
  <c r="D143" i="7"/>
  <c r="D215" i="7"/>
  <c r="D326" i="7"/>
  <c r="D322" i="7"/>
  <c r="D315" i="7"/>
  <c r="D300" i="7"/>
  <c r="D296" i="7"/>
  <c r="D285" i="7"/>
  <c r="D281" i="7"/>
  <c r="D262" i="7"/>
  <c r="D258" i="7"/>
  <c r="D251" i="7"/>
  <c r="D236" i="7"/>
  <c r="D232" i="7"/>
  <c r="D221" i="7"/>
  <c r="D217" i="7"/>
  <c r="D197" i="7"/>
  <c r="D181" i="7"/>
  <c r="D172" i="7"/>
  <c r="D132" i="7"/>
  <c r="D125" i="7"/>
  <c r="D118" i="7"/>
  <c r="D111" i="7"/>
  <c r="D107" i="7"/>
  <c r="D100" i="7"/>
  <c r="D82" i="7"/>
  <c r="D50" i="7"/>
  <c r="D183" i="7"/>
  <c r="D333" i="7"/>
  <c r="D329" i="7"/>
  <c r="D310" i="7"/>
  <c r="D306" i="7"/>
  <c r="D299" i="7"/>
  <c r="D284" i="7"/>
  <c r="D280" i="7"/>
  <c r="D269" i="7"/>
  <c r="D265" i="7"/>
  <c r="D246" i="7"/>
  <c r="D242" i="7"/>
  <c r="D235" i="7"/>
  <c r="D220" i="7"/>
  <c r="D216" i="7"/>
  <c r="D206" i="7"/>
  <c r="D193" i="7"/>
  <c r="D190" i="7"/>
  <c r="D171" i="7"/>
  <c r="D138" i="7"/>
  <c r="D128" i="7"/>
  <c r="D124" i="7"/>
  <c r="D117" i="7"/>
  <c r="D110" i="7"/>
  <c r="D106" i="7"/>
  <c r="D96" i="7"/>
  <c r="D56" i="7"/>
  <c r="D332" i="7"/>
  <c r="D328" i="7"/>
  <c r="D317" i="7"/>
  <c r="D313" i="7"/>
  <c r="D294" i="7"/>
  <c r="D290" i="7"/>
  <c r="D283" i="7"/>
  <c r="D268" i="7"/>
  <c r="D264" i="7"/>
  <c r="D253" i="7"/>
  <c r="D249" i="7"/>
  <c r="D230" i="7"/>
  <c r="D226" i="7"/>
  <c r="D219" i="7"/>
  <c r="D201" i="7"/>
  <c r="D170" i="7"/>
  <c r="D158" i="7"/>
  <c r="D146" i="7"/>
  <c r="D134" i="7"/>
  <c r="D127" i="7"/>
  <c r="D120" i="7"/>
  <c r="D116" i="7"/>
  <c r="D109" i="7"/>
  <c r="D102" i="7"/>
  <c r="D95" i="7"/>
  <c r="D66" i="7"/>
  <c r="D338" i="7"/>
  <c r="D331" i="7"/>
  <c r="D316" i="7"/>
  <c r="D312" i="7"/>
  <c r="D301" i="7"/>
  <c r="D297" i="7"/>
  <c r="D278" i="7"/>
  <c r="D274" i="7"/>
  <c r="D267" i="7"/>
  <c r="D252" i="7"/>
  <c r="D248" i="7"/>
  <c r="D237" i="7"/>
  <c r="D233" i="7"/>
  <c r="D214" i="7"/>
  <c r="D210" i="7"/>
  <c r="D145" i="7"/>
  <c r="D133" i="7"/>
  <c r="D126" i="7"/>
  <c r="D119" i="7"/>
  <c r="D112" i="7"/>
  <c r="D108" i="7"/>
  <c r="D101" i="7"/>
  <c r="D94" i="7"/>
  <c r="D90" i="7"/>
  <c r="D72" i="7"/>
  <c r="D93" i="7"/>
  <c r="D92" i="7"/>
  <c r="D91" i="7"/>
  <c r="D89" i="7"/>
  <c r="D88" i="7"/>
  <c r="D184" i="7"/>
  <c r="D194" i="7"/>
  <c r="D168" i="7"/>
  <c r="D178" i="7"/>
  <c r="D200" i="7"/>
  <c r="D162" i="7"/>
  <c r="V2" i="1" l="1"/>
  <c r="X2" i="1" s="1"/>
  <c r="A39" i="7"/>
  <c r="B39" i="7" s="1"/>
  <c r="W2" i="1" l="1"/>
  <c r="C39" i="7" l="1"/>
  <c r="D39" i="7" l="1"/>
</calcChain>
</file>

<file path=xl/sharedStrings.xml><?xml version="1.0" encoding="utf-8"?>
<sst xmlns="http://schemas.openxmlformats.org/spreadsheetml/2006/main" count="1503" uniqueCount="346">
  <si>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</si>
  <si>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</si>
  <si>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</si>
  <si>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</si>
  <si>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</si>
  <si>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</si>
  <si>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</si>
  <si>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</si>
  <si>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</si>
  <si>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</si>
  <si>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</si>
  <si>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</si>
  <si>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</si>
  <si>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</si>
  <si>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</si>
  <si>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</si>
  <si>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</si>
  <si>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</si>
  <si>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</si>
  <si>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</si>
  <si>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CODIGO</t>
  </si>
  <si>
    <t>ATENCION PRE-HOSPITALARIA</t>
  </si>
  <si>
    <t>DIPLOMADO EN ATENCION PRE-HOSPITALARIA</t>
  </si>
  <si>
    <t>DUELO</t>
  </si>
  <si>
    <t>ACOMPAÑAMIENTO Y MANEJO DEL DUELO</t>
  </si>
  <si>
    <t>QUIMICOS</t>
  </si>
  <si>
    <t xml:space="preserve">ATENCION A VICTIMAS DE ATAQUE CON AGENTES QUIMICOS </t>
  </si>
  <si>
    <t>PRIMEROS AUXILIOS</t>
  </si>
  <si>
    <t xml:space="preserve">PRIMEROS AUXILIOS </t>
  </si>
  <si>
    <t>UCI</t>
  </si>
  <si>
    <t>DIPLOMADO DE UNIDAD DE CUIDADOS INTENSIVOS (UCI)</t>
  </si>
  <si>
    <t>CODIGO VERDE</t>
  </si>
  <si>
    <t>MODELO DE ATENCION PARA EVENTOS EMERGENTES EN SALUD MENTAL (CODIGO VERDE)</t>
  </si>
  <si>
    <t>HUMANIZACION</t>
  </si>
  <si>
    <t>CLINICA DE HERIDAS</t>
  </si>
  <si>
    <t xml:space="preserve">CLINICA DE HERIDAS </t>
  </si>
  <si>
    <t>CITOLOGIA</t>
  </si>
  <si>
    <t xml:space="preserve">TOMA DE CITOLOGIA A CERVICO VAGINAL </t>
  </si>
  <si>
    <t>ACLS</t>
  </si>
  <si>
    <t>CAMILLERO</t>
  </si>
  <si>
    <t xml:space="preserve">CAMILLERO </t>
  </si>
  <si>
    <t>TOMA DE MUESTRAS</t>
  </si>
  <si>
    <t>SOPORTE VITAL BASICO (BLS)</t>
  </si>
  <si>
    <t>VIOLENCIA SEXUAL</t>
  </si>
  <si>
    <t xml:space="preserve">ATENCION A VICTIMAS DE VIOLENCIA SEXUAL </t>
  </si>
  <si>
    <t>PROGRAMADO AMPLIADO DE INMUNIZACION (PAI - COVID 19)</t>
  </si>
  <si>
    <t>AIEPI</t>
  </si>
  <si>
    <t>ATENCION INTEGRAL EN ENFERMEDADES PREVALENTES EN PRIMERA INFANCIA (AIEPI)</t>
  </si>
  <si>
    <t>ADMON DE MEDICAMENTOS</t>
  </si>
  <si>
    <t>OVE</t>
  </si>
  <si>
    <t>OPERADOR DE VEHICULOS DE EMERGENCIA (OVE)</t>
  </si>
  <si>
    <t>IAMI</t>
  </si>
  <si>
    <t>INSTITUCIONES AMIGAS DE LA MUJER Y LA INFANCIA (IAMI)</t>
  </si>
  <si>
    <t>DONANTE</t>
  </si>
  <si>
    <t>CUIDADO DEL DONANTE DE ORGANOS</t>
  </si>
  <si>
    <t>VIOLENCIA DE GENERO</t>
  </si>
  <si>
    <t>ATENCION A VICTIMAS POR VIOLENCIA DE GENERO</t>
  </si>
  <si>
    <t>IGUALDAD DE GENERO</t>
  </si>
  <si>
    <t>IGUALDAD DE GENERO EN LA SALUD</t>
  </si>
  <si>
    <t>BRIGADA</t>
  </si>
  <si>
    <t>BRIGADA DE EMERGENCIA</t>
  </si>
  <si>
    <t>PALIATIVOS</t>
  </si>
  <si>
    <t>MANEJO DEL DOLOR Y CUIDADOS PALIATIVOS</t>
  </si>
  <si>
    <t>POCT</t>
  </si>
  <si>
    <t>IMPLANTE</t>
  </si>
  <si>
    <t>SALUD MENTAL</t>
  </si>
  <si>
    <t>PRIMEROS AUXILIOS P</t>
  </si>
  <si>
    <t>PRIMEROS AUXILIOS PSICOLOGICOS</t>
  </si>
  <si>
    <t>CONFLICTO ARMADO</t>
  </si>
  <si>
    <t>ATENCION A VICTIMAS POR CONFLICTO ARMADO</t>
  </si>
  <si>
    <t>FECHA DE NACIMIENTO</t>
  </si>
  <si>
    <t>X</t>
  </si>
  <si>
    <t>ELABORO</t>
  </si>
  <si>
    <t xml:space="preserve">CORREO </t>
  </si>
  <si>
    <t>LINK BASE</t>
  </si>
  <si>
    <t>CEDULA</t>
  </si>
  <si>
    <t>LINK</t>
  </si>
  <si>
    <t>PAI</t>
  </si>
  <si>
    <t>MANIPULACION DE ALIMENTOS</t>
  </si>
  <si>
    <t>MANIPULACION DE ALIMENTOS Y BPM</t>
  </si>
  <si>
    <t xml:space="preserve">ADMINISTRACION DE MEDICAMENTOS, INYECTOLOGIA  Y CANALIZACION </t>
  </si>
  <si>
    <t>ATENCION A PERSONAS CON DISCAPACIDAD</t>
  </si>
  <si>
    <t>DISCAPACIDAD</t>
  </si>
  <si>
    <t>ADULTO MAYOR</t>
  </si>
  <si>
    <t>CUIDADO INTEGRAL DEL PACIENTE ADULTO</t>
  </si>
  <si>
    <t>CAMILO</t>
  </si>
  <si>
    <t>Guerrero</t>
  </si>
  <si>
    <t>MANEJO DEFENSIVO</t>
  </si>
  <si>
    <t>ACLSN</t>
  </si>
  <si>
    <t>SOPORTE CARDIOVASCULAR AVANZADO NEONATAL</t>
  </si>
  <si>
    <t xml:space="preserve">HUMANIZACION EN EL SERVICIO DE LA SALUD Y BUENAS PRACTICAS EN PACIENTE </t>
  </si>
  <si>
    <t>SOPORTE CARDIOVASCULAR AVANZADO (ACLS)</t>
  </si>
  <si>
    <t>TOMA DE MUESTRAS Y LABORATORIO POCT</t>
  </si>
  <si>
    <t>IMPLANTE SUBDERMICO DE DISPOSITIVO INTRAUTERINO</t>
  </si>
  <si>
    <t>SEGURIDAD DEL PACIENTE</t>
  </si>
  <si>
    <t>PACIENTE</t>
  </si>
  <si>
    <t>F</t>
  </si>
  <si>
    <t>M</t>
  </si>
  <si>
    <t>Legarda</t>
  </si>
  <si>
    <t>Chicaiza</t>
  </si>
  <si>
    <t>Edison</t>
  </si>
  <si>
    <t>Jose</t>
  </si>
  <si>
    <t>Octubre</t>
  </si>
  <si>
    <t>CCS</t>
  </si>
  <si>
    <t>MODALIDAD</t>
  </si>
  <si>
    <t>Pulido</t>
  </si>
  <si>
    <t>Recalde</t>
  </si>
  <si>
    <t>Valentina</t>
  </si>
  <si>
    <t>RENOVACION</t>
  </si>
  <si>
    <t>OBSEQUIO</t>
  </si>
  <si>
    <t>FRANCISCO</t>
  </si>
  <si>
    <t>CAPACITACION</t>
  </si>
  <si>
    <t>Mera</t>
  </si>
  <si>
    <t>Yesica</t>
  </si>
  <si>
    <t>Yovana</t>
  </si>
  <si>
    <t>YURANI</t>
  </si>
  <si>
    <t>AUX DE ENFERMERIA</t>
  </si>
  <si>
    <t xml:space="preserve">Yesicamera2001@gmail.com </t>
  </si>
  <si>
    <t>santilegarda2007@gmail.com</t>
  </si>
  <si>
    <t>Septiembre</t>
  </si>
  <si>
    <t>CAJA</t>
  </si>
  <si>
    <t>Ordoñez</t>
  </si>
  <si>
    <t>Herrera</t>
  </si>
  <si>
    <t>Nasly</t>
  </si>
  <si>
    <t>Natalia</t>
  </si>
  <si>
    <t>MEDIC@</t>
  </si>
  <si>
    <t>natisordo@gmail.com</t>
  </si>
  <si>
    <t>Chavez</t>
  </si>
  <si>
    <t>Romero</t>
  </si>
  <si>
    <t>Brayan</t>
  </si>
  <si>
    <t>Francisco</t>
  </si>
  <si>
    <t>BRAYAN</t>
  </si>
  <si>
    <t>Pantoja</t>
  </si>
  <si>
    <t>Paredes</t>
  </si>
  <si>
    <t>Leidy</t>
  </si>
  <si>
    <t>Jhomara</t>
  </si>
  <si>
    <t>SEBASTIAN</t>
  </si>
  <si>
    <t>PSICOLOGA</t>
  </si>
  <si>
    <t>Lpantojaparedes@gmail.com</t>
  </si>
  <si>
    <t>DAVIPLATA</t>
  </si>
  <si>
    <t>Cuaspud</t>
  </si>
  <si>
    <t>Benavides</t>
  </si>
  <si>
    <t>Paola</t>
  </si>
  <si>
    <t>Andrea</t>
  </si>
  <si>
    <t xml:space="preserve">Pbenavides669@gmail.com </t>
  </si>
  <si>
    <t>Madroñero</t>
  </si>
  <si>
    <t>Angela</t>
  </si>
  <si>
    <t>Lorena</t>
  </si>
  <si>
    <t>anlogema@hotmail.com</t>
  </si>
  <si>
    <t>NEQUI</t>
  </si>
  <si>
    <t>Delgado</t>
  </si>
  <si>
    <t>Perez</t>
  </si>
  <si>
    <t>Yeiner</t>
  </si>
  <si>
    <t>Moxter_882@hotmail.com</t>
  </si>
  <si>
    <t>Ocaña</t>
  </si>
  <si>
    <t>Carol</t>
  </si>
  <si>
    <t>Viviana</t>
  </si>
  <si>
    <t>Nequi/abono</t>
  </si>
  <si>
    <t>Tecnología en radiodiagnóstico y radioterapia</t>
  </si>
  <si>
    <t xml:space="preserve">carolvi.ocana@umariana.edu </t>
  </si>
  <si>
    <t>Obando</t>
  </si>
  <si>
    <t xml:space="preserve">lore514427@gmail.com </t>
  </si>
  <si>
    <t>ENFERMERA</t>
  </si>
  <si>
    <t>Bolaños</t>
  </si>
  <si>
    <t>Bravo</t>
  </si>
  <si>
    <t>Sofia</t>
  </si>
  <si>
    <t>angelibolano23@gmail.com</t>
  </si>
  <si>
    <t>Quiñones</t>
  </si>
  <si>
    <t>Castillo</t>
  </si>
  <si>
    <t>Julieth</t>
  </si>
  <si>
    <t xml:space="preserve">Tecnologa en radiodiagnostico y radioterapia </t>
  </si>
  <si>
    <t>katherinquinones704@gmail.com</t>
  </si>
  <si>
    <t>Katerin</t>
  </si>
  <si>
    <t>Garcia</t>
  </si>
  <si>
    <t>Chingal</t>
  </si>
  <si>
    <t>Hilary</t>
  </si>
  <si>
    <t>Lisec</t>
  </si>
  <si>
    <t>PROINSALUD</t>
  </si>
  <si>
    <t>Bohorquez</t>
  </si>
  <si>
    <t>Rodriguez</t>
  </si>
  <si>
    <t>Nini</t>
  </si>
  <si>
    <t>Johana</t>
  </si>
  <si>
    <t>edwxin86@hotmail.com</t>
  </si>
  <si>
    <t>Silva</t>
  </si>
  <si>
    <t>Ortiz</t>
  </si>
  <si>
    <t>Yoly</t>
  </si>
  <si>
    <t>Milena</t>
  </si>
  <si>
    <t>TOMA DE MUESTRAS Y LABORATORIO CLINICO</t>
  </si>
  <si>
    <t>auxiliar de laboratorio clínico</t>
  </si>
  <si>
    <t xml:space="preserve">yolisilva2386@gmail.com </t>
  </si>
  <si>
    <t>Caicedo</t>
  </si>
  <si>
    <t>Maria</t>
  </si>
  <si>
    <t>Isabel</t>
  </si>
  <si>
    <t>isabel.caicedo2002@gmail.com</t>
  </si>
  <si>
    <t>Marcillo</t>
  </si>
  <si>
    <t>Escobar</t>
  </si>
  <si>
    <t>Tania</t>
  </si>
  <si>
    <t>maricel</t>
  </si>
  <si>
    <t>REGENTEDE FARMACIA</t>
  </si>
  <si>
    <t xml:space="preserve">tania.maricel@gmail.com </t>
  </si>
  <si>
    <t>Cordoba</t>
  </si>
  <si>
    <t>Burbano</t>
  </si>
  <si>
    <t>Vanessa</t>
  </si>
  <si>
    <t>PACIENTE CON DISCAPACIDAD</t>
  </si>
  <si>
    <t>Preciado</t>
  </si>
  <si>
    <t>Landazuri</t>
  </si>
  <si>
    <t>BANCOLOMBIA</t>
  </si>
  <si>
    <t>Rosero</t>
  </si>
  <si>
    <t>Torres</t>
  </si>
  <si>
    <t>Sthefanny</t>
  </si>
  <si>
    <t>tefita2350@gmail.com</t>
  </si>
  <si>
    <t>Maricel</t>
  </si>
  <si>
    <t xml:space="preserve">isabel.caicedo2002@gmail.com </t>
  </si>
  <si>
    <t>Nieto</t>
  </si>
  <si>
    <t>Sharita</t>
  </si>
  <si>
    <t>LUIS PINTA</t>
  </si>
  <si>
    <t>RESIDUOS</t>
  </si>
  <si>
    <t>sharitanieto09@gmail.com</t>
  </si>
  <si>
    <t>Termal</t>
  </si>
  <si>
    <t>Tita</t>
  </si>
  <si>
    <t>Alejandra</t>
  </si>
  <si>
    <t>DERMOCOSMIATRA</t>
  </si>
  <si>
    <t>titaalejandran16@outlook.es</t>
  </si>
  <si>
    <t>Dora</t>
  </si>
  <si>
    <t>Cecilia</t>
  </si>
  <si>
    <t>ESTETICISTA</t>
  </si>
  <si>
    <t>doritaceci@hotmail.com</t>
  </si>
  <si>
    <t>angelavivianaobando71@gmail.com</t>
  </si>
  <si>
    <t>MANEJO DE RESIDUOS HOSPITALARIOS</t>
  </si>
  <si>
    <t>https://centrodecapacitaciondelsur.com/manejo-de-residuos-hospitalarios-</t>
  </si>
  <si>
    <t>AUX. LABORAORIO</t>
  </si>
  <si>
    <t>Guaquez</t>
  </si>
  <si>
    <t>Martinez</t>
  </si>
  <si>
    <t>Ana</t>
  </si>
  <si>
    <t>mariadelcarmen0619961@hotmail.com</t>
  </si>
  <si>
    <t>Diaz</t>
  </si>
  <si>
    <t>Harold</t>
  </si>
  <si>
    <t>Gustavo</t>
  </si>
  <si>
    <t>17/12/1085</t>
  </si>
  <si>
    <t>gustavomd22@gmail.com</t>
  </si>
  <si>
    <t>Carrillo</t>
  </si>
  <si>
    <t>Solano</t>
  </si>
  <si>
    <t>Deiner</t>
  </si>
  <si>
    <t>BACTERIOLOGO</t>
  </si>
  <si>
    <t xml:space="preserve">deiner3011@gmail.com </t>
  </si>
  <si>
    <t>Manchbajoy</t>
  </si>
  <si>
    <t>Criollo</t>
  </si>
  <si>
    <t>Ronaldo</t>
  </si>
  <si>
    <t>criolloronaldo98@gmail.com</t>
  </si>
  <si>
    <t>Figueroa</t>
  </si>
  <si>
    <t>Francy</t>
  </si>
  <si>
    <t>milenacaicedo1993@gmail.com</t>
  </si>
  <si>
    <t>Andrade</t>
  </si>
  <si>
    <t>German</t>
  </si>
  <si>
    <t>Andrés</t>
  </si>
  <si>
    <t>CONDUCTOR</t>
  </si>
  <si>
    <t>gerandrade1977@gmail.com</t>
  </si>
  <si>
    <t>Ruis</t>
  </si>
  <si>
    <t>Caballero</t>
  </si>
  <si>
    <t>Claudia</t>
  </si>
  <si>
    <t>Patricia</t>
  </si>
  <si>
    <t>ruizcaballero0798@gmail.com</t>
  </si>
  <si>
    <t>Velez</t>
  </si>
  <si>
    <t>Camila</t>
  </si>
  <si>
    <t>camilavelez0307@gmail.com</t>
  </si>
  <si>
    <t>Valeria</t>
  </si>
  <si>
    <t>Valeriapv044@gmail.com</t>
  </si>
  <si>
    <t>Santander</t>
  </si>
  <si>
    <t>Guepud</t>
  </si>
  <si>
    <t>Fernando</t>
  </si>
  <si>
    <t>Esteban</t>
  </si>
  <si>
    <t xml:space="preserve">fercho.santander92@gmail.com </t>
  </si>
  <si>
    <t>Ibañez</t>
  </si>
  <si>
    <t>Chamorro</t>
  </si>
  <si>
    <t>Lilia</t>
  </si>
  <si>
    <t>Del Rosario</t>
  </si>
  <si>
    <t xml:space="preserve">ibanezlilia4@gmail.com </t>
  </si>
  <si>
    <t>Hernández</t>
  </si>
  <si>
    <t>Ronald</t>
  </si>
  <si>
    <t xml:space="preserve">ferni0705@gmail.com </t>
  </si>
  <si>
    <t>Riaño</t>
  </si>
  <si>
    <t>Johnatan</t>
  </si>
  <si>
    <t>Alexander</t>
  </si>
  <si>
    <t xml:space="preserve">mateo289005@hotmail.com </t>
  </si>
  <si>
    <t>Palacios</t>
  </si>
  <si>
    <t>Iguad</t>
  </si>
  <si>
    <t>Yuri</t>
  </si>
  <si>
    <t>Dayana</t>
  </si>
  <si>
    <t xml:space="preserve">07dayanapa@gmail.com </t>
  </si>
  <si>
    <t>Ibarra</t>
  </si>
  <si>
    <t>Shirley</t>
  </si>
  <si>
    <t>Shirleyibarra93@gmail.com</t>
  </si>
  <si>
    <t>Guancha</t>
  </si>
  <si>
    <t>Jorge</t>
  </si>
  <si>
    <t>Nixon</t>
  </si>
  <si>
    <t xml:space="preserve">drjorgenixon11@gmail.com </t>
  </si>
  <si>
    <t xml:space="preserve">criolloronaldo98@gmail.com </t>
  </si>
  <si>
    <t>Cuáyal</t>
  </si>
  <si>
    <t>Andréa</t>
  </si>
  <si>
    <t>phaolarosero13@gmail.com</t>
  </si>
  <si>
    <t>Mora</t>
  </si>
  <si>
    <t>Elisa</t>
  </si>
  <si>
    <t>Jimena</t>
  </si>
  <si>
    <t>jimenaandrade31@gmail.com</t>
  </si>
  <si>
    <t>Meneses</t>
  </si>
  <si>
    <t>Steven</t>
  </si>
  <si>
    <t>Rodrigo</t>
  </si>
  <si>
    <t>Destiven97@gmail.com</t>
  </si>
  <si>
    <t>Vitery</t>
  </si>
  <si>
    <t>Patiño</t>
  </si>
  <si>
    <t>Liliana</t>
  </si>
  <si>
    <t>lilianavit85@gmail.com</t>
  </si>
  <si>
    <t>Portillo</t>
  </si>
  <si>
    <t>Muñoz</t>
  </si>
  <si>
    <t>Gabriela</t>
  </si>
  <si>
    <t>Susana</t>
  </si>
  <si>
    <t>gaby._151@hotmail.com</t>
  </si>
  <si>
    <t>Rodríguez</t>
  </si>
  <si>
    <t>Vaca</t>
  </si>
  <si>
    <t>Yurany</t>
  </si>
  <si>
    <t>nataliarodri621@gmail.com</t>
  </si>
  <si>
    <t>Moran</t>
  </si>
  <si>
    <t>Paula</t>
  </si>
  <si>
    <t>mariapaulamoranm16@outlook.com</t>
  </si>
  <si>
    <t>Narvaez</t>
  </si>
  <si>
    <t>Ortega</t>
  </si>
  <si>
    <t>Gilzan</t>
  </si>
  <si>
    <t>Javier</t>
  </si>
  <si>
    <t>GINECOLOGIA Y OBSTETRICA</t>
  </si>
  <si>
    <t xml:space="preserve">javinabas@gmail.com </t>
  </si>
  <si>
    <t>Angulo</t>
  </si>
  <si>
    <t>Maryi</t>
  </si>
  <si>
    <t>Briyit</t>
  </si>
  <si>
    <t>quinonesbriyit@gmail.com</t>
  </si>
  <si>
    <t>Camilo</t>
  </si>
  <si>
    <t>Juan</t>
  </si>
  <si>
    <t>PAOLA</t>
  </si>
  <si>
    <t>camilomd2293@gmail.com</t>
  </si>
  <si>
    <t>Jaramillo</t>
  </si>
  <si>
    <t>Gomez</t>
  </si>
  <si>
    <t>Carlos</t>
  </si>
  <si>
    <t>Mario</t>
  </si>
  <si>
    <t>EFECTY</t>
  </si>
  <si>
    <t>⁠3117777928</t>
  </si>
  <si>
    <t>⁠24/02/1998</t>
  </si>
  <si>
    <t>⁠dr.jaramillocxtr@gmail.com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</si>
</sst>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</numFmts>
  <fonts count="11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b/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5" fillId="0" borderId="7" xfId="0" applyFont="1" applyBorder="1"/>
    <xf numFmtId="0" fontId="5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8" fillId="0" borderId="0" xfId="3"/>
    <xf numFmtId="0" fontId="2" fillId="0" borderId="9" xfId="0" applyFont="1" applyBorder="1" applyAlignment="1">
      <alignment horizontal="center"/>
    </xf>
    <xf numFmtId="0" fontId="4" fillId="2" borderId="8" xfId="0" applyFont="1" applyFill="1" applyBorder="1"/>
    <xf numFmtId="0" fontId="2" fillId="0" borderId="10" xfId="0" applyFont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49" fontId="3" fillId="2" borderId="1" xfId="0" applyNumberFormat="1" applyFont="1" applyFill="1" applyBorder="1" applyAlignment="1" applyProtection="1">
      <alignment horizontal="center" vertical="center"/>
      <protection locked="0"/>
    </xf>
    <xf numFmtId="14" fontId="3" fillId="2" borderId="1" xfId="2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5" fillId="0" borderId="14" xfId="0" applyFont="1" applyBorder="1" applyAlignment="1">
      <alignment horizontal="center"/>
    </xf>
    <xf numFmtId="0" fontId="5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5" fillId="0" borderId="16" xfId="0" applyFont="1" applyBorder="1"/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49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9" fillId="2" borderId="0" xfId="0" applyNumberFormat="1" applyFont="1" applyFill="1" applyAlignment="1">
      <alignment horizontal="center" vertical="center" wrapText="1"/>
    </xf>
    <xf numFmtId="14" fontId="4" fillId="2" borderId="8" xfId="0" applyNumberFormat="1" applyFont="1" applyFill="1" applyBorder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/>
    <xf numFmtId="0" fontId="9" fillId="0" borderId="6" xfId="0" applyFont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4" fillId="0" borderId="7" xfId="0" applyFont="1" applyBorder="1"/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/>
    <xf numFmtId="0" fontId="9" fillId="0" borderId="7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/>
    <xf numFmtId="0" fontId="4" fillId="0" borderId="16" xfId="0" applyFont="1" applyBorder="1"/>
    <xf numFmtId="0" fontId="10" fillId="0" borderId="2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164" fontId="3" fillId="2" borderId="1" xfId="1" applyNumberFormat="1" applyFont="1" applyFill="1" applyBorder="1" applyAlignment="1" applyProtection="1">
      <alignment horizontal="center" vertical="center"/>
      <protection locked="0"/>
    </xf>
    <xf numFmtId="0" fontId="3" fillId="2" borderId="1" xfId="2" applyNumberFormat="1" applyFont="1" applyFill="1" applyBorder="1" applyAlignment="1" applyProtection="1">
      <alignment horizontal="center" vertical="center"/>
      <protection locked="0"/>
    </xf>
    <xf numFmtId="14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4" fontId="9" fillId="2" borderId="1" xfId="0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" fontId="9" fillId="2" borderId="1" xfId="0" applyNumberFormat="1" applyFont="1" applyFill="1" applyBorder="1" applyAlignment="1">
      <alignment horizontal="center" vertical="center"/>
    </xf>
    <xf numFmtId="14" fontId="9" fillId="2" borderId="1" xfId="1" applyNumberFormat="1" applyFont="1" applyFill="1" applyBorder="1" applyAlignment="1">
      <alignment horizontal="center" vertical="center"/>
    </xf>
    <xf numFmtId="164" fontId="9" fillId="2" borderId="1" xfId="1" applyNumberFormat="1" applyFont="1" applyFill="1" applyBorder="1" applyAlignment="1">
      <alignment horizontal="center" vertical="center"/>
    </xf>
    <xf numFmtId="0" fontId="9" fillId="2" borderId="1" xfId="3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14" fontId="9" fillId="2" borderId="17" xfId="0" applyNumberFormat="1" applyFont="1" applyFill="1" applyBorder="1" applyAlignment="1">
      <alignment horizontal="center" vertical="center"/>
    </xf>
    <xf numFmtId="14" fontId="9" fillId="2" borderId="17" xfId="1" applyNumberFormat="1" applyFont="1" applyFill="1" applyBorder="1" applyAlignment="1">
      <alignment horizontal="center" vertical="center"/>
    </xf>
    <xf numFmtId="164" fontId="9" fillId="2" borderId="17" xfId="1" applyNumberFormat="1" applyFont="1" applyFill="1" applyBorder="1" applyAlignment="1">
      <alignment horizontal="center" vertical="center"/>
    </xf>
    <xf numFmtId="0" fontId="9" fillId="2" borderId="17" xfId="3" applyNumberFormat="1" applyFont="1" applyFill="1" applyBorder="1" applyAlignment="1">
      <alignment horizontal="center" vertical="center"/>
    </xf>
    <xf numFmtId="1" fontId="9" fillId="2" borderId="17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14" fontId="9" fillId="2" borderId="0" xfId="1" applyNumberFormat="1" applyFont="1" applyFill="1" applyBorder="1" applyAlignment="1">
      <alignment horizontal="center" vertical="center"/>
    </xf>
    <xf numFmtId="164" fontId="9" fillId="2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" fontId="9" fillId="2" borderId="8" xfId="0" applyNumberFormat="1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4" fontId="9" fillId="2" borderId="0" xfId="1" applyNumberFormat="1" applyFont="1" applyFill="1" applyBorder="1" applyAlignment="1">
      <alignment horizontal="center" vertical="center" wrapText="1"/>
    </xf>
    <xf numFmtId="164" fontId="9" fillId="2" borderId="0" xfId="0" applyNumberFormat="1" applyFont="1" applyFill="1" applyAlignment="1">
      <alignment horizontal="center" vertical="center" wrapText="1"/>
    </xf>
    <xf numFmtId="15" fontId="9" fillId="2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2" borderId="1" xfId="3" applyNumberFormat="1" applyFont="1" applyFill="1" applyBorder="1" applyAlignment="1">
      <alignment horizontal="center" vertical="center"/>
    </xf>
    <xf numFmtId="0" fontId="9" fillId="5" borderId="1" xfId="3" applyFont="1" applyFill="1" applyBorder="1" applyAlignment="1">
      <alignment horizontal="center" vertical="center"/>
    </xf>
    <xf numFmtId="0" fontId="9" fillId="2" borderId="0" xfId="3" applyFont="1" applyFill="1" applyBorder="1" applyAlignment="1">
      <alignment horizontal="center" vertical="center" wrapText="1"/>
    </xf>
    <xf numFmtId="0" fontId="9" fillId="2" borderId="0" xfId="3" applyFont="1" applyFill="1" applyBorder="1" applyAlignment="1">
      <alignment horizontal="center" vertical="center"/>
    </xf>
    <xf numFmtId="0" fontId="9" fillId="2" borderId="0" xfId="3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" fontId="9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14" fontId="9" fillId="6" borderId="1" xfId="0" applyNumberFormat="1" applyFont="1" applyFill="1" applyBorder="1" applyAlignment="1">
      <alignment horizontal="center" vertical="center"/>
    </xf>
    <xf numFmtId="14" fontId="9" fillId="6" borderId="1" xfId="1" applyNumberFormat="1" applyFont="1" applyFill="1" applyBorder="1" applyAlignment="1">
      <alignment horizontal="center" vertical="center"/>
    </xf>
    <xf numFmtId="164" fontId="9" fillId="6" borderId="1" xfId="1" applyNumberFormat="1" applyFont="1" applyFill="1" applyBorder="1" applyAlignment="1">
      <alignment horizontal="center" vertical="center"/>
    </xf>
    <xf numFmtId="0" fontId="9" fillId="6" borderId="1" xfId="3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164" fontId="9" fillId="6" borderId="1" xfId="0" applyNumberFormat="1" applyFont="1" applyFill="1" applyBorder="1" applyAlignment="1">
      <alignment horizontal="center" vertical="center"/>
    </xf>
    <xf numFmtId="1" fontId="9" fillId="6" borderId="17" xfId="0" applyNumberFormat="1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14" fontId="9" fillId="6" borderId="17" xfId="0" applyNumberFormat="1" applyFont="1" applyFill="1" applyBorder="1" applyAlignment="1">
      <alignment horizontal="center" vertical="center"/>
    </xf>
    <xf numFmtId="14" fontId="9" fillId="6" borderId="17" xfId="1" applyNumberFormat="1" applyFont="1" applyFill="1" applyBorder="1" applyAlignment="1">
      <alignment horizontal="center" vertical="center"/>
    </xf>
    <xf numFmtId="164" fontId="9" fillId="6" borderId="17" xfId="0" applyNumberFormat="1" applyFont="1" applyFill="1" applyBorder="1" applyAlignment="1">
      <alignment horizontal="center" vertical="center"/>
    </xf>
    <xf numFmtId="0" fontId="9" fillId="6" borderId="17" xfId="3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1" xfId="3" applyFont="1" applyFill="1" applyBorder="1" applyAlignment="1">
      <alignment horizontal="center" vertical="center"/>
    </xf>
    <xf numFmtId="14" fontId="9" fillId="6" borderId="0" xfId="1" applyNumberFormat="1" applyFont="1" applyFill="1" applyBorder="1" applyAlignment="1">
      <alignment horizontal="center" vertical="center"/>
    </xf>
    <xf numFmtId="164" fontId="9" fillId="6" borderId="0" xfId="0" applyNumberFormat="1" applyFont="1" applyFill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8" fillId="6" borderId="1" xfId="3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 wrapText="1"/>
    </xf>
  </cellXfs>
  <cellStyles count="4">
    <cellStyle name="Hipervínculo" xfId="3" builtinId="8"/>
    <cellStyle name="Millares" xfId="1" builtinId="3"/>
    <cellStyle name="Millares [0]" xfId="2" builtinId="6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EGV7T27\ccs\CCS\CCS\2.Certificado\2024\11.NOVIEMBRE\MODELO%20NOVIEMBR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CRITOS"/>
      <sheetName val="CURSOS"/>
      <sheetName val="LINK"/>
    </sheetNames>
    <sheetDataSet>
      <sheetData sheetId="0">
        <row r="2">
          <cell r="B2">
            <v>1089485138</v>
          </cell>
          <cell r="C2" t="str">
            <v>Cordoba</v>
          </cell>
          <cell r="D2" t="str">
            <v>Arteaga</v>
          </cell>
          <cell r="E2" t="str">
            <v>Yudy</v>
          </cell>
          <cell r="F2" t="str">
            <v>Alejandra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MEDIC@" TargetMode="External"/><Relationship Id="rId13" Type="http://schemas.openxmlformats.org/officeDocument/2006/relationships/hyperlink" Target="mailto:anlogema@hotmail.com" TargetMode="External"/><Relationship Id="rId18" Type="http://schemas.openxmlformats.org/officeDocument/2006/relationships/hyperlink" Target="mailto:MEDIC@" TargetMode="External"/><Relationship Id="rId26" Type="http://schemas.openxmlformats.org/officeDocument/2006/relationships/hyperlink" Target="mailto:MEDIC@" TargetMode="External"/><Relationship Id="rId3" Type="http://schemas.openxmlformats.org/officeDocument/2006/relationships/hyperlink" Target="mailto:santilegarda2007@gmail.com" TargetMode="External"/><Relationship Id="rId21" Type="http://schemas.openxmlformats.org/officeDocument/2006/relationships/hyperlink" Target="mailto:MEDIC@" TargetMode="External"/><Relationship Id="rId7" Type="http://schemas.openxmlformats.org/officeDocument/2006/relationships/hyperlink" Target="mailto:MEDIC@" TargetMode="External"/><Relationship Id="rId12" Type="http://schemas.openxmlformats.org/officeDocument/2006/relationships/hyperlink" Target="mailto:MEDIC@" TargetMode="External"/><Relationship Id="rId17" Type="http://schemas.openxmlformats.org/officeDocument/2006/relationships/hyperlink" Target="mailto:MEDIC@" TargetMode="External"/><Relationship Id="rId25" Type="http://schemas.openxmlformats.org/officeDocument/2006/relationships/hyperlink" Target="mailto:MEDIC@" TargetMode="External"/><Relationship Id="rId2" Type="http://schemas.openxmlformats.org/officeDocument/2006/relationships/hyperlink" Target="mailto:santilegarda2007@gmail.com" TargetMode="External"/><Relationship Id="rId16" Type="http://schemas.openxmlformats.org/officeDocument/2006/relationships/hyperlink" Target="mailto:MEDIC@" TargetMode="External"/><Relationship Id="rId20" Type="http://schemas.openxmlformats.org/officeDocument/2006/relationships/hyperlink" Target="mailto:MEDIC@" TargetMode="External"/><Relationship Id="rId29" Type="http://schemas.openxmlformats.org/officeDocument/2006/relationships/hyperlink" Target="mailto:titaalejandran16@outlook.es" TargetMode="External"/><Relationship Id="rId1" Type="http://schemas.openxmlformats.org/officeDocument/2006/relationships/hyperlink" Target="mailto:santilegarda2007@gmail.com" TargetMode="External"/><Relationship Id="rId6" Type="http://schemas.openxmlformats.org/officeDocument/2006/relationships/hyperlink" Target="mailto:Lpantojaparedes@gmail.com" TargetMode="External"/><Relationship Id="rId11" Type="http://schemas.openxmlformats.org/officeDocument/2006/relationships/hyperlink" Target="mailto:MEDIC@" TargetMode="External"/><Relationship Id="rId24" Type="http://schemas.openxmlformats.org/officeDocument/2006/relationships/hyperlink" Target="mailto:MEDIC@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mailto:MEDIC@" TargetMode="External"/><Relationship Id="rId15" Type="http://schemas.openxmlformats.org/officeDocument/2006/relationships/hyperlink" Target="mailto:sharitanieto09@gmail.com" TargetMode="External"/><Relationship Id="rId23" Type="http://schemas.openxmlformats.org/officeDocument/2006/relationships/hyperlink" Target="mailto:MEDIC@" TargetMode="External"/><Relationship Id="rId28" Type="http://schemas.openxmlformats.org/officeDocument/2006/relationships/hyperlink" Target="mailto:MEDIC@" TargetMode="External"/><Relationship Id="rId10" Type="http://schemas.openxmlformats.org/officeDocument/2006/relationships/hyperlink" Target="mailto:MEDIC@" TargetMode="External"/><Relationship Id="rId19" Type="http://schemas.openxmlformats.org/officeDocument/2006/relationships/hyperlink" Target="mailto:MEDIC@" TargetMode="External"/><Relationship Id="rId31" Type="http://schemas.openxmlformats.org/officeDocument/2006/relationships/hyperlink" Target="mailto:MEDIC@" TargetMode="External"/><Relationship Id="rId4" Type="http://schemas.openxmlformats.org/officeDocument/2006/relationships/hyperlink" Target="mailto:santilegarda2007@gmail.com" TargetMode="External"/><Relationship Id="rId9" Type="http://schemas.openxmlformats.org/officeDocument/2006/relationships/hyperlink" Target="mailto:MEDIC@" TargetMode="External"/><Relationship Id="rId14" Type="http://schemas.openxmlformats.org/officeDocument/2006/relationships/hyperlink" Target="mailto:MEDIC@" TargetMode="External"/><Relationship Id="rId22" Type="http://schemas.openxmlformats.org/officeDocument/2006/relationships/hyperlink" Target="mailto:MEDIC@" TargetMode="External"/><Relationship Id="rId27" Type="http://schemas.openxmlformats.org/officeDocument/2006/relationships/hyperlink" Target="mailto:MEDIC@" TargetMode="External"/><Relationship Id="rId30" Type="http://schemas.openxmlformats.org/officeDocument/2006/relationships/hyperlink" Target="mailto:MEDIC@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centrodecapacitaciondelsur.com/soporte-basico-de-vida-" TargetMode="External"/><Relationship Id="rId2" Type="http://schemas.openxmlformats.org/officeDocument/2006/relationships/hyperlink" Target="https://centrodecapacitaciondelsur.com/manejo-de-residuos-hospitalarios-" TargetMode="External"/><Relationship Id="rId1" Type="http://schemas.openxmlformats.org/officeDocument/2006/relationships/hyperlink" Target="https://centrodecapacitaciondelsur.com/soporte-basico-de-vida-" TargetMode="Externa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249"/>
  <sheetViews>
    <sheetView tabSelected="1" zoomScale="70" zoomScaleNormal="70" workbookViewId="0">
      <pane xSplit="1" ySplit="1" topLeftCell="B2" activePane="bottomRight" state="frozen"/>
      <selection pane="topRight"/>
      <selection pane="bottomLeft"/>
      <selection pane="bottomRight" activeCell="K17" sqref="K17:K22"/>
    </sheetView>
  </sheetViews>
  <sheetFormatPr baseColWidth="10" defaultRowHeight="15" x14ac:dyDescent="0.2"/>
  <cols>
    <col min="1" max="1" width="4.77734375" style="50" bestFit="1" customWidth="1"/>
    <col min="2" max="2" width="34.5546875" style="53" bestFit="1" customWidth="1"/>
    <col min="3" max="3" width="21.44140625" style="53" bestFit="1" customWidth="1"/>
    <col min="4" max="4" width="23.44140625" style="53" bestFit="1" customWidth="1"/>
    <col min="5" max="5" width="20.77734375" style="53" bestFit="1" customWidth="1"/>
    <col min="6" max="6" width="22.77734375" style="53" bestFit="1" customWidth="1"/>
    <col min="7" max="7" width="5.6640625" style="53" bestFit="1" customWidth="1"/>
    <col min="8" max="8" width="10.5546875" style="53" bestFit="1" customWidth="1"/>
    <col min="9" max="9" width="15.21875" style="53" bestFit="1" customWidth="1"/>
    <col min="10" max="10" width="19.44140625" style="69" bestFit="1" customWidth="1"/>
    <col min="11" max="11" width="22.33203125" style="70" bestFit="1" customWidth="1"/>
    <col min="12" max="12" width="19.44140625" style="53" bestFit="1" customWidth="1"/>
    <col min="13" max="13" width="12.109375" style="53" bestFit="1" customWidth="1"/>
    <col min="14" max="14" width="17.44140625" style="53" bestFit="1" customWidth="1"/>
    <col min="15" max="15" width="29.44140625" style="53" bestFit="1" customWidth="1"/>
    <col min="16" max="16" width="27.44140625" style="53" bestFit="1" customWidth="1"/>
    <col min="17" max="17" width="10.77734375" style="53" bestFit="1" customWidth="1"/>
    <col min="18" max="18" width="39.44140625" style="53" bestFit="1" customWidth="1"/>
    <col min="19" max="19" width="12.5546875" style="53" bestFit="1" customWidth="1"/>
    <col min="20" max="20" width="32.5546875" style="79" bestFit="1" customWidth="1"/>
    <col min="21" max="21" width="81.44140625" style="79" bestFit="1" customWidth="1"/>
    <col min="22" max="23" width="33.21875" style="79" bestFit="1" customWidth="1"/>
    <col min="24" max="24" width="65.6640625" style="61" bestFit="1" customWidth="1"/>
    <col min="25" max="16384" width="11.5546875" style="61"/>
  </cols>
  <sheetData>
    <row r="1" spans="1:24" s="49" customFormat="1" ht="15.75" x14ac:dyDescent="0.2">
      <c r="A1" s="22" t="s">
        <v>71</v>
      </c>
      <c r="B1" s="46" t="s">
        <v>0</v>
      </c>
      <c r="C1" s="17" t="s">
        <v>1</v>
      </c>
      <c r="D1" s="17" t="s">
        <v>2</v>
      </c>
      <c r="E1" s="17" t="s">
        <v>3</v>
      </c>
      <c r="F1" s="17" t="s">
        <v>4</v>
      </c>
      <c r="G1" s="15" t="s">
        <v>5</v>
      </c>
      <c r="H1" s="15" t="s">
        <v>6</v>
      </c>
      <c r="I1" s="23" t="s">
        <v>104</v>
      </c>
      <c r="J1" s="16" t="s">
        <v>7</v>
      </c>
      <c r="K1" s="45" t="s">
        <v>8</v>
      </c>
      <c r="L1" s="17" t="s">
        <v>9</v>
      </c>
      <c r="M1" s="17" t="s">
        <v>72</v>
      </c>
      <c r="N1" s="17" t="s">
        <v>10</v>
      </c>
      <c r="O1" s="17" t="s">
        <v>11</v>
      </c>
      <c r="P1" s="47" t="s">
        <v>70</v>
      </c>
      <c r="Q1" s="17" t="s">
        <v>12</v>
      </c>
      <c r="R1" s="17" t="s">
        <v>13</v>
      </c>
      <c r="S1" s="17" t="s">
        <v>14</v>
      </c>
      <c r="T1" s="17" t="s">
        <v>73</v>
      </c>
      <c r="U1" s="48" t="s">
        <v>15</v>
      </c>
      <c r="V1" s="48" t="s">
        <v>16</v>
      </c>
      <c r="W1" s="48" t="s">
        <v>17</v>
      </c>
      <c r="X1" s="48" t="s">
        <v>18</v>
      </c>
    </row>
    <row r="2" spans="1:24" s="49" customFormat="1" x14ac:dyDescent="0.2">
      <c r="A2" s="55">
        <v>1</v>
      </c>
      <c r="B2" s="50">
        <v>1085337318</v>
      </c>
      <c r="C2" s="50" t="s">
        <v>105</v>
      </c>
      <c r="D2" s="50" t="s">
        <v>106</v>
      </c>
      <c r="E2" s="50" t="s">
        <v>107</v>
      </c>
      <c r="F2" s="50"/>
      <c r="G2" s="50">
        <v>1</v>
      </c>
      <c r="H2" s="50" t="s">
        <v>102</v>
      </c>
      <c r="I2" s="52" t="s">
        <v>108</v>
      </c>
      <c r="J2" s="56">
        <v>45566</v>
      </c>
      <c r="K2" s="57">
        <v>0</v>
      </c>
      <c r="L2" s="50" t="s">
        <v>109</v>
      </c>
      <c r="M2" s="50" t="s">
        <v>85</v>
      </c>
      <c r="N2" s="50" t="s">
        <v>110</v>
      </c>
      <c r="O2" s="50" t="s">
        <v>38</v>
      </c>
      <c r="P2" s="52"/>
      <c r="Q2" s="50" t="s">
        <v>96</v>
      </c>
      <c r="R2" s="50"/>
      <c r="S2" s="58"/>
      <c r="T2" s="50"/>
      <c r="U2" s="59" t="str">
        <f>IF(O2=CURSOS!$D$3,"DIPLOMADO EN ATENCION PRE-HOSPITALARIA",IF(O2=CURSOS!$D$4,"ACOMPAÑAMIENTO Y MANEJO DEL DUELO",IF(O2=CURSOS!$D$5,"ATENCION A VICTIMAS DE ATAQUE CON AGENTES QUIMICOS ",IF(O2=CURSOS!$D$6,"PRIMEROS AUXILIOS ",IF(O2=CURSOS!$D$7,"DIPLOMADO DE UNIDAD DE CUIDADOS INTENSIVOS (UCI)",IF(O2=CURSOS!$D$8,"MODELO DE ATENCION PARA EVENTOS EMERGENTES EN SALUD MENTAL (CODIGO VERDE)",IF(O2=CURSOS!$D$9,"HUMANIZACION EN EL SERVICIO DE LA SALUD Y BUENAS PRACTICAS EN PACIENTE ",IF(O2=CURSOS!$D$10,"CLINICA DE HERIDAS ",IF(O2=CURSOS!$D$11,"TOMA DE CITOLOGIA CERVICO VAGINAL ",IF(O2=CURSOS!$D$12,"SOPORTE CARDIOVASCULAR AVANZADO (ACLS) ",IF(O2=CURSOS!$D$13,"CAMILLERO ",IF(O2=CURSOS!$D$14,"TOMA DE MUESTRAS Y LABORATORIO ",IF(O2=CURSOS!$D$15,"SOPORTE VITAL BASICO (BLS)",IF(O2=CURSOS!$D$16,"ATENCION A VICTIMAS DE VIOLENCIA SEXUAL ",IF(O2=CURSOS!$D$17,"PROGRAMADO AMPLIADO DE INMUNIZACION (PAI - COVID 19)",IF(O2=CURSOS!$D$18,"ATENCION INTEGRAL EN ENFERMEDADES PREVALENTES EN PRIMERA INFANCIA (AIEPI)",IF(O2=CURSOS!$D$19,"ADMINISTRACION DE MEDICAMENTOS, INYECTOLOGIA  Y CANALIZACION ",IF(O2=CURSOS!$D$20,"OPERADOR DE VEHICULOS DE EMERGENCIA (OVE)",IF(O2=CURSOS!$D$21,"INSTITUCIONES AMIGAS DE LA MUJER Y LA INFANCIA (IAMI)",IF(O2=CURSOS!$D$22,"CUIDADO DEL DONANTE DE ORGANOS",IF(O2=CURSOS!$D$23,"ATENCION A VICTIMAS POR VIOLENCIA DE GENERO",IF(O2=CURSOS!$D$24,"IGUALDAD DE GENERO EN LA SALUD",IF(O2=CURSOS!$D$25,"BRIGADA DE EMERGENCIA",IF(O2=CURSOS!$D$26,"MANEJO DEL DOLOR Y CUIDADOS PALIATIVOS",IF(O2=CURSOS!$D$27,"TOMA DE MUESTRAS Y LABORATORIO POCT",IF(O2=CURSOS!$D$28,"IMPLANTE SUBDERMICO DE DISPOSITIVO INTRAUTERINO",IF(O2=CURSOS!$D$29,"SALUD MENTAL",IF(O2=CURSOS!$D$30,"PRIMEROS AUXILIOS PSICOLOGICOS",IF(O2=CURSOS!$D$31,"ATENCION A VICTIMAS POR CONFLICTO ARMADO",IF(O2=CURSOS!$D$32,"MANIPULACION DE ALIMENTOS Y BPM",IF(O2=CURSOS!$D$33,"ATENCION A PERSONAS CON DISCAPACIDAD",IF(O2=CURSOS!$D$34,"CUIDADO INTEGRAL DEL PACIENTE ADULTO",IF(O2=CURSOS!$D$35,"MANEJO DEFENSIVO",IF(O2=CURSOS!$D$36,"SOPORTE CARDIOVASCULAR AVANZADO NEONATAL",IF(O2=CURSOS!$D$37,"SEGURIDAD DEL PACIENTE",IF(O2=CURSOS!$D$38,"MANEJO DE RESIDUOS HOSPITALARIOS"))))))))))))))))))))))))))))))))))))</f>
        <v xml:space="preserve">SOPORTE CARDIOVASCULAR AVANZADO (ACLS) </v>
      </c>
      <c r="V2" s="59" t="str">
        <f>CONCATENATE(E2," ",F2," ",C2," ",D2)</f>
        <v>Valentina  Pulido Recalde</v>
      </c>
      <c r="W2" s="59" t="str">
        <f>PROPER(V2)</f>
        <v>Valentina  Pulido Recalde</v>
      </c>
      <c r="X2" s="59" t="str">
        <f>CONCATENATE(V2,"-",B2,"-",O2)</f>
        <v>Valentina  Pulido Recalde-1085337318-ACLS</v>
      </c>
    </row>
    <row r="3" spans="1:24" s="87" customFormat="1" x14ac:dyDescent="0.2">
      <c r="A3" s="86">
        <v>2</v>
      </c>
      <c r="B3" s="87">
        <v>1004598632</v>
      </c>
      <c r="C3" s="87" t="s">
        <v>112</v>
      </c>
      <c r="D3" s="87" t="s">
        <v>86</v>
      </c>
      <c r="E3" s="87" t="s">
        <v>113</v>
      </c>
      <c r="F3" s="87" t="s">
        <v>114</v>
      </c>
      <c r="G3" s="87">
        <v>1</v>
      </c>
      <c r="H3" s="87" t="s">
        <v>102</v>
      </c>
      <c r="I3" s="88" t="s">
        <v>108</v>
      </c>
      <c r="J3" s="89">
        <v>45567</v>
      </c>
      <c r="K3" s="90">
        <v>32000</v>
      </c>
      <c r="L3" s="87" t="s">
        <v>206</v>
      </c>
      <c r="M3" s="87" t="s">
        <v>85</v>
      </c>
      <c r="N3" s="87" t="s">
        <v>115</v>
      </c>
      <c r="O3" s="87" t="s">
        <v>23</v>
      </c>
      <c r="P3" s="88">
        <v>36925</v>
      </c>
      <c r="Q3" s="87" t="s">
        <v>96</v>
      </c>
      <c r="R3" s="87" t="s">
        <v>116</v>
      </c>
      <c r="S3" s="91">
        <v>3135328565</v>
      </c>
      <c r="T3" s="87" t="s">
        <v>117</v>
      </c>
      <c r="U3" s="87" t="str">
        <f>IF(O3=CURSOS!$D$3,"DIPLOMADO EN ATENCION PRE-HOSPITALARIA",IF(O3=CURSOS!$D$4,"ACOMPAÑAMIENTO Y MANEJO DEL DUELO",IF(O3=CURSOS!$D$5,"ATENCION A VICTIMAS DE ATAQUE CON AGENTES QUIMICOS ",IF(O3=CURSOS!$D$6,"PRIMEROS AUXILIOS ",IF(O3=CURSOS!$D$7,"DIPLOMADO DE UNIDAD DE CUIDADOS INTENSIVOS (UCI)",IF(O3=CURSOS!$D$8,"MODELO DE ATENCION PARA EVENTOS EMERGENTES EN SALUD MENTAL (CODIGO VERDE)",IF(O3=CURSOS!$D$9,"HUMANIZACION EN EL SERVICIO DE LA SALUD Y BUENAS PRACTICAS EN PACIENTE ",IF(O3=CURSOS!$D$10,"CLINICA DE HERIDAS ",IF(O3=CURSOS!$D$11,"TOMA DE CITOLOGIA CERVICO VAGINAL ",IF(O3=CURSOS!$D$12,"SOPORTE CARDIOVASCULAR AVANZADO (ACLS) ",IF(O3=CURSOS!$D$13,"CAMILLERO ",IF(O3=CURSOS!$D$14,"TOMA DE MUESTRAS Y LABORATORIO ",IF(O3=CURSOS!$D$15,"SOPORTE VITAL BASICO (BLS)",IF(O3=CURSOS!$D$16,"ATENCION A VICTIMAS DE VIOLENCIA SEXUAL ",IF(O3=CURSOS!$D$17,"PROGRAMADO AMPLIADO DE INMUNIZACION (PAI - COVID 19)",IF(O3=CURSOS!$D$18,"ATENCION INTEGRAL EN ENFERMEDADES PREVALENTES EN PRIMERA INFANCIA (AIEPI)",IF(O3=CURSOS!$D$19,"ADMINISTRACION DE MEDICAMENTOS, INYECTOLOGIA  Y CANALIZACION ",IF(O3=CURSOS!$D$20,"OPERADOR DE VEHICULOS DE EMERGENCIA (OVE)",IF(O3=CURSOS!$D$21,"INSTITUCIONES AMIGAS DE LA MUJER Y LA INFANCIA (IAMI)",IF(O3=CURSOS!$D$22,"CUIDADO DEL DONANTE DE ORGANOS",IF(O3=CURSOS!$D$23,"ATENCION A VICTIMAS POR VIOLENCIA DE GENERO",IF(O3=CURSOS!$D$24,"IGUALDAD DE GENERO EN LA SALUD",IF(O3=CURSOS!$D$25,"BRIGADA DE EMERGENCIA",IF(O3=CURSOS!$D$26,"MANEJO DEL DOLOR Y CUIDADOS PALIATIVOS",IF(O3=CURSOS!$D$27,"TOMA DE MUESTRAS Y LABORATORIO POCT",IF(O3=CURSOS!$D$28,"IMPLANTE SUBDERMICO DE DISPOSITIVO INTRAUTERINO",IF(O3=CURSOS!$D$29,"SALUD MENTAL",IF(O3=CURSOS!$D$30,"PRIMEROS AUXILIOS PSICOLOGICOS",IF(O3=CURSOS!$D$31,"ATENCION A VICTIMAS POR CONFLICTO ARMADO",IF(O3=CURSOS!$D$32,"MANIPULACION DE ALIMENTOS Y BPM",IF(O3=CURSOS!$D$33,"ATENCION A PERSONAS CON DISCAPACIDAD",IF(O3=CURSOS!$D$34,"CUIDADO INTEGRAL DEL PACIENTE ADULTO",IF(O3=CURSOS!$D$35,"MANEJO DEFENSIVO",IF(O3=CURSOS!$D$36,"SOPORTE CARDIOVASCULAR AVANZADO NEONATAL",IF(O3=CURSOS!$D$37,"SEGURIDAD DEL PACIENTE",IF(O3=CURSOS!$D$38,"MANEJO DE RESIDUOS HOSPITALARIOS"))))))))))))))))))))))))))))))))))))</f>
        <v>ACOMPAÑAMIENTO Y MANEJO DEL DUELO</v>
      </c>
      <c r="V3" s="87" t="str">
        <f t="shared" ref="V3:V66" si="0">CONCATENATE(E3," ",F3," ",C3," ",D3)</f>
        <v>Yesica Yovana Mera Guerrero</v>
      </c>
      <c r="W3" s="87" t="str">
        <f t="shared" ref="W3:W66" si="1">PROPER(V3)</f>
        <v>Yesica Yovana Mera Guerrero</v>
      </c>
      <c r="X3" s="87" t="str">
        <f t="shared" ref="X3:X66" si="2">CONCATENATE(V3,"-",B3,"-",O3)</f>
        <v>Yesica Yovana Mera Guerrero-1004598632-DUELO</v>
      </c>
    </row>
    <row r="4" spans="1:24" s="87" customFormat="1" x14ac:dyDescent="0.2">
      <c r="A4" s="86">
        <v>3</v>
      </c>
      <c r="B4" s="87">
        <v>1085256367</v>
      </c>
      <c r="C4" s="87" t="s">
        <v>98</v>
      </c>
      <c r="D4" s="87" t="s">
        <v>99</v>
      </c>
      <c r="E4" s="87" t="s">
        <v>100</v>
      </c>
      <c r="F4" s="87" t="s">
        <v>101</v>
      </c>
      <c r="G4" s="87">
        <v>1</v>
      </c>
      <c r="H4" s="87" t="s">
        <v>102</v>
      </c>
      <c r="I4" s="88" t="s">
        <v>111</v>
      </c>
      <c r="J4" s="89">
        <v>45566</v>
      </c>
      <c r="K4" s="90">
        <v>50000</v>
      </c>
      <c r="L4" s="87" t="s">
        <v>120</v>
      </c>
      <c r="M4" s="87" t="s">
        <v>85</v>
      </c>
      <c r="N4" s="87" t="s">
        <v>103</v>
      </c>
      <c r="O4" s="87" t="s">
        <v>19</v>
      </c>
      <c r="P4" s="88">
        <v>31827</v>
      </c>
      <c r="Q4" s="87" t="s">
        <v>97</v>
      </c>
      <c r="R4" s="87" t="s">
        <v>116</v>
      </c>
      <c r="S4" s="91">
        <v>3173337430</v>
      </c>
      <c r="T4" s="91" t="s">
        <v>118</v>
      </c>
      <c r="U4" s="87" t="str">
        <f>IF(O4=CURSOS!$D$3,"DIPLOMADO EN ATENCION PRE-HOSPITALARIA",IF(O4=CURSOS!$D$4,"ACOMPAÑAMIENTO Y MANEJO DEL DUELO",IF(O4=CURSOS!$D$5,"ATENCION A VICTIMAS DE ATAQUE CON AGENTES QUIMICOS ",IF(O4=CURSOS!$D$6,"PRIMEROS AUXILIOS ",IF(O4=CURSOS!$D$7,"DIPLOMADO DE UNIDAD DE CUIDADOS INTENSIVOS (UCI)",IF(O4=CURSOS!$D$8,"MODELO DE ATENCION PARA EVENTOS EMERGENTES EN SALUD MENTAL (CODIGO VERDE)",IF(O4=CURSOS!$D$9,"HUMANIZACION EN EL SERVICIO DE LA SALUD Y BUENAS PRACTICAS EN PACIENTE ",IF(O4=CURSOS!$D$10,"CLINICA DE HERIDAS ",IF(O4=CURSOS!$D$11,"TOMA DE CITOLOGIA CERVICO VAGINAL ",IF(O4=CURSOS!$D$12,"SOPORTE CARDIOVASCULAR AVANZADO (ACLS) ",IF(O4=CURSOS!$D$13,"CAMILLERO ",IF(O4=CURSOS!$D$14,"TOMA DE MUESTRAS Y LABORATORIO ",IF(O4=CURSOS!$D$15,"SOPORTE VITAL BASICO (BLS)",IF(O4=CURSOS!$D$16,"ATENCION A VICTIMAS DE VIOLENCIA SEXUAL ",IF(O4=CURSOS!$D$17,"PROGRAMADO AMPLIADO DE INMUNIZACION (PAI - COVID 19)",IF(O4=CURSOS!$D$18,"ATENCION INTEGRAL EN ENFERMEDADES PREVALENTES EN PRIMERA INFANCIA (AIEPI)",IF(O4=CURSOS!$D$19,"ADMINISTRACION DE MEDICAMENTOS, INYECTOLOGIA  Y CANALIZACION ",IF(O4=CURSOS!$D$20,"OPERADOR DE VEHICULOS DE EMERGENCIA (OVE)",IF(O4=CURSOS!$D$21,"INSTITUCIONES AMIGAS DE LA MUJER Y LA INFANCIA (IAMI)",IF(O4=CURSOS!$D$22,"CUIDADO DEL DONANTE DE ORGANOS",IF(O4=CURSOS!$D$23,"ATENCION A VICTIMAS POR VIOLENCIA DE GENERO",IF(O4=CURSOS!$D$24,"IGUALDAD DE GENERO EN LA SALUD",IF(O4=CURSOS!$D$25,"BRIGADA DE EMERGENCIA",IF(O4=CURSOS!$D$26,"MANEJO DEL DOLOR Y CUIDADOS PALIATIVOS",IF(O4=CURSOS!$D$27,"TOMA DE MUESTRAS Y LABORATORIO POCT",IF(O4=CURSOS!$D$28,"IMPLANTE SUBDERMICO DE DISPOSITIVO INTRAUTERINO",IF(O4=CURSOS!$D$29,"SALUD MENTAL",IF(O4=CURSOS!$D$30,"PRIMEROS AUXILIOS PSICOLOGICOS",IF(O4=CURSOS!$D$31,"ATENCION A VICTIMAS POR CONFLICTO ARMADO",IF(O4=CURSOS!$D$32,"MANIPULACION DE ALIMENTOS Y BPM",IF(O4=CURSOS!$D$33,"ATENCION A PERSONAS CON DISCAPACIDAD",IF(O4=CURSOS!$D$34,"CUIDADO INTEGRAL DEL PACIENTE ADULTO",IF(O4=CURSOS!$D$35,"MANEJO DEFENSIVO",IF(O4=CURSOS!$D$36,"SOPORTE CARDIOVASCULAR AVANZADO NEONATAL",IF(O4=CURSOS!$D$37,"SEGURIDAD DEL PACIENTE",IF(O4=CURSOS!$D$38,"MANEJO DE RESIDUOS HOSPITALARIOS"))))))))))))))))))))))))))))))))))))</f>
        <v>SOPORTE VITAL BASICO (BLS)</v>
      </c>
      <c r="V4" s="87" t="str">
        <f t="shared" si="0"/>
        <v>Edison Jose Legarda Chicaiza</v>
      </c>
      <c r="W4" s="87" t="str">
        <f t="shared" si="1"/>
        <v>Edison Jose Legarda Chicaiza</v>
      </c>
      <c r="X4" s="87" t="str">
        <f t="shared" si="2"/>
        <v>Edison Jose Legarda Chicaiza-1085256367-BLS</v>
      </c>
    </row>
    <row r="5" spans="1:24" s="87" customFormat="1" x14ac:dyDescent="0.2">
      <c r="A5" s="86">
        <v>4</v>
      </c>
      <c r="B5" s="87">
        <v>1085256367</v>
      </c>
      <c r="C5" s="87" t="s">
        <v>98</v>
      </c>
      <c r="D5" s="87" t="s">
        <v>99</v>
      </c>
      <c r="E5" s="87" t="s">
        <v>100</v>
      </c>
      <c r="F5" s="87" t="s">
        <v>101</v>
      </c>
      <c r="G5" s="87">
        <v>28</v>
      </c>
      <c r="H5" s="87" t="s">
        <v>119</v>
      </c>
      <c r="I5" s="88" t="s">
        <v>111</v>
      </c>
      <c r="J5" s="89">
        <v>45566</v>
      </c>
      <c r="K5" s="90">
        <v>50000</v>
      </c>
      <c r="L5" s="87" t="s">
        <v>120</v>
      </c>
      <c r="M5" s="87" t="s">
        <v>85</v>
      </c>
      <c r="N5" s="87" t="s">
        <v>103</v>
      </c>
      <c r="O5" s="87" t="s">
        <v>25</v>
      </c>
      <c r="P5" s="88">
        <v>31827</v>
      </c>
      <c r="Q5" s="87" t="s">
        <v>97</v>
      </c>
      <c r="R5" s="87" t="s">
        <v>116</v>
      </c>
      <c r="S5" s="91">
        <v>3173337430</v>
      </c>
      <c r="T5" s="91" t="s">
        <v>118</v>
      </c>
      <c r="U5" s="87" t="str">
        <f>IF(O5=CURSOS!$D$3,"DIPLOMADO EN ATENCION PRE-HOSPITALARIA",IF(O5=CURSOS!$D$4,"ACOMPAÑAMIENTO Y MANEJO DEL DUELO",IF(O5=CURSOS!$D$5,"ATENCION A VICTIMAS DE ATAQUE CON AGENTES QUIMICOS ",IF(O5=CURSOS!$D$6,"PRIMEROS AUXILIOS ",IF(O5=CURSOS!$D$7,"DIPLOMADO DE UNIDAD DE CUIDADOS INTENSIVOS (UCI)",IF(O5=CURSOS!$D$8,"MODELO DE ATENCION PARA EVENTOS EMERGENTES EN SALUD MENTAL (CODIGO VERDE)",IF(O5=CURSOS!$D$9,"HUMANIZACION EN EL SERVICIO DE LA SALUD Y BUENAS PRACTICAS EN PACIENTE ",IF(O5=CURSOS!$D$10,"CLINICA DE HERIDAS ",IF(O5=CURSOS!$D$11,"TOMA DE CITOLOGIA CERVICO VAGINAL ",IF(O5=CURSOS!$D$12,"SOPORTE CARDIOVASCULAR AVANZADO (ACLS) ",IF(O5=CURSOS!$D$13,"CAMILLERO ",IF(O5=CURSOS!$D$14,"TOMA DE MUESTRAS Y LABORATORIO ",IF(O5=CURSOS!$D$15,"SOPORTE VITAL BASICO (BLS)",IF(O5=CURSOS!$D$16,"ATENCION A VICTIMAS DE VIOLENCIA SEXUAL ",IF(O5=CURSOS!$D$17,"PROGRAMADO AMPLIADO DE INMUNIZACION (PAI - COVID 19)",IF(O5=CURSOS!$D$18,"ATENCION INTEGRAL EN ENFERMEDADES PREVALENTES EN PRIMERA INFANCIA (AIEPI)",IF(O5=CURSOS!$D$19,"ADMINISTRACION DE MEDICAMENTOS, INYECTOLOGIA  Y CANALIZACION ",IF(O5=CURSOS!$D$20,"OPERADOR DE VEHICULOS DE EMERGENCIA (OVE)",IF(O5=CURSOS!$D$21,"INSTITUCIONES AMIGAS DE LA MUJER Y LA INFANCIA (IAMI)",IF(O5=CURSOS!$D$22,"CUIDADO DEL DONANTE DE ORGANOS",IF(O5=CURSOS!$D$23,"ATENCION A VICTIMAS POR VIOLENCIA DE GENERO",IF(O5=CURSOS!$D$24,"IGUALDAD DE GENERO EN LA SALUD",IF(O5=CURSOS!$D$25,"BRIGADA DE EMERGENCIA",IF(O5=CURSOS!$D$26,"MANEJO DEL DOLOR Y CUIDADOS PALIATIVOS",IF(O5=CURSOS!$D$27,"TOMA DE MUESTRAS Y LABORATORIO POCT",IF(O5=CURSOS!$D$28,"IMPLANTE SUBDERMICO DE DISPOSITIVO INTRAUTERINO",IF(O5=CURSOS!$D$29,"SALUD MENTAL",IF(O5=CURSOS!$D$30,"PRIMEROS AUXILIOS PSICOLOGICOS",IF(O5=CURSOS!$D$31,"ATENCION A VICTIMAS POR CONFLICTO ARMADO",IF(O5=CURSOS!$D$32,"MANIPULACION DE ALIMENTOS Y BPM",IF(O5=CURSOS!$D$33,"ATENCION A PERSONAS CON DISCAPACIDAD",IF(O5=CURSOS!$D$34,"CUIDADO INTEGRAL DEL PACIENTE ADULTO",IF(O5=CURSOS!$D$35,"MANEJO DEFENSIVO",IF(O5=CURSOS!$D$36,"SOPORTE CARDIOVASCULAR AVANZADO NEONATAL",IF(O5=CURSOS!$D$37,"SEGURIDAD DEL PACIENTE",IF(O5=CURSOS!$D$38,"MANEJO DE RESIDUOS HOSPITALARIOS"))))))))))))))))))))))))))))))))))))</f>
        <v xml:space="preserve">ATENCION A VICTIMAS DE ATAQUE CON AGENTES QUIMICOS </v>
      </c>
      <c r="V5" s="87" t="str">
        <f t="shared" si="0"/>
        <v>Edison Jose Legarda Chicaiza</v>
      </c>
      <c r="W5" s="87" t="str">
        <f t="shared" si="1"/>
        <v>Edison Jose Legarda Chicaiza</v>
      </c>
      <c r="X5" s="87" t="str">
        <f t="shared" si="2"/>
        <v>Edison Jose Legarda Chicaiza-1085256367-QUIMICOS</v>
      </c>
    </row>
    <row r="6" spans="1:24" s="87" customFormat="1" x14ac:dyDescent="0.2">
      <c r="A6" s="86">
        <v>5</v>
      </c>
      <c r="B6" s="87">
        <v>1085256367</v>
      </c>
      <c r="C6" s="87" t="s">
        <v>98</v>
      </c>
      <c r="D6" s="87" t="s">
        <v>99</v>
      </c>
      <c r="E6" s="87" t="s">
        <v>100</v>
      </c>
      <c r="F6" s="87" t="s">
        <v>101</v>
      </c>
      <c r="G6" s="87">
        <v>27</v>
      </c>
      <c r="H6" s="87" t="s">
        <v>119</v>
      </c>
      <c r="I6" s="88" t="s">
        <v>111</v>
      </c>
      <c r="J6" s="89">
        <v>45566</v>
      </c>
      <c r="K6" s="90">
        <v>50000</v>
      </c>
      <c r="L6" s="87" t="s">
        <v>120</v>
      </c>
      <c r="M6" s="87" t="s">
        <v>85</v>
      </c>
      <c r="N6" s="87" t="s">
        <v>103</v>
      </c>
      <c r="O6" s="87" t="s">
        <v>23</v>
      </c>
      <c r="P6" s="88">
        <v>31827</v>
      </c>
      <c r="Q6" s="87" t="s">
        <v>97</v>
      </c>
      <c r="R6" s="87" t="s">
        <v>116</v>
      </c>
      <c r="S6" s="91">
        <v>3173337430</v>
      </c>
      <c r="T6" s="91" t="s">
        <v>118</v>
      </c>
      <c r="U6" s="87" t="str">
        <f>IF(O6=CURSOS!$D$3,"DIPLOMADO EN ATENCION PRE-HOSPITALARIA",IF(O6=CURSOS!$D$4,"ACOMPAÑAMIENTO Y MANEJO DEL DUELO",IF(O6=CURSOS!$D$5,"ATENCION A VICTIMAS DE ATAQUE CON AGENTES QUIMICOS ",IF(O6=CURSOS!$D$6,"PRIMEROS AUXILIOS ",IF(O6=CURSOS!$D$7,"DIPLOMADO DE UNIDAD DE CUIDADOS INTENSIVOS (UCI)",IF(O6=CURSOS!$D$8,"MODELO DE ATENCION PARA EVENTOS EMERGENTES EN SALUD MENTAL (CODIGO VERDE)",IF(O6=CURSOS!$D$9,"HUMANIZACION EN EL SERVICIO DE LA SALUD Y BUENAS PRACTICAS EN PACIENTE ",IF(O6=CURSOS!$D$10,"CLINICA DE HERIDAS ",IF(O6=CURSOS!$D$11,"TOMA DE CITOLOGIA CERVICO VAGINAL ",IF(O6=CURSOS!$D$12,"SOPORTE CARDIOVASCULAR AVANZADO (ACLS) ",IF(O6=CURSOS!$D$13,"CAMILLERO ",IF(O6=CURSOS!$D$14,"TOMA DE MUESTRAS Y LABORATORIO ",IF(O6=CURSOS!$D$15,"SOPORTE VITAL BASICO (BLS)",IF(O6=CURSOS!$D$16,"ATENCION A VICTIMAS DE VIOLENCIA SEXUAL ",IF(O6=CURSOS!$D$17,"PROGRAMADO AMPLIADO DE INMUNIZACION (PAI - COVID 19)",IF(O6=CURSOS!$D$18,"ATENCION INTEGRAL EN ENFERMEDADES PREVALENTES EN PRIMERA INFANCIA (AIEPI)",IF(O6=CURSOS!$D$19,"ADMINISTRACION DE MEDICAMENTOS, INYECTOLOGIA  Y CANALIZACION ",IF(O6=CURSOS!$D$20,"OPERADOR DE VEHICULOS DE EMERGENCIA (OVE)",IF(O6=CURSOS!$D$21,"INSTITUCIONES AMIGAS DE LA MUJER Y LA INFANCIA (IAMI)",IF(O6=CURSOS!$D$22,"CUIDADO DEL DONANTE DE ORGANOS",IF(O6=CURSOS!$D$23,"ATENCION A VICTIMAS POR VIOLENCIA DE GENERO",IF(O6=CURSOS!$D$24,"IGUALDAD DE GENERO EN LA SALUD",IF(O6=CURSOS!$D$25,"BRIGADA DE EMERGENCIA",IF(O6=CURSOS!$D$26,"MANEJO DEL DOLOR Y CUIDADOS PALIATIVOS",IF(O6=CURSOS!$D$27,"TOMA DE MUESTRAS Y LABORATORIO POCT",IF(O6=CURSOS!$D$28,"IMPLANTE SUBDERMICO DE DISPOSITIVO INTRAUTERINO",IF(O6=CURSOS!$D$29,"SALUD MENTAL",IF(O6=CURSOS!$D$30,"PRIMEROS AUXILIOS PSICOLOGICOS",IF(O6=CURSOS!$D$31,"ATENCION A VICTIMAS POR CONFLICTO ARMADO",IF(O6=CURSOS!$D$32,"MANIPULACION DE ALIMENTOS Y BPM",IF(O6=CURSOS!$D$33,"ATENCION A PERSONAS CON DISCAPACIDAD",IF(O6=CURSOS!$D$34,"CUIDADO INTEGRAL DEL PACIENTE ADULTO",IF(O6=CURSOS!$D$35,"MANEJO DEFENSIVO",IF(O6=CURSOS!$D$36,"SOPORTE CARDIOVASCULAR AVANZADO NEONATAL",IF(O6=CURSOS!$D$37,"SEGURIDAD DEL PACIENTE",IF(O6=CURSOS!$D$38,"MANEJO DE RESIDUOS HOSPITALARIOS"))))))))))))))))))))))))))))))))))))</f>
        <v>ACOMPAÑAMIENTO Y MANEJO DEL DUELO</v>
      </c>
      <c r="V6" s="87" t="str">
        <f t="shared" si="0"/>
        <v>Edison Jose Legarda Chicaiza</v>
      </c>
      <c r="W6" s="87" t="str">
        <f t="shared" si="1"/>
        <v>Edison Jose Legarda Chicaiza</v>
      </c>
      <c r="X6" s="87" t="str">
        <f t="shared" si="2"/>
        <v>Edison Jose Legarda Chicaiza-1085256367-DUELO</v>
      </c>
    </row>
    <row r="7" spans="1:24" s="87" customFormat="1" x14ac:dyDescent="0.2">
      <c r="A7" s="86">
        <v>6</v>
      </c>
      <c r="B7" s="87">
        <v>1085256367</v>
      </c>
      <c r="C7" s="87" t="s">
        <v>98</v>
      </c>
      <c r="D7" s="87" t="s">
        <v>99</v>
      </c>
      <c r="E7" s="87" t="s">
        <v>100</v>
      </c>
      <c r="F7" s="87" t="s">
        <v>101</v>
      </c>
      <c r="G7" s="87">
        <v>30</v>
      </c>
      <c r="H7" s="87" t="s">
        <v>119</v>
      </c>
      <c r="I7" s="88" t="s">
        <v>111</v>
      </c>
      <c r="J7" s="89">
        <v>45566</v>
      </c>
      <c r="K7" s="90">
        <v>50000</v>
      </c>
      <c r="L7" s="87" t="s">
        <v>120</v>
      </c>
      <c r="M7" s="87" t="s">
        <v>85</v>
      </c>
      <c r="N7" s="87" t="s">
        <v>103</v>
      </c>
      <c r="O7" s="87" t="s">
        <v>43</v>
      </c>
      <c r="P7" s="88">
        <v>31827</v>
      </c>
      <c r="Q7" s="87" t="s">
        <v>97</v>
      </c>
      <c r="R7" s="87" t="s">
        <v>116</v>
      </c>
      <c r="S7" s="91">
        <v>3173337430</v>
      </c>
      <c r="T7" s="91" t="s">
        <v>118</v>
      </c>
      <c r="U7" s="87" t="str">
        <f>IF(O7=CURSOS!$D$3,"DIPLOMADO EN ATENCION PRE-HOSPITALARIA",IF(O7=CURSOS!$D$4,"ACOMPAÑAMIENTO Y MANEJO DEL DUELO",IF(O7=CURSOS!$D$5,"ATENCION A VICTIMAS DE ATAQUE CON AGENTES QUIMICOS ",IF(O7=CURSOS!$D$6,"PRIMEROS AUXILIOS ",IF(O7=CURSOS!$D$7,"DIPLOMADO DE UNIDAD DE CUIDADOS INTENSIVOS (UCI)",IF(O7=CURSOS!$D$8,"MODELO DE ATENCION PARA EVENTOS EMERGENTES EN SALUD MENTAL (CODIGO VERDE)",IF(O7=CURSOS!$D$9,"HUMANIZACION EN EL SERVICIO DE LA SALUD Y BUENAS PRACTICAS EN PACIENTE ",IF(O7=CURSOS!$D$10,"CLINICA DE HERIDAS ",IF(O7=CURSOS!$D$11,"TOMA DE CITOLOGIA CERVICO VAGINAL ",IF(O7=CURSOS!$D$12,"SOPORTE CARDIOVASCULAR AVANZADO (ACLS) ",IF(O7=CURSOS!$D$13,"CAMILLERO ",IF(O7=CURSOS!$D$14,"TOMA DE MUESTRAS Y LABORATORIO ",IF(O7=CURSOS!$D$15,"SOPORTE VITAL BASICO (BLS)",IF(O7=CURSOS!$D$16,"ATENCION A VICTIMAS DE VIOLENCIA SEXUAL ",IF(O7=CURSOS!$D$17,"PROGRAMADO AMPLIADO DE INMUNIZACION (PAI - COVID 19)",IF(O7=CURSOS!$D$18,"ATENCION INTEGRAL EN ENFERMEDADES PREVALENTES EN PRIMERA INFANCIA (AIEPI)",IF(O7=CURSOS!$D$19,"ADMINISTRACION DE MEDICAMENTOS, INYECTOLOGIA  Y CANALIZACION ",IF(O7=CURSOS!$D$20,"OPERADOR DE VEHICULOS DE EMERGENCIA (OVE)",IF(O7=CURSOS!$D$21,"INSTITUCIONES AMIGAS DE LA MUJER Y LA INFANCIA (IAMI)",IF(O7=CURSOS!$D$22,"CUIDADO DEL DONANTE DE ORGANOS",IF(O7=CURSOS!$D$23,"ATENCION A VICTIMAS POR VIOLENCIA DE GENERO",IF(O7=CURSOS!$D$24,"IGUALDAD DE GENERO EN LA SALUD",IF(O7=CURSOS!$D$25,"BRIGADA DE EMERGENCIA",IF(O7=CURSOS!$D$26,"MANEJO DEL DOLOR Y CUIDADOS PALIATIVOS",IF(O7=CURSOS!$D$27,"TOMA DE MUESTRAS Y LABORATORIO POCT",IF(O7=CURSOS!$D$28,"IMPLANTE SUBDERMICO DE DISPOSITIVO INTRAUTERINO",IF(O7=CURSOS!$D$29,"SALUD MENTAL",IF(O7=CURSOS!$D$30,"PRIMEROS AUXILIOS PSICOLOGICOS",IF(O7=CURSOS!$D$31,"ATENCION A VICTIMAS POR CONFLICTO ARMADO",IF(O7=CURSOS!$D$32,"MANIPULACION DE ALIMENTOS Y BPM",IF(O7=CURSOS!$D$33,"ATENCION A PERSONAS CON DISCAPACIDAD",IF(O7=CURSOS!$D$34,"CUIDADO INTEGRAL DEL PACIENTE ADULTO",IF(O7=CURSOS!$D$35,"MANEJO DEFENSIVO",IF(O7=CURSOS!$D$36,"SOPORTE CARDIOVASCULAR AVANZADO NEONATAL",IF(O7=CURSOS!$D$37,"SEGURIDAD DEL PACIENTE",IF(O7=CURSOS!$D$38,"MANEJO DE RESIDUOS HOSPITALARIOS"))))))))))))))))))))))))))))))))))))</f>
        <v xml:space="preserve">ATENCION A VICTIMAS DE VIOLENCIA SEXUAL </v>
      </c>
      <c r="V7" s="87" t="str">
        <f t="shared" si="0"/>
        <v>Edison Jose Legarda Chicaiza</v>
      </c>
      <c r="W7" s="87" t="str">
        <f t="shared" si="1"/>
        <v>Edison Jose Legarda Chicaiza</v>
      </c>
      <c r="X7" s="87" t="str">
        <f t="shared" si="2"/>
        <v>Edison Jose Legarda Chicaiza-1085256367-VIOLENCIA SEXUAL</v>
      </c>
    </row>
    <row r="8" spans="1:24" s="49" customFormat="1" x14ac:dyDescent="0.2">
      <c r="A8" s="55">
        <v>7</v>
      </c>
      <c r="B8" s="50">
        <v>1085337318</v>
      </c>
      <c r="C8" s="50" t="s">
        <v>105</v>
      </c>
      <c r="D8" s="50" t="s">
        <v>106</v>
      </c>
      <c r="E8" s="50" t="s">
        <v>107</v>
      </c>
      <c r="F8" s="50"/>
      <c r="G8" s="50">
        <v>1</v>
      </c>
      <c r="H8" s="50" t="s">
        <v>102</v>
      </c>
      <c r="I8" s="52" t="s">
        <v>108</v>
      </c>
      <c r="J8" s="56">
        <v>45566</v>
      </c>
      <c r="K8" s="57">
        <v>0</v>
      </c>
      <c r="L8" s="50" t="s">
        <v>109</v>
      </c>
      <c r="M8" s="50" t="s">
        <v>85</v>
      </c>
      <c r="N8" s="50" t="s">
        <v>110</v>
      </c>
      <c r="O8" s="50" t="s">
        <v>19</v>
      </c>
      <c r="P8" s="52"/>
      <c r="Q8" s="50" t="s">
        <v>96</v>
      </c>
      <c r="R8" s="50"/>
      <c r="S8" s="58"/>
      <c r="T8" s="50"/>
      <c r="U8" s="59" t="str">
        <f>IF(O8=CURSOS!$D$3,"DIPLOMADO EN ATENCION PRE-HOSPITALARIA",IF(O8=CURSOS!$D$4,"ACOMPAÑAMIENTO Y MANEJO DEL DUELO",IF(O8=CURSOS!$D$5,"ATENCION A VICTIMAS DE ATAQUE CON AGENTES QUIMICOS ",IF(O8=CURSOS!$D$6,"PRIMEROS AUXILIOS ",IF(O8=CURSOS!$D$7,"DIPLOMADO DE UNIDAD DE CUIDADOS INTENSIVOS (UCI)",IF(O8=CURSOS!$D$8,"MODELO DE ATENCION PARA EVENTOS EMERGENTES EN SALUD MENTAL (CODIGO VERDE)",IF(O8=CURSOS!$D$9,"HUMANIZACION EN EL SERVICIO DE LA SALUD Y BUENAS PRACTICAS EN PACIENTE ",IF(O8=CURSOS!$D$10,"CLINICA DE HERIDAS ",IF(O8=CURSOS!$D$11,"TOMA DE CITOLOGIA CERVICO VAGINAL ",IF(O8=CURSOS!$D$12,"SOPORTE CARDIOVASCULAR AVANZADO (ACLS) ",IF(O8=CURSOS!$D$13,"CAMILLERO ",IF(O8=CURSOS!$D$14,"TOMA DE MUESTRAS Y LABORATORIO ",IF(O8=CURSOS!$D$15,"SOPORTE VITAL BASICO (BLS)",IF(O8=CURSOS!$D$16,"ATENCION A VICTIMAS DE VIOLENCIA SEXUAL ",IF(O8=CURSOS!$D$17,"PROGRAMADO AMPLIADO DE INMUNIZACION (PAI - COVID 19)",IF(O8=CURSOS!$D$18,"ATENCION INTEGRAL EN ENFERMEDADES PREVALENTES EN PRIMERA INFANCIA (AIEPI)",IF(O8=CURSOS!$D$19,"ADMINISTRACION DE MEDICAMENTOS, INYECTOLOGIA  Y CANALIZACION ",IF(O8=CURSOS!$D$20,"OPERADOR DE VEHICULOS DE EMERGENCIA (OVE)",IF(O8=CURSOS!$D$21,"INSTITUCIONES AMIGAS DE LA MUJER Y LA INFANCIA (IAMI)",IF(O8=CURSOS!$D$22,"CUIDADO DEL DONANTE DE ORGANOS",IF(O8=CURSOS!$D$23,"ATENCION A VICTIMAS POR VIOLENCIA DE GENERO",IF(O8=CURSOS!$D$24,"IGUALDAD DE GENERO EN LA SALUD",IF(O8=CURSOS!$D$25,"BRIGADA DE EMERGENCIA",IF(O8=CURSOS!$D$26,"MANEJO DEL DOLOR Y CUIDADOS PALIATIVOS",IF(O8=CURSOS!$D$27,"TOMA DE MUESTRAS Y LABORATORIO POCT",IF(O8=CURSOS!$D$28,"IMPLANTE SUBDERMICO DE DISPOSITIVO INTRAUTERINO",IF(O8=CURSOS!$D$29,"SALUD MENTAL",IF(O8=CURSOS!$D$30,"PRIMEROS AUXILIOS PSICOLOGICOS",IF(O8=CURSOS!$D$31,"ATENCION A VICTIMAS POR CONFLICTO ARMADO",IF(O8=CURSOS!$D$32,"MANIPULACION DE ALIMENTOS Y BPM",IF(O8=CURSOS!$D$33,"ATENCION A PERSONAS CON DISCAPACIDAD",IF(O8=CURSOS!$D$34,"CUIDADO INTEGRAL DEL PACIENTE ADULTO",IF(O8=CURSOS!$D$35,"MANEJO DEFENSIVO",IF(O8=CURSOS!$D$36,"SOPORTE CARDIOVASCULAR AVANZADO NEONATAL",IF(O8=CURSOS!$D$37,"SEGURIDAD DEL PACIENTE",IF(O8=CURSOS!$D$38,"MANEJO DE RESIDUOS HOSPITALARIOS"))))))))))))))))))))))))))))))))))))</f>
        <v>SOPORTE VITAL BASICO (BLS)</v>
      </c>
      <c r="V8" s="59" t="str">
        <f t="shared" si="0"/>
        <v>Valentina  Pulido Recalde</v>
      </c>
      <c r="W8" s="59" t="str">
        <f t="shared" si="1"/>
        <v>Valentina  Pulido Recalde</v>
      </c>
      <c r="X8" s="59" t="str">
        <f t="shared" si="2"/>
        <v>Valentina  Pulido Recalde-1085337318-BLS</v>
      </c>
    </row>
    <row r="9" spans="1:24" s="49" customFormat="1" x14ac:dyDescent="0.2">
      <c r="A9" s="55">
        <v>8</v>
      </c>
      <c r="B9" s="50">
        <v>1087643244</v>
      </c>
      <c r="C9" s="50" t="s">
        <v>121</v>
      </c>
      <c r="D9" s="50" t="s">
        <v>122</v>
      </c>
      <c r="E9" s="50" t="s">
        <v>123</v>
      </c>
      <c r="F9" s="50" t="s">
        <v>124</v>
      </c>
      <c r="G9" s="50">
        <v>3</v>
      </c>
      <c r="H9" s="50" t="s">
        <v>102</v>
      </c>
      <c r="I9" s="52" t="s">
        <v>108</v>
      </c>
      <c r="J9" s="56">
        <v>45569</v>
      </c>
      <c r="K9" s="57">
        <v>110000</v>
      </c>
      <c r="L9" s="50" t="s">
        <v>149</v>
      </c>
      <c r="M9" s="50" t="s">
        <v>85</v>
      </c>
      <c r="N9" s="50" t="s">
        <v>103</v>
      </c>
      <c r="O9" s="50" t="s">
        <v>38</v>
      </c>
      <c r="P9" s="52">
        <v>32068</v>
      </c>
      <c r="Q9" s="50" t="s">
        <v>96</v>
      </c>
      <c r="R9" s="58" t="s">
        <v>125</v>
      </c>
      <c r="S9" s="58">
        <v>3146008462</v>
      </c>
      <c r="T9" s="50" t="s">
        <v>126</v>
      </c>
      <c r="U9" s="59" t="str">
        <f>IF(O9=CURSOS!$D$3,"DIPLOMADO EN ATENCION PRE-HOSPITALARIA",IF(O9=CURSOS!$D$4,"ACOMPAÑAMIENTO Y MANEJO DEL DUELO",IF(O9=CURSOS!$D$5,"ATENCION A VICTIMAS DE ATAQUE CON AGENTES QUIMICOS ",IF(O9=CURSOS!$D$6,"PRIMEROS AUXILIOS ",IF(O9=CURSOS!$D$7,"DIPLOMADO DE UNIDAD DE CUIDADOS INTENSIVOS (UCI)",IF(O9=CURSOS!$D$8,"MODELO DE ATENCION PARA EVENTOS EMERGENTES EN SALUD MENTAL (CODIGO VERDE)",IF(O9=CURSOS!$D$9,"HUMANIZACION EN EL SERVICIO DE LA SALUD Y BUENAS PRACTICAS EN PACIENTE ",IF(O9=CURSOS!$D$10,"CLINICA DE HERIDAS ",IF(O9=CURSOS!$D$11,"TOMA DE CITOLOGIA CERVICO VAGINAL ",IF(O9=CURSOS!$D$12,"SOPORTE CARDIOVASCULAR AVANZADO (ACLS) ",IF(O9=CURSOS!$D$13,"CAMILLERO ",IF(O9=CURSOS!$D$14,"TOMA DE MUESTRAS Y LABORATORIO ",IF(O9=CURSOS!$D$15,"SOPORTE VITAL BASICO (BLS)",IF(O9=CURSOS!$D$16,"ATENCION A VICTIMAS DE VIOLENCIA SEXUAL ",IF(O9=CURSOS!$D$17,"PROGRAMADO AMPLIADO DE INMUNIZACION (PAI - COVID 19)",IF(O9=CURSOS!$D$18,"ATENCION INTEGRAL EN ENFERMEDADES PREVALENTES EN PRIMERA INFANCIA (AIEPI)",IF(O9=CURSOS!$D$19,"ADMINISTRACION DE MEDICAMENTOS, INYECTOLOGIA  Y CANALIZACION ",IF(O9=CURSOS!$D$20,"OPERADOR DE VEHICULOS DE EMERGENCIA (OVE)",IF(O9=CURSOS!$D$21,"INSTITUCIONES AMIGAS DE LA MUJER Y LA INFANCIA (IAMI)",IF(O9=CURSOS!$D$22,"CUIDADO DEL DONANTE DE ORGANOS",IF(O9=CURSOS!$D$23,"ATENCION A VICTIMAS POR VIOLENCIA DE GENERO",IF(O9=CURSOS!$D$24,"IGUALDAD DE GENERO EN LA SALUD",IF(O9=CURSOS!$D$25,"BRIGADA DE EMERGENCIA",IF(O9=CURSOS!$D$26,"MANEJO DEL DOLOR Y CUIDADOS PALIATIVOS",IF(O9=CURSOS!$D$27,"TOMA DE MUESTRAS Y LABORATORIO POCT",IF(O9=CURSOS!$D$28,"IMPLANTE SUBDERMICO DE DISPOSITIVO INTRAUTERINO",IF(O9=CURSOS!$D$29,"SALUD MENTAL",IF(O9=CURSOS!$D$30,"PRIMEROS AUXILIOS PSICOLOGICOS",IF(O9=CURSOS!$D$31,"ATENCION A VICTIMAS POR CONFLICTO ARMADO",IF(O9=CURSOS!$D$32,"MANIPULACION DE ALIMENTOS Y BPM",IF(O9=CURSOS!$D$33,"ATENCION A PERSONAS CON DISCAPACIDAD",IF(O9=CURSOS!$D$34,"CUIDADO INTEGRAL DEL PACIENTE ADULTO",IF(O9=CURSOS!$D$35,"MANEJO DEFENSIVO",IF(O9=CURSOS!$D$36,"SOPORTE CARDIOVASCULAR AVANZADO NEONATAL",IF(O9=CURSOS!$D$37,"SEGURIDAD DEL PACIENTE",IF(O9=CURSOS!$D$38,"MANEJO DE RESIDUOS HOSPITALARIOS"))))))))))))))))))))))))))))))))))))</f>
        <v xml:space="preserve">SOPORTE CARDIOVASCULAR AVANZADO (ACLS) </v>
      </c>
      <c r="V9" s="59" t="str">
        <f t="shared" si="0"/>
        <v>Nasly Natalia Ordoñez Herrera</v>
      </c>
      <c r="W9" s="59" t="str">
        <f t="shared" si="1"/>
        <v>Nasly Natalia Ordoñez Herrera</v>
      </c>
      <c r="X9" s="59" t="str">
        <f t="shared" si="2"/>
        <v>Nasly Natalia Ordoñez Herrera-1087643244-ACLS</v>
      </c>
    </row>
    <row r="10" spans="1:24" s="49" customFormat="1" x14ac:dyDescent="0.2">
      <c r="A10" s="55">
        <v>9</v>
      </c>
      <c r="B10" s="50">
        <v>1085325336</v>
      </c>
      <c r="C10" s="50" t="s">
        <v>127</v>
      </c>
      <c r="D10" s="50" t="s">
        <v>128</v>
      </c>
      <c r="E10" s="50" t="s">
        <v>129</v>
      </c>
      <c r="F10" s="50" t="s">
        <v>130</v>
      </c>
      <c r="G10" s="50">
        <v>3</v>
      </c>
      <c r="H10" s="50" t="s">
        <v>102</v>
      </c>
      <c r="I10" s="52" t="s">
        <v>108</v>
      </c>
      <c r="J10" s="56">
        <v>45582</v>
      </c>
      <c r="K10" s="60">
        <v>30000</v>
      </c>
      <c r="L10" s="50" t="s">
        <v>149</v>
      </c>
      <c r="M10" s="50" t="s">
        <v>85</v>
      </c>
      <c r="N10" s="50" t="s">
        <v>131</v>
      </c>
      <c r="O10" s="50" t="s">
        <v>19</v>
      </c>
      <c r="P10" s="52"/>
      <c r="Q10" s="50" t="s">
        <v>97</v>
      </c>
      <c r="R10" s="50" t="s">
        <v>116</v>
      </c>
      <c r="S10" s="58"/>
      <c r="T10" s="50"/>
      <c r="U10" s="59" t="str">
        <f>IF(O10=CURSOS!$D$3,"DIPLOMADO EN ATENCION PRE-HOSPITALARIA",IF(O10=CURSOS!$D$4,"ACOMPAÑAMIENTO Y MANEJO DEL DUELO",IF(O10=CURSOS!$D$5,"ATENCION A VICTIMAS DE ATAQUE CON AGENTES QUIMICOS ",IF(O10=CURSOS!$D$6,"PRIMEROS AUXILIOS ",IF(O10=CURSOS!$D$7,"DIPLOMADO DE UNIDAD DE CUIDADOS INTENSIVOS (UCI)",IF(O10=CURSOS!$D$8,"MODELO DE ATENCION PARA EVENTOS EMERGENTES EN SALUD MENTAL (CODIGO VERDE)",IF(O10=CURSOS!$D$9,"HUMANIZACION EN EL SERVICIO DE LA SALUD Y BUENAS PRACTICAS EN PACIENTE ",IF(O10=CURSOS!$D$10,"CLINICA DE HERIDAS ",IF(O10=CURSOS!$D$11,"TOMA DE CITOLOGIA CERVICO VAGINAL ",IF(O10=CURSOS!$D$12,"SOPORTE CARDIOVASCULAR AVANZADO (ACLS) ",IF(O10=CURSOS!$D$13,"CAMILLERO ",IF(O10=CURSOS!$D$14,"TOMA DE MUESTRAS Y LABORATORIO ",IF(O10=CURSOS!$D$15,"SOPORTE VITAL BASICO (BLS)",IF(O10=CURSOS!$D$16,"ATENCION A VICTIMAS DE VIOLENCIA SEXUAL ",IF(O10=CURSOS!$D$17,"PROGRAMADO AMPLIADO DE INMUNIZACION (PAI - COVID 19)",IF(O10=CURSOS!$D$18,"ATENCION INTEGRAL EN ENFERMEDADES PREVALENTES EN PRIMERA INFANCIA (AIEPI)",IF(O10=CURSOS!$D$19,"ADMINISTRACION DE MEDICAMENTOS, INYECTOLOGIA  Y CANALIZACION ",IF(O10=CURSOS!$D$20,"OPERADOR DE VEHICULOS DE EMERGENCIA (OVE)",IF(O10=CURSOS!$D$21,"INSTITUCIONES AMIGAS DE LA MUJER Y LA INFANCIA (IAMI)",IF(O10=CURSOS!$D$22,"CUIDADO DEL DONANTE DE ORGANOS",IF(O10=CURSOS!$D$23,"ATENCION A VICTIMAS POR VIOLENCIA DE GENERO",IF(O10=CURSOS!$D$24,"IGUALDAD DE GENERO EN LA SALUD",IF(O10=CURSOS!$D$25,"BRIGADA DE EMERGENCIA",IF(O10=CURSOS!$D$26,"MANEJO DEL DOLOR Y CUIDADOS PALIATIVOS",IF(O10=CURSOS!$D$27,"TOMA DE MUESTRAS Y LABORATORIO POCT",IF(O10=CURSOS!$D$28,"IMPLANTE SUBDERMICO DE DISPOSITIVO INTRAUTERINO",IF(O10=CURSOS!$D$29,"SALUD MENTAL",IF(O10=CURSOS!$D$30,"PRIMEROS AUXILIOS PSICOLOGICOS",IF(O10=CURSOS!$D$31,"ATENCION A VICTIMAS POR CONFLICTO ARMADO",IF(O10=CURSOS!$D$32,"MANIPULACION DE ALIMENTOS Y BPM",IF(O10=CURSOS!$D$33,"ATENCION A PERSONAS CON DISCAPACIDAD",IF(O10=CURSOS!$D$34,"CUIDADO INTEGRAL DEL PACIENTE ADULTO",IF(O10=CURSOS!$D$35,"MANEJO DEFENSIVO",IF(O10=CURSOS!$D$36,"SOPORTE CARDIOVASCULAR AVANZADO NEONATAL",IF(O10=CURSOS!$D$37,"SEGURIDAD DEL PACIENTE",IF(O10=CURSOS!$D$38,"MANEJO DE RESIDUOS HOSPITALARIOS"))))))))))))))))))))))))))))))))))))</f>
        <v>SOPORTE VITAL BASICO (BLS)</v>
      </c>
      <c r="V10" s="59" t="str">
        <f t="shared" si="0"/>
        <v>Brayan Francisco Chavez Romero</v>
      </c>
      <c r="W10" s="59" t="str">
        <f t="shared" si="1"/>
        <v>Brayan Francisco Chavez Romero</v>
      </c>
      <c r="X10" s="59" t="str">
        <f t="shared" si="2"/>
        <v>Brayan Francisco Chavez Romero-1085325336-BLS</v>
      </c>
    </row>
    <row r="11" spans="1:24" s="49" customFormat="1" x14ac:dyDescent="0.2">
      <c r="A11" s="55">
        <v>10</v>
      </c>
      <c r="B11" s="50">
        <v>1193271937</v>
      </c>
      <c r="C11" s="50" t="s">
        <v>132</v>
      </c>
      <c r="D11" s="50" t="s">
        <v>133</v>
      </c>
      <c r="E11" s="50" t="s">
        <v>134</v>
      </c>
      <c r="F11" s="50" t="s">
        <v>135</v>
      </c>
      <c r="G11" s="50">
        <v>1</v>
      </c>
      <c r="H11" s="50" t="s">
        <v>102</v>
      </c>
      <c r="I11" s="52" t="s">
        <v>108</v>
      </c>
      <c r="J11" s="56">
        <v>45569</v>
      </c>
      <c r="K11" s="57">
        <v>100000</v>
      </c>
      <c r="L11" s="50" t="s">
        <v>139</v>
      </c>
      <c r="M11" s="50" t="s">
        <v>85</v>
      </c>
      <c r="N11" s="50" t="s">
        <v>136</v>
      </c>
      <c r="O11" s="50" t="s">
        <v>38</v>
      </c>
      <c r="P11" s="52">
        <v>37236</v>
      </c>
      <c r="Q11" s="50" t="s">
        <v>96</v>
      </c>
      <c r="R11" s="50" t="s">
        <v>137</v>
      </c>
      <c r="S11" s="58">
        <v>3217729084</v>
      </c>
      <c r="T11" s="50" t="s">
        <v>138</v>
      </c>
      <c r="U11" s="59" t="str">
        <f>IF(O11=CURSOS!$D$3,"DIPLOMADO EN ATENCION PRE-HOSPITALARIA",IF(O11=CURSOS!$D$4,"ACOMPAÑAMIENTO Y MANEJO DEL DUELO",IF(O11=CURSOS!$D$5,"ATENCION A VICTIMAS DE ATAQUE CON AGENTES QUIMICOS ",IF(O11=CURSOS!$D$6,"PRIMEROS AUXILIOS ",IF(O11=CURSOS!$D$7,"DIPLOMADO DE UNIDAD DE CUIDADOS INTENSIVOS (UCI)",IF(O11=CURSOS!$D$8,"MODELO DE ATENCION PARA EVENTOS EMERGENTES EN SALUD MENTAL (CODIGO VERDE)",IF(O11=CURSOS!$D$9,"HUMANIZACION EN EL SERVICIO DE LA SALUD Y BUENAS PRACTICAS EN PACIENTE ",IF(O11=CURSOS!$D$10,"CLINICA DE HERIDAS ",IF(O11=CURSOS!$D$11,"TOMA DE CITOLOGIA CERVICO VAGINAL ",IF(O11=CURSOS!$D$12,"SOPORTE CARDIOVASCULAR AVANZADO (ACLS) ",IF(O11=CURSOS!$D$13,"CAMILLERO ",IF(O11=CURSOS!$D$14,"TOMA DE MUESTRAS Y LABORATORIO ",IF(O11=CURSOS!$D$15,"SOPORTE VITAL BASICO (BLS)",IF(O11=CURSOS!$D$16,"ATENCION A VICTIMAS DE VIOLENCIA SEXUAL ",IF(O11=CURSOS!$D$17,"PROGRAMADO AMPLIADO DE INMUNIZACION (PAI - COVID 19)",IF(O11=CURSOS!$D$18,"ATENCION INTEGRAL EN ENFERMEDADES PREVALENTES EN PRIMERA INFANCIA (AIEPI)",IF(O11=CURSOS!$D$19,"ADMINISTRACION DE MEDICAMENTOS, INYECTOLOGIA  Y CANALIZACION ",IF(O11=CURSOS!$D$20,"OPERADOR DE VEHICULOS DE EMERGENCIA (OVE)",IF(O11=CURSOS!$D$21,"INSTITUCIONES AMIGAS DE LA MUJER Y LA INFANCIA (IAMI)",IF(O11=CURSOS!$D$22,"CUIDADO DEL DONANTE DE ORGANOS",IF(O11=CURSOS!$D$23,"ATENCION A VICTIMAS POR VIOLENCIA DE GENERO",IF(O11=CURSOS!$D$24,"IGUALDAD DE GENERO EN LA SALUD",IF(O11=CURSOS!$D$25,"BRIGADA DE EMERGENCIA",IF(O11=CURSOS!$D$26,"MANEJO DEL DOLOR Y CUIDADOS PALIATIVOS",IF(O11=CURSOS!$D$27,"TOMA DE MUESTRAS Y LABORATORIO POCT",IF(O11=CURSOS!$D$28,"IMPLANTE SUBDERMICO DE DISPOSITIVO INTRAUTERINO",IF(O11=CURSOS!$D$29,"SALUD MENTAL",IF(O11=CURSOS!$D$30,"PRIMEROS AUXILIOS PSICOLOGICOS",IF(O11=CURSOS!$D$31,"ATENCION A VICTIMAS POR CONFLICTO ARMADO",IF(O11=CURSOS!$D$32,"MANIPULACION DE ALIMENTOS Y BPM",IF(O11=CURSOS!$D$33,"ATENCION A PERSONAS CON DISCAPACIDAD",IF(O11=CURSOS!$D$34,"CUIDADO INTEGRAL DEL PACIENTE ADULTO",IF(O11=CURSOS!$D$35,"MANEJO DEFENSIVO",IF(O11=CURSOS!$D$36,"SOPORTE CARDIOVASCULAR AVANZADO NEONATAL",IF(O11=CURSOS!$D$37,"SEGURIDAD DEL PACIENTE",IF(O11=CURSOS!$D$38,"MANEJO DE RESIDUOS HOSPITALARIOS"))))))))))))))))))))))))))))))))))))</f>
        <v xml:space="preserve">SOPORTE CARDIOVASCULAR AVANZADO (ACLS) </v>
      </c>
      <c r="V11" s="59" t="str">
        <f t="shared" si="0"/>
        <v>Leidy Jhomara Pantoja Paredes</v>
      </c>
      <c r="W11" s="59" t="str">
        <f t="shared" si="1"/>
        <v>Leidy Jhomara Pantoja Paredes</v>
      </c>
      <c r="X11" s="59" t="str">
        <f t="shared" si="2"/>
        <v>Leidy Jhomara Pantoja Paredes-1193271937-ACLS</v>
      </c>
    </row>
    <row r="12" spans="1:24" s="49" customFormat="1" x14ac:dyDescent="0.2">
      <c r="A12" s="55">
        <v>11</v>
      </c>
      <c r="B12" s="50">
        <v>1193271937</v>
      </c>
      <c r="C12" s="50" t="s">
        <v>132</v>
      </c>
      <c r="D12" s="50" t="s">
        <v>133</v>
      </c>
      <c r="E12" s="50" t="s">
        <v>134</v>
      </c>
      <c r="F12" s="50" t="s">
        <v>135</v>
      </c>
      <c r="G12" s="50">
        <v>4</v>
      </c>
      <c r="H12" s="50" t="s">
        <v>102</v>
      </c>
      <c r="I12" s="52" t="s">
        <v>108</v>
      </c>
      <c r="J12" s="56">
        <v>45569</v>
      </c>
      <c r="K12" s="57">
        <v>0</v>
      </c>
      <c r="L12" s="50" t="s">
        <v>109</v>
      </c>
      <c r="M12" s="50" t="s">
        <v>85</v>
      </c>
      <c r="N12" s="50" t="s">
        <v>136</v>
      </c>
      <c r="O12" s="50" t="s">
        <v>19</v>
      </c>
      <c r="P12" s="52">
        <v>37236</v>
      </c>
      <c r="Q12" s="50" t="s">
        <v>96</v>
      </c>
      <c r="R12" s="50" t="s">
        <v>137</v>
      </c>
      <c r="S12" s="58">
        <v>3217729084</v>
      </c>
      <c r="T12" s="50" t="s">
        <v>138</v>
      </c>
      <c r="U12" s="59" t="str">
        <f>IF(O12=CURSOS!$D$3,"DIPLOMADO EN ATENCION PRE-HOSPITALARIA",IF(O12=CURSOS!$D$4,"ACOMPAÑAMIENTO Y MANEJO DEL DUELO",IF(O12=CURSOS!$D$5,"ATENCION A VICTIMAS DE ATAQUE CON AGENTES QUIMICOS ",IF(O12=CURSOS!$D$6,"PRIMEROS AUXILIOS ",IF(O12=CURSOS!$D$7,"DIPLOMADO DE UNIDAD DE CUIDADOS INTENSIVOS (UCI)",IF(O12=CURSOS!$D$8,"MODELO DE ATENCION PARA EVENTOS EMERGENTES EN SALUD MENTAL (CODIGO VERDE)",IF(O12=CURSOS!$D$9,"HUMANIZACION EN EL SERVICIO DE LA SALUD Y BUENAS PRACTICAS EN PACIENTE ",IF(O12=CURSOS!$D$10,"CLINICA DE HERIDAS ",IF(O12=CURSOS!$D$11,"TOMA DE CITOLOGIA CERVICO VAGINAL ",IF(O12=CURSOS!$D$12,"SOPORTE CARDIOVASCULAR AVANZADO (ACLS) ",IF(O12=CURSOS!$D$13,"CAMILLERO ",IF(O12=CURSOS!$D$14,"TOMA DE MUESTRAS Y LABORATORIO ",IF(O12=CURSOS!$D$15,"SOPORTE VITAL BASICO (BLS)",IF(O12=CURSOS!$D$16,"ATENCION A VICTIMAS DE VIOLENCIA SEXUAL ",IF(O12=CURSOS!$D$17,"PROGRAMADO AMPLIADO DE INMUNIZACION (PAI - COVID 19)",IF(O12=CURSOS!$D$18,"ATENCION INTEGRAL EN ENFERMEDADES PREVALENTES EN PRIMERA INFANCIA (AIEPI)",IF(O12=CURSOS!$D$19,"ADMINISTRACION DE MEDICAMENTOS, INYECTOLOGIA  Y CANALIZACION ",IF(O12=CURSOS!$D$20,"OPERADOR DE VEHICULOS DE EMERGENCIA (OVE)",IF(O12=CURSOS!$D$21,"INSTITUCIONES AMIGAS DE LA MUJER Y LA INFANCIA (IAMI)",IF(O12=CURSOS!$D$22,"CUIDADO DEL DONANTE DE ORGANOS",IF(O12=CURSOS!$D$23,"ATENCION A VICTIMAS POR VIOLENCIA DE GENERO",IF(O12=CURSOS!$D$24,"IGUALDAD DE GENERO EN LA SALUD",IF(O12=CURSOS!$D$25,"BRIGADA DE EMERGENCIA",IF(O12=CURSOS!$D$26,"MANEJO DEL DOLOR Y CUIDADOS PALIATIVOS",IF(O12=CURSOS!$D$27,"TOMA DE MUESTRAS Y LABORATORIO POCT",IF(O12=CURSOS!$D$28,"IMPLANTE SUBDERMICO DE DISPOSITIVO INTRAUTERINO",IF(O12=CURSOS!$D$29,"SALUD MENTAL",IF(O12=CURSOS!$D$30,"PRIMEROS AUXILIOS PSICOLOGICOS",IF(O12=CURSOS!$D$31,"ATENCION A VICTIMAS POR CONFLICTO ARMADO",IF(O12=CURSOS!$D$32,"MANIPULACION DE ALIMENTOS Y BPM",IF(O12=CURSOS!$D$33,"ATENCION A PERSONAS CON DISCAPACIDAD",IF(O12=CURSOS!$D$34,"CUIDADO INTEGRAL DEL PACIENTE ADULTO",IF(O12=CURSOS!$D$35,"MANEJO DEFENSIVO",IF(O12=CURSOS!$D$36,"SOPORTE CARDIOVASCULAR AVANZADO NEONATAL",IF(O12=CURSOS!$D$37,"SEGURIDAD DEL PACIENTE",IF(O12=CURSOS!$D$38,"MANEJO DE RESIDUOS HOSPITALARIOS"))))))))))))))))))))))))))))))))))))</f>
        <v>SOPORTE VITAL BASICO (BLS)</v>
      </c>
      <c r="V12" s="59" t="str">
        <f t="shared" si="0"/>
        <v>Leidy Jhomara Pantoja Paredes</v>
      </c>
      <c r="W12" s="59" t="str">
        <f t="shared" si="1"/>
        <v>Leidy Jhomara Pantoja Paredes</v>
      </c>
      <c r="X12" s="59" t="str">
        <f t="shared" si="2"/>
        <v>Leidy Jhomara Pantoja Paredes-1193271937-BLS</v>
      </c>
    </row>
    <row r="13" spans="1:24" s="49" customFormat="1" x14ac:dyDescent="0.2">
      <c r="A13" s="55">
        <v>12</v>
      </c>
      <c r="B13" s="50">
        <v>1193271937</v>
      </c>
      <c r="C13" s="50" t="s">
        <v>132</v>
      </c>
      <c r="D13" s="50" t="s">
        <v>133</v>
      </c>
      <c r="E13" s="50" t="s">
        <v>134</v>
      </c>
      <c r="F13" s="50" t="s">
        <v>135</v>
      </c>
      <c r="G13" s="50">
        <v>3</v>
      </c>
      <c r="H13" s="50" t="s">
        <v>102</v>
      </c>
      <c r="I13" s="52" t="s">
        <v>108</v>
      </c>
      <c r="J13" s="56">
        <v>45569</v>
      </c>
      <c r="K13" s="57">
        <v>25000</v>
      </c>
      <c r="L13" s="50" t="s">
        <v>139</v>
      </c>
      <c r="M13" s="50" t="s">
        <v>85</v>
      </c>
      <c r="N13" s="50" t="s">
        <v>136</v>
      </c>
      <c r="O13" s="50" t="s">
        <v>43</v>
      </c>
      <c r="P13" s="52">
        <v>37236</v>
      </c>
      <c r="Q13" s="50" t="s">
        <v>96</v>
      </c>
      <c r="R13" s="50" t="s">
        <v>137</v>
      </c>
      <c r="S13" s="58">
        <v>3217729084</v>
      </c>
      <c r="T13" s="50" t="s">
        <v>138</v>
      </c>
      <c r="U13" s="59" t="str">
        <f>IF(O13=CURSOS!$D$3,"DIPLOMADO EN ATENCION PRE-HOSPITALARIA",IF(O13=CURSOS!$D$4,"ACOMPAÑAMIENTO Y MANEJO DEL DUELO",IF(O13=CURSOS!$D$5,"ATENCION A VICTIMAS DE ATAQUE CON AGENTES QUIMICOS ",IF(O13=CURSOS!$D$6,"PRIMEROS AUXILIOS ",IF(O13=CURSOS!$D$7,"DIPLOMADO DE UNIDAD DE CUIDADOS INTENSIVOS (UCI)",IF(O13=CURSOS!$D$8,"MODELO DE ATENCION PARA EVENTOS EMERGENTES EN SALUD MENTAL (CODIGO VERDE)",IF(O13=CURSOS!$D$9,"HUMANIZACION EN EL SERVICIO DE LA SALUD Y BUENAS PRACTICAS EN PACIENTE ",IF(O13=CURSOS!$D$10,"CLINICA DE HERIDAS ",IF(O13=CURSOS!$D$11,"TOMA DE CITOLOGIA CERVICO VAGINAL ",IF(O13=CURSOS!$D$12,"SOPORTE CARDIOVASCULAR AVANZADO (ACLS) ",IF(O13=CURSOS!$D$13,"CAMILLERO ",IF(O13=CURSOS!$D$14,"TOMA DE MUESTRAS Y LABORATORIO ",IF(O13=CURSOS!$D$15,"SOPORTE VITAL BASICO (BLS)",IF(O13=CURSOS!$D$16,"ATENCION A VICTIMAS DE VIOLENCIA SEXUAL ",IF(O13=CURSOS!$D$17,"PROGRAMADO AMPLIADO DE INMUNIZACION (PAI - COVID 19)",IF(O13=CURSOS!$D$18,"ATENCION INTEGRAL EN ENFERMEDADES PREVALENTES EN PRIMERA INFANCIA (AIEPI)",IF(O13=CURSOS!$D$19,"ADMINISTRACION DE MEDICAMENTOS, INYECTOLOGIA  Y CANALIZACION ",IF(O13=CURSOS!$D$20,"OPERADOR DE VEHICULOS DE EMERGENCIA (OVE)",IF(O13=CURSOS!$D$21,"INSTITUCIONES AMIGAS DE LA MUJER Y LA INFANCIA (IAMI)",IF(O13=CURSOS!$D$22,"CUIDADO DEL DONANTE DE ORGANOS",IF(O13=CURSOS!$D$23,"ATENCION A VICTIMAS POR VIOLENCIA DE GENERO",IF(O13=CURSOS!$D$24,"IGUALDAD DE GENERO EN LA SALUD",IF(O13=CURSOS!$D$25,"BRIGADA DE EMERGENCIA",IF(O13=CURSOS!$D$26,"MANEJO DEL DOLOR Y CUIDADOS PALIATIVOS",IF(O13=CURSOS!$D$27,"TOMA DE MUESTRAS Y LABORATORIO POCT",IF(O13=CURSOS!$D$28,"IMPLANTE SUBDERMICO DE DISPOSITIVO INTRAUTERINO",IF(O13=CURSOS!$D$29,"SALUD MENTAL",IF(O13=CURSOS!$D$30,"PRIMEROS AUXILIOS PSICOLOGICOS",IF(O13=CURSOS!$D$31,"ATENCION A VICTIMAS POR CONFLICTO ARMADO",IF(O13=CURSOS!$D$32,"MANIPULACION DE ALIMENTOS Y BPM",IF(O13=CURSOS!$D$33,"ATENCION A PERSONAS CON DISCAPACIDAD",IF(O13=CURSOS!$D$34,"CUIDADO INTEGRAL DEL PACIENTE ADULTO",IF(O13=CURSOS!$D$35,"MANEJO DEFENSIVO",IF(O13=CURSOS!$D$36,"SOPORTE CARDIOVASCULAR AVANZADO NEONATAL",IF(O13=CURSOS!$D$37,"SEGURIDAD DEL PACIENTE",IF(O13=CURSOS!$D$38,"MANEJO DE RESIDUOS HOSPITALARIOS"))))))))))))))))))))))))))))))))))))</f>
        <v xml:space="preserve">ATENCION A VICTIMAS DE VIOLENCIA SEXUAL </v>
      </c>
      <c r="V13" s="59" t="str">
        <f t="shared" si="0"/>
        <v>Leidy Jhomara Pantoja Paredes</v>
      </c>
      <c r="W13" s="59" t="str">
        <f t="shared" si="1"/>
        <v>Leidy Jhomara Pantoja Paredes</v>
      </c>
      <c r="X13" s="59" t="str">
        <f t="shared" si="2"/>
        <v>Leidy Jhomara Pantoja Paredes-1193271937-VIOLENCIA SEXUAL</v>
      </c>
    </row>
    <row r="14" spans="1:24" s="49" customFormat="1" x14ac:dyDescent="0.2">
      <c r="A14" s="55">
        <v>13</v>
      </c>
      <c r="B14" s="50">
        <v>1193271937</v>
      </c>
      <c r="C14" s="50" t="s">
        <v>132</v>
      </c>
      <c r="D14" s="50" t="s">
        <v>133</v>
      </c>
      <c r="E14" s="50" t="s">
        <v>134</v>
      </c>
      <c r="F14" s="50" t="s">
        <v>135</v>
      </c>
      <c r="G14" s="50">
        <v>2</v>
      </c>
      <c r="H14" s="50" t="s">
        <v>102</v>
      </c>
      <c r="I14" s="52" t="s">
        <v>108</v>
      </c>
      <c r="J14" s="56">
        <v>45569</v>
      </c>
      <c r="K14" s="57">
        <v>25000</v>
      </c>
      <c r="L14" s="50" t="s">
        <v>139</v>
      </c>
      <c r="M14" s="50" t="s">
        <v>85</v>
      </c>
      <c r="N14" s="50" t="s">
        <v>136</v>
      </c>
      <c r="O14" s="50" t="s">
        <v>23</v>
      </c>
      <c r="P14" s="52">
        <v>37236</v>
      </c>
      <c r="Q14" s="50" t="s">
        <v>96</v>
      </c>
      <c r="R14" s="50" t="s">
        <v>137</v>
      </c>
      <c r="S14" s="58">
        <v>3217729084</v>
      </c>
      <c r="T14" s="50" t="s">
        <v>138</v>
      </c>
      <c r="U14" s="59" t="str">
        <f>IF(O14=CURSOS!$D$3,"DIPLOMADO EN ATENCION PRE-HOSPITALARIA",IF(O14=CURSOS!$D$4,"ACOMPAÑAMIENTO Y MANEJO DEL DUELO",IF(O14=CURSOS!$D$5,"ATENCION A VICTIMAS DE ATAQUE CON AGENTES QUIMICOS ",IF(O14=CURSOS!$D$6,"PRIMEROS AUXILIOS ",IF(O14=CURSOS!$D$7,"DIPLOMADO DE UNIDAD DE CUIDADOS INTENSIVOS (UCI)",IF(O14=CURSOS!$D$8,"MODELO DE ATENCION PARA EVENTOS EMERGENTES EN SALUD MENTAL (CODIGO VERDE)",IF(O14=CURSOS!$D$9,"HUMANIZACION EN EL SERVICIO DE LA SALUD Y BUENAS PRACTICAS EN PACIENTE ",IF(O14=CURSOS!$D$10,"CLINICA DE HERIDAS ",IF(O14=CURSOS!$D$11,"TOMA DE CITOLOGIA CERVICO VAGINAL ",IF(O14=CURSOS!$D$12,"SOPORTE CARDIOVASCULAR AVANZADO (ACLS) ",IF(O14=CURSOS!$D$13,"CAMILLERO ",IF(O14=CURSOS!$D$14,"TOMA DE MUESTRAS Y LABORATORIO ",IF(O14=CURSOS!$D$15,"SOPORTE VITAL BASICO (BLS)",IF(O14=CURSOS!$D$16,"ATENCION A VICTIMAS DE VIOLENCIA SEXUAL ",IF(O14=CURSOS!$D$17,"PROGRAMADO AMPLIADO DE INMUNIZACION (PAI - COVID 19)",IF(O14=CURSOS!$D$18,"ATENCION INTEGRAL EN ENFERMEDADES PREVALENTES EN PRIMERA INFANCIA (AIEPI)",IF(O14=CURSOS!$D$19,"ADMINISTRACION DE MEDICAMENTOS, INYECTOLOGIA  Y CANALIZACION ",IF(O14=CURSOS!$D$20,"OPERADOR DE VEHICULOS DE EMERGENCIA (OVE)",IF(O14=CURSOS!$D$21,"INSTITUCIONES AMIGAS DE LA MUJER Y LA INFANCIA (IAMI)",IF(O14=CURSOS!$D$22,"CUIDADO DEL DONANTE DE ORGANOS",IF(O14=CURSOS!$D$23,"ATENCION A VICTIMAS POR VIOLENCIA DE GENERO",IF(O14=CURSOS!$D$24,"IGUALDAD DE GENERO EN LA SALUD",IF(O14=CURSOS!$D$25,"BRIGADA DE EMERGENCIA",IF(O14=CURSOS!$D$26,"MANEJO DEL DOLOR Y CUIDADOS PALIATIVOS",IF(O14=CURSOS!$D$27,"TOMA DE MUESTRAS Y LABORATORIO POCT",IF(O14=CURSOS!$D$28,"IMPLANTE SUBDERMICO DE DISPOSITIVO INTRAUTERINO",IF(O14=CURSOS!$D$29,"SALUD MENTAL",IF(O14=CURSOS!$D$30,"PRIMEROS AUXILIOS PSICOLOGICOS",IF(O14=CURSOS!$D$31,"ATENCION A VICTIMAS POR CONFLICTO ARMADO",IF(O14=CURSOS!$D$32,"MANIPULACION DE ALIMENTOS Y BPM",IF(O14=CURSOS!$D$33,"ATENCION A PERSONAS CON DISCAPACIDAD",IF(O14=CURSOS!$D$34,"CUIDADO INTEGRAL DEL PACIENTE ADULTO",IF(O14=CURSOS!$D$35,"MANEJO DEFENSIVO",IF(O14=CURSOS!$D$36,"SOPORTE CARDIOVASCULAR AVANZADO NEONATAL",IF(O14=CURSOS!$D$37,"SEGURIDAD DEL PACIENTE",IF(O14=CURSOS!$D$38,"MANEJO DE RESIDUOS HOSPITALARIOS"))))))))))))))))))))))))))))))))))))</f>
        <v>ACOMPAÑAMIENTO Y MANEJO DEL DUELO</v>
      </c>
      <c r="V14" s="59" t="str">
        <f t="shared" si="0"/>
        <v>Leidy Jhomara Pantoja Paredes</v>
      </c>
      <c r="W14" s="59" t="str">
        <f t="shared" si="1"/>
        <v>Leidy Jhomara Pantoja Paredes</v>
      </c>
      <c r="X14" s="59" t="str">
        <f t="shared" si="2"/>
        <v>Leidy Jhomara Pantoja Paredes-1193271937-DUELO</v>
      </c>
    </row>
    <row r="15" spans="1:24" s="49" customFormat="1" x14ac:dyDescent="0.2">
      <c r="A15" s="55">
        <v>14</v>
      </c>
      <c r="B15" s="50">
        <v>1193271937</v>
      </c>
      <c r="C15" s="50" t="s">
        <v>132</v>
      </c>
      <c r="D15" s="50" t="s">
        <v>133</v>
      </c>
      <c r="E15" s="50" t="s">
        <v>134</v>
      </c>
      <c r="F15" s="50" t="s">
        <v>135</v>
      </c>
      <c r="G15" s="50">
        <v>2</v>
      </c>
      <c r="H15" s="50" t="s">
        <v>102</v>
      </c>
      <c r="I15" s="52" t="s">
        <v>108</v>
      </c>
      <c r="J15" s="56">
        <v>45569</v>
      </c>
      <c r="K15" s="57">
        <v>25000</v>
      </c>
      <c r="L15" s="50" t="s">
        <v>139</v>
      </c>
      <c r="M15" s="50" t="s">
        <v>85</v>
      </c>
      <c r="N15" s="50" t="s">
        <v>136</v>
      </c>
      <c r="O15" s="50" t="s">
        <v>61</v>
      </c>
      <c r="P15" s="52">
        <v>37236</v>
      </c>
      <c r="Q15" s="50" t="s">
        <v>96</v>
      </c>
      <c r="R15" s="50" t="s">
        <v>137</v>
      </c>
      <c r="S15" s="58">
        <v>3217729084</v>
      </c>
      <c r="T15" s="50" t="s">
        <v>138</v>
      </c>
      <c r="U15" s="59" t="str">
        <f>IF(O15=CURSOS!$D$3,"DIPLOMADO EN ATENCION PRE-HOSPITALARIA",IF(O15=CURSOS!$D$4,"ACOMPAÑAMIENTO Y MANEJO DEL DUELO",IF(O15=CURSOS!$D$5,"ATENCION A VICTIMAS DE ATAQUE CON AGENTES QUIMICOS ",IF(O15=CURSOS!$D$6,"PRIMEROS AUXILIOS ",IF(O15=CURSOS!$D$7,"DIPLOMADO DE UNIDAD DE CUIDADOS INTENSIVOS (UCI)",IF(O15=CURSOS!$D$8,"MODELO DE ATENCION PARA EVENTOS EMERGENTES EN SALUD MENTAL (CODIGO VERDE)",IF(O15=CURSOS!$D$9,"HUMANIZACION EN EL SERVICIO DE LA SALUD Y BUENAS PRACTICAS EN PACIENTE ",IF(O15=CURSOS!$D$10,"CLINICA DE HERIDAS ",IF(O15=CURSOS!$D$11,"TOMA DE CITOLOGIA CERVICO VAGINAL ",IF(O15=CURSOS!$D$12,"SOPORTE CARDIOVASCULAR AVANZADO (ACLS) ",IF(O15=CURSOS!$D$13,"CAMILLERO ",IF(O15=CURSOS!$D$14,"TOMA DE MUESTRAS Y LABORATORIO ",IF(O15=CURSOS!$D$15,"SOPORTE VITAL BASICO (BLS)",IF(O15=CURSOS!$D$16,"ATENCION A VICTIMAS DE VIOLENCIA SEXUAL ",IF(O15=CURSOS!$D$17,"PROGRAMADO AMPLIADO DE INMUNIZACION (PAI - COVID 19)",IF(O15=CURSOS!$D$18,"ATENCION INTEGRAL EN ENFERMEDADES PREVALENTES EN PRIMERA INFANCIA (AIEPI)",IF(O15=CURSOS!$D$19,"ADMINISTRACION DE MEDICAMENTOS, INYECTOLOGIA  Y CANALIZACION ",IF(O15=CURSOS!$D$20,"OPERADOR DE VEHICULOS DE EMERGENCIA (OVE)",IF(O15=CURSOS!$D$21,"INSTITUCIONES AMIGAS DE LA MUJER Y LA INFANCIA (IAMI)",IF(O15=CURSOS!$D$22,"CUIDADO DEL DONANTE DE ORGANOS",IF(O15=CURSOS!$D$23,"ATENCION A VICTIMAS POR VIOLENCIA DE GENERO",IF(O15=CURSOS!$D$24,"IGUALDAD DE GENERO EN LA SALUD",IF(O15=CURSOS!$D$25,"BRIGADA DE EMERGENCIA",IF(O15=CURSOS!$D$26,"MANEJO DEL DOLOR Y CUIDADOS PALIATIVOS",IF(O15=CURSOS!$D$27,"TOMA DE MUESTRAS Y LABORATORIO POCT",IF(O15=CURSOS!$D$28,"IMPLANTE SUBDERMICO DE DISPOSITIVO INTRAUTERINO",IF(O15=CURSOS!$D$29,"SALUD MENTAL",IF(O15=CURSOS!$D$30,"PRIMEROS AUXILIOS PSICOLOGICOS",IF(O15=CURSOS!$D$31,"ATENCION A VICTIMAS POR CONFLICTO ARMADO",IF(O15=CURSOS!$D$32,"MANIPULACION DE ALIMENTOS Y BPM",IF(O15=CURSOS!$D$33,"ATENCION A PERSONAS CON DISCAPACIDAD",IF(O15=CURSOS!$D$34,"CUIDADO INTEGRAL DEL PACIENTE ADULTO",IF(O15=CURSOS!$D$35,"MANEJO DEFENSIVO",IF(O15=CURSOS!$D$36,"SOPORTE CARDIOVASCULAR AVANZADO NEONATAL",IF(O15=CURSOS!$D$37,"SEGURIDAD DEL PACIENTE",IF(O15=CURSOS!$D$38,"MANEJO DE RESIDUOS HOSPITALARIOS"))))))))))))))))))))))))))))))))))))</f>
        <v>MANEJO DEL DOLOR Y CUIDADOS PALIATIVOS</v>
      </c>
      <c r="V15" s="59" t="str">
        <f t="shared" si="0"/>
        <v>Leidy Jhomara Pantoja Paredes</v>
      </c>
      <c r="W15" s="59" t="str">
        <f t="shared" si="1"/>
        <v>Leidy Jhomara Pantoja Paredes</v>
      </c>
      <c r="X15" s="59" t="str">
        <f t="shared" si="2"/>
        <v>Leidy Jhomara Pantoja Paredes-1193271937-PALIATIVOS</v>
      </c>
    </row>
    <row r="16" spans="1:24" s="49" customFormat="1" x14ac:dyDescent="0.2">
      <c r="A16" s="55">
        <v>15</v>
      </c>
      <c r="B16" s="50">
        <v>1193271937</v>
      </c>
      <c r="C16" s="50" t="s">
        <v>132</v>
      </c>
      <c r="D16" s="50" t="s">
        <v>133</v>
      </c>
      <c r="E16" s="50" t="s">
        <v>134</v>
      </c>
      <c r="F16" s="50" t="s">
        <v>135</v>
      </c>
      <c r="G16" s="50">
        <v>3</v>
      </c>
      <c r="H16" s="50" t="s">
        <v>102</v>
      </c>
      <c r="I16" s="52" t="s">
        <v>108</v>
      </c>
      <c r="J16" s="56">
        <v>45569</v>
      </c>
      <c r="K16" s="57">
        <v>25000</v>
      </c>
      <c r="L16" s="50" t="s">
        <v>139</v>
      </c>
      <c r="M16" s="50" t="s">
        <v>85</v>
      </c>
      <c r="N16" s="50" t="s">
        <v>136</v>
      </c>
      <c r="O16" s="50" t="s">
        <v>25</v>
      </c>
      <c r="P16" s="52">
        <v>37236</v>
      </c>
      <c r="Q16" s="50" t="s">
        <v>96</v>
      </c>
      <c r="R16" s="50" t="s">
        <v>137</v>
      </c>
      <c r="S16" s="58">
        <v>3217729084</v>
      </c>
      <c r="T16" s="58" t="s">
        <v>138</v>
      </c>
      <c r="U16" s="59" t="str">
        <f>IF(O16=CURSOS!$D$3,"DIPLOMADO EN ATENCION PRE-HOSPITALARIA",IF(O16=CURSOS!$D$4,"ACOMPAÑAMIENTO Y MANEJO DEL DUELO",IF(O16=CURSOS!$D$5,"ATENCION A VICTIMAS DE ATAQUE CON AGENTES QUIMICOS ",IF(O16=CURSOS!$D$6,"PRIMEROS AUXILIOS ",IF(O16=CURSOS!$D$7,"DIPLOMADO DE UNIDAD DE CUIDADOS INTENSIVOS (UCI)",IF(O16=CURSOS!$D$8,"MODELO DE ATENCION PARA EVENTOS EMERGENTES EN SALUD MENTAL (CODIGO VERDE)",IF(O16=CURSOS!$D$9,"HUMANIZACION EN EL SERVICIO DE LA SALUD Y BUENAS PRACTICAS EN PACIENTE ",IF(O16=CURSOS!$D$10,"CLINICA DE HERIDAS ",IF(O16=CURSOS!$D$11,"TOMA DE CITOLOGIA CERVICO VAGINAL ",IF(O16=CURSOS!$D$12,"SOPORTE CARDIOVASCULAR AVANZADO (ACLS) ",IF(O16=CURSOS!$D$13,"CAMILLERO ",IF(O16=CURSOS!$D$14,"TOMA DE MUESTRAS Y LABORATORIO ",IF(O16=CURSOS!$D$15,"SOPORTE VITAL BASICO (BLS)",IF(O16=CURSOS!$D$16,"ATENCION A VICTIMAS DE VIOLENCIA SEXUAL ",IF(O16=CURSOS!$D$17,"PROGRAMADO AMPLIADO DE INMUNIZACION (PAI - COVID 19)",IF(O16=CURSOS!$D$18,"ATENCION INTEGRAL EN ENFERMEDADES PREVALENTES EN PRIMERA INFANCIA (AIEPI)",IF(O16=CURSOS!$D$19,"ADMINISTRACION DE MEDICAMENTOS, INYECTOLOGIA  Y CANALIZACION ",IF(O16=CURSOS!$D$20,"OPERADOR DE VEHICULOS DE EMERGENCIA (OVE)",IF(O16=CURSOS!$D$21,"INSTITUCIONES AMIGAS DE LA MUJER Y LA INFANCIA (IAMI)",IF(O16=CURSOS!$D$22,"CUIDADO DEL DONANTE DE ORGANOS",IF(O16=CURSOS!$D$23,"ATENCION A VICTIMAS POR VIOLENCIA DE GENERO",IF(O16=CURSOS!$D$24,"IGUALDAD DE GENERO EN LA SALUD",IF(O16=CURSOS!$D$25,"BRIGADA DE EMERGENCIA",IF(O16=CURSOS!$D$26,"MANEJO DEL DOLOR Y CUIDADOS PALIATIVOS",IF(O16=CURSOS!$D$27,"TOMA DE MUESTRAS Y LABORATORIO POCT",IF(O16=CURSOS!$D$28,"IMPLANTE SUBDERMICO DE DISPOSITIVO INTRAUTERINO",IF(O16=CURSOS!$D$29,"SALUD MENTAL",IF(O16=CURSOS!$D$30,"PRIMEROS AUXILIOS PSICOLOGICOS",IF(O16=CURSOS!$D$31,"ATENCION A VICTIMAS POR CONFLICTO ARMADO",IF(O16=CURSOS!$D$32,"MANIPULACION DE ALIMENTOS Y BPM",IF(O16=CURSOS!$D$33,"ATENCION A PERSONAS CON DISCAPACIDAD",IF(O16=CURSOS!$D$34,"CUIDADO INTEGRAL DEL PACIENTE ADULTO",IF(O16=CURSOS!$D$35,"MANEJO DEFENSIVO",IF(O16=CURSOS!$D$36,"SOPORTE CARDIOVASCULAR AVANZADO NEONATAL",IF(O16=CURSOS!$D$37,"SEGURIDAD DEL PACIENTE",IF(O16=CURSOS!$D$38,"MANEJO DE RESIDUOS HOSPITALARIOS"))))))))))))))))))))))))))))))))))))</f>
        <v xml:space="preserve">ATENCION A VICTIMAS DE ATAQUE CON AGENTES QUIMICOS </v>
      </c>
      <c r="V16" s="59" t="str">
        <f t="shared" si="0"/>
        <v>Leidy Jhomara Pantoja Paredes</v>
      </c>
      <c r="W16" s="59" t="str">
        <f t="shared" si="1"/>
        <v>Leidy Jhomara Pantoja Paredes</v>
      </c>
      <c r="X16" s="59" t="str">
        <f t="shared" si="2"/>
        <v>Leidy Jhomara Pantoja Paredes-1193271937-QUIMICOS</v>
      </c>
    </row>
    <row r="17" spans="1:24" s="49" customFormat="1" x14ac:dyDescent="0.2">
      <c r="A17" s="55">
        <v>16</v>
      </c>
      <c r="B17" s="50">
        <v>3708683</v>
      </c>
      <c r="C17" s="50" t="s">
        <v>86</v>
      </c>
      <c r="D17" s="50" t="s">
        <v>145</v>
      </c>
      <c r="E17" s="50" t="s">
        <v>146</v>
      </c>
      <c r="F17" s="50" t="s">
        <v>147</v>
      </c>
      <c r="G17" s="50">
        <v>1</v>
      </c>
      <c r="H17" s="50" t="s">
        <v>102</v>
      </c>
      <c r="I17" s="52" t="s">
        <v>108</v>
      </c>
      <c r="J17" s="56">
        <v>45572</v>
      </c>
      <c r="K17" s="57">
        <v>110000</v>
      </c>
      <c r="L17" s="50" t="s">
        <v>149</v>
      </c>
      <c r="M17" s="50" t="s">
        <v>85</v>
      </c>
      <c r="N17" s="50" t="s">
        <v>103</v>
      </c>
      <c r="O17" s="50" t="s">
        <v>38</v>
      </c>
      <c r="P17" s="52">
        <v>30384</v>
      </c>
      <c r="Q17" s="50" t="s">
        <v>96</v>
      </c>
      <c r="R17" s="58" t="s">
        <v>125</v>
      </c>
      <c r="S17" s="58">
        <v>3006191926</v>
      </c>
      <c r="T17" s="50" t="s">
        <v>148</v>
      </c>
      <c r="U17" s="59" t="str">
        <f>IF(O17=CURSOS!$D$3,"DIPLOMADO EN ATENCION PRE-HOSPITALARIA",IF(O17=CURSOS!$D$4,"ACOMPAÑAMIENTO Y MANEJO DEL DUELO",IF(O17=CURSOS!$D$5,"ATENCION A VICTIMAS DE ATAQUE CON AGENTES QUIMICOS ",IF(O17=CURSOS!$D$6,"PRIMEROS AUXILIOS ",IF(O17=CURSOS!$D$7,"DIPLOMADO DE UNIDAD DE CUIDADOS INTENSIVOS (UCI)",IF(O17=CURSOS!$D$8,"MODELO DE ATENCION PARA EVENTOS EMERGENTES EN SALUD MENTAL (CODIGO VERDE)",IF(O17=CURSOS!$D$9,"HUMANIZACION EN EL SERVICIO DE LA SALUD Y BUENAS PRACTICAS EN PACIENTE ",IF(O17=CURSOS!$D$10,"CLINICA DE HERIDAS ",IF(O17=CURSOS!$D$11,"TOMA DE CITOLOGIA CERVICO VAGINAL ",IF(O17=CURSOS!$D$12,"SOPORTE CARDIOVASCULAR AVANZADO (ACLS) ",IF(O17=CURSOS!$D$13,"CAMILLERO ",IF(O17=CURSOS!$D$14,"TOMA DE MUESTRAS Y LABORATORIO ",IF(O17=CURSOS!$D$15,"SOPORTE VITAL BASICO (BLS)",IF(O17=CURSOS!$D$16,"ATENCION A VICTIMAS DE VIOLENCIA SEXUAL ",IF(O17=CURSOS!$D$17,"PROGRAMADO AMPLIADO DE INMUNIZACION (PAI - COVID 19)",IF(O17=CURSOS!$D$18,"ATENCION INTEGRAL EN ENFERMEDADES PREVALENTES EN PRIMERA INFANCIA (AIEPI)",IF(O17=CURSOS!$D$19,"ADMINISTRACION DE MEDICAMENTOS, INYECTOLOGIA  Y CANALIZACION ",IF(O17=CURSOS!$D$20,"OPERADOR DE VEHICULOS DE EMERGENCIA (OVE)",IF(O17=CURSOS!$D$21,"INSTITUCIONES AMIGAS DE LA MUJER Y LA INFANCIA (IAMI)",IF(O17=CURSOS!$D$22,"CUIDADO DEL DONANTE DE ORGANOS",IF(O17=CURSOS!$D$23,"ATENCION A VICTIMAS POR VIOLENCIA DE GENERO",IF(O17=CURSOS!$D$24,"IGUALDAD DE GENERO EN LA SALUD",IF(O17=CURSOS!$D$25,"BRIGADA DE EMERGENCIA",IF(O17=CURSOS!$D$26,"MANEJO DEL DOLOR Y CUIDADOS PALIATIVOS",IF(O17=CURSOS!$D$27,"TOMA DE MUESTRAS Y LABORATORIO POCT",IF(O17=CURSOS!$D$28,"IMPLANTE SUBDERMICO DE DISPOSITIVO INTRAUTERINO",IF(O17=CURSOS!$D$29,"SALUD MENTAL",IF(O17=CURSOS!$D$30,"PRIMEROS AUXILIOS PSICOLOGICOS",IF(O17=CURSOS!$D$31,"ATENCION A VICTIMAS POR CONFLICTO ARMADO",IF(O17=CURSOS!$D$32,"MANIPULACION DE ALIMENTOS Y BPM",IF(O17=CURSOS!$D$33,"ATENCION A PERSONAS CON DISCAPACIDAD",IF(O17=CURSOS!$D$34,"CUIDADO INTEGRAL DEL PACIENTE ADULTO",IF(O17=CURSOS!$D$35,"MANEJO DEFENSIVO",IF(O17=CURSOS!$D$36,"SOPORTE CARDIOVASCULAR AVANZADO NEONATAL",IF(O17=CURSOS!$D$37,"SEGURIDAD DEL PACIENTE",IF(O17=CURSOS!$D$38,"MANEJO DE RESIDUOS HOSPITALARIOS"))))))))))))))))))))))))))))))))))))</f>
        <v xml:space="preserve">SOPORTE CARDIOVASCULAR AVANZADO (ACLS) </v>
      </c>
      <c r="V17" s="59" t="str">
        <f t="shared" si="0"/>
        <v>Angela Lorena Guerrero Madroñero</v>
      </c>
      <c r="W17" s="59" t="str">
        <f t="shared" si="1"/>
        <v>Angela Lorena Guerrero Madroñero</v>
      </c>
      <c r="X17" s="59" t="str">
        <f t="shared" si="2"/>
        <v>Angela Lorena Guerrero Madroñero-3708683-ACLS</v>
      </c>
    </row>
    <row r="18" spans="1:24" s="49" customFormat="1" x14ac:dyDescent="0.2">
      <c r="A18" s="55">
        <v>17</v>
      </c>
      <c r="B18" s="50">
        <v>3708683</v>
      </c>
      <c r="C18" s="50" t="s">
        <v>86</v>
      </c>
      <c r="D18" s="50" t="s">
        <v>145</v>
      </c>
      <c r="E18" s="50" t="s">
        <v>146</v>
      </c>
      <c r="F18" s="50" t="s">
        <v>147</v>
      </c>
      <c r="G18" s="50">
        <v>2</v>
      </c>
      <c r="H18" s="50" t="s">
        <v>102</v>
      </c>
      <c r="I18" s="52" t="s">
        <v>108</v>
      </c>
      <c r="J18" s="56">
        <v>45572</v>
      </c>
      <c r="K18" s="57">
        <v>0</v>
      </c>
      <c r="L18" s="50" t="s">
        <v>149</v>
      </c>
      <c r="M18" s="50" t="s">
        <v>85</v>
      </c>
      <c r="N18" s="50" t="s">
        <v>103</v>
      </c>
      <c r="O18" s="50" t="s">
        <v>19</v>
      </c>
      <c r="P18" s="52">
        <v>30384</v>
      </c>
      <c r="Q18" s="50" t="s">
        <v>96</v>
      </c>
      <c r="R18" s="58" t="s">
        <v>125</v>
      </c>
      <c r="S18" s="58">
        <v>3006191926</v>
      </c>
      <c r="T18" s="50" t="s">
        <v>148</v>
      </c>
      <c r="U18" s="59" t="str">
        <f>IF(O18=CURSOS!$D$3,"DIPLOMADO EN ATENCION PRE-HOSPITALARIA",IF(O18=CURSOS!$D$4,"ACOMPAÑAMIENTO Y MANEJO DEL DUELO",IF(O18=CURSOS!$D$5,"ATENCION A VICTIMAS DE ATAQUE CON AGENTES QUIMICOS ",IF(O18=CURSOS!$D$6,"PRIMEROS AUXILIOS ",IF(O18=CURSOS!$D$7,"DIPLOMADO DE UNIDAD DE CUIDADOS INTENSIVOS (UCI)",IF(O18=CURSOS!$D$8,"MODELO DE ATENCION PARA EVENTOS EMERGENTES EN SALUD MENTAL (CODIGO VERDE)",IF(O18=CURSOS!$D$9,"HUMANIZACION EN EL SERVICIO DE LA SALUD Y BUENAS PRACTICAS EN PACIENTE ",IF(O18=CURSOS!$D$10,"CLINICA DE HERIDAS ",IF(O18=CURSOS!$D$11,"TOMA DE CITOLOGIA CERVICO VAGINAL ",IF(O18=CURSOS!$D$12,"SOPORTE CARDIOVASCULAR AVANZADO (ACLS) ",IF(O18=CURSOS!$D$13,"CAMILLERO ",IF(O18=CURSOS!$D$14,"TOMA DE MUESTRAS Y LABORATORIO ",IF(O18=CURSOS!$D$15,"SOPORTE VITAL BASICO (BLS)",IF(O18=CURSOS!$D$16,"ATENCION A VICTIMAS DE VIOLENCIA SEXUAL ",IF(O18=CURSOS!$D$17,"PROGRAMADO AMPLIADO DE INMUNIZACION (PAI - COVID 19)",IF(O18=CURSOS!$D$18,"ATENCION INTEGRAL EN ENFERMEDADES PREVALENTES EN PRIMERA INFANCIA (AIEPI)",IF(O18=CURSOS!$D$19,"ADMINISTRACION DE MEDICAMENTOS, INYECTOLOGIA  Y CANALIZACION ",IF(O18=CURSOS!$D$20,"OPERADOR DE VEHICULOS DE EMERGENCIA (OVE)",IF(O18=CURSOS!$D$21,"INSTITUCIONES AMIGAS DE LA MUJER Y LA INFANCIA (IAMI)",IF(O18=CURSOS!$D$22,"CUIDADO DEL DONANTE DE ORGANOS",IF(O18=CURSOS!$D$23,"ATENCION A VICTIMAS POR VIOLENCIA DE GENERO",IF(O18=CURSOS!$D$24,"IGUALDAD DE GENERO EN LA SALUD",IF(O18=CURSOS!$D$25,"BRIGADA DE EMERGENCIA",IF(O18=CURSOS!$D$26,"MANEJO DEL DOLOR Y CUIDADOS PALIATIVOS",IF(O18=CURSOS!$D$27,"TOMA DE MUESTRAS Y LABORATORIO POCT",IF(O18=CURSOS!$D$28,"IMPLANTE SUBDERMICO DE DISPOSITIVO INTRAUTERINO",IF(O18=CURSOS!$D$29,"SALUD MENTAL",IF(O18=CURSOS!$D$30,"PRIMEROS AUXILIOS PSICOLOGICOS",IF(O18=CURSOS!$D$31,"ATENCION A VICTIMAS POR CONFLICTO ARMADO",IF(O18=CURSOS!$D$32,"MANIPULACION DE ALIMENTOS Y BPM",IF(O18=CURSOS!$D$33,"ATENCION A PERSONAS CON DISCAPACIDAD",IF(O18=CURSOS!$D$34,"CUIDADO INTEGRAL DEL PACIENTE ADULTO",IF(O18=CURSOS!$D$35,"MANEJO DEFENSIVO",IF(O18=CURSOS!$D$36,"SOPORTE CARDIOVASCULAR AVANZADO NEONATAL",IF(O18=CURSOS!$D$37,"SEGURIDAD DEL PACIENTE",IF(O18=CURSOS!$D$38,"MANEJO DE RESIDUOS HOSPITALARIOS"))))))))))))))))))))))))))))))))))))</f>
        <v>SOPORTE VITAL BASICO (BLS)</v>
      </c>
      <c r="V18" s="59" t="str">
        <f t="shared" si="0"/>
        <v>Angela Lorena Guerrero Madroñero</v>
      </c>
      <c r="W18" s="59" t="str">
        <f t="shared" si="1"/>
        <v>Angela Lorena Guerrero Madroñero</v>
      </c>
      <c r="X18" s="59" t="str">
        <f t="shared" si="2"/>
        <v>Angela Lorena Guerrero Madroñero-3708683-BLS</v>
      </c>
    </row>
    <row r="19" spans="1:24" s="49" customFormat="1" x14ac:dyDescent="0.2">
      <c r="A19" s="55">
        <v>18</v>
      </c>
      <c r="B19" s="50">
        <v>3708683</v>
      </c>
      <c r="C19" s="50" t="s">
        <v>86</v>
      </c>
      <c r="D19" s="50" t="s">
        <v>145</v>
      </c>
      <c r="E19" s="50" t="s">
        <v>146</v>
      </c>
      <c r="F19" s="50" t="s">
        <v>147</v>
      </c>
      <c r="G19" s="50">
        <v>3</v>
      </c>
      <c r="H19" s="50" t="s">
        <v>102</v>
      </c>
      <c r="I19" s="52" t="s">
        <v>108</v>
      </c>
      <c r="J19" s="56">
        <v>45572</v>
      </c>
      <c r="K19" s="57">
        <v>30000</v>
      </c>
      <c r="L19" s="50" t="s">
        <v>149</v>
      </c>
      <c r="M19" s="50" t="s">
        <v>85</v>
      </c>
      <c r="N19" s="50" t="s">
        <v>103</v>
      </c>
      <c r="O19" s="50" t="s">
        <v>43</v>
      </c>
      <c r="P19" s="52">
        <v>30384</v>
      </c>
      <c r="Q19" s="50" t="s">
        <v>96</v>
      </c>
      <c r="R19" s="58" t="s">
        <v>125</v>
      </c>
      <c r="S19" s="58">
        <v>3006191926</v>
      </c>
      <c r="T19" s="50" t="s">
        <v>148</v>
      </c>
      <c r="U19" s="59" t="str">
        <f>IF(O19=CURSOS!$D$3,"DIPLOMADO EN ATENCION PRE-HOSPITALARIA",IF(O19=CURSOS!$D$4,"ACOMPAÑAMIENTO Y MANEJO DEL DUELO",IF(O19=CURSOS!$D$5,"ATENCION A VICTIMAS DE ATAQUE CON AGENTES QUIMICOS ",IF(O19=CURSOS!$D$6,"PRIMEROS AUXILIOS ",IF(O19=CURSOS!$D$7,"DIPLOMADO DE UNIDAD DE CUIDADOS INTENSIVOS (UCI)",IF(O19=CURSOS!$D$8,"MODELO DE ATENCION PARA EVENTOS EMERGENTES EN SALUD MENTAL (CODIGO VERDE)",IF(O19=CURSOS!$D$9,"HUMANIZACION EN EL SERVICIO DE LA SALUD Y BUENAS PRACTICAS EN PACIENTE ",IF(O19=CURSOS!$D$10,"CLINICA DE HERIDAS ",IF(O19=CURSOS!$D$11,"TOMA DE CITOLOGIA CERVICO VAGINAL ",IF(O19=CURSOS!$D$12,"SOPORTE CARDIOVASCULAR AVANZADO (ACLS) ",IF(O19=CURSOS!$D$13,"CAMILLERO ",IF(O19=CURSOS!$D$14,"TOMA DE MUESTRAS Y LABORATORIO ",IF(O19=CURSOS!$D$15,"SOPORTE VITAL BASICO (BLS)",IF(O19=CURSOS!$D$16,"ATENCION A VICTIMAS DE VIOLENCIA SEXUAL ",IF(O19=CURSOS!$D$17,"PROGRAMADO AMPLIADO DE INMUNIZACION (PAI - COVID 19)",IF(O19=CURSOS!$D$18,"ATENCION INTEGRAL EN ENFERMEDADES PREVALENTES EN PRIMERA INFANCIA (AIEPI)",IF(O19=CURSOS!$D$19,"ADMINISTRACION DE MEDICAMENTOS, INYECTOLOGIA  Y CANALIZACION ",IF(O19=CURSOS!$D$20,"OPERADOR DE VEHICULOS DE EMERGENCIA (OVE)",IF(O19=CURSOS!$D$21,"INSTITUCIONES AMIGAS DE LA MUJER Y LA INFANCIA (IAMI)",IF(O19=CURSOS!$D$22,"CUIDADO DEL DONANTE DE ORGANOS",IF(O19=CURSOS!$D$23,"ATENCION A VICTIMAS POR VIOLENCIA DE GENERO",IF(O19=CURSOS!$D$24,"IGUALDAD DE GENERO EN LA SALUD",IF(O19=CURSOS!$D$25,"BRIGADA DE EMERGENCIA",IF(O19=CURSOS!$D$26,"MANEJO DEL DOLOR Y CUIDADOS PALIATIVOS",IF(O19=CURSOS!$D$27,"TOMA DE MUESTRAS Y LABORATORIO POCT",IF(O19=CURSOS!$D$28,"IMPLANTE SUBDERMICO DE DISPOSITIVO INTRAUTERINO",IF(O19=CURSOS!$D$29,"SALUD MENTAL",IF(O19=CURSOS!$D$30,"PRIMEROS AUXILIOS PSICOLOGICOS",IF(O19=CURSOS!$D$31,"ATENCION A VICTIMAS POR CONFLICTO ARMADO",IF(O19=CURSOS!$D$32,"MANIPULACION DE ALIMENTOS Y BPM",IF(O19=CURSOS!$D$33,"ATENCION A PERSONAS CON DISCAPACIDAD",IF(O19=CURSOS!$D$34,"CUIDADO INTEGRAL DEL PACIENTE ADULTO",IF(O19=CURSOS!$D$35,"MANEJO DEFENSIVO",IF(O19=CURSOS!$D$36,"SOPORTE CARDIOVASCULAR AVANZADO NEONATAL",IF(O19=CURSOS!$D$37,"SEGURIDAD DEL PACIENTE",IF(O19=CURSOS!$D$38,"MANEJO DE RESIDUOS HOSPITALARIOS"))))))))))))))))))))))))))))))))))))</f>
        <v xml:space="preserve">ATENCION A VICTIMAS DE VIOLENCIA SEXUAL </v>
      </c>
      <c r="V19" s="59" t="str">
        <f t="shared" si="0"/>
        <v>Angela Lorena Guerrero Madroñero</v>
      </c>
      <c r="W19" s="59" t="str">
        <f t="shared" si="1"/>
        <v>Angela Lorena Guerrero Madroñero</v>
      </c>
      <c r="X19" s="59" t="str">
        <f t="shared" si="2"/>
        <v>Angela Lorena Guerrero Madroñero-3708683-VIOLENCIA SEXUAL</v>
      </c>
    </row>
    <row r="20" spans="1:24" s="49" customFormat="1" x14ac:dyDescent="0.2">
      <c r="A20" s="55">
        <v>19</v>
      </c>
      <c r="B20" s="50">
        <v>3708683</v>
      </c>
      <c r="C20" s="50" t="s">
        <v>86</v>
      </c>
      <c r="D20" s="50" t="s">
        <v>145</v>
      </c>
      <c r="E20" s="50" t="s">
        <v>146</v>
      </c>
      <c r="F20" s="50" t="s">
        <v>147</v>
      </c>
      <c r="G20" s="50">
        <v>30</v>
      </c>
      <c r="H20" s="50" t="s">
        <v>119</v>
      </c>
      <c r="I20" s="52" t="s">
        <v>108</v>
      </c>
      <c r="J20" s="56">
        <v>45572</v>
      </c>
      <c r="K20" s="57">
        <v>30000</v>
      </c>
      <c r="L20" s="50" t="s">
        <v>149</v>
      </c>
      <c r="M20" s="50" t="s">
        <v>85</v>
      </c>
      <c r="N20" s="50" t="s">
        <v>103</v>
      </c>
      <c r="O20" s="50" t="s">
        <v>25</v>
      </c>
      <c r="P20" s="52">
        <v>30384</v>
      </c>
      <c r="Q20" s="50" t="s">
        <v>96</v>
      </c>
      <c r="R20" s="58" t="s">
        <v>125</v>
      </c>
      <c r="S20" s="58">
        <v>3006191926</v>
      </c>
      <c r="T20" s="50" t="s">
        <v>148</v>
      </c>
      <c r="U20" s="59" t="str">
        <f>IF(O20=CURSOS!$D$3,"DIPLOMADO EN ATENCION PRE-HOSPITALARIA",IF(O20=CURSOS!$D$4,"ACOMPAÑAMIENTO Y MANEJO DEL DUELO",IF(O20=CURSOS!$D$5,"ATENCION A VICTIMAS DE ATAQUE CON AGENTES QUIMICOS ",IF(O20=CURSOS!$D$6,"PRIMEROS AUXILIOS ",IF(O20=CURSOS!$D$7,"DIPLOMADO DE UNIDAD DE CUIDADOS INTENSIVOS (UCI)",IF(O20=CURSOS!$D$8,"MODELO DE ATENCION PARA EVENTOS EMERGENTES EN SALUD MENTAL (CODIGO VERDE)",IF(O20=CURSOS!$D$9,"HUMANIZACION EN EL SERVICIO DE LA SALUD Y BUENAS PRACTICAS EN PACIENTE ",IF(O20=CURSOS!$D$10,"CLINICA DE HERIDAS ",IF(O20=CURSOS!$D$11,"TOMA DE CITOLOGIA CERVICO VAGINAL ",IF(O20=CURSOS!$D$12,"SOPORTE CARDIOVASCULAR AVANZADO (ACLS) ",IF(O20=CURSOS!$D$13,"CAMILLERO ",IF(O20=CURSOS!$D$14,"TOMA DE MUESTRAS Y LABORATORIO ",IF(O20=CURSOS!$D$15,"SOPORTE VITAL BASICO (BLS)",IF(O20=CURSOS!$D$16,"ATENCION A VICTIMAS DE VIOLENCIA SEXUAL ",IF(O20=CURSOS!$D$17,"PROGRAMADO AMPLIADO DE INMUNIZACION (PAI - COVID 19)",IF(O20=CURSOS!$D$18,"ATENCION INTEGRAL EN ENFERMEDADES PREVALENTES EN PRIMERA INFANCIA (AIEPI)",IF(O20=CURSOS!$D$19,"ADMINISTRACION DE MEDICAMENTOS, INYECTOLOGIA  Y CANALIZACION ",IF(O20=CURSOS!$D$20,"OPERADOR DE VEHICULOS DE EMERGENCIA (OVE)",IF(O20=CURSOS!$D$21,"INSTITUCIONES AMIGAS DE LA MUJER Y LA INFANCIA (IAMI)",IF(O20=CURSOS!$D$22,"CUIDADO DEL DONANTE DE ORGANOS",IF(O20=CURSOS!$D$23,"ATENCION A VICTIMAS POR VIOLENCIA DE GENERO",IF(O20=CURSOS!$D$24,"IGUALDAD DE GENERO EN LA SALUD",IF(O20=CURSOS!$D$25,"BRIGADA DE EMERGENCIA",IF(O20=CURSOS!$D$26,"MANEJO DEL DOLOR Y CUIDADOS PALIATIVOS",IF(O20=CURSOS!$D$27,"TOMA DE MUESTRAS Y LABORATORIO POCT",IF(O20=CURSOS!$D$28,"IMPLANTE SUBDERMICO DE DISPOSITIVO INTRAUTERINO",IF(O20=CURSOS!$D$29,"SALUD MENTAL",IF(O20=CURSOS!$D$30,"PRIMEROS AUXILIOS PSICOLOGICOS",IF(O20=CURSOS!$D$31,"ATENCION A VICTIMAS POR CONFLICTO ARMADO",IF(O20=CURSOS!$D$32,"MANIPULACION DE ALIMENTOS Y BPM",IF(O20=CURSOS!$D$33,"ATENCION A PERSONAS CON DISCAPACIDAD",IF(O20=CURSOS!$D$34,"CUIDADO INTEGRAL DEL PACIENTE ADULTO",IF(O20=CURSOS!$D$35,"MANEJO DEFENSIVO",IF(O20=CURSOS!$D$36,"SOPORTE CARDIOVASCULAR AVANZADO NEONATAL",IF(O20=CURSOS!$D$37,"SEGURIDAD DEL PACIENTE",IF(O20=CURSOS!$D$38,"MANEJO DE RESIDUOS HOSPITALARIOS"))))))))))))))))))))))))))))))))))))</f>
        <v xml:space="preserve">ATENCION A VICTIMAS DE ATAQUE CON AGENTES QUIMICOS </v>
      </c>
      <c r="V20" s="59" t="str">
        <f t="shared" si="0"/>
        <v>Angela Lorena Guerrero Madroñero</v>
      </c>
      <c r="W20" s="59" t="str">
        <f t="shared" si="1"/>
        <v>Angela Lorena Guerrero Madroñero</v>
      </c>
      <c r="X20" s="59" t="str">
        <f t="shared" si="2"/>
        <v>Angela Lorena Guerrero Madroñero-3708683-QUIMICOS</v>
      </c>
    </row>
    <row r="21" spans="1:24" s="49" customFormat="1" x14ac:dyDescent="0.2">
      <c r="A21" s="55">
        <v>20</v>
      </c>
      <c r="B21" s="50">
        <v>3708683</v>
      </c>
      <c r="C21" s="50" t="s">
        <v>86</v>
      </c>
      <c r="D21" s="50" t="s">
        <v>145</v>
      </c>
      <c r="E21" s="50" t="s">
        <v>146</v>
      </c>
      <c r="F21" s="50" t="s">
        <v>147</v>
      </c>
      <c r="G21" s="50">
        <v>4</v>
      </c>
      <c r="H21" s="50" t="s">
        <v>102</v>
      </c>
      <c r="I21" s="52" t="s">
        <v>108</v>
      </c>
      <c r="J21" s="56">
        <v>45572</v>
      </c>
      <c r="K21" s="57">
        <v>30000</v>
      </c>
      <c r="L21" s="50" t="s">
        <v>149</v>
      </c>
      <c r="M21" s="50" t="s">
        <v>85</v>
      </c>
      <c r="N21" s="50" t="s">
        <v>103</v>
      </c>
      <c r="O21" s="50" t="s">
        <v>33</v>
      </c>
      <c r="P21" s="52">
        <v>30384</v>
      </c>
      <c r="Q21" s="50" t="s">
        <v>96</v>
      </c>
      <c r="R21" s="58" t="s">
        <v>125</v>
      </c>
      <c r="S21" s="58">
        <v>3006191926</v>
      </c>
      <c r="T21" s="50" t="s">
        <v>148</v>
      </c>
      <c r="U21" s="59" t="str">
        <f>IF(O21=CURSOS!$D$3,"DIPLOMADO EN ATENCION PRE-HOSPITALARIA",IF(O21=CURSOS!$D$4,"ACOMPAÑAMIENTO Y MANEJO DEL DUELO",IF(O21=CURSOS!$D$5,"ATENCION A VICTIMAS DE ATAQUE CON AGENTES QUIMICOS ",IF(O21=CURSOS!$D$6,"PRIMEROS AUXILIOS ",IF(O21=CURSOS!$D$7,"DIPLOMADO DE UNIDAD DE CUIDADOS INTENSIVOS (UCI)",IF(O21=CURSOS!$D$8,"MODELO DE ATENCION PARA EVENTOS EMERGENTES EN SALUD MENTAL (CODIGO VERDE)",IF(O21=CURSOS!$D$9,"HUMANIZACION EN EL SERVICIO DE LA SALUD Y BUENAS PRACTICAS EN PACIENTE ",IF(O21=CURSOS!$D$10,"CLINICA DE HERIDAS ",IF(O21=CURSOS!$D$11,"TOMA DE CITOLOGIA CERVICO VAGINAL ",IF(O21=CURSOS!$D$12,"SOPORTE CARDIOVASCULAR AVANZADO (ACLS) ",IF(O21=CURSOS!$D$13,"CAMILLERO ",IF(O21=CURSOS!$D$14,"TOMA DE MUESTRAS Y LABORATORIO ",IF(O21=CURSOS!$D$15,"SOPORTE VITAL BASICO (BLS)",IF(O21=CURSOS!$D$16,"ATENCION A VICTIMAS DE VIOLENCIA SEXUAL ",IF(O21=CURSOS!$D$17,"PROGRAMADO AMPLIADO DE INMUNIZACION (PAI - COVID 19)",IF(O21=CURSOS!$D$18,"ATENCION INTEGRAL EN ENFERMEDADES PREVALENTES EN PRIMERA INFANCIA (AIEPI)",IF(O21=CURSOS!$D$19,"ADMINISTRACION DE MEDICAMENTOS, INYECTOLOGIA  Y CANALIZACION ",IF(O21=CURSOS!$D$20,"OPERADOR DE VEHICULOS DE EMERGENCIA (OVE)",IF(O21=CURSOS!$D$21,"INSTITUCIONES AMIGAS DE LA MUJER Y LA INFANCIA (IAMI)",IF(O21=CURSOS!$D$22,"CUIDADO DEL DONANTE DE ORGANOS",IF(O21=CURSOS!$D$23,"ATENCION A VICTIMAS POR VIOLENCIA DE GENERO",IF(O21=CURSOS!$D$24,"IGUALDAD DE GENERO EN LA SALUD",IF(O21=CURSOS!$D$25,"BRIGADA DE EMERGENCIA",IF(O21=CURSOS!$D$26,"MANEJO DEL DOLOR Y CUIDADOS PALIATIVOS",IF(O21=CURSOS!$D$27,"TOMA DE MUESTRAS Y LABORATORIO POCT",IF(O21=CURSOS!$D$28,"IMPLANTE SUBDERMICO DE DISPOSITIVO INTRAUTERINO",IF(O21=CURSOS!$D$29,"SALUD MENTAL",IF(O21=CURSOS!$D$30,"PRIMEROS AUXILIOS PSICOLOGICOS",IF(O21=CURSOS!$D$31,"ATENCION A VICTIMAS POR CONFLICTO ARMADO",IF(O21=CURSOS!$D$32,"MANIPULACION DE ALIMENTOS Y BPM",IF(O21=CURSOS!$D$33,"ATENCION A PERSONAS CON DISCAPACIDAD",IF(O21=CURSOS!$D$34,"CUIDADO INTEGRAL DEL PACIENTE ADULTO",IF(O21=CURSOS!$D$35,"MANEJO DEFENSIVO",IF(O21=CURSOS!$D$36,"SOPORTE CARDIOVASCULAR AVANZADO NEONATAL",IF(O21=CURSOS!$D$37,"SEGURIDAD DEL PACIENTE",IF(O21=CURSOS!$D$38,"MANEJO DE RESIDUOS HOSPITALARIOS"))))))))))))))))))))))))))))))))))))</f>
        <v xml:space="preserve">HUMANIZACION EN EL SERVICIO DE LA SALUD Y BUENAS PRACTICAS EN PACIENTE </v>
      </c>
      <c r="V21" s="59" t="str">
        <f t="shared" si="0"/>
        <v>Angela Lorena Guerrero Madroñero</v>
      </c>
      <c r="W21" s="59" t="str">
        <f t="shared" si="1"/>
        <v>Angela Lorena Guerrero Madroñero</v>
      </c>
      <c r="X21" s="59" t="str">
        <f t="shared" si="2"/>
        <v>Angela Lorena Guerrero Madroñero-3708683-HUMANIZACION</v>
      </c>
    </row>
    <row r="22" spans="1:24" s="49" customFormat="1" x14ac:dyDescent="0.2">
      <c r="A22" s="55">
        <v>21</v>
      </c>
      <c r="B22" s="50">
        <v>3708683</v>
      </c>
      <c r="C22" s="50" t="s">
        <v>86</v>
      </c>
      <c r="D22" s="50" t="s">
        <v>145</v>
      </c>
      <c r="E22" s="50" t="s">
        <v>146</v>
      </c>
      <c r="F22" s="50" t="s">
        <v>147</v>
      </c>
      <c r="G22" s="50">
        <v>5</v>
      </c>
      <c r="H22" s="50" t="s">
        <v>102</v>
      </c>
      <c r="I22" s="52" t="s">
        <v>108</v>
      </c>
      <c r="J22" s="56">
        <v>45572</v>
      </c>
      <c r="K22" s="57">
        <v>30000</v>
      </c>
      <c r="L22" s="50" t="s">
        <v>149</v>
      </c>
      <c r="M22" s="50" t="s">
        <v>85</v>
      </c>
      <c r="N22" s="50" t="s">
        <v>103</v>
      </c>
      <c r="O22" s="50" t="s">
        <v>23</v>
      </c>
      <c r="P22" s="52">
        <v>30384</v>
      </c>
      <c r="Q22" s="50" t="s">
        <v>96</v>
      </c>
      <c r="R22" s="58" t="s">
        <v>125</v>
      </c>
      <c r="S22" s="58">
        <v>3006191926</v>
      </c>
      <c r="T22" s="58" t="s">
        <v>148</v>
      </c>
      <c r="U22" s="59" t="str">
        <f>IF(O22=CURSOS!$D$3,"DIPLOMADO EN ATENCION PRE-HOSPITALARIA",IF(O22=CURSOS!$D$4,"ACOMPAÑAMIENTO Y MANEJO DEL DUELO",IF(O22=CURSOS!$D$5,"ATENCION A VICTIMAS DE ATAQUE CON AGENTES QUIMICOS ",IF(O22=CURSOS!$D$6,"PRIMEROS AUXILIOS ",IF(O22=CURSOS!$D$7,"DIPLOMADO DE UNIDAD DE CUIDADOS INTENSIVOS (UCI)",IF(O22=CURSOS!$D$8,"MODELO DE ATENCION PARA EVENTOS EMERGENTES EN SALUD MENTAL (CODIGO VERDE)",IF(O22=CURSOS!$D$9,"HUMANIZACION EN EL SERVICIO DE LA SALUD Y BUENAS PRACTICAS EN PACIENTE ",IF(O22=CURSOS!$D$10,"CLINICA DE HERIDAS ",IF(O22=CURSOS!$D$11,"TOMA DE CITOLOGIA CERVICO VAGINAL ",IF(O22=CURSOS!$D$12,"SOPORTE CARDIOVASCULAR AVANZADO (ACLS) ",IF(O22=CURSOS!$D$13,"CAMILLERO ",IF(O22=CURSOS!$D$14,"TOMA DE MUESTRAS Y LABORATORIO ",IF(O22=CURSOS!$D$15,"SOPORTE VITAL BASICO (BLS)",IF(O22=CURSOS!$D$16,"ATENCION A VICTIMAS DE VIOLENCIA SEXUAL ",IF(O22=CURSOS!$D$17,"PROGRAMADO AMPLIADO DE INMUNIZACION (PAI - COVID 19)",IF(O22=CURSOS!$D$18,"ATENCION INTEGRAL EN ENFERMEDADES PREVALENTES EN PRIMERA INFANCIA (AIEPI)",IF(O22=CURSOS!$D$19,"ADMINISTRACION DE MEDICAMENTOS, INYECTOLOGIA  Y CANALIZACION ",IF(O22=CURSOS!$D$20,"OPERADOR DE VEHICULOS DE EMERGENCIA (OVE)",IF(O22=CURSOS!$D$21,"INSTITUCIONES AMIGAS DE LA MUJER Y LA INFANCIA (IAMI)",IF(O22=CURSOS!$D$22,"CUIDADO DEL DONANTE DE ORGANOS",IF(O22=CURSOS!$D$23,"ATENCION A VICTIMAS POR VIOLENCIA DE GENERO",IF(O22=CURSOS!$D$24,"IGUALDAD DE GENERO EN LA SALUD",IF(O22=CURSOS!$D$25,"BRIGADA DE EMERGENCIA",IF(O22=CURSOS!$D$26,"MANEJO DEL DOLOR Y CUIDADOS PALIATIVOS",IF(O22=CURSOS!$D$27,"TOMA DE MUESTRAS Y LABORATORIO POCT",IF(O22=CURSOS!$D$28,"IMPLANTE SUBDERMICO DE DISPOSITIVO INTRAUTERINO",IF(O22=CURSOS!$D$29,"SALUD MENTAL",IF(O22=CURSOS!$D$30,"PRIMEROS AUXILIOS PSICOLOGICOS",IF(O22=CURSOS!$D$31,"ATENCION A VICTIMAS POR CONFLICTO ARMADO",IF(O22=CURSOS!$D$32,"MANIPULACION DE ALIMENTOS Y BPM",IF(O22=CURSOS!$D$33,"ATENCION A PERSONAS CON DISCAPACIDAD",IF(O22=CURSOS!$D$34,"CUIDADO INTEGRAL DEL PACIENTE ADULTO",IF(O22=CURSOS!$D$35,"MANEJO DEFENSIVO",IF(O22=CURSOS!$D$36,"SOPORTE CARDIOVASCULAR AVANZADO NEONATAL",IF(O22=CURSOS!$D$37,"SEGURIDAD DEL PACIENTE",IF(O22=CURSOS!$D$38,"MANEJO DE RESIDUOS HOSPITALARIOS"))))))))))))))))))))))))))))))))))))</f>
        <v>ACOMPAÑAMIENTO Y MANEJO DEL DUELO</v>
      </c>
      <c r="V22" s="59" t="str">
        <f t="shared" si="0"/>
        <v>Angela Lorena Guerrero Madroñero</v>
      </c>
      <c r="W22" s="59" t="str">
        <f t="shared" si="1"/>
        <v>Angela Lorena Guerrero Madroñero</v>
      </c>
      <c r="X22" s="59" t="str">
        <f t="shared" si="2"/>
        <v>Angela Lorena Guerrero Madroñero-3708683-DUELO</v>
      </c>
    </row>
    <row r="23" spans="1:24" s="49" customFormat="1" x14ac:dyDescent="0.2">
      <c r="A23" s="55">
        <v>22</v>
      </c>
      <c r="B23" s="50">
        <v>1085257782</v>
      </c>
      <c r="C23" s="50" t="s">
        <v>150</v>
      </c>
      <c r="D23" s="50" t="s">
        <v>151</v>
      </c>
      <c r="E23" s="50" t="s">
        <v>152</v>
      </c>
      <c r="F23" s="50"/>
      <c r="G23" s="50">
        <v>7</v>
      </c>
      <c r="H23" s="50" t="s">
        <v>102</v>
      </c>
      <c r="I23" s="52" t="s">
        <v>108</v>
      </c>
      <c r="J23" s="56">
        <v>45572</v>
      </c>
      <c r="K23" s="57">
        <v>130000</v>
      </c>
      <c r="L23" s="50" t="s">
        <v>149</v>
      </c>
      <c r="M23" s="50" t="s">
        <v>85</v>
      </c>
      <c r="N23" s="50" t="s">
        <v>103</v>
      </c>
      <c r="O23" s="50" t="s">
        <v>38</v>
      </c>
      <c r="P23" s="52">
        <v>31875</v>
      </c>
      <c r="Q23" s="50" t="s">
        <v>97</v>
      </c>
      <c r="R23" s="58" t="s">
        <v>125</v>
      </c>
      <c r="S23" s="50">
        <v>3165322913</v>
      </c>
      <c r="T23" s="50" t="s">
        <v>153</v>
      </c>
      <c r="U23" s="59" t="str">
        <f>IF(O23=CURSOS!$D$3,"DIPLOMADO EN ATENCION PRE-HOSPITALARIA",IF(O23=CURSOS!$D$4,"ACOMPAÑAMIENTO Y MANEJO DEL DUELO",IF(O23=CURSOS!$D$5,"ATENCION A VICTIMAS DE ATAQUE CON AGENTES QUIMICOS ",IF(O23=CURSOS!$D$6,"PRIMEROS AUXILIOS ",IF(O23=CURSOS!$D$7,"DIPLOMADO DE UNIDAD DE CUIDADOS INTENSIVOS (UCI)",IF(O23=CURSOS!$D$8,"MODELO DE ATENCION PARA EVENTOS EMERGENTES EN SALUD MENTAL (CODIGO VERDE)",IF(O23=CURSOS!$D$9,"HUMANIZACION EN EL SERVICIO DE LA SALUD Y BUENAS PRACTICAS EN PACIENTE ",IF(O23=CURSOS!$D$10,"CLINICA DE HERIDAS ",IF(O23=CURSOS!$D$11,"TOMA DE CITOLOGIA CERVICO VAGINAL ",IF(O23=CURSOS!$D$12,"SOPORTE CARDIOVASCULAR AVANZADO (ACLS) ",IF(O23=CURSOS!$D$13,"CAMILLERO ",IF(O23=CURSOS!$D$14,"TOMA DE MUESTRAS Y LABORATORIO ",IF(O23=CURSOS!$D$15,"SOPORTE VITAL BASICO (BLS)",IF(O23=CURSOS!$D$16,"ATENCION A VICTIMAS DE VIOLENCIA SEXUAL ",IF(O23=CURSOS!$D$17,"PROGRAMADO AMPLIADO DE INMUNIZACION (PAI - COVID 19)",IF(O23=CURSOS!$D$18,"ATENCION INTEGRAL EN ENFERMEDADES PREVALENTES EN PRIMERA INFANCIA (AIEPI)",IF(O23=CURSOS!$D$19,"ADMINISTRACION DE MEDICAMENTOS, INYECTOLOGIA  Y CANALIZACION ",IF(O23=CURSOS!$D$20,"OPERADOR DE VEHICULOS DE EMERGENCIA (OVE)",IF(O23=CURSOS!$D$21,"INSTITUCIONES AMIGAS DE LA MUJER Y LA INFANCIA (IAMI)",IF(O23=CURSOS!$D$22,"CUIDADO DEL DONANTE DE ORGANOS",IF(O23=CURSOS!$D$23,"ATENCION A VICTIMAS POR VIOLENCIA DE GENERO",IF(O23=CURSOS!$D$24,"IGUALDAD DE GENERO EN LA SALUD",IF(O23=CURSOS!$D$25,"BRIGADA DE EMERGENCIA",IF(O23=CURSOS!$D$26,"MANEJO DEL DOLOR Y CUIDADOS PALIATIVOS",IF(O23=CURSOS!$D$27,"TOMA DE MUESTRAS Y LABORATORIO POCT",IF(O23=CURSOS!$D$28,"IMPLANTE SUBDERMICO DE DISPOSITIVO INTRAUTERINO",IF(O23=CURSOS!$D$29,"SALUD MENTAL",IF(O23=CURSOS!$D$30,"PRIMEROS AUXILIOS PSICOLOGICOS",IF(O23=CURSOS!$D$31,"ATENCION A VICTIMAS POR CONFLICTO ARMADO",IF(O23=CURSOS!$D$32,"MANIPULACION DE ALIMENTOS Y BPM",IF(O23=CURSOS!$D$33,"ATENCION A PERSONAS CON DISCAPACIDAD",IF(O23=CURSOS!$D$34,"CUIDADO INTEGRAL DEL PACIENTE ADULTO",IF(O23=CURSOS!$D$35,"MANEJO DEFENSIVO",IF(O23=CURSOS!$D$36,"SOPORTE CARDIOVASCULAR AVANZADO NEONATAL",IF(O23=CURSOS!$D$37,"SEGURIDAD DEL PACIENTE",IF(O23=CURSOS!$D$38,"MANEJO DE RESIDUOS HOSPITALARIOS"))))))))))))))))))))))))))))))))))))</f>
        <v xml:space="preserve">SOPORTE CARDIOVASCULAR AVANZADO (ACLS) </v>
      </c>
      <c r="V23" s="59" t="str">
        <f t="shared" si="0"/>
        <v>Yeiner  Delgado Perez</v>
      </c>
      <c r="W23" s="59" t="str">
        <f t="shared" si="1"/>
        <v>Yeiner  Delgado Perez</v>
      </c>
      <c r="X23" s="59" t="str">
        <f t="shared" si="2"/>
        <v>Yeiner  Delgado Perez-1085257782-ACLS</v>
      </c>
    </row>
    <row r="24" spans="1:24" s="49" customFormat="1" x14ac:dyDescent="0.2">
      <c r="A24" s="55">
        <v>23</v>
      </c>
      <c r="B24" s="50">
        <v>1233188280</v>
      </c>
      <c r="C24" s="50" t="s">
        <v>154</v>
      </c>
      <c r="D24" s="50" t="s">
        <v>127</v>
      </c>
      <c r="E24" s="50" t="s">
        <v>155</v>
      </c>
      <c r="F24" s="50" t="s">
        <v>156</v>
      </c>
      <c r="G24" s="50">
        <v>8</v>
      </c>
      <c r="H24" s="50" t="s">
        <v>102</v>
      </c>
      <c r="I24" s="52" t="s">
        <v>111</v>
      </c>
      <c r="J24" s="56">
        <v>45573</v>
      </c>
      <c r="K24" s="57">
        <v>70000</v>
      </c>
      <c r="L24" s="50" t="s">
        <v>157</v>
      </c>
      <c r="M24" s="50" t="s">
        <v>136</v>
      </c>
      <c r="N24" s="50" t="s">
        <v>103</v>
      </c>
      <c r="O24" s="50" t="s">
        <v>19</v>
      </c>
      <c r="P24" s="52">
        <v>35402</v>
      </c>
      <c r="Q24" s="50" t="s">
        <v>96</v>
      </c>
      <c r="R24" s="50" t="s">
        <v>158</v>
      </c>
      <c r="S24" s="50">
        <v>3187016479</v>
      </c>
      <c r="T24" s="50" t="s">
        <v>159</v>
      </c>
      <c r="U24" s="59" t="str">
        <f>IF(O24=CURSOS!$D$3,"DIPLOMADO EN ATENCION PRE-HOSPITALARIA",IF(O24=CURSOS!$D$4,"ACOMPAÑAMIENTO Y MANEJO DEL DUELO",IF(O24=CURSOS!$D$5,"ATENCION A VICTIMAS DE ATAQUE CON AGENTES QUIMICOS ",IF(O24=CURSOS!$D$6,"PRIMEROS AUXILIOS ",IF(O24=CURSOS!$D$7,"DIPLOMADO DE UNIDAD DE CUIDADOS INTENSIVOS (UCI)",IF(O24=CURSOS!$D$8,"MODELO DE ATENCION PARA EVENTOS EMERGENTES EN SALUD MENTAL (CODIGO VERDE)",IF(O24=CURSOS!$D$9,"HUMANIZACION EN EL SERVICIO DE LA SALUD Y BUENAS PRACTICAS EN PACIENTE ",IF(O24=CURSOS!$D$10,"CLINICA DE HERIDAS ",IF(O24=CURSOS!$D$11,"TOMA DE CITOLOGIA CERVICO VAGINAL ",IF(O24=CURSOS!$D$12,"SOPORTE CARDIOVASCULAR AVANZADO (ACLS) ",IF(O24=CURSOS!$D$13,"CAMILLERO ",IF(O24=CURSOS!$D$14,"TOMA DE MUESTRAS Y LABORATORIO ",IF(O24=CURSOS!$D$15,"SOPORTE VITAL BASICO (BLS)",IF(O24=CURSOS!$D$16,"ATENCION A VICTIMAS DE VIOLENCIA SEXUAL ",IF(O24=CURSOS!$D$17,"PROGRAMADO AMPLIADO DE INMUNIZACION (PAI - COVID 19)",IF(O24=CURSOS!$D$18,"ATENCION INTEGRAL EN ENFERMEDADES PREVALENTES EN PRIMERA INFANCIA (AIEPI)",IF(O24=CURSOS!$D$19,"ADMINISTRACION DE MEDICAMENTOS, INYECTOLOGIA  Y CANALIZACION ",IF(O24=CURSOS!$D$20,"OPERADOR DE VEHICULOS DE EMERGENCIA (OVE)",IF(O24=CURSOS!$D$21,"INSTITUCIONES AMIGAS DE LA MUJER Y LA INFANCIA (IAMI)",IF(O24=CURSOS!$D$22,"CUIDADO DEL DONANTE DE ORGANOS",IF(O24=CURSOS!$D$23,"ATENCION A VICTIMAS POR VIOLENCIA DE GENERO",IF(O24=CURSOS!$D$24,"IGUALDAD DE GENERO EN LA SALUD",IF(O24=CURSOS!$D$25,"BRIGADA DE EMERGENCIA",IF(O24=CURSOS!$D$26,"MANEJO DEL DOLOR Y CUIDADOS PALIATIVOS",IF(O24=CURSOS!$D$27,"TOMA DE MUESTRAS Y LABORATORIO POCT",IF(O24=CURSOS!$D$28,"IMPLANTE SUBDERMICO DE DISPOSITIVO INTRAUTERINO",IF(O24=CURSOS!$D$29,"SALUD MENTAL",IF(O24=CURSOS!$D$30,"PRIMEROS AUXILIOS PSICOLOGICOS",IF(O24=CURSOS!$D$31,"ATENCION A VICTIMAS POR CONFLICTO ARMADO",IF(O24=CURSOS!$D$32,"MANIPULACION DE ALIMENTOS Y BPM",IF(O24=CURSOS!$D$33,"ATENCION A PERSONAS CON DISCAPACIDAD",IF(O24=CURSOS!$D$34,"CUIDADO INTEGRAL DEL PACIENTE ADULTO",IF(O24=CURSOS!$D$35,"MANEJO DEFENSIVO",IF(O24=CURSOS!$D$36,"SOPORTE CARDIOVASCULAR AVANZADO NEONATAL",IF(O24=CURSOS!$D$37,"SEGURIDAD DEL PACIENTE",IF(O24=CURSOS!$D$38,"MANEJO DE RESIDUOS HOSPITALARIOS"))))))))))))))))))))))))))))))))))))</f>
        <v>SOPORTE VITAL BASICO (BLS)</v>
      </c>
      <c r="V24" s="59" t="str">
        <f t="shared" si="0"/>
        <v>Carol Viviana Ocaña Chavez</v>
      </c>
      <c r="W24" s="59" t="str">
        <f t="shared" si="1"/>
        <v>Carol Viviana Ocaña Chavez</v>
      </c>
      <c r="X24" s="59" t="str">
        <f t="shared" si="2"/>
        <v>Carol Viviana Ocaña Chavez-1233188280-BLS</v>
      </c>
    </row>
    <row r="25" spans="1:24" x14ac:dyDescent="0.2">
      <c r="A25" s="55">
        <v>24</v>
      </c>
      <c r="B25" s="50">
        <v>37085403</v>
      </c>
      <c r="C25" s="50" t="s">
        <v>160</v>
      </c>
      <c r="D25" s="50" t="s">
        <v>121</v>
      </c>
      <c r="E25" s="50" t="s">
        <v>147</v>
      </c>
      <c r="F25" s="50"/>
      <c r="G25" s="50">
        <v>9</v>
      </c>
      <c r="H25" s="50" t="s">
        <v>102</v>
      </c>
      <c r="I25" s="52" t="s">
        <v>108</v>
      </c>
      <c r="J25" s="56">
        <v>45574</v>
      </c>
      <c r="K25" s="57">
        <v>40000</v>
      </c>
      <c r="L25" s="50" t="s">
        <v>139</v>
      </c>
      <c r="M25" s="50" t="s">
        <v>85</v>
      </c>
      <c r="N25" s="50" t="s">
        <v>103</v>
      </c>
      <c r="O25" s="50" t="s">
        <v>19</v>
      </c>
      <c r="P25" s="52"/>
      <c r="Q25" s="50" t="s">
        <v>96</v>
      </c>
      <c r="R25" s="50" t="s">
        <v>162</v>
      </c>
      <c r="S25" s="50">
        <v>3206143375</v>
      </c>
      <c r="T25" s="50" t="s">
        <v>161</v>
      </c>
      <c r="U25" s="59" t="str">
        <f>IF(O25=CURSOS!$D$3,"DIPLOMADO EN ATENCION PRE-HOSPITALARIA",IF(O25=CURSOS!$D$4,"ACOMPAÑAMIENTO Y MANEJO DEL DUELO",IF(O25=CURSOS!$D$5,"ATENCION A VICTIMAS DE ATAQUE CON AGENTES QUIMICOS ",IF(O25=CURSOS!$D$6,"PRIMEROS AUXILIOS ",IF(O25=CURSOS!$D$7,"DIPLOMADO DE UNIDAD DE CUIDADOS INTENSIVOS (UCI)",IF(O25=CURSOS!$D$8,"MODELO DE ATENCION PARA EVENTOS EMERGENTES EN SALUD MENTAL (CODIGO VERDE)",IF(O25=CURSOS!$D$9,"HUMANIZACION EN EL SERVICIO DE LA SALUD Y BUENAS PRACTICAS EN PACIENTE ",IF(O25=CURSOS!$D$10,"CLINICA DE HERIDAS ",IF(O25=CURSOS!$D$11,"TOMA DE CITOLOGIA CERVICO VAGINAL ",IF(O25=CURSOS!$D$12,"SOPORTE CARDIOVASCULAR AVANZADO (ACLS) ",IF(O25=CURSOS!$D$13,"CAMILLERO ",IF(O25=CURSOS!$D$14,"TOMA DE MUESTRAS Y LABORATORIO ",IF(O25=CURSOS!$D$15,"SOPORTE VITAL BASICO (BLS)",IF(O25=CURSOS!$D$16,"ATENCION A VICTIMAS DE VIOLENCIA SEXUAL ",IF(O25=CURSOS!$D$17,"PROGRAMADO AMPLIADO DE INMUNIZACION (PAI - COVID 19)",IF(O25=CURSOS!$D$18,"ATENCION INTEGRAL EN ENFERMEDADES PREVALENTES EN PRIMERA INFANCIA (AIEPI)",IF(O25=CURSOS!$D$19,"ADMINISTRACION DE MEDICAMENTOS, INYECTOLOGIA  Y CANALIZACION ",IF(O25=CURSOS!$D$20,"OPERADOR DE VEHICULOS DE EMERGENCIA (OVE)",IF(O25=CURSOS!$D$21,"INSTITUCIONES AMIGAS DE LA MUJER Y LA INFANCIA (IAMI)",IF(O25=CURSOS!$D$22,"CUIDADO DEL DONANTE DE ORGANOS",IF(O25=CURSOS!$D$23,"ATENCION A VICTIMAS POR VIOLENCIA DE GENERO",IF(O25=CURSOS!$D$24,"IGUALDAD DE GENERO EN LA SALUD",IF(O25=CURSOS!$D$25,"BRIGADA DE EMERGENCIA",IF(O25=CURSOS!$D$26,"MANEJO DEL DOLOR Y CUIDADOS PALIATIVOS",IF(O25=CURSOS!$D$27,"TOMA DE MUESTRAS Y LABORATORIO POCT",IF(O25=CURSOS!$D$28,"IMPLANTE SUBDERMICO DE DISPOSITIVO INTRAUTERINO",IF(O25=CURSOS!$D$29,"SALUD MENTAL",IF(O25=CURSOS!$D$30,"PRIMEROS AUXILIOS PSICOLOGICOS",IF(O25=CURSOS!$D$31,"ATENCION A VICTIMAS POR CONFLICTO ARMADO",IF(O25=CURSOS!$D$32,"MANIPULACION DE ALIMENTOS Y BPM",IF(O25=CURSOS!$D$33,"ATENCION A PERSONAS CON DISCAPACIDAD",IF(O25=CURSOS!$D$34,"CUIDADO INTEGRAL DEL PACIENTE ADULTO",IF(O25=CURSOS!$D$35,"MANEJO DEFENSIVO",IF(O25=CURSOS!$D$36,"SOPORTE CARDIOVASCULAR AVANZADO NEONATAL",IF(O25=CURSOS!$D$37,"SEGURIDAD DEL PACIENTE",IF(O25=CURSOS!$D$38,"MANEJO DE RESIDUOS HOSPITALARIOS"))))))))))))))))))))))))))))))))))))</f>
        <v>SOPORTE VITAL BASICO (BLS)</v>
      </c>
      <c r="V25" s="59" t="str">
        <f t="shared" si="0"/>
        <v>Lorena  Obando Ordoñez</v>
      </c>
      <c r="W25" s="59" t="str">
        <f t="shared" si="1"/>
        <v>Lorena  Obando Ordoñez</v>
      </c>
      <c r="X25" s="59" t="str">
        <f t="shared" si="2"/>
        <v>Lorena  Obando Ordoñez-37085403-BLS</v>
      </c>
    </row>
    <row r="26" spans="1:24" s="49" customFormat="1" x14ac:dyDescent="0.2">
      <c r="A26" s="55">
        <v>25</v>
      </c>
      <c r="B26" s="50">
        <v>1086139687</v>
      </c>
      <c r="C26" s="50" t="s">
        <v>163</v>
      </c>
      <c r="D26" s="50" t="s">
        <v>164</v>
      </c>
      <c r="E26" s="50" t="s">
        <v>146</v>
      </c>
      <c r="F26" s="50" t="s">
        <v>165</v>
      </c>
      <c r="G26" s="50">
        <v>9</v>
      </c>
      <c r="H26" s="50" t="s">
        <v>102</v>
      </c>
      <c r="I26" s="52" t="s">
        <v>108</v>
      </c>
      <c r="J26" s="56">
        <v>45574</v>
      </c>
      <c r="K26" s="57">
        <v>30000</v>
      </c>
      <c r="L26" s="50" t="s">
        <v>139</v>
      </c>
      <c r="M26" s="50" t="s">
        <v>136</v>
      </c>
      <c r="N26" s="50" t="s">
        <v>103</v>
      </c>
      <c r="O26" s="50" t="s">
        <v>43</v>
      </c>
      <c r="P26" s="56">
        <v>35825</v>
      </c>
      <c r="Q26" s="50" t="s">
        <v>96</v>
      </c>
      <c r="R26" s="50" t="s">
        <v>116</v>
      </c>
      <c r="S26" s="50">
        <v>3224010332</v>
      </c>
      <c r="T26" s="50" t="s">
        <v>166</v>
      </c>
      <c r="U26" s="59" t="str">
        <f>IF(O26=CURSOS!$D$3,"DIPLOMADO EN ATENCION PRE-HOSPITALARIA",IF(O26=CURSOS!$D$4,"ACOMPAÑAMIENTO Y MANEJO DEL DUELO",IF(O26=CURSOS!$D$5,"ATENCION A VICTIMAS DE ATAQUE CON AGENTES QUIMICOS ",IF(O26=CURSOS!$D$6,"PRIMEROS AUXILIOS ",IF(O26=CURSOS!$D$7,"DIPLOMADO DE UNIDAD DE CUIDADOS INTENSIVOS (UCI)",IF(O26=CURSOS!$D$8,"MODELO DE ATENCION PARA EVENTOS EMERGENTES EN SALUD MENTAL (CODIGO VERDE)",IF(O26=CURSOS!$D$9,"HUMANIZACION EN EL SERVICIO DE LA SALUD Y BUENAS PRACTICAS EN PACIENTE ",IF(O26=CURSOS!$D$10,"CLINICA DE HERIDAS ",IF(O26=CURSOS!$D$11,"TOMA DE CITOLOGIA CERVICO VAGINAL ",IF(O26=CURSOS!$D$12,"SOPORTE CARDIOVASCULAR AVANZADO (ACLS) ",IF(O26=CURSOS!$D$13,"CAMILLERO ",IF(O26=CURSOS!$D$14,"TOMA DE MUESTRAS Y LABORATORIO ",IF(O26=CURSOS!$D$15,"SOPORTE VITAL BASICO (BLS)",IF(O26=CURSOS!$D$16,"ATENCION A VICTIMAS DE VIOLENCIA SEXUAL ",IF(O26=CURSOS!$D$17,"PROGRAMADO AMPLIADO DE INMUNIZACION (PAI - COVID 19)",IF(O26=CURSOS!$D$18,"ATENCION INTEGRAL EN ENFERMEDADES PREVALENTES EN PRIMERA INFANCIA (AIEPI)",IF(O26=CURSOS!$D$19,"ADMINISTRACION DE MEDICAMENTOS, INYECTOLOGIA  Y CANALIZACION ",IF(O26=CURSOS!$D$20,"OPERADOR DE VEHICULOS DE EMERGENCIA (OVE)",IF(O26=CURSOS!$D$21,"INSTITUCIONES AMIGAS DE LA MUJER Y LA INFANCIA (IAMI)",IF(O26=CURSOS!$D$22,"CUIDADO DEL DONANTE DE ORGANOS",IF(O26=CURSOS!$D$23,"ATENCION A VICTIMAS POR VIOLENCIA DE GENERO",IF(O26=CURSOS!$D$24,"IGUALDAD DE GENERO EN LA SALUD",IF(O26=CURSOS!$D$25,"BRIGADA DE EMERGENCIA",IF(O26=CURSOS!$D$26,"MANEJO DEL DOLOR Y CUIDADOS PALIATIVOS",IF(O26=CURSOS!$D$27,"TOMA DE MUESTRAS Y LABORATORIO POCT",IF(O26=CURSOS!$D$28,"IMPLANTE SUBDERMICO DE DISPOSITIVO INTRAUTERINO",IF(O26=CURSOS!$D$29,"SALUD MENTAL",IF(O26=CURSOS!$D$30,"PRIMEROS AUXILIOS PSICOLOGICOS",IF(O26=CURSOS!$D$31,"ATENCION A VICTIMAS POR CONFLICTO ARMADO",IF(O26=CURSOS!$D$32,"MANIPULACION DE ALIMENTOS Y BPM",IF(O26=CURSOS!$D$33,"ATENCION A PERSONAS CON DISCAPACIDAD",IF(O26=CURSOS!$D$34,"CUIDADO INTEGRAL DEL PACIENTE ADULTO",IF(O26=CURSOS!$D$35,"MANEJO DEFENSIVO",IF(O26=CURSOS!$D$36,"SOPORTE CARDIOVASCULAR AVANZADO NEONATAL",IF(O26=CURSOS!$D$37,"SEGURIDAD DEL PACIENTE",IF(O26=CURSOS!$D$38,"MANEJO DE RESIDUOS HOSPITALARIOS"))))))))))))))))))))))))))))))))))))</f>
        <v xml:space="preserve">ATENCION A VICTIMAS DE VIOLENCIA SEXUAL </v>
      </c>
      <c r="V26" s="59" t="str">
        <f t="shared" si="0"/>
        <v>Angela Sofia Bolaños Bravo</v>
      </c>
      <c r="W26" s="59" t="str">
        <f t="shared" si="1"/>
        <v>Angela Sofia Bolaños Bravo</v>
      </c>
      <c r="X26" s="59" t="str">
        <f t="shared" si="2"/>
        <v>Angela Sofia Bolaños Bravo-1086139687-VIOLENCIA SEXUAL</v>
      </c>
    </row>
    <row r="27" spans="1:24" s="87" customFormat="1" x14ac:dyDescent="0.2">
      <c r="A27" s="86">
        <v>26</v>
      </c>
      <c r="B27" s="87">
        <v>1004201109</v>
      </c>
      <c r="C27" s="87" t="s">
        <v>167</v>
      </c>
      <c r="D27" s="87" t="s">
        <v>168</v>
      </c>
      <c r="E27" s="87" t="s">
        <v>172</v>
      </c>
      <c r="F27" s="87" t="s">
        <v>169</v>
      </c>
      <c r="G27" s="87">
        <v>9</v>
      </c>
      <c r="H27" s="87" t="s">
        <v>102</v>
      </c>
      <c r="I27" s="88" t="s">
        <v>111</v>
      </c>
      <c r="J27" s="89">
        <v>45574</v>
      </c>
      <c r="K27" s="90">
        <v>70000</v>
      </c>
      <c r="L27" s="87" t="s">
        <v>206</v>
      </c>
      <c r="M27" s="87" t="s">
        <v>136</v>
      </c>
      <c r="N27" s="87" t="s">
        <v>103</v>
      </c>
      <c r="O27" s="87" t="s">
        <v>19</v>
      </c>
      <c r="P27" s="88">
        <v>37488</v>
      </c>
      <c r="Q27" s="87" t="s">
        <v>96</v>
      </c>
      <c r="R27" s="87" t="s">
        <v>170</v>
      </c>
      <c r="S27" s="91">
        <v>3153279994</v>
      </c>
      <c r="T27" s="87" t="s">
        <v>171</v>
      </c>
      <c r="U27" s="87" t="str">
        <f>IF(O27=CURSOS!$D$3,"DIPLOMADO EN ATENCION PRE-HOSPITALARIA",IF(O27=CURSOS!$D$4,"ACOMPAÑAMIENTO Y MANEJO DEL DUELO",IF(O27=CURSOS!$D$5,"ATENCION A VICTIMAS DE ATAQUE CON AGENTES QUIMICOS ",IF(O27=CURSOS!$D$6,"PRIMEROS AUXILIOS ",IF(O27=CURSOS!$D$7,"DIPLOMADO DE UNIDAD DE CUIDADOS INTENSIVOS (UCI)",IF(O27=CURSOS!$D$8,"MODELO DE ATENCION PARA EVENTOS EMERGENTES EN SALUD MENTAL (CODIGO VERDE)",IF(O27=CURSOS!$D$9,"HUMANIZACION EN EL SERVICIO DE LA SALUD Y BUENAS PRACTICAS EN PACIENTE ",IF(O27=CURSOS!$D$10,"CLINICA DE HERIDAS ",IF(O27=CURSOS!$D$11,"TOMA DE CITOLOGIA CERVICO VAGINAL ",IF(O27=CURSOS!$D$12,"SOPORTE CARDIOVASCULAR AVANZADO (ACLS) ",IF(O27=CURSOS!$D$13,"CAMILLERO ",IF(O27=CURSOS!$D$14,"TOMA DE MUESTRAS Y LABORATORIO ",IF(O27=CURSOS!$D$15,"SOPORTE VITAL BASICO (BLS)",IF(O27=CURSOS!$D$16,"ATENCION A VICTIMAS DE VIOLENCIA SEXUAL ",IF(O27=CURSOS!$D$17,"PROGRAMADO AMPLIADO DE INMUNIZACION (PAI - COVID 19)",IF(O27=CURSOS!$D$18,"ATENCION INTEGRAL EN ENFERMEDADES PREVALENTES EN PRIMERA INFANCIA (AIEPI)",IF(O27=CURSOS!$D$19,"ADMINISTRACION DE MEDICAMENTOS, INYECTOLOGIA  Y CANALIZACION ",IF(O27=CURSOS!$D$20,"OPERADOR DE VEHICULOS DE EMERGENCIA (OVE)",IF(O27=CURSOS!$D$21,"INSTITUCIONES AMIGAS DE LA MUJER Y LA INFANCIA (IAMI)",IF(O27=CURSOS!$D$22,"CUIDADO DEL DONANTE DE ORGANOS",IF(O27=CURSOS!$D$23,"ATENCION A VICTIMAS POR VIOLENCIA DE GENERO",IF(O27=CURSOS!$D$24,"IGUALDAD DE GENERO EN LA SALUD",IF(O27=CURSOS!$D$25,"BRIGADA DE EMERGENCIA",IF(O27=CURSOS!$D$26,"MANEJO DEL DOLOR Y CUIDADOS PALIATIVOS",IF(O27=CURSOS!$D$27,"TOMA DE MUESTRAS Y LABORATORIO POCT",IF(O27=CURSOS!$D$28,"IMPLANTE SUBDERMICO DE DISPOSITIVO INTRAUTERINO",IF(O27=CURSOS!$D$29,"SALUD MENTAL",IF(O27=CURSOS!$D$30,"PRIMEROS AUXILIOS PSICOLOGICOS",IF(O27=CURSOS!$D$31,"ATENCION A VICTIMAS POR CONFLICTO ARMADO",IF(O27=CURSOS!$D$32,"MANIPULACION DE ALIMENTOS Y BPM",IF(O27=CURSOS!$D$33,"ATENCION A PERSONAS CON DISCAPACIDAD",IF(O27=CURSOS!$D$34,"CUIDADO INTEGRAL DEL PACIENTE ADULTO",IF(O27=CURSOS!$D$35,"MANEJO DEFENSIVO",IF(O27=CURSOS!$D$36,"SOPORTE CARDIOVASCULAR AVANZADO NEONATAL",IF(O27=CURSOS!$D$37,"SEGURIDAD DEL PACIENTE",IF(O27=CURSOS!$D$38,"MANEJO DE RESIDUOS HOSPITALARIOS"))))))))))))))))))))))))))))))))))))</f>
        <v>SOPORTE VITAL BASICO (BLS)</v>
      </c>
      <c r="V27" s="87" t="str">
        <f t="shared" si="0"/>
        <v>Katerin Julieth Quiñones Castillo</v>
      </c>
      <c r="W27" s="87" t="str">
        <f t="shared" si="1"/>
        <v>Katerin Julieth Quiñones Castillo</v>
      </c>
      <c r="X27" s="87" t="str">
        <f t="shared" si="2"/>
        <v>Katerin Julieth Quiñones Castillo-1004201109-BLS</v>
      </c>
    </row>
    <row r="28" spans="1:24" s="92" customFormat="1" x14ac:dyDescent="0.2">
      <c r="A28" s="86">
        <v>27</v>
      </c>
      <c r="B28" s="87">
        <v>1004201109</v>
      </c>
      <c r="C28" s="87" t="s">
        <v>167</v>
      </c>
      <c r="D28" s="87" t="s">
        <v>168</v>
      </c>
      <c r="E28" s="87" t="s">
        <v>172</v>
      </c>
      <c r="F28" s="87" t="s">
        <v>169</v>
      </c>
      <c r="G28" s="87">
        <v>9</v>
      </c>
      <c r="H28" s="87" t="s">
        <v>102</v>
      </c>
      <c r="I28" s="88" t="s">
        <v>111</v>
      </c>
      <c r="J28" s="89">
        <v>45574</v>
      </c>
      <c r="K28" s="90">
        <v>70000</v>
      </c>
      <c r="L28" s="87" t="s">
        <v>206</v>
      </c>
      <c r="M28" s="87" t="s">
        <v>136</v>
      </c>
      <c r="N28" s="87" t="s">
        <v>103</v>
      </c>
      <c r="O28" s="87" t="s">
        <v>43</v>
      </c>
      <c r="P28" s="88">
        <v>37488</v>
      </c>
      <c r="Q28" s="87" t="s">
        <v>96</v>
      </c>
      <c r="R28" s="87" t="s">
        <v>170</v>
      </c>
      <c r="S28" s="91">
        <v>3153279994</v>
      </c>
      <c r="T28" s="87" t="s">
        <v>171</v>
      </c>
      <c r="U28" s="87" t="str">
        <f>IF(O28=CURSOS!$D$3,"DIPLOMADO EN ATENCION PRE-HOSPITALARIA",IF(O28=CURSOS!$D$4,"ACOMPAÑAMIENTO Y MANEJO DEL DUELO",IF(O28=CURSOS!$D$5,"ATENCION A VICTIMAS DE ATAQUE CON AGENTES QUIMICOS ",IF(O28=CURSOS!$D$6,"PRIMEROS AUXILIOS ",IF(O28=CURSOS!$D$7,"DIPLOMADO DE UNIDAD DE CUIDADOS INTENSIVOS (UCI)",IF(O28=CURSOS!$D$8,"MODELO DE ATENCION PARA EVENTOS EMERGENTES EN SALUD MENTAL (CODIGO VERDE)",IF(O28=CURSOS!$D$9,"HUMANIZACION EN EL SERVICIO DE LA SALUD Y BUENAS PRACTICAS EN PACIENTE ",IF(O28=CURSOS!$D$10,"CLINICA DE HERIDAS ",IF(O28=CURSOS!$D$11,"TOMA DE CITOLOGIA CERVICO VAGINAL ",IF(O28=CURSOS!$D$12,"SOPORTE CARDIOVASCULAR AVANZADO (ACLS) ",IF(O28=CURSOS!$D$13,"CAMILLERO ",IF(O28=CURSOS!$D$14,"TOMA DE MUESTRAS Y LABORATORIO ",IF(O28=CURSOS!$D$15,"SOPORTE VITAL BASICO (BLS)",IF(O28=CURSOS!$D$16,"ATENCION A VICTIMAS DE VIOLENCIA SEXUAL ",IF(O28=CURSOS!$D$17,"PROGRAMADO AMPLIADO DE INMUNIZACION (PAI - COVID 19)",IF(O28=CURSOS!$D$18,"ATENCION INTEGRAL EN ENFERMEDADES PREVALENTES EN PRIMERA INFANCIA (AIEPI)",IF(O28=CURSOS!$D$19,"ADMINISTRACION DE MEDICAMENTOS, INYECTOLOGIA  Y CANALIZACION ",IF(O28=CURSOS!$D$20,"OPERADOR DE VEHICULOS DE EMERGENCIA (OVE)",IF(O28=CURSOS!$D$21,"INSTITUCIONES AMIGAS DE LA MUJER Y LA INFANCIA (IAMI)",IF(O28=CURSOS!$D$22,"CUIDADO DEL DONANTE DE ORGANOS",IF(O28=CURSOS!$D$23,"ATENCION A VICTIMAS POR VIOLENCIA DE GENERO",IF(O28=CURSOS!$D$24,"IGUALDAD DE GENERO EN LA SALUD",IF(O28=CURSOS!$D$25,"BRIGADA DE EMERGENCIA",IF(O28=CURSOS!$D$26,"MANEJO DEL DOLOR Y CUIDADOS PALIATIVOS",IF(O28=CURSOS!$D$27,"TOMA DE MUESTRAS Y LABORATORIO POCT",IF(O28=CURSOS!$D$28,"IMPLANTE SUBDERMICO DE DISPOSITIVO INTRAUTERINO",IF(O28=CURSOS!$D$29,"SALUD MENTAL",IF(O28=CURSOS!$D$30,"PRIMEROS AUXILIOS PSICOLOGICOS",IF(O28=CURSOS!$D$31,"ATENCION A VICTIMAS POR CONFLICTO ARMADO",IF(O28=CURSOS!$D$32,"MANIPULACION DE ALIMENTOS Y BPM",IF(O28=CURSOS!$D$33,"ATENCION A PERSONAS CON DISCAPACIDAD",IF(O28=CURSOS!$D$34,"CUIDADO INTEGRAL DEL PACIENTE ADULTO",IF(O28=CURSOS!$D$35,"MANEJO DEFENSIVO",IF(O28=CURSOS!$D$36,"SOPORTE CARDIOVASCULAR AVANZADO NEONATAL",IF(O28=CURSOS!$D$37,"SEGURIDAD DEL PACIENTE",IF(O28=CURSOS!$D$38,"MANEJO DE RESIDUOS HOSPITALARIOS"))))))))))))))))))))))))))))))))))))</f>
        <v xml:space="preserve">ATENCION A VICTIMAS DE VIOLENCIA SEXUAL </v>
      </c>
      <c r="V28" s="87" t="str">
        <f t="shared" si="0"/>
        <v>Katerin Julieth Quiñones Castillo</v>
      </c>
      <c r="W28" s="87" t="str">
        <f t="shared" si="1"/>
        <v>Katerin Julieth Quiñones Castillo</v>
      </c>
      <c r="X28" s="87" t="str">
        <f t="shared" si="2"/>
        <v>Katerin Julieth Quiñones Castillo-1004201109-VIOLENCIA SEXUAL</v>
      </c>
    </row>
    <row r="29" spans="1:24" s="92" customFormat="1" x14ac:dyDescent="0.2">
      <c r="A29" s="86">
        <v>28</v>
      </c>
      <c r="B29" s="87">
        <v>1004201109</v>
      </c>
      <c r="C29" s="87" t="s">
        <v>167</v>
      </c>
      <c r="D29" s="87" t="s">
        <v>168</v>
      </c>
      <c r="E29" s="87" t="s">
        <v>172</v>
      </c>
      <c r="F29" s="87" t="s">
        <v>169</v>
      </c>
      <c r="G29" s="87">
        <v>10</v>
      </c>
      <c r="H29" s="87" t="s">
        <v>102</v>
      </c>
      <c r="I29" s="88" t="s">
        <v>111</v>
      </c>
      <c r="J29" s="89">
        <v>45574</v>
      </c>
      <c r="K29" s="90">
        <v>70000</v>
      </c>
      <c r="L29" s="87" t="s">
        <v>206</v>
      </c>
      <c r="M29" s="87" t="s">
        <v>136</v>
      </c>
      <c r="N29" s="87" t="s">
        <v>103</v>
      </c>
      <c r="O29" s="87" t="s">
        <v>48</v>
      </c>
      <c r="P29" s="88">
        <v>37488</v>
      </c>
      <c r="Q29" s="87" t="s">
        <v>96</v>
      </c>
      <c r="R29" s="87" t="s">
        <v>170</v>
      </c>
      <c r="S29" s="91">
        <v>3153279994</v>
      </c>
      <c r="T29" s="87" t="s">
        <v>171</v>
      </c>
      <c r="U29" s="87" t="str">
        <f>IF(O29=CURSOS!$D$3,"DIPLOMADO EN ATENCION PRE-HOSPITALARIA",IF(O29=CURSOS!$D$4,"ACOMPAÑAMIENTO Y MANEJO DEL DUELO",IF(O29=CURSOS!$D$5,"ATENCION A VICTIMAS DE ATAQUE CON AGENTES QUIMICOS ",IF(O29=CURSOS!$D$6,"PRIMEROS AUXILIOS ",IF(O29=CURSOS!$D$7,"DIPLOMADO DE UNIDAD DE CUIDADOS INTENSIVOS (UCI)",IF(O29=CURSOS!$D$8,"MODELO DE ATENCION PARA EVENTOS EMERGENTES EN SALUD MENTAL (CODIGO VERDE)",IF(O29=CURSOS!$D$9,"HUMANIZACION EN EL SERVICIO DE LA SALUD Y BUENAS PRACTICAS EN PACIENTE ",IF(O29=CURSOS!$D$10,"CLINICA DE HERIDAS ",IF(O29=CURSOS!$D$11,"TOMA DE CITOLOGIA CERVICO VAGINAL ",IF(O29=CURSOS!$D$12,"SOPORTE CARDIOVASCULAR AVANZADO (ACLS) ",IF(O29=CURSOS!$D$13,"CAMILLERO ",IF(O29=CURSOS!$D$14,"TOMA DE MUESTRAS Y LABORATORIO ",IF(O29=CURSOS!$D$15,"SOPORTE VITAL BASICO (BLS)",IF(O29=CURSOS!$D$16,"ATENCION A VICTIMAS DE VIOLENCIA SEXUAL ",IF(O29=CURSOS!$D$17,"PROGRAMADO AMPLIADO DE INMUNIZACION (PAI - COVID 19)",IF(O29=CURSOS!$D$18,"ATENCION INTEGRAL EN ENFERMEDADES PREVALENTES EN PRIMERA INFANCIA (AIEPI)",IF(O29=CURSOS!$D$19,"ADMINISTRACION DE MEDICAMENTOS, INYECTOLOGIA  Y CANALIZACION ",IF(O29=CURSOS!$D$20,"OPERADOR DE VEHICULOS DE EMERGENCIA (OVE)",IF(O29=CURSOS!$D$21,"INSTITUCIONES AMIGAS DE LA MUJER Y LA INFANCIA (IAMI)",IF(O29=CURSOS!$D$22,"CUIDADO DEL DONANTE DE ORGANOS",IF(O29=CURSOS!$D$23,"ATENCION A VICTIMAS POR VIOLENCIA DE GENERO",IF(O29=CURSOS!$D$24,"IGUALDAD DE GENERO EN LA SALUD",IF(O29=CURSOS!$D$25,"BRIGADA DE EMERGENCIA",IF(O29=CURSOS!$D$26,"MANEJO DEL DOLOR Y CUIDADOS PALIATIVOS",IF(O29=CURSOS!$D$27,"TOMA DE MUESTRAS Y LABORATORIO POCT",IF(O29=CURSOS!$D$28,"IMPLANTE SUBDERMICO DE DISPOSITIVO INTRAUTERINO",IF(O29=CURSOS!$D$29,"SALUD MENTAL",IF(O29=CURSOS!$D$30,"PRIMEROS AUXILIOS PSICOLOGICOS",IF(O29=CURSOS!$D$31,"ATENCION A VICTIMAS POR CONFLICTO ARMADO",IF(O29=CURSOS!$D$32,"MANIPULACION DE ALIMENTOS Y BPM",IF(O29=CURSOS!$D$33,"ATENCION A PERSONAS CON DISCAPACIDAD",IF(O29=CURSOS!$D$34,"CUIDADO INTEGRAL DEL PACIENTE ADULTO",IF(O29=CURSOS!$D$35,"MANEJO DEFENSIVO",IF(O29=CURSOS!$D$36,"SOPORTE CARDIOVASCULAR AVANZADO NEONATAL",IF(O29=CURSOS!$D$37,"SEGURIDAD DEL PACIENTE",IF(O29=CURSOS!$D$38,"MANEJO DE RESIDUOS HOSPITALARIOS"))))))))))))))))))))))))))))))))))))</f>
        <v xml:space="preserve">ADMINISTRACION DE MEDICAMENTOS, INYECTOLOGIA  Y CANALIZACION </v>
      </c>
      <c r="V29" s="87" t="str">
        <f t="shared" si="0"/>
        <v>Katerin Julieth Quiñones Castillo</v>
      </c>
      <c r="W29" s="87" t="str">
        <f t="shared" si="1"/>
        <v>Katerin Julieth Quiñones Castillo</v>
      </c>
      <c r="X29" s="87" t="str">
        <f t="shared" si="2"/>
        <v>Katerin Julieth Quiñones Castillo-1004201109-ADMON DE MEDICAMENTOS</v>
      </c>
    </row>
    <row r="30" spans="1:24" x14ac:dyDescent="0.2">
      <c r="A30" s="55">
        <v>29</v>
      </c>
      <c r="B30" s="50">
        <v>59686960</v>
      </c>
      <c r="C30" s="50" t="s">
        <v>173</v>
      </c>
      <c r="D30" s="50" t="s">
        <v>174</v>
      </c>
      <c r="E30" s="50" t="s">
        <v>175</v>
      </c>
      <c r="F30" s="50" t="s">
        <v>176</v>
      </c>
      <c r="G30" s="50">
        <v>9</v>
      </c>
      <c r="H30" s="50" t="s">
        <v>102</v>
      </c>
      <c r="I30" s="52" t="s">
        <v>111</v>
      </c>
      <c r="J30" s="56">
        <v>45575</v>
      </c>
      <c r="K30" s="57">
        <v>20000</v>
      </c>
      <c r="L30" s="50" t="s">
        <v>139</v>
      </c>
      <c r="M30" s="50" t="s">
        <v>136</v>
      </c>
      <c r="N30" s="50" t="s">
        <v>177</v>
      </c>
      <c r="O30" s="50" t="s">
        <v>33</v>
      </c>
      <c r="P30" s="52"/>
      <c r="Q30" s="50" t="s">
        <v>96</v>
      </c>
      <c r="R30" s="50"/>
      <c r="S30" s="58">
        <v>3156603285</v>
      </c>
      <c r="T30" s="50"/>
      <c r="U30" s="59" t="str">
        <f>IF(O30=CURSOS!$D$3,"DIPLOMADO EN ATENCION PRE-HOSPITALARIA",IF(O30=CURSOS!$D$4,"ACOMPAÑAMIENTO Y MANEJO DEL DUELO",IF(O30=CURSOS!$D$5,"ATENCION A VICTIMAS DE ATAQUE CON AGENTES QUIMICOS ",IF(O30=CURSOS!$D$6,"PRIMEROS AUXILIOS ",IF(O30=CURSOS!$D$7,"DIPLOMADO DE UNIDAD DE CUIDADOS INTENSIVOS (UCI)",IF(O30=CURSOS!$D$8,"MODELO DE ATENCION PARA EVENTOS EMERGENTES EN SALUD MENTAL (CODIGO VERDE)",IF(O30=CURSOS!$D$9,"HUMANIZACION EN EL SERVICIO DE LA SALUD Y BUENAS PRACTICAS EN PACIENTE ",IF(O30=CURSOS!$D$10,"CLINICA DE HERIDAS ",IF(O30=CURSOS!$D$11,"TOMA DE CITOLOGIA CERVICO VAGINAL ",IF(O30=CURSOS!$D$12,"SOPORTE CARDIOVASCULAR AVANZADO (ACLS) ",IF(O30=CURSOS!$D$13,"CAMILLERO ",IF(O30=CURSOS!$D$14,"TOMA DE MUESTRAS Y LABORATORIO ",IF(O30=CURSOS!$D$15,"SOPORTE VITAL BASICO (BLS)",IF(O30=CURSOS!$D$16,"ATENCION A VICTIMAS DE VIOLENCIA SEXUAL ",IF(O30=CURSOS!$D$17,"PROGRAMADO AMPLIADO DE INMUNIZACION (PAI - COVID 19)",IF(O30=CURSOS!$D$18,"ATENCION INTEGRAL EN ENFERMEDADES PREVALENTES EN PRIMERA INFANCIA (AIEPI)",IF(O30=CURSOS!$D$19,"ADMINISTRACION DE MEDICAMENTOS, INYECTOLOGIA  Y CANALIZACION ",IF(O30=CURSOS!$D$20,"OPERADOR DE VEHICULOS DE EMERGENCIA (OVE)",IF(O30=CURSOS!$D$21,"INSTITUCIONES AMIGAS DE LA MUJER Y LA INFANCIA (IAMI)",IF(O30=CURSOS!$D$22,"CUIDADO DEL DONANTE DE ORGANOS",IF(O30=CURSOS!$D$23,"ATENCION A VICTIMAS POR VIOLENCIA DE GENERO",IF(O30=CURSOS!$D$24,"IGUALDAD DE GENERO EN LA SALUD",IF(O30=CURSOS!$D$25,"BRIGADA DE EMERGENCIA",IF(O30=CURSOS!$D$26,"MANEJO DEL DOLOR Y CUIDADOS PALIATIVOS",IF(O30=CURSOS!$D$27,"TOMA DE MUESTRAS Y LABORATORIO POCT",IF(O30=CURSOS!$D$28,"IMPLANTE SUBDERMICO DE DISPOSITIVO INTRAUTERINO",IF(O30=CURSOS!$D$29,"SALUD MENTAL",IF(O30=CURSOS!$D$30,"PRIMEROS AUXILIOS PSICOLOGICOS",IF(O30=CURSOS!$D$31,"ATENCION A VICTIMAS POR CONFLICTO ARMADO",IF(O30=CURSOS!$D$32,"MANIPULACION DE ALIMENTOS Y BPM",IF(O30=CURSOS!$D$33,"ATENCION A PERSONAS CON DISCAPACIDAD",IF(O30=CURSOS!$D$34,"CUIDADO INTEGRAL DEL PACIENTE ADULTO",IF(O30=CURSOS!$D$35,"MANEJO DEFENSIVO",IF(O30=CURSOS!$D$36,"SOPORTE CARDIOVASCULAR AVANZADO NEONATAL",IF(O30=CURSOS!$D$37,"SEGURIDAD DEL PACIENTE",IF(O30=CURSOS!$D$38,"MANEJO DE RESIDUOS HOSPITALARIOS"))))))))))))))))))))))))))))))))))))</f>
        <v xml:space="preserve">HUMANIZACION EN EL SERVICIO DE LA SALUD Y BUENAS PRACTICAS EN PACIENTE </v>
      </c>
      <c r="V30" s="59" t="str">
        <f t="shared" si="0"/>
        <v>Hilary Lisec Garcia Chingal</v>
      </c>
      <c r="W30" s="59" t="str">
        <f t="shared" si="1"/>
        <v>Hilary Lisec Garcia Chingal</v>
      </c>
      <c r="X30" s="59" t="str">
        <f t="shared" si="2"/>
        <v>Hilary Lisec Garcia Chingal-59686960-HUMANIZACION</v>
      </c>
    </row>
    <row r="31" spans="1:24" x14ac:dyDescent="0.2">
      <c r="A31" s="55">
        <v>30</v>
      </c>
      <c r="B31" s="50">
        <v>59686960</v>
      </c>
      <c r="C31" s="50" t="s">
        <v>173</v>
      </c>
      <c r="D31" s="50" t="s">
        <v>174</v>
      </c>
      <c r="E31" s="50" t="s">
        <v>175</v>
      </c>
      <c r="F31" s="50" t="s">
        <v>176</v>
      </c>
      <c r="G31" s="50">
        <v>31</v>
      </c>
      <c r="H31" s="50" t="s">
        <v>119</v>
      </c>
      <c r="I31" s="52" t="s">
        <v>111</v>
      </c>
      <c r="J31" s="56">
        <v>45575</v>
      </c>
      <c r="K31" s="57">
        <v>20000</v>
      </c>
      <c r="L31" s="50" t="s">
        <v>139</v>
      </c>
      <c r="M31" s="50" t="s">
        <v>136</v>
      </c>
      <c r="N31" s="50" t="s">
        <v>177</v>
      </c>
      <c r="O31" s="50" t="s">
        <v>43</v>
      </c>
      <c r="P31" s="52"/>
      <c r="Q31" s="50" t="s">
        <v>96</v>
      </c>
      <c r="R31" s="50"/>
      <c r="S31" s="58">
        <v>3156603285</v>
      </c>
      <c r="T31" s="50"/>
      <c r="U31" s="59" t="str">
        <f>IF(O31=CURSOS!$D$3,"DIPLOMADO EN ATENCION PRE-HOSPITALARIA",IF(O31=CURSOS!$D$4,"ACOMPAÑAMIENTO Y MANEJO DEL DUELO",IF(O31=CURSOS!$D$5,"ATENCION A VICTIMAS DE ATAQUE CON AGENTES QUIMICOS ",IF(O31=CURSOS!$D$6,"PRIMEROS AUXILIOS ",IF(O31=CURSOS!$D$7,"DIPLOMADO DE UNIDAD DE CUIDADOS INTENSIVOS (UCI)",IF(O31=CURSOS!$D$8,"MODELO DE ATENCION PARA EVENTOS EMERGENTES EN SALUD MENTAL (CODIGO VERDE)",IF(O31=CURSOS!$D$9,"HUMANIZACION EN EL SERVICIO DE LA SALUD Y BUENAS PRACTICAS EN PACIENTE ",IF(O31=CURSOS!$D$10,"CLINICA DE HERIDAS ",IF(O31=CURSOS!$D$11,"TOMA DE CITOLOGIA CERVICO VAGINAL ",IF(O31=CURSOS!$D$12,"SOPORTE CARDIOVASCULAR AVANZADO (ACLS) ",IF(O31=CURSOS!$D$13,"CAMILLERO ",IF(O31=CURSOS!$D$14,"TOMA DE MUESTRAS Y LABORATORIO ",IF(O31=CURSOS!$D$15,"SOPORTE VITAL BASICO (BLS)",IF(O31=CURSOS!$D$16,"ATENCION A VICTIMAS DE VIOLENCIA SEXUAL ",IF(O31=CURSOS!$D$17,"PROGRAMADO AMPLIADO DE INMUNIZACION (PAI - COVID 19)",IF(O31=CURSOS!$D$18,"ATENCION INTEGRAL EN ENFERMEDADES PREVALENTES EN PRIMERA INFANCIA (AIEPI)",IF(O31=CURSOS!$D$19,"ADMINISTRACION DE MEDICAMENTOS, INYECTOLOGIA  Y CANALIZACION ",IF(O31=CURSOS!$D$20,"OPERADOR DE VEHICULOS DE EMERGENCIA (OVE)",IF(O31=CURSOS!$D$21,"INSTITUCIONES AMIGAS DE LA MUJER Y LA INFANCIA (IAMI)",IF(O31=CURSOS!$D$22,"CUIDADO DEL DONANTE DE ORGANOS",IF(O31=CURSOS!$D$23,"ATENCION A VICTIMAS POR VIOLENCIA DE GENERO",IF(O31=CURSOS!$D$24,"IGUALDAD DE GENERO EN LA SALUD",IF(O31=CURSOS!$D$25,"BRIGADA DE EMERGENCIA",IF(O31=CURSOS!$D$26,"MANEJO DEL DOLOR Y CUIDADOS PALIATIVOS",IF(O31=CURSOS!$D$27,"TOMA DE MUESTRAS Y LABORATORIO POCT",IF(O31=CURSOS!$D$28,"IMPLANTE SUBDERMICO DE DISPOSITIVO INTRAUTERINO",IF(O31=CURSOS!$D$29,"SALUD MENTAL",IF(O31=CURSOS!$D$30,"PRIMEROS AUXILIOS PSICOLOGICOS",IF(O31=CURSOS!$D$31,"ATENCION A VICTIMAS POR CONFLICTO ARMADO",IF(O31=CURSOS!$D$32,"MANIPULACION DE ALIMENTOS Y BPM",IF(O31=CURSOS!$D$33,"ATENCION A PERSONAS CON DISCAPACIDAD",IF(O31=CURSOS!$D$34,"CUIDADO INTEGRAL DEL PACIENTE ADULTO",IF(O31=CURSOS!$D$35,"MANEJO DEFENSIVO",IF(O31=CURSOS!$D$36,"SOPORTE CARDIOVASCULAR AVANZADO NEONATAL",IF(O31=CURSOS!$D$37,"SEGURIDAD DEL PACIENTE",IF(O31=CURSOS!$D$38,"MANEJO DE RESIDUOS HOSPITALARIOS"))))))))))))))))))))))))))))))))))))</f>
        <v xml:space="preserve">ATENCION A VICTIMAS DE VIOLENCIA SEXUAL </v>
      </c>
      <c r="V31" s="59" t="str">
        <f t="shared" si="0"/>
        <v>Hilary Lisec Garcia Chingal</v>
      </c>
      <c r="W31" s="59" t="str">
        <f t="shared" si="1"/>
        <v>Hilary Lisec Garcia Chingal</v>
      </c>
      <c r="X31" s="59" t="str">
        <f t="shared" si="2"/>
        <v>Hilary Lisec Garcia Chingal-59686960-VIOLENCIA SEXUAL</v>
      </c>
    </row>
    <row r="32" spans="1:24" x14ac:dyDescent="0.2">
      <c r="A32" s="55">
        <v>31</v>
      </c>
      <c r="B32" s="50">
        <v>59686960</v>
      </c>
      <c r="C32" s="50" t="s">
        <v>173</v>
      </c>
      <c r="D32" s="50" t="s">
        <v>174</v>
      </c>
      <c r="E32" s="50" t="s">
        <v>175</v>
      </c>
      <c r="F32" s="50" t="s">
        <v>176</v>
      </c>
      <c r="G32" s="50">
        <v>26</v>
      </c>
      <c r="H32" s="50" t="s">
        <v>119</v>
      </c>
      <c r="I32" s="52" t="s">
        <v>111</v>
      </c>
      <c r="J32" s="56">
        <v>45575</v>
      </c>
      <c r="K32" s="57">
        <v>20000</v>
      </c>
      <c r="L32" s="50" t="s">
        <v>139</v>
      </c>
      <c r="M32" s="50" t="s">
        <v>136</v>
      </c>
      <c r="N32" s="50" t="s">
        <v>177</v>
      </c>
      <c r="O32" s="50" t="s">
        <v>68</v>
      </c>
      <c r="P32" s="52"/>
      <c r="Q32" s="50" t="s">
        <v>96</v>
      </c>
      <c r="R32" s="50"/>
      <c r="S32" s="58">
        <v>3156603285</v>
      </c>
      <c r="T32" s="50"/>
      <c r="U32" s="59" t="str">
        <f>IF(O32=CURSOS!$D$3,"DIPLOMADO EN ATENCION PRE-HOSPITALARIA",IF(O32=CURSOS!$D$4,"ACOMPAÑAMIENTO Y MANEJO DEL DUELO",IF(O32=CURSOS!$D$5,"ATENCION A VICTIMAS DE ATAQUE CON AGENTES QUIMICOS ",IF(O32=CURSOS!$D$6,"PRIMEROS AUXILIOS ",IF(O32=CURSOS!$D$7,"DIPLOMADO DE UNIDAD DE CUIDADOS INTENSIVOS (UCI)",IF(O32=CURSOS!$D$8,"MODELO DE ATENCION PARA EVENTOS EMERGENTES EN SALUD MENTAL (CODIGO VERDE)",IF(O32=CURSOS!$D$9,"HUMANIZACION EN EL SERVICIO DE LA SALUD Y BUENAS PRACTICAS EN PACIENTE ",IF(O32=CURSOS!$D$10,"CLINICA DE HERIDAS ",IF(O32=CURSOS!$D$11,"TOMA DE CITOLOGIA CERVICO VAGINAL ",IF(O32=CURSOS!$D$12,"SOPORTE CARDIOVASCULAR AVANZADO (ACLS) ",IF(O32=CURSOS!$D$13,"CAMILLERO ",IF(O32=CURSOS!$D$14,"TOMA DE MUESTRAS Y LABORATORIO ",IF(O32=CURSOS!$D$15,"SOPORTE VITAL BASICO (BLS)",IF(O32=CURSOS!$D$16,"ATENCION A VICTIMAS DE VIOLENCIA SEXUAL ",IF(O32=CURSOS!$D$17,"PROGRAMADO AMPLIADO DE INMUNIZACION (PAI - COVID 19)",IF(O32=CURSOS!$D$18,"ATENCION INTEGRAL EN ENFERMEDADES PREVALENTES EN PRIMERA INFANCIA (AIEPI)",IF(O32=CURSOS!$D$19,"ADMINISTRACION DE MEDICAMENTOS, INYECTOLOGIA  Y CANALIZACION ",IF(O32=CURSOS!$D$20,"OPERADOR DE VEHICULOS DE EMERGENCIA (OVE)",IF(O32=CURSOS!$D$21,"INSTITUCIONES AMIGAS DE LA MUJER Y LA INFANCIA (IAMI)",IF(O32=CURSOS!$D$22,"CUIDADO DEL DONANTE DE ORGANOS",IF(O32=CURSOS!$D$23,"ATENCION A VICTIMAS POR VIOLENCIA DE GENERO",IF(O32=CURSOS!$D$24,"IGUALDAD DE GENERO EN LA SALUD",IF(O32=CURSOS!$D$25,"BRIGADA DE EMERGENCIA",IF(O32=CURSOS!$D$26,"MANEJO DEL DOLOR Y CUIDADOS PALIATIVOS",IF(O32=CURSOS!$D$27,"TOMA DE MUESTRAS Y LABORATORIO POCT",IF(O32=CURSOS!$D$28,"IMPLANTE SUBDERMICO DE DISPOSITIVO INTRAUTERINO",IF(O32=CURSOS!$D$29,"SALUD MENTAL",IF(O32=CURSOS!$D$30,"PRIMEROS AUXILIOS PSICOLOGICOS",IF(O32=CURSOS!$D$31,"ATENCION A VICTIMAS POR CONFLICTO ARMADO",IF(O32=CURSOS!$D$32,"MANIPULACION DE ALIMENTOS Y BPM",IF(O32=CURSOS!$D$33,"ATENCION A PERSONAS CON DISCAPACIDAD",IF(O32=CURSOS!$D$34,"CUIDADO INTEGRAL DEL PACIENTE ADULTO",IF(O32=CURSOS!$D$35,"MANEJO DEFENSIVO",IF(O32=CURSOS!$D$36,"SOPORTE CARDIOVASCULAR AVANZADO NEONATAL",IF(O32=CURSOS!$D$37,"SEGURIDAD DEL PACIENTE",IF(O32=CURSOS!$D$38,"MANEJO DE RESIDUOS HOSPITALARIOS"))))))))))))))))))))))))))))))))))))</f>
        <v>ATENCION A VICTIMAS POR CONFLICTO ARMADO</v>
      </c>
      <c r="V32" s="59" t="str">
        <f t="shared" si="0"/>
        <v>Hilary Lisec Garcia Chingal</v>
      </c>
      <c r="W32" s="59" t="str">
        <f t="shared" si="1"/>
        <v>Hilary Lisec Garcia Chingal</v>
      </c>
      <c r="X32" s="59" t="str">
        <f t="shared" si="2"/>
        <v>Hilary Lisec Garcia Chingal-59686960-CONFLICTO ARMADO</v>
      </c>
    </row>
    <row r="33" spans="1:24" x14ac:dyDescent="0.2">
      <c r="A33" s="55">
        <v>32</v>
      </c>
      <c r="B33" s="50">
        <v>1233188280</v>
      </c>
      <c r="C33" s="50" t="s">
        <v>154</v>
      </c>
      <c r="D33" s="50" t="s">
        <v>127</v>
      </c>
      <c r="E33" s="50" t="s">
        <v>155</v>
      </c>
      <c r="F33" s="50" t="s">
        <v>156</v>
      </c>
      <c r="G33" s="50">
        <v>8</v>
      </c>
      <c r="H33" s="50" t="s">
        <v>102</v>
      </c>
      <c r="I33" s="52" t="s">
        <v>111</v>
      </c>
      <c r="J33" s="56">
        <v>45573</v>
      </c>
      <c r="K33" s="57">
        <v>70000</v>
      </c>
      <c r="L33" s="50" t="s">
        <v>149</v>
      </c>
      <c r="M33" s="50" t="s">
        <v>136</v>
      </c>
      <c r="N33" s="50" t="s">
        <v>103</v>
      </c>
      <c r="O33" s="50" t="s">
        <v>43</v>
      </c>
      <c r="P33" s="52">
        <v>35402</v>
      </c>
      <c r="Q33" s="50" t="s">
        <v>96</v>
      </c>
      <c r="R33" s="50" t="s">
        <v>170</v>
      </c>
      <c r="S33" s="50">
        <v>3187016479</v>
      </c>
      <c r="T33" s="50" t="s">
        <v>159</v>
      </c>
      <c r="U33" s="59" t="str">
        <f>IF(O33=CURSOS!$D$3,"DIPLOMADO EN ATENCION PRE-HOSPITALARIA",IF(O33=CURSOS!$D$4,"ACOMPAÑAMIENTO Y MANEJO DEL DUELO",IF(O33=CURSOS!$D$5,"ATENCION A VICTIMAS DE ATAQUE CON AGENTES QUIMICOS ",IF(O33=CURSOS!$D$6,"PRIMEROS AUXILIOS ",IF(O33=CURSOS!$D$7,"DIPLOMADO DE UNIDAD DE CUIDADOS INTENSIVOS (UCI)",IF(O33=CURSOS!$D$8,"MODELO DE ATENCION PARA EVENTOS EMERGENTES EN SALUD MENTAL (CODIGO VERDE)",IF(O33=CURSOS!$D$9,"HUMANIZACION EN EL SERVICIO DE LA SALUD Y BUENAS PRACTICAS EN PACIENTE ",IF(O33=CURSOS!$D$10,"CLINICA DE HERIDAS ",IF(O33=CURSOS!$D$11,"TOMA DE CITOLOGIA CERVICO VAGINAL ",IF(O33=CURSOS!$D$12,"SOPORTE CARDIOVASCULAR AVANZADO (ACLS) ",IF(O33=CURSOS!$D$13,"CAMILLERO ",IF(O33=CURSOS!$D$14,"TOMA DE MUESTRAS Y LABORATORIO ",IF(O33=CURSOS!$D$15,"SOPORTE VITAL BASICO (BLS)",IF(O33=CURSOS!$D$16,"ATENCION A VICTIMAS DE VIOLENCIA SEXUAL ",IF(O33=CURSOS!$D$17,"PROGRAMADO AMPLIADO DE INMUNIZACION (PAI - COVID 19)",IF(O33=CURSOS!$D$18,"ATENCION INTEGRAL EN ENFERMEDADES PREVALENTES EN PRIMERA INFANCIA (AIEPI)",IF(O33=CURSOS!$D$19,"ADMINISTRACION DE MEDICAMENTOS, INYECTOLOGIA  Y CANALIZACION ",IF(O33=CURSOS!$D$20,"OPERADOR DE VEHICULOS DE EMERGENCIA (OVE)",IF(O33=CURSOS!$D$21,"INSTITUCIONES AMIGAS DE LA MUJER Y LA INFANCIA (IAMI)",IF(O33=CURSOS!$D$22,"CUIDADO DEL DONANTE DE ORGANOS",IF(O33=CURSOS!$D$23,"ATENCION A VICTIMAS POR VIOLENCIA DE GENERO",IF(O33=CURSOS!$D$24,"IGUALDAD DE GENERO EN LA SALUD",IF(O33=CURSOS!$D$25,"BRIGADA DE EMERGENCIA",IF(O33=CURSOS!$D$26,"MANEJO DEL DOLOR Y CUIDADOS PALIATIVOS",IF(O33=CURSOS!$D$27,"TOMA DE MUESTRAS Y LABORATORIO POCT",IF(O33=CURSOS!$D$28,"IMPLANTE SUBDERMICO DE DISPOSITIVO INTRAUTERINO",IF(O33=CURSOS!$D$29,"SALUD MENTAL",IF(O33=CURSOS!$D$30,"PRIMEROS AUXILIOS PSICOLOGICOS",IF(O33=CURSOS!$D$31,"ATENCION A VICTIMAS POR CONFLICTO ARMADO",IF(O33=CURSOS!$D$32,"MANIPULACION DE ALIMENTOS Y BPM",IF(O33=CURSOS!$D$33,"ATENCION A PERSONAS CON DISCAPACIDAD",IF(O33=CURSOS!$D$34,"CUIDADO INTEGRAL DEL PACIENTE ADULTO",IF(O33=CURSOS!$D$35,"MANEJO DEFENSIVO",IF(O33=CURSOS!$D$36,"SOPORTE CARDIOVASCULAR AVANZADO NEONATAL",IF(O33=CURSOS!$D$37,"SEGURIDAD DEL PACIENTE",IF(O33=CURSOS!$D$38,"MANEJO DE RESIDUOS HOSPITALARIOS"))))))))))))))))))))))))))))))))))))</f>
        <v xml:space="preserve">ATENCION A VICTIMAS DE VIOLENCIA SEXUAL </v>
      </c>
      <c r="V33" s="59" t="str">
        <f t="shared" si="0"/>
        <v>Carol Viviana Ocaña Chavez</v>
      </c>
      <c r="W33" s="59" t="str">
        <f t="shared" si="1"/>
        <v>Carol Viviana Ocaña Chavez</v>
      </c>
      <c r="X33" s="59" t="str">
        <f t="shared" si="2"/>
        <v>Carol Viviana Ocaña Chavez-1233188280-VIOLENCIA SEXUAL</v>
      </c>
    </row>
    <row r="34" spans="1:24" s="92" customFormat="1" x14ac:dyDescent="0.2">
      <c r="A34" s="86">
        <v>33</v>
      </c>
      <c r="B34" s="87">
        <v>36952780</v>
      </c>
      <c r="C34" s="87" t="s">
        <v>178</v>
      </c>
      <c r="D34" s="87" t="s">
        <v>179</v>
      </c>
      <c r="E34" s="87" t="s">
        <v>180</v>
      </c>
      <c r="F34" s="87" t="s">
        <v>181</v>
      </c>
      <c r="G34" s="87">
        <v>10</v>
      </c>
      <c r="H34" s="87" t="s">
        <v>102</v>
      </c>
      <c r="I34" s="88" t="s">
        <v>108</v>
      </c>
      <c r="J34" s="89">
        <v>45575</v>
      </c>
      <c r="K34" s="90">
        <v>32000</v>
      </c>
      <c r="L34" s="87" t="s">
        <v>206</v>
      </c>
      <c r="M34" s="87" t="s">
        <v>136</v>
      </c>
      <c r="N34" s="87" t="s">
        <v>103</v>
      </c>
      <c r="O34" s="87" t="s">
        <v>19</v>
      </c>
      <c r="P34" s="88">
        <v>29641</v>
      </c>
      <c r="Q34" s="87" t="s">
        <v>96</v>
      </c>
      <c r="R34" s="87" t="s">
        <v>116</v>
      </c>
      <c r="S34" s="87"/>
      <c r="T34" s="87" t="s">
        <v>182</v>
      </c>
      <c r="U34" s="87" t="str">
        <f>IF(O34=CURSOS!$D$3,"DIPLOMADO EN ATENCION PRE-HOSPITALARIA",IF(O34=CURSOS!$D$4,"ACOMPAÑAMIENTO Y MANEJO DEL DUELO",IF(O34=CURSOS!$D$5,"ATENCION A VICTIMAS DE ATAQUE CON AGENTES QUIMICOS ",IF(O34=CURSOS!$D$6,"PRIMEROS AUXILIOS ",IF(O34=CURSOS!$D$7,"DIPLOMADO DE UNIDAD DE CUIDADOS INTENSIVOS (UCI)",IF(O34=CURSOS!$D$8,"MODELO DE ATENCION PARA EVENTOS EMERGENTES EN SALUD MENTAL (CODIGO VERDE)",IF(O34=CURSOS!$D$9,"HUMANIZACION EN EL SERVICIO DE LA SALUD Y BUENAS PRACTICAS EN PACIENTE ",IF(O34=CURSOS!$D$10,"CLINICA DE HERIDAS ",IF(O34=CURSOS!$D$11,"TOMA DE CITOLOGIA CERVICO VAGINAL ",IF(O34=CURSOS!$D$12,"SOPORTE CARDIOVASCULAR AVANZADO (ACLS) ",IF(O34=CURSOS!$D$13,"CAMILLERO ",IF(O34=CURSOS!$D$14,"TOMA DE MUESTRAS Y LABORATORIO ",IF(O34=CURSOS!$D$15,"SOPORTE VITAL BASICO (BLS)",IF(O34=CURSOS!$D$16,"ATENCION A VICTIMAS DE VIOLENCIA SEXUAL ",IF(O34=CURSOS!$D$17,"PROGRAMADO AMPLIADO DE INMUNIZACION (PAI - COVID 19)",IF(O34=CURSOS!$D$18,"ATENCION INTEGRAL EN ENFERMEDADES PREVALENTES EN PRIMERA INFANCIA (AIEPI)",IF(O34=CURSOS!$D$19,"ADMINISTRACION DE MEDICAMENTOS, INYECTOLOGIA  Y CANALIZACION ",IF(O34=CURSOS!$D$20,"OPERADOR DE VEHICULOS DE EMERGENCIA (OVE)",IF(O34=CURSOS!$D$21,"INSTITUCIONES AMIGAS DE LA MUJER Y LA INFANCIA (IAMI)",IF(O34=CURSOS!$D$22,"CUIDADO DEL DONANTE DE ORGANOS",IF(O34=CURSOS!$D$23,"ATENCION A VICTIMAS POR VIOLENCIA DE GENERO",IF(O34=CURSOS!$D$24,"IGUALDAD DE GENERO EN LA SALUD",IF(O34=CURSOS!$D$25,"BRIGADA DE EMERGENCIA",IF(O34=CURSOS!$D$26,"MANEJO DEL DOLOR Y CUIDADOS PALIATIVOS",IF(O34=CURSOS!$D$27,"TOMA DE MUESTRAS Y LABORATORIO POCT",IF(O34=CURSOS!$D$28,"IMPLANTE SUBDERMICO DE DISPOSITIVO INTRAUTERINO",IF(O34=CURSOS!$D$29,"SALUD MENTAL",IF(O34=CURSOS!$D$30,"PRIMEROS AUXILIOS PSICOLOGICOS",IF(O34=CURSOS!$D$31,"ATENCION A VICTIMAS POR CONFLICTO ARMADO",IF(O34=CURSOS!$D$32,"MANIPULACION DE ALIMENTOS Y BPM",IF(O34=CURSOS!$D$33,"ATENCION A PERSONAS CON DISCAPACIDAD",IF(O34=CURSOS!$D$34,"CUIDADO INTEGRAL DEL PACIENTE ADULTO",IF(O34=CURSOS!$D$35,"MANEJO DEFENSIVO",IF(O34=CURSOS!$D$36,"SOPORTE CARDIOVASCULAR AVANZADO NEONATAL",IF(O34=CURSOS!$D$37,"SEGURIDAD DEL PACIENTE",IF(O34=CURSOS!$D$38,"MANEJO DE RESIDUOS HOSPITALARIOS"))))))))))))))))))))))))))))))))))))</f>
        <v>SOPORTE VITAL BASICO (BLS)</v>
      </c>
      <c r="V34" s="87" t="str">
        <f t="shared" si="0"/>
        <v>Nini Johana Bohorquez Rodriguez</v>
      </c>
      <c r="W34" s="87" t="str">
        <f t="shared" si="1"/>
        <v>Nini Johana Bohorquez Rodriguez</v>
      </c>
      <c r="X34" s="87" t="str">
        <f t="shared" si="2"/>
        <v>Nini Johana Bohorquez Rodriguez-36952780-BLS</v>
      </c>
    </row>
    <row r="35" spans="1:24" s="92" customFormat="1" x14ac:dyDescent="0.2">
      <c r="A35" s="86">
        <v>34</v>
      </c>
      <c r="B35" s="87">
        <v>1118282444</v>
      </c>
      <c r="C35" s="87" t="s">
        <v>183</v>
      </c>
      <c r="D35" s="87" t="s">
        <v>184</v>
      </c>
      <c r="E35" s="87" t="s">
        <v>185</v>
      </c>
      <c r="F35" s="87" t="s">
        <v>186</v>
      </c>
      <c r="G35" s="87">
        <v>10</v>
      </c>
      <c r="H35" s="87" t="s">
        <v>102</v>
      </c>
      <c r="I35" s="88" t="s">
        <v>108</v>
      </c>
      <c r="J35" s="89">
        <v>45575</v>
      </c>
      <c r="K35" s="90">
        <v>33000</v>
      </c>
      <c r="L35" s="87" t="s">
        <v>206</v>
      </c>
      <c r="M35" s="87" t="s">
        <v>136</v>
      </c>
      <c r="N35" s="87" t="s">
        <v>103</v>
      </c>
      <c r="O35" s="87" t="s">
        <v>33</v>
      </c>
      <c r="P35" s="88">
        <v>31466</v>
      </c>
      <c r="Q35" s="87" t="s">
        <v>96</v>
      </c>
      <c r="R35" s="87" t="s">
        <v>188</v>
      </c>
      <c r="S35" s="87">
        <v>3164539478</v>
      </c>
      <c r="T35" s="87" t="s">
        <v>189</v>
      </c>
      <c r="U35" s="87" t="str">
        <f>IF(O35=CURSOS!$D$3,"DIPLOMADO EN ATENCION PRE-HOSPITALARIA",IF(O35=CURSOS!$D$4,"ACOMPAÑAMIENTO Y MANEJO DEL DUELO",IF(O35=CURSOS!$D$5,"ATENCION A VICTIMAS DE ATAQUE CON AGENTES QUIMICOS ",IF(O35=CURSOS!$D$6,"PRIMEROS AUXILIOS ",IF(O35=CURSOS!$D$7,"DIPLOMADO DE UNIDAD DE CUIDADOS INTENSIVOS (UCI)",IF(O35=CURSOS!$D$8,"MODELO DE ATENCION PARA EVENTOS EMERGENTES EN SALUD MENTAL (CODIGO VERDE)",IF(O35=CURSOS!$D$9,"HUMANIZACION EN EL SERVICIO DE LA SALUD Y BUENAS PRACTICAS EN PACIENTE ",IF(O35=CURSOS!$D$10,"CLINICA DE HERIDAS ",IF(O35=CURSOS!$D$11,"TOMA DE CITOLOGIA CERVICO VAGINAL ",IF(O35=CURSOS!$D$12,"SOPORTE CARDIOVASCULAR AVANZADO (ACLS) ",IF(O35=CURSOS!$D$13,"CAMILLERO ",IF(O35=CURSOS!$D$14,"TOMA DE MUESTRAS Y LABORATORIO ",IF(O35=CURSOS!$D$15,"SOPORTE VITAL BASICO (BLS)",IF(O35=CURSOS!$D$16,"ATENCION A VICTIMAS DE VIOLENCIA SEXUAL ",IF(O35=CURSOS!$D$17,"PROGRAMADO AMPLIADO DE INMUNIZACION (PAI - COVID 19)",IF(O35=CURSOS!$D$18,"ATENCION INTEGRAL EN ENFERMEDADES PREVALENTES EN PRIMERA INFANCIA (AIEPI)",IF(O35=CURSOS!$D$19,"ADMINISTRACION DE MEDICAMENTOS, INYECTOLOGIA  Y CANALIZACION ",IF(O35=CURSOS!$D$20,"OPERADOR DE VEHICULOS DE EMERGENCIA (OVE)",IF(O35=CURSOS!$D$21,"INSTITUCIONES AMIGAS DE LA MUJER Y LA INFANCIA (IAMI)",IF(O35=CURSOS!$D$22,"CUIDADO DEL DONANTE DE ORGANOS",IF(O35=CURSOS!$D$23,"ATENCION A VICTIMAS POR VIOLENCIA DE GENERO",IF(O35=CURSOS!$D$24,"IGUALDAD DE GENERO EN LA SALUD",IF(O35=CURSOS!$D$25,"BRIGADA DE EMERGENCIA",IF(O35=CURSOS!$D$26,"MANEJO DEL DOLOR Y CUIDADOS PALIATIVOS",IF(O35=CURSOS!$D$27,"TOMA DE MUESTRAS Y LABORATORIO POCT",IF(O35=CURSOS!$D$28,"IMPLANTE SUBDERMICO DE DISPOSITIVO INTRAUTERINO",IF(O35=CURSOS!$D$29,"SALUD MENTAL",IF(O35=CURSOS!$D$30,"PRIMEROS AUXILIOS PSICOLOGICOS",IF(O35=CURSOS!$D$31,"ATENCION A VICTIMAS POR CONFLICTO ARMADO",IF(O35=CURSOS!$D$32,"MANIPULACION DE ALIMENTOS Y BPM",IF(O35=CURSOS!$D$33,"ATENCION A PERSONAS CON DISCAPACIDAD",IF(O35=CURSOS!$D$34,"CUIDADO INTEGRAL DEL PACIENTE ADULTO",IF(O35=CURSOS!$D$35,"MANEJO DEFENSIVO",IF(O35=CURSOS!$D$36,"SOPORTE CARDIOVASCULAR AVANZADO NEONATAL",IF(O35=CURSOS!$D$37,"SEGURIDAD DEL PACIENTE",IF(O35=CURSOS!$D$38,"MANEJO DE RESIDUOS HOSPITALARIOS"))))))))))))))))))))))))))))))))))))</f>
        <v xml:space="preserve">HUMANIZACION EN EL SERVICIO DE LA SALUD Y BUENAS PRACTICAS EN PACIENTE </v>
      </c>
      <c r="V35" s="87" t="str">
        <f t="shared" si="0"/>
        <v>Yoly Milena Silva Ortiz</v>
      </c>
      <c r="W35" s="87" t="str">
        <f t="shared" si="1"/>
        <v>Yoly Milena Silva Ortiz</v>
      </c>
      <c r="X35" s="87" t="str">
        <f t="shared" si="2"/>
        <v>Yoly Milena Silva Ortiz-1118282444-HUMANIZACION</v>
      </c>
    </row>
    <row r="36" spans="1:24" s="92" customFormat="1" x14ac:dyDescent="0.2">
      <c r="A36" s="86">
        <v>35</v>
      </c>
      <c r="B36" s="87">
        <v>1118282444</v>
      </c>
      <c r="C36" s="87" t="s">
        <v>183</v>
      </c>
      <c r="D36" s="87" t="s">
        <v>184</v>
      </c>
      <c r="E36" s="87" t="s">
        <v>185</v>
      </c>
      <c r="F36" s="87" t="s">
        <v>186</v>
      </c>
      <c r="G36" s="87">
        <v>8</v>
      </c>
      <c r="H36" s="87" t="s">
        <v>102</v>
      </c>
      <c r="I36" s="88" t="s">
        <v>108</v>
      </c>
      <c r="J36" s="89">
        <v>45575</v>
      </c>
      <c r="K36" s="90">
        <v>33000</v>
      </c>
      <c r="L36" s="87" t="s">
        <v>206</v>
      </c>
      <c r="M36" s="87" t="s">
        <v>136</v>
      </c>
      <c r="N36" s="87" t="s">
        <v>103</v>
      </c>
      <c r="O36" s="87" t="s">
        <v>43</v>
      </c>
      <c r="P36" s="88">
        <v>31466</v>
      </c>
      <c r="Q36" s="87" t="s">
        <v>96</v>
      </c>
      <c r="R36" s="87" t="s">
        <v>188</v>
      </c>
      <c r="S36" s="87">
        <v>3164539478</v>
      </c>
      <c r="T36" s="87" t="s">
        <v>189</v>
      </c>
      <c r="U36" s="87" t="str">
        <f>IF(O36=CURSOS!$D$3,"DIPLOMADO EN ATENCION PRE-HOSPITALARIA",IF(O36=CURSOS!$D$4,"ACOMPAÑAMIENTO Y MANEJO DEL DUELO",IF(O36=CURSOS!$D$5,"ATENCION A VICTIMAS DE ATAQUE CON AGENTES QUIMICOS ",IF(O36=CURSOS!$D$6,"PRIMEROS AUXILIOS ",IF(O36=CURSOS!$D$7,"DIPLOMADO DE UNIDAD DE CUIDADOS INTENSIVOS (UCI)",IF(O36=CURSOS!$D$8,"MODELO DE ATENCION PARA EVENTOS EMERGENTES EN SALUD MENTAL (CODIGO VERDE)",IF(O36=CURSOS!$D$9,"HUMANIZACION EN EL SERVICIO DE LA SALUD Y BUENAS PRACTICAS EN PACIENTE ",IF(O36=CURSOS!$D$10,"CLINICA DE HERIDAS ",IF(O36=CURSOS!$D$11,"TOMA DE CITOLOGIA CERVICO VAGINAL ",IF(O36=CURSOS!$D$12,"SOPORTE CARDIOVASCULAR AVANZADO (ACLS) ",IF(O36=CURSOS!$D$13,"CAMILLERO ",IF(O36=CURSOS!$D$14,"TOMA DE MUESTRAS Y LABORATORIO ",IF(O36=CURSOS!$D$15,"SOPORTE VITAL BASICO (BLS)",IF(O36=CURSOS!$D$16,"ATENCION A VICTIMAS DE VIOLENCIA SEXUAL ",IF(O36=CURSOS!$D$17,"PROGRAMADO AMPLIADO DE INMUNIZACION (PAI - COVID 19)",IF(O36=CURSOS!$D$18,"ATENCION INTEGRAL EN ENFERMEDADES PREVALENTES EN PRIMERA INFANCIA (AIEPI)",IF(O36=CURSOS!$D$19,"ADMINISTRACION DE MEDICAMENTOS, INYECTOLOGIA  Y CANALIZACION ",IF(O36=CURSOS!$D$20,"OPERADOR DE VEHICULOS DE EMERGENCIA (OVE)",IF(O36=CURSOS!$D$21,"INSTITUCIONES AMIGAS DE LA MUJER Y LA INFANCIA (IAMI)",IF(O36=CURSOS!$D$22,"CUIDADO DEL DONANTE DE ORGANOS",IF(O36=CURSOS!$D$23,"ATENCION A VICTIMAS POR VIOLENCIA DE GENERO",IF(O36=CURSOS!$D$24,"IGUALDAD DE GENERO EN LA SALUD",IF(O36=CURSOS!$D$25,"BRIGADA DE EMERGENCIA",IF(O36=CURSOS!$D$26,"MANEJO DEL DOLOR Y CUIDADOS PALIATIVOS",IF(O36=CURSOS!$D$27,"TOMA DE MUESTRAS Y LABORATORIO POCT",IF(O36=CURSOS!$D$28,"IMPLANTE SUBDERMICO DE DISPOSITIVO INTRAUTERINO",IF(O36=CURSOS!$D$29,"SALUD MENTAL",IF(O36=CURSOS!$D$30,"PRIMEROS AUXILIOS PSICOLOGICOS",IF(O36=CURSOS!$D$31,"ATENCION A VICTIMAS POR CONFLICTO ARMADO",IF(O36=CURSOS!$D$32,"MANIPULACION DE ALIMENTOS Y BPM",IF(O36=CURSOS!$D$33,"ATENCION A PERSONAS CON DISCAPACIDAD",IF(O36=CURSOS!$D$34,"CUIDADO INTEGRAL DEL PACIENTE ADULTO",IF(O36=CURSOS!$D$35,"MANEJO DEFENSIVO",IF(O36=CURSOS!$D$36,"SOPORTE CARDIOVASCULAR AVANZADO NEONATAL",IF(O36=CURSOS!$D$37,"SEGURIDAD DEL PACIENTE",IF(O36=CURSOS!$D$38,"MANEJO DE RESIDUOS HOSPITALARIOS"))))))))))))))))))))))))))))))))))))</f>
        <v xml:space="preserve">ATENCION A VICTIMAS DE VIOLENCIA SEXUAL </v>
      </c>
      <c r="V36" s="87" t="str">
        <f t="shared" si="0"/>
        <v>Yoly Milena Silva Ortiz</v>
      </c>
      <c r="W36" s="87" t="str">
        <f t="shared" si="1"/>
        <v>Yoly Milena Silva Ortiz</v>
      </c>
      <c r="X36" s="87" t="str">
        <f t="shared" si="2"/>
        <v>Yoly Milena Silva Ortiz-1118282444-VIOLENCIA SEXUAL</v>
      </c>
    </row>
    <row r="37" spans="1:24" s="92" customFormat="1" x14ac:dyDescent="0.2">
      <c r="A37" s="86">
        <v>36</v>
      </c>
      <c r="B37" s="87">
        <v>1118282444</v>
      </c>
      <c r="C37" s="87" t="s">
        <v>183</v>
      </c>
      <c r="D37" s="87" t="s">
        <v>184</v>
      </c>
      <c r="E37" s="87" t="s">
        <v>185</v>
      </c>
      <c r="F37" s="87" t="s">
        <v>186</v>
      </c>
      <c r="G37" s="87">
        <v>7</v>
      </c>
      <c r="H37" s="87" t="s">
        <v>102</v>
      </c>
      <c r="I37" s="88" t="s">
        <v>108</v>
      </c>
      <c r="J37" s="89">
        <v>45575</v>
      </c>
      <c r="K37" s="90">
        <v>33000</v>
      </c>
      <c r="L37" s="87" t="s">
        <v>206</v>
      </c>
      <c r="M37" s="87" t="s">
        <v>136</v>
      </c>
      <c r="N37" s="87" t="s">
        <v>103</v>
      </c>
      <c r="O37" s="87" t="s">
        <v>41</v>
      </c>
      <c r="P37" s="88">
        <v>31466</v>
      </c>
      <c r="Q37" s="87" t="s">
        <v>96</v>
      </c>
      <c r="R37" s="87" t="s">
        <v>188</v>
      </c>
      <c r="S37" s="87">
        <v>3164539478</v>
      </c>
      <c r="T37" s="87" t="s">
        <v>189</v>
      </c>
      <c r="U37" s="87" t="str">
        <f>IF(O37=CURSOS!$D$3,"DIPLOMADO EN ATENCION PRE-HOSPITALARIA",IF(O37=CURSOS!$D$4,"ACOMPAÑAMIENTO Y MANEJO DEL DUELO",IF(O37=CURSOS!$D$5,"ATENCION A VICTIMAS DE ATAQUE CON AGENTES QUIMICOS ",IF(O37=CURSOS!$D$6,"PRIMEROS AUXILIOS ",IF(O37=CURSOS!$D$7,"DIPLOMADO DE UNIDAD DE CUIDADOS INTENSIVOS (UCI)",IF(O37=CURSOS!$D$8,"MODELO DE ATENCION PARA EVENTOS EMERGENTES EN SALUD MENTAL (CODIGO VERDE)",IF(O37=CURSOS!$D$9,"HUMANIZACION EN EL SERVICIO DE LA SALUD Y BUENAS PRACTICAS EN PACIENTE ",IF(O37=CURSOS!$D$10,"CLINICA DE HERIDAS ",IF(O37=CURSOS!$D$11,"TOMA DE CITOLOGIA CERVICO VAGINAL ",IF(O37=CURSOS!$D$12,"SOPORTE CARDIOVASCULAR AVANZADO (ACLS) ",IF(O37=CURSOS!$D$13,"CAMILLERO ",IF(O37=CURSOS!$D$14,"TOMA DE MUESTRAS Y LABORATORIO ",IF(O37=CURSOS!$D$15,"SOPORTE VITAL BASICO (BLS)",IF(O37=CURSOS!$D$16,"ATENCION A VICTIMAS DE VIOLENCIA SEXUAL ",IF(O37=CURSOS!$D$17,"PROGRAMADO AMPLIADO DE INMUNIZACION (PAI - COVID 19)",IF(O37=CURSOS!$D$18,"ATENCION INTEGRAL EN ENFERMEDADES PREVALENTES EN PRIMERA INFANCIA (AIEPI)",IF(O37=CURSOS!$D$19,"ADMINISTRACION DE MEDICAMENTOS, INYECTOLOGIA  Y CANALIZACION ",IF(O37=CURSOS!$D$20,"OPERADOR DE VEHICULOS DE EMERGENCIA (OVE)",IF(O37=CURSOS!$D$21,"INSTITUCIONES AMIGAS DE LA MUJER Y LA INFANCIA (IAMI)",IF(O37=CURSOS!$D$22,"CUIDADO DEL DONANTE DE ORGANOS",IF(O37=CURSOS!$D$23,"ATENCION A VICTIMAS POR VIOLENCIA DE GENERO",IF(O37=CURSOS!$D$24,"IGUALDAD DE GENERO EN LA SALUD",IF(O37=CURSOS!$D$25,"BRIGADA DE EMERGENCIA",IF(O37=CURSOS!$D$26,"MANEJO DEL DOLOR Y CUIDADOS PALIATIVOS",IF(O37=CURSOS!$D$27,"TOMA DE MUESTRAS Y LABORATORIO POCT",IF(O37=CURSOS!$D$28,"IMPLANTE SUBDERMICO DE DISPOSITIVO INTRAUTERINO",IF(O37=CURSOS!$D$29,"SALUD MENTAL",IF(O37=CURSOS!$D$30,"PRIMEROS AUXILIOS PSICOLOGICOS",IF(O37=CURSOS!$D$31,"ATENCION A VICTIMAS POR CONFLICTO ARMADO",IF(O37=CURSOS!$D$32,"MANIPULACION DE ALIMENTOS Y BPM",IF(O37=CURSOS!$D$33,"ATENCION A PERSONAS CON DISCAPACIDAD",IF(O37=CURSOS!$D$34,"CUIDADO INTEGRAL DEL PACIENTE ADULTO",IF(O37=CURSOS!$D$35,"MANEJO DEFENSIVO",IF(O37=CURSOS!$D$36,"SOPORTE CARDIOVASCULAR AVANZADO NEONATAL",IF(O37=CURSOS!$D$37,"SEGURIDAD DEL PACIENTE",IF(O37=CURSOS!$D$38,"MANEJO DE RESIDUOS HOSPITALARIOS"))))))))))))))))))))))))))))))))))))</f>
        <v xml:space="preserve">TOMA DE MUESTRAS Y LABORATORIO </v>
      </c>
      <c r="V37" s="87" t="str">
        <f t="shared" si="0"/>
        <v>Yoly Milena Silva Ortiz</v>
      </c>
      <c r="W37" s="87" t="str">
        <f t="shared" si="1"/>
        <v>Yoly Milena Silva Ortiz</v>
      </c>
      <c r="X37" s="87" t="str">
        <f t="shared" si="2"/>
        <v>Yoly Milena Silva Ortiz-1118282444-TOMA DE MUESTRAS</v>
      </c>
    </row>
    <row r="38" spans="1:24" s="92" customFormat="1" x14ac:dyDescent="0.2">
      <c r="A38" s="86">
        <v>37</v>
      </c>
      <c r="B38" s="87">
        <v>1118282444</v>
      </c>
      <c r="C38" s="87" t="s">
        <v>183</v>
      </c>
      <c r="D38" s="87" t="s">
        <v>184</v>
      </c>
      <c r="E38" s="87" t="s">
        <v>185</v>
      </c>
      <c r="F38" s="87" t="s">
        <v>186</v>
      </c>
      <c r="G38" s="87">
        <v>8</v>
      </c>
      <c r="H38" s="87" t="s">
        <v>102</v>
      </c>
      <c r="I38" s="88" t="s">
        <v>108</v>
      </c>
      <c r="J38" s="89">
        <v>45575</v>
      </c>
      <c r="K38" s="90">
        <v>33000</v>
      </c>
      <c r="L38" s="87" t="s">
        <v>206</v>
      </c>
      <c r="M38" s="87" t="s">
        <v>136</v>
      </c>
      <c r="N38" s="87" t="s">
        <v>103</v>
      </c>
      <c r="O38" s="87" t="s">
        <v>63</v>
      </c>
      <c r="P38" s="88">
        <v>31466</v>
      </c>
      <c r="Q38" s="87" t="s">
        <v>96</v>
      </c>
      <c r="R38" s="87" t="s">
        <v>188</v>
      </c>
      <c r="S38" s="87">
        <v>3164539478</v>
      </c>
      <c r="T38" s="87" t="s">
        <v>189</v>
      </c>
      <c r="U38" s="87" t="str">
        <f>IF(O38=CURSOS!$D$3,"DIPLOMADO EN ATENCION PRE-HOSPITALARIA",IF(O38=CURSOS!$D$4,"ACOMPAÑAMIENTO Y MANEJO DEL DUELO",IF(O38=CURSOS!$D$5,"ATENCION A VICTIMAS DE ATAQUE CON AGENTES QUIMICOS ",IF(O38=CURSOS!$D$6,"PRIMEROS AUXILIOS ",IF(O38=CURSOS!$D$7,"DIPLOMADO DE UNIDAD DE CUIDADOS INTENSIVOS (UCI)",IF(O38=CURSOS!$D$8,"MODELO DE ATENCION PARA EVENTOS EMERGENTES EN SALUD MENTAL (CODIGO VERDE)",IF(O38=CURSOS!$D$9,"HUMANIZACION EN EL SERVICIO DE LA SALUD Y BUENAS PRACTICAS EN PACIENTE ",IF(O38=CURSOS!$D$10,"CLINICA DE HERIDAS ",IF(O38=CURSOS!$D$11,"TOMA DE CITOLOGIA CERVICO VAGINAL ",IF(O38=CURSOS!$D$12,"SOPORTE CARDIOVASCULAR AVANZADO (ACLS) ",IF(O38=CURSOS!$D$13,"CAMILLERO ",IF(O38=CURSOS!$D$14,"TOMA DE MUESTRAS Y LABORATORIO ",IF(O38=CURSOS!$D$15,"SOPORTE VITAL BASICO (BLS)",IF(O38=CURSOS!$D$16,"ATENCION A VICTIMAS DE VIOLENCIA SEXUAL ",IF(O38=CURSOS!$D$17,"PROGRAMADO AMPLIADO DE INMUNIZACION (PAI - COVID 19)",IF(O38=CURSOS!$D$18,"ATENCION INTEGRAL EN ENFERMEDADES PREVALENTES EN PRIMERA INFANCIA (AIEPI)",IF(O38=CURSOS!$D$19,"ADMINISTRACION DE MEDICAMENTOS, INYECTOLOGIA  Y CANALIZACION ",IF(O38=CURSOS!$D$20,"OPERADOR DE VEHICULOS DE EMERGENCIA (OVE)",IF(O38=CURSOS!$D$21,"INSTITUCIONES AMIGAS DE LA MUJER Y LA INFANCIA (IAMI)",IF(O38=CURSOS!$D$22,"CUIDADO DEL DONANTE DE ORGANOS",IF(O38=CURSOS!$D$23,"ATENCION A VICTIMAS POR VIOLENCIA DE GENERO",IF(O38=CURSOS!$D$24,"IGUALDAD DE GENERO EN LA SALUD",IF(O38=CURSOS!$D$25,"BRIGADA DE EMERGENCIA",IF(O38=CURSOS!$D$26,"MANEJO DEL DOLOR Y CUIDADOS PALIATIVOS",IF(O38=CURSOS!$D$27,"TOMA DE MUESTRAS Y LABORATORIO POCT",IF(O38=CURSOS!$D$28,"IMPLANTE SUBDERMICO DE DISPOSITIVO INTRAUTERINO",IF(O38=CURSOS!$D$29,"SALUD MENTAL",IF(O38=CURSOS!$D$30,"PRIMEROS AUXILIOS PSICOLOGICOS",IF(O38=CURSOS!$D$31,"ATENCION A VICTIMAS POR CONFLICTO ARMADO",IF(O38=CURSOS!$D$32,"MANIPULACION DE ALIMENTOS Y BPM",IF(O38=CURSOS!$D$33,"ATENCION A PERSONAS CON DISCAPACIDAD",IF(O38=CURSOS!$D$34,"CUIDADO INTEGRAL DEL PACIENTE ADULTO",IF(O38=CURSOS!$D$35,"MANEJO DEFENSIVO",IF(O38=CURSOS!$D$36,"SOPORTE CARDIOVASCULAR AVANZADO NEONATAL",IF(O38=CURSOS!$D$37,"SEGURIDAD DEL PACIENTE",IF(O38=CURSOS!$D$38,"MANEJO DE RESIDUOS HOSPITALARIOS"))))))))))))))))))))))))))))))))))))</f>
        <v>TOMA DE MUESTRAS Y LABORATORIO POCT</v>
      </c>
      <c r="V38" s="87" t="str">
        <f t="shared" si="0"/>
        <v>Yoly Milena Silva Ortiz</v>
      </c>
      <c r="W38" s="87" t="str">
        <f t="shared" si="1"/>
        <v>Yoly Milena Silva Ortiz</v>
      </c>
      <c r="X38" s="87" t="str">
        <f t="shared" si="2"/>
        <v>Yoly Milena Silva Ortiz-1118282444-POCT</v>
      </c>
    </row>
    <row r="39" spans="1:24" s="92" customFormat="1" x14ac:dyDescent="0.2">
      <c r="A39" s="86">
        <v>38</v>
      </c>
      <c r="B39" s="87">
        <v>1118282444</v>
      </c>
      <c r="C39" s="87" t="s">
        <v>183</v>
      </c>
      <c r="D39" s="87" t="s">
        <v>184</v>
      </c>
      <c r="E39" s="87" t="s">
        <v>185</v>
      </c>
      <c r="F39" s="87" t="s">
        <v>186</v>
      </c>
      <c r="G39" s="87">
        <v>8</v>
      </c>
      <c r="H39" s="87" t="s">
        <v>102</v>
      </c>
      <c r="I39" s="88" t="s">
        <v>108</v>
      </c>
      <c r="J39" s="89">
        <v>45575</v>
      </c>
      <c r="K39" s="90">
        <v>30000</v>
      </c>
      <c r="L39" s="87" t="s">
        <v>206</v>
      </c>
      <c r="M39" s="87" t="s">
        <v>136</v>
      </c>
      <c r="N39" s="87" t="s">
        <v>103</v>
      </c>
      <c r="O39" s="87" t="s">
        <v>61</v>
      </c>
      <c r="P39" s="88">
        <v>31466</v>
      </c>
      <c r="Q39" s="87" t="s">
        <v>96</v>
      </c>
      <c r="R39" s="87" t="s">
        <v>188</v>
      </c>
      <c r="S39" s="87">
        <v>3164539478</v>
      </c>
      <c r="T39" s="87" t="s">
        <v>189</v>
      </c>
      <c r="U39" s="87" t="str">
        <f>IF(O39=CURSOS!$D$3,"DIPLOMADO EN ATENCION PRE-HOSPITALARIA",IF(O39=CURSOS!$D$4,"ACOMPAÑAMIENTO Y MANEJO DEL DUELO",IF(O39=CURSOS!$D$5,"ATENCION A VICTIMAS DE ATAQUE CON AGENTES QUIMICOS ",IF(O39=CURSOS!$D$6,"PRIMEROS AUXILIOS ",IF(O39=CURSOS!$D$7,"DIPLOMADO DE UNIDAD DE CUIDADOS INTENSIVOS (UCI)",IF(O39=CURSOS!$D$8,"MODELO DE ATENCION PARA EVENTOS EMERGENTES EN SALUD MENTAL (CODIGO VERDE)",IF(O39=CURSOS!$D$9,"HUMANIZACION EN EL SERVICIO DE LA SALUD Y BUENAS PRACTICAS EN PACIENTE ",IF(O39=CURSOS!$D$10,"CLINICA DE HERIDAS ",IF(O39=CURSOS!$D$11,"TOMA DE CITOLOGIA CERVICO VAGINAL ",IF(O39=CURSOS!$D$12,"SOPORTE CARDIOVASCULAR AVANZADO (ACLS) ",IF(O39=CURSOS!$D$13,"CAMILLERO ",IF(O39=CURSOS!$D$14,"TOMA DE MUESTRAS Y LABORATORIO ",IF(O39=CURSOS!$D$15,"SOPORTE VITAL BASICO (BLS)",IF(O39=CURSOS!$D$16,"ATENCION A VICTIMAS DE VIOLENCIA SEXUAL ",IF(O39=CURSOS!$D$17,"PROGRAMADO AMPLIADO DE INMUNIZACION (PAI - COVID 19)",IF(O39=CURSOS!$D$18,"ATENCION INTEGRAL EN ENFERMEDADES PREVALENTES EN PRIMERA INFANCIA (AIEPI)",IF(O39=CURSOS!$D$19,"ADMINISTRACION DE MEDICAMENTOS, INYECTOLOGIA  Y CANALIZACION ",IF(O39=CURSOS!$D$20,"OPERADOR DE VEHICULOS DE EMERGENCIA (OVE)",IF(O39=CURSOS!$D$21,"INSTITUCIONES AMIGAS DE LA MUJER Y LA INFANCIA (IAMI)",IF(O39=CURSOS!$D$22,"CUIDADO DEL DONANTE DE ORGANOS",IF(O39=CURSOS!$D$23,"ATENCION A VICTIMAS POR VIOLENCIA DE GENERO",IF(O39=CURSOS!$D$24,"IGUALDAD DE GENERO EN LA SALUD",IF(O39=CURSOS!$D$25,"BRIGADA DE EMERGENCIA",IF(O39=CURSOS!$D$26,"MANEJO DEL DOLOR Y CUIDADOS PALIATIVOS",IF(O39=CURSOS!$D$27,"TOMA DE MUESTRAS Y LABORATORIO POCT",IF(O39=CURSOS!$D$28,"IMPLANTE SUBDERMICO DE DISPOSITIVO INTRAUTERINO",IF(O39=CURSOS!$D$29,"SALUD MENTAL",IF(O39=CURSOS!$D$30,"PRIMEROS AUXILIOS PSICOLOGICOS",IF(O39=CURSOS!$D$31,"ATENCION A VICTIMAS POR CONFLICTO ARMADO",IF(O39=CURSOS!$D$32,"MANIPULACION DE ALIMENTOS Y BPM",IF(O39=CURSOS!$D$33,"ATENCION A PERSONAS CON DISCAPACIDAD",IF(O39=CURSOS!$D$34,"CUIDADO INTEGRAL DEL PACIENTE ADULTO",IF(O39=CURSOS!$D$35,"MANEJO DEFENSIVO",IF(O39=CURSOS!$D$36,"SOPORTE CARDIOVASCULAR AVANZADO NEONATAL",IF(O39=CURSOS!$D$37,"SEGURIDAD DEL PACIENTE",IF(O39=CURSOS!$D$38,"MANEJO DE RESIDUOS HOSPITALARIOS"))))))))))))))))))))))))))))))))))))</f>
        <v>MANEJO DEL DOLOR Y CUIDADOS PALIATIVOS</v>
      </c>
      <c r="V39" s="87" t="str">
        <f t="shared" si="0"/>
        <v>Yoly Milena Silva Ortiz</v>
      </c>
      <c r="W39" s="87" t="str">
        <f t="shared" si="1"/>
        <v>Yoly Milena Silva Ortiz</v>
      </c>
      <c r="X39" s="87" t="str">
        <f t="shared" si="2"/>
        <v>Yoly Milena Silva Ortiz-1118282444-PALIATIVOS</v>
      </c>
    </row>
    <row r="40" spans="1:24" s="92" customFormat="1" x14ac:dyDescent="0.2">
      <c r="A40" s="86">
        <v>39</v>
      </c>
      <c r="B40" s="87">
        <v>1118282444</v>
      </c>
      <c r="C40" s="87" t="s">
        <v>183</v>
      </c>
      <c r="D40" s="87" t="s">
        <v>184</v>
      </c>
      <c r="E40" s="87" t="s">
        <v>185</v>
      </c>
      <c r="F40" s="87" t="s">
        <v>186</v>
      </c>
      <c r="G40" s="87">
        <v>9</v>
      </c>
      <c r="H40" s="87" t="s">
        <v>102</v>
      </c>
      <c r="I40" s="88" t="s">
        <v>108</v>
      </c>
      <c r="J40" s="89">
        <v>45575</v>
      </c>
      <c r="K40" s="90">
        <v>30000</v>
      </c>
      <c r="L40" s="87" t="s">
        <v>206</v>
      </c>
      <c r="M40" s="87" t="s">
        <v>136</v>
      </c>
      <c r="N40" s="87" t="s">
        <v>103</v>
      </c>
      <c r="O40" s="87" t="s">
        <v>23</v>
      </c>
      <c r="P40" s="88">
        <v>31466</v>
      </c>
      <c r="Q40" s="87" t="s">
        <v>96</v>
      </c>
      <c r="R40" s="87" t="s">
        <v>188</v>
      </c>
      <c r="S40" s="87">
        <v>3164539478</v>
      </c>
      <c r="T40" s="87" t="s">
        <v>189</v>
      </c>
      <c r="U40" s="87" t="str">
        <f>IF(O40=CURSOS!$D$3,"DIPLOMADO EN ATENCION PRE-HOSPITALARIA",IF(O40=CURSOS!$D$4,"ACOMPAÑAMIENTO Y MANEJO DEL DUELO",IF(O40=CURSOS!$D$5,"ATENCION A VICTIMAS DE ATAQUE CON AGENTES QUIMICOS ",IF(O40=CURSOS!$D$6,"PRIMEROS AUXILIOS ",IF(O40=CURSOS!$D$7,"DIPLOMADO DE UNIDAD DE CUIDADOS INTENSIVOS (UCI)",IF(O40=CURSOS!$D$8,"MODELO DE ATENCION PARA EVENTOS EMERGENTES EN SALUD MENTAL (CODIGO VERDE)",IF(O40=CURSOS!$D$9,"HUMANIZACION EN EL SERVICIO DE LA SALUD Y BUENAS PRACTICAS EN PACIENTE ",IF(O40=CURSOS!$D$10,"CLINICA DE HERIDAS ",IF(O40=CURSOS!$D$11,"TOMA DE CITOLOGIA CERVICO VAGINAL ",IF(O40=CURSOS!$D$12,"SOPORTE CARDIOVASCULAR AVANZADO (ACLS) ",IF(O40=CURSOS!$D$13,"CAMILLERO ",IF(O40=CURSOS!$D$14,"TOMA DE MUESTRAS Y LABORATORIO ",IF(O40=CURSOS!$D$15,"SOPORTE VITAL BASICO (BLS)",IF(O40=CURSOS!$D$16,"ATENCION A VICTIMAS DE VIOLENCIA SEXUAL ",IF(O40=CURSOS!$D$17,"PROGRAMADO AMPLIADO DE INMUNIZACION (PAI - COVID 19)",IF(O40=CURSOS!$D$18,"ATENCION INTEGRAL EN ENFERMEDADES PREVALENTES EN PRIMERA INFANCIA (AIEPI)",IF(O40=CURSOS!$D$19,"ADMINISTRACION DE MEDICAMENTOS, INYECTOLOGIA  Y CANALIZACION ",IF(O40=CURSOS!$D$20,"OPERADOR DE VEHICULOS DE EMERGENCIA (OVE)",IF(O40=CURSOS!$D$21,"INSTITUCIONES AMIGAS DE LA MUJER Y LA INFANCIA (IAMI)",IF(O40=CURSOS!$D$22,"CUIDADO DEL DONANTE DE ORGANOS",IF(O40=CURSOS!$D$23,"ATENCION A VICTIMAS POR VIOLENCIA DE GENERO",IF(O40=CURSOS!$D$24,"IGUALDAD DE GENERO EN LA SALUD",IF(O40=CURSOS!$D$25,"BRIGADA DE EMERGENCIA",IF(O40=CURSOS!$D$26,"MANEJO DEL DOLOR Y CUIDADOS PALIATIVOS",IF(O40=CURSOS!$D$27,"TOMA DE MUESTRAS Y LABORATORIO POCT",IF(O40=CURSOS!$D$28,"IMPLANTE SUBDERMICO DE DISPOSITIVO INTRAUTERINO",IF(O40=CURSOS!$D$29,"SALUD MENTAL",IF(O40=CURSOS!$D$30,"PRIMEROS AUXILIOS PSICOLOGICOS",IF(O40=CURSOS!$D$31,"ATENCION A VICTIMAS POR CONFLICTO ARMADO",IF(O40=CURSOS!$D$32,"MANIPULACION DE ALIMENTOS Y BPM",IF(O40=CURSOS!$D$33,"ATENCION A PERSONAS CON DISCAPACIDAD",IF(O40=CURSOS!$D$34,"CUIDADO INTEGRAL DEL PACIENTE ADULTO",IF(O40=CURSOS!$D$35,"MANEJO DEFENSIVO",IF(O40=CURSOS!$D$36,"SOPORTE CARDIOVASCULAR AVANZADO NEONATAL",IF(O40=CURSOS!$D$37,"SEGURIDAD DEL PACIENTE",IF(O40=CURSOS!$D$38,"MANEJO DE RESIDUOS HOSPITALARIOS"))))))))))))))))))))))))))))))))))))</f>
        <v>ACOMPAÑAMIENTO Y MANEJO DEL DUELO</v>
      </c>
      <c r="V40" s="87" t="str">
        <f t="shared" si="0"/>
        <v>Yoly Milena Silva Ortiz</v>
      </c>
      <c r="W40" s="87" t="str">
        <f t="shared" si="1"/>
        <v>Yoly Milena Silva Ortiz</v>
      </c>
      <c r="X40" s="87" t="str">
        <f t="shared" si="2"/>
        <v>Yoly Milena Silva Ortiz-1118282444-DUELO</v>
      </c>
    </row>
    <row r="41" spans="1:24" s="92" customFormat="1" x14ac:dyDescent="0.2">
      <c r="A41" s="86">
        <v>40</v>
      </c>
      <c r="B41" s="87">
        <v>1118282444</v>
      </c>
      <c r="C41" s="87" t="s">
        <v>183</v>
      </c>
      <c r="D41" s="87" t="s">
        <v>184</v>
      </c>
      <c r="E41" s="87" t="s">
        <v>185</v>
      </c>
      <c r="F41" s="87" t="s">
        <v>186</v>
      </c>
      <c r="G41" s="87">
        <v>10</v>
      </c>
      <c r="H41" s="87" t="s">
        <v>102</v>
      </c>
      <c r="I41" s="88" t="s">
        <v>108</v>
      </c>
      <c r="J41" s="89">
        <v>45575</v>
      </c>
      <c r="K41" s="90">
        <v>30000</v>
      </c>
      <c r="L41" s="87" t="s">
        <v>206</v>
      </c>
      <c r="M41" s="87" t="s">
        <v>136</v>
      </c>
      <c r="N41" s="87" t="s">
        <v>103</v>
      </c>
      <c r="O41" s="87" t="s">
        <v>25</v>
      </c>
      <c r="P41" s="88">
        <v>31466</v>
      </c>
      <c r="Q41" s="87" t="s">
        <v>96</v>
      </c>
      <c r="R41" s="87" t="s">
        <v>188</v>
      </c>
      <c r="S41" s="87">
        <v>3164539478</v>
      </c>
      <c r="T41" s="87" t="s">
        <v>189</v>
      </c>
      <c r="U41" s="87" t="str">
        <f>IF(O41=CURSOS!$D$3,"DIPLOMADO EN ATENCION PRE-HOSPITALARIA",IF(O41=CURSOS!$D$4,"ACOMPAÑAMIENTO Y MANEJO DEL DUELO",IF(O41=CURSOS!$D$5,"ATENCION A VICTIMAS DE ATAQUE CON AGENTES QUIMICOS ",IF(O41=CURSOS!$D$6,"PRIMEROS AUXILIOS ",IF(O41=CURSOS!$D$7,"DIPLOMADO DE UNIDAD DE CUIDADOS INTENSIVOS (UCI)",IF(O41=CURSOS!$D$8,"MODELO DE ATENCION PARA EVENTOS EMERGENTES EN SALUD MENTAL (CODIGO VERDE)",IF(O41=CURSOS!$D$9,"HUMANIZACION EN EL SERVICIO DE LA SALUD Y BUENAS PRACTICAS EN PACIENTE ",IF(O41=CURSOS!$D$10,"CLINICA DE HERIDAS ",IF(O41=CURSOS!$D$11,"TOMA DE CITOLOGIA CERVICO VAGINAL ",IF(O41=CURSOS!$D$12,"SOPORTE CARDIOVASCULAR AVANZADO (ACLS) ",IF(O41=CURSOS!$D$13,"CAMILLERO ",IF(O41=CURSOS!$D$14,"TOMA DE MUESTRAS Y LABORATORIO ",IF(O41=CURSOS!$D$15,"SOPORTE VITAL BASICO (BLS)",IF(O41=CURSOS!$D$16,"ATENCION A VICTIMAS DE VIOLENCIA SEXUAL ",IF(O41=CURSOS!$D$17,"PROGRAMADO AMPLIADO DE INMUNIZACION (PAI - COVID 19)",IF(O41=CURSOS!$D$18,"ATENCION INTEGRAL EN ENFERMEDADES PREVALENTES EN PRIMERA INFANCIA (AIEPI)",IF(O41=CURSOS!$D$19,"ADMINISTRACION DE MEDICAMENTOS, INYECTOLOGIA  Y CANALIZACION ",IF(O41=CURSOS!$D$20,"OPERADOR DE VEHICULOS DE EMERGENCIA (OVE)",IF(O41=CURSOS!$D$21,"INSTITUCIONES AMIGAS DE LA MUJER Y LA INFANCIA (IAMI)",IF(O41=CURSOS!$D$22,"CUIDADO DEL DONANTE DE ORGANOS",IF(O41=CURSOS!$D$23,"ATENCION A VICTIMAS POR VIOLENCIA DE GENERO",IF(O41=CURSOS!$D$24,"IGUALDAD DE GENERO EN LA SALUD",IF(O41=CURSOS!$D$25,"BRIGADA DE EMERGENCIA",IF(O41=CURSOS!$D$26,"MANEJO DEL DOLOR Y CUIDADOS PALIATIVOS",IF(O41=CURSOS!$D$27,"TOMA DE MUESTRAS Y LABORATORIO POCT",IF(O41=CURSOS!$D$28,"IMPLANTE SUBDERMICO DE DISPOSITIVO INTRAUTERINO",IF(O41=CURSOS!$D$29,"SALUD MENTAL",IF(O41=CURSOS!$D$30,"PRIMEROS AUXILIOS PSICOLOGICOS",IF(O41=CURSOS!$D$31,"ATENCION A VICTIMAS POR CONFLICTO ARMADO",IF(O41=CURSOS!$D$32,"MANIPULACION DE ALIMENTOS Y BPM",IF(O41=CURSOS!$D$33,"ATENCION A PERSONAS CON DISCAPACIDAD",IF(O41=CURSOS!$D$34,"CUIDADO INTEGRAL DEL PACIENTE ADULTO",IF(O41=CURSOS!$D$35,"MANEJO DEFENSIVO",IF(O41=CURSOS!$D$36,"SOPORTE CARDIOVASCULAR AVANZADO NEONATAL",IF(O41=CURSOS!$D$37,"SEGURIDAD DEL PACIENTE",IF(O41=CURSOS!$D$38,"MANEJO DE RESIDUOS HOSPITALARIOS"))))))))))))))))))))))))))))))))))))</f>
        <v xml:space="preserve">ATENCION A VICTIMAS DE ATAQUE CON AGENTES QUIMICOS </v>
      </c>
      <c r="V41" s="87" t="str">
        <f t="shared" si="0"/>
        <v>Yoly Milena Silva Ortiz</v>
      </c>
      <c r="W41" s="87" t="str">
        <f t="shared" si="1"/>
        <v>Yoly Milena Silva Ortiz</v>
      </c>
      <c r="X41" s="87" t="str">
        <f t="shared" si="2"/>
        <v>Yoly Milena Silva Ortiz-1118282444-QUIMICOS</v>
      </c>
    </row>
    <row r="42" spans="1:24" s="92" customFormat="1" x14ac:dyDescent="0.2">
      <c r="A42" s="86">
        <v>41</v>
      </c>
      <c r="B42" s="87">
        <v>1118282444</v>
      </c>
      <c r="C42" s="87" t="s">
        <v>183</v>
      </c>
      <c r="D42" s="87" t="s">
        <v>184</v>
      </c>
      <c r="E42" s="87" t="s">
        <v>185</v>
      </c>
      <c r="F42" s="87" t="s">
        <v>186</v>
      </c>
      <c r="G42" s="87">
        <v>10</v>
      </c>
      <c r="H42" s="87" t="s">
        <v>102</v>
      </c>
      <c r="I42" s="88" t="s">
        <v>108</v>
      </c>
      <c r="J42" s="89">
        <v>45575</v>
      </c>
      <c r="K42" s="90">
        <v>30000</v>
      </c>
      <c r="L42" s="87" t="s">
        <v>206</v>
      </c>
      <c r="M42" s="87" t="s">
        <v>136</v>
      </c>
      <c r="N42" s="87" t="s">
        <v>103</v>
      </c>
      <c r="O42" s="87" t="s">
        <v>68</v>
      </c>
      <c r="P42" s="88">
        <v>31466</v>
      </c>
      <c r="Q42" s="87" t="s">
        <v>96</v>
      </c>
      <c r="R42" s="87" t="s">
        <v>188</v>
      </c>
      <c r="S42" s="87">
        <v>3164539478</v>
      </c>
      <c r="T42" s="87" t="s">
        <v>189</v>
      </c>
      <c r="U42" s="87" t="str">
        <f>IF(O42=CURSOS!$D$3,"DIPLOMADO EN ATENCION PRE-HOSPITALARIA",IF(O42=CURSOS!$D$4,"ACOMPAÑAMIENTO Y MANEJO DEL DUELO",IF(O42=CURSOS!$D$5,"ATENCION A VICTIMAS DE ATAQUE CON AGENTES QUIMICOS ",IF(O42=CURSOS!$D$6,"PRIMEROS AUXILIOS ",IF(O42=CURSOS!$D$7,"DIPLOMADO DE UNIDAD DE CUIDADOS INTENSIVOS (UCI)",IF(O42=CURSOS!$D$8,"MODELO DE ATENCION PARA EVENTOS EMERGENTES EN SALUD MENTAL (CODIGO VERDE)",IF(O42=CURSOS!$D$9,"HUMANIZACION EN EL SERVICIO DE LA SALUD Y BUENAS PRACTICAS EN PACIENTE ",IF(O42=CURSOS!$D$10,"CLINICA DE HERIDAS ",IF(O42=CURSOS!$D$11,"TOMA DE CITOLOGIA CERVICO VAGINAL ",IF(O42=CURSOS!$D$12,"SOPORTE CARDIOVASCULAR AVANZADO (ACLS) ",IF(O42=CURSOS!$D$13,"CAMILLERO ",IF(O42=CURSOS!$D$14,"TOMA DE MUESTRAS Y LABORATORIO ",IF(O42=CURSOS!$D$15,"SOPORTE VITAL BASICO (BLS)",IF(O42=CURSOS!$D$16,"ATENCION A VICTIMAS DE VIOLENCIA SEXUAL ",IF(O42=CURSOS!$D$17,"PROGRAMADO AMPLIADO DE INMUNIZACION (PAI - COVID 19)",IF(O42=CURSOS!$D$18,"ATENCION INTEGRAL EN ENFERMEDADES PREVALENTES EN PRIMERA INFANCIA (AIEPI)",IF(O42=CURSOS!$D$19,"ADMINISTRACION DE MEDICAMENTOS, INYECTOLOGIA  Y CANALIZACION ",IF(O42=CURSOS!$D$20,"OPERADOR DE VEHICULOS DE EMERGENCIA (OVE)",IF(O42=CURSOS!$D$21,"INSTITUCIONES AMIGAS DE LA MUJER Y LA INFANCIA (IAMI)",IF(O42=CURSOS!$D$22,"CUIDADO DEL DONANTE DE ORGANOS",IF(O42=CURSOS!$D$23,"ATENCION A VICTIMAS POR VIOLENCIA DE GENERO",IF(O42=CURSOS!$D$24,"IGUALDAD DE GENERO EN LA SALUD",IF(O42=CURSOS!$D$25,"BRIGADA DE EMERGENCIA",IF(O42=CURSOS!$D$26,"MANEJO DEL DOLOR Y CUIDADOS PALIATIVOS",IF(O42=CURSOS!$D$27,"TOMA DE MUESTRAS Y LABORATORIO POCT",IF(O42=CURSOS!$D$28,"IMPLANTE SUBDERMICO DE DISPOSITIVO INTRAUTERINO",IF(O42=CURSOS!$D$29,"SALUD MENTAL",IF(O42=CURSOS!$D$30,"PRIMEROS AUXILIOS PSICOLOGICOS",IF(O42=CURSOS!$D$31,"ATENCION A VICTIMAS POR CONFLICTO ARMADO",IF(O42=CURSOS!$D$32,"MANIPULACION DE ALIMENTOS Y BPM",IF(O42=CURSOS!$D$33,"ATENCION A PERSONAS CON DISCAPACIDAD",IF(O42=CURSOS!$D$34,"CUIDADO INTEGRAL DEL PACIENTE ADULTO",IF(O42=CURSOS!$D$35,"MANEJO DEFENSIVO",IF(O42=CURSOS!$D$36,"SOPORTE CARDIOVASCULAR AVANZADO NEONATAL",IF(O42=CURSOS!$D$37,"SEGURIDAD DEL PACIENTE",IF(O42=CURSOS!$D$38,"MANEJO DE RESIDUOS HOSPITALARIOS"))))))))))))))))))))))))))))))))))))</f>
        <v>ATENCION A VICTIMAS POR CONFLICTO ARMADO</v>
      </c>
      <c r="V42" s="87" t="str">
        <f t="shared" si="0"/>
        <v>Yoly Milena Silva Ortiz</v>
      </c>
      <c r="W42" s="87" t="str">
        <f t="shared" si="1"/>
        <v>Yoly Milena Silva Ortiz</v>
      </c>
      <c r="X42" s="87" t="str">
        <f t="shared" si="2"/>
        <v>Yoly Milena Silva Ortiz-1118282444-CONFLICTO ARMADO</v>
      </c>
    </row>
    <row r="43" spans="1:24" s="92" customFormat="1" x14ac:dyDescent="0.2">
      <c r="A43" s="86">
        <v>42</v>
      </c>
      <c r="B43" s="87">
        <v>1118282444</v>
      </c>
      <c r="C43" s="87" t="s">
        <v>183</v>
      </c>
      <c r="D43" s="87" t="s">
        <v>184</v>
      </c>
      <c r="E43" s="87" t="s">
        <v>185</v>
      </c>
      <c r="F43" s="87" t="s">
        <v>186</v>
      </c>
      <c r="G43" s="87">
        <v>7</v>
      </c>
      <c r="H43" s="87" t="s">
        <v>102</v>
      </c>
      <c r="I43" s="88" t="s">
        <v>108</v>
      </c>
      <c r="J43" s="89">
        <v>45575</v>
      </c>
      <c r="K43" s="90">
        <v>30000</v>
      </c>
      <c r="L43" s="87" t="s">
        <v>206</v>
      </c>
      <c r="M43" s="87" t="s">
        <v>136</v>
      </c>
      <c r="N43" s="87" t="s">
        <v>103</v>
      </c>
      <c r="O43" s="87" t="s">
        <v>19</v>
      </c>
      <c r="P43" s="88">
        <v>31466</v>
      </c>
      <c r="Q43" s="87" t="s">
        <v>96</v>
      </c>
      <c r="R43" s="87" t="s">
        <v>188</v>
      </c>
      <c r="S43" s="87">
        <v>3164539478</v>
      </c>
      <c r="T43" s="87" t="s">
        <v>189</v>
      </c>
      <c r="U43" s="87" t="str">
        <f>IF(O43=CURSOS!$D$3,"DIPLOMADO EN ATENCION PRE-HOSPITALARIA",IF(O43=CURSOS!$D$4,"ACOMPAÑAMIENTO Y MANEJO DEL DUELO",IF(O43=CURSOS!$D$5,"ATENCION A VICTIMAS DE ATAQUE CON AGENTES QUIMICOS ",IF(O43=CURSOS!$D$6,"PRIMEROS AUXILIOS ",IF(O43=CURSOS!$D$7,"DIPLOMADO DE UNIDAD DE CUIDADOS INTENSIVOS (UCI)",IF(O43=CURSOS!$D$8,"MODELO DE ATENCION PARA EVENTOS EMERGENTES EN SALUD MENTAL (CODIGO VERDE)",IF(O43=CURSOS!$D$9,"HUMANIZACION EN EL SERVICIO DE LA SALUD Y BUENAS PRACTICAS EN PACIENTE ",IF(O43=CURSOS!$D$10,"CLINICA DE HERIDAS ",IF(O43=CURSOS!$D$11,"TOMA DE CITOLOGIA CERVICO VAGINAL ",IF(O43=CURSOS!$D$12,"SOPORTE CARDIOVASCULAR AVANZADO (ACLS) ",IF(O43=CURSOS!$D$13,"CAMILLERO ",IF(O43=CURSOS!$D$14,"TOMA DE MUESTRAS Y LABORATORIO ",IF(O43=CURSOS!$D$15,"SOPORTE VITAL BASICO (BLS)",IF(O43=CURSOS!$D$16,"ATENCION A VICTIMAS DE VIOLENCIA SEXUAL ",IF(O43=CURSOS!$D$17,"PROGRAMADO AMPLIADO DE INMUNIZACION (PAI - COVID 19)",IF(O43=CURSOS!$D$18,"ATENCION INTEGRAL EN ENFERMEDADES PREVALENTES EN PRIMERA INFANCIA (AIEPI)",IF(O43=CURSOS!$D$19,"ADMINISTRACION DE MEDICAMENTOS, INYECTOLOGIA  Y CANALIZACION ",IF(O43=CURSOS!$D$20,"OPERADOR DE VEHICULOS DE EMERGENCIA (OVE)",IF(O43=CURSOS!$D$21,"INSTITUCIONES AMIGAS DE LA MUJER Y LA INFANCIA (IAMI)",IF(O43=CURSOS!$D$22,"CUIDADO DEL DONANTE DE ORGANOS",IF(O43=CURSOS!$D$23,"ATENCION A VICTIMAS POR VIOLENCIA DE GENERO",IF(O43=CURSOS!$D$24,"IGUALDAD DE GENERO EN LA SALUD",IF(O43=CURSOS!$D$25,"BRIGADA DE EMERGENCIA",IF(O43=CURSOS!$D$26,"MANEJO DEL DOLOR Y CUIDADOS PALIATIVOS",IF(O43=CURSOS!$D$27,"TOMA DE MUESTRAS Y LABORATORIO POCT",IF(O43=CURSOS!$D$28,"IMPLANTE SUBDERMICO DE DISPOSITIVO INTRAUTERINO",IF(O43=CURSOS!$D$29,"SALUD MENTAL",IF(O43=CURSOS!$D$30,"PRIMEROS AUXILIOS PSICOLOGICOS",IF(O43=CURSOS!$D$31,"ATENCION A VICTIMAS POR CONFLICTO ARMADO",IF(O43=CURSOS!$D$32,"MANIPULACION DE ALIMENTOS Y BPM",IF(O43=CURSOS!$D$33,"ATENCION A PERSONAS CON DISCAPACIDAD",IF(O43=CURSOS!$D$34,"CUIDADO INTEGRAL DEL PACIENTE ADULTO",IF(O43=CURSOS!$D$35,"MANEJO DEFENSIVO",IF(O43=CURSOS!$D$36,"SOPORTE CARDIOVASCULAR AVANZADO NEONATAL",IF(O43=CURSOS!$D$37,"SEGURIDAD DEL PACIENTE",IF(O43=CURSOS!$D$38,"MANEJO DE RESIDUOS HOSPITALARIOS"))))))))))))))))))))))))))))))))))))</f>
        <v>SOPORTE VITAL BASICO (BLS)</v>
      </c>
      <c r="V43" s="87" t="str">
        <f t="shared" si="0"/>
        <v>Yoly Milena Silva Ortiz</v>
      </c>
      <c r="W43" s="87" t="str">
        <f t="shared" si="1"/>
        <v>Yoly Milena Silva Ortiz</v>
      </c>
      <c r="X43" s="87" t="str">
        <f t="shared" si="2"/>
        <v>Yoly Milena Silva Ortiz-1118282444-BLS</v>
      </c>
    </row>
    <row r="44" spans="1:24" x14ac:dyDescent="0.2">
      <c r="A44" s="55">
        <v>43</v>
      </c>
      <c r="B44" s="62">
        <v>1004192006</v>
      </c>
      <c r="C44" s="62" t="s">
        <v>141</v>
      </c>
      <c r="D44" s="62" t="s">
        <v>190</v>
      </c>
      <c r="E44" s="62" t="s">
        <v>191</v>
      </c>
      <c r="F44" s="62" t="s">
        <v>192</v>
      </c>
      <c r="G44" s="62">
        <v>10</v>
      </c>
      <c r="H44" s="62" t="s">
        <v>102</v>
      </c>
      <c r="I44" s="63" t="s">
        <v>111</v>
      </c>
      <c r="J44" s="64">
        <v>45574</v>
      </c>
      <c r="K44" s="65">
        <v>65000</v>
      </c>
      <c r="L44" s="62" t="s">
        <v>149</v>
      </c>
      <c r="M44" s="62" t="s">
        <v>136</v>
      </c>
      <c r="N44" s="62" t="s">
        <v>103</v>
      </c>
      <c r="O44" s="62" t="s">
        <v>43</v>
      </c>
      <c r="P44" s="63">
        <v>37600</v>
      </c>
      <c r="Q44" s="62" t="s">
        <v>96</v>
      </c>
      <c r="R44" s="62" t="s">
        <v>116</v>
      </c>
      <c r="S44" s="66">
        <v>3117173412</v>
      </c>
      <c r="T44" s="62" t="s">
        <v>193</v>
      </c>
      <c r="U44" s="59" t="str">
        <f>IF(O44=CURSOS!$D$3,"DIPLOMADO EN ATENCION PRE-HOSPITALARIA",IF(O44=CURSOS!$D$4,"ACOMPAÑAMIENTO Y MANEJO DEL DUELO",IF(O44=CURSOS!$D$5,"ATENCION A VICTIMAS DE ATAQUE CON AGENTES QUIMICOS ",IF(O44=CURSOS!$D$6,"PRIMEROS AUXILIOS ",IF(O44=CURSOS!$D$7,"DIPLOMADO DE UNIDAD DE CUIDADOS INTENSIVOS (UCI)",IF(O44=CURSOS!$D$8,"MODELO DE ATENCION PARA EVENTOS EMERGENTES EN SALUD MENTAL (CODIGO VERDE)",IF(O44=CURSOS!$D$9,"HUMANIZACION EN EL SERVICIO DE LA SALUD Y BUENAS PRACTICAS EN PACIENTE ",IF(O44=CURSOS!$D$10,"CLINICA DE HERIDAS ",IF(O44=CURSOS!$D$11,"TOMA DE CITOLOGIA CERVICO VAGINAL ",IF(O44=CURSOS!$D$12,"SOPORTE CARDIOVASCULAR AVANZADO (ACLS) ",IF(O44=CURSOS!$D$13,"CAMILLERO ",IF(O44=CURSOS!$D$14,"TOMA DE MUESTRAS Y LABORATORIO ",IF(O44=CURSOS!$D$15,"SOPORTE VITAL BASICO (BLS)",IF(O44=CURSOS!$D$16,"ATENCION A VICTIMAS DE VIOLENCIA SEXUAL ",IF(O44=CURSOS!$D$17,"PROGRAMADO AMPLIADO DE INMUNIZACION (PAI - COVID 19)",IF(O44=CURSOS!$D$18,"ATENCION INTEGRAL EN ENFERMEDADES PREVALENTES EN PRIMERA INFANCIA (AIEPI)",IF(O44=CURSOS!$D$19,"ADMINISTRACION DE MEDICAMENTOS, INYECTOLOGIA  Y CANALIZACION ",IF(O44=CURSOS!$D$20,"OPERADOR DE VEHICULOS DE EMERGENCIA (OVE)",IF(O44=CURSOS!$D$21,"INSTITUCIONES AMIGAS DE LA MUJER Y LA INFANCIA (IAMI)",IF(O44=CURSOS!$D$22,"CUIDADO DEL DONANTE DE ORGANOS",IF(O44=CURSOS!$D$23,"ATENCION A VICTIMAS POR VIOLENCIA DE GENERO",IF(O44=CURSOS!$D$24,"IGUALDAD DE GENERO EN LA SALUD",IF(O44=CURSOS!$D$25,"BRIGADA DE EMERGENCIA",IF(O44=CURSOS!$D$26,"MANEJO DEL DOLOR Y CUIDADOS PALIATIVOS",IF(O44=CURSOS!$D$27,"TOMA DE MUESTRAS Y LABORATORIO POCT",IF(O44=CURSOS!$D$28,"IMPLANTE SUBDERMICO DE DISPOSITIVO INTRAUTERINO",IF(O44=CURSOS!$D$29,"SALUD MENTAL",IF(O44=CURSOS!$D$30,"PRIMEROS AUXILIOS PSICOLOGICOS",IF(O44=CURSOS!$D$31,"ATENCION A VICTIMAS POR CONFLICTO ARMADO",IF(O44=CURSOS!$D$32,"MANIPULACION DE ALIMENTOS Y BPM",IF(O44=CURSOS!$D$33,"ATENCION A PERSONAS CON DISCAPACIDAD",IF(O44=CURSOS!$D$34,"CUIDADO INTEGRAL DEL PACIENTE ADULTO",IF(O44=CURSOS!$D$35,"MANEJO DEFENSIVO",IF(O44=CURSOS!$D$36,"SOPORTE CARDIOVASCULAR AVANZADO NEONATAL",IF(O44=CURSOS!$D$37,"SEGURIDAD DEL PACIENTE",IF(O44=CURSOS!$D$38,"MANEJO DE RESIDUOS HOSPITALARIOS"))))))))))))))))))))))))))))))))))))</f>
        <v xml:space="preserve">ATENCION A VICTIMAS DE VIOLENCIA SEXUAL </v>
      </c>
      <c r="V44" s="59" t="str">
        <f t="shared" si="0"/>
        <v>Maria Isabel Benavides Caicedo</v>
      </c>
      <c r="W44" s="59" t="str">
        <f t="shared" si="1"/>
        <v>Maria Isabel Benavides Caicedo</v>
      </c>
      <c r="X44" s="59" t="str">
        <f t="shared" si="2"/>
        <v>Maria Isabel Benavides Caicedo-1004192006-VIOLENCIA SEXUAL</v>
      </c>
    </row>
    <row r="45" spans="1:24" x14ac:dyDescent="0.2">
      <c r="A45" s="55">
        <v>44</v>
      </c>
      <c r="B45" s="50">
        <v>1085290587</v>
      </c>
      <c r="C45" s="50" t="s">
        <v>194</v>
      </c>
      <c r="D45" s="50" t="s">
        <v>195</v>
      </c>
      <c r="E45" s="50" t="s">
        <v>196</v>
      </c>
      <c r="F45" s="50" t="s">
        <v>197</v>
      </c>
      <c r="G45" s="50">
        <v>10</v>
      </c>
      <c r="H45" s="50" t="s">
        <v>102</v>
      </c>
      <c r="I45" s="52" t="s">
        <v>111</v>
      </c>
      <c r="J45" s="56">
        <v>45574</v>
      </c>
      <c r="K45" s="57">
        <v>65000</v>
      </c>
      <c r="L45" s="50" t="s">
        <v>149</v>
      </c>
      <c r="M45" s="50" t="s">
        <v>136</v>
      </c>
      <c r="N45" s="50" t="s">
        <v>103</v>
      </c>
      <c r="O45" s="50" t="s">
        <v>43</v>
      </c>
      <c r="P45" s="52">
        <v>33439</v>
      </c>
      <c r="Q45" s="50" t="s">
        <v>96</v>
      </c>
      <c r="R45" s="50" t="s">
        <v>198</v>
      </c>
      <c r="S45" s="50">
        <v>3127560541</v>
      </c>
      <c r="T45" s="50" t="s">
        <v>199</v>
      </c>
      <c r="U45" s="59" t="str">
        <f>IF(O45=CURSOS!$D$3,"DIPLOMADO EN ATENCION PRE-HOSPITALARIA",IF(O45=CURSOS!$D$4,"ACOMPAÑAMIENTO Y MANEJO DEL DUELO",IF(O45=CURSOS!$D$5,"ATENCION A VICTIMAS DE ATAQUE CON AGENTES QUIMICOS ",IF(O45=CURSOS!$D$6,"PRIMEROS AUXILIOS ",IF(O45=CURSOS!$D$7,"DIPLOMADO DE UNIDAD DE CUIDADOS INTENSIVOS (UCI)",IF(O45=CURSOS!$D$8,"MODELO DE ATENCION PARA EVENTOS EMERGENTES EN SALUD MENTAL (CODIGO VERDE)",IF(O45=CURSOS!$D$9,"HUMANIZACION EN EL SERVICIO DE LA SALUD Y BUENAS PRACTICAS EN PACIENTE ",IF(O45=CURSOS!$D$10,"CLINICA DE HERIDAS ",IF(O45=CURSOS!$D$11,"TOMA DE CITOLOGIA CERVICO VAGINAL ",IF(O45=CURSOS!$D$12,"SOPORTE CARDIOVASCULAR AVANZADO (ACLS) ",IF(O45=CURSOS!$D$13,"CAMILLERO ",IF(O45=CURSOS!$D$14,"TOMA DE MUESTRAS Y LABORATORIO ",IF(O45=CURSOS!$D$15,"SOPORTE VITAL BASICO (BLS)",IF(O45=CURSOS!$D$16,"ATENCION A VICTIMAS DE VIOLENCIA SEXUAL ",IF(O45=CURSOS!$D$17,"PROGRAMADO AMPLIADO DE INMUNIZACION (PAI - COVID 19)",IF(O45=CURSOS!$D$18,"ATENCION INTEGRAL EN ENFERMEDADES PREVALENTES EN PRIMERA INFANCIA (AIEPI)",IF(O45=CURSOS!$D$19,"ADMINISTRACION DE MEDICAMENTOS, INYECTOLOGIA  Y CANALIZACION ",IF(O45=CURSOS!$D$20,"OPERADOR DE VEHICULOS DE EMERGENCIA (OVE)",IF(O45=CURSOS!$D$21,"INSTITUCIONES AMIGAS DE LA MUJER Y LA INFANCIA (IAMI)",IF(O45=CURSOS!$D$22,"CUIDADO DEL DONANTE DE ORGANOS",IF(O45=CURSOS!$D$23,"ATENCION A VICTIMAS POR VIOLENCIA DE GENERO",IF(O45=CURSOS!$D$24,"IGUALDAD DE GENERO EN LA SALUD",IF(O45=CURSOS!$D$25,"BRIGADA DE EMERGENCIA",IF(O45=CURSOS!$D$26,"MANEJO DEL DOLOR Y CUIDADOS PALIATIVOS",IF(O45=CURSOS!$D$27,"TOMA DE MUESTRAS Y LABORATORIO POCT",IF(O45=CURSOS!$D$28,"IMPLANTE SUBDERMICO DE DISPOSITIVO INTRAUTERINO",IF(O45=CURSOS!$D$29,"SALUD MENTAL",IF(O45=CURSOS!$D$30,"PRIMEROS AUXILIOS PSICOLOGICOS",IF(O45=CURSOS!$D$31,"ATENCION A VICTIMAS POR CONFLICTO ARMADO",IF(O45=CURSOS!$D$32,"MANIPULACION DE ALIMENTOS Y BPM",IF(O45=CURSOS!$D$33,"ATENCION A PERSONAS CON DISCAPACIDAD",IF(O45=CURSOS!$D$34,"CUIDADO INTEGRAL DEL PACIENTE ADULTO",IF(O45=CURSOS!$D$35,"MANEJO DEFENSIVO",IF(O45=CURSOS!$D$36,"SOPORTE CARDIOVASCULAR AVANZADO NEONATAL",IF(O45=CURSOS!$D$37,"SEGURIDAD DEL PACIENTE",IF(O45=CURSOS!$D$38,"MANEJO DE RESIDUOS HOSPITALARIOS"))))))))))))))))))))))))))))))))))))</f>
        <v xml:space="preserve">ATENCION A VICTIMAS DE VIOLENCIA SEXUAL </v>
      </c>
      <c r="V45" s="59" t="str">
        <f t="shared" si="0"/>
        <v>Tania maricel Marcillo Escobar</v>
      </c>
      <c r="W45" s="59" t="str">
        <f t="shared" si="1"/>
        <v>Tania Maricel Marcillo Escobar</v>
      </c>
      <c r="X45" s="59" t="str">
        <f t="shared" si="2"/>
        <v>Tania maricel Marcillo Escobar-1085290587-VIOLENCIA SEXUAL</v>
      </c>
    </row>
    <row r="46" spans="1:24" s="49" customFormat="1" x14ac:dyDescent="0.2">
      <c r="A46" s="55">
        <v>45</v>
      </c>
      <c r="B46" s="50">
        <v>1089459350</v>
      </c>
      <c r="C46" s="50" t="s">
        <v>200</v>
      </c>
      <c r="D46" s="50" t="s">
        <v>201</v>
      </c>
      <c r="E46" s="50" t="s">
        <v>142</v>
      </c>
      <c r="F46" s="50" t="s">
        <v>202</v>
      </c>
      <c r="G46" s="50">
        <v>10</v>
      </c>
      <c r="H46" s="50" t="s">
        <v>102</v>
      </c>
      <c r="I46" s="52" t="s">
        <v>108</v>
      </c>
      <c r="J46" s="56" t="s">
        <v>109</v>
      </c>
      <c r="K46" s="57">
        <v>0</v>
      </c>
      <c r="L46" s="50" t="s">
        <v>109</v>
      </c>
      <c r="M46" s="50" t="s">
        <v>136</v>
      </c>
      <c r="N46" s="50" t="s">
        <v>103</v>
      </c>
      <c r="O46" s="50" t="s">
        <v>19</v>
      </c>
      <c r="P46" s="52"/>
      <c r="Q46" s="50" t="s">
        <v>96</v>
      </c>
      <c r="R46" s="50" t="s">
        <v>116</v>
      </c>
      <c r="S46" s="50">
        <v>3146228461</v>
      </c>
      <c r="T46" s="50"/>
      <c r="U46" s="59" t="str">
        <f>IF(O46=CURSOS!$D$3,"DIPLOMADO EN ATENCION PRE-HOSPITALARIA",IF(O46=CURSOS!$D$4,"ACOMPAÑAMIENTO Y MANEJO DEL DUELO",IF(O46=CURSOS!$D$5,"ATENCION A VICTIMAS DE ATAQUE CON AGENTES QUIMICOS ",IF(O46=CURSOS!$D$6,"PRIMEROS AUXILIOS ",IF(O46=CURSOS!$D$7,"DIPLOMADO DE UNIDAD DE CUIDADOS INTENSIVOS (UCI)",IF(O46=CURSOS!$D$8,"MODELO DE ATENCION PARA EVENTOS EMERGENTES EN SALUD MENTAL (CODIGO VERDE)",IF(O46=CURSOS!$D$9,"HUMANIZACION EN EL SERVICIO DE LA SALUD Y BUENAS PRACTICAS EN PACIENTE ",IF(O46=CURSOS!$D$10,"CLINICA DE HERIDAS ",IF(O46=CURSOS!$D$11,"TOMA DE CITOLOGIA CERVICO VAGINAL ",IF(O46=CURSOS!$D$12,"SOPORTE CARDIOVASCULAR AVANZADO (ACLS) ",IF(O46=CURSOS!$D$13,"CAMILLERO ",IF(O46=CURSOS!$D$14,"TOMA DE MUESTRAS Y LABORATORIO ",IF(O46=CURSOS!$D$15,"SOPORTE VITAL BASICO (BLS)",IF(O46=CURSOS!$D$16,"ATENCION A VICTIMAS DE VIOLENCIA SEXUAL ",IF(O46=CURSOS!$D$17,"PROGRAMADO AMPLIADO DE INMUNIZACION (PAI - COVID 19)",IF(O46=CURSOS!$D$18,"ATENCION INTEGRAL EN ENFERMEDADES PREVALENTES EN PRIMERA INFANCIA (AIEPI)",IF(O46=CURSOS!$D$19,"ADMINISTRACION DE MEDICAMENTOS, INYECTOLOGIA  Y CANALIZACION ",IF(O46=CURSOS!$D$20,"OPERADOR DE VEHICULOS DE EMERGENCIA (OVE)",IF(O46=CURSOS!$D$21,"INSTITUCIONES AMIGAS DE LA MUJER Y LA INFANCIA (IAMI)",IF(O46=CURSOS!$D$22,"CUIDADO DEL DONANTE DE ORGANOS",IF(O46=CURSOS!$D$23,"ATENCION A VICTIMAS POR VIOLENCIA DE GENERO",IF(O46=CURSOS!$D$24,"IGUALDAD DE GENERO EN LA SALUD",IF(O46=CURSOS!$D$25,"BRIGADA DE EMERGENCIA",IF(O46=CURSOS!$D$26,"MANEJO DEL DOLOR Y CUIDADOS PALIATIVOS",IF(O46=CURSOS!$D$27,"TOMA DE MUESTRAS Y LABORATORIO POCT",IF(O46=CURSOS!$D$28,"IMPLANTE SUBDERMICO DE DISPOSITIVO INTRAUTERINO",IF(O46=CURSOS!$D$29,"SALUD MENTAL",IF(O46=CURSOS!$D$30,"PRIMEROS AUXILIOS PSICOLOGICOS",IF(O46=CURSOS!$D$31,"ATENCION A VICTIMAS POR CONFLICTO ARMADO",IF(O46=CURSOS!$D$32,"MANIPULACION DE ALIMENTOS Y BPM",IF(O46=CURSOS!$D$33,"ATENCION A PERSONAS CON DISCAPACIDAD",IF(O46=CURSOS!$D$34,"CUIDADO INTEGRAL DEL PACIENTE ADULTO",IF(O46=CURSOS!$D$35,"MANEJO DEFENSIVO",IF(O46=CURSOS!$D$36,"SOPORTE CARDIOVASCULAR AVANZADO NEONATAL",IF(O46=CURSOS!$D$37,"SEGURIDAD DEL PACIENTE",IF(O46=CURSOS!$D$38,"MANEJO DE RESIDUOS HOSPITALARIOS"))))))))))))))))))))))))))))))))))))</f>
        <v>SOPORTE VITAL BASICO (BLS)</v>
      </c>
      <c r="V46" s="59" t="str">
        <f t="shared" si="0"/>
        <v>Paola Vanessa Cordoba Burbano</v>
      </c>
      <c r="W46" s="59" t="str">
        <f t="shared" si="1"/>
        <v>Paola Vanessa Cordoba Burbano</v>
      </c>
      <c r="X46" s="59" t="str">
        <f t="shared" si="2"/>
        <v>Paola Vanessa Cordoba Burbano-1089459350-BLS</v>
      </c>
    </row>
    <row r="47" spans="1:24" s="49" customFormat="1" x14ac:dyDescent="0.2">
      <c r="A47" s="55">
        <v>46</v>
      </c>
      <c r="B47" s="50">
        <v>1085279362</v>
      </c>
      <c r="C47" s="50" t="s">
        <v>204</v>
      </c>
      <c r="D47" s="50" t="s">
        <v>205</v>
      </c>
      <c r="E47" s="50"/>
      <c r="F47" s="50"/>
      <c r="G47" s="50">
        <v>10</v>
      </c>
      <c r="H47" s="50" t="s">
        <v>102</v>
      </c>
      <c r="I47" s="52" t="s">
        <v>108</v>
      </c>
      <c r="J47" s="56" t="s">
        <v>109</v>
      </c>
      <c r="K47" s="57">
        <v>0</v>
      </c>
      <c r="L47" s="50" t="s">
        <v>109</v>
      </c>
      <c r="M47" s="50" t="s">
        <v>136</v>
      </c>
      <c r="N47" s="50" t="s">
        <v>103</v>
      </c>
      <c r="O47" s="50" t="s">
        <v>203</v>
      </c>
      <c r="P47" s="52"/>
      <c r="Q47" s="50" t="s">
        <v>96</v>
      </c>
      <c r="R47" s="50" t="s">
        <v>116</v>
      </c>
      <c r="S47" s="50">
        <v>3146228461</v>
      </c>
      <c r="T47" s="50"/>
      <c r="U47" s="59" t="b">
        <f>IF(O47=CURSOS!$D$3,"DIPLOMADO EN ATENCION PRE-HOSPITALARIA",IF(O47=CURSOS!$D$4,"ACOMPAÑAMIENTO Y MANEJO DEL DUELO",IF(O47=CURSOS!$D$5,"ATENCION A VICTIMAS DE ATAQUE CON AGENTES QUIMICOS ",IF(O47=CURSOS!$D$6,"PRIMEROS AUXILIOS ",IF(O47=CURSOS!$D$7,"DIPLOMADO DE UNIDAD DE CUIDADOS INTENSIVOS (UCI)",IF(O47=CURSOS!$D$8,"MODELO DE ATENCION PARA EVENTOS EMERGENTES EN SALUD MENTAL (CODIGO VERDE)",IF(O47=CURSOS!$D$9,"HUMANIZACION EN EL SERVICIO DE LA SALUD Y BUENAS PRACTICAS EN PACIENTE ",IF(O47=CURSOS!$D$10,"CLINICA DE HERIDAS ",IF(O47=CURSOS!$D$11,"TOMA DE CITOLOGIA CERVICO VAGINAL ",IF(O47=CURSOS!$D$12,"SOPORTE CARDIOVASCULAR AVANZADO (ACLS) ",IF(O47=CURSOS!$D$13,"CAMILLERO ",IF(O47=CURSOS!$D$14,"TOMA DE MUESTRAS Y LABORATORIO ",IF(O47=CURSOS!$D$15,"SOPORTE VITAL BASICO (BLS)",IF(O47=CURSOS!$D$16,"ATENCION A VICTIMAS DE VIOLENCIA SEXUAL ",IF(O47=CURSOS!$D$17,"PROGRAMADO AMPLIADO DE INMUNIZACION (PAI - COVID 19)",IF(O47=CURSOS!$D$18,"ATENCION INTEGRAL EN ENFERMEDADES PREVALENTES EN PRIMERA INFANCIA (AIEPI)",IF(O47=CURSOS!$D$19,"ADMINISTRACION DE MEDICAMENTOS, INYECTOLOGIA  Y CANALIZACION ",IF(O47=CURSOS!$D$20,"OPERADOR DE VEHICULOS DE EMERGENCIA (OVE)",IF(O47=CURSOS!$D$21,"INSTITUCIONES AMIGAS DE LA MUJER Y LA INFANCIA (IAMI)",IF(O47=CURSOS!$D$22,"CUIDADO DEL DONANTE DE ORGANOS",IF(O47=CURSOS!$D$23,"ATENCION A VICTIMAS POR VIOLENCIA DE GENERO",IF(O47=CURSOS!$D$24,"IGUALDAD DE GENERO EN LA SALUD",IF(O47=CURSOS!$D$25,"BRIGADA DE EMERGENCIA",IF(O47=CURSOS!$D$26,"MANEJO DEL DOLOR Y CUIDADOS PALIATIVOS",IF(O47=CURSOS!$D$27,"TOMA DE MUESTRAS Y LABORATORIO POCT",IF(O47=CURSOS!$D$28,"IMPLANTE SUBDERMICO DE DISPOSITIVO INTRAUTERINO",IF(O47=CURSOS!$D$29,"SALUD MENTAL",IF(O47=CURSOS!$D$30,"PRIMEROS AUXILIOS PSICOLOGICOS",IF(O47=CURSOS!$D$31,"ATENCION A VICTIMAS POR CONFLICTO ARMADO",IF(O47=CURSOS!$D$32,"MANIPULACION DE ALIMENTOS Y BPM",IF(O47=CURSOS!$D$33,"ATENCION A PERSONAS CON DISCAPACIDAD",IF(O47=CURSOS!$D$34,"CUIDADO INTEGRAL DEL PACIENTE ADULTO",IF(O47=CURSOS!$D$35,"MANEJO DEFENSIVO",IF(O47=CURSOS!$D$36,"SOPORTE CARDIOVASCULAR AVANZADO NEONATAL",IF(O47=CURSOS!$D$37,"SEGURIDAD DEL PACIENTE",IF(O47=CURSOS!$D$38,"MANEJO DE RESIDUOS HOSPITALARIOS"))))))))))))))))))))))))))))))))))))</f>
        <v>0</v>
      </c>
      <c r="V47" s="59" t="str">
        <f t="shared" si="0"/>
        <v xml:space="preserve">  Preciado Landazuri</v>
      </c>
      <c r="W47" s="59" t="str">
        <f t="shared" si="1"/>
        <v xml:space="preserve">  Preciado Landazuri</v>
      </c>
      <c r="X47" s="59" t="str">
        <f t="shared" si="2"/>
        <v xml:space="preserve">  Preciado Landazuri-1085279362-PACIENTE CON DISCAPACIDAD</v>
      </c>
    </row>
    <row r="48" spans="1:24" s="87" customFormat="1" x14ac:dyDescent="0.2">
      <c r="A48" s="86">
        <v>47</v>
      </c>
      <c r="B48" s="87">
        <v>1085295345</v>
      </c>
      <c r="C48" s="87" t="s">
        <v>207</v>
      </c>
      <c r="D48" s="87" t="s">
        <v>208</v>
      </c>
      <c r="E48" s="87" t="s">
        <v>142</v>
      </c>
      <c r="F48" s="87" t="s">
        <v>209</v>
      </c>
      <c r="G48" s="87">
        <v>11</v>
      </c>
      <c r="H48" s="87" t="s">
        <v>102</v>
      </c>
      <c r="I48" s="88" t="s">
        <v>111</v>
      </c>
      <c r="J48" s="89">
        <v>45576</v>
      </c>
      <c r="K48" s="90">
        <v>70000</v>
      </c>
      <c r="L48" s="87" t="s">
        <v>206</v>
      </c>
      <c r="M48" s="87" t="s">
        <v>85</v>
      </c>
      <c r="N48" s="87" t="s">
        <v>103</v>
      </c>
      <c r="O48" s="87" t="s">
        <v>48</v>
      </c>
      <c r="P48" s="88">
        <v>33648</v>
      </c>
      <c r="Q48" s="87" t="s">
        <v>96</v>
      </c>
      <c r="R48" s="87" t="s">
        <v>116</v>
      </c>
      <c r="S48" s="87">
        <v>3128585918</v>
      </c>
      <c r="T48" s="87" t="s">
        <v>210</v>
      </c>
      <c r="U48" s="87" t="str">
        <f>IF(O48=CURSOS!$D$3,"DIPLOMADO EN ATENCION PRE-HOSPITALARIA",IF(O48=CURSOS!$D$4,"ACOMPAÑAMIENTO Y MANEJO DEL DUELO",IF(O48=CURSOS!$D$5,"ATENCION A VICTIMAS DE ATAQUE CON AGENTES QUIMICOS ",IF(O48=CURSOS!$D$6,"PRIMEROS AUXILIOS ",IF(O48=CURSOS!$D$7,"DIPLOMADO DE UNIDAD DE CUIDADOS INTENSIVOS (UCI)",IF(O48=CURSOS!$D$8,"MODELO DE ATENCION PARA EVENTOS EMERGENTES EN SALUD MENTAL (CODIGO VERDE)",IF(O48=CURSOS!$D$9,"HUMANIZACION EN EL SERVICIO DE LA SALUD Y BUENAS PRACTICAS EN PACIENTE ",IF(O48=CURSOS!$D$10,"CLINICA DE HERIDAS ",IF(O48=CURSOS!$D$11,"TOMA DE CITOLOGIA CERVICO VAGINAL ",IF(O48=CURSOS!$D$12,"SOPORTE CARDIOVASCULAR AVANZADO (ACLS) ",IF(O48=CURSOS!$D$13,"CAMILLERO ",IF(O48=CURSOS!$D$14,"TOMA DE MUESTRAS Y LABORATORIO ",IF(O48=CURSOS!$D$15,"SOPORTE VITAL BASICO (BLS)",IF(O48=CURSOS!$D$16,"ATENCION A VICTIMAS DE VIOLENCIA SEXUAL ",IF(O48=CURSOS!$D$17,"PROGRAMADO AMPLIADO DE INMUNIZACION (PAI - COVID 19)",IF(O48=CURSOS!$D$18,"ATENCION INTEGRAL EN ENFERMEDADES PREVALENTES EN PRIMERA INFANCIA (AIEPI)",IF(O48=CURSOS!$D$19,"ADMINISTRACION DE MEDICAMENTOS, INYECTOLOGIA  Y CANALIZACION ",IF(O48=CURSOS!$D$20,"OPERADOR DE VEHICULOS DE EMERGENCIA (OVE)",IF(O48=CURSOS!$D$21,"INSTITUCIONES AMIGAS DE LA MUJER Y LA INFANCIA (IAMI)",IF(O48=CURSOS!$D$22,"CUIDADO DEL DONANTE DE ORGANOS",IF(O48=CURSOS!$D$23,"ATENCION A VICTIMAS POR VIOLENCIA DE GENERO",IF(O48=CURSOS!$D$24,"IGUALDAD DE GENERO EN LA SALUD",IF(O48=CURSOS!$D$25,"BRIGADA DE EMERGENCIA",IF(O48=CURSOS!$D$26,"MANEJO DEL DOLOR Y CUIDADOS PALIATIVOS",IF(O48=CURSOS!$D$27,"TOMA DE MUESTRAS Y LABORATORIO POCT",IF(O48=CURSOS!$D$28,"IMPLANTE SUBDERMICO DE DISPOSITIVO INTRAUTERINO",IF(O48=CURSOS!$D$29,"SALUD MENTAL",IF(O48=CURSOS!$D$30,"PRIMEROS AUXILIOS PSICOLOGICOS",IF(O48=CURSOS!$D$31,"ATENCION A VICTIMAS POR CONFLICTO ARMADO",IF(O48=CURSOS!$D$32,"MANIPULACION DE ALIMENTOS Y BPM",IF(O48=CURSOS!$D$33,"ATENCION A PERSONAS CON DISCAPACIDAD",IF(O48=CURSOS!$D$34,"CUIDADO INTEGRAL DEL PACIENTE ADULTO",IF(O48=CURSOS!$D$35,"MANEJO DEFENSIVO",IF(O48=CURSOS!$D$36,"SOPORTE CARDIOVASCULAR AVANZADO NEONATAL",IF(O48=CURSOS!$D$37,"SEGURIDAD DEL PACIENTE",IF(O48=CURSOS!$D$38,"MANEJO DE RESIDUOS HOSPITALARIOS"))))))))))))))))))))))))))))))))))))</f>
        <v xml:space="preserve">ADMINISTRACION DE MEDICAMENTOS, INYECTOLOGIA  Y CANALIZACION </v>
      </c>
      <c r="V48" s="87" t="str">
        <f t="shared" si="0"/>
        <v>Paola Sthefanny Rosero Torres</v>
      </c>
      <c r="W48" s="87" t="str">
        <f t="shared" si="1"/>
        <v>Paola Sthefanny Rosero Torres</v>
      </c>
      <c r="X48" s="87" t="str">
        <f t="shared" si="2"/>
        <v>Paola Sthefanny Rosero Torres-1085295345-ADMON DE MEDICAMENTOS</v>
      </c>
    </row>
    <row r="49" spans="1:24" s="87" customFormat="1" x14ac:dyDescent="0.2">
      <c r="A49" s="86">
        <v>48</v>
      </c>
      <c r="B49" s="87">
        <v>1085295345</v>
      </c>
      <c r="C49" s="87" t="s">
        <v>207</v>
      </c>
      <c r="D49" s="87" t="s">
        <v>208</v>
      </c>
      <c r="E49" s="87" t="s">
        <v>142</v>
      </c>
      <c r="F49" s="87" t="s">
        <v>209</v>
      </c>
      <c r="G49" s="87">
        <v>11</v>
      </c>
      <c r="H49" s="87" t="s">
        <v>102</v>
      </c>
      <c r="I49" s="88" t="s">
        <v>108</v>
      </c>
      <c r="J49" s="89">
        <v>45576</v>
      </c>
      <c r="K49" s="90">
        <v>30000</v>
      </c>
      <c r="L49" s="87" t="s">
        <v>206</v>
      </c>
      <c r="M49" s="87" t="s">
        <v>85</v>
      </c>
      <c r="N49" s="87" t="s">
        <v>103</v>
      </c>
      <c r="O49" s="87" t="s">
        <v>41</v>
      </c>
      <c r="P49" s="88">
        <v>33648</v>
      </c>
      <c r="Q49" s="87" t="s">
        <v>96</v>
      </c>
      <c r="R49" s="87" t="s">
        <v>116</v>
      </c>
      <c r="S49" s="87">
        <v>3128585918</v>
      </c>
      <c r="T49" s="87" t="s">
        <v>210</v>
      </c>
      <c r="U49" s="87" t="str">
        <f>IF(O49=CURSOS!$D$3,"DIPLOMADO EN ATENCION PRE-HOSPITALARIA",IF(O49=CURSOS!$D$4,"ACOMPAÑAMIENTO Y MANEJO DEL DUELO",IF(O49=CURSOS!$D$5,"ATENCION A VICTIMAS DE ATAQUE CON AGENTES QUIMICOS ",IF(O49=CURSOS!$D$6,"PRIMEROS AUXILIOS ",IF(O49=CURSOS!$D$7,"DIPLOMADO DE UNIDAD DE CUIDADOS INTENSIVOS (UCI)",IF(O49=CURSOS!$D$8,"MODELO DE ATENCION PARA EVENTOS EMERGENTES EN SALUD MENTAL (CODIGO VERDE)",IF(O49=CURSOS!$D$9,"HUMANIZACION EN EL SERVICIO DE LA SALUD Y BUENAS PRACTICAS EN PACIENTE ",IF(O49=CURSOS!$D$10,"CLINICA DE HERIDAS ",IF(O49=CURSOS!$D$11,"TOMA DE CITOLOGIA CERVICO VAGINAL ",IF(O49=CURSOS!$D$12,"SOPORTE CARDIOVASCULAR AVANZADO (ACLS) ",IF(O49=CURSOS!$D$13,"CAMILLERO ",IF(O49=CURSOS!$D$14,"TOMA DE MUESTRAS Y LABORATORIO ",IF(O49=CURSOS!$D$15,"SOPORTE VITAL BASICO (BLS)",IF(O49=CURSOS!$D$16,"ATENCION A VICTIMAS DE VIOLENCIA SEXUAL ",IF(O49=CURSOS!$D$17,"PROGRAMADO AMPLIADO DE INMUNIZACION (PAI - COVID 19)",IF(O49=CURSOS!$D$18,"ATENCION INTEGRAL EN ENFERMEDADES PREVALENTES EN PRIMERA INFANCIA (AIEPI)",IF(O49=CURSOS!$D$19,"ADMINISTRACION DE MEDICAMENTOS, INYECTOLOGIA  Y CANALIZACION ",IF(O49=CURSOS!$D$20,"OPERADOR DE VEHICULOS DE EMERGENCIA (OVE)",IF(O49=CURSOS!$D$21,"INSTITUCIONES AMIGAS DE LA MUJER Y LA INFANCIA (IAMI)",IF(O49=CURSOS!$D$22,"CUIDADO DEL DONANTE DE ORGANOS",IF(O49=CURSOS!$D$23,"ATENCION A VICTIMAS POR VIOLENCIA DE GENERO",IF(O49=CURSOS!$D$24,"IGUALDAD DE GENERO EN LA SALUD",IF(O49=CURSOS!$D$25,"BRIGADA DE EMERGENCIA",IF(O49=CURSOS!$D$26,"MANEJO DEL DOLOR Y CUIDADOS PALIATIVOS",IF(O49=CURSOS!$D$27,"TOMA DE MUESTRAS Y LABORATORIO POCT",IF(O49=CURSOS!$D$28,"IMPLANTE SUBDERMICO DE DISPOSITIVO INTRAUTERINO",IF(O49=CURSOS!$D$29,"SALUD MENTAL",IF(O49=CURSOS!$D$30,"PRIMEROS AUXILIOS PSICOLOGICOS",IF(O49=CURSOS!$D$31,"ATENCION A VICTIMAS POR CONFLICTO ARMADO",IF(O49=CURSOS!$D$32,"MANIPULACION DE ALIMENTOS Y BPM",IF(O49=CURSOS!$D$33,"ATENCION A PERSONAS CON DISCAPACIDAD",IF(O49=CURSOS!$D$34,"CUIDADO INTEGRAL DEL PACIENTE ADULTO",IF(O49=CURSOS!$D$35,"MANEJO DEFENSIVO",IF(O49=CURSOS!$D$36,"SOPORTE CARDIOVASCULAR AVANZADO NEONATAL",IF(O49=CURSOS!$D$37,"SEGURIDAD DEL PACIENTE",IF(O49=CURSOS!$D$38,"MANEJO DE RESIDUOS HOSPITALARIOS"))))))))))))))))))))))))))))))))))))</f>
        <v xml:space="preserve">TOMA DE MUESTRAS Y LABORATORIO </v>
      </c>
      <c r="V49" s="87" t="str">
        <f t="shared" si="0"/>
        <v>Paola Sthefanny Rosero Torres</v>
      </c>
      <c r="W49" s="87" t="str">
        <f t="shared" si="1"/>
        <v>Paola Sthefanny Rosero Torres</v>
      </c>
      <c r="X49" s="87" t="str">
        <f t="shared" si="2"/>
        <v>Paola Sthefanny Rosero Torres-1085295345-TOMA DE MUESTRAS</v>
      </c>
    </row>
    <row r="50" spans="1:24" s="87" customFormat="1" x14ac:dyDescent="0.2">
      <c r="A50" s="86">
        <v>49</v>
      </c>
      <c r="B50" s="87">
        <v>1004192006</v>
      </c>
      <c r="C50" s="87" t="s">
        <v>141</v>
      </c>
      <c r="D50" s="87" t="s">
        <v>190</v>
      </c>
      <c r="E50" s="87" t="s">
        <v>191</v>
      </c>
      <c r="F50" s="87" t="s">
        <v>192</v>
      </c>
      <c r="G50" s="87">
        <v>15</v>
      </c>
      <c r="H50" s="87" t="s">
        <v>102</v>
      </c>
      <c r="I50" s="88" t="s">
        <v>111</v>
      </c>
      <c r="J50" s="89">
        <v>45580</v>
      </c>
      <c r="K50" s="90">
        <v>65000</v>
      </c>
      <c r="L50" s="87" t="s">
        <v>120</v>
      </c>
      <c r="M50" s="87" t="s">
        <v>85</v>
      </c>
      <c r="N50" s="87" t="s">
        <v>103</v>
      </c>
      <c r="O50" s="87" t="s">
        <v>19</v>
      </c>
      <c r="P50" s="88">
        <v>37600</v>
      </c>
      <c r="Q50" s="87" t="s">
        <v>96</v>
      </c>
      <c r="R50" s="87" t="s">
        <v>116</v>
      </c>
      <c r="S50" s="87">
        <v>3117173412</v>
      </c>
      <c r="T50" s="91" t="s">
        <v>212</v>
      </c>
      <c r="U50" s="87" t="str">
        <f>IF(O50=CURSOS!$D$3,"DIPLOMADO EN ATENCION PRE-HOSPITALARIA",IF(O50=CURSOS!$D$4,"ACOMPAÑAMIENTO Y MANEJO DEL DUELO",IF(O50=CURSOS!$D$5,"ATENCION A VICTIMAS DE ATAQUE CON AGENTES QUIMICOS ",IF(O50=CURSOS!$D$6,"PRIMEROS AUXILIOS ",IF(O50=CURSOS!$D$7,"DIPLOMADO DE UNIDAD DE CUIDADOS INTENSIVOS (UCI)",IF(O50=CURSOS!$D$8,"MODELO DE ATENCION PARA EVENTOS EMERGENTES EN SALUD MENTAL (CODIGO VERDE)",IF(O50=CURSOS!$D$9,"HUMANIZACION EN EL SERVICIO DE LA SALUD Y BUENAS PRACTICAS EN PACIENTE ",IF(O50=CURSOS!$D$10,"CLINICA DE HERIDAS ",IF(O50=CURSOS!$D$11,"TOMA DE CITOLOGIA CERVICO VAGINAL ",IF(O50=CURSOS!$D$12,"SOPORTE CARDIOVASCULAR AVANZADO (ACLS) ",IF(O50=CURSOS!$D$13,"CAMILLERO ",IF(O50=CURSOS!$D$14,"TOMA DE MUESTRAS Y LABORATORIO ",IF(O50=CURSOS!$D$15,"SOPORTE VITAL BASICO (BLS)",IF(O50=CURSOS!$D$16,"ATENCION A VICTIMAS DE VIOLENCIA SEXUAL ",IF(O50=CURSOS!$D$17,"PROGRAMADO AMPLIADO DE INMUNIZACION (PAI - COVID 19)",IF(O50=CURSOS!$D$18,"ATENCION INTEGRAL EN ENFERMEDADES PREVALENTES EN PRIMERA INFANCIA (AIEPI)",IF(O50=CURSOS!$D$19,"ADMINISTRACION DE MEDICAMENTOS, INYECTOLOGIA  Y CANALIZACION ",IF(O50=CURSOS!$D$20,"OPERADOR DE VEHICULOS DE EMERGENCIA (OVE)",IF(O50=CURSOS!$D$21,"INSTITUCIONES AMIGAS DE LA MUJER Y LA INFANCIA (IAMI)",IF(O50=CURSOS!$D$22,"CUIDADO DEL DONANTE DE ORGANOS",IF(O50=CURSOS!$D$23,"ATENCION A VICTIMAS POR VIOLENCIA DE GENERO",IF(O50=CURSOS!$D$24,"IGUALDAD DE GENERO EN LA SALUD",IF(O50=CURSOS!$D$25,"BRIGADA DE EMERGENCIA",IF(O50=CURSOS!$D$26,"MANEJO DEL DOLOR Y CUIDADOS PALIATIVOS",IF(O50=CURSOS!$D$27,"TOMA DE MUESTRAS Y LABORATORIO POCT",IF(O50=CURSOS!$D$28,"IMPLANTE SUBDERMICO DE DISPOSITIVO INTRAUTERINO",IF(O50=CURSOS!$D$29,"SALUD MENTAL",IF(O50=CURSOS!$D$30,"PRIMEROS AUXILIOS PSICOLOGICOS",IF(O50=CURSOS!$D$31,"ATENCION A VICTIMAS POR CONFLICTO ARMADO",IF(O50=CURSOS!$D$32,"MANIPULACION DE ALIMENTOS Y BPM",IF(O50=CURSOS!$D$33,"ATENCION A PERSONAS CON DISCAPACIDAD",IF(O50=CURSOS!$D$34,"CUIDADO INTEGRAL DEL PACIENTE ADULTO",IF(O50=CURSOS!$D$35,"MANEJO DEFENSIVO",IF(O50=CURSOS!$D$36,"SOPORTE CARDIOVASCULAR AVANZADO NEONATAL",IF(O50=CURSOS!$D$37,"SEGURIDAD DEL PACIENTE",IF(O50=CURSOS!$D$38,"MANEJO DE RESIDUOS HOSPITALARIOS"))))))))))))))))))))))))))))))))))))</f>
        <v>SOPORTE VITAL BASICO (BLS)</v>
      </c>
      <c r="V50" s="87" t="str">
        <f t="shared" si="0"/>
        <v>Maria Isabel Benavides Caicedo</v>
      </c>
      <c r="W50" s="87" t="str">
        <f t="shared" si="1"/>
        <v>Maria Isabel Benavides Caicedo</v>
      </c>
      <c r="X50" s="87" t="str">
        <f t="shared" si="2"/>
        <v>Maria Isabel Benavides Caicedo-1004192006-BLS</v>
      </c>
    </row>
    <row r="51" spans="1:24" s="87" customFormat="1" x14ac:dyDescent="0.2">
      <c r="A51" s="86">
        <v>50</v>
      </c>
      <c r="B51" s="87">
        <v>1085290587</v>
      </c>
      <c r="C51" s="87" t="s">
        <v>194</v>
      </c>
      <c r="D51" s="87" t="s">
        <v>195</v>
      </c>
      <c r="E51" s="87" t="s">
        <v>196</v>
      </c>
      <c r="F51" s="87" t="s">
        <v>211</v>
      </c>
      <c r="G51" s="87">
        <v>15</v>
      </c>
      <c r="H51" s="87" t="s">
        <v>102</v>
      </c>
      <c r="I51" s="88" t="s">
        <v>111</v>
      </c>
      <c r="J51" s="89">
        <v>45580</v>
      </c>
      <c r="K51" s="90">
        <v>65000</v>
      </c>
      <c r="L51" s="87" t="s">
        <v>120</v>
      </c>
      <c r="M51" s="87" t="s">
        <v>85</v>
      </c>
      <c r="N51" s="87" t="s">
        <v>103</v>
      </c>
      <c r="O51" s="87" t="s">
        <v>19</v>
      </c>
      <c r="P51" s="88">
        <v>33439</v>
      </c>
      <c r="Q51" s="87" t="s">
        <v>96</v>
      </c>
      <c r="R51" s="87" t="s">
        <v>198</v>
      </c>
      <c r="S51" s="91">
        <v>3127560541</v>
      </c>
      <c r="T51" s="87" t="s">
        <v>199</v>
      </c>
      <c r="U51" s="87" t="str">
        <f>IF(O51=CURSOS!$D$3,"DIPLOMADO EN ATENCION PRE-HOSPITALARIA",IF(O51=CURSOS!$D$4,"ACOMPAÑAMIENTO Y MANEJO DEL DUELO",IF(O51=CURSOS!$D$5,"ATENCION A VICTIMAS DE ATAQUE CON AGENTES QUIMICOS ",IF(O51=CURSOS!$D$6,"PRIMEROS AUXILIOS ",IF(O51=CURSOS!$D$7,"DIPLOMADO DE UNIDAD DE CUIDADOS INTENSIVOS (UCI)",IF(O51=CURSOS!$D$8,"MODELO DE ATENCION PARA EVENTOS EMERGENTES EN SALUD MENTAL (CODIGO VERDE)",IF(O51=CURSOS!$D$9,"HUMANIZACION EN EL SERVICIO DE LA SALUD Y BUENAS PRACTICAS EN PACIENTE ",IF(O51=CURSOS!$D$10,"CLINICA DE HERIDAS ",IF(O51=CURSOS!$D$11,"TOMA DE CITOLOGIA CERVICO VAGINAL ",IF(O51=CURSOS!$D$12,"SOPORTE CARDIOVASCULAR AVANZADO (ACLS) ",IF(O51=CURSOS!$D$13,"CAMILLERO ",IF(O51=CURSOS!$D$14,"TOMA DE MUESTRAS Y LABORATORIO ",IF(O51=CURSOS!$D$15,"SOPORTE VITAL BASICO (BLS)",IF(O51=CURSOS!$D$16,"ATENCION A VICTIMAS DE VIOLENCIA SEXUAL ",IF(O51=CURSOS!$D$17,"PROGRAMADO AMPLIADO DE INMUNIZACION (PAI - COVID 19)",IF(O51=CURSOS!$D$18,"ATENCION INTEGRAL EN ENFERMEDADES PREVALENTES EN PRIMERA INFANCIA (AIEPI)",IF(O51=CURSOS!$D$19,"ADMINISTRACION DE MEDICAMENTOS, INYECTOLOGIA  Y CANALIZACION ",IF(O51=CURSOS!$D$20,"OPERADOR DE VEHICULOS DE EMERGENCIA (OVE)",IF(O51=CURSOS!$D$21,"INSTITUCIONES AMIGAS DE LA MUJER Y LA INFANCIA (IAMI)",IF(O51=CURSOS!$D$22,"CUIDADO DEL DONANTE DE ORGANOS",IF(O51=CURSOS!$D$23,"ATENCION A VICTIMAS POR VIOLENCIA DE GENERO",IF(O51=CURSOS!$D$24,"IGUALDAD DE GENERO EN LA SALUD",IF(O51=CURSOS!$D$25,"BRIGADA DE EMERGENCIA",IF(O51=CURSOS!$D$26,"MANEJO DEL DOLOR Y CUIDADOS PALIATIVOS",IF(O51=CURSOS!$D$27,"TOMA DE MUESTRAS Y LABORATORIO POCT",IF(O51=CURSOS!$D$28,"IMPLANTE SUBDERMICO DE DISPOSITIVO INTRAUTERINO",IF(O51=CURSOS!$D$29,"SALUD MENTAL",IF(O51=CURSOS!$D$30,"PRIMEROS AUXILIOS PSICOLOGICOS",IF(O51=CURSOS!$D$31,"ATENCION A VICTIMAS POR CONFLICTO ARMADO",IF(O51=CURSOS!$D$32,"MANIPULACION DE ALIMENTOS Y BPM",IF(O51=CURSOS!$D$33,"ATENCION A PERSONAS CON DISCAPACIDAD",IF(O51=CURSOS!$D$34,"CUIDADO INTEGRAL DEL PACIENTE ADULTO",IF(O51=CURSOS!$D$35,"MANEJO DEFENSIVO",IF(O51=CURSOS!$D$36,"SOPORTE CARDIOVASCULAR AVANZADO NEONATAL",IF(O51=CURSOS!$D$37,"SEGURIDAD DEL PACIENTE",IF(O51=CURSOS!$D$38,"MANEJO DE RESIDUOS HOSPITALARIOS"))))))))))))))))))))))))))))))))))))</f>
        <v>SOPORTE VITAL BASICO (BLS)</v>
      </c>
      <c r="V51" s="87" t="str">
        <f t="shared" si="0"/>
        <v>Tania Maricel Marcillo Escobar</v>
      </c>
      <c r="W51" s="87" t="str">
        <f t="shared" si="1"/>
        <v>Tania Maricel Marcillo Escobar</v>
      </c>
      <c r="X51" s="87" t="str">
        <f t="shared" si="2"/>
        <v>Tania Maricel Marcillo Escobar-1085290587-BLS</v>
      </c>
    </row>
    <row r="52" spans="1:24" s="49" customFormat="1" x14ac:dyDescent="0.2">
      <c r="A52" s="55">
        <v>51</v>
      </c>
      <c r="B52" s="50">
        <v>1080045349</v>
      </c>
      <c r="C52" s="50" t="s">
        <v>213</v>
      </c>
      <c r="D52" s="50" t="s">
        <v>160</v>
      </c>
      <c r="E52" s="50" t="s">
        <v>214</v>
      </c>
      <c r="F52" s="50" t="s">
        <v>107</v>
      </c>
      <c r="G52" s="50">
        <v>15</v>
      </c>
      <c r="H52" s="50" t="s">
        <v>102</v>
      </c>
      <c r="I52" s="52" t="s">
        <v>108</v>
      </c>
      <c r="J52" s="56">
        <v>45581</v>
      </c>
      <c r="K52" s="57">
        <v>30000</v>
      </c>
      <c r="L52" s="50" t="s">
        <v>149</v>
      </c>
      <c r="M52" s="50" t="s">
        <v>85</v>
      </c>
      <c r="N52" s="50" t="s">
        <v>215</v>
      </c>
      <c r="O52" s="50" t="s">
        <v>216</v>
      </c>
      <c r="P52" s="52">
        <v>38685</v>
      </c>
      <c r="Q52" s="50" t="s">
        <v>96</v>
      </c>
      <c r="R52" s="50" t="s">
        <v>116</v>
      </c>
      <c r="S52" s="58">
        <v>3182282572</v>
      </c>
      <c r="T52" s="58" t="s">
        <v>217</v>
      </c>
      <c r="U52" s="59" t="str">
        <f>IF(O52=CURSOS!$D$3,"DIPLOMADO EN ATENCION PRE-HOSPITALARIA",IF(O52=CURSOS!$D$4,"ACOMPAÑAMIENTO Y MANEJO DEL DUELO",IF(O52=CURSOS!$D$5,"ATENCION A VICTIMAS DE ATAQUE CON AGENTES QUIMICOS ",IF(O52=CURSOS!$D$6,"PRIMEROS AUXILIOS ",IF(O52=CURSOS!$D$7,"DIPLOMADO DE UNIDAD DE CUIDADOS INTENSIVOS (UCI)",IF(O52=CURSOS!$D$8,"MODELO DE ATENCION PARA EVENTOS EMERGENTES EN SALUD MENTAL (CODIGO VERDE)",IF(O52=CURSOS!$D$9,"HUMANIZACION EN EL SERVICIO DE LA SALUD Y BUENAS PRACTICAS EN PACIENTE ",IF(O52=CURSOS!$D$10,"CLINICA DE HERIDAS ",IF(O52=CURSOS!$D$11,"TOMA DE CITOLOGIA CERVICO VAGINAL ",IF(O52=CURSOS!$D$12,"SOPORTE CARDIOVASCULAR AVANZADO (ACLS) ",IF(O52=CURSOS!$D$13,"CAMILLERO ",IF(O52=CURSOS!$D$14,"TOMA DE MUESTRAS Y LABORATORIO ",IF(O52=CURSOS!$D$15,"SOPORTE VITAL BASICO (BLS)",IF(O52=CURSOS!$D$16,"ATENCION A VICTIMAS DE VIOLENCIA SEXUAL ",IF(O52=CURSOS!$D$17,"PROGRAMADO AMPLIADO DE INMUNIZACION (PAI - COVID 19)",IF(O52=CURSOS!$D$18,"ATENCION INTEGRAL EN ENFERMEDADES PREVALENTES EN PRIMERA INFANCIA (AIEPI)",IF(O52=CURSOS!$D$19,"ADMINISTRACION DE MEDICAMENTOS, INYECTOLOGIA  Y CANALIZACION ",IF(O52=CURSOS!$D$20,"OPERADOR DE VEHICULOS DE EMERGENCIA (OVE)",IF(O52=CURSOS!$D$21,"INSTITUCIONES AMIGAS DE LA MUJER Y LA INFANCIA (IAMI)",IF(O52=CURSOS!$D$22,"CUIDADO DEL DONANTE DE ORGANOS",IF(O52=CURSOS!$D$23,"ATENCION A VICTIMAS POR VIOLENCIA DE GENERO",IF(O52=CURSOS!$D$24,"IGUALDAD DE GENERO EN LA SALUD",IF(O52=CURSOS!$D$25,"BRIGADA DE EMERGENCIA",IF(O52=CURSOS!$D$26,"MANEJO DEL DOLOR Y CUIDADOS PALIATIVOS",IF(O52=CURSOS!$D$27,"TOMA DE MUESTRAS Y LABORATORIO POCT",IF(O52=CURSOS!$D$28,"IMPLANTE SUBDERMICO DE DISPOSITIVO INTRAUTERINO",IF(O52=CURSOS!$D$29,"SALUD MENTAL",IF(O52=CURSOS!$D$30,"PRIMEROS AUXILIOS PSICOLOGICOS",IF(O52=CURSOS!$D$31,"ATENCION A VICTIMAS POR CONFLICTO ARMADO",IF(O52=CURSOS!$D$32,"MANIPULACION DE ALIMENTOS Y BPM",IF(O52=CURSOS!$D$33,"ATENCION A PERSONAS CON DISCAPACIDAD",IF(O52=CURSOS!$D$34,"CUIDADO INTEGRAL DEL PACIENTE ADULTO",IF(O52=CURSOS!$D$35,"MANEJO DEFENSIVO",IF(O52=CURSOS!$D$36,"SOPORTE CARDIOVASCULAR AVANZADO NEONATAL",IF(O52=CURSOS!$D$37,"SEGURIDAD DEL PACIENTE",IF(O52=CURSOS!$D$38,"MANEJO DE RESIDUOS HOSPITALARIOS"))))))))))))))))))))))))))))))))))))</f>
        <v>MANEJO DE RESIDUOS HOSPITALARIOS</v>
      </c>
      <c r="V52" s="59" t="str">
        <f t="shared" si="0"/>
        <v>Sharita Valentina Nieto Obando</v>
      </c>
      <c r="W52" s="59" t="str">
        <f t="shared" si="1"/>
        <v>Sharita Valentina Nieto Obando</v>
      </c>
      <c r="X52" s="59" t="str">
        <f t="shared" si="2"/>
        <v>Sharita Valentina Nieto Obando-1080045349-RESIDUOS</v>
      </c>
    </row>
    <row r="53" spans="1:24" x14ac:dyDescent="0.2">
      <c r="A53" s="55">
        <v>52</v>
      </c>
      <c r="B53" s="50">
        <v>1085336189</v>
      </c>
      <c r="C53" s="50" t="s">
        <v>218</v>
      </c>
      <c r="D53" s="50" t="s">
        <v>160</v>
      </c>
      <c r="E53" s="50" t="s">
        <v>219</v>
      </c>
      <c r="F53" s="50" t="s">
        <v>220</v>
      </c>
      <c r="G53" s="50">
        <v>15</v>
      </c>
      <c r="H53" s="50" t="s">
        <v>102</v>
      </c>
      <c r="I53" s="52" t="s">
        <v>108</v>
      </c>
      <c r="J53" s="56">
        <v>45581</v>
      </c>
      <c r="K53" s="57">
        <v>30000</v>
      </c>
      <c r="L53" s="50" t="s">
        <v>149</v>
      </c>
      <c r="M53" s="50" t="s">
        <v>85</v>
      </c>
      <c r="N53" s="50" t="s">
        <v>215</v>
      </c>
      <c r="O53" s="50" t="s">
        <v>216</v>
      </c>
      <c r="P53" s="52">
        <v>35658</v>
      </c>
      <c r="Q53" s="50" t="s">
        <v>96</v>
      </c>
      <c r="R53" s="50" t="s">
        <v>221</v>
      </c>
      <c r="S53" s="50">
        <v>3108205079</v>
      </c>
      <c r="T53" s="50" t="s">
        <v>222</v>
      </c>
      <c r="U53" s="59" t="str">
        <f>IF(O53=CURSOS!$D$3,"DIPLOMADO EN ATENCION PRE-HOSPITALARIA",IF(O53=CURSOS!$D$4,"ACOMPAÑAMIENTO Y MANEJO DEL DUELO",IF(O53=CURSOS!$D$5,"ATENCION A VICTIMAS DE ATAQUE CON AGENTES QUIMICOS ",IF(O53=CURSOS!$D$6,"PRIMEROS AUXILIOS ",IF(O53=CURSOS!$D$7,"DIPLOMADO DE UNIDAD DE CUIDADOS INTENSIVOS (UCI)",IF(O53=CURSOS!$D$8,"MODELO DE ATENCION PARA EVENTOS EMERGENTES EN SALUD MENTAL (CODIGO VERDE)",IF(O53=CURSOS!$D$9,"HUMANIZACION EN EL SERVICIO DE LA SALUD Y BUENAS PRACTICAS EN PACIENTE ",IF(O53=CURSOS!$D$10,"CLINICA DE HERIDAS ",IF(O53=CURSOS!$D$11,"TOMA DE CITOLOGIA CERVICO VAGINAL ",IF(O53=CURSOS!$D$12,"SOPORTE CARDIOVASCULAR AVANZADO (ACLS) ",IF(O53=CURSOS!$D$13,"CAMILLERO ",IF(O53=CURSOS!$D$14,"TOMA DE MUESTRAS Y LABORATORIO ",IF(O53=CURSOS!$D$15,"SOPORTE VITAL BASICO (BLS)",IF(O53=CURSOS!$D$16,"ATENCION A VICTIMAS DE VIOLENCIA SEXUAL ",IF(O53=CURSOS!$D$17,"PROGRAMADO AMPLIADO DE INMUNIZACION (PAI - COVID 19)",IF(O53=CURSOS!$D$18,"ATENCION INTEGRAL EN ENFERMEDADES PREVALENTES EN PRIMERA INFANCIA (AIEPI)",IF(O53=CURSOS!$D$19,"ADMINISTRACION DE MEDICAMENTOS, INYECTOLOGIA  Y CANALIZACION ",IF(O53=CURSOS!$D$20,"OPERADOR DE VEHICULOS DE EMERGENCIA (OVE)",IF(O53=CURSOS!$D$21,"INSTITUCIONES AMIGAS DE LA MUJER Y LA INFANCIA (IAMI)",IF(O53=CURSOS!$D$22,"CUIDADO DEL DONANTE DE ORGANOS",IF(O53=CURSOS!$D$23,"ATENCION A VICTIMAS POR VIOLENCIA DE GENERO",IF(O53=CURSOS!$D$24,"IGUALDAD DE GENERO EN LA SALUD",IF(O53=CURSOS!$D$25,"BRIGADA DE EMERGENCIA",IF(O53=CURSOS!$D$26,"MANEJO DEL DOLOR Y CUIDADOS PALIATIVOS",IF(O53=CURSOS!$D$27,"TOMA DE MUESTRAS Y LABORATORIO POCT",IF(O53=CURSOS!$D$28,"IMPLANTE SUBDERMICO DE DISPOSITIVO INTRAUTERINO",IF(O53=CURSOS!$D$29,"SALUD MENTAL",IF(O53=CURSOS!$D$30,"PRIMEROS AUXILIOS PSICOLOGICOS",IF(O53=CURSOS!$D$31,"ATENCION A VICTIMAS POR CONFLICTO ARMADO",IF(O53=CURSOS!$D$32,"MANIPULACION DE ALIMENTOS Y BPM",IF(O53=CURSOS!$D$33,"ATENCION A PERSONAS CON DISCAPACIDAD",IF(O53=CURSOS!$D$34,"CUIDADO INTEGRAL DEL PACIENTE ADULTO",IF(O53=CURSOS!$D$35,"MANEJO DEFENSIVO",IF(O53=CURSOS!$D$36,"SOPORTE CARDIOVASCULAR AVANZADO NEONATAL",IF(O53=CURSOS!$D$37,"SEGURIDAD DEL PACIENTE",IF(O53=CURSOS!$D$38,"MANEJO DE RESIDUOS HOSPITALARIOS"))))))))))))))))))))))))))))))))))))</f>
        <v>MANEJO DE RESIDUOS HOSPITALARIOS</v>
      </c>
      <c r="V53" s="59" t="str">
        <f t="shared" si="0"/>
        <v>Tita Alejandra Termal Obando</v>
      </c>
      <c r="W53" s="59" t="str">
        <f t="shared" si="1"/>
        <v>Tita Alejandra Termal Obando</v>
      </c>
      <c r="X53" s="59" t="str">
        <f t="shared" si="2"/>
        <v>Tita Alejandra Termal Obando-1085336189-RESIDUOS</v>
      </c>
    </row>
    <row r="54" spans="1:24" x14ac:dyDescent="0.2">
      <c r="A54" s="55">
        <v>53</v>
      </c>
      <c r="B54" s="50">
        <v>36750166</v>
      </c>
      <c r="C54" s="50" t="s">
        <v>160</v>
      </c>
      <c r="D54" s="50" t="s">
        <v>141</v>
      </c>
      <c r="E54" s="50" t="s">
        <v>223</v>
      </c>
      <c r="F54" s="50" t="s">
        <v>224</v>
      </c>
      <c r="G54" s="50">
        <v>15</v>
      </c>
      <c r="H54" s="50" t="s">
        <v>102</v>
      </c>
      <c r="I54" s="52" t="s">
        <v>108</v>
      </c>
      <c r="J54" s="56">
        <v>45581</v>
      </c>
      <c r="K54" s="57">
        <v>30000</v>
      </c>
      <c r="L54" s="50" t="s">
        <v>149</v>
      </c>
      <c r="M54" s="50" t="s">
        <v>85</v>
      </c>
      <c r="N54" s="50" t="s">
        <v>215</v>
      </c>
      <c r="O54" s="50" t="s">
        <v>216</v>
      </c>
      <c r="P54" s="52">
        <v>28449</v>
      </c>
      <c r="Q54" s="50" t="s">
        <v>96</v>
      </c>
      <c r="R54" s="50" t="s">
        <v>225</v>
      </c>
      <c r="S54" s="50">
        <v>3178421452</v>
      </c>
      <c r="T54" s="50" t="s">
        <v>226</v>
      </c>
      <c r="U54" s="59" t="str">
        <f>IF(O54=CURSOS!$D$3,"DIPLOMADO EN ATENCION PRE-HOSPITALARIA",IF(O54=CURSOS!$D$4,"ACOMPAÑAMIENTO Y MANEJO DEL DUELO",IF(O54=CURSOS!$D$5,"ATENCION A VICTIMAS DE ATAQUE CON AGENTES QUIMICOS ",IF(O54=CURSOS!$D$6,"PRIMEROS AUXILIOS ",IF(O54=CURSOS!$D$7,"DIPLOMADO DE UNIDAD DE CUIDADOS INTENSIVOS (UCI)",IF(O54=CURSOS!$D$8,"MODELO DE ATENCION PARA EVENTOS EMERGENTES EN SALUD MENTAL (CODIGO VERDE)",IF(O54=CURSOS!$D$9,"HUMANIZACION EN EL SERVICIO DE LA SALUD Y BUENAS PRACTICAS EN PACIENTE ",IF(O54=CURSOS!$D$10,"CLINICA DE HERIDAS ",IF(O54=CURSOS!$D$11,"TOMA DE CITOLOGIA CERVICO VAGINAL ",IF(O54=CURSOS!$D$12,"SOPORTE CARDIOVASCULAR AVANZADO (ACLS) ",IF(O54=CURSOS!$D$13,"CAMILLERO ",IF(O54=CURSOS!$D$14,"TOMA DE MUESTRAS Y LABORATORIO ",IF(O54=CURSOS!$D$15,"SOPORTE VITAL BASICO (BLS)",IF(O54=CURSOS!$D$16,"ATENCION A VICTIMAS DE VIOLENCIA SEXUAL ",IF(O54=CURSOS!$D$17,"PROGRAMADO AMPLIADO DE INMUNIZACION (PAI - COVID 19)",IF(O54=CURSOS!$D$18,"ATENCION INTEGRAL EN ENFERMEDADES PREVALENTES EN PRIMERA INFANCIA (AIEPI)",IF(O54=CURSOS!$D$19,"ADMINISTRACION DE MEDICAMENTOS, INYECTOLOGIA  Y CANALIZACION ",IF(O54=CURSOS!$D$20,"OPERADOR DE VEHICULOS DE EMERGENCIA (OVE)",IF(O54=CURSOS!$D$21,"INSTITUCIONES AMIGAS DE LA MUJER Y LA INFANCIA (IAMI)",IF(O54=CURSOS!$D$22,"CUIDADO DEL DONANTE DE ORGANOS",IF(O54=CURSOS!$D$23,"ATENCION A VICTIMAS POR VIOLENCIA DE GENERO",IF(O54=CURSOS!$D$24,"IGUALDAD DE GENERO EN LA SALUD",IF(O54=CURSOS!$D$25,"BRIGADA DE EMERGENCIA",IF(O54=CURSOS!$D$26,"MANEJO DEL DOLOR Y CUIDADOS PALIATIVOS",IF(O54=CURSOS!$D$27,"TOMA DE MUESTRAS Y LABORATORIO POCT",IF(O54=CURSOS!$D$28,"IMPLANTE SUBDERMICO DE DISPOSITIVO INTRAUTERINO",IF(O54=CURSOS!$D$29,"SALUD MENTAL",IF(O54=CURSOS!$D$30,"PRIMEROS AUXILIOS PSICOLOGICOS",IF(O54=CURSOS!$D$31,"ATENCION A VICTIMAS POR CONFLICTO ARMADO",IF(O54=CURSOS!$D$32,"MANIPULACION DE ALIMENTOS Y BPM",IF(O54=CURSOS!$D$33,"ATENCION A PERSONAS CON DISCAPACIDAD",IF(O54=CURSOS!$D$34,"CUIDADO INTEGRAL DEL PACIENTE ADULTO",IF(O54=CURSOS!$D$35,"MANEJO DEFENSIVO",IF(O54=CURSOS!$D$36,"SOPORTE CARDIOVASCULAR AVANZADO NEONATAL",IF(O54=CURSOS!$D$37,"SEGURIDAD DEL PACIENTE",IF(O54=CURSOS!$D$38,"MANEJO DE RESIDUOS HOSPITALARIOS"))))))))))))))))))))))))))))))))))))</f>
        <v>MANEJO DE RESIDUOS HOSPITALARIOS</v>
      </c>
      <c r="V54" s="59" t="str">
        <f t="shared" si="0"/>
        <v>Dora Cecilia Obando Benavides</v>
      </c>
      <c r="W54" s="59" t="str">
        <f t="shared" si="1"/>
        <v>Dora Cecilia Obando Benavides</v>
      </c>
      <c r="X54" s="59" t="str">
        <f t="shared" si="2"/>
        <v>Dora Cecilia Obando Benavides-36750166-RESIDUOS</v>
      </c>
    </row>
    <row r="55" spans="1:24" x14ac:dyDescent="0.2">
      <c r="A55" s="55">
        <v>54</v>
      </c>
      <c r="B55" s="62">
        <v>1085248753</v>
      </c>
      <c r="C55" s="62" t="s">
        <v>160</v>
      </c>
      <c r="D55" s="62" t="s">
        <v>141</v>
      </c>
      <c r="E55" s="62" t="s">
        <v>146</v>
      </c>
      <c r="F55" s="62" t="s">
        <v>156</v>
      </c>
      <c r="G55" s="62">
        <v>15</v>
      </c>
      <c r="H55" s="62" t="s">
        <v>102</v>
      </c>
      <c r="I55" s="63" t="s">
        <v>108</v>
      </c>
      <c r="J55" s="64">
        <v>45581</v>
      </c>
      <c r="K55" s="65">
        <v>30000</v>
      </c>
      <c r="L55" s="62" t="s">
        <v>149</v>
      </c>
      <c r="M55" s="62" t="s">
        <v>85</v>
      </c>
      <c r="N55" s="62" t="s">
        <v>215</v>
      </c>
      <c r="O55" s="62" t="s">
        <v>216</v>
      </c>
      <c r="P55" s="63">
        <v>31529</v>
      </c>
      <c r="Q55" s="62" t="s">
        <v>96</v>
      </c>
      <c r="R55" s="62" t="s">
        <v>225</v>
      </c>
      <c r="S55" s="62">
        <v>3226539449</v>
      </c>
      <c r="T55" s="62" t="s">
        <v>227</v>
      </c>
      <c r="U55" s="59" t="str">
        <f>IF(O55=CURSOS!$D$3,"DIPLOMADO EN ATENCION PRE-HOSPITALARIA",IF(O55=CURSOS!$D$4,"ACOMPAÑAMIENTO Y MANEJO DEL DUELO",IF(O55=CURSOS!$D$5,"ATENCION A VICTIMAS DE ATAQUE CON AGENTES QUIMICOS ",IF(O55=CURSOS!$D$6,"PRIMEROS AUXILIOS ",IF(O55=CURSOS!$D$7,"DIPLOMADO DE UNIDAD DE CUIDADOS INTENSIVOS (UCI)",IF(O55=CURSOS!$D$8,"MODELO DE ATENCION PARA EVENTOS EMERGENTES EN SALUD MENTAL (CODIGO VERDE)",IF(O55=CURSOS!$D$9,"HUMANIZACION EN EL SERVICIO DE LA SALUD Y BUENAS PRACTICAS EN PACIENTE ",IF(O55=CURSOS!$D$10,"CLINICA DE HERIDAS ",IF(O55=CURSOS!$D$11,"TOMA DE CITOLOGIA CERVICO VAGINAL ",IF(O55=CURSOS!$D$12,"SOPORTE CARDIOVASCULAR AVANZADO (ACLS) ",IF(O55=CURSOS!$D$13,"CAMILLERO ",IF(O55=CURSOS!$D$14,"TOMA DE MUESTRAS Y LABORATORIO ",IF(O55=CURSOS!$D$15,"SOPORTE VITAL BASICO (BLS)",IF(O55=CURSOS!$D$16,"ATENCION A VICTIMAS DE VIOLENCIA SEXUAL ",IF(O55=CURSOS!$D$17,"PROGRAMADO AMPLIADO DE INMUNIZACION (PAI - COVID 19)",IF(O55=CURSOS!$D$18,"ATENCION INTEGRAL EN ENFERMEDADES PREVALENTES EN PRIMERA INFANCIA (AIEPI)",IF(O55=CURSOS!$D$19,"ADMINISTRACION DE MEDICAMENTOS, INYECTOLOGIA  Y CANALIZACION ",IF(O55=CURSOS!$D$20,"OPERADOR DE VEHICULOS DE EMERGENCIA (OVE)",IF(O55=CURSOS!$D$21,"INSTITUCIONES AMIGAS DE LA MUJER Y LA INFANCIA (IAMI)",IF(O55=CURSOS!$D$22,"CUIDADO DEL DONANTE DE ORGANOS",IF(O55=CURSOS!$D$23,"ATENCION A VICTIMAS POR VIOLENCIA DE GENERO",IF(O55=CURSOS!$D$24,"IGUALDAD DE GENERO EN LA SALUD",IF(O55=CURSOS!$D$25,"BRIGADA DE EMERGENCIA",IF(O55=CURSOS!$D$26,"MANEJO DEL DOLOR Y CUIDADOS PALIATIVOS",IF(O55=CURSOS!$D$27,"TOMA DE MUESTRAS Y LABORATORIO POCT",IF(O55=CURSOS!$D$28,"IMPLANTE SUBDERMICO DE DISPOSITIVO INTRAUTERINO",IF(O55=CURSOS!$D$29,"SALUD MENTAL",IF(O55=CURSOS!$D$30,"PRIMEROS AUXILIOS PSICOLOGICOS",IF(O55=CURSOS!$D$31,"ATENCION A VICTIMAS POR CONFLICTO ARMADO",IF(O55=CURSOS!$D$32,"MANIPULACION DE ALIMENTOS Y BPM",IF(O55=CURSOS!$D$33,"ATENCION A PERSONAS CON DISCAPACIDAD",IF(O55=CURSOS!$D$34,"CUIDADO INTEGRAL DEL PACIENTE ADULTO",IF(O55=CURSOS!$D$35,"MANEJO DEFENSIVO",IF(O55=CURSOS!$D$36,"SOPORTE CARDIOVASCULAR AVANZADO NEONATAL",IF(O55=CURSOS!$D$37,"SEGURIDAD DEL PACIENTE",IF(O55=CURSOS!$D$38,"MANEJO DE RESIDUOS HOSPITALARIOS"))))))))))))))))))))))))))))))))))))</f>
        <v>MANEJO DE RESIDUOS HOSPITALARIOS</v>
      </c>
      <c r="V55" s="59" t="str">
        <f t="shared" si="0"/>
        <v>Angela Viviana Obando Benavides</v>
      </c>
      <c r="W55" s="59" t="str">
        <f t="shared" si="1"/>
        <v>Angela Viviana Obando Benavides</v>
      </c>
      <c r="X55" s="59" t="str">
        <f t="shared" si="2"/>
        <v>Angela Viviana Obando Benavides-1085248753-RESIDUOS</v>
      </c>
    </row>
    <row r="56" spans="1:24" x14ac:dyDescent="0.2">
      <c r="A56" s="67">
        <v>55</v>
      </c>
      <c r="B56" s="50">
        <v>1085337964</v>
      </c>
      <c r="C56" s="50" t="s">
        <v>140</v>
      </c>
      <c r="D56" s="50" t="s">
        <v>141</v>
      </c>
      <c r="E56" s="50" t="s">
        <v>142</v>
      </c>
      <c r="F56" s="50" t="s">
        <v>143</v>
      </c>
      <c r="G56" s="50">
        <v>16</v>
      </c>
      <c r="H56" s="50" t="s">
        <v>102</v>
      </c>
      <c r="I56" s="52" t="s">
        <v>108</v>
      </c>
      <c r="J56" s="56">
        <v>45551</v>
      </c>
      <c r="K56" s="60">
        <v>40000</v>
      </c>
      <c r="L56" s="50" t="s">
        <v>149</v>
      </c>
      <c r="M56" s="50" t="s">
        <v>136</v>
      </c>
      <c r="N56" s="50" t="s">
        <v>103</v>
      </c>
      <c r="O56" s="50" t="s">
        <v>63</v>
      </c>
      <c r="P56" s="52">
        <v>35703</v>
      </c>
      <c r="Q56" s="50" t="s">
        <v>96</v>
      </c>
      <c r="R56" s="50" t="s">
        <v>230</v>
      </c>
      <c r="S56" s="50">
        <v>3222639912</v>
      </c>
      <c r="T56" s="50" t="s">
        <v>144</v>
      </c>
      <c r="U56" s="59" t="str">
        <f>IF(O56=CURSOS!$D$3,"DIPLOMADO EN ATENCION PRE-HOSPITALARIA",IF(O56=CURSOS!$D$4,"ACOMPAÑAMIENTO Y MANEJO DEL DUELO",IF(O56=CURSOS!$D$5,"ATENCION A VICTIMAS DE ATAQUE CON AGENTES QUIMICOS ",IF(O56=CURSOS!$D$6,"PRIMEROS AUXILIOS ",IF(O56=CURSOS!$D$7,"DIPLOMADO DE UNIDAD DE CUIDADOS INTENSIVOS (UCI)",IF(O56=CURSOS!$D$8,"MODELO DE ATENCION PARA EVENTOS EMERGENTES EN SALUD MENTAL (CODIGO VERDE)",IF(O56=CURSOS!$D$9,"HUMANIZACION EN EL SERVICIO DE LA SALUD Y BUENAS PRACTICAS EN PACIENTE ",IF(O56=CURSOS!$D$10,"CLINICA DE HERIDAS ",IF(O56=CURSOS!$D$11,"TOMA DE CITOLOGIA CERVICO VAGINAL ",IF(O56=CURSOS!$D$12,"SOPORTE CARDIOVASCULAR AVANZADO (ACLS) ",IF(O56=CURSOS!$D$13,"CAMILLERO ",IF(O56=CURSOS!$D$14,"TOMA DE MUESTRAS Y LABORATORIO ",IF(O56=CURSOS!$D$15,"SOPORTE VITAL BASICO (BLS)",IF(O56=CURSOS!$D$16,"ATENCION A VICTIMAS DE VIOLENCIA SEXUAL ",IF(O56=CURSOS!$D$17,"PROGRAMADO AMPLIADO DE INMUNIZACION (PAI - COVID 19)",IF(O56=CURSOS!$D$18,"ATENCION INTEGRAL EN ENFERMEDADES PREVALENTES EN PRIMERA INFANCIA (AIEPI)",IF(O56=CURSOS!$D$19,"ADMINISTRACION DE MEDICAMENTOS, INYECTOLOGIA  Y CANALIZACION ",IF(O56=CURSOS!$D$20,"OPERADOR DE VEHICULOS DE EMERGENCIA (OVE)",IF(O56=CURSOS!$D$21,"INSTITUCIONES AMIGAS DE LA MUJER Y LA INFANCIA (IAMI)",IF(O56=CURSOS!$D$22,"CUIDADO DEL DONANTE DE ORGANOS",IF(O56=CURSOS!$D$23,"ATENCION A VICTIMAS POR VIOLENCIA DE GENERO",IF(O56=CURSOS!$D$24,"IGUALDAD DE GENERO EN LA SALUD",IF(O56=CURSOS!$D$25,"BRIGADA DE EMERGENCIA",IF(O56=CURSOS!$D$26,"MANEJO DEL DOLOR Y CUIDADOS PALIATIVOS",IF(O56=CURSOS!$D$27,"TOMA DE MUESTRAS Y LABORATORIO POCT",IF(O56=CURSOS!$D$28,"IMPLANTE SUBDERMICO DE DISPOSITIVO INTRAUTERINO",IF(O56=CURSOS!$D$29,"SALUD MENTAL",IF(O56=CURSOS!$D$30,"PRIMEROS AUXILIOS PSICOLOGICOS",IF(O56=CURSOS!$D$31,"ATENCION A VICTIMAS POR CONFLICTO ARMADO",IF(O56=CURSOS!$D$32,"MANIPULACION DE ALIMENTOS Y BPM",IF(O56=CURSOS!$D$33,"ATENCION A PERSONAS CON DISCAPACIDAD",IF(O56=CURSOS!$D$34,"CUIDADO INTEGRAL DEL PACIENTE ADULTO",IF(O56=CURSOS!$D$35,"MANEJO DEFENSIVO",IF(O56=CURSOS!$D$36,"SOPORTE CARDIOVASCULAR AVANZADO NEONATAL",IF(O56=CURSOS!$D$37,"SEGURIDAD DEL PACIENTE",IF(O56=CURSOS!$D$38,"MANEJO DE RESIDUOS HOSPITALARIOS"))))))))))))))))))))))))))))))))))))</f>
        <v>TOMA DE MUESTRAS Y LABORATORIO POCT</v>
      </c>
      <c r="V56" s="59" t="str">
        <f t="shared" si="0"/>
        <v>Paola Andrea Cuaspud Benavides</v>
      </c>
      <c r="W56" s="59" t="str">
        <f t="shared" si="1"/>
        <v>Paola Andrea Cuaspud Benavides</v>
      </c>
      <c r="X56" s="59" t="str">
        <f t="shared" si="2"/>
        <v>Paola Andrea Cuaspud Benavides-1085337964-POCT</v>
      </c>
    </row>
    <row r="57" spans="1:24" s="49" customFormat="1" x14ac:dyDescent="0.2">
      <c r="A57" s="55">
        <v>56</v>
      </c>
      <c r="B57" s="50">
        <v>36998014</v>
      </c>
      <c r="C57" s="50" t="s">
        <v>231</v>
      </c>
      <c r="D57" s="50" t="s">
        <v>232</v>
      </c>
      <c r="E57" s="50" t="s">
        <v>233</v>
      </c>
      <c r="F57" s="50" t="s">
        <v>191</v>
      </c>
      <c r="G57" s="50">
        <v>16</v>
      </c>
      <c r="H57" s="50" t="s">
        <v>102</v>
      </c>
      <c r="I57" s="52" t="s">
        <v>108</v>
      </c>
      <c r="J57" s="56">
        <v>45581</v>
      </c>
      <c r="K57" s="60">
        <v>130000</v>
      </c>
      <c r="L57" s="50" t="s">
        <v>139</v>
      </c>
      <c r="M57" s="50" t="s">
        <v>136</v>
      </c>
      <c r="N57" s="50" t="s">
        <v>103</v>
      </c>
      <c r="O57" s="50" t="s">
        <v>38</v>
      </c>
      <c r="P57" s="52">
        <v>22433</v>
      </c>
      <c r="Q57" s="50" t="s">
        <v>96</v>
      </c>
      <c r="R57" s="50" t="s">
        <v>162</v>
      </c>
      <c r="S57" s="50">
        <v>3158176891</v>
      </c>
      <c r="T57" s="50" t="s">
        <v>234</v>
      </c>
      <c r="U57" s="59" t="str">
        <f>IF(O57=CURSOS!$D$3,"DIPLOMADO EN ATENCION PRE-HOSPITALARIA",IF(O57=CURSOS!$D$4,"ACOMPAÑAMIENTO Y MANEJO DEL DUELO",IF(O57=CURSOS!$D$5,"ATENCION A VICTIMAS DE ATAQUE CON AGENTES QUIMICOS ",IF(O57=CURSOS!$D$6,"PRIMEROS AUXILIOS ",IF(O57=CURSOS!$D$7,"DIPLOMADO DE UNIDAD DE CUIDADOS INTENSIVOS (UCI)",IF(O57=CURSOS!$D$8,"MODELO DE ATENCION PARA EVENTOS EMERGENTES EN SALUD MENTAL (CODIGO VERDE)",IF(O57=CURSOS!$D$9,"HUMANIZACION EN EL SERVICIO DE LA SALUD Y BUENAS PRACTICAS EN PACIENTE ",IF(O57=CURSOS!$D$10,"CLINICA DE HERIDAS ",IF(O57=CURSOS!$D$11,"TOMA DE CITOLOGIA CERVICO VAGINAL ",IF(O57=CURSOS!$D$12,"SOPORTE CARDIOVASCULAR AVANZADO (ACLS) ",IF(O57=CURSOS!$D$13,"CAMILLERO ",IF(O57=CURSOS!$D$14,"TOMA DE MUESTRAS Y LABORATORIO ",IF(O57=CURSOS!$D$15,"SOPORTE VITAL BASICO (BLS)",IF(O57=CURSOS!$D$16,"ATENCION A VICTIMAS DE VIOLENCIA SEXUAL ",IF(O57=CURSOS!$D$17,"PROGRAMADO AMPLIADO DE INMUNIZACION (PAI - COVID 19)",IF(O57=CURSOS!$D$18,"ATENCION INTEGRAL EN ENFERMEDADES PREVALENTES EN PRIMERA INFANCIA (AIEPI)",IF(O57=CURSOS!$D$19,"ADMINISTRACION DE MEDICAMENTOS, INYECTOLOGIA  Y CANALIZACION ",IF(O57=CURSOS!$D$20,"OPERADOR DE VEHICULOS DE EMERGENCIA (OVE)",IF(O57=CURSOS!$D$21,"INSTITUCIONES AMIGAS DE LA MUJER Y LA INFANCIA (IAMI)",IF(O57=CURSOS!$D$22,"CUIDADO DEL DONANTE DE ORGANOS",IF(O57=CURSOS!$D$23,"ATENCION A VICTIMAS POR VIOLENCIA DE GENERO",IF(O57=CURSOS!$D$24,"IGUALDAD DE GENERO EN LA SALUD",IF(O57=CURSOS!$D$25,"BRIGADA DE EMERGENCIA",IF(O57=CURSOS!$D$26,"MANEJO DEL DOLOR Y CUIDADOS PALIATIVOS",IF(O57=CURSOS!$D$27,"TOMA DE MUESTRAS Y LABORATORIO POCT",IF(O57=CURSOS!$D$28,"IMPLANTE SUBDERMICO DE DISPOSITIVO INTRAUTERINO",IF(O57=CURSOS!$D$29,"SALUD MENTAL",IF(O57=CURSOS!$D$30,"PRIMEROS AUXILIOS PSICOLOGICOS",IF(O57=CURSOS!$D$31,"ATENCION A VICTIMAS POR CONFLICTO ARMADO",IF(O57=CURSOS!$D$32,"MANIPULACION DE ALIMENTOS Y BPM",IF(O57=CURSOS!$D$33,"ATENCION A PERSONAS CON DISCAPACIDAD",IF(O57=CURSOS!$D$34,"CUIDADO INTEGRAL DEL PACIENTE ADULTO",IF(O57=CURSOS!$D$35,"MANEJO DEFENSIVO",IF(O57=CURSOS!$D$36,"SOPORTE CARDIOVASCULAR AVANZADO NEONATAL",IF(O57=CURSOS!$D$37,"SEGURIDAD DEL PACIENTE",IF(O57=CURSOS!$D$38,"MANEJO DE RESIDUOS HOSPITALARIOS"))))))))))))))))))))))))))))))))))))</f>
        <v xml:space="preserve">SOPORTE CARDIOVASCULAR AVANZADO (ACLS) </v>
      </c>
      <c r="V57" s="59" t="str">
        <f t="shared" si="0"/>
        <v>Ana Maria Guaquez Martinez</v>
      </c>
      <c r="W57" s="59" t="str">
        <f t="shared" si="1"/>
        <v>Ana Maria Guaquez Martinez</v>
      </c>
      <c r="X57" s="59" t="str">
        <f t="shared" si="2"/>
        <v>Ana Maria Guaquez Martinez-36998014-ACLS</v>
      </c>
    </row>
    <row r="58" spans="1:24" s="49" customFormat="1" x14ac:dyDescent="0.2">
      <c r="A58" s="55">
        <v>57</v>
      </c>
      <c r="B58" s="50">
        <v>1085245508</v>
      </c>
      <c r="C58" s="50" t="s">
        <v>86</v>
      </c>
      <c r="D58" s="50" t="s">
        <v>235</v>
      </c>
      <c r="E58" s="50" t="s">
        <v>236</v>
      </c>
      <c r="F58" s="50" t="s">
        <v>237</v>
      </c>
      <c r="G58" s="50">
        <v>16</v>
      </c>
      <c r="H58" s="50" t="s">
        <v>102</v>
      </c>
      <c r="I58" s="52" t="s">
        <v>108</v>
      </c>
      <c r="J58" s="56">
        <v>45581</v>
      </c>
      <c r="K58" s="60">
        <v>30000</v>
      </c>
      <c r="L58" s="50" t="s">
        <v>149</v>
      </c>
      <c r="M58" s="50" t="s">
        <v>136</v>
      </c>
      <c r="N58" s="50" t="s">
        <v>215</v>
      </c>
      <c r="O58" s="50" t="s">
        <v>25</v>
      </c>
      <c r="P58" s="52" t="s">
        <v>238</v>
      </c>
      <c r="Q58" s="50" t="s">
        <v>96</v>
      </c>
      <c r="R58" s="80" t="s">
        <v>125</v>
      </c>
      <c r="S58" s="50">
        <v>3013860311</v>
      </c>
      <c r="T58" s="50" t="s">
        <v>239</v>
      </c>
      <c r="U58" s="59" t="str">
        <f>IF(O58=CURSOS!$D$3,"DIPLOMADO EN ATENCION PRE-HOSPITALARIA",IF(O58=CURSOS!$D$4,"ACOMPAÑAMIENTO Y MANEJO DEL DUELO",IF(O58=CURSOS!$D$5,"ATENCION A VICTIMAS DE ATAQUE CON AGENTES QUIMICOS ",IF(O58=CURSOS!$D$6,"PRIMEROS AUXILIOS ",IF(O58=CURSOS!$D$7,"DIPLOMADO DE UNIDAD DE CUIDADOS INTENSIVOS (UCI)",IF(O58=CURSOS!$D$8,"MODELO DE ATENCION PARA EVENTOS EMERGENTES EN SALUD MENTAL (CODIGO VERDE)",IF(O58=CURSOS!$D$9,"HUMANIZACION EN EL SERVICIO DE LA SALUD Y BUENAS PRACTICAS EN PACIENTE ",IF(O58=CURSOS!$D$10,"CLINICA DE HERIDAS ",IF(O58=CURSOS!$D$11,"TOMA DE CITOLOGIA CERVICO VAGINAL ",IF(O58=CURSOS!$D$12,"SOPORTE CARDIOVASCULAR AVANZADO (ACLS) ",IF(O58=CURSOS!$D$13,"CAMILLERO ",IF(O58=CURSOS!$D$14,"TOMA DE MUESTRAS Y LABORATORIO ",IF(O58=CURSOS!$D$15,"SOPORTE VITAL BASICO (BLS)",IF(O58=CURSOS!$D$16,"ATENCION A VICTIMAS DE VIOLENCIA SEXUAL ",IF(O58=CURSOS!$D$17,"PROGRAMADO AMPLIADO DE INMUNIZACION (PAI - COVID 19)",IF(O58=CURSOS!$D$18,"ATENCION INTEGRAL EN ENFERMEDADES PREVALENTES EN PRIMERA INFANCIA (AIEPI)",IF(O58=CURSOS!$D$19,"ADMINISTRACION DE MEDICAMENTOS, INYECTOLOGIA  Y CANALIZACION ",IF(O58=CURSOS!$D$20,"OPERADOR DE VEHICULOS DE EMERGENCIA (OVE)",IF(O58=CURSOS!$D$21,"INSTITUCIONES AMIGAS DE LA MUJER Y LA INFANCIA (IAMI)",IF(O58=CURSOS!$D$22,"CUIDADO DEL DONANTE DE ORGANOS",IF(O58=CURSOS!$D$23,"ATENCION A VICTIMAS POR VIOLENCIA DE GENERO",IF(O58=CURSOS!$D$24,"IGUALDAD DE GENERO EN LA SALUD",IF(O58=CURSOS!$D$25,"BRIGADA DE EMERGENCIA",IF(O58=CURSOS!$D$26,"MANEJO DEL DOLOR Y CUIDADOS PALIATIVOS",IF(O58=CURSOS!$D$27,"TOMA DE MUESTRAS Y LABORATORIO POCT",IF(O58=CURSOS!$D$28,"IMPLANTE SUBDERMICO DE DISPOSITIVO INTRAUTERINO",IF(O58=CURSOS!$D$29,"SALUD MENTAL",IF(O58=CURSOS!$D$30,"PRIMEROS AUXILIOS PSICOLOGICOS",IF(O58=CURSOS!$D$31,"ATENCION A VICTIMAS POR CONFLICTO ARMADO",IF(O58=CURSOS!$D$32,"MANIPULACION DE ALIMENTOS Y BPM",IF(O58=CURSOS!$D$33,"ATENCION A PERSONAS CON DISCAPACIDAD",IF(O58=CURSOS!$D$34,"CUIDADO INTEGRAL DEL PACIENTE ADULTO",IF(O58=CURSOS!$D$35,"MANEJO DEFENSIVO",IF(O58=CURSOS!$D$36,"SOPORTE CARDIOVASCULAR AVANZADO NEONATAL",IF(O58=CURSOS!$D$37,"SEGURIDAD DEL PACIENTE",IF(O58=CURSOS!$D$38,"MANEJO DE RESIDUOS HOSPITALARIOS"))))))))))))))))))))))))))))))))))))</f>
        <v xml:space="preserve">ATENCION A VICTIMAS DE ATAQUE CON AGENTES QUIMICOS </v>
      </c>
      <c r="V58" s="59" t="str">
        <f t="shared" si="0"/>
        <v>Harold Gustavo Guerrero Diaz</v>
      </c>
      <c r="W58" s="59" t="str">
        <f t="shared" si="1"/>
        <v>Harold Gustavo Guerrero Diaz</v>
      </c>
      <c r="X58" s="59" t="str">
        <f t="shared" si="2"/>
        <v>Harold Gustavo Guerrero Diaz-1085245508-QUIMICOS</v>
      </c>
    </row>
    <row r="59" spans="1:24" s="49" customFormat="1" x14ac:dyDescent="0.2">
      <c r="A59" s="55">
        <v>58</v>
      </c>
      <c r="B59" s="50">
        <v>1085245508</v>
      </c>
      <c r="C59" s="50" t="s">
        <v>86</v>
      </c>
      <c r="D59" s="50" t="s">
        <v>235</v>
      </c>
      <c r="E59" s="50" t="s">
        <v>236</v>
      </c>
      <c r="F59" s="50" t="s">
        <v>237</v>
      </c>
      <c r="G59" s="50">
        <v>16</v>
      </c>
      <c r="H59" s="50" t="s">
        <v>102</v>
      </c>
      <c r="I59" s="52" t="s">
        <v>108</v>
      </c>
      <c r="J59" s="56">
        <v>45581</v>
      </c>
      <c r="K59" s="60">
        <v>30000</v>
      </c>
      <c r="L59" s="50" t="s">
        <v>149</v>
      </c>
      <c r="M59" s="50" t="s">
        <v>136</v>
      </c>
      <c r="N59" s="50" t="s">
        <v>215</v>
      </c>
      <c r="O59" s="50" t="s">
        <v>43</v>
      </c>
      <c r="P59" s="52" t="s">
        <v>238</v>
      </c>
      <c r="Q59" s="50" t="s">
        <v>96</v>
      </c>
      <c r="R59" s="80" t="s">
        <v>125</v>
      </c>
      <c r="S59" s="50">
        <v>3013860311</v>
      </c>
      <c r="T59" s="50" t="s">
        <v>239</v>
      </c>
      <c r="U59" s="59" t="str">
        <f>IF(O59=CURSOS!$D$3,"DIPLOMADO EN ATENCION PRE-HOSPITALARIA",IF(O59=CURSOS!$D$4,"ACOMPAÑAMIENTO Y MANEJO DEL DUELO",IF(O59=CURSOS!$D$5,"ATENCION A VICTIMAS DE ATAQUE CON AGENTES QUIMICOS ",IF(O59=CURSOS!$D$6,"PRIMEROS AUXILIOS ",IF(O59=CURSOS!$D$7,"DIPLOMADO DE UNIDAD DE CUIDADOS INTENSIVOS (UCI)",IF(O59=CURSOS!$D$8,"MODELO DE ATENCION PARA EVENTOS EMERGENTES EN SALUD MENTAL (CODIGO VERDE)",IF(O59=CURSOS!$D$9,"HUMANIZACION EN EL SERVICIO DE LA SALUD Y BUENAS PRACTICAS EN PACIENTE ",IF(O59=CURSOS!$D$10,"CLINICA DE HERIDAS ",IF(O59=CURSOS!$D$11,"TOMA DE CITOLOGIA CERVICO VAGINAL ",IF(O59=CURSOS!$D$12,"SOPORTE CARDIOVASCULAR AVANZADO (ACLS) ",IF(O59=CURSOS!$D$13,"CAMILLERO ",IF(O59=CURSOS!$D$14,"TOMA DE MUESTRAS Y LABORATORIO ",IF(O59=CURSOS!$D$15,"SOPORTE VITAL BASICO (BLS)",IF(O59=CURSOS!$D$16,"ATENCION A VICTIMAS DE VIOLENCIA SEXUAL ",IF(O59=CURSOS!$D$17,"PROGRAMADO AMPLIADO DE INMUNIZACION (PAI - COVID 19)",IF(O59=CURSOS!$D$18,"ATENCION INTEGRAL EN ENFERMEDADES PREVALENTES EN PRIMERA INFANCIA (AIEPI)",IF(O59=CURSOS!$D$19,"ADMINISTRACION DE MEDICAMENTOS, INYECTOLOGIA  Y CANALIZACION ",IF(O59=CURSOS!$D$20,"OPERADOR DE VEHICULOS DE EMERGENCIA (OVE)",IF(O59=CURSOS!$D$21,"INSTITUCIONES AMIGAS DE LA MUJER Y LA INFANCIA (IAMI)",IF(O59=CURSOS!$D$22,"CUIDADO DEL DONANTE DE ORGANOS",IF(O59=CURSOS!$D$23,"ATENCION A VICTIMAS POR VIOLENCIA DE GENERO",IF(O59=CURSOS!$D$24,"IGUALDAD DE GENERO EN LA SALUD",IF(O59=CURSOS!$D$25,"BRIGADA DE EMERGENCIA",IF(O59=CURSOS!$D$26,"MANEJO DEL DOLOR Y CUIDADOS PALIATIVOS",IF(O59=CURSOS!$D$27,"TOMA DE MUESTRAS Y LABORATORIO POCT",IF(O59=CURSOS!$D$28,"IMPLANTE SUBDERMICO DE DISPOSITIVO INTRAUTERINO",IF(O59=CURSOS!$D$29,"SALUD MENTAL",IF(O59=CURSOS!$D$30,"PRIMEROS AUXILIOS PSICOLOGICOS",IF(O59=CURSOS!$D$31,"ATENCION A VICTIMAS POR CONFLICTO ARMADO",IF(O59=CURSOS!$D$32,"MANIPULACION DE ALIMENTOS Y BPM",IF(O59=CURSOS!$D$33,"ATENCION A PERSONAS CON DISCAPACIDAD",IF(O59=CURSOS!$D$34,"CUIDADO INTEGRAL DEL PACIENTE ADULTO",IF(O59=CURSOS!$D$35,"MANEJO DEFENSIVO",IF(O59=CURSOS!$D$36,"SOPORTE CARDIOVASCULAR AVANZADO NEONATAL",IF(O59=CURSOS!$D$37,"SEGURIDAD DEL PACIENTE",IF(O59=CURSOS!$D$38,"MANEJO DE RESIDUOS HOSPITALARIOS"))))))))))))))))))))))))))))))))))))</f>
        <v xml:space="preserve">ATENCION A VICTIMAS DE VIOLENCIA SEXUAL </v>
      </c>
      <c r="V59" s="59" t="str">
        <f t="shared" si="0"/>
        <v>Harold Gustavo Guerrero Diaz</v>
      </c>
      <c r="W59" s="59" t="str">
        <f t="shared" si="1"/>
        <v>Harold Gustavo Guerrero Diaz</v>
      </c>
      <c r="X59" s="59" t="str">
        <f t="shared" si="2"/>
        <v>Harold Gustavo Guerrero Diaz-1085245508-VIOLENCIA SEXUAL</v>
      </c>
    </row>
    <row r="60" spans="1:24" s="87" customFormat="1" x14ac:dyDescent="0.2">
      <c r="A60" s="86">
        <v>59</v>
      </c>
      <c r="B60" s="87">
        <v>1127577221</v>
      </c>
      <c r="C60" s="87" t="s">
        <v>240</v>
      </c>
      <c r="D60" s="87" t="s">
        <v>241</v>
      </c>
      <c r="E60" s="87" t="s">
        <v>242</v>
      </c>
      <c r="F60" s="87" t="s">
        <v>101</v>
      </c>
      <c r="G60" s="87">
        <v>16</v>
      </c>
      <c r="H60" s="87" t="s">
        <v>102</v>
      </c>
      <c r="I60" s="88" t="s">
        <v>108</v>
      </c>
      <c r="J60" s="89">
        <v>45582</v>
      </c>
      <c r="K60" s="93">
        <v>30000</v>
      </c>
      <c r="L60" s="87" t="s">
        <v>206</v>
      </c>
      <c r="M60" s="87" t="s">
        <v>85</v>
      </c>
      <c r="N60" s="87" t="s">
        <v>115</v>
      </c>
      <c r="O60" s="87" t="s">
        <v>63</v>
      </c>
      <c r="P60" s="88">
        <v>32111</v>
      </c>
      <c r="Q60" s="87" t="s">
        <v>97</v>
      </c>
      <c r="R60" s="87" t="s">
        <v>243</v>
      </c>
      <c r="S60" s="87">
        <v>3115310496</v>
      </c>
      <c r="T60" s="87" t="s">
        <v>244</v>
      </c>
      <c r="U60" s="87" t="str">
        <f>IF(O60=CURSOS!$D$3,"DIPLOMADO EN ATENCION PRE-HOSPITALARIA",IF(O60=CURSOS!$D$4,"ACOMPAÑAMIENTO Y MANEJO DEL DUELO",IF(O60=CURSOS!$D$5,"ATENCION A VICTIMAS DE ATAQUE CON AGENTES QUIMICOS ",IF(O60=CURSOS!$D$6,"PRIMEROS AUXILIOS ",IF(O60=CURSOS!$D$7,"DIPLOMADO DE UNIDAD DE CUIDADOS INTENSIVOS (UCI)",IF(O60=CURSOS!$D$8,"MODELO DE ATENCION PARA EVENTOS EMERGENTES EN SALUD MENTAL (CODIGO VERDE)",IF(O60=CURSOS!$D$9,"HUMANIZACION EN EL SERVICIO DE LA SALUD Y BUENAS PRACTICAS EN PACIENTE ",IF(O60=CURSOS!$D$10,"CLINICA DE HERIDAS ",IF(O60=CURSOS!$D$11,"TOMA DE CITOLOGIA CERVICO VAGINAL ",IF(O60=CURSOS!$D$12,"SOPORTE CARDIOVASCULAR AVANZADO (ACLS) ",IF(O60=CURSOS!$D$13,"CAMILLERO ",IF(O60=CURSOS!$D$14,"TOMA DE MUESTRAS Y LABORATORIO ",IF(O60=CURSOS!$D$15,"SOPORTE VITAL BASICO (BLS)",IF(O60=CURSOS!$D$16,"ATENCION A VICTIMAS DE VIOLENCIA SEXUAL ",IF(O60=CURSOS!$D$17,"PROGRAMADO AMPLIADO DE INMUNIZACION (PAI - COVID 19)",IF(O60=CURSOS!$D$18,"ATENCION INTEGRAL EN ENFERMEDADES PREVALENTES EN PRIMERA INFANCIA (AIEPI)",IF(O60=CURSOS!$D$19,"ADMINISTRACION DE MEDICAMENTOS, INYECTOLOGIA  Y CANALIZACION ",IF(O60=CURSOS!$D$20,"OPERADOR DE VEHICULOS DE EMERGENCIA (OVE)",IF(O60=CURSOS!$D$21,"INSTITUCIONES AMIGAS DE LA MUJER Y LA INFANCIA (IAMI)",IF(O60=CURSOS!$D$22,"CUIDADO DEL DONANTE DE ORGANOS",IF(O60=CURSOS!$D$23,"ATENCION A VICTIMAS POR VIOLENCIA DE GENERO",IF(O60=CURSOS!$D$24,"IGUALDAD DE GENERO EN LA SALUD",IF(O60=CURSOS!$D$25,"BRIGADA DE EMERGENCIA",IF(O60=CURSOS!$D$26,"MANEJO DEL DOLOR Y CUIDADOS PALIATIVOS",IF(O60=CURSOS!$D$27,"TOMA DE MUESTRAS Y LABORATORIO POCT",IF(O60=CURSOS!$D$28,"IMPLANTE SUBDERMICO DE DISPOSITIVO INTRAUTERINO",IF(O60=CURSOS!$D$29,"SALUD MENTAL",IF(O60=CURSOS!$D$30,"PRIMEROS AUXILIOS PSICOLOGICOS",IF(O60=CURSOS!$D$31,"ATENCION A VICTIMAS POR CONFLICTO ARMADO",IF(O60=CURSOS!$D$32,"MANIPULACION DE ALIMENTOS Y BPM",IF(O60=CURSOS!$D$33,"ATENCION A PERSONAS CON DISCAPACIDAD",IF(O60=CURSOS!$D$34,"CUIDADO INTEGRAL DEL PACIENTE ADULTO",IF(O60=CURSOS!$D$35,"MANEJO DEFENSIVO",IF(O60=CURSOS!$D$36,"SOPORTE CARDIOVASCULAR AVANZADO NEONATAL",IF(O60=CURSOS!$D$37,"SEGURIDAD DEL PACIENTE",IF(O60=CURSOS!$D$38,"MANEJO DE RESIDUOS HOSPITALARIOS"))))))))))))))))))))))))))))))))))))</f>
        <v>TOMA DE MUESTRAS Y LABORATORIO POCT</v>
      </c>
      <c r="V60" s="87" t="str">
        <f t="shared" si="0"/>
        <v>Deiner Jose Carrillo Solano</v>
      </c>
      <c r="W60" s="87" t="str">
        <f t="shared" si="1"/>
        <v>Deiner Jose Carrillo Solano</v>
      </c>
      <c r="X60" s="87" t="str">
        <f t="shared" si="2"/>
        <v>Deiner Jose Carrillo Solano-1127577221-POCT</v>
      </c>
    </row>
    <row r="61" spans="1:24" s="87" customFormat="1" x14ac:dyDescent="0.2">
      <c r="A61" s="86">
        <v>60</v>
      </c>
      <c r="B61" s="87">
        <v>1234192018</v>
      </c>
      <c r="C61" s="87" t="s">
        <v>245</v>
      </c>
      <c r="D61" s="87" t="s">
        <v>246</v>
      </c>
      <c r="E61" s="87" t="s">
        <v>247</v>
      </c>
      <c r="G61" s="87">
        <v>16</v>
      </c>
      <c r="H61" s="87" t="s">
        <v>102</v>
      </c>
      <c r="I61" s="88" t="s">
        <v>108</v>
      </c>
      <c r="J61" s="89">
        <v>45582</v>
      </c>
      <c r="K61" s="93">
        <v>32000</v>
      </c>
      <c r="L61" s="87" t="s">
        <v>206</v>
      </c>
      <c r="M61" s="87" t="s">
        <v>85</v>
      </c>
      <c r="N61" s="87" t="s">
        <v>115</v>
      </c>
      <c r="O61" s="87" t="s">
        <v>25</v>
      </c>
      <c r="P61" s="88">
        <v>35934</v>
      </c>
      <c r="Q61" s="87" t="s">
        <v>97</v>
      </c>
      <c r="R61" s="91" t="s">
        <v>125</v>
      </c>
      <c r="S61" s="87">
        <v>3127448887</v>
      </c>
      <c r="T61" s="87" t="s">
        <v>248</v>
      </c>
      <c r="U61" s="87" t="str">
        <f>IF(O61=CURSOS!$D$3,"DIPLOMADO EN ATENCION PRE-HOSPITALARIA",IF(O61=CURSOS!$D$4,"ACOMPAÑAMIENTO Y MANEJO DEL DUELO",IF(O61=CURSOS!$D$5,"ATENCION A VICTIMAS DE ATAQUE CON AGENTES QUIMICOS ",IF(O61=CURSOS!$D$6,"PRIMEROS AUXILIOS ",IF(O61=CURSOS!$D$7,"DIPLOMADO DE UNIDAD DE CUIDADOS INTENSIVOS (UCI)",IF(O61=CURSOS!$D$8,"MODELO DE ATENCION PARA EVENTOS EMERGENTES EN SALUD MENTAL (CODIGO VERDE)",IF(O61=CURSOS!$D$9,"HUMANIZACION EN EL SERVICIO DE LA SALUD Y BUENAS PRACTICAS EN PACIENTE ",IF(O61=CURSOS!$D$10,"CLINICA DE HERIDAS ",IF(O61=CURSOS!$D$11,"TOMA DE CITOLOGIA CERVICO VAGINAL ",IF(O61=CURSOS!$D$12,"SOPORTE CARDIOVASCULAR AVANZADO (ACLS) ",IF(O61=CURSOS!$D$13,"CAMILLERO ",IF(O61=CURSOS!$D$14,"TOMA DE MUESTRAS Y LABORATORIO ",IF(O61=CURSOS!$D$15,"SOPORTE VITAL BASICO (BLS)",IF(O61=CURSOS!$D$16,"ATENCION A VICTIMAS DE VIOLENCIA SEXUAL ",IF(O61=CURSOS!$D$17,"PROGRAMADO AMPLIADO DE INMUNIZACION (PAI - COVID 19)",IF(O61=CURSOS!$D$18,"ATENCION INTEGRAL EN ENFERMEDADES PREVALENTES EN PRIMERA INFANCIA (AIEPI)",IF(O61=CURSOS!$D$19,"ADMINISTRACION DE MEDICAMENTOS, INYECTOLOGIA  Y CANALIZACION ",IF(O61=CURSOS!$D$20,"OPERADOR DE VEHICULOS DE EMERGENCIA (OVE)",IF(O61=CURSOS!$D$21,"INSTITUCIONES AMIGAS DE LA MUJER Y LA INFANCIA (IAMI)",IF(O61=CURSOS!$D$22,"CUIDADO DEL DONANTE DE ORGANOS",IF(O61=CURSOS!$D$23,"ATENCION A VICTIMAS POR VIOLENCIA DE GENERO",IF(O61=CURSOS!$D$24,"IGUALDAD DE GENERO EN LA SALUD",IF(O61=CURSOS!$D$25,"BRIGADA DE EMERGENCIA",IF(O61=CURSOS!$D$26,"MANEJO DEL DOLOR Y CUIDADOS PALIATIVOS",IF(O61=CURSOS!$D$27,"TOMA DE MUESTRAS Y LABORATORIO POCT",IF(O61=CURSOS!$D$28,"IMPLANTE SUBDERMICO DE DISPOSITIVO INTRAUTERINO",IF(O61=CURSOS!$D$29,"SALUD MENTAL",IF(O61=CURSOS!$D$30,"PRIMEROS AUXILIOS PSICOLOGICOS",IF(O61=CURSOS!$D$31,"ATENCION A VICTIMAS POR CONFLICTO ARMADO",IF(O61=CURSOS!$D$32,"MANIPULACION DE ALIMENTOS Y BPM",IF(O61=CURSOS!$D$33,"ATENCION A PERSONAS CON DISCAPACIDAD",IF(O61=CURSOS!$D$34,"CUIDADO INTEGRAL DEL PACIENTE ADULTO",IF(O61=CURSOS!$D$35,"MANEJO DEFENSIVO",IF(O61=CURSOS!$D$36,"SOPORTE CARDIOVASCULAR AVANZADO NEONATAL",IF(O61=CURSOS!$D$37,"SEGURIDAD DEL PACIENTE",IF(O61=CURSOS!$D$38,"MANEJO DE RESIDUOS HOSPITALARIOS"))))))))))))))))))))))))))))))))))))</f>
        <v xml:space="preserve">ATENCION A VICTIMAS DE ATAQUE CON AGENTES QUIMICOS </v>
      </c>
      <c r="V61" s="87" t="str">
        <f t="shared" si="0"/>
        <v>Ronaldo  Manchbajoy Criollo</v>
      </c>
      <c r="W61" s="87" t="str">
        <f t="shared" si="1"/>
        <v>Ronaldo  Manchbajoy Criollo</v>
      </c>
      <c r="X61" s="87" t="str">
        <f t="shared" si="2"/>
        <v>Ronaldo  Manchbajoy Criollo-1234192018-QUIMICOS</v>
      </c>
    </row>
    <row r="62" spans="1:24" s="87" customFormat="1" x14ac:dyDescent="0.2">
      <c r="A62" s="86">
        <v>61</v>
      </c>
      <c r="B62" s="87">
        <v>1234192018</v>
      </c>
      <c r="C62" s="87" t="s">
        <v>245</v>
      </c>
      <c r="D62" s="87" t="s">
        <v>246</v>
      </c>
      <c r="E62" s="87" t="s">
        <v>247</v>
      </c>
      <c r="G62" s="87">
        <v>16</v>
      </c>
      <c r="H62" s="87" t="s">
        <v>102</v>
      </c>
      <c r="I62" s="88" t="s">
        <v>108</v>
      </c>
      <c r="J62" s="89">
        <v>45582</v>
      </c>
      <c r="K62" s="93">
        <v>32000</v>
      </c>
      <c r="L62" s="87" t="s">
        <v>206</v>
      </c>
      <c r="M62" s="87" t="s">
        <v>85</v>
      </c>
      <c r="N62" s="87" t="s">
        <v>115</v>
      </c>
      <c r="O62" s="87" t="s">
        <v>23</v>
      </c>
      <c r="P62" s="88">
        <v>35934</v>
      </c>
      <c r="Q62" s="87" t="s">
        <v>97</v>
      </c>
      <c r="R62" s="91" t="s">
        <v>125</v>
      </c>
      <c r="S62" s="87">
        <v>3127448887</v>
      </c>
      <c r="T62" s="87" t="s">
        <v>248</v>
      </c>
      <c r="U62" s="87" t="str">
        <f>IF(O62=CURSOS!$D$3,"DIPLOMADO EN ATENCION PRE-HOSPITALARIA",IF(O62=CURSOS!$D$4,"ACOMPAÑAMIENTO Y MANEJO DEL DUELO",IF(O62=CURSOS!$D$5,"ATENCION A VICTIMAS DE ATAQUE CON AGENTES QUIMICOS ",IF(O62=CURSOS!$D$6,"PRIMEROS AUXILIOS ",IF(O62=CURSOS!$D$7,"DIPLOMADO DE UNIDAD DE CUIDADOS INTENSIVOS (UCI)",IF(O62=CURSOS!$D$8,"MODELO DE ATENCION PARA EVENTOS EMERGENTES EN SALUD MENTAL (CODIGO VERDE)",IF(O62=CURSOS!$D$9,"HUMANIZACION EN EL SERVICIO DE LA SALUD Y BUENAS PRACTICAS EN PACIENTE ",IF(O62=CURSOS!$D$10,"CLINICA DE HERIDAS ",IF(O62=CURSOS!$D$11,"TOMA DE CITOLOGIA CERVICO VAGINAL ",IF(O62=CURSOS!$D$12,"SOPORTE CARDIOVASCULAR AVANZADO (ACLS) ",IF(O62=CURSOS!$D$13,"CAMILLERO ",IF(O62=CURSOS!$D$14,"TOMA DE MUESTRAS Y LABORATORIO ",IF(O62=CURSOS!$D$15,"SOPORTE VITAL BASICO (BLS)",IF(O62=CURSOS!$D$16,"ATENCION A VICTIMAS DE VIOLENCIA SEXUAL ",IF(O62=CURSOS!$D$17,"PROGRAMADO AMPLIADO DE INMUNIZACION (PAI - COVID 19)",IF(O62=CURSOS!$D$18,"ATENCION INTEGRAL EN ENFERMEDADES PREVALENTES EN PRIMERA INFANCIA (AIEPI)",IF(O62=CURSOS!$D$19,"ADMINISTRACION DE MEDICAMENTOS, INYECTOLOGIA  Y CANALIZACION ",IF(O62=CURSOS!$D$20,"OPERADOR DE VEHICULOS DE EMERGENCIA (OVE)",IF(O62=CURSOS!$D$21,"INSTITUCIONES AMIGAS DE LA MUJER Y LA INFANCIA (IAMI)",IF(O62=CURSOS!$D$22,"CUIDADO DEL DONANTE DE ORGANOS",IF(O62=CURSOS!$D$23,"ATENCION A VICTIMAS POR VIOLENCIA DE GENERO",IF(O62=CURSOS!$D$24,"IGUALDAD DE GENERO EN LA SALUD",IF(O62=CURSOS!$D$25,"BRIGADA DE EMERGENCIA",IF(O62=CURSOS!$D$26,"MANEJO DEL DOLOR Y CUIDADOS PALIATIVOS",IF(O62=CURSOS!$D$27,"TOMA DE MUESTRAS Y LABORATORIO POCT",IF(O62=CURSOS!$D$28,"IMPLANTE SUBDERMICO DE DISPOSITIVO INTRAUTERINO",IF(O62=CURSOS!$D$29,"SALUD MENTAL",IF(O62=CURSOS!$D$30,"PRIMEROS AUXILIOS PSICOLOGICOS",IF(O62=CURSOS!$D$31,"ATENCION A VICTIMAS POR CONFLICTO ARMADO",IF(O62=CURSOS!$D$32,"MANIPULACION DE ALIMENTOS Y BPM",IF(O62=CURSOS!$D$33,"ATENCION A PERSONAS CON DISCAPACIDAD",IF(O62=CURSOS!$D$34,"CUIDADO INTEGRAL DEL PACIENTE ADULTO",IF(O62=CURSOS!$D$35,"MANEJO DEFENSIVO",IF(O62=CURSOS!$D$36,"SOPORTE CARDIOVASCULAR AVANZADO NEONATAL",IF(O62=CURSOS!$D$37,"SEGURIDAD DEL PACIENTE",IF(O62=CURSOS!$D$38,"MANEJO DE RESIDUOS HOSPITALARIOS"))))))))))))))))))))))))))))))))))))</f>
        <v>ACOMPAÑAMIENTO Y MANEJO DEL DUELO</v>
      </c>
      <c r="V62" s="87" t="str">
        <f t="shared" si="0"/>
        <v>Ronaldo  Manchbajoy Criollo</v>
      </c>
      <c r="W62" s="87" t="str">
        <f t="shared" si="1"/>
        <v>Ronaldo  Manchbajoy Criollo</v>
      </c>
      <c r="X62" s="87" t="str">
        <f t="shared" si="2"/>
        <v>Ronaldo  Manchbajoy Criollo-1234192018-DUELO</v>
      </c>
    </row>
    <row r="63" spans="1:24" s="49" customFormat="1" x14ac:dyDescent="0.2">
      <c r="A63" s="55">
        <v>62</v>
      </c>
      <c r="B63" s="50">
        <v>1085635358</v>
      </c>
      <c r="C63" s="50" t="s">
        <v>190</v>
      </c>
      <c r="D63" s="50" t="s">
        <v>249</v>
      </c>
      <c r="E63" s="50" t="s">
        <v>250</v>
      </c>
      <c r="F63" s="50" t="s">
        <v>186</v>
      </c>
      <c r="G63" s="50">
        <v>16</v>
      </c>
      <c r="H63" s="50" t="s">
        <v>102</v>
      </c>
      <c r="I63" s="52" t="s">
        <v>108</v>
      </c>
      <c r="J63" s="56">
        <v>45582</v>
      </c>
      <c r="K63" s="60">
        <v>30000</v>
      </c>
      <c r="L63" s="50" t="s">
        <v>149</v>
      </c>
      <c r="M63" s="50" t="s">
        <v>85</v>
      </c>
      <c r="N63" s="50" t="s">
        <v>131</v>
      </c>
      <c r="O63" s="50" t="s">
        <v>43</v>
      </c>
      <c r="P63" s="52">
        <v>33993</v>
      </c>
      <c r="Q63" s="50" t="s">
        <v>96</v>
      </c>
      <c r="R63" s="50" t="s">
        <v>116</v>
      </c>
      <c r="S63" s="50">
        <v>3233679710</v>
      </c>
      <c r="T63" s="50" t="s">
        <v>251</v>
      </c>
      <c r="U63" s="59" t="str">
        <f>IF(O63=CURSOS!$D$3,"DIPLOMADO EN ATENCION PRE-HOSPITALARIA",IF(O63=CURSOS!$D$4,"ACOMPAÑAMIENTO Y MANEJO DEL DUELO",IF(O63=CURSOS!$D$5,"ATENCION A VICTIMAS DE ATAQUE CON AGENTES QUIMICOS ",IF(O63=CURSOS!$D$6,"PRIMEROS AUXILIOS ",IF(O63=CURSOS!$D$7,"DIPLOMADO DE UNIDAD DE CUIDADOS INTENSIVOS (UCI)",IF(O63=CURSOS!$D$8,"MODELO DE ATENCION PARA EVENTOS EMERGENTES EN SALUD MENTAL (CODIGO VERDE)",IF(O63=CURSOS!$D$9,"HUMANIZACION EN EL SERVICIO DE LA SALUD Y BUENAS PRACTICAS EN PACIENTE ",IF(O63=CURSOS!$D$10,"CLINICA DE HERIDAS ",IF(O63=CURSOS!$D$11,"TOMA DE CITOLOGIA CERVICO VAGINAL ",IF(O63=CURSOS!$D$12,"SOPORTE CARDIOVASCULAR AVANZADO (ACLS) ",IF(O63=CURSOS!$D$13,"CAMILLERO ",IF(O63=CURSOS!$D$14,"TOMA DE MUESTRAS Y LABORATORIO ",IF(O63=CURSOS!$D$15,"SOPORTE VITAL BASICO (BLS)",IF(O63=CURSOS!$D$16,"ATENCION A VICTIMAS DE VIOLENCIA SEXUAL ",IF(O63=CURSOS!$D$17,"PROGRAMADO AMPLIADO DE INMUNIZACION (PAI - COVID 19)",IF(O63=CURSOS!$D$18,"ATENCION INTEGRAL EN ENFERMEDADES PREVALENTES EN PRIMERA INFANCIA (AIEPI)",IF(O63=CURSOS!$D$19,"ADMINISTRACION DE MEDICAMENTOS, INYECTOLOGIA  Y CANALIZACION ",IF(O63=CURSOS!$D$20,"OPERADOR DE VEHICULOS DE EMERGENCIA (OVE)",IF(O63=CURSOS!$D$21,"INSTITUCIONES AMIGAS DE LA MUJER Y LA INFANCIA (IAMI)",IF(O63=CURSOS!$D$22,"CUIDADO DEL DONANTE DE ORGANOS",IF(O63=CURSOS!$D$23,"ATENCION A VICTIMAS POR VIOLENCIA DE GENERO",IF(O63=CURSOS!$D$24,"IGUALDAD DE GENERO EN LA SALUD",IF(O63=CURSOS!$D$25,"BRIGADA DE EMERGENCIA",IF(O63=CURSOS!$D$26,"MANEJO DEL DOLOR Y CUIDADOS PALIATIVOS",IF(O63=CURSOS!$D$27,"TOMA DE MUESTRAS Y LABORATORIO POCT",IF(O63=CURSOS!$D$28,"IMPLANTE SUBDERMICO DE DISPOSITIVO INTRAUTERINO",IF(O63=CURSOS!$D$29,"SALUD MENTAL",IF(O63=CURSOS!$D$30,"PRIMEROS AUXILIOS PSICOLOGICOS",IF(O63=CURSOS!$D$31,"ATENCION A VICTIMAS POR CONFLICTO ARMADO",IF(O63=CURSOS!$D$32,"MANIPULACION DE ALIMENTOS Y BPM",IF(O63=CURSOS!$D$33,"ATENCION A PERSONAS CON DISCAPACIDAD",IF(O63=CURSOS!$D$34,"CUIDADO INTEGRAL DEL PACIENTE ADULTO",IF(O63=CURSOS!$D$35,"MANEJO DEFENSIVO",IF(O63=CURSOS!$D$36,"SOPORTE CARDIOVASCULAR AVANZADO NEONATAL",IF(O63=CURSOS!$D$37,"SEGURIDAD DEL PACIENTE",IF(O63=CURSOS!$D$38,"MANEJO DE RESIDUOS HOSPITALARIOS"))))))))))))))))))))))))))))))))))))</f>
        <v xml:space="preserve">ATENCION A VICTIMAS DE VIOLENCIA SEXUAL </v>
      </c>
      <c r="V63" s="59" t="str">
        <f t="shared" si="0"/>
        <v>Francy Milena Caicedo Figueroa</v>
      </c>
      <c r="W63" s="59" t="str">
        <f t="shared" si="1"/>
        <v>Francy Milena Caicedo Figueroa</v>
      </c>
      <c r="X63" s="59" t="str">
        <f t="shared" si="2"/>
        <v>Francy Milena Caicedo Figueroa-1085635358-VIOLENCIA SEXUAL</v>
      </c>
    </row>
    <row r="64" spans="1:24" s="87" customFormat="1" x14ac:dyDescent="0.2">
      <c r="A64" s="86">
        <v>63</v>
      </c>
      <c r="B64" s="87">
        <v>98400086</v>
      </c>
      <c r="C64" s="87" t="s">
        <v>252</v>
      </c>
      <c r="D64" s="87" t="s">
        <v>163</v>
      </c>
      <c r="E64" s="87" t="s">
        <v>253</v>
      </c>
      <c r="F64" s="87" t="s">
        <v>254</v>
      </c>
      <c r="G64" s="87">
        <v>16</v>
      </c>
      <c r="H64" s="87" t="s">
        <v>102</v>
      </c>
      <c r="I64" s="88" t="s">
        <v>108</v>
      </c>
      <c r="J64" s="89">
        <v>45582</v>
      </c>
      <c r="K64" s="93">
        <v>32000</v>
      </c>
      <c r="L64" s="87" t="s">
        <v>206</v>
      </c>
      <c r="M64" s="87" t="s">
        <v>85</v>
      </c>
      <c r="N64" s="87" t="s">
        <v>115</v>
      </c>
      <c r="O64" s="87" t="s">
        <v>27</v>
      </c>
      <c r="P64" s="88">
        <v>28191</v>
      </c>
      <c r="Q64" s="87" t="s">
        <v>97</v>
      </c>
      <c r="R64" s="87" t="s">
        <v>255</v>
      </c>
      <c r="S64" s="87">
        <v>3226581664</v>
      </c>
      <c r="T64" s="87" t="s">
        <v>256</v>
      </c>
      <c r="U64" s="87" t="str">
        <f>IF(O64=CURSOS!$D$3,"DIPLOMADO EN ATENCION PRE-HOSPITALARIA",IF(O64=CURSOS!$D$4,"ACOMPAÑAMIENTO Y MANEJO DEL DUELO",IF(O64=CURSOS!$D$5,"ATENCION A VICTIMAS DE ATAQUE CON AGENTES QUIMICOS ",IF(O64=CURSOS!$D$6,"PRIMEROS AUXILIOS ",IF(O64=CURSOS!$D$7,"DIPLOMADO DE UNIDAD DE CUIDADOS INTENSIVOS (UCI)",IF(O64=CURSOS!$D$8,"MODELO DE ATENCION PARA EVENTOS EMERGENTES EN SALUD MENTAL (CODIGO VERDE)",IF(O64=CURSOS!$D$9,"HUMANIZACION EN EL SERVICIO DE LA SALUD Y BUENAS PRACTICAS EN PACIENTE ",IF(O64=CURSOS!$D$10,"CLINICA DE HERIDAS ",IF(O64=CURSOS!$D$11,"TOMA DE CITOLOGIA CERVICO VAGINAL ",IF(O64=CURSOS!$D$12,"SOPORTE CARDIOVASCULAR AVANZADO (ACLS) ",IF(O64=CURSOS!$D$13,"CAMILLERO ",IF(O64=CURSOS!$D$14,"TOMA DE MUESTRAS Y LABORATORIO ",IF(O64=CURSOS!$D$15,"SOPORTE VITAL BASICO (BLS)",IF(O64=CURSOS!$D$16,"ATENCION A VICTIMAS DE VIOLENCIA SEXUAL ",IF(O64=CURSOS!$D$17,"PROGRAMADO AMPLIADO DE INMUNIZACION (PAI - COVID 19)",IF(O64=CURSOS!$D$18,"ATENCION INTEGRAL EN ENFERMEDADES PREVALENTES EN PRIMERA INFANCIA (AIEPI)",IF(O64=CURSOS!$D$19,"ADMINISTRACION DE MEDICAMENTOS, INYECTOLOGIA  Y CANALIZACION ",IF(O64=CURSOS!$D$20,"OPERADOR DE VEHICULOS DE EMERGENCIA (OVE)",IF(O64=CURSOS!$D$21,"INSTITUCIONES AMIGAS DE LA MUJER Y LA INFANCIA (IAMI)",IF(O64=CURSOS!$D$22,"CUIDADO DEL DONANTE DE ORGANOS",IF(O64=CURSOS!$D$23,"ATENCION A VICTIMAS POR VIOLENCIA DE GENERO",IF(O64=CURSOS!$D$24,"IGUALDAD DE GENERO EN LA SALUD",IF(O64=CURSOS!$D$25,"BRIGADA DE EMERGENCIA",IF(O64=CURSOS!$D$26,"MANEJO DEL DOLOR Y CUIDADOS PALIATIVOS",IF(O64=CURSOS!$D$27,"TOMA DE MUESTRAS Y LABORATORIO POCT",IF(O64=CURSOS!$D$28,"IMPLANTE SUBDERMICO DE DISPOSITIVO INTRAUTERINO",IF(O64=CURSOS!$D$29,"SALUD MENTAL",IF(O64=CURSOS!$D$30,"PRIMEROS AUXILIOS PSICOLOGICOS",IF(O64=CURSOS!$D$31,"ATENCION A VICTIMAS POR CONFLICTO ARMADO",IF(O64=CURSOS!$D$32,"MANIPULACION DE ALIMENTOS Y BPM",IF(O64=CURSOS!$D$33,"ATENCION A PERSONAS CON DISCAPACIDAD",IF(O64=CURSOS!$D$34,"CUIDADO INTEGRAL DEL PACIENTE ADULTO",IF(O64=CURSOS!$D$35,"MANEJO DEFENSIVO",IF(O64=CURSOS!$D$36,"SOPORTE CARDIOVASCULAR AVANZADO NEONATAL",IF(O64=CURSOS!$D$37,"SEGURIDAD DEL PACIENTE",IF(O64=CURSOS!$D$38,"MANEJO DE RESIDUOS HOSPITALARIOS"))))))))))))))))))))))))))))))))))))</f>
        <v xml:space="preserve">PRIMEROS AUXILIOS </v>
      </c>
      <c r="V64" s="87" t="str">
        <f t="shared" si="0"/>
        <v>German Andrés Andrade Bolaños</v>
      </c>
      <c r="W64" s="87" t="str">
        <f t="shared" si="1"/>
        <v>German Andrés Andrade Bolaños</v>
      </c>
      <c r="X64" s="87" t="str">
        <f t="shared" si="2"/>
        <v>German Andrés Andrade Bolaños-98400086-PRIMEROS AUXILIOS</v>
      </c>
    </row>
    <row r="65" spans="1:24" s="92" customFormat="1" x14ac:dyDescent="0.2">
      <c r="A65" s="86">
        <v>64</v>
      </c>
      <c r="B65" s="87">
        <v>1018505684</v>
      </c>
      <c r="C65" s="87" t="s">
        <v>257</v>
      </c>
      <c r="D65" s="87" t="s">
        <v>258</v>
      </c>
      <c r="E65" s="87" t="s">
        <v>259</v>
      </c>
      <c r="F65" s="87" t="s">
        <v>260</v>
      </c>
      <c r="G65" s="87">
        <v>17</v>
      </c>
      <c r="H65" s="87" t="s">
        <v>102</v>
      </c>
      <c r="I65" s="88" t="s">
        <v>111</v>
      </c>
      <c r="J65" s="89">
        <v>45582</v>
      </c>
      <c r="K65" s="93">
        <v>80000</v>
      </c>
      <c r="L65" s="87" t="s">
        <v>206</v>
      </c>
      <c r="M65" s="87" t="s">
        <v>85</v>
      </c>
      <c r="N65" s="87" t="s">
        <v>103</v>
      </c>
      <c r="O65" s="87" t="s">
        <v>43</v>
      </c>
      <c r="P65" s="88">
        <v>36014</v>
      </c>
      <c r="Q65" s="87" t="s">
        <v>96</v>
      </c>
      <c r="R65" s="87" t="s">
        <v>137</v>
      </c>
      <c r="S65" s="87">
        <v>3223668812</v>
      </c>
      <c r="T65" s="87" t="s">
        <v>261</v>
      </c>
      <c r="U65" s="87" t="str">
        <f>IF(O65=CURSOS!$D$3,"DIPLOMADO EN ATENCION PRE-HOSPITALARIA",IF(O65=CURSOS!$D$4,"ACOMPAÑAMIENTO Y MANEJO DEL DUELO",IF(O65=CURSOS!$D$5,"ATENCION A VICTIMAS DE ATAQUE CON AGENTES QUIMICOS ",IF(O65=CURSOS!$D$6,"PRIMEROS AUXILIOS ",IF(O65=CURSOS!$D$7,"DIPLOMADO DE UNIDAD DE CUIDADOS INTENSIVOS (UCI)",IF(O65=CURSOS!$D$8,"MODELO DE ATENCION PARA EVENTOS EMERGENTES EN SALUD MENTAL (CODIGO VERDE)",IF(O65=CURSOS!$D$9,"HUMANIZACION EN EL SERVICIO DE LA SALUD Y BUENAS PRACTICAS EN PACIENTE ",IF(O65=CURSOS!$D$10,"CLINICA DE HERIDAS ",IF(O65=CURSOS!$D$11,"TOMA DE CITOLOGIA CERVICO VAGINAL ",IF(O65=CURSOS!$D$12,"SOPORTE CARDIOVASCULAR AVANZADO (ACLS) ",IF(O65=CURSOS!$D$13,"CAMILLERO ",IF(O65=CURSOS!$D$14,"TOMA DE MUESTRAS Y LABORATORIO ",IF(O65=CURSOS!$D$15,"SOPORTE VITAL BASICO (BLS)",IF(O65=CURSOS!$D$16,"ATENCION A VICTIMAS DE VIOLENCIA SEXUAL ",IF(O65=CURSOS!$D$17,"PROGRAMADO AMPLIADO DE INMUNIZACION (PAI - COVID 19)",IF(O65=CURSOS!$D$18,"ATENCION INTEGRAL EN ENFERMEDADES PREVALENTES EN PRIMERA INFANCIA (AIEPI)",IF(O65=CURSOS!$D$19,"ADMINISTRACION DE MEDICAMENTOS, INYECTOLOGIA  Y CANALIZACION ",IF(O65=CURSOS!$D$20,"OPERADOR DE VEHICULOS DE EMERGENCIA (OVE)",IF(O65=CURSOS!$D$21,"INSTITUCIONES AMIGAS DE LA MUJER Y LA INFANCIA (IAMI)",IF(O65=CURSOS!$D$22,"CUIDADO DEL DONANTE DE ORGANOS",IF(O65=CURSOS!$D$23,"ATENCION A VICTIMAS POR VIOLENCIA DE GENERO",IF(O65=CURSOS!$D$24,"IGUALDAD DE GENERO EN LA SALUD",IF(O65=CURSOS!$D$25,"BRIGADA DE EMERGENCIA",IF(O65=CURSOS!$D$26,"MANEJO DEL DOLOR Y CUIDADOS PALIATIVOS",IF(O65=CURSOS!$D$27,"TOMA DE MUESTRAS Y LABORATORIO POCT",IF(O65=CURSOS!$D$28,"IMPLANTE SUBDERMICO DE DISPOSITIVO INTRAUTERINO",IF(O65=CURSOS!$D$29,"SALUD MENTAL",IF(O65=CURSOS!$D$30,"PRIMEROS AUXILIOS PSICOLOGICOS",IF(O65=CURSOS!$D$31,"ATENCION A VICTIMAS POR CONFLICTO ARMADO",IF(O65=CURSOS!$D$32,"MANIPULACION DE ALIMENTOS Y BPM",IF(O65=CURSOS!$D$33,"ATENCION A PERSONAS CON DISCAPACIDAD",IF(O65=CURSOS!$D$34,"CUIDADO INTEGRAL DEL PACIENTE ADULTO",IF(O65=CURSOS!$D$35,"MANEJO DEFENSIVO",IF(O65=CURSOS!$D$36,"SOPORTE CARDIOVASCULAR AVANZADO NEONATAL",IF(O65=CURSOS!$D$37,"SEGURIDAD DEL PACIENTE",IF(O65=CURSOS!$D$38,"MANEJO DE RESIDUOS HOSPITALARIOS"))))))))))))))))))))))))))))))))))))</f>
        <v xml:space="preserve">ATENCION A VICTIMAS DE VIOLENCIA SEXUAL </v>
      </c>
      <c r="V65" s="87" t="str">
        <f t="shared" si="0"/>
        <v>Claudia Patricia Ruis Caballero</v>
      </c>
      <c r="W65" s="87" t="str">
        <f t="shared" si="1"/>
        <v>Claudia Patricia Ruis Caballero</v>
      </c>
      <c r="X65" s="87" t="str">
        <f t="shared" si="2"/>
        <v>Claudia Patricia Ruis Caballero-1018505684-VIOLENCIA SEXUAL</v>
      </c>
    </row>
    <row r="66" spans="1:24" s="92" customFormat="1" x14ac:dyDescent="0.2">
      <c r="A66" s="94">
        <v>65</v>
      </c>
      <c r="B66" s="95">
        <v>1018505684</v>
      </c>
      <c r="C66" s="95" t="s">
        <v>257</v>
      </c>
      <c r="D66" s="95" t="s">
        <v>258</v>
      </c>
      <c r="E66" s="95" t="s">
        <v>259</v>
      </c>
      <c r="F66" s="95" t="s">
        <v>260</v>
      </c>
      <c r="G66" s="95">
        <v>17</v>
      </c>
      <c r="H66" s="95" t="s">
        <v>102</v>
      </c>
      <c r="I66" s="96" t="s">
        <v>111</v>
      </c>
      <c r="J66" s="97">
        <v>45582</v>
      </c>
      <c r="K66" s="98">
        <v>80000</v>
      </c>
      <c r="L66" s="95" t="s">
        <v>206</v>
      </c>
      <c r="M66" s="95" t="s">
        <v>85</v>
      </c>
      <c r="N66" s="95" t="s">
        <v>103</v>
      </c>
      <c r="O66" s="95" t="s">
        <v>23</v>
      </c>
      <c r="P66" s="96">
        <v>36014</v>
      </c>
      <c r="Q66" s="95" t="s">
        <v>96</v>
      </c>
      <c r="R66" s="95" t="s">
        <v>137</v>
      </c>
      <c r="S66" s="95">
        <v>3223668812</v>
      </c>
      <c r="T66" s="95" t="s">
        <v>261</v>
      </c>
      <c r="U66" s="95" t="str">
        <f>IF(O66=CURSOS!$D$3,"DIPLOMADO EN ATENCION PRE-HOSPITALARIA",IF(O66=CURSOS!$D$4,"ACOMPAÑAMIENTO Y MANEJO DEL DUELO",IF(O66=CURSOS!$D$5,"ATENCION A VICTIMAS DE ATAQUE CON AGENTES QUIMICOS ",IF(O66=CURSOS!$D$6,"PRIMEROS AUXILIOS ",IF(O66=CURSOS!$D$7,"DIPLOMADO DE UNIDAD DE CUIDADOS INTENSIVOS (UCI)",IF(O66=CURSOS!$D$8,"MODELO DE ATENCION PARA EVENTOS EMERGENTES EN SALUD MENTAL (CODIGO VERDE)",IF(O66=CURSOS!$D$9,"HUMANIZACION EN EL SERVICIO DE LA SALUD Y BUENAS PRACTICAS EN PACIENTE ",IF(O66=CURSOS!$D$10,"CLINICA DE HERIDAS ",IF(O66=CURSOS!$D$11,"TOMA DE CITOLOGIA CERVICO VAGINAL ",IF(O66=CURSOS!$D$12,"SOPORTE CARDIOVASCULAR AVANZADO (ACLS) ",IF(O66=CURSOS!$D$13,"CAMILLERO ",IF(O66=CURSOS!$D$14,"TOMA DE MUESTRAS Y LABORATORIO ",IF(O66=CURSOS!$D$15,"SOPORTE VITAL BASICO (BLS)",IF(O66=CURSOS!$D$16,"ATENCION A VICTIMAS DE VIOLENCIA SEXUAL ",IF(O66=CURSOS!$D$17,"PROGRAMADO AMPLIADO DE INMUNIZACION (PAI - COVID 19)",IF(O66=CURSOS!$D$18,"ATENCION INTEGRAL EN ENFERMEDADES PREVALENTES EN PRIMERA INFANCIA (AIEPI)",IF(O66=CURSOS!$D$19,"ADMINISTRACION DE MEDICAMENTOS, INYECTOLOGIA  Y CANALIZACION ",IF(O66=CURSOS!$D$20,"OPERADOR DE VEHICULOS DE EMERGENCIA (OVE)",IF(O66=CURSOS!$D$21,"INSTITUCIONES AMIGAS DE LA MUJER Y LA INFANCIA (IAMI)",IF(O66=CURSOS!$D$22,"CUIDADO DEL DONANTE DE ORGANOS",IF(O66=CURSOS!$D$23,"ATENCION A VICTIMAS POR VIOLENCIA DE GENERO",IF(O66=CURSOS!$D$24,"IGUALDAD DE GENERO EN LA SALUD",IF(O66=CURSOS!$D$25,"BRIGADA DE EMERGENCIA",IF(O66=CURSOS!$D$26,"MANEJO DEL DOLOR Y CUIDADOS PALIATIVOS",IF(O66=CURSOS!$D$27,"TOMA DE MUESTRAS Y LABORATORIO POCT",IF(O66=CURSOS!$D$28,"IMPLANTE SUBDERMICO DE DISPOSITIVO INTRAUTERINO",IF(O66=CURSOS!$D$29,"SALUD MENTAL",IF(O66=CURSOS!$D$30,"PRIMEROS AUXILIOS PSICOLOGICOS",IF(O66=CURSOS!$D$31,"ATENCION A VICTIMAS POR CONFLICTO ARMADO",IF(O66=CURSOS!$D$32,"MANIPULACION DE ALIMENTOS Y BPM",IF(O66=CURSOS!$D$33,"ATENCION A PERSONAS CON DISCAPACIDAD",IF(O66=CURSOS!$D$34,"CUIDADO INTEGRAL DEL PACIENTE ADULTO",IF(O66=CURSOS!$D$35,"MANEJO DEFENSIVO",IF(O66=CURSOS!$D$36,"SOPORTE CARDIOVASCULAR AVANZADO NEONATAL",IF(O66=CURSOS!$D$37,"SEGURIDAD DEL PACIENTE",IF(O66=CURSOS!$D$38,"MANEJO DE RESIDUOS HOSPITALARIOS"))))))))))))))))))))))))))))))))))))</f>
        <v>ACOMPAÑAMIENTO Y MANEJO DEL DUELO</v>
      </c>
      <c r="V66" s="95" t="str">
        <f t="shared" si="0"/>
        <v>Claudia Patricia Ruis Caballero</v>
      </c>
      <c r="W66" s="95" t="str">
        <f t="shared" si="1"/>
        <v>Claudia Patricia Ruis Caballero</v>
      </c>
      <c r="X66" s="95" t="str">
        <f t="shared" si="2"/>
        <v>Claudia Patricia Ruis Caballero-1018505684-DUELO</v>
      </c>
    </row>
    <row r="67" spans="1:24" s="49" customFormat="1" x14ac:dyDescent="0.2">
      <c r="A67" s="55">
        <v>66</v>
      </c>
      <c r="B67" s="50">
        <v>1131085871</v>
      </c>
      <c r="C67" s="50" t="s">
        <v>262</v>
      </c>
      <c r="D67" s="50" t="s">
        <v>246</v>
      </c>
      <c r="E67" s="50" t="s">
        <v>191</v>
      </c>
      <c r="F67" s="50" t="s">
        <v>263</v>
      </c>
      <c r="G67" s="50">
        <v>17</v>
      </c>
      <c r="H67" s="50" t="s">
        <v>102</v>
      </c>
      <c r="I67" s="52" t="s">
        <v>108</v>
      </c>
      <c r="J67" s="56">
        <v>45583</v>
      </c>
      <c r="K67" s="60">
        <v>30000</v>
      </c>
      <c r="L67" s="50" t="s">
        <v>149</v>
      </c>
      <c r="M67" s="50" t="s">
        <v>85</v>
      </c>
      <c r="N67" s="50" t="s">
        <v>215</v>
      </c>
      <c r="O67" s="50" t="s">
        <v>33</v>
      </c>
      <c r="P67" s="52">
        <v>36344</v>
      </c>
      <c r="Q67" s="50" t="s">
        <v>96</v>
      </c>
      <c r="R67" s="50" t="s">
        <v>116</v>
      </c>
      <c r="S67" s="58">
        <v>3172660149</v>
      </c>
      <c r="T67" s="50" t="s">
        <v>264</v>
      </c>
      <c r="U67" s="59" t="str">
        <f>IF(O67=CURSOS!$D$3,"DIPLOMADO EN ATENCION PRE-HOSPITALARIA",IF(O67=CURSOS!$D$4,"ACOMPAÑAMIENTO Y MANEJO DEL DUELO",IF(O67=CURSOS!$D$5,"ATENCION A VICTIMAS DE ATAQUE CON AGENTES QUIMICOS ",IF(O67=CURSOS!$D$6,"PRIMEROS AUXILIOS ",IF(O67=CURSOS!$D$7,"DIPLOMADO DE UNIDAD DE CUIDADOS INTENSIVOS (UCI)",IF(O67=CURSOS!$D$8,"MODELO DE ATENCION PARA EVENTOS EMERGENTES EN SALUD MENTAL (CODIGO VERDE)",IF(O67=CURSOS!$D$9,"HUMANIZACION EN EL SERVICIO DE LA SALUD Y BUENAS PRACTICAS EN PACIENTE ",IF(O67=CURSOS!$D$10,"CLINICA DE HERIDAS ",IF(O67=CURSOS!$D$11,"TOMA DE CITOLOGIA CERVICO VAGINAL ",IF(O67=CURSOS!$D$12,"SOPORTE CARDIOVASCULAR AVANZADO (ACLS) ",IF(O67=CURSOS!$D$13,"CAMILLERO ",IF(O67=CURSOS!$D$14,"TOMA DE MUESTRAS Y LABORATORIO ",IF(O67=CURSOS!$D$15,"SOPORTE VITAL BASICO (BLS)",IF(O67=CURSOS!$D$16,"ATENCION A VICTIMAS DE VIOLENCIA SEXUAL ",IF(O67=CURSOS!$D$17,"PROGRAMADO AMPLIADO DE INMUNIZACION (PAI - COVID 19)",IF(O67=CURSOS!$D$18,"ATENCION INTEGRAL EN ENFERMEDADES PREVALENTES EN PRIMERA INFANCIA (AIEPI)",IF(O67=CURSOS!$D$19,"ADMINISTRACION DE MEDICAMENTOS, INYECTOLOGIA  Y CANALIZACION ",IF(O67=CURSOS!$D$20,"OPERADOR DE VEHICULOS DE EMERGENCIA (OVE)",IF(O67=CURSOS!$D$21,"INSTITUCIONES AMIGAS DE LA MUJER Y LA INFANCIA (IAMI)",IF(O67=CURSOS!$D$22,"CUIDADO DEL DONANTE DE ORGANOS",IF(O67=CURSOS!$D$23,"ATENCION A VICTIMAS POR VIOLENCIA DE GENERO",IF(O67=CURSOS!$D$24,"IGUALDAD DE GENERO EN LA SALUD",IF(O67=CURSOS!$D$25,"BRIGADA DE EMERGENCIA",IF(O67=CURSOS!$D$26,"MANEJO DEL DOLOR Y CUIDADOS PALIATIVOS",IF(O67=CURSOS!$D$27,"TOMA DE MUESTRAS Y LABORATORIO POCT",IF(O67=CURSOS!$D$28,"IMPLANTE SUBDERMICO DE DISPOSITIVO INTRAUTERINO",IF(O67=CURSOS!$D$29,"SALUD MENTAL",IF(O67=CURSOS!$D$30,"PRIMEROS AUXILIOS PSICOLOGICOS",IF(O67=CURSOS!$D$31,"ATENCION A VICTIMAS POR CONFLICTO ARMADO",IF(O67=CURSOS!$D$32,"MANIPULACION DE ALIMENTOS Y BPM",IF(O67=CURSOS!$D$33,"ATENCION A PERSONAS CON DISCAPACIDAD",IF(O67=CURSOS!$D$34,"CUIDADO INTEGRAL DEL PACIENTE ADULTO",IF(O67=CURSOS!$D$35,"MANEJO DEFENSIVO",IF(O67=CURSOS!$D$36,"SOPORTE CARDIOVASCULAR AVANZADO NEONATAL",IF(O67=CURSOS!$D$37,"SEGURIDAD DEL PACIENTE",IF(O67=CURSOS!$D$38,"MANEJO DE RESIDUOS HOSPITALARIOS"))))))))))))))))))))))))))))))))))))</f>
        <v xml:space="preserve">HUMANIZACION EN EL SERVICIO DE LA SALUD Y BUENAS PRACTICAS EN PACIENTE </v>
      </c>
      <c r="V67" s="59" t="str">
        <f t="shared" ref="V67:V108" si="3">CONCATENATE(E67," ",F67," ",C67," ",D67)</f>
        <v>Maria Camila Velez Criollo</v>
      </c>
      <c r="W67" s="59" t="str">
        <f t="shared" ref="W67:W130" si="4">PROPER(V67)</f>
        <v>Maria Camila Velez Criollo</v>
      </c>
      <c r="X67" s="59" t="str">
        <f t="shared" ref="X67:X108" si="5">CONCATENATE(V67,"-",B67,"-",O67)</f>
        <v>Maria Camila Velez Criollo-1131085871-HUMANIZACION</v>
      </c>
    </row>
    <row r="68" spans="1:24" s="49" customFormat="1" x14ac:dyDescent="0.2">
      <c r="A68" s="55">
        <v>67</v>
      </c>
      <c r="B68" s="50">
        <v>1193383314</v>
      </c>
      <c r="C68" s="50" t="s">
        <v>151</v>
      </c>
      <c r="D68" s="50" t="s">
        <v>207</v>
      </c>
      <c r="E68" s="50" t="s">
        <v>265</v>
      </c>
      <c r="F68" s="50" t="s">
        <v>107</v>
      </c>
      <c r="G68" s="50">
        <v>18</v>
      </c>
      <c r="H68" s="50" t="s">
        <v>102</v>
      </c>
      <c r="I68" s="52" t="s">
        <v>108</v>
      </c>
      <c r="J68" s="56"/>
      <c r="K68" s="60"/>
      <c r="L68" s="50"/>
      <c r="M68" s="50" t="s">
        <v>85</v>
      </c>
      <c r="N68" s="50" t="s">
        <v>215</v>
      </c>
      <c r="O68" s="50" t="s">
        <v>61</v>
      </c>
      <c r="P68" s="52">
        <v>36985</v>
      </c>
      <c r="Q68" s="50" t="s">
        <v>96</v>
      </c>
      <c r="R68" s="50" t="s">
        <v>162</v>
      </c>
      <c r="S68" s="58">
        <v>3128544489</v>
      </c>
      <c r="T68" s="50" t="s">
        <v>266</v>
      </c>
      <c r="U68" s="59" t="str">
        <f>IF(O68=CURSOS!$D$3,"DIPLOMADO EN ATENCION PRE-HOSPITALARIA",IF(O68=CURSOS!$D$4,"ACOMPAÑAMIENTO Y MANEJO DEL DUELO",IF(O68=CURSOS!$D$5,"ATENCION A VICTIMAS DE ATAQUE CON AGENTES QUIMICOS ",IF(O68=CURSOS!$D$6,"PRIMEROS AUXILIOS ",IF(O68=CURSOS!$D$7,"DIPLOMADO DE UNIDAD DE CUIDADOS INTENSIVOS (UCI)",IF(O68=CURSOS!$D$8,"MODELO DE ATENCION PARA EVENTOS EMERGENTES EN SALUD MENTAL (CODIGO VERDE)",IF(O68=CURSOS!$D$9,"HUMANIZACION EN EL SERVICIO DE LA SALUD Y BUENAS PRACTICAS EN PACIENTE ",IF(O68=CURSOS!$D$10,"CLINICA DE HERIDAS ",IF(O68=CURSOS!$D$11,"TOMA DE CITOLOGIA CERVICO VAGINAL ",IF(O68=CURSOS!$D$12,"SOPORTE CARDIOVASCULAR AVANZADO (ACLS) ",IF(O68=CURSOS!$D$13,"CAMILLERO ",IF(O68=CURSOS!$D$14,"TOMA DE MUESTRAS Y LABORATORIO ",IF(O68=CURSOS!$D$15,"SOPORTE VITAL BASICO (BLS)",IF(O68=CURSOS!$D$16,"ATENCION A VICTIMAS DE VIOLENCIA SEXUAL ",IF(O68=CURSOS!$D$17,"PROGRAMADO AMPLIADO DE INMUNIZACION (PAI - COVID 19)",IF(O68=CURSOS!$D$18,"ATENCION INTEGRAL EN ENFERMEDADES PREVALENTES EN PRIMERA INFANCIA (AIEPI)",IF(O68=CURSOS!$D$19,"ADMINISTRACION DE MEDICAMENTOS, INYECTOLOGIA  Y CANALIZACION ",IF(O68=CURSOS!$D$20,"OPERADOR DE VEHICULOS DE EMERGENCIA (OVE)",IF(O68=CURSOS!$D$21,"INSTITUCIONES AMIGAS DE LA MUJER Y LA INFANCIA (IAMI)",IF(O68=CURSOS!$D$22,"CUIDADO DEL DONANTE DE ORGANOS",IF(O68=CURSOS!$D$23,"ATENCION A VICTIMAS POR VIOLENCIA DE GENERO",IF(O68=CURSOS!$D$24,"IGUALDAD DE GENERO EN LA SALUD",IF(O68=CURSOS!$D$25,"BRIGADA DE EMERGENCIA",IF(O68=CURSOS!$D$26,"MANEJO DEL DOLOR Y CUIDADOS PALIATIVOS",IF(O68=CURSOS!$D$27,"TOMA DE MUESTRAS Y LABORATORIO POCT",IF(O68=CURSOS!$D$28,"IMPLANTE SUBDERMICO DE DISPOSITIVO INTRAUTERINO",IF(O68=CURSOS!$D$29,"SALUD MENTAL",IF(O68=CURSOS!$D$30,"PRIMEROS AUXILIOS PSICOLOGICOS",IF(O68=CURSOS!$D$31,"ATENCION A VICTIMAS POR CONFLICTO ARMADO",IF(O68=CURSOS!$D$32,"MANIPULACION DE ALIMENTOS Y BPM",IF(O68=CURSOS!$D$33,"ATENCION A PERSONAS CON DISCAPACIDAD",IF(O68=CURSOS!$D$34,"CUIDADO INTEGRAL DEL PACIENTE ADULTO",IF(O68=CURSOS!$D$35,"MANEJO DEFENSIVO",IF(O68=CURSOS!$D$36,"SOPORTE CARDIOVASCULAR AVANZADO NEONATAL",IF(O68=CURSOS!$D$37,"SEGURIDAD DEL PACIENTE",IF(O68=CURSOS!$D$38,"MANEJO DE RESIDUOS HOSPITALARIOS"))))))))))))))))))))))))))))))))))))</f>
        <v>MANEJO DEL DOLOR Y CUIDADOS PALIATIVOS</v>
      </c>
      <c r="V68" s="59" t="str">
        <f t="shared" si="3"/>
        <v>Valeria Valentina Perez Rosero</v>
      </c>
      <c r="W68" s="59" t="str">
        <f t="shared" si="4"/>
        <v>Valeria Valentina Perez Rosero</v>
      </c>
      <c r="X68" s="59" t="str">
        <f t="shared" si="5"/>
        <v>Valeria Valentina Perez Rosero-1193383314-PALIATIVOS</v>
      </c>
    </row>
    <row r="69" spans="1:24" s="87" customFormat="1" x14ac:dyDescent="0.2">
      <c r="A69" s="86">
        <v>68</v>
      </c>
      <c r="B69" s="87">
        <v>1004201109</v>
      </c>
      <c r="C69" s="87" t="s">
        <v>167</v>
      </c>
      <c r="D69" s="87" t="s">
        <v>168</v>
      </c>
      <c r="E69" s="87" t="s">
        <v>172</v>
      </c>
      <c r="F69" s="87" t="s">
        <v>169</v>
      </c>
      <c r="G69" s="87">
        <v>18</v>
      </c>
      <c r="H69" s="87" t="s">
        <v>102</v>
      </c>
      <c r="I69" s="88" t="s">
        <v>108</v>
      </c>
      <c r="J69" s="89">
        <v>45583</v>
      </c>
      <c r="K69" s="90">
        <v>35000</v>
      </c>
      <c r="L69" s="87" t="s">
        <v>206</v>
      </c>
      <c r="M69" s="87" t="s">
        <v>85</v>
      </c>
      <c r="N69" s="87" t="s">
        <v>103</v>
      </c>
      <c r="O69" s="87" t="s">
        <v>25</v>
      </c>
      <c r="P69" s="88">
        <v>37488</v>
      </c>
      <c r="Q69" s="87" t="s">
        <v>96</v>
      </c>
      <c r="R69" s="87" t="s">
        <v>170</v>
      </c>
      <c r="S69" s="91">
        <v>3153279994</v>
      </c>
      <c r="T69" s="87" t="s">
        <v>171</v>
      </c>
      <c r="U69" s="87" t="str">
        <f>IF(O69=CURSOS!$D$3,"DIPLOMADO EN ATENCION PRE-HOSPITALARIA",IF(O69=CURSOS!$D$4,"ACOMPAÑAMIENTO Y MANEJO DEL DUELO",IF(O69=CURSOS!$D$5,"ATENCION A VICTIMAS DE ATAQUE CON AGENTES QUIMICOS ",IF(O69=CURSOS!$D$6,"PRIMEROS AUXILIOS ",IF(O69=CURSOS!$D$7,"DIPLOMADO DE UNIDAD DE CUIDADOS INTENSIVOS (UCI)",IF(O69=CURSOS!$D$8,"MODELO DE ATENCION PARA EVENTOS EMERGENTES EN SALUD MENTAL (CODIGO VERDE)",IF(O69=CURSOS!$D$9,"HUMANIZACION EN EL SERVICIO DE LA SALUD Y BUENAS PRACTICAS EN PACIENTE ",IF(O69=CURSOS!$D$10,"CLINICA DE HERIDAS ",IF(O69=CURSOS!$D$11,"TOMA DE CITOLOGIA CERVICO VAGINAL ",IF(O69=CURSOS!$D$12,"SOPORTE CARDIOVASCULAR AVANZADO (ACLS) ",IF(O69=CURSOS!$D$13,"CAMILLERO ",IF(O69=CURSOS!$D$14,"TOMA DE MUESTRAS Y LABORATORIO ",IF(O69=CURSOS!$D$15,"SOPORTE VITAL BASICO (BLS)",IF(O69=CURSOS!$D$16,"ATENCION A VICTIMAS DE VIOLENCIA SEXUAL ",IF(O69=CURSOS!$D$17,"PROGRAMADO AMPLIADO DE INMUNIZACION (PAI - COVID 19)",IF(O69=CURSOS!$D$18,"ATENCION INTEGRAL EN ENFERMEDADES PREVALENTES EN PRIMERA INFANCIA (AIEPI)",IF(O69=CURSOS!$D$19,"ADMINISTRACION DE MEDICAMENTOS, INYECTOLOGIA  Y CANALIZACION ",IF(O69=CURSOS!$D$20,"OPERADOR DE VEHICULOS DE EMERGENCIA (OVE)",IF(O69=CURSOS!$D$21,"INSTITUCIONES AMIGAS DE LA MUJER Y LA INFANCIA (IAMI)",IF(O69=CURSOS!$D$22,"CUIDADO DEL DONANTE DE ORGANOS",IF(O69=CURSOS!$D$23,"ATENCION A VICTIMAS POR VIOLENCIA DE GENERO",IF(O69=CURSOS!$D$24,"IGUALDAD DE GENERO EN LA SALUD",IF(O69=CURSOS!$D$25,"BRIGADA DE EMERGENCIA",IF(O69=CURSOS!$D$26,"MANEJO DEL DOLOR Y CUIDADOS PALIATIVOS",IF(O69=CURSOS!$D$27,"TOMA DE MUESTRAS Y LABORATORIO POCT",IF(O69=CURSOS!$D$28,"IMPLANTE SUBDERMICO DE DISPOSITIVO INTRAUTERINO",IF(O69=CURSOS!$D$29,"SALUD MENTAL",IF(O69=CURSOS!$D$30,"PRIMEROS AUXILIOS PSICOLOGICOS",IF(O69=CURSOS!$D$31,"ATENCION A VICTIMAS POR CONFLICTO ARMADO",IF(O69=CURSOS!$D$32,"MANIPULACION DE ALIMENTOS Y BPM",IF(O69=CURSOS!$D$33,"ATENCION A PERSONAS CON DISCAPACIDAD",IF(O69=CURSOS!$D$34,"CUIDADO INTEGRAL DEL PACIENTE ADULTO",IF(O69=CURSOS!$D$35,"MANEJO DEFENSIVO",IF(O69=CURSOS!$D$36,"SOPORTE CARDIOVASCULAR AVANZADO NEONATAL",IF(O69=CURSOS!$D$37,"SEGURIDAD DEL PACIENTE",IF(O69=CURSOS!$D$38,"MANEJO DE RESIDUOS HOSPITALARIOS"))))))))))))))))))))))))))))))))))))</f>
        <v xml:space="preserve">ATENCION A VICTIMAS DE ATAQUE CON AGENTES QUIMICOS </v>
      </c>
      <c r="V69" s="87" t="str">
        <f t="shared" si="3"/>
        <v>Katerin Julieth Quiñones Castillo</v>
      </c>
      <c r="W69" s="87" t="str">
        <f t="shared" si="4"/>
        <v>Katerin Julieth Quiñones Castillo</v>
      </c>
      <c r="X69" s="87" t="str">
        <f t="shared" si="5"/>
        <v>Katerin Julieth Quiñones Castillo-1004201109-QUIMICOS</v>
      </c>
    </row>
    <row r="70" spans="1:24" s="49" customFormat="1" x14ac:dyDescent="0.2">
      <c r="A70" s="55">
        <v>69</v>
      </c>
      <c r="B70" s="50">
        <v>1085927751</v>
      </c>
      <c r="C70" s="50" t="s">
        <v>267</v>
      </c>
      <c r="D70" s="50" t="s">
        <v>268</v>
      </c>
      <c r="E70" s="50" t="s">
        <v>269</v>
      </c>
      <c r="F70" s="50" t="s">
        <v>270</v>
      </c>
      <c r="G70" s="50">
        <v>19</v>
      </c>
      <c r="H70" s="50" t="s">
        <v>102</v>
      </c>
      <c r="I70" s="52" t="s">
        <v>108</v>
      </c>
      <c r="J70" s="56">
        <v>45584</v>
      </c>
      <c r="K70" s="60">
        <v>40000</v>
      </c>
      <c r="L70" s="50" t="s">
        <v>149</v>
      </c>
      <c r="M70" s="50" t="s">
        <v>85</v>
      </c>
      <c r="N70" s="50" t="s">
        <v>103</v>
      </c>
      <c r="O70" s="50" t="s">
        <v>19</v>
      </c>
      <c r="P70" s="52">
        <v>33749</v>
      </c>
      <c r="Q70" s="50" t="s">
        <v>97</v>
      </c>
      <c r="R70" s="50" t="s">
        <v>116</v>
      </c>
      <c r="S70" s="58">
        <v>3184020426</v>
      </c>
      <c r="T70" s="50" t="s">
        <v>271</v>
      </c>
      <c r="U70" s="59" t="str">
        <f>IF(O70=CURSOS!$D$3,"DIPLOMADO EN ATENCION PRE-HOSPITALARIA",IF(O70=CURSOS!$D$4,"ACOMPAÑAMIENTO Y MANEJO DEL DUELO",IF(O70=CURSOS!$D$5,"ATENCION A VICTIMAS DE ATAQUE CON AGENTES QUIMICOS ",IF(O70=CURSOS!$D$6,"PRIMEROS AUXILIOS ",IF(O70=CURSOS!$D$7,"DIPLOMADO DE UNIDAD DE CUIDADOS INTENSIVOS (UCI)",IF(O70=CURSOS!$D$8,"MODELO DE ATENCION PARA EVENTOS EMERGENTES EN SALUD MENTAL (CODIGO VERDE)",IF(O70=CURSOS!$D$9,"HUMANIZACION EN EL SERVICIO DE LA SALUD Y BUENAS PRACTICAS EN PACIENTE ",IF(O70=CURSOS!$D$10,"CLINICA DE HERIDAS ",IF(O70=CURSOS!$D$11,"TOMA DE CITOLOGIA CERVICO VAGINAL ",IF(O70=CURSOS!$D$12,"SOPORTE CARDIOVASCULAR AVANZADO (ACLS) ",IF(O70=CURSOS!$D$13,"CAMILLERO ",IF(O70=CURSOS!$D$14,"TOMA DE MUESTRAS Y LABORATORIO ",IF(O70=CURSOS!$D$15,"SOPORTE VITAL BASICO (BLS)",IF(O70=CURSOS!$D$16,"ATENCION A VICTIMAS DE VIOLENCIA SEXUAL ",IF(O70=CURSOS!$D$17,"PROGRAMADO AMPLIADO DE INMUNIZACION (PAI - COVID 19)",IF(O70=CURSOS!$D$18,"ATENCION INTEGRAL EN ENFERMEDADES PREVALENTES EN PRIMERA INFANCIA (AIEPI)",IF(O70=CURSOS!$D$19,"ADMINISTRACION DE MEDICAMENTOS, INYECTOLOGIA  Y CANALIZACION ",IF(O70=CURSOS!$D$20,"OPERADOR DE VEHICULOS DE EMERGENCIA (OVE)",IF(O70=CURSOS!$D$21,"INSTITUCIONES AMIGAS DE LA MUJER Y LA INFANCIA (IAMI)",IF(O70=CURSOS!$D$22,"CUIDADO DEL DONANTE DE ORGANOS",IF(O70=CURSOS!$D$23,"ATENCION A VICTIMAS POR VIOLENCIA DE GENERO",IF(O70=CURSOS!$D$24,"IGUALDAD DE GENERO EN LA SALUD",IF(O70=CURSOS!$D$25,"BRIGADA DE EMERGENCIA",IF(O70=CURSOS!$D$26,"MANEJO DEL DOLOR Y CUIDADOS PALIATIVOS",IF(O70=CURSOS!$D$27,"TOMA DE MUESTRAS Y LABORATORIO POCT",IF(O70=CURSOS!$D$28,"IMPLANTE SUBDERMICO DE DISPOSITIVO INTRAUTERINO",IF(O70=CURSOS!$D$29,"SALUD MENTAL",IF(O70=CURSOS!$D$30,"PRIMEROS AUXILIOS PSICOLOGICOS",IF(O70=CURSOS!$D$31,"ATENCION A VICTIMAS POR CONFLICTO ARMADO",IF(O70=CURSOS!$D$32,"MANIPULACION DE ALIMENTOS Y BPM",IF(O70=CURSOS!$D$33,"ATENCION A PERSONAS CON DISCAPACIDAD",IF(O70=CURSOS!$D$34,"CUIDADO INTEGRAL DEL PACIENTE ADULTO",IF(O70=CURSOS!$D$35,"MANEJO DEFENSIVO",IF(O70=CURSOS!$D$36,"SOPORTE CARDIOVASCULAR AVANZADO NEONATAL",IF(O70=CURSOS!$D$37,"SEGURIDAD DEL PACIENTE",IF(O70=CURSOS!$D$38,"MANEJO DE RESIDUOS HOSPITALARIOS"))))))))))))))))))))))))))))))))))))</f>
        <v>SOPORTE VITAL BASICO (BLS)</v>
      </c>
      <c r="V70" s="59" t="str">
        <f t="shared" si="3"/>
        <v>Fernando Esteban Santander Guepud</v>
      </c>
      <c r="W70" s="59" t="str">
        <f t="shared" si="4"/>
        <v>Fernando Esteban Santander Guepud</v>
      </c>
      <c r="X70" s="59" t="str">
        <f t="shared" si="5"/>
        <v>Fernando Esteban Santander Guepud-1085927751-BLS</v>
      </c>
    </row>
    <row r="71" spans="1:24" s="49" customFormat="1" x14ac:dyDescent="0.2">
      <c r="A71" s="55">
        <v>70</v>
      </c>
      <c r="B71" s="50">
        <v>1085261400</v>
      </c>
      <c r="C71" s="50" t="s">
        <v>272</v>
      </c>
      <c r="D71" s="50" t="s">
        <v>273</v>
      </c>
      <c r="E71" s="50" t="s">
        <v>274</v>
      </c>
      <c r="F71" s="50" t="s">
        <v>275</v>
      </c>
      <c r="G71" s="50">
        <v>18</v>
      </c>
      <c r="H71" s="50" t="s">
        <v>102</v>
      </c>
      <c r="I71" s="52" t="s">
        <v>108</v>
      </c>
      <c r="J71" s="56">
        <v>45584</v>
      </c>
      <c r="K71" s="60">
        <v>120000</v>
      </c>
      <c r="L71" s="50" t="s">
        <v>149</v>
      </c>
      <c r="M71" s="50" t="s">
        <v>85</v>
      </c>
      <c r="N71" s="50" t="s">
        <v>103</v>
      </c>
      <c r="O71" s="50" t="s">
        <v>38</v>
      </c>
      <c r="P71" s="52">
        <v>31993</v>
      </c>
      <c r="Q71" s="50" t="s">
        <v>96</v>
      </c>
      <c r="R71" s="50" t="s">
        <v>162</v>
      </c>
      <c r="S71" s="58">
        <v>3012168195</v>
      </c>
      <c r="T71" s="50" t="s">
        <v>276</v>
      </c>
      <c r="U71" s="59" t="str">
        <f>IF(O71=CURSOS!$D$3,"DIPLOMADO EN ATENCION PRE-HOSPITALARIA",IF(O71=CURSOS!$D$4,"ACOMPAÑAMIENTO Y MANEJO DEL DUELO",IF(O71=CURSOS!$D$5,"ATENCION A VICTIMAS DE ATAQUE CON AGENTES QUIMICOS ",IF(O71=CURSOS!$D$6,"PRIMEROS AUXILIOS ",IF(O71=CURSOS!$D$7,"DIPLOMADO DE UNIDAD DE CUIDADOS INTENSIVOS (UCI)",IF(O71=CURSOS!$D$8,"MODELO DE ATENCION PARA EVENTOS EMERGENTES EN SALUD MENTAL (CODIGO VERDE)",IF(O71=CURSOS!$D$9,"HUMANIZACION EN EL SERVICIO DE LA SALUD Y BUENAS PRACTICAS EN PACIENTE ",IF(O71=CURSOS!$D$10,"CLINICA DE HERIDAS ",IF(O71=CURSOS!$D$11,"TOMA DE CITOLOGIA CERVICO VAGINAL ",IF(O71=CURSOS!$D$12,"SOPORTE CARDIOVASCULAR AVANZADO (ACLS) ",IF(O71=CURSOS!$D$13,"CAMILLERO ",IF(O71=CURSOS!$D$14,"TOMA DE MUESTRAS Y LABORATORIO ",IF(O71=CURSOS!$D$15,"SOPORTE VITAL BASICO (BLS)",IF(O71=CURSOS!$D$16,"ATENCION A VICTIMAS DE VIOLENCIA SEXUAL ",IF(O71=CURSOS!$D$17,"PROGRAMADO AMPLIADO DE INMUNIZACION (PAI - COVID 19)",IF(O71=CURSOS!$D$18,"ATENCION INTEGRAL EN ENFERMEDADES PREVALENTES EN PRIMERA INFANCIA (AIEPI)",IF(O71=CURSOS!$D$19,"ADMINISTRACION DE MEDICAMENTOS, INYECTOLOGIA  Y CANALIZACION ",IF(O71=CURSOS!$D$20,"OPERADOR DE VEHICULOS DE EMERGENCIA (OVE)",IF(O71=CURSOS!$D$21,"INSTITUCIONES AMIGAS DE LA MUJER Y LA INFANCIA (IAMI)",IF(O71=CURSOS!$D$22,"CUIDADO DEL DONANTE DE ORGANOS",IF(O71=CURSOS!$D$23,"ATENCION A VICTIMAS POR VIOLENCIA DE GENERO",IF(O71=CURSOS!$D$24,"IGUALDAD DE GENERO EN LA SALUD",IF(O71=CURSOS!$D$25,"BRIGADA DE EMERGENCIA",IF(O71=CURSOS!$D$26,"MANEJO DEL DOLOR Y CUIDADOS PALIATIVOS",IF(O71=CURSOS!$D$27,"TOMA DE MUESTRAS Y LABORATORIO POCT",IF(O71=CURSOS!$D$28,"IMPLANTE SUBDERMICO DE DISPOSITIVO INTRAUTERINO",IF(O71=CURSOS!$D$29,"SALUD MENTAL",IF(O71=CURSOS!$D$30,"PRIMEROS AUXILIOS PSICOLOGICOS",IF(O71=CURSOS!$D$31,"ATENCION A VICTIMAS POR CONFLICTO ARMADO",IF(O71=CURSOS!$D$32,"MANIPULACION DE ALIMENTOS Y BPM",IF(O71=CURSOS!$D$33,"ATENCION A PERSONAS CON DISCAPACIDAD",IF(O71=CURSOS!$D$34,"CUIDADO INTEGRAL DEL PACIENTE ADULTO",IF(O71=CURSOS!$D$35,"MANEJO DEFENSIVO",IF(O71=CURSOS!$D$36,"SOPORTE CARDIOVASCULAR AVANZADO NEONATAL",IF(O71=CURSOS!$D$37,"SEGURIDAD DEL PACIENTE",IF(O71=CURSOS!$D$38,"MANEJO DE RESIDUOS HOSPITALARIOS"))))))))))))))))))))))))))))))))))))</f>
        <v xml:space="preserve">SOPORTE CARDIOVASCULAR AVANZADO (ACLS) </v>
      </c>
      <c r="V71" s="59" t="str">
        <f t="shared" si="3"/>
        <v>Lilia Del Rosario Ibañez Chamorro</v>
      </c>
      <c r="W71" s="59" t="str">
        <f t="shared" si="4"/>
        <v>Lilia Del Rosario Ibañez Chamorro</v>
      </c>
      <c r="X71" s="59" t="str">
        <f t="shared" si="5"/>
        <v>Lilia Del Rosario Ibañez Chamorro-1085261400-ACLS</v>
      </c>
    </row>
    <row r="72" spans="1:24" s="49" customFormat="1" x14ac:dyDescent="0.2">
      <c r="A72" s="55">
        <v>71</v>
      </c>
      <c r="B72" s="50">
        <v>1085261400</v>
      </c>
      <c r="C72" s="50" t="s">
        <v>272</v>
      </c>
      <c r="D72" s="50" t="s">
        <v>273</v>
      </c>
      <c r="E72" s="50" t="s">
        <v>274</v>
      </c>
      <c r="F72" s="50" t="s">
        <v>275</v>
      </c>
      <c r="G72" s="50">
        <v>18</v>
      </c>
      <c r="H72" s="50" t="s">
        <v>102</v>
      </c>
      <c r="I72" s="52" t="s">
        <v>108</v>
      </c>
      <c r="J72" s="56">
        <v>45584</v>
      </c>
      <c r="K72" s="60">
        <v>0</v>
      </c>
      <c r="L72" s="50" t="s">
        <v>149</v>
      </c>
      <c r="M72" s="50" t="s">
        <v>85</v>
      </c>
      <c r="N72" s="50" t="s">
        <v>103</v>
      </c>
      <c r="O72" s="50" t="s">
        <v>19</v>
      </c>
      <c r="P72" s="52">
        <v>31993</v>
      </c>
      <c r="Q72" s="50" t="s">
        <v>96</v>
      </c>
      <c r="R72" s="50" t="s">
        <v>162</v>
      </c>
      <c r="S72" s="58">
        <v>3012168195</v>
      </c>
      <c r="T72" s="50" t="s">
        <v>276</v>
      </c>
      <c r="U72" s="59" t="str">
        <f>IF(O72=CURSOS!$D$3,"DIPLOMADO EN ATENCION PRE-HOSPITALARIA",IF(O72=CURSOS!$D$4,"ACOMPAÑAMIENTO Y MANEJO DEL DUELO",IF(O72=CURSOS!$D$5,"ATENCION A VICTIMAS DE ATAQUE CON AGENTES QUIMICOS ",IF(O72=CURSOS!$D$6,"PRIMEROS AUXILIOS ",IF(O72=CURSOS!$D$7,"DIPLOMADO DE UNIDAD DE CUIDADOS INTENSIVOS (UCI)",IF(O72=CURSOS!$D$8,"MODELO DE ATENCION PARA EVENTOS EMERGENTES EN SALUD MENTAL (CODIGO VERDE)",IF(O72=CURSOS!$D$9,"HUMANIZACION EN EL SERVICIO DE LA SALUD Y BUENAS PRACTICAS EN PACIENTE ",IF(O72=CURSOS!$D$10,"CLINICA DE HERIDAS ",IF(O72=CURSOS!$D$11,"TOMA DE CITOLOGIA CERVICO VAGINAL ",IF(O72=CURSOS!$D$12,"SOPORTE CARDIOVASCULAR AVANZADO (ACLS) ",IF(O72=CURSOS!$D$13,"CAMILLERO ",IF(O72=CURSOS!$D$14,"TOMA DE MUESTRAS Y LABORATORIO ",IF(O72=CURSOS!$D$15,"SOPORTE VITAL BASICO (BLS)",IF(O72=CURSOS!$D$16,"ATENCION A VICTIMAS DE VIOLENCIA SEXUAL ",IF(O72=CURSOS!$D$17,"PROGRAMADO AMPLIADO DE INMUNIZACION (PAI - COVID 19)",IF(O72=CURSOS!$D$18,"ATENCION INTEGRAL EN ENFERMEDADES PREVALENTES EN PRIMERA INFANCIA (AIEPI)",IF(O72=CURSOS!$D$19,"ADMINISTRACION DE MEDICAMENTOS, INYECTOLOGIA  Y CANALIZACION ",IF(O72=CURSOS!$D$20,"OPERADOR DE VEHICULOS DE EMERGENCIA (OVE)",IF(O72=CURSOS!$D$21,"INSTITUCIONES AMIGAS DE LA MUJER Y LA INFANCIA (IAMI)",IF(O72=CURSOS!$D$22,"CUIDADO DEL DONANTE DE ORGANOS",IF(O72=CURSOS!$D$23,"ATENCION A VICTIMAS POR VIOLENCIA DE GENERO",IF(O72=CURSOS!$D$24,"IGUALDAD DE GENERO EN LA SALUD",IF(O72=CURSOS!$D$25,"BRIGADA DE EMERGENCIA",IF(O72=CURSOS!$D$26,"MANEJO DEL DOLOR Y CUIDADOS PALIATIVOS",IF(O72=CURSOS!$D$27,"TOMA DE MUESTRAS Y LABORATORIO POCT",IF(O72=CURSOS!$D$28,"IMPLANTE SUBDERMICO DE DISPOSITIVO INTRAUTERINO",IF(O72=CURSOS!$D$29,"SALUD MENTAL",IF(O72=CURSOS!$D$30,"PRIMEROS AUXILIOS PSICOLOGICOS",IF(O72=CURSOS!$D$31,"ATENCION A VICTIMAS POR CONFLICTO ARMADO",IF(O72=CURSOS!$D$32,"MANIPULACION DE ALIMENTOS Y BPM",IF(O72=CURSOS!$D$33,"ATENCION A PERSONAS CON DISCAPACIDAD",IF(O72=CURSOS!$D$34,"CUIDADO INTEGRAL DEL PACIENTE ADULTO",IF(O72=CURSOS!$D$35,"MANEJO DEFENSIVO",IF(O72=CURSOS!$D$36,"SOPORTE CARDIOVASCULAR AVANZADO NEONATAL",IF(O72=CURSOS!$D$37,"SEGURIDAD DEL PACIENTE",IF(O72=CURSOS!$D$38,"MANEJO DE RESIDUOS HOSPITALARIOS"))))))))))))))))))))))))))))))))))))</f>
        <v>SOPORTE VITAL BASICO (BLS)</v>
      </c>
      <c r="V72" s="59" t="str">
        <f t="shared" si="3"/>
        <v>Lilia Del Rosario Ibañez Chamorro</v>
      </c>
      <c r="W72" s="59" t="str">
        <f t="shared" si="4"/>
        <v>Lilia Del Rosario Ibañez Chamorro</v>
      </c>
      <c r="X72" s="59" t="str">
        <f t="shared" si="5"/>
        <v>Lilia Del Rosario Ibañez Chamorro-1085261400-BLS</v>
      </c>
    </row>
    <row r="73" spans="1:24" s="49" customFormat="1" x14ac:dyDescent="0.2">
      <c r="A73" s="55">
        <v>72</v>
      </c>
      <c r="B73" s="50">
        <v>1085261400</v>
      </c>
      <c r="C73" s="50" t="s">
        <v>272</v>
      </c>
      <c r="D73" s="50" t="s">
        <v>273</v>
      </c>
      <c r="E73" s="50" t="s">
        <v>274</v>
      </c>
      <c r="F73" s="50" t="s">
        <v>275</v>
      </c>
      <c r="G73" s="50">
        <v>19</v>
      </c>
      <c r="H73" s="50" t="s">
        <v>102</v>
      </c>
      <c r="I73" s="52" t="s">
        <v>108</v>
      </c>
      <c r="J73" s="56">
        <v>45584</v>
      </c>
      <c r="K73" s="60">
        <v>40000</v>
      </c>
      <c r="L73" s="50" t="s">
        <v>149</v>
      </c>
      <c r="M73" s="50" t="s">
        <v>85</v>
      </c>
      <c r="N73" s="50" t="s">
        <v>103</v>
      </c>
      <c r="O73" s="50" t="s">
        <v>43</v>
      </c>
      <c r="P73" s="52">
        <v>31993</v>
      </c>
      <c r="Q73" s="50" t="s">
        <v>96</v>
      </c>
      <c r="R73" s="50" t="s">
        <v>162</v>
      </c>
      <c r="S73" s="58">
        <v>3012168195</v>
      </c>
      <c r="T73" s="50" t="s">
        <v>276</v>
      </c>
      <c r="U73" s="59" t="str">
        <f>IF(O73=CURSOS!$D$3,"DIPLOMADO EN ATENCION PRE-HOSPITALARIA",IF(O73=CURSOS!$D$4,"ACOMPAÑAMIENTO Y MANEJO DEL DUELO",IF(O73=CURSOS!$D$5,"ATENCION A VICTIMAS DE ATAQUE CON AGENTES QUIMICOS ",IF(O73=CURSOS!$D$6,"PRIMEROS AUXILIOS ",IF(O73=CURSOS!$D$7,"DIPLOMADO DE UNIDAD DE CUIDADOS INTENSIVOS (UCI)",IF(O73=CURSOS!$D$8,"MODELO DE ATENCION PARA EVENTOS EMERGENTES EN SALUD MENTAL (CODIGO VERDE)",IF(O73=CURSOS!$D$9,"HUMANIZACION EN EL SERVICIO DE LA SALUD Y BUENAS PRACTICAS EN PACIENTE ",IF(O73=CURSOS!$D$10,"CLINICA DE HERIDAS ",IF(O73=CURSOS!$D$11,"TOMA DE CITOLOGIA CERVICO VAGINAL ",IF(O73=CURSOS!$D$12,"SOPORTE CARDIOVASCULAR AVANZADO (ACLS) ",IF(O73=CURSOS!$D$13,"CAMILLERO ",IF(O73=CURSOS!$D$14,"TOMA DE MUESTRAS Y LABORATORIO ",IF(O73=CURSOS!$D$15,"SOPORTE VITAL BASICO (BLS)",IF(O73=CURSOS!$D$16,"ATENCION A VICTIMAS DE VIOLENCIA SEXUAL ",IF(O73=CURSOS!$D$17,"PROGRAMADO AMPLIADO DE INMUNIZACION (PAI - COVID 19)",IF(O73=CURSOS!$D$18,"ATENCION INTEGRAL EN ENFERMEDADES PREVALENTES EN PRIMERA INFANCIA (AIEPI)",IF(O73=CURSOS!$D$19,"ADMINISTRACION DE MEDICAMENTOS, INYECTOLOGIA  Y CANALIZACION ",IF(O73=CURSOS!$D$20,"OPERADOR DE VEHICULOS DE EMERGENCIA (OVE)",IF(O73=CURSOS!$D$21,"INSTITUCIONES AMIGAS DE LA MUJER Y LA INFANCIA (IAMI)",IF(O73=CURSOS!$D$22,"CUIDADO DEL DONANTE DE ORGANOS",IF(O73=CURSOS!$D$23,"ATENCION A VICTIMAS POR VIOLENCIA DE GENERO",IF(O73=CURSOS!$D$24,"IGUALDAD DE GENERO EN LA SALUD",IF(O73=CURSOS!$D$25,"BRIGADA DE EMERGENCIA",IF(O73=CURSOS!$D$26,"MANEJO DEL DOLOR Y CUIDADOS PALIATIVOS",IF(O73=CURSOS!$D$27,"TOMA DE MUESTRAS Y LABORATORIO POCT",IF(O73=CURSOS!$D$28,"IMPLANTE SUBDERMICO DE DISPOSITIVO INTRAUTERINO",IF(O73=CURSOS!$D$29,"SALUD MENTAL",IF(O73=CURSOS!$D$30,"PRIMEROS AUXILIOS PSICOLOGICOS",IF(O73=CURSOS!$D$31,"ATENCION A VICTIMAS POR CONFLICTO ARMADO",IF(O73=CURSOS!$D$32,"MANIPULACION DE ALIMENTOS Y BPM",IF(O73=CURSOS!$D$33,"ATENCION A PERSONAS CON DISCAPACIDAD",IF(O73=CURSOS!$D$34,"CUIDADO INTEGRAL DEL PACIENTE ADULTO",IF(O73=CURSOS!$D$35,"MANEJO DEFENSIVO",IF(O73=CURSOS!$D$36,"SOPORTE CARDIOVASCULAR AVANZADO NEONATAL",IF(O73=CURSOS!$D$37,"SEGURIDAD DEL PACIENTE",IF(O73=CURSOS!$D$38,"MANEJO DE RESIDUOS HOSPITALARIOS"))))))))))))))))))))))))))))))))))))</f>
        <v xml:space="preserve">ATENCION A VICTIMAS DE VIOLENCIA SEXUAL </v>
      </c>
      <c r="V73" s="59" t="str">
        <f t="shared" si="3"/>
        <v>Lilia Del Rosario Ibañez Chamorro</v>
      </c>
      <c r="W73" s="59" t="str">
        <f t="shared" si="4"/>
        <v>Lilia Del Rosario Ibañez Chamorro</v>
      </c>
      <c r="X73" s="59" t="str">
        <f t="shared" si="5"/>
        <v>Lilia Del Rosario Ibañez Chamorro-1085261400-VIOLENCIA SEXUAL</v>
      </c>
    </row>
    <row r="74" spans="1:24" s="92" customFormat="1" x14ac:dyDescent="0.2">
      <c r="A74" s="86">
        <v>73</v>
      </c>
      <c r="B74" s="87">
        <v>87455395</v>
      </c>
      <c r="C74" s="87" t="s">
        <v>277</v>
      </c>
      <c r="D74" s="87" t="s">
        <v>277</v>
      </c>
      <c r="E74" s="87" t="s">
        <v>278</v>
      </c>
      <c r="F74" s="87" t="s">
        <v>269</v>
      </c>
      <c r="G74" s="87">
        <v>21</v>
      </c>
      <c r="H74" s="87" t="s">
        <v>102</v>
      </c>
      <c r="I74" s="88" t="s">
        <v>108</v>
      </c>
      <c r="J74" s="89">
        <v>45586</v>
      </c>
      <c r="K74" s="93">
        <v>40000</v>
      </c>
      <c r="L74" s="87" t="s">
        <v>206</v>
      </c>
      <c r="M74" s="87" t="s">
        <v>85</v>
      </c>
      <c r="N74" s="87" t="s">
        <v>103</v>
      </c>
      <c r="O74" s="87" t="s">
        <v>46</v>
      </c>
      <c r="P74" s="88">
        <v>30443</v>
      </c>
      <c r="Q74" s="87" t="s">
        <v>97</v>
      </c>
      <c r="R74" s="91" t="s">
        <v>125</v>
      </c>
      <c r="S74" s="87">
        <v>3137927623</v>
      </c>
      <c r="T74" s="87" t="s">
        <v>279</v>
      </c>
      <c r="U74" s="87" t="str">
        <f>IF(O74=CURSOS!$D$3,"DIPLOMADO EN ATENCION PRE-HOSPITALARIA",IF(O74=CURSOS!$D$4,"ACOMPAÑAMIENTO Y MANEJO DEL DUELO",IF(O74=CURSOS!$D$5,"ATENCION A VICTIMAS DE ATAQUE CON AGENTES QUIMICOS ",IF(O74=CURSOS!$D$6,"PRIMEROS AUXILIOS ",IF(O74=CURSOS!$D$7,"DIPLOMADO DE UNIDAD DE CUIDADOS INTENSIVOS (UCI)",IF(O74=CURSOS!$D$8,"MODELO DE ATENCION PARA EVENTOS EMERGENTES EN SALUD MENTAL (CODIGO VERDE)",IF(O74=CURSOS!$D$9,"HUMANIZACION EN EL SERVICIO DE LA SALUD Y BUENAS PRACTICAS EN PACIENTE ",IF(O74=CURSOS!$D$10,"CLINICA DE HERIDAS ",IF(O74=CURSOS!$D$11,"TOMA DE CITOLOGIA CERVICO VAGINAL ",IF(O74=CURSOS!$D$12,"SOPORTE CARDIOVASCULAR AVANZADO (ACLS) ",IF(O74=CURSOS!$D$13,"CAMILLERO ",IF(O74=CURSOS!$D$14,"TOMA DE MUESTRAS Y LABORATORIO ",IF(O74=CURSOS!$D$15,"SOPORTE VITAL BASICO (BLS)",IF(O74=CURSOS!$D$16,"ATENCION A VICTIMAS DE VIOLENCIA SEXUAL ",IF(O74=CURSOS!$D$17,"PROGRAMADO AMPLIADO DE INMUNIZACION (PAI - COVID 19)",IF(O74=CURSOS!$D$18,"ATENCION INTEGRAL EN ENFERMEDADES PREVALENTES EN PRIMERA INFANCIA (AIEPI)",IF(O74=CURSOS!$D$19,"ADMINISTRACION DE MEDICAMENTOS, INYECTOLOGIA  Y CANALIZACION ",IF(O74=CURSOS!$D$20,"OPERADOR DE VEHICULOS DE EMERGENCIA (OVE)",IF(O74=CURSOS!$D$21,"INSTITUCIONES AMIGAS DE LA MUJER Y LA INFANCIA (IAMI)",IF(O74=CURSOS!$D$22,"CUIDADO DEL DONANTE DE ORGANOS",IF(O74=CURSOS!$D$23,"ATENCION A VICTIMAS POR VIOLENCIA DE GENERO",IF(O74=CURSOS!$D$24,"IGUALDAD DE GENERO EN LA SALUD",IF(O74=CURSOS!$D$25,"BRIGADA DE EMERGENCIA",IF(O74=CURSOS!$D$26,"MANEJO DEL DOLOR Y CUIDADOS PALIATIVOS",IF(O74=CURSOS!$D$27,"TOMA DE MUESTRAS Y LABORATORIO POCT",IF(O74=CURSOS!$D$28,"IMPLANTE SUBDERMICO DE DISPOSITIVO INTRAUTERINO",IF(O74=CURSOS!$D$29,"SALUD MENTAL",IF(O74=CURSOS!$D$30,"PRIMEROS AUXILIOS PSICOLOGICOS",IF(O74=CURSOS!$D$31,"ATENCION A VICTIMAS POR CONFLICTO ARMADO",IF(O74=CURSOS!$D$32,"MANIPULACION DE ALIMENTOS Y BPM",IF(O74=CURSOS!$D$33,"ATENCION A PERSONAS CON DISCAPACIDAD",IF(O74=CURSOS!$D$34,"CUIDADO INTEGRAL DEL PACIENTE ADULTO",IF(O74=CURSOS!$D$35,"MANEJO DEFENSIVO",IF(O74=CURSOS!$D$36,"SOPORTE CARDIOVASCULAR AVANZADO NEONATAL",IF(O74=CURSOS!$D$37,"SEGURIDAD DEL PACIENTE",IF(O74=CURSOS!$D$38,"MANEJO DE RESIDUOS HOSPITALARIOS"))))))))))))))))))))))))))))))))))))</f>
        <v>ATENCION INTEGRAL EN ENFERMEDADES PREVALENTES EN PRIMERA INFANCIA (AIEPI)</v>
      </c>
      <c r="V74" s="87" t="str">
        <f t="shared" si="3"/>
        <v>Ronald Fernando Hernández Hernández</v>
      </c>
      <c r="W74" s="87" t="str">
        <f t="shared" si="4"/>
        <v>Ronald Fernando Hernández Hernández</v>
      </c>
      <c r="X74" s="87" t="str">
        <f t="shared" si="5"/>
        <v>Ronald Fernando Hernández Hernández-87455395-AIEPI</v>
      </c>
    </row>
    <row r="75" spans="1:24" x14ac:dyDescent="0.2">
      <c r="A75" s="55">
        <v>74</v>
      </c>
      <c r="B75" s="50">
        <v>1085282306</v>
      </c>
      <c r="C75" s="50" t="s">
        <v>150</v>
      </c>
      <c r="D75" s="50" t="s">
        <v>280</v>
      </c>
      <c r="E75" s="50" t="s">
        <v>281</v>
      </c>
      <c r="F75" s="50" t="s">
        <v>282</v>
      </c>
      <c r="G75" s="50">
        <v>21</v>
      </c>
      <c r="H75" s="50" t="s">
        <v>102</v>
      </c>
      <c r="I75" s="52" t="s">
        <v>108</v>
      </c>
      <c r="J75" s="56"/>
      <c r="K75" s="60"/>
      <c r="L75" s="50"/>
      <c r="M75" s="50" t="s">
        <v>85</v>
      </c>
      <c r="N75" s="50" t="s">
        <v>110</v>
      </c>
      <c r="O75" s="50" t="s">
        <v>38</v>
      </c>
      <c r="P75" s="52">
        <v>33021</v>
      </c>
      <c r="Q75" s="50" t="s">
        <v>97</v>
      </c>
      <c r="R75" s="58" t="s">
        <v>125</v>
      </c>
      <c r="S75" s="50"/>
      <c r="T75" s="50" t="s">
        <v>283</v>
      </c>
      <c r="U75" s="59" t="str">
        <f>IF(O75=CURSOS!$D$3,"DIPLOMADO EN ATENCION PRE-HOSPITALARIA",IF(O75=CURSOS!$D$4,"ACOMPAÑAMIENTO Y MANEJO DEL DUELO",IF(O75=CURSOS!$D$5,"ATENCION A VICTIMAS DE ATAQUE CON AGENTES QUIMICOS ",IF(O75=CURSOS!$D$6,"PRIMEROS AUXILIOS ",IF(O75=CURSOS!$D$7,"DIPLOMADO DE UNIDAD DE CUIDADOS INTENSIVOS (UCI)",IF(O75=CURSOS!$D$8,"MODELO DE ATENCION PARA EVENTOS EMERGENTES EN SALUD MENTAL (CODIGO VERDE)",IF(O75=CURSOS!$D$9,"HUMANIZACION EN EL SERVICIO DE LA SALUD Y BUENAS PRACTICAS EN PACIENTE ",IF(O75=CURSOS!$D$10,"CLINICA DE HERIDAS ",IF(O75=CURSOS!$D$11,"TOMA DE CITOLOGIA CERVICO VAGINAL ",IF(O75=CURSOS!$D$12,"SOPORTE CARDIOVASCULAR AVANZADO (ACLS) ",IF(O75=CURSOS!$D$13,"CAMILLERO ",IF(O75=CURSOS!$D$14,"TOMA DE MUESTRAS Y LABORATORIO ",IF(O75=CURSOS!$D$15,"SOPORTE VITAL BASICO (BLS)",IF(O75=CURSOS!$D$16,"ATENCION A VICTIMAS DE VIOLENCIA SEXUAL ",IF(O75=CURSOS!$D$17,"PROGRAMADO AMPLIADO DE INMUNIZACION (PAI - COVID 19)",IF(O75=CURSOS!$D$18,"ATENCION INTEGRAL EN ENFERMEDADES PREVALENTES EN PRIMERA INFANCIA (AIEPI)",IF(O75=CURSOS!$D$19,"ADMINISTRACION DE MEDICAMENTOS, INYECTOLOGIA  Y CANALIZACION ",IF(O75=CURSOS!$D$20,"OPERADOR DE VEHICULOS DE EMERGENCIA (OVE)",IF(O75=CURSOS!$D$21,"INSTITUCIONES AMIGAS DE LA MUJER Y LA INFANCIA (IAMI)",IF(O75=CURSOS!$D$22,"CUIDADO DEL DONANTE DE ORGANOS",IF(O75=CURSOS!$D$23,"ATENCION A VICTIMAS POR VIOLENCIA DE GENERO",IF(O75=CURSOS!$D$24,"IGUALDAD DE GENERO EN LA SALUD",IF(O75=CURSOS!$D$25,"BRIGADA DE EMERGENCIA",IF(O75=CURSOS!$D$26,"MANEJO DEL DOLOR Y CUIDADOS PALIATIVOS",IF(O75=CURSOS!$D$27,"TOMA DE MUESTRAS Y LABORATORIO POCT",IF(O75=CURSOS!$D$28,"IMPLANTE SUBDERMICO DE DISPOSITIVO INTRAUTERINO",IF(O75=CURSOS!$D$29,"SALUD MENTAL",IF(O75=CURSOS!$D$30,"PRIMEROS AUXILIOS PSICOLOGICOS",IF(O75=CURSOS!$D$31,"ATENCION A VICTIMAS POR CONFLICTO ARMADO",IF(O75=CURSOS!$D$32,"MANIPULACION DE ALIMENTOS Y BPM",IF(O75=CURSOS!$D$33,"ATENCION A PERSONAS CON DISCAPACIDAD",IF(O75=CURSOS!$D$34,"CUIDADO INTEGRAL DEL PACIENTE ADULTO",IF(O75=CURSOS!$D$35,"MANEJO DEFENSIVO",IF(O75=CURSOS!$D$36,"SOPORTE CARDIOVASCULAR AVANZADO NEONATAL",IF(O75=CURSOS!$D$37,"SEGURIDAD DEL PACIENTE",IF(O75=CURSOS!$D$38,"MANEJO DE RESIDUOS HOSPITALARIOS"))))))))))))))))))))))))))))))))))))</f>
        <v xml:space="preserve">SOPORTE CARDIOVASCULAR AVANZADO (ACLS) </v>
      </c>
      <c r="V75" s="59" t="str">
        <f t="shared" si="3"/>
        <v>Johnatan Alexander Delgado Riaño</v>
      </c>
      <c r="W75" s="59" t="str">
        <f t="shared" si="4"/>
        <v>Johnatan Alexander Delgado Riaño</v>
      </c>
      <c r="X75" s="59" t="str">
        <f t="shared" si="5"/>
        <v>Johnatan Alexander Delgado Riaño-1085282306-ACLS</v>
      </c>
    </row>
    <row r="76" spans="1:24" x14ac:dyDescent="0.2">
      <c r="A76" s="55">
        <v>75</v>
      </c>
      <c r="B76" s="50">
        <v>1085282306</v>
      </c>
      <c r="C76" s="50" t="s">
        <v>150</v>
      </c>
      <c r="D76" s="50" t="s">
        <v>280</v>
      </c>
      <c r="E76" s="50" t="s">
        <v>281</v>
      </c>
      <c r="F76" s="50" t="s">
        <v>282</v>
      </c>
      <c r="G76" s="50">
        <v>21</v>
      </c>
      <c r="H76" s="50" t="s">
        <v>102</v>
      </c>
      <c r="I76" s="52" t="s">
        <v>108</v>
      </c>
      <c r="J76" s="56"/>
      <c r="K76" s="60"/>
      <c r="L76" s="50"/>
      <c r="M76" s="50" t="s">
        <v>85</v>
      </c>
      <c r="N76" s="50" t="s">
        <v>110</v>
      </c>
      <c r="O76" s="50" t="s">
        <v>19</v>
      </c>
      <c r="P76" s="52">
        <v>33021</v>
      </c>
      <c r="Q76" s="50" t="s">
        <v>97</v>
      </c>
      <c r="R76" s="58" t="s">
        <v>125</v>
      </c>
      <c r="S76" s="50"/>
      <c r="T76" s="50" t="s">
        <v>283</v>
      </c>
      <c r="U76" s="59" t="str">
        <f>IF(O76=CURSOS!$D$3,"DIPLOMADO EN ATENCION PRE-HOSPITALARIA",IF(O76=CURSOS!$D$4,"ACOMPAÑAMIENTO Y MANEJO DEL DUELO",IF(O76=CURSOS!$D$5,"ATENCION A VICTIMAS DE ATAQUE CON AGENTES QUIMICOS ",IF(O76=CURSOS!$D$6,"PRIMEROS AUXILIOS ",IF(O76=CURSOS!$D$7,"DIPLOMADO DE UNIDAD DE CUIDADOS INTENSIVOS (UCI)",IF(O76=CURSOS!$D$8,"MODELO DE ATENCION PARA EVENTOS EMERGENTES EN SALUD MENTAL (CODIGO VERDE)",IF(O76=CURSOS!$D$9,"HUMANIZACION EN EL SERVICIO DE LA SALUD Y BUENAS PRACTICAS EN PACIENTE ",IF(O76=CURSOS!$D$10,"CLINICA DE HERIDAS ",IF(O76=CURSOS!$D$11,"TOMA DE CITOLOGIA CERVICO VAGINAL ",IF(O76=CURSOS!$D$12,"SOPORTE CARDIOVASCULAR AVANZADO (ACLS) ",IF(O76=CURSOS!$D$13,"CAMILLERO ",IF(O76=CURSOS!$D$14,"TOMA DE MUESTRAS Y LABORATORIO ",IF(O76=CURSOS!$D$15,"SOPORTE VITAL BASICO (BLS)",IF(O76=CURSOS!$D$16,"ATENCION A VICTIMAS DE VIOLENCIA SEXUAL ",IF(O76=CURSOS!$D$17,"PROGRAMADO AMPLIADO DE INMUNIZACION (PAI - COVID 19)",IF(O76=CURSOS!$D$18,"ATENCION INTEGRAL EN ENFERMEDADES PREVALENTES EN PRIMERA INFANCIA (AIEPI)",IF(O76=CURSOS!$D$19,"ADMINISTRACION DE MEDICAMENTOS, INYECTOLOGIA  Y CANALIZACION ",IF(O76=CURSOS!$D$20,"OPERADOR DE VEHICULOS DE EMERGENCIA (OVE)",IF(O76=CURSOS!$D$21,"INSTITUCIONES AMIGAS DE LA MUJER Y LA INFANCIA (IAMI)",IF(O76=CURSOS!$D$22,"CUIDADO DEL DONANTE DE ORGANOS",IF(O76=CURSOS!$D$23,"ATENCION A VICTIMAS POR VIOLENCIA DE GENERO",IF(O76=CURSOS!$D$24,"IGUALDAD DE GENERO EN LA SALUD",IF(O76=CURSOS!$D$25,"BRIGADA DE EMERGENCIA",IF(O76=CURSOS!$D$26,"MANEJO DEL DOLOR Y CUIDADOS PALIATIVOS",IF(O76=CURSOS!$D$27,"TOMA DE MUESTRAS Y LABORATORIO POCT",IF(O76=CURSOS!$D$28,"IMPLANTE SUBDERMICO DE DISPOSITIVO INTRAUTERINO",IF(O76=CURSOS!$D$29,"SALUD MENTAL",IF(O76=CURSOS!$D$30,"PRIMEROS AUXILIOS PSICOLOGICOS",IF(O76=CURSOS!$D$31,"ATENCION A VICTIMAS POR CONFLICTO ARMADO",IF(O76=CURSOS!$D$32,"MANIPULACION DE ALIMENTOS Y BPM",IF(O76=CURSOS!$D$33,"ATENCION A PERSONAS CON DISCAPACIDAD",IF(O76=CURSOS!$D$34,"CUIDADO INTEGRAL DEL PACIENTE ADULTO",IF(O76=CURSOS!$D$35,"MANEJO DEFENSIVO",IF(O76=CURSOS!$D$36,"SOPORTE CARDIOVASCULAR AVANZADO NEONATAL",IF(O76=CURSOS!$D$37,"SEGURIDAD DEL PACIENTE",IF(O76=CURSOS!$D$38,"MANEJO DE RESIDUOS HOSPITALARIOS"))))))))))))))))))))))))))))))))))))</f>
        <v>SOPORTE VITAL BASICO (BLS)</v>
      </c>
      <c r="V76" s="59" t="str">
        <f t="shared" si="3"/>
        <v>Johnatan Alexander Delgado Riaño</v>
      </c>
      <c r="W76" s="59" t="str">
        <f t="shared" si="4"/>
        <v>Johnatan Alexander Delgado Riaño</v>
      </c>
      <c r="X76" s="59" t="str">
        <f t="shared" si="5"/>
        <v>Johnatan Alexander Delgado Riaño-1085282306-BLS</v>
      </c>
    </row>
    <row r="77" spans="1:24" x14ac:dyDescent="0.2">
      <c r="A77" s="55">
        <v>76</v>
      </c>
      <c r="B77" s="50">
        <v>1085282306</v>
      </c>
      <c r="C77" s="50" t="s">
        <v>150</v>
      </c>
      <c r="D77" s="50" t="s">
        <v>280</v>
      </c>
      <c r="E77" s="50" t="s">
        <v>281</v>
      </c>
      <c r="F77" s="50" t="s">
        <v>282</v>
      </c>
      <c r="G77" s="50">
        <v>18</v>
      </c>
      <c r="H77" s="50" t="s">
        <v>102</v>
      </c>
      <c r="I77" s="52" t="s">
        <v>108</v>
      </c>
      <c r="J77" s="56"/>
      <c r="K77" s="60"/>
      <c r="L77" s="50"/>
      <c r="M77" s="50" t="s">
        <v>85</v>
      </c>
      <c r="N77" s="50" t="s">
        <v>110</v>
      </c>
      <c r="O77" s="50" t="s">
        <v>33</v>
      </c>
      <c r="P77" s="52">
        <v>33021</v>
      </c>
      <c r="Q77" s="50" t="s">
        <v>97</v>
      </c>
      <c r="R77" s="58" t="s">
        <v>125</v>
      </c>
      <c r="S77" s="50"/>
      <c r="T77" s="50" t="s">
        <v>283</v>
      </c>
      <c r="U77" s="59" t="str">
        <f>IF(O77=CURSOS!$D$3,"DIPLOMADO EN ATENCION PRE-HOSPITALARIA",IF(O77=CURSOS!$D$4,"ACOMPAÑAMIENTO Y MANEJO DEL DUELO",IF(O77=CURSOS!$D$5,"ATENCION A VICTIMAS DE ATAQUE CON AGENTES QUIMICOS ",IF(O77=CURSOS!$D$6,"PRIMEROS AUXILIOS ",IF(O77=CURSOS!$D$7,"DIPLOMADO DE UNIDAD DE CUIDADOS INTENSIVOS (UCI)",IF(O77=CURSOS!$D$8,"MODELO DE ATENCION PARA EVENTOS EMERGENTES EN SALUD MENTAL (CODIGO VERDE)",IF(O77=CURSOS!$D$9,"HUMANIZACION EN EL SERVICIO DE LA SALUD Y BUENAS PRACTICAS EN PACIENTE ",IF(O77=CURSOS!$D$10,"CLINICA DE HERIDAS ",IF(O77=CURSOS!$D$11,"TOMA DE CITOLOGIA CERVICO VAGINAL ",IF(O77=CURSOS!$D$12,"SOPORTE CARDIOVASCULAR AVANZADO (ACLS) ",IF(O77=CURSOS!$D$13,"CAMILLERO ",IF(O77=CURSOS!$D$14,"TOMA DE MUESTRAS Y LABORATORIO ",IF(O77=CURSOS!$D$15,"SOPORTE VITAL BASICO (BLS)",IF(O77=CURSOS!$D$16,"ATENCION A VICTIMAS DE VIOLENCIA SEXUAL ",IF(O77=CURSOS!$D$17,"PROGRAMADO AMPLIADO DE INMUNIZACION (PAI - COVID 19)",IF(O77=CURSOS!$D$18,"ATENCION INTEGRAL EN ENFERMEDADES PREVALENTES EN PRIMERA INFANCIA (AIEPI)",IF(O77=CURSOS!$D$19,"ADMINISTRACION DE MEDICAMENTOS, INYECTOLOGIA  Y CANALIZACION ",IF(O77=CURSOS!$D$20,"OPERADOR DE VEHICULOS DE EMERGENCIA (OVE)",IF(O77=CURSOS!$D$21,"INSTITUCIONES AMIGAS DE LA MUJER Y LA INFANCIA (IAMI)",IF(O77=CURSOS!$D$22,"CUIDADO DEL DONANTE DE ORGANOS",IF(O77=CURSOS!$D$23,"ATENCION A VICTIMAS POR VIOLENCIA DE GENERO",IF(O77=CURSOS!$D$24,"IGUALDAD DE GENERO EN LA SALUD",IF(O77=CURSOS!$D$25,"BRIGADA DE EMERGENCIA",IF(O77=CURSOS!$D$26,"MANEJO DEL DOLOR Y CUIDADOS PALIATIVOS",IF(O77=CURSOS!$D$27,"TOMA DE MUESTRAS Y LABORATORIO POCT",IF(O77=CURSOS!$D$28,"IMPLANTE SUBDERMICO DE DISPOSITIVO INTRAUTERINO",IF(O77=CURSOS!$D$29,"SALUD MENTAL",IF(O77=CURSOS!$D$30,"PRIMEROS AUXILIOS PSICOLOGICOS",IF(O77=CURSOS!$D$31,"ATENCION A VICTIMAS POR CONFLICTO ARMADO",IF(O77=CURSOS!$D$32,"MANIPULACION DE ALIMENTOS Y BPM",IF(O77=CURSOS!$D$33,"ATENCION A PERSONAS CON DISCAPACIDAD",IF(O77=CURSOS!$D$34,"CUIDADO INTEGRAL DEL PACIENTE ADULTO",IF(O77=CURSOS!$D$35,"MANEJO DEFENSIVO",IF(O77=CURSOS!$D$36,"SOPORTE CARDIOVASCULAR AVANZADO NEONATAL",IF(O77=CURSOS!$D$37,"SEGURIDAD DEL PACIENTE",IF(O77=CURSOS!$D$38,"MANEJO DE RESIDUOS HOSPITALARIOS"))))))))))))))))))))))))))))))))))))</f>
        <v xml:space="preserve">HUMANIZACION EN EL SERVICIO DE LA SALUD Y BUENAS PRACTICAS EN PACIENTE </v>
      </c>
      <c r="V77" s="59" t="str">
        <f t="shared" si="3"/>
        <v>Johnatan Alexander Delgado Riaño</v>
      </c>
      <c r="W77" s="59" t="str">
        <f t="shared" si="4"/>
        <v>Johnatan Alexander Delgado Riaño</v>
      </c>
      <c r="X77" s="59" t="str">
        <f t="shared" si="5"/>
        <v>Johnatan Alexander Delgado Riaño-1085282306-HUMANIZACION</v>
      </c>
    </row>
    <row r="78" spans="1:24" x14ac:dyDescent="0.2">
      <c r="A78" s="55">
        <v>77</v>
      </c>
      <c r="B78" s="50">
        <v>1085282306</v>
      </c>
      <c r="C78" s="50" t="s">
        <v>150</v>
      </c>
      <c r="D78" s="50" t="s">
        <v>280</v>
      </c>
      <c r="E78" s="50" t="s">
        <v>281</v>
      </c>
      <c r="F78" s="50" t="s">
        <v>282</v>
      </c>
      <c r="G78" s="50">
        <v>16</v>
      </c>
      <c r="H78" s="50" t="s">
        <v>102</v>
      </c>
      <c r="I78" s="52" t="s">
        <v>108</v>
      </c>
      <c r="J78" s="56"/>
      <c r="K78" s="60"/>
      <c r="L78" s="50"/>
      <c r="M78" s="50" t="s">
        <v>85</v>
      </c>
      <c r="N78" s="50" t="s">
        <v>110</v>
      </c>
      <c r="O78" s="50" t="s">
        <v>61</v>
      </c>
      <c r="P78" s="52">
        <v>33021</v>
      </c>
      <c r="Q78" s="50" t="s">
        <v>97</v>
      </c>
      <c r="R78" s="58" t="s">
        <v>125</v>
      </c>
      <c r="S78" s="50"/>
      <c r="T78" s="50" t="s">
        <v>283</v>
      </c>
      <c r="U78" s="59" t="str">
        <f>IF(O78=CURSOS!$D$3,"DIPLOMADO EN ATENCION PRE-HOSPITALARIA",IF(O78=CURSOS!$D$4,"ACOMPAÑAMIENTO Y MANEJO DEL DUELO",IF(O78=CURSOS!$D$5,"ATENCION A VICTIMAS DE ATAQUE CON AGENTES QUIMICOS ",IF(O78=CURSOS!$D$6,"PRIMEROS AUXILIOS ",IF(O78=CURSOS!$D$7,"DIPLOMADO DE UNIDAD DE CUIDADOS INTENSIVOS (UCI)",IF(O78=CURSOS!$D$8,"MODELO DE ATENCION PARA EVENTOS EMERGENTES EN SALUD MENTAL (CODIGO VERDE)",IF(O78=CURSOS!$D$9,"HUMANIZACION EN EL SERVICIO DE LA SALUD Y BUENAS PRACTICAS EN PACIENTE ",IF(O78=CURSOS!$D$10,"CLINICA DE HERIDAS ",IF(O78=CURSOS!$D$11,"TOMA DE CITOLOGIA CERVICO VAGINAL ",IF(O78=CURSOS!$D$12,"SOPORTE CARDIOVASCULAR AVANZADO (ACLS) ",IF(O78=CURSOS!$D$13,"CAMILLERO ",IF(O78=CURSOS!$D$14,"TOMA DE MUESTRAS Y LABORATORIO ",IF(O78=CURSOS!$D$15,"SOPORTE VITAL BASICO (BLS)",IF(O78=CURSOS!$D$16,"ATENCION A VICTIMAS DE VIOLENCIA SEXUAL ",IF(O78=CURSOS!$D$17,"PROGRAMADO AMPLIADO DE INMUNIZACION (PAI - COVID 19)",IF(O78=CURSOS!$D$18,"ATENCION INTEGRAL EN ENFERMEDADES PREVALENTES EN PRIMERA INFANCIA (AIEPI)",IF(O78=CURSOS!$D$19,"ADMINISTRACION DE MEDICAMENTOS, INYECTOLOGIA  Y CANALIZACION ",IF(O78=CURSOS!$D$20,"OPERADOR DE VEHICULOS DE EMERGENCIA (OVE)",IF(O78=CURSOS!$D$21,"INSTITUCIONES AMIGAS DE LA MUJER Y LA INFANCIA (IAMI)",IF(O78=CURSOS!$D$22,"CUIDADO DEL DONANTE DE ORGANOS",IF(O78=CURSOS!$D$23,"ATENCION A VICTIMAS POR VIOLENCIA DE GENERO",IF(O78=CURSOS!$D$24,"IGUALDAD DE GENERO EN LA SALUD",IF(O78=CURSOS!$D$25,"BRIGADA DE EMERGENCIA",IF(O78=CURSOS!$D$26,"MANEJO DEL DOLOR Y CUIDADOS PALIATIVOS",IF(O78=CURSOS!$D$27,"TOMA DE MUESTRAS Y LABORATORIO POCT",IF(O78=CURSOS!$D$28,"IMPLANTE SUBDERMICO DE DISPOSITIVO INTRAUTERINO",IF(O78=CURSOS!$D$29,"SALUD MENTAL",IF(O78=CURSOS!$D$30,"PRIMEROS AUXILIOS PSICOLOGICOS",IF(O78=CURSOS!$D$31,"ATENCION A VICTIMAS POR CONFLICTO ARMADO",IF(O78=CURSOS!$D$32,"MANIPULACION DE ALIMENTOS Y BPM",IF(O78=CURSOS!$D$33,"ATENCION A PERSONAS CON DISCAPACIDAD",IF(O78=CURSOS!$D$34,"CUIDADO INTEGRAL DEL PACIENTE ADULTO",IF(O78=CURSOS!$D$35,"MANEJO DEFENSIVO",IF(O78=CURSOS!$D$36,"SOPORTE CARDIOVASCULAR AVANZADO NEONATAL",IF(O78=CURSOS!$D$37,"SEGURIDAD DEL PACIENTE",IF(O78=CURSOS!$D$38,"MANEJO DE RESIDUOS HOSPITALARIOS"))))))))))))))))))))))))))))))))))))</f>
        <v>MANEJO DEL DOLOR Y CUIDADOS PALIATIVOS</v>
      </c>
      <c r="V78" s="59" t="str">
        <f t="shared" si="3"/>
        <v>Johnatan Alexander Delgado Riaño</v>
      </c>
      <c r="W78" s="59" t="str">
        <f t="shared" si="4"/>
        <v>Johnatan Alexander Delgado Riaño</v>
      </c>
      <c r="X78" s="59" t="str">
        <f t="shared" si="5"/>
        <v>Johnatan Alexander Delgado Riaño-1085282306-PALIATIVOS</v>
      </c>
    </row>
    <row r="79" spans="1:24" x14ac:dyDescent="0.2">
      <c r="A79" s="55">
        <v>78</v>
      </c>
      <c r="B79" s="50">
        <v>1085282306</v>
      </c>
      <c r="C79" s="50" t="s">
        <v>150</v>
      </c>
      <c r="D79" s="50" t="s">
        <v>280</v>
      </c>
      <c r="E79" s="50" t="s">
        <v>281</v>
      </c>
      <c r="F79" s="50" t="s">
        <v>282</v>
      </c>
      <c r="G79" s="50">
        <v>19</v>
      </c>
      <c r="H79" s="50" t="s">
        <v>102</v>
      </c>
      <c r="I79" s="52" t="s">
        <v>108</v>
      </c>
      <c r="J79" s="56"/>
      <c r="K79" s="60"/>
      <c r="L79" s="50"/>
      <c r="M79" s="50" t="s">
        <v>85</v>
      </c>
      <c r="N79" s="50" t="s">
        <v>110</v>
      </c>
      <c r="O79" s="50" t="s">
        <v>43</v>
      </c>
      <c r="P79" s="52">
        <v>33021</v>
      </c>
      <c r="Q79" s="50" t="s">
        <v>97</v>
      </c>
      <c r="R79" s="58" t="s">
        <v>125</v>
      </c>
      <c r="S79" s="50"/>
      <c r="T79" s="50" t="s">
        <v>283</v>
      </c>
      <c r="U79" s="59" t="str">
        <f>IF(O79=CURSOS!$D$3,"DIPLOMADO EN ATENCION PRE-HOSPITALARIA",IF(O79=CURSOS!$D$4,"ACOMPAÑAMIENTO Y MANEJO DEL DUELO",IF(O79=CURSOS!$D$5,"ATENCION A VICTIMAS DE ATAQUE CON AGENTES QUIMICOS ",IF(O79=CURSOS!$D$6,"PRIMEROS AUXILIOS ",IF(O79=CURSOS!$D$7,"DIPLOMADO DE UNIDAD DE CUIDADOS INTENSIVOS (UCI)",IF(O79=CURSOS!$D$8,"MODELO DE ATENCION PARA EVENTOS EMERGENTES EN SALUD MENTAL (CODIGO VERDE)",IF(O79=CURSOS!$D$9,"HUMANIZACION EN EL SERVICIO DE LA SALUD Y BUENAS PRACTICAS EN PACIENTE ",IF(O79=CURSOS!$D$10,"CLINICA DE HERIDAS ",IF(O79=CURSOS!$D$11,"TOMA DE CITOLOGIA CERVICO VAGINAL ",IF(O79=CURSOS!$D$12,"SOPORTE CARDIOVASCULAR AVANZADO (ACLS) ",IF(O79=CURSOS!$D$13,"CAMILLERO ",IF(O79=CURSOS!$D$14,"TOMA DE MUESTRAS Y LABORATORIO ",IF(O79=CURSOS!$D$15,"SOPORTE VITAL BASICO (BLS)",IF(O79=CURSOS!$D$16,"ATENCION A VICTIMAS DE VIOLENCIA SEXUAL ",IF(O79=CURSOS!$D$17,"PROGRAMADO AMPLIADO DE INMUNIZACION (PAI - COVID 19)",IF(O79=CURSOS!$D$18,"ATENCION INTEGRAL EN ENFERMEDADES PREVALENTES EN PRIMERA INFANCIA (AIEPI)",IF(O79=CURSOS!$D$19,"ADMINISTRACION DE MEDICAMENTOS, INYECTOLOGIA  Y CANALIZACION ",IF(O79=CURSOS!$D$20,"OPERADOR DE VEHICULOS DE EMERGENCIA (OVE)",IF(O79=CURSOS!$D$21,"INSTITUCIONES AMIGAS DE LA MUJER Y LA INFANCIA (IAMI)",IF(O79=CURSOS!$D$22,"CUIDADO DEL DONANTE DE ORGANOS",IF(O79=CURSOS!$D$23,"ATENCION A VICTIMAS POR VIOLENCIA DE GENERO",IF(O79=CURSOS!$D$24,"IGUALDAD DE GENERO EN LA SALUD",IF(O79=CURSOS!$D$25,"BRIGADA DE EMERGENCIA",IF(O79=CURSOS!$D$26,"MANEJO DEL DOLOR Y CUIDADOS PALIATIVOS",IF(O79=CURSOS!$D$27,"TOMA DE MUESTRAS Y LABORATORIO POCT",IF(O79=CURSOS!$D$28,"IMPLANTE SUBDERMICO DE DISPOSITIVO INTRAUTERINO",IF(O79=CURSOS!$D$29,"SALUD MENTAL",IF(O79=CURSOS!$D$30,"PRIMEROS AUXILIOS PSICOLOGICOS",IF(O79=CURSOS!$D$31,"ATENCION A VICTIMAS POR CONFLICTO ARMADO",IF(O79=CURSOS!$D$32,"MANIPULACION DE ALIMENTOS Y BPM",IF(O79=CURSOS!$D$33,"ATENCION A PERSONAS CON DISCAPACIDAD",IF(O79=CURSOS!$D$34,"CUIDADO INTEGRAL DEL PACIENTE ADULTO",IF(O79=CURSOS!$D$35,"MANEJO DEFENSIVO",IF(O79=CURSOS!$D$36,"SOPORTE CARDIOVASCULAR AVANZADO NEONATAL",IF(O79=CURSOS!$D$37,"SEGURIDAD DEL PACIENTE",IF(O79=CURSOS!$D$38,"MANEJO DE RESIDUOS HOSPITALARIOS"))))))))))))))))))))))))))))))))))))</f>
        <v xml:space="preserve">ATENCION A VICTIMAS DE VIOLENCIA SEXUAL </v>
      </c>
      <c r="V79" s="59" t="str">
        <f t="shared" si="3"/>
        <v>Johnatan Alexander Delgado Riaño</v>
      </c>
      <c r="W79" s="59" t="str">
        <f t="shared" si="4"/>
        <v>Johnatan Alexander Delgado Riaño</v>
      </c>
      <c r="X79" s="59" t="str">
        <f t="shared" si="5"/>
        <v>Johnatan Alexander Delgado Riaño-1085282306-VIOLENCIA SEXUAL</v>
      </c>
    </row>
    <row r="80" spans="1:24" x14ac:dyDescent="0.2">
      <c r="A80" s="55">
        <v>79</v>
      </c>
      <c r="B80" s="50">
        <v>1085282306</v>
      </c>
      <c r="C80" s="50" t="s">
        <v>150</v>
      </c>
      <c r="D80" s="50" t="s">
        <v>280</v>
      </c>
      <c r="E80" s="50" t="s">
        <v>281</v>
      </c>
      <c r="F80" s="50" t="s">
        <v>282</v>
      </c>
      <c r="G80" s="50">
        <v>17</v>
      </c>
      <c r="H80" s="50" t="s">
        <v>102</v>
      </c>
      <c r="I80" s="52" t="s">
        <v>108</v>
      </c>
      <c r="J80" s="56"/>
      <c r="K80" s="60"/>
      <c r="L80" s="50"/>
      <c r="M80" s="50" t="s">
        <v>85</v>
      </c>
      <c r="N80" s="50" t="s">
        <v>110</v>
      </c>
      <c r="O80" s="50" t="s">
        <v>25</v>
      </c>
      <c r="P80" s="52">
        <v>33021</v>
      </c>
      <c r="Q80" s="50" t="s">
        <v>97</v>
      </c>
      <c r="R80" s="58" t="s">
        <v>125</v>
      </c>
      <c r="S80" s="50"/>
      <c r="T80" s="50" t="s">
        <v>283</v>
      </c>
      <c r="U80" s="59" t="str">
        <f>IF(O80=CURSOS!$D$3,"DIPLOMADO EN ATENCION PRE-HOSPITALARIA",IF(O80=CURSOS!$D$4,"ACOMPAÑAMIENTO Y MANEJO DEL DUELO",IF(O80=CURSOS!$D$5,"ATENCION A VICTIMAS DE ATAQUE CON AGENTES QUIMICOS ",IF(O80=CURSOS!$D$6,"PRIMEROS AUXILIOS ",IF(O80=CURSOS!$D$7,"DIPLOMADO DE UNIDAD DE CUIDADOS INTENSIVOS (UCI)",IF(O80=CURSOS!$D$8,"MODELO DE ATENCION PARA EVENTOS EMERGENTES EN SALUD MENTAL (CODIGO VERDE)",IF(O80=CURSOS!$D$9,"HUMANIZACION EN EL SERVICIO DE LA SALUD Y BUENAS PRACTICAS EN PACIENTE ",IF(O80=CURSOS!$D$10,"CLINICA DE HERIDAS ",IF(O80=CURSOS!$D$11,"TOMA DE CITOLOGIA CERVICO VAGINAL ",IF(O80=CURSOS!$D$12,"SOPORTE CARDIOVASCULAR AVANZADO (ACLS) ",IF(O80=CURSOS!$D$13,"CAMILLERO ",IF(O80=CURSOS!$D$14,"TOMA DE MUESTRAS Y LABORATORIO ",IF(O80=CURSOS!$D$15,"SOPORTE VITAL BASICO (BLS)",IF(O80=CURSOS!$D$16,"ATENCION A VICTIMAS DE VIOLENCIA SEXUAL ",IF(O80=CURSOS!$D$17,"PROGRAMADO AMPLIADO DE INMUNIZACION (PAI - COVID 19)",IF(O80=CURSOS!$D$18,"ATENCION INTEGRAL EN ENFERMEDADES PREVALENTES EN PRIMERA INFANCIA (AIEPI)",IF(O80=CURSOS!$D$19,"ADMINISTRACION DE MEDICAMENTOS, INYECTOLOGIA  Y CANALIZACION ",IF(O80=CURSOS!$D$20,"OPERADOR DE VEHICULOS DE EMERGENCIA (OVE)",IF(O80=CURSOS!$D$21,"INSTITUCIONES AMIGAS DE LA MUJER Y LA INFANCIA (IAMI)",IF(O80=CURSOS!$D$22,"CUIDADO DEL DONANTE DE ORGANOS",IF(O80=CURSOS!$D$23,"ATENCION A VICTIMAS POR VIOLENCIA DE GENERO",IF(O80=CURSOS!$D$24,"IGUALDAD DE GENERO EN LA SALUD",IF(O80=CURSOS!$D$25,"BRIGADA DE EMERGENCIA",IF(O80=CURSOS!$D$26,"MANEJO DEL DOLOR Y CUIDADOS PALIATIVOS",IF(O80=CURSOS!$D$27,"TOMA DE MUESTRAS Y LABORATORIO POCT",IF(O80=CURSOS!$D$28,"IMPLANTE SUBDERMICO DE DISPOSITIVO INTRAUTERINO",IF(O80=CURSOS!$D$29,"SALUD MENTAL",IF(O80=CURSOS!$D$30,"PRIMEROS AUXILIOS PSICOLOGICOS",IF(O80=CURSOS!$D$31,"ATENCION A VICTIMAS POR CONFLICTO ARMADO",IF(O80=CURSOS!$D$32,"MANIPULACION DE ALIMENTOS Y BPM",IF(O80=CURSOS!$D$33,"ATENCION A PERSONAS CON DISCAPACIDAD",IF(O80=CURSOS!$D$34,"CUIDADO INTEGRAL DEL PACIENTE ADULTO",IF(O80=CURSOS!$D$35,"MANEJO DEFENSIVO",IF(O80=CURSOS!$D$36,"SOPORTE CARDIOVASCULAR AVANZADO NEONATAL",IF(O80=CURSOS!$D$37,"SEGURIDAD DEL PACIENTE",IF(O80=CURSOS!$D$38,"MANEJO DE RESIDUOS HOSPITALARIOS"))))))))))))))))))))))))))))))))))))</f>
        <v xml:space="preserve">ATENCION A VICTIMAS DE ATAQUE CON AGENTES QUIMICOS </v>
      </c>
      <c r="V80" s="59" t="str">
        <f t="shared" si="3"/>
        <v>Johnatan Alexander Delgado Riaño</v>
      </c>
      <c r="W80" s="59" t="str">
        <f t="shared" si="4"/>
        <v>Johnatan Alexander Delgado Riaño</v>
      </c>
      <c r="X80" s="59" t="str">
        <f t="shared" si="5"/>
        <v>Johnatan Alexander Delgado Riaño-1085282306-QUIMICOS</v>
      </c>
    </row>
    <row r="81" spans="1:24" x14ac:dyDescent="0.2">
      <c r="A81" s="55">
        <v>80</v>
      </c>
      <c r="B81" s="50">
        <v>1086498144</v>
      </c>
      <c r="C81" s="50" t="s">
        <v>284</v>
      </c>
      <c r="D81" s="50" t="s">
        <v>285</v>
      </c>
      <c r="E81" s="50" t="s">
        <v>286</v>
      </c>
      <c r="F81" s="50" t="s">
        <v>287</v>
      </c>
      <c r="G81" s="50">
        <v>19</v>
      </c>
      <c r="H81" s="50" t="s">
        <v>102</v>
      </c>
      <c r="I81" s="52" t="s">
        <v>111</v>
      </c>
      <c r="J81" s="56">
        <v>45586</v>
      </c>
      <c r="K81" s="60">
        <v>70000</v>
      </c>
      <c r="L81" s="50" t="s">
        <v>149</v>
      </c>
      <c r="M81" s="50" t="s">
        <v>85</v>
      </c>
      <c r="N81" s="50" t="s">
        <v>103</v>
      </c>
      <c r="O81" s="50" t="s">
        <v>33</v>
      </c>
      <c r="P81" s="52">
        <v>38145</v>
      </c>
      <c r="Q81" s="50" t="s">
        <v>96</v>
      </c>
      <c r="R81" s="50" t="s">
        <v>116</v>
      </c>
      <c r="S81" s="50">
        <v>3178504475</v>
      </c>
      <c r="T81" s="50" t="s">
        <v>288</v>
      </c>
      <c r="U81" s="59" t="str">
        <f>IF(O81=CURSOS!$D$3,"DIPLOMADO EN ATENCION PRE-HOSPITALARIA",IF(O81=CURSOS!$D$4,"ACOMPAÑAMIENTO Y MANEJO DEL DUELO",IF(O81=CURSOS!$D$5,"ATENCION A VICTIMAS DE ATAQUE CON AGENTES QUIMICOS ",IF(O81=CURSOS!$D$6,"PRIMEROS AUXILIOS ",IF(O81=CURSOS!$D$7,"DIPLOMADO DE UNIDAD DE CUIDADOS INTENSIVOS (UCI)",IF(O81=CURSOS!$D$8,"MODELO DE ATENCION PARA EVENTOS EMERGENTES EN SALUD MENTAL (CODIGO VERDE)",IF(O81=CURSOS!$D$9,"HUMANIZACION EN EL SERVICIO DE LA SALUD Y BUENAS PRACTICAS EN PACIENTE ",IF(O81=CURSOS!$D$10,"CLINICA DE HERIDAS ",IF(O81=CURSOS!$D$11,"TOMA DE CITOLOGIA CERVICO VAGINAL ",IF(O81=CURSOS!$D$12,"SOPORTE CARDIOVASCULAR AVANZADO (ACLS) ",IF(O81=CURSOS!$D$13,"CAMILLERO ",IF(O81=CURSOS!$D$14,"TOMA DE MUESTRAS Y LABORATORIO ",IF(O81=CURSOS!$D$15,"SOPORTE VITAL BASICO (BLS)",IF(O81=CURSOS!$D$16,"ATENCION A VICTIMAS DE VIOLENCIA SEXUAL ",IF(O81=CURSOS!$D$17,"PROGRAMADO AMPLIADO DE INMUNIZACION (PAI - COVID 19)",IF(O81=CURSOS!$D$18,"ATENCION INTEGRAL EN ENFERMEDADES PREVALENTES EN PRIMERA INFANCIA (AIEPI)",IF(O81=CURSOS!$D$19,"ADMINISTRACION DE MEDICAMENTOS, INYECTOLOGIA  Y CANALIZACION ",IF(O81=CURSOS!$D$20,"OPERADOR DE VEHICULOS DE EMERGENCIA (OVE)",IF(O81=CURSOS!$D$21,"INSTITUCIONES AMIGAS DE LA MUJER Y LA INFANCIA (IAMI)",IF(O81=CURSOS!$D$22,"CUIDADO DEL DONANTE DE ORGANOS",IF(O81=CURSOS!$D$23,"ATENCION A VICTIMAS POR VIOLENCIA DE GENERO",IF(O81=CURSOS!$D$24,"IGUALDAD DE GENERO EN LA SALUD",IF(O81=CURSOS!$D$25,"BRIGADA DE EMERGENCIA",IF(O81=CURSOS!$D$26,"MANEJO DEL DOLOR Y CUIDADOS PALIATIVOS",IF(O81=CURSOS!$D$27,"TOMA DE MUESTRAS Y LABORATORIO POCT",IF(O81=CURSOS!$D$28,"IMPLANTE SUBDERMICO DE DISPOSITIVO INTRAUTERINO",IF(O81=CURSOS!$D$29,"SALUD MENTAL",IF(O81=CURSOS!$D$30,"PRIMEROS AUXILIOS PSICOLOGICOS",IF(O81=CURSOS!$D$31,"ATENCION A VICTIMAS POR CONFLICTO ARMADO",IF(O81=CURSOS!$D$32,"MANIPULACION DE ALIMENTOS Y BPM",IF(O81=CURSOS!$D$33,"ATENCION A PERSONAS CON DISCAPACIDAD",IF(O81=CURSOS!$D$34,"CUIDADO INTEGRAL DEL PACIENTE ADULTO",IF(O81=CURSOS!$D$35,"MANEJO DEFENSIVO",IF(O81=CURSOS!$D$36,"SOPORTE CARDIOVASCULAR AVANZADO NEONATAL",IF(O81=CURSOS!$D$37,"SEGURIDAD DEL PACIENTE",IF(O81=CURSOS!$D$38,"MANEJO DE RESIDUOS HOSPITALARIOS"))))))))))))))))))))))))))))))))))))</f>
        <v xml:space="preserve">HUMANIZACION EN EL SERVICIO DE LA SALUD Y BUENAS PRACTICAS EN PACIENTE </v>
      </c>
      <c r="V81" s="59" t="str">
        <f t="shared" si="3"/>
        <v>Yuri Dayana Palacios Iguad</v>
      </c>
      <c r="W81" s="59" t="str">
        <f t="shared" si="4"/>
        <v>Yuri Dayana Palacios Iguad</v>
      </c>
      <c r="X81" s="59" t="str">
        <f t="shared" si="5"/>
        <v>Yuri Dayana Palacios Iguad-1086498144-HUMANIZACION</v>
      </c>
    </row>
    <row r="82" spans="1:24" x14ac:dyDescent="0.2">
      <c r="A82" s="55">
        <v>81</v>
      </c>
      <c r="B82" s="50">
        <v>1086498144</v>
      </c>
      <c r="C82" s="50" t="s">
        <v>284</v>
      </c>
      <c r="D82" s="50" t="s">
        <v>285</v>
      </c>
      <c r="E82" s="50" t="s">
        <v>286</v>
      </c>
      <c r="F82" s="50" t="s">
        <v>287</v>
      </c>
      <c r="G82" s="50">
        <v>18</v>
      </c>
      <c r="H82" s="50" t="s">
        <v>102</v>
      </c>
      <c r="I82" s="52" t="s">
        <v>111</v>
      </c>
      <c r="J82" s="56">
        <v>45586</v>
      </c>
      <c r="K82" s="60">
        <v>70000</v>
      </c>
      <c r="L82" s="50" t="s">
        <v>149</v>
      </c>
      <c r="M82" s="50" t="s">
        <v>85</v>
      </c>
      <c r="N82" s="50" t="s">
        <v>103</v>
      </c>
      <c r="O82" s="50" t="s">
        <v>23</v>
      </c>
      <c r="P82" s="52">
        <v>38145</v>
      </c>
      <c r="Q82" s="50" t="s">
        <v>96</v>
      </c>
      <c r="R82" s="50" t="s">
        <v>116</v>
      </c>
      <c r="S82" s="50">
        <v>3178504475</v>
      </c>
      <c r="T82" s="50" t="s">
        <v>288</v>
      </c>
      <c r="U82" s="59" t="str">
        <f>IF(O82=CURSOS!$D$3,"DIPLOMADO EN ATENCION PRE-HOSPITALARIA",IF(O82=CURSOS!$D$4,"ACOMPAÑAMIENTO Y MANEJO DEL DUELO",IF(O82=CURSOS!$D$5,"ATENCION A VICTIMAS DE ATAQUE CON AGENTES QUIMICOS ",IF(O82=CURSOS!$D$6,"PRIMEROS AUXILIOS ",IF(O82=CURSOS!$D$7,"DIPLOMADO DE UNIDAD DE CUIDADOS INTENSIVOS (UCI)",IF(O82=CURSOS!$D$8,"MODELO DE ATENCION PARA EVENTOS EMERGENTES EN SALUD MENTAL (CODIGO VERDE)",IF(O82=CURSOS!$D$9,"HUMANIZACION EN EL SERVICIO DE LA SALUD Y BUENAS PRACTICAS EN PACIENTE ",IF(O82=CURSOS!$D$10,"CLINICA DE HERIDAS ",IF(O82=CURSOS!$D$11,"TOMA DE CITOLOGIA CERVICO VAGINAL ",IF(O82=CURSOS!$D$12,"SOPORTE CARDIOVASCULAR AVANZADO (ACLS) ",IF(O82=CURSOS!$D$13,"CAMILLERO ",IF(O82=CURSOS!$D$14,"TOMA DE MUESTRAS Y LABORATORIO ",IF(O82=CURSOS!$D$15,"SOPORTE VITAL BASICO (BLS)",IF(O82=CURSOS!$D$16,"ATENCION A VICTIMAS DE VIOLENCIA SEXUAL ",IF(O82=CURSOS!$D$17,"PROGRAMADO AMPLIADO DE INMUNIZACION (PAI - COVID 19)",IF(O82=CURSOS!$D$18,"ATENCION INTEGRAL EN ENFERMEDADES PREVALENTES EN PRIMERA INFANCIA (AIEPI)",IF(O82=CURSOS!$D$19,"ADMINISTRACION DE MEDICAMENTOS, INYECTOLOGIA  Y CANALIZACION ",IF(O82=CURSOS!$D$20,"OPERADOR DE VEHICULOS DE EMERGENCIA (OVE)",IF(O82=CURSOS!$D$21,"INSTITUCIONES AMIGAS DE LA MUJER Y LA INFANCIA (IAMI)",IF(O82=CURSOS!$D$22,"CUIDADO DEL DONANTE DE ORGANOS",IF(O82=CURSOS!$D$23,"ATENCION A VICTIMAS POR VIOLENCIA DE GENERO",IF(O82=CURSOS!$D$24,"IGUALDAD DE GENERO EN LA SALUD",IF(O82=CURSOS!$D$25,"BRIGADA DE EMERGENCIA",IF(O82=CURSOS!$D$26,"MANEJO DEL DOLOR Y CUIDADOS PALIATIVOS",IF(O82=CURSOS!$D$27,"TOMA DE MUESTRAS Y LABORATORIO POCT",IF(O82=CURSOS!$D$28,"IMPLANTE SUBDERMICO DE DISPOSITIVO INTRAUTERINO",IF(O82=CURSOS!$D$29,"SALUD MENTAL",IF(O82=CURSOS!$D$30,"PRIMEROS AUXILIOS PSICOLOGICOS",IF(O82=CURSOS!$D$31,"ATENCION A VICTIMAS POR CONFLICTO ARMADO",IF(O82=CURSOS!$D$32,"MANIPULACION DE ALIMENTOS Y BPM",IF(O82=CURSOS!$D$33,"ATENCION A PERSONAS CON DISCAPACIDAD",IF(O82=CURSOS!$D$34,"CUIDADO INTEGRAL DEL PACIENTE ADULTO",IF(O82=CURSOS!$D$35,"MANEJO DEFENSIVO",IF(O82=CURSOS!$D$36,"SOPORTE CARDIOVASCULAR AVANZADO NEONATAL",IF(O82=CURSOS!$D$37,"SEGURIDAD DEL PACIENTE",IF(O82=CURSOS!$D$38,"MANEJO DE RESIDUOS HOSPITALARIOS"))))))))))))))))))))))))))))))))))))</f>
        <v>ACOMPAÑAMIENTO Y MANEJO DEL DUELO</v>
      </c>
      <c r="V82" s="59" t="str">
        <f t="shared" si="3"/>
        <v>Yuri Dayana Palacios Iguad</v>
      </c>
      <c r="W82" s="59" t="str">
        <f t="shared" si="4"/>
        <v>Yuri Dayana Palacios Iguad</v>
      </c>
      <c r="X82" s="59" t="str">
        <f t="shared" si="5"/>
        <v>Yuri Dayana Palacios Iguad-1086498144-DUELO</v>
      </c>
    </row>
    <row r="83" spans="1:24" x14ac:dyDescent="0.2">
      <c r="A83" s="55">
        <v>82</v>
      </c>
      <c r="B83" s="50">
        <v>1086498144</v>
      </c>
      <c r="C83" s="50" t="s">
        <v>284</v>
      </c>
      <c r="D83" s="50" t="s">
        <v>285</v>
      </c>
      <c r="E83" s="50" t="s">
        <v>286</v>
      </c>
      <c r="F83" s="50" t="s">
        <v>287</v>
      </c>
      <c r="G83" s="50">
        <v>21</v>
      </c>
      <c r="H83" s="50" t="s">
        <v>102</v>
      </c>
      <c r="I83" s="52" t="s">
        <v>111</v>
      </c>
      <c r="J83" s="56">
        <v>45586</v>
      </c>
      <c r="K83" s="60">
        <v>70000</v>
      </c>
      <c r="L83" s="50" t="s">
        <v>149</v>
      </c>
      <c r="M83" s="50" t="s">
        <v>85</v>
      </c>
      <c r="N83" s="50" t="s">
        <v>103</v>
      </c>
      <c r="O83" s="50" t="s">
        <v>25</v>
      </c>
      <c r="P83" s="52">
        <v>38145</v>
      </c>
      <c r="Q83" s="50" t="s">
        <v>96</v>
      </c>
      <c r="R83" s="50" t="s">
        <v>116</v>
      </c>
      <c r="S83" s="50">
        <v>3178504475</v>
      </c>
      <c r="T83" s="50" t="s">
        <v>288</v>
      </c>
      <c r="U83" s="59" t="str">
        <f>IF(O83=CURSOS!$D$3,"DIPLOMADO EN ATENCION PRE-HOSPITALARIA",IF(O83=CURSOS!$D$4,"ACOMPAÑAMIENTO Y MANEJO DEL DUELO",IF(O83=CURSOS!$D$5,"ATENCION A VICTIMAS DE ATAQUE CON AGENTES QUIMICOS ",IF(O83=CURSOS!$D$6,"PRIMEROS AUXILIOS ",IF(O83=CURSOS!$D$7,"DIPLOMADO DE UNIDAD DE CUIDADOS INTENSIVOS (UCI)",IF(O83=CURSOS!$D$8,"MODELO DE ATENCION PARA EVENTOS EMERGENTES EN SALUD MENTAL (CODIGO VERDE)",IF(O83=CURSOS!$D$9,"HUMANIZACION EN EL SERVICIO DE LA SALUD Y BUENAS PRACTICAS EN PACIENTE ",IF(O83=CURSOS!$D$10,"CLINICA DE HERIDAS ",IF(O83=CURSOS!$D$11,"TOMA DE CITOLOGIA CERVICO VAGINAL ",IF(O83=CURSOS!$D$12,"SOPORTE CARDIOVASCULAR AVANZADO (ACLS) ",IF(O83=CURSOS!$D$13,"CAMILLERO ",IF(O83=CURSOS!$D$14,"TOMA DE MUESTRAS Y LABORATORIO ",IF(O83=CURSOS!$D$15,"SOPORTE VITAL BASICO (BLS)",IF(O83=CURSOS!$D$16,"ATENCION A VICTIMAS DE VIOLENCIA SEXUAL ",IF(O83=CURSOS!$D$17,"PROGRAMADO AMPLIADO DE INMUNIZACION (PAI - COVID 19)",IF(O83=CURSOS!$D$18,"ATENCION INTEGRAL EN ENFERMEDADES PREVALENTES EN PRIMERA INFANCIA (AIEPI)",IF(O83=CURSOS!$D$19,"ADMINISTRACION DE MEDICAMENTOS, INYECTOLOGIA  Y CANALIZACION ",IF(O83=CURSOS!$D$20,"OPERADOR DE VEHICULOS DE EMERGENCIA (OVE)",IF(O83=CURSOS!$D$21,"INSTITUCIONES AMIGAS DE LA MUJER Y LA INFANCIA (IAMI)",IF(O83=CURSOS!$D$22,"CUIDADO DEL DONANTE DE ORGANOS",IF(O83=CURSOS!$D$23,"ATENCION A VICTIMAS POR VIOLENCIA DE GENERO",IF(O83=CURSOS!$D$24,"IGUALDAD DE GENERO EN LA SALUD",IF(O83=CURSOS!$D$25,"BRIGADA DE EMERGENCIA",IF(O83=CURSOS!$D$26,"MANEJO DEL DOLOR Y CUIDADOS PALIATIVOS",IF(O83=CURSOS!$D$27,"TOMA DE MUESTRAS Y LABORATORIO POCT",IF(O83=CURSOS!$D$28,"IMPLANTE SUBDERMICO DE DISPOSITIVO INTRAUTERINO",IF(O83=CURSOS!$D$29,"SALUD MENTAL",IF(O83=CURSOS!$D$30,"PRIMEROS AUXILIOS PSICOLOGICOS",IF(O83=CURSOS!$D$31,"ATENCION A VICTIMAS POR CONFLICTO ARMADO",IF(O83=CURSOS!$D$32,"MANIPULACION DE ALIMENTOS Y BPM",IF(O83=CURSOS!$D$33,"ATENCION A PERSONAS CON DISCAPACIDAD",IF(O83=CURSOS!$D$34,"CUIDADO INTEGRAL DEL PACIENTE ADULTO",IF(O83=CURSOS!$D$35,"MANEJO DEFENSIVO",IF(O83=CURSOS!$D$36,"SOPORTE CARDIOVASCULAR AVANZADO NEONATAL",IF(O83=CURSOS!$D$37,"SEGURIDAD DEL PACIENTE",IF(O83=CURSOS!$D$38,"MANEJO DE RESIDUOS HOSPITALARIOS"))))))))))))))))))))))))))))))))))))</f>
        <v xml:space="preserve">ATENCION A VICTIMAS DE ATAQUE CON AGENTES QUIMICOS </v>
      </c>
      <c r="V83" s="59" t="str">
        <f t="shared" si="3"/>
        <v>Yuri Dayana Palacios Iguad</v>
      </c>
      <c r="W83" s="59" t="str">
        <f t="shared" si="4"/>
        <v>Yuri Dayana Palacios Iguad</v>
      </c>
      <c r="X83" s="59" t="str">
        <f t="shared" si="5"/>
        <v>Yuri Dayana Palacios Iguad-1086498144-QUIMICOS</v>
      </c>
    </row>
    <row r="84" spans="1:24" x14ac:dyDescent="0.2">
      <c r="A84" s="55">
        <v>83</v>
      </c>
      <c r="B84" s="50">
        <v>1086498144</v>
      </c>
      <c r="C84" s="50" t="s">
        <v>284</v>
      </c>
      <c r="D84" s="50" t="s">
        <v>285</v>
      </c>
      <c r="E84" s="50" t="s">
        <v>286</v>
      </c>
      <c r="F84" s="50" t="s">
        <v>287</v>
      </c>
      <c r="G84" s="50">
        <v>18</v>
      </c>
      <c r="H84" s="50" t="s">
        <v>102</v>
      </c>
      <c r="I84" s="52" t="s">
        <v>111</v>
      </c>
      <c r="J84" s="56">
        <v>45586</v>
      </c>
      <c r="K84" s="60">
        <v>70000</v>
      </c>
      <c r="L84" s="50" t="s">
        <v>149</v>
      </c>
      <c r="M84" s="50" t="s">
        <v>85</v>
      </c>
      <c r="N84" s="50" t="s">
        <v>103</v>
      </c>
      <c r="O84" s="50" t="s">
        <v>43</v>
      </c>
      <c r="P84" s="52">
        <v>38145</v>
      </c>
      <c r="Q84" s="50" t="s">
        <v>96</v>
      </c>
      <c r="R84" s="50" t="s">
        <v>116</v>
      </c>
      <c r="S84" s="50">
        <v>3178504475</v>
      </c>
      <c r="T84" s="50" t="s">
        <v>288</v>
      </c>
      <c r="U84" s="59" t="str">
        <f>IF(O84=CURSOS!$D$3,"DIPLOMADO EN ATENCION PRE-HOSPITALARIA",IF(O84=CURSOS!$D$4,"ACOMPAÑAMIENTO Y MANEJO DEL DUELO",IF(O84=CURSOS!$D$5,"ATENCION A VICTIMAS DE ATAQUE CON AGENTES QUIMICOS ",IF(O84=CURSOS!$D$6,"PRIMEROS AUXILIOS ",IF(O84=CURSOS!$D$7,"DIPLOMADO DE UNIDAD DE CUIDADOS INTENSIVOS (UCI)",IF(O84=CURSOS!$D$8,"MODELO DE ATENCION PARA EVENTOS EMERGENTES EN SALUD MENTAL (CODIGO VERDE)",IF(O84=CURSOS!$D$9,"HUMANIZACION EN EL SERVICIO DE LA SALUD Y BUENAS PRACTICAS EN PACIENTE ",IF(O84=CURSOS!$D$10,"CLINICA DE HERIDAS ",IF(O84=CURSOS!$D$11,"TOMA DE CITOLOGIA CERVICO VAGINAL ",IF(O84=CURSOS!$D$12,"SOPORTE CARDIOVASCULAR AVANZADO (ACLS) ",IF(O84=CURSOS!$D$13,"CAMILLERO ",IF(O84=CURSOS!$D$14,"TOMA DE MUESTRAS Y LABORATORIO ",IF(O84=CURSOS!$D$15,"SOPORTE VITAL BASICO (BLS)",IF(O84=CURSOS!$D$16,"ATENCION A VICTIMAS DE VIOLENCIA SEXUAL ",IF(O84=CURSOS!$D$17,"PROGRAMADO AMPLIADO DE INMUNIZACION (PAI - COVID 19)",IF(O84=CURSOS!$D$18,"ATENCION INTEGRAL EN ENFERMEDADES PREVALENTES EN PRIMERA INFANCIA (AIEPI)",IF(O84=CURSOS!$D$19,"ADMINISTRACION DE MEDICAMENTOS, INYECTOLOGIA  Y CANALIZACION ",IF(O84=CURSOS!$D$20,"OPERADOR DE VEHICULOS DE EMERGENCIA (OVE)",IF(O84=CURSOS!$D$21,"INSTITUCIONES AMIGAS DE LA MUJER Y LA INFANCIA (IAMI)",IF(O84=CURSOS!$D$22,"CUIDADO DEL DONANTE DE ORGANOS",IF(O84=CURSOS!$D$23,"ATENCION A VICTIMAS POR VIOLENCIA DE GENERO",IF(O84=CURSOS!$D$24,"IGUALDAD DE GENERO EN LA SALUD",IF(O84=CURSOS!$D$25,"BRIGADA DE EMERGENCIA",IF(O84=CURSOS!$D$26,"MANEJO DEL DOLOR Y CUIDADOS PALIATIVOS",IF(O84=CURSOS!$D$27,"TOMA DE MUESTRAS Y LABORATORIO POCT",IF(O84=CURSOS!$D$28,"IMPLANTE SUBDERMICO DE DISPOSITIVO INTRAUTERINO",IF(O84=CURSOS!$D$29,"SALUD MENTAL",IF(O84=CURSOS!$D$30,"PRIMEROS AUXILIOS PSICOLOGICOS",IF(O84=CURSOS!$D$31,"ATENCION A VICTIMAS POR CONFLICTO ARMADO",IF(O84=CURSOS!$D$32,"MANIPULACION DE ALIMENTOS Y BPM",IF(O84=CURSOS!$D$33,"ATENCION A PERSONAS CON DISCAPACIDAD",IF(O84=CURSOS!$D$34,"CUIDADO INTEGRAL DEL PACIENTE ADULTO",IF(O84=CURSOS!$D$35,"MANEJO DEFENSIVO",IF(O84=CURSOS!$D$36,"SOPORTE CARDIOVASCULAR AVANZADO NEONATAL",IF(O84=CURSOS!$D$37,"SEGURIDAD DEL PACIENTE",IF(O84=CURSOS!$D$38,"MANEJO DE RESIDUOS HOSPITALARIOS"))))))))))))))))))))))))))))))))))))</f>
        <v xml:space="preserve">ATENCION A VICTIMAS DE VIOLENCIA SEXUAL </v>
      </c>
      <c r="V84" s="59" t="str">
        <f t="shared" si="3"/>
        <v>Yuri Dayana Palacios Iguad</v>
      </c>
      <c r="W84" s="59" t="str">
        <f t="shared" si="4"/>
        <v>Yuri Dayana Palacios Iguad</v>
      </c>
      <c r="X84" s="59" t="str">
        <f t="shared" si="5"/>
        <v>Yuri Dayana Palacios Iguad-1086498144-VIOLENCIA SEXUAL</v>
      </c>
    </row>
    <row r="85" spans="1:24" s="92" customFormat="1" x14ac:dyDescent="0.2">
      <c r="A85" s="94">
        <v>84</v>
      </c>
      <c r="B85" s="95">
        <v>1107078954</v>
      </c>
      <c r="C85" s="95" t="s">
        <v>289</v>
      </c>
      <c r="D85" s="95" t="s">
        <v>249</v>
      </c>
      <c r="E85" s="95" t="s">
        <v>290</v>
      </c>
      <c r="F85" s="95" t="s">
        <v>287</v>
      </c>
      <c r="G85" s="95">
        <v>10</v>
      </c>
      <c r="H85" s="95" t="s">
        <v>102</v>
      </c>
      <c r="I85" s="96" t="s">
        <v>108</v>
      </c>
      <c r="J85" s="97">
        <v>45580</v>
      </c>
      <c r="K85" s="98">
        <v>20000</v>
      </c>
      <c r="L85" s="95" t="s">
        <v>206</v>
      </c>
      <c r="M85" s="95" t="s">
        <v>85</v>
      </c>
      <c r="N85" s="95" t="s">
        <v>177</v>
      </c>
      <c r="O85" s="95" t="s">
        <v>23</v>
      </c>
      <c r="P85" s="96">
        <v>34215</v>
      </c>
      <c r="Q85" s="95" t="s">
        <v>96</v>
      </c>
      <c r="R85" s="99" t="s">
        <v>125</v>
      </c>
      <c r="S85" s="99">
        <v>3164420580</v>
      </c>
      <c r="T85" s="95" t="s">
        <v>291</v>
      </c>
      <c r="U85" s="95" t="str">
        <f>IF(O85=CURSOS!$D$3,"DIPLOMADO EN ATENCION PRE-HOSPITALARIA",IF(O85=CURSOS!$D$4,"ACOMPAÑAMIENTO Y MANEJO DEL DUELO",IF(O85=CURSOS!$D$5,"ATENCION A VICTIMAS DE ATAQUE CON AGENTES QUIMICOS ",IF(O85=CURSOS!$D$6,"PRIMEROS AUXILIOS ",IF(O85=CURSOS!$D$7,"DIPLOMADO DE UNIDAD DE CUIDADOS INTENSIVOS (UCI)",IF(O85=CURSOS!$D$8,"MODELO DE ATENCION PARA EVENTOS EMERGENTES EN SALUD MENTAL (CODIGO VERDE)",IF(O85=CURSOS!$D$9,"HUMANIZACION EN EL SERVICIO DE LA SALUD Y BUENAS PRACTICAS EN PACIENTE ",IF(O85=CURSOS!$D$10,"CLINICA DE HERIDAS ",IF(O85=CURSOS!$D$11,"TOMA DE CITOLOGIA CERVICO VAGINAL ",IF(O85=CURSOS!$D$12,"SOPORTE CARDIOVASCULAR AVANZADO (ACLS) ",IF(O85=CURSOS!$D$13,"CAMILLERO ",IF(O85=CURSOS!$D$14,"TOMA DE MUESTRAS Y LABORATORIO ",IF(O85=CURSOS!$D$15,"SOPORTE VITAL BASICO (BLS)",IF(O85=CURSOS!$D$16,"ATENCION A VICTIMAS DE VIOLENCIA SEXUAL ",IF(O85=CURSOS!$D$17,"PROGRAMADO AMPLIADO DE INMUNIZACION (PAI - COVID 19)",IF(O85=CURSOS!$D$18,"ATENCION INTEGRAL EN ENFERMEDADES PREVALENTES EN PRIMERA INFANCIA (AIEPI)",IF(O85=CURSOS!$D$19,"ADMINISTRACION DE MEDICAMENTOS, INYECTOLOGIA  Y CANALIZACION ",IF(O85=CURSOS!$D$20,"OPERADOR DE VEHICULOS DE EMERGENCIA (OVE)",IF(O85=CURSOS!$D$21,"INSTITUCIONES AMIGAS DE LA MUJER Y LA INFANCIA (IAMI)",IF(O85=CURSOS!$D$22,"CUIDADO DEL DONANTE DE ORGANOS",IF(O85=CURSOS!$D$23,"ATENCION A VICTIMAS POR VIOLENCIA DE GENERO",IF(O85=CURSOS!$D$24,"IGUALDAD DE GENERO EN LA SALUD",IF(O85=CURSOS!$D$25,"BRIGADA DE EMERGENCIA",IF(O85=CURSOS!$D$26,"MANEJO DEL DOLOR Y CUIDADOS PALIATIVOS",IF(O85=CURSOS!$D$27,"TOMA DE MUESTRAS Y LABORATORIO POCT",IF(O85=CURSOS!$D$28,"IMPLANTE SUBDERMICO DE DISPOSITIVO INTRAUTERINO",IF(O85=CURSOS!$D$29,"SALUD MENTAL",IF(O85=CURSOS!$D$30,"PRIMEROS AUXILIOS PSICOLOGICOS",IF(O85=CURSOS!$D$31,"ATENCION A VICTIMAS POR CONFLICTO ARMADO",IF(O85=CURSOS!$D$32,"MANIPULACION DE ALIMENTOS Y BPM",IF(O85=CURSOS!$D$33,"ATENCION A PERSONAS CON DISCAPACIDAD",IF(O85=CURSOS!$D$34,"CUIDADO INTEGRAL DEL PACIENTE ADULTO",IF(O85=CURSOS!$D$35,"MANEJO DEFENSIVO",IF(O85=CURSOS!$D$36,"SOPORTE CARDIOVASCULAR AVANZADO NEONATAL",IF(O85=CURSOS!$D$37,"SEGURIDAD DEL PACIENTE",IF(O85=CURSOS!$D$38,"MANEJO DE RESIDUOS HOSPITALARIOS"))))))))))))))))))))))))))))))))))))</f>
        <v>ACOMPAÑAMIENTO Y MANEJO DEL DUELO</v>
      </c>
      <c r="V85" s="95" t="str">
        <f t="shared" si="3"/>
        <v>Shirley Dayana Ibarra Figueroa</v>
      </c>
      <c r="W85" s="95" t="str">
        <f t="shared" si="4"/>
        <v>Shirley Dayana Ibarra Figueroa</v>
      </c>
      <c r="X85" s="95" t="str">
        <f t="shared" si="5"/>
        <v>Shirley Dayana Ibarra Figueroa-1107078954-DUELO</v>
      </c>
    </row>
    <row r="86" spans="1:24" s="87" customFormat="1" x14ac:dyDescent="0.2">
      <c r="A86" s="86">
        <v>85</v>
      </c>
      <c r="B86" s="87">
        <v>13039891</v>
      </c>
      <c r="C86" s="87" t="s">
        <v>151</v>
      </c>
      <c r="D86" s="87" t="s">
        <v>292</v>
      </c>
      <c r="E86" s="87" t="s">
        <v>293</v>
      </c>
      <c r="F86" s="87" t="s">
        <v>294</v>
      </c>
      <c r="G86" s="87">
        <v>22</v>
      </c>
      <c r="H86" s="87" t="s">
        <v>102</v>
      </c>
      <c r="I86" s="88" t="s">
        <v>108</v>
      </c>
      <c r="J86" s="89">
        <v>45588</v>
      </c>
      <c r="K86" s="93">
        <v>90000</v>
      </c>
      <c r="L86" s="87" t="s">
        <v>206</v>
      </c>
      <c r="M86" s="87" t="s">
        <v>85</v>
      </c>
      <c r="N86" s="87" t="s">
        <v>115</v>
      </c>
      <c r="O86" s="100" t="s">
        <v>38</v>
      </c>
      <c r="P86" s="88">
        <v>29383</v>
      </c>
      <c r="Q86" s="87" t="s">
        <v>97</v>
      </c>
      <c r="R86" s="91" t="s">
        <v>125</v>
      </c>
      <c r="S86" s="101">
        <v>3104998321</v>
      </c>
      <c r="T86" s="87" t="s">
        <v>295</v>
      </c>
      <c r="U86" s="87" t="str">
        <f>IF(O86=CURSOS!$D$3,"DIPLOMADO EN ATENCION PRE-HOSPITALARIA",IF(O86=CURSOS!$D$4,"ACOMPAÑAMIENTO Y MANEJO DEL DUELO",IF(O86=CURSOS!$D$5,"ATENCION A VICTIMAS DE ATAQUE CON AGENTES QUIMICOS ",IF(O86=CURSOS!$D$6,"PRIMEROS AUXILIOS ",IF(O86=CURSOS!$D$7,"DIPLOMADO DE UNIDAD DE CUIDADOS INTENSIVOS (UCI)",IF(O86=CURSOS!$D$8,"MODELO DE ATENCION PARA EVENTOS EMERGENTES EN SALUD MENTAL (CODIGO VERDE)",IF(O86=CURSOS!$D$9,"HUMANIZACION EN EL SERVICIO DE LA SALUD Y BUENAS PRACTICAS EN PACIENTE ",IF(O86=CURSOS!$D$10,"CLINICA DE HERIDAS ",IF(O86=CURSOS!$D$11,"TOMA DE CITOLOGIA CERVICO VAGINAL ",IF(O86=CURSOS!$D$12,"SOPORTE CARDIOVASCULAR AVANZADO (ACLS) ",IF(O86=CURSOS!$D$13,"CAMILLERO ",IF(O86=CURSOS!$D$14,"TOMA DE MUESTRAS Y LABORATORIO ",IF(O86=CURSOS!$D$15,"SOPORTE VITAL BASICO (BLS)",IF(O86=CURSOS!$D$16,"ATENCION A VICTIMAS DE VIOLENCIA SEXUAL ",IF(O86=CURSOS!$D$17,"PROGRAMADO AMPLIADO DE INMUNIZACION (PAI - COVID 19)",IF(O86=CURSOS!$D$18,"ATENCION INTEGRAL EN ENFERMEDADES PREVALENTES EN PRIMERA INFANCIA (AIEPI)",IF(O86=CURSOS!$D$19,"ADMINISTRACION DE MEDICAMENTOS, INYECTOLOGIA  Y CANALIZACION ",IF(O86=CURSOS!$D$20,"OPERADOR DE VEHICULOS DE EMERGENCIA (OVE)",IF(O86=CURSOS!$D$21,"INSTITUCIONES AMIGAS DE LA MUJER Y LA INFANCIA (IAMI)",IF(O86=CURSOS!$D$22,"CUIDADO DEL DONANTE DE ORGANOS",IF(O86=CURSOS!$D$23,"ATENCION A VICTIMAS POR VIOLENCIA DE GENERO",IF(O86=CURSOS!$D$24,"IGUALDAD DE GENERO EN LA SALUD",IF(O86=CURSOS!$D$25,"BRIGADA DE EMERGENCIA",IF(O86=CURSOS!$D$26,"MANEJO DEL DOLOR Y CUIDADOS PALIATIVOS",IF(O86=CURSOS!$D$27,"TOMA DE MUESTRAS Y LABORATORIO POCT",IF(O86=CURSOS!$D$28,"IMPLANTE SUBDERMICO DE DISPOSITIVO INTRAUTERINO",IF(O86=CURSOS!$D$29,"SALUD MENTAL",IF(O86=CURSOS!$D$30,"PRIMEROS AUXILIOS PSICOLOGICOS",IF(O86=CURSOS!$D$31,"ATENCION A VICTIMAS POR CONFLICTO ARMADO",IF(O86=CURSOS!$D$32,"MANIPULACION DE ALIMENTOS Y BPM",IF(O86=CURSOS!$D$33,"ATENCION A PERSONAS CON DISCAPACIDAD",IF(O86=CURSOS!$D$34,"CUIDADO INTEGRAL DEL PACIENTE ADULTO",IF(O86=CURSOS!$D$35,"MANEJO DEFENSIVO",IF(O86=CURSOS!$D$36,"SOPORTE CARDIOVASCULAR AVANZADO NEONATAL",IF(O86=CURSOS!$D$37,"SEGURIDAD DEL PACIENTE",IF(O86=CURSOS!$D$38,"MANEJO DE RESIDUOS HOSPITALARIOS"))))))))))))))))))))))))))))))))))))</f>
        <v xml:space="preserve">SOPORTE CARDIOVASCULAR AVANZADO (ACLS) </v>
      </c>
      <c r="V86" s="87" t="str">
        <f t="shared" si="3"/>
        <v>Jorge Nixon Perez Guancha</v>
      </c>
      <c r="W86" s="87" t="str">
        <f t="shared" si="4"/>
        <v>Jorge Nixon Perez Guancha</v>
      </c>
      <c r="X86" s="87" t="str">
        <f t="shared" si="5"/>
        <v>Jorge Nixon Perez Guancha-13039891-ACLS</v>
      </c>
    </row>
    <row r="87" spans="1:24" s="87" customFormat="1" x14ac:dyDescent="0.2">
      <c r="A87" s="86">
        <v>86</v>
      </c>
      <c r="B87" s="87">
        <v>13039891</v>
      </c>
      <c r="C87" s="87" t="s">
        <v>151</v>
      </c>
      <c r="D87" s="87" t="s">
        <v>292</v>
      </c>
      <c r="E87" s="87" t="s">
        <v>293</v>
      </c>
      <c r="F87" s="87" t="s">
        <v>294</v>
      </c>
      <c r="G87" s="87">
        <v>22</v>
      </c>
      <c r="H87" s="87" t="s">
        <v>102</v>
      </c>
      <c r="I87" s="88" t="s">
        <v>108</v>
      </c>
      <c r="J87" s="89">
        <v>45588</v>
      </c>
      <c r="K87" s="93">
        <v>10000</v>
      </c>
      <c r="L87" s="87" t="s">
        <v>206</v>
      </c>
      <c r="M87" s="87" t="s">
        <v>85</v>
      </c>
      <c r="N87" s="87" t="s">
        <v>115</v>
      </c>
      <c r="O87" s="87" t="s">
        <v>19</v>
      </c>
      <c r="P87" s="88">
        <v>29383</v>
      </c>
      <c r="Q87" s="87" t="s">
        <v>97</v>
      </c>
      <c r="R87" s="91" t="s">
        <v>125</v>
      </c>
      <c r="S87" s="101">
        <v>3104998321</v>
      </c>
      <c r="T87" s="87" t="s">
        <v>295</v>
      </c>
      <c r="U87" s="87" t="str">
        <f>IF(O87=CURSOS!$D$3,"DIPLOMADO EN ATENCION PRE-HOSPITALARIA",IF(O87=CURSOS!$D$4,"ACOMPAÑAMIENTO Y MANEJO DEL DUELO",IF(O87=CURSOS!$D$5,"ATENCION A VICTIMAS DE ATAQUE CON AGENTES QUIMICOS ",IF(O87=CURSOS!$D$6,"PRIMEROS AUXILIOS ",IF(O87=CURSOS!$D$7,"DIPLOMADO DE UNIDAD DE CUIDADOS INTENSIVOS (UCI)",IF(O87=CURSOS!$D$8,"MODELO DE ATENCION PARA EVENTOS EMERGENTES EN SALUD MENTAL (CODIGO VERDE)",IF(O87=CURSOS!$D$9,"HUMANIZACION EN EL SERVICIO DE LA SALUD Y BUENAS PRACTICAS EN PACIENTE ",IF(O87=CURSOS!$D$10,"CLINICA DE HERIDAS ",IF(O87=CURSOS!$D$11,"TOMA DE CITOLOGIA CERVICO VAGINAL ",IF(O87=CURSOS!$D$12,"SOPORTE CARDIOVASCULAR AVANZADO (ACLS) ",IF(O87=CURSOS!$D$13,"CAMILLERO ",IF(O87=CURSOS!$D$14,"TOMA DE MUESTRAS Y LABORATORIO ",IF(O87=CURSOS!$D$15,"SOPORTE VITAL BASICO (BLS)",IF(O87=CURSOS!$D$16,"ATENCION A VICTIMAS DE VIOLENCIA SEXUAL ",IF(O87=CURSOS!$D$17,"PROGRAMADO AMPLIADO DE INMUNIZACION (PAI - COVID 19)",IF(O87=CURSOS!$D$18,"ATENCION INTEGRAL EN ENFERMEDADES PREVALENTES EN PRIMERA INFANCIA (AIEPI)",IF(O87=CURSOS!$D$19,"ADMINISTRACION DE MEDICAMENTOS, INYECTOLOGIA  Y CANALIZACION ",IF(O87=CURSOS!$D$20,"OPERADOR DE VEHICULOS DE EMERGENCIA (OVE)",IF(O87=CURSOS!$D$21,"INSTITUCIONES AMIGAS DE LA MUJER Y LA INFANCIA (IAMI)",IF(O87=CURSOS!$D$22,"CUIDADO DEL DONANTE DE ORGANOS",IF(O87=CURSOS!$D$23,"ATENCION A VICTIMAS POR VIOLENCIA DE GENERO",IF(O87=CURSOS!$D$24,"IGUALDAD DE GENERO EN LA SALUD",IF(O87=CURSOS!$D$25,"BRIGADA DE EMERGENCIA",IF(O87=CURSOS!$D$26,"MANEJO DEL DOLOR Y CUIDADOS PALIATIVOS",IF(O87=CURSOS!$D$27,"TOMA DE MUESTRAS Y LABORATORIO POCT",IF(O87=CURSOS!$D$28,"IMPLANTE SUBDERMICO DE DISPOSITIVO INTRAUTERINO",IF(O87=CURSOS!$D$29,"SALUD MENTAL",IF(O87=CURSOS!$D$30,"PRIMEROS AUXILIOS PSICOLOGICOS",IF(O87=CURSOS!$D$31,"ATENCION A VICTIMAS POR CONFLICTO ARMADO",IF(O87=CURSOS!$D$32,"MANIPULACION DE ALIMENTOS Y BPM",IF(O87=CURSOS!$D$33,"ATENCION A PERSONAS CON DISCAPACIDAD",IF(O87=CURSOS!$D$34,"CUIDADO INTEGRAL DEL PACIENTE ADULTO",IF(O87=CURSOS!$D$35,"MANEJO DEFENSIVO",IF(O87=CURSOS!$D$36,"SOPORTE CARDIOVASCULAR AVANZADO NEONATAL",IF(O87=CURSOS!$D$37,"SEGURIDAD DEL PACIENTE",IF(O87=CURSOS!$D$38,"MANEJO DE RESIDUOS HOSPITALARIOS"))))))))))))))))))))))))))))))))))))</f>
        <v>SOPORTE VITAL BASICO (BLS)</v>
      </c>
      <c r="V87" s="87" t="str">
        <f t="shared" si="3"/>
        <v>Jorge Nixon Perez Guancha</v>
      </c>
      <c r="W87" s="87" t="str">
        <f t="shared" si="4"/>
        <v>Jorge Nixon Perez Guancha</v>
      </c>
      <c r="X87" s="87" t="str">
        <f t="shared" si="5"/>
        <v>Jorge Nixon Perez Guancha-13039891-BLS</v>
      </c>
    </row>
    <row r="88" spans="1:24" s="87" customFormat="1" x14ac:dyDescent="0.2">
      <c r="A88" s="86">
        <v>87</v>
      </c>
      <c r="B88" s="87">
        <v>1234192018</v>
      </c>
      <c r="C88" s="87" t="s">
        <v>245</v>
      </c>
      <c r="D88" s="87" t="s">
        <v>246</v>
      </c>
      <c r="E88" s="87" t="s">
        <v>247</v>
      </c>
      <c r="G88" s="87">
        <v>21</v>
      </c>
      <c r="H88" s="87" t="s">
        <v>102</v>
      </c>
      <c r="I88" s="88" t="s">
        <v>108</v>
      </c>
      <c r="J88" s="89">
        <v>45588</v>
      </c>
      <c r="K88" s="93">
        <v>32000</v>
      </c>
      <c r="L88" s="87" t="s">
        <v>206</v>
      </c>
      <c r="M88" s="87" t="s">
        <v>85</v>
      </c>
      <c r="N88" s="87" t="s">
        <v>115</v>
      </c>
      <c r="O88" s="87" t="s">
        <v>43</v>
      </c>
      <c r="P88" s="88">
        <v>35934</v>
      </c>
      <c r="Q88" s="87" t="s">
        <v>97</v>
      </c>
      <c r="R88" s="91" t="s">
        <v>125</v>
      </c>
      <c r="S88" s="91">
        <v>3127448887</v>
      </c>
      <c r="T88" s="87" t="s">
        <v>296</v>
      </c>
      <c r="U88" s="87" t="str">
        <f>IF(O88=CURSOS!$D$3,"DIPLOMADO EN ATENCION PRE-HOSPITALARIA",IF(O88=CURSOS!$D$4,"ACOMPAÑAMIENTO Y MANEJO DEL DUELO",IF(O88=CURSOS!$D$5,"ATENCION A VICTIMAS DE ATAQUE CON AGENTES QUIMICOS ",IF(O88=CURSOS!$D$6,"PRIMEROS AUXILIOS ",IF(O88=CURSOS!$D$7,"DIPLOMADO DE UNIDAD DE CUIDADOS INTENSIVOS (UCI)",IF(O88=CURSOS!$D$8,"MODELO DE ATENCION PARA EVENTOS EMERGENTES EN SALUD MENTAL (CODIGO VERDE)",IF(O88=CURSOS!$D$9,"HUMANIZACION EN EL SERVICIO DE LA SALUD Y BUENAS PRACTICAS EN PACIENTE ",IF(O88=CURSOS!$D$10,"CLINICA DE HERIDAS ",IF(O88=CURSOS!$D$11,"TOMA DE CITOLOGIA CERVICO VAGINAL ",IF(O88=CURSOS!$D$12,"SOPORTE CARDIOVASCULAR AVANZADO (ACLS) ",IF(O88=CURSOS!$D$13,"CAMILLERO ",IF(O88=CURSOS!$D$14,"TOMA DE MUESTRAS Y LABORATORIO ",IF(O88=CURSOS!$D$15,"SOPORTE VITAL BASICO (BLS)",IF(O88=CURSOS!$D$16,"ATENCION A VICTIMAS DE VIOLENCIA SEXUAL ",IF(O88=CURSOS!$D$17,"PROGRAMADO AMPLIADO DE INMUNIZACION (PAI - COVID 19)",IF(O88=CURSOS!$D$18,"ATENCION INTEGRAL EN ENFERMEDADES PREVALENTES EN PRIMERA INFANCIA (AIEPI)",IF(O88=CURSOS!$D$19,"ADMINISTRACION DE MEDICAMENTOS, INYECTOLOGIA  Y CANALIZACION ",IF(O88=CURSOS!$D$20,"OPERADOR DE VEHICULOS DE EMERGENCIA (OVE)",IF(O88=CURSOS!$D$21,"INSTITUCIONES AMIGAS DE LA MUJER Y LA INFANCIA (IAMI)",IF(O88=CURSOS!$D$22,"CUIDADO DEL DONANTE DE ORGANOS",IF(O88=CURSOS!$D$23,"ATENCION A VICTIMAS POR VIOLENCIA DE GENERO",IF(O88=CURSOS!$D$24,"IGUALDAD DE GENERO EN LA SALUD",IF(O88=CURSOS!$D$25,"BRIGADA DE EMERGENCIA",IF(O88=CURSOS!$D$26,"MANEJO DEL DOLOR Y CUIDADOS PALIATIVOS",IF(O88=CURSOS!$D$27,"TOMA DE MUESTRAS Y LABORATORIO POCT",IF(O88=CURSOS!$D$28,"IMPLANTE SUBDERMICO DE DISPOSITIVO INTRAUTERINO",IF(O88=CURSOS!$D$29,"SALUD MENTAL",IF(O88=CURSOS!$D$30,"PRIMEROS AUXILIOS PSICOLOGICOS",IF(O88=CURSOS!$D$31,"ATENCION A VICTIMAS POR CONFLICTO ARMADO",IF(O88=CURSOS!$D$32,"MANIPULACION DE ALIMENTOS Y BPM",IF(O88=CURSOS!$D$33,"ATENCION A PERSONAS CON DISCAPACIDAD",IF(O88=CURSOS!$D$34,"CUIDADO INTEGRAL DEL PACIENTE ADULTO",IF(O88=CURSOS!$D$35,"MANEJO DEFENSIVO",IF(O88=CURSOS!$D$36,"SOPORTE CARDIOVASCULAR AVANZADO NEONATAL",IF(O88=CURSOS!$D$37,"SEGURIDAD DEL PACIENTE",IF(O88=CURSOS!$D$38,"MANEJO DE RESIDUOS HOSPITALARIOS"))))))))))))))))))))))))))))))))))))</f>
        <v xml:space="preserve">ATENCION A VICTIMAS DE VIOLENCIA SEXUAL </v>
      </c>
      <c r="V88" s="87" t="str">
        <f t="shared" si="3"/>
        <v>Ronaldo  Manchbajoy Criollo</v>
      </c>
      <c r="W88" s="87" t="str">
        <f t="shared" si="4"/>
        <v>Ronaldo  Manchbajoy Criollo</v>
      </c>
      <c r="X88" s="87" t="str">
        <f t="shared" si="5"/>
        <v>Ronaldo  Manchbajoy Criollo-1234192018-VIOLENCIA SEXUAL</v>
      </c>
    </row>
    <row r="89" spans="1:24" s="49" customFormat="1" x14ac:dyDescent="0.2">
      <c r="A89" s="55">
        <v>88</v>
      </c>
      <c r="B89" s="50">
        <v>1086107680</v>
      </c>
      <c r="C89" s="50" t="s">
        <v>297</v>
      </c>
      <c r="D89" s="50" t="s">
        <v>207</v>
      </c>
      <c r="E89" s="50" t="s">
        <v>142</v>
      </c>
      <c r="F89" s="50" t="s">
        <v>298</v>
      </c>
      <c r="G89" s="50">
        <v>23</v>
      </c>
      <c r="H89" s="50" t="s">
        <v>102</v>
      </c>
      <c r="I89" s="52" t="s">
        <v>108</v>
      </c>
      <c r="J89" s="56">
        <v>45588</v>
      </c>
      <c r="K89" s="60">
        <v>40000</v>
      </c>
      <c r="L89" s="50" t="s">
        <v>149</v>
      </c>
      <c r="M89" s="50" t="s">
        <v>85</v>
      </c>
      <c r="N89" s="50" t="s">
        <v>103</v>
      </c>
      <c r="O89" s="50" t="s">
        <v>19</v>
      </c>
      <c r="P89" s="52">
        <v>36020</v>
      </c>
      <c r="Q89" s="50" t="s">
        <v>96</v>
      </c>
      <c r="R89" s="50" t="s">
        <v>116</v>
      </c>
      <c r="S89" s="58">
        <v>3158284667</v>
      </c>
      <c r="T89" s="50" t="s">
        <v>299</v>
      </c>
      <c r="U89" s="59" t="str">
        <f>IF(O89=CURSOS!$D$3,"DIPLOMADO EN ATENCION PRE-HOSPITALARIA",IF(O89=CURSOS!$D$4,"ACOMPAÑAMIENTO Y MANEJO DEL DUELO",IF(O89=CURSOS!$D$5,"ATENCION A VICTIMAS DE ATAQUE CON AGENTES QUIMICOS ",IF(O89=CURSOS!$D$6,"PRIMEROS AUXILIOS ",IF(O89=CURSOS!$D$7,"DIPLOMADO DE UNIDAD DE CUIDADOS INTENSIVOS (UCI)",IF(O89=CURSOS!$D$8,"MODELO DE ATENCION PARA EVENTOS EMERGENTES EN SALUD MENTAL (CODIGO VERDE)",IF(O89=CURSOS!$D$9,"HUMANIZACION EN EL SERVICIO DE LA SALUD Y BUENAS PRACTICAS EN PACIENTE ",IF(O89=CURSOS!$D$10,"CLINICA DE HERIDAS ",IF(O89=CURSOS!$D$11,"TOMA DE CITOLOGIA CERVICO VAGINAL ",IF(O89=CURSOS!$D$12,"SOPORTE CARDIOVASCULAR AVANZADO (ACLS) ",IF(O89=CURSOS!$D$13,"CAMILLERO ",IF(O89=CURSOS!$D$14,"TOMA DE MUESTRAS Y LABORATORIO ",IF(O89=CURSOS!$D$15,"SOPORTE VITAL BASICO (BLS)",IF(O89=CURSOS!$D$16,"ATENCION A VICTIMAS DE VIOLENCIA SEXUAL ",IF(O89=CURSOS!$D$17,"PROGRAMADO AMPLIADO DE INMUNIZACION (PAI - COVID 19)",IF(O89=CURSOS!$D$18,"ATENCION INTEGRAL EN ENFERMEDADES PREVALENTES EN PRIMERA INFANCIA (AIEPI)",IF(O89=CURSOS!$D$19,"ADMINISTRACION DE MEDICAMENTOS, INYECTOLOGIA  Y CANALIZACION ",IF(O89=CURSOS!$D$20,"OPERADOR DE VEHICULOS DE EMERGENCIA (OVE)",IF(O89=CURSOS!$D$21,"INSTITUCIONES AMIGAS DE LA MUJER Y LA INFANCIA (IAMI)",IF(O89=CURSOS!$D$22,"CUIDADO DEL DONANTE DE ORGANOS",IF(O89=CURSOS!$D$23,"ATENCION A VICTIMAS POR VIOLENCIA DE GENERO",IF(O89=CURSOS!$D$24,"IGUALDAD DE GENERO EN LA SALUD",IF(O89=CURSOS!$D$25,"BRIGADA DE EMERGENCIA",IF(O89=CURSOS!$D$26,"MANEJO DEL DOLOR Y CUIDADOS PALIATIVOS",IF(O89=CURSOS!$D$27,"TOMA DE MUESTRAS Y LABORATORIO POCT",IF(O89=CURSOS!$D$28,"IMPLANTE SUBDERMICO DE DISPOSITIVO INTRAUTERINO",IF(O89=CURSOS!$D$29,"SALUD MENTAL",IF(O89=CURSOS!$D$30,"PRIMEROS AUXILIOS PSICOLOGICOS",IF(O89=CURSOS!$D$31,"ATENCION A VICTIMAS POR CONFLICTO ARMADO",IF(O89=CURSOS!$D$32,"MANIPULACION DE ALIMENTOS Y BPM",IF(O89=CURSOS!$D$33,"ATENCION A PERSONAS CON DISCAPACIDAD",IF(O89=CURSOS!$D$34,"CUIDADO INTEGRAL DEL PACIENTE ADULTO",IF(O89=CURSOS!$D$35,"MANEJO DEFENSIVO",IF(O89=CURSOS!$D$36,"SOPORTE CARDIOVASCULAR AVANZADO NEONATAL",IF(O89=CURSOS!$D$37,"SEGURIDAD DEL PACIENTE",IF(O89=CURSOS!$D$38,"MANEJO DE RESIDUOS HOSPITALARIOS"))))))))))))))))))))))))))))))))))))</f>
        <v>SOPORTE VITAL BASICO (BLS)</v>
      </c>
      <c r="V89" s="59" t="str">
        <f t="shared" si="3"/>
        <v>Paola Andréa Cuáyal Rosero</v>
      </c>
      <c r="W89" s="59" t="str">
        <f t="shared" si="4"/>
        <v>Paola Andréa Cuáyal Rosero</v>
      </c>
      <c r="X89" s="59" t="str">
        <f t="shared" si="5"/>
        <v>Paola Andréa Cuáyal Rosero-1086107680-BLS</v>
      </c>
    </row>
    <row r="90" spans="1:24" s="87" customFormat="1" x14ac:dyDescent="0.2">
      <c r="A90" s="86">
        <v>89</v>
      </c>
      <c r="B90" s="87">
        <v>1088736445</v>
      </c>
      <c r="C90" s="87" t="s">
        <v>252</v>
      </c>
      <c r="D90" s="87" t="s">
        <v>300</v>
      </c>
      <c r="E90" s="87" t="s">
        <v>301</v>
      </c>
      <c r="F90" s="87" t="s">
        <v>302</v>
      </c>
      <c r="G90" s="87">
        <v>23</v>
      </c>
      <c r="H90" s="87" t="s">
        <v>102</v>
      </c>
      <c r="I90" s="88" t="s">
        <v>108</v>
      </c>
      <c r="J90" s="102">
        <v>45590</v>
      </c>
      <c r="K90" s="103">
        <v>30000</v>
      </c>
      <c r="L90" s="92" t="s">
        <v>206</v>
      </c>
      <c r="M90" s="87" t="s">
        <v>85</v>
      </c>
      <c r="N90" s="87" t="s">
        <v>115</v>
      </c>
      <c r="O90" s="87" t="s">
        <v>41</v>
      </c>
      <c r="P90" s="88">
        <v>34420</v>
      </c>
      <c r="Q90" s="87" t="s">
        <v>96</v>
      </c>
      <c r="R90" s="87" t="s">
        <v>162</v>
      </c>
      <c r="S90" s="91">
        <v>3136741575</v>
      </c>
      <c r="T90" s="87" t="s">
        <v>303</v>
      </c>
      <c r="U90" s="87" t="str">
        <f>IF(O90=CURSOS!$D$3,"DIPLOMADO EN ATENCION PRE-HOSPITALARIA",IF(O90=CURSOS!$D$4,"ACOMPAÑAMIENTO Y MANEJO DEL DUELO",IF(O90=CURSOS!$D$5,"ATENCION A VICTIMAS DE ATAQUE CON AGENTES QUIMICOS ",IF(O90=CURSOS!$D$6,"PRIMEROS AUXILIOS ",IF(O90=CURSOS!$D$7,"DIPLOMADO DE UNIDAD DE CUIDADOS INTENSIVOS (UCI)",IF(O90=CURSOS!$D$8,"MODELO DE ATENCION PARA EVENTOS EMERGENTES EN SALUD MENTAL (CODIGO VERDE)",IF(O90=CURSOS!$D$9,"HUMANIZACION EN EL SERVICIO DE LA SALUD Y BUENAS PRACTICAS EN PACIENTE ",IF(O90=CURSOS!$D$10,"CLINICA DE HERIDAS ",IF(O90=CURSOS!$D$11,"TOMA DE CITOLOGIA CERVICO VAGINAL ",IF(O90=CURSOS!$D$12,"SOPORTE CARDIOVASCULAR AVANZADO (ACLS) ",IF(O90=CURSOS!$D$13,"CAMILLERO ",IF(O90=CURSOS!$D$14,"TOMA DE MUESTRAS Y LABORATORIO ",IF(O90=CURSOS!$D$15,"SOPORTE VITAL BASICO (BLS)",IF(O90=CURSOS!$D$16,"ATENCION A VICTIMAS DE VIOLENCIA SEXUAL ",IF(O90=CURSOS!$D$17,"PROGRAMADO AMPLIADO DE INMUNIZACION (PAI - COVID 19)",IF(O90=CURSOS!$D$18,"ATENCION INTEGRAL EN ENFERMEDADES PREVALENTES EN PRIMERA INFANCIA (AIEPI)",IF(O90=CURSOS!$D$19,"ADMINISTRACION DE MEDICAMENTOS, INYECTOLOGIA  Y CANALIZACION ",IF(O90=CURSOS!$D$20,"OPERADOR DE VEHICULOS DE EMERGENCIA (OVE)",IF(O90=CURSOS!$D$21,"INSTITUCIONES AMIGAS DE LA MUJER Y LA INFANCIA (IAMI)",IF(O90=CURSOS!$D$22,"CUIDADO DEL DONANTE DE ORGANOS",IF(O90=CURSOS!$D$23,"ATENCION A VICTIMAS POR VIOLENCIA DE GENERO",IF(O90=CURSOS!$D$24,"IGUALDAD DE GENERO EN LA SALUD",IF(O90=CURSOS!$D$25,"BRIGADA DE EMERGENCIA",IF(O90=CURSOS!$D$26,"MANEJO DEL DOLOR Y CUIDADOS PALIATIVOS",IF(O90=CURSOS!$D$27,"TOMA DE MUESTRAS Y LABORATORIO POCT",IF(O90=CURSOS!$D$28,"IMPLANTE SUBDERMICO DE DISPOSITIVO INTRAUTERINO",IF(O90=CURSOS!$D$29,"SALUD MENTAL",IF(O90=CURSOS!$D$30,"PRIMEROS AUXILIOS PSICOLOGICOS",IF(O90=CURSOS!$D$31,"ATENCION A VICTIMAS POR CONFLICTO ARMADO",IF(O90=CURSOS!$D$32,"MANIPULACION DE ALIMENTOS Y BPM",IF(O90=CURSOS!$D$33,"ATENCION A PERSONAS CON DISCAPACIDAD",IF(O90=CURSOS!$D$34,"CUIDADO INTEGRAL DEL PACIENTE ADULTO",IF(O90=CURSOS!$D$35,"MANEJO DEFENSIVO",IF(O90=CURSOS!$D$36,"SOPORTE CARDIOVASCULAR AVANZADO NEONATAL",IF(O90=CURSOS!$D$37,"SEGURIDAD DEL PACIENTE",IF(O90=CURSOS!$D$38,"MANEJO DE RESIDUOS HOSPITALARIOS"))))))))))))))))))))))))))))))))))))</f>
        <v xml:space="preserve">TOMA DE MUESTRAS Y LABORATORIO </v>
      </c>
      <c r="V90" s="87" t="str">
        <f t="shared" si="3"/>
        <v>Elisa Jimena Andrade Mora</v>
      </c>
      <c r="W90" s="87" t="str">
        <f t="shared" si="4"/>
        <v>Elisa Jimena Andrade Mora</v>
      </c>
      <c r="X90" s="87" t="str">
        <f t="shared" si="5"/>
        <v>Elisa Jimena Andrade Mora-1088736445-TOMA DE MUESTRAS</v>
      </c>
    </row>
    <row r="91" spans="1:24" s="49" customFormat="1" x14ac:dyDescent="0.2">
      <c r="A91" s="55">
        <v>90</v>
      </c>
      <c r="B91" s="50">
        <v>1085338527</v>
      </c>
      <c r="C91" s="50" t="s">
        <v>184</v>
      </c>
      <c r="D91" s="50" t="s">
        <v>304</v>
      </c>
      <c r="E91" s="50" t="s">
        <v>305</v>
      </c>
      <c r="F91" s="50" t="s">
        <v>306</v>
      </c>
      <c r="G91" s="50">
        <v>19</v>
      </c>
      <c r="H91" s="50" t="s">
        <v>102</v>
      </c>
      <c r="I91" s="52" t="s">
        <v>108</v>
      </c>
      <c r="J91" s="56">
        <v>45588</v>
      </c>
      <c r="K91" s="60">
        <v>40000</v>
      </c>
      <c r="L91" s="50" t="s">
        <v>149</v>
      </c>
      <c r="M91" s="50" t="s">
        <v>85</v>
      </c>
      <c r="N91" s="50" t="s">
        <v>103</v>
      </c>
      <c r="O91" s="50" t="s">
        <v>33</v>
      </c>
      <c r="P91" s="52">
        <v>35795</v>
      </c>
      <c r="Q91" s="50" t="s">
        <v>97</v>
      </c>
      <c r="R91" s="50" t="s">
        <v>116</v>
      </c>
      <c r="S91" s="81">
        <v>3146417883</v>
      </c>
      <c r="T91" s="50" t="s">
        <v>307</v>
      </c>
      <c r="U91" s="59" t="str">
        <f>IF(O91=CURSOS!$D$3,"DIPLOMADO EN ATENCION PRE-HOSPITALARIA",IF(O91=CURSOS!$D$4,"ACOMPAÑAMIENTO Y MANEJO DEL DUELO",IF(O91=CURSOS!$D$5,"ATENCION A VICTIMAS DE ATAQUE CON AGENTES QUIMICOS ",IF(O91=CURSOS!$D$6,"PRIMEROS AUXILIOS ",IF(O91=CURSOS!$D$7,"DIPLOMADO DE UNIDAD DE CUIDADOS INTENSIVOS (UCI)",IF(O91=CURSOS!$D$8,"MODELO DE ATENCION PARA EVENTOS EMERGENTES EN SALUD MENTAL (CODIGO VERDE)",IF(O91=CURSOS!$D$9,"HUMANIZACION EN EL SERVICIO DE LA SALUD Y BUENAS PRACTICAS EN PACIENTE ",IF(O91=CURSOS!$D$10,"CLINICA DE HERIDAS ",IF(O91=CURSOS!$D$11,"TOMA DE CITOLOGIA CERVICO VAGINAL ",IF(O91=CURSOS!$D$12,"SOPORTE CARDIOVASCULAR AVANZADO (ACLS) ",IF(O91=CURSOS!$D$13,"CAMILLERO ",IF(O91=CURSOS!$D$14,"TOMA DE MUESTRAS Y LABORATORIO ",IF(O91=CURSOS!$D$15,"SOPORTE VITAL BASICO (BLS)",IF(O91=CURSOS!$D$16,"ATENCION A VICTIMAS DE VIOLENCIA SEXUAL ",IF(O91=CURSOS!$D$17,"PROGRAMADO AMPLIADO DE INMUNIZACION (PAI - COVID 19)",IF(O91=CURSOS!$D$18,"ATENCION INTEGRAL EN ENFERMEDADES PREVALENTES EN PRIMERA INFANCIA (AIEPI)",IF(O91=CURSOS!$D$19,"ADMINISTRACION DE MEDICAMENTOS, INYECTOLOGIA  Y CANALIZACION ",IF(O91=CURSOS!$D$20,"OPERADOR DE VEHICULOS DE EMERGENCIA (OVE)",IF(O91=CURSOS!$D$21,"INSTITUCIONES AMIGAS DE LA MUJER Y LA INFANCIA (IAMI)",IF(O91=CURSOS!$D$22,"CUIDADO DEL DONANTE DE ORGANOS",IF(O91=CURSOS!$D$23,"ATENCION A VICTIMAS POR VIOLENCIA DE GENERO",IF(O91=CURSOS!$D$24,"IGUALDAD DE GENERO EN LA SALUD",IF(O91=CURSOS!$D$25,"BRIGADA DE EMERGENCIA",IF(O91=CURSOS!$D$26,"MANEJO DEL DOLOR Y CUIDADOS PALIATIVOS",IF(O91=CURSOS!$D$27,"TOMA DE MUESTRAS Y LABORATORIO POCT",IF(O91=CURSOS!$D$28,"IMPLANTE SUBDERMICO DE DISPOSITIVO INTRAUTERINO",IF(O91=CURSOS!$D$29,"SALUD MENTAL",IF(O91=CURSOS!$D$30,"PRIMEROS AUXILIOS PSICOLOGICOS",IF(O91=CURSOS!$D$31,"ATENCION A VICTIMAS POR CONFLICTO ARMADO",IF(O91=CURSOS!$D$32,"MANIPULACION DE ALIMENTOS Y BPM",IF(O91=CURSOS!$D$33,"ATENCION A PERSONAS CON DISCAPACIDAD",IF(O91=CURSOS!$D$34,"CUIDADO INTEGRAL DEL PACIENTE ADULTO",IF(O91=CURSOS!$D$35,"MANEJO DEFENSIVO",IF(O91=CURSOS!$D$36,"SOPORTE CARDIOVASCULAR AVANZADO NEONATAL",IF(O91=CURSOS!$D$37,"SEGURIDAD DEL PACIENTE",IF(O91=CURSOS!$D$38,"MANEJO DE RESIDUOS HOSPITALARIOS"))))))))))))))))))))))))))))))))))))</f>
        <v xml:space="preserve">HUMANIZACION EN EL SERVICIO DE LA SALUD Y BUENAS PRACTICAS EN PACIENTE </v>
      </c>
      <c r="V91" s="59" t="str">
        <f t="shared" si="3"/>
        <v>Steven Rodrigo Ortiz Meneses</v>
      </c>
      <c r="W91" s="59" t="str">
        <f t="shared" si="4"/>
        <v>Steven Rodrigo Ortiz Meneses</v>
      </c>
      <c r="X91" s="59" t="str">
        <f t="shared" si="5"/>
        <v>Steven Rodrigo Ortiz Meneses-1085338527-HUMANIZACION</v>
      </c>
    </row>
    <row r="92" spans="1:24" s="49" customFormat="1" x14ac:dyDescent="0.2">
      <c r="A92" s="55">
        <v>91</v>
      </c>
      <c r="B92" s="50">
        <v>1085336189</v>
      </c>
      <c r="C92" s="50" t="s">
        <v>218</v>
      </c>
      <c r="D92" s="50" t="s">
        <v>160</v>
      </c>
      <c r="E92" s="50" t="s">
        <v>219</v>
      </c>
      <c r="F92" s="50" t="s">
        <v>220</v>
      </c>
      <c r="G92" s="50">
        <v>23</v>
      </c>
      <c r="H92" s="50" t="s">
        <v>102</v>
      </c>
      <c r="I92" s="52" t="s">
        <v>108</v>
      </c>
      <c r="J92" s="56"/>
      <c r="K92" s="60"/>
      <c r="L92" s="50"/>
      <c r="M92" s="50" t="s">
        <v>85</v>
      </c>
      <c r="N92" s="51" t="s">
        <v>215</v>
      </c>
      <c r="O92" s="50" t="s">
        <v>19</v>
      </c>
      <c r="P92" s="52">
        <v>35658</v>
      </c>
      <c r="Q92" s="50" t="s">
        <v>96</v>
      </c>
      <c r="R92" s="50" t="s">
        <v>221</v>
      </c>
      <c r="S92" s="81">
        <v>3108205079</v>
      </c>
      <c r="T92" s="58" t="s">
        <v>222</v>
      </c>
      <c r="U92" s="59" t="str">
        <f>IF(O92=CURSOS!$D$3,"DIPLOMADO EN ATENCION PRE-HOSPITALARIA",IF(O92=CURSOS!$D$4,"ACOMPAÑAMIENTO Y MANEJO DEL DUELO",IF(O92=CURSOS!$D$5,"ATENCION A VICTIMAS DE ATAQUE CON AGENTES QUIMICOS ",IF(O92=CURSOS!$D$6,"PRIMEROS AUXILIOS ",IF(O92=CURSOS!$D$7,"DIPLOMADO DE UNIDAD DE CUIDADOS INTENSIVOS (UCI)",IF(O92=CURSOS!$D$8,"MODELO DE ATENCION PARA EVENTOS EMERGENTES EN SALUD MENTAL (CODIGO VERDE)",IF(O92=CURSOS!$D$9,"HUMANIZACION EN EL SERVICIO DE LA SALUD Y BUENAS PRACTICAS EN PACIENTE ",IF(O92=CURSOS!$D$10,"CLINICA DE HERIDAS ",IF(O92=CURSOS!$D$11,"TOMA DE CITOLOGIA CERVICO VAGINAL ",IF(O92=CURSOS!$D$12,"SOPORTE CARDIOVASCULAR AVANZADO (ACLS) ",IF(O92=CURSOS!$D$13,"CAMILLERO ",IF(O92=CURSOS!$D$14,"TOMA DE MUESTRAS Y LABORATORIO ",IF(O92=CURSOS!$D$15,"SOPORTE VITAL BASICO (BLS)",IF(O92=CURSOS!$D$16,"ATENCION A VICTIMAS DE VIOLENCIA SEXUAL ",IF(O92=CURSOS!$D$17,"PROGRAMADO AMPLIADO DE INMUNIZACION (PAI - COVID 19)",IF(O92=CURSOS!$D$18,"ATENCION INTEGRAL EN ENFERMEDADES PREVALENTES EN PRIMERA INFANCIA (AIEPI)",IF(O92=CURSOS!$D$19,"ADMINISTRACION DE MEDICAMENTOS, INYECTOLOGIA  Y CANALIZACION ",IF(O92=CURSOS!$D$20,"OPERADOR DE VEHICULOS DE EMERGENCIA (OVE)",IF(O92=CURSOS!$D$21,"INSTITUCIONES AMIGAS DE LA MUJER Y LA INFANCIA (IAMI)",IF(O92=CURSOS!$D$22,"CUIDADO DEL DONANTE DE ORGANOS",IF(O92=CURSOS!$D$23,"ATENCION A VICTIMAS POR VIOLENCIA DE GENERO",IF(O92=CURSOS!$D$24,"IGUALDAD DE GENERO EN LA SALUD",IF(O92=CURSOS!$D$25,"BRIGADA DE EMERGENCIA",IF(O92=CURSOS!$D$26,"MANEJO DEL DOLOR Y CUIDADOS PALIATIVOS",IF(O92=CURSOS!$D$27,"TOMA DE MUESTRAS Y LABORATORIO POCT",IF(O92=CURSOS!$D$28,"IMPLANTE SUBDERMICO DE DISPOSITIVO INTRAUTERINO",IF(O92=CURSOS!$D$29,"SALUD MENTAL",IF(O92=CURSOS!$D$30,"PRIMEROS AUXILIOS PSICOLOGICOS",IF(O92=CURSOS!$D$31,"ATENCION A VICTIMAS POR CONFLICTO ARMADO",IF(O92=CURSOS!$D$32,"MANIPULACION DE ALIMENTOS Y BPM",IF(O92=CURSOS!$D$33,"ATENCION A PERSONAS CON DISCAPACIDAD",IF(O92=CURSOS!$D$34,"CUIDADO INTEGRAL DEL PACIENTE ADULTO",IF(O92=CURSOS!$D$35,"MANEJO DEFENSIVO",IF(O92=CURSOS!$D$36,"SOPORTE CARDIOVASCULAR AVANZADO NEONATAL",IF(O92=CURSOS!$D$37,"SEGURIDAD DEL PACIENTE",IF(O92=CURSOS!$D$38,"MANEJO DE RESIDUOS HOSPITALARIOS"))))))))))))))))))))))))))))))))))))</f>
        <v>SOPORTE VITAL BASICO (BLS)</v>
      </c>
      <c r="V92" s="59" t="str">
        <f t="shared" si="3"/>
        <v>Tita Alejandra Termal Obando</v>
      </c>
      <c r="W92" s="59" t="str">
        <f t="shared" si="4"/>
        <v>Tita Alejandra Termal Obando</v>
      </c>
      <c r="X92" s="59" t="str">
        <f t="shared" si="5"/>
        <v>Tita Alejandra Termal Obando-1085336189-BLS</v>
      </c>
    </row>
    <row r="93" spans="1:24" s="49" customFormat="1" x14ac:dyDescent="0.2">
      <c r="A93" s="55">
        <v>92</v>
      </c>
      <c r="B93" s="50">
        <v>1085253400</v>
      </c>
      <c r="C93" s="50" t="s">
        <v>308</v>
      </c>
      <c r="D93" s="50" t="s">
        <v>309</v>
      </c>
      <c r="E93" s="50" t="s">
        <v>310</v>
      </c>
      <c r="F93" s="50"/>
      <c r="G93" s="50">
        <v>24</v>
      </c>
      <c r="H93" s="50" t="s">
        <v>102</v>
      </c>
      <c r="I93" s="52" t="s">
        <v>108</v>
      </c>
      <c r="J93" s="56">
        <v>45589</v>
      </c>
      <c r="K93" s="60">
        <v>40000</v>
      </c>
      <c r="L93" s="50" t="s">
        <v>149</v>
      </c>
      <c r="M93" s="50" t="s">
        <v>85</v>
      </c>
      <c r="N93" s="51" t="s">
        <v>103</v>
      </c>
      <c r="O93" s="50" t="s">
        <v>43</v>
      </c>
      <c r="P93" s="50"/>
      <c r="Q93" s="50" t="s">
        <v>96</v>
      </c>
      <c r="R93" s="50" t="s">
        <v>116</v>
      </c>
      <c r="S93" s="58">
        <v>3186689742</v>
      </c>
      <c r="T93" s="50" t="s">
        <v>311</v>
      </c>
      <c r="U93" s="59" t="str">
        <f>IF(O93=CURSOS!$D$3,"DIPLOMADO EN ATENCION PRE-HOSPITALARIA",IF(O93=CURSOS!$D$4,"ACOMPAÑAMIENTO Y MANEJO DEL DUELO",IF(O93=CURSOS!$D$5,"ATENCION A VICTIMAS DE ATAQUE CON AGENTES QUIMICOS ",IF(O93=CURSOS!$D$6,"PRIMEROS AUXILIOS ",IF(O93=CURSOS!$D$7,"DIPLOMADO DE UNIDAD DE CUIDADOS INTENSIVOS (UCI)",IF(O93=CURSOS!$D$8,"MODELO DE ATENCION PARA EVENTOS EMERGENTES EN SALUD MENTAL (CODIGO VERDE)",IF(O93=CURSOS!$D$9,"HUMANIZACION EN EL SERVICIO DE LA SALUD Y BUENAS PRACTICAS EN PACIENTE ",IF(O93=CURSOS!$D$10,"CLINICA DE HERIDAS ",IF(O93=CURSOS!$D$11,"TOMA DE CITOLOGIA CERVICO VAGINAL ",IF(O93=CURSOS!$D$12,"SOPORTE CARDIOVASCULAR AVANZADO (ACLS) ",IF(O93=CURSOS!$D$13,"CAMILLERO ",IF(O93=CURSOS!$D$14,"TOMA DE MUESTRAS Y LABORATORIO ",IF(O93=CURSOS!$D$15,"SOPORTE VITAL BASICO (BLS)",IF(O93=CURSOS!$D$16,"ATENCION A VICTIMAS DE VIOLENCIA SEXUAL ",IF(O93=CURSOS!$D$17,"PROGRAMADO AMPLIADO DE INMUNIZACION (PAI - COVID 19)",IF(O93=CURSOS!$D$18,"ATENCION INTEGRAL EN ENFERMEDADES PREVALENTES EN PRIMERA INFANCIA (AIEPI)",IF(O93=CURSOS!$D$19,"ADMINISTRACION DE MEDICAMENTOS, INYECTOLOGIA  Y CANALIZACION ",IF(O93=CURSOS!$D$20,"OPERADOR DE VEHICULOS DE EMERGENCIA (OVE)",IF(O93=CURSOS!$D$21,"INSTITUCIONES AMIGAS DE LA MUJER Y LA INFANCIA (IAMI)",IF(O93=CURSOS!$D$22,"CUIDADO DEL DONANTE DE ORGANOS",IF(O93=CURSOS!$D$23,"ATENCION A VICTIMAS POR VIOLENCIA DE GENERO",IF(O93=CURSOS!$D$24,"IGUALDAD DE GENERO EN LA SALUD",IF(O93=CURSOS!$D$25,"BRIGADA DE EMERGENCIA",IF(O93=CURSOS!$D$26,"MANEJO DEL DOLOR Y CUIDADOS PALIATIVOS",IF(O93=CURSOS!$D$27,"TOMA DE MUESTRAS Y LABORATORIO POCT",IF(O93=CURSOS!$D$28,"IMPLANTE SUBDERMICO DE DISPOSITIVO INTRAUTERINO",IF(O93=CURSOS!$D$29,"SALUD MENTAL",IF(O93=CURSOS!$D$30,"PRIMEROS AUXILIOS PSICOLOGICOS",IF(O93=CURSOS!$D$31,"ATENCION A VICTIMAS POR CONFLICTO ARMADO",IF(O93=CURSOS!$D$32,"MANIPULACION DE ALIMENTOS Y BPM",IF(O93=CURSOS!$D$33,"ATENCION A PERSONAS CON DISCAPACIDAD",IF(O93=CURSOS!$D$34,"CUIDADO INTEGRAL DEL PACIENTE ADULTO",IF(O93=CURSOS!$D$35,"MANEJO DEFENSIVO",IF(O93=CURSOS!$D$36,"SOPORTE CARDIOVASCULAR AVANZADO NEONATAL",IF(O93=CURSOS!$D$37,"SEGURIDAD DEL PACIENTE",IF(O93=CURSOS!$D$38,"MANEJO DE RESIDUOS HOSPITALARIOS"))))))))))))))))))))))))))))))))))))</f>
        <v xml:space="preserve">ATENCION A VICTIMAS DE VIOLENCIA SEXUAL </v>
      </c>
      <c r="V93" s="59" t="str">
        <f t="shared" si="3"/>
        <v>Liliana  Vitery Patiño</v>
      </c>
      <c r="W93" s="59" t="str">
        <f t="shared" si="4"/>
        <v>Liliana  Vitery Patiño</v>
      </c>
      <c r="X93" s="59" t="str">
        <f t="shared" si="5"/>
        <v>Liliana  Vitery Patiño-1085253400-VIOLENCIA SEXUAL</v>
      </c>
    </row>
    <row r="94" spans="1:24" s="49" customFormat="1" x14ac:dyDescent="0.2">
      <c r="A94" s="55">
        <v>93</v>
      </c>
      <c r="B94" s="50">
        <v>1085311607</v>
      </c>
      <c r="C94" s="50" t="s">
        <v>312</v>
      </c>
      <c r="D94" s="50" t="s">
        <v>313</v>
      </c>
      <c r="E94" s="50" t="s">
        <v>314</v>
      </c>
      <c r="F94" s="50" t="s">
        <v>315</v>
      </c>
      <c r="G94" s="50">
        <v>25</v>
      </c>
      <c r="H94" s="50" t="s">
        <v>102</v>
      </c>
      <c r="I94" s="52" t="s">
        <v>108</v>
      </c>
      <c r="J94" s="56">
        <v>45590</v>
      </c>
      <c r="K94" s="60">
        <v>40000</v>
      </c>
      <c r="L94" s="50" t="s">
        <v>149</v>
      </c>
      <c r="M94" s="50" t="s">
        <v>85</v>
      </c>
      <c r="N94" s="51" t="s">
        <v>103</v>
      </c>
      <c r="O94" s="50" t="s">
        <v>19</v>
      </c>
      <c r="P94" s="52">
        <v>34349</v>
      </c>
      <c r="Q94" s="50" t="s">
        <v>96</v>
      </c>
      <c r="R94" s="50" t="s">
        <v>170</v>
      </c>
      <c r="S94" s="50">
        <v>3205586349</v>
      </c>
      <c r="T94" s="50" t="s">
        <v>316</v>
      </c>
      <c r="U94" s="59" t="str">
        <f>IF(O94=CURSOS!$D$3,"DIPLOMADO EN ATENCION PRE-HOSPITALARIA",IF(O94=CURSOS!$D$4,"ACOMPAÑAMIENTO Y MANEJO DEL DUELO",IF(O94=CURSOS!$D$5,"ATENCION A VICTIMAS DE ATAQUE CON AGENTES QUIMICOS ",IF(O94=CURSOS!$D$6,"PRIMEROS AUXILIOS ",IF(O94=CURSOS!$D$7,"DIPLOMADO DE UNIDAD DE CUIDADOS INTENSIVOS (UCI)",IF(O94=CURSOS!$D$8,"MODELO DE ATENCION PARA EVENTOS EMERGENTES EN SALUD MENTAL (CODIGO VERDE)",IF(O94=CURSOS!$D$9,"HUMANIZACION EN EL SERVICIO DE LA SALUD Y BUENAS PRACTICAS EN PACIENTE ",IF(O94=CURSOS!$D$10,"CLINICA DE HERIDAS ",IF(O94=CURSOS!$D$11,"TOMA DE CITOLOGIA CERVICO VAGINAL ",IF(O94=CURSOS!$D$12,"SOPORTE CARDIOVASCULAR AVANZADO (ACLS) ",IF(O94=CURSOS!$D$13,"CAMILLERO ",IF(O94=CURSOS!$D$14,"TOMA DE MUESTRAS Y LABORATORIO ",IF(O94=CURSOS!$D$15,"SOPORTE VITAL BASICO (BLS)",IF(O94=CURSOS!$D$16,"ATENCION A VICTIMAS DE VIOLENCIA SEXUAL ",IF(O94=CURSOS!$D$17,"PROGRAMADO AMPLIADO DE INMUNIZACION (PAI - COVID 19)",IF(O94=CURSOS!$D$18,"ATENCION INTEGRAL EN ENFERMEDADES PREVALENTES EN PRIMERA INFANCIA (AIEPI)",IF(O94=CURSOS!$D$19,"ADMINISTRACION DE MEDICAMENTOS, INYECTOLOGIA  Y CANALIZACION ",IF(O94=CURSOS!$D$20,"OPERADOR DE VEHICULOS DE EMERGENCIA (OVE)",IF(O94=CURSOS!$D$21,"INSTITUCIONES AMIGAS DE LA MUJER Y LA INFANCIA (IAMI)",IF(O94=CURSOS!$D$22,"CUIDADO DEL DONANTE DE ORGANOS",IF(O94=CURSOS!$D$23,"ATENCION A VICTIMAS POR VIOLENCIA DE GENERO",IF(O94=CURSOS!$D$24,"IGUALDAD DE GENERO EN LA SALUD",IF(O94=CURSOS!$D$25,"BRIGADA DE EMERGENCIA",IF(O94=CURSOS!$D$26,"MANEJO DEL DOLOR Y CUIDADOS PALIATIVOS",IF(O94=CURSOS!$D$27,"TOMA DE MUESTRAS Y LABORATORIO POCT",IF(O94=CURSOS!$D$28,"IMPLANTE SUBDERMICO DE DISPOSITIVO INTRAUTERINO",IF(O94=CURSOS!$D$29,"SALUD MENTAL",IF(O94=CURSOS!$D$30,"PRIMEROS AUXILIOS PSICOLOGICOS",IF(O94=CURSOS!$D$31,"ATENCION A VICTIMAS POR CONFLICTO ARMADO",IF(O94=CURSOS!$D$32,"MANIPULACION DE ALIMENTOS Y BPM",IF(O94=CURSOS!$D$33,"ATENCION A PERSONAS CON DISCAPACIDAD",IF(O94=CURSOS!$D$34,"CUIDADO INTEGRAL DEL PACIENTE ADULTO",IF(O94=CURSOS!$D$35,"MANEJO DEFENSIVO",IF(O94=CURSOS!$D$36,"SOPORTE CARDIOVASCULAR AVANZADO NEONATAL",IF(O94=CURSOS!$D$37,"SEGURIDAD DEL PACIENTE",IF(O94=CURSOS!$D$38,"MANEJO DE RESIDUOS HOSPITALARIOS"))))))))))))))))))))))))))))))))))))</f>
        <v>SOPORTE VITAL BASICO (BLS)</v>
      </c>
      <c r="V94" s="59" t="str">
        <f t="shared" si="3"/>
        <v>Gabriela Susana Portillo Muñoz</v>
      </c>
      <c r="W94" s="59" t="str">
        <f t="shared" si="4"/>
        <v>Gabriela Susana Portillo Muñoz</v>
      </c>
      <c r="X94" s="59" t="str">
        <f t="shared" si="5"/>
        <v>Gabriela Susana Portillo Muñoz-1085311607-BLS</v>
      </c>
    </row>
    <row r="95" spans="1:24" s="87" customFormat="1" x14ac:dyDescent="0.2">
      <c r="A95" s="86">
        <v>94</v>
      </c>
      <c r="B95" s="87">
        <v>1088736947</v>
      </c>
      <c r="C95" s="87" t="s">
        <v>317</v>
      </c>
      <c r="D95" s="87" t="s">
        <v>318</v>
      </c>
      <c r="E95" s="87" t="s">
        <v>319</v>
      </c>
      <c r="F95" s="87" t="s">
        <v>124</v>
      </c>
      <c r="G95" s="87">
        <v>25</v>
      </c>
      <c r="H95" s="87" t="s">
        <v>102</v>
      </c>
      <c r="I95" s="88" t="s">
        <v>108</v>
      </c>
      <c r="J95" s="89">
        <v>45590</v>
      </c>
      <c r="K95" s="93">
        <v>32000</v>
      </c>
      <c r="L95" s="87" t="s">
        <v>206</v>
      </c>
      <c r="M95" s="87" t="s">
        <v>85</v>
      </c>
      <c r="N95" s="104" t="s">
        <v>115</v>
      </c>
      <c r="O95" s="100" t="s">
        <v>43</v>
      </c>
      <c r="P95" s="88">
        <v>34692</v>
      </c>
      <c r="Q95" s="88" t="s">
        <v>96</v>
      </c>
      <c r="R95" s="100" t="s">
        <v>116</v>
      </c>
      <c r="S95" s="91">
        <v>3103673822</v>
      </c>
      <c r="T95" s="87" t="s">
        <v>320</v>
      </c>
      <c r="U95" s="87" t="str">
        <f>IF(O95=CURSOS!$D$3,"DIPLOMADO EN ATENCION PRE-HOSPITALARIA",IF(O95=CURSOS!$D$4,"ACOMPAÑAMIENTO Y MANEJO DEL DUELO",IF(O95=CURSOS!$D$5,"ATENCION A VICTIMAS DE ATAQUE CON AGENTES QUIMICOS ",IF(O95=CURSOS!$D$6,"PRIMEROS AUXILIOS ",IF(O95=CURSOS!$D$7,"DIPLOMADO DE UNIDAD DE CUIDADOS INTENSIVOS (UCI)",IF(O95=CURSOS!$D$8,"MODELO DE ATENCION PARA EVENTOS EMERGENTES EN SALUD MENTAL (CODIGO VERDE)",IF(O95=CURSOS!$D$9,"HUMANIZACION EN EL SERVICIO DE LA SALUD Y BUENAS PRACTICAS EN PACIENTE ",IF(O95=CURSOS!$D$10,"CLINICA DE HERIDAS ",IF(O95=CURSOS!$D$11,"TOMA DE CITOLOGIA CERVICO VAGINAL ",IF(O95=CURSOS!$D$12,"SOPORTE CARDIOVASCULAR AVANZADO (ACLS) ",IF(O95=CURSOS!$D$13,"CAMILLERO ",IF(O95=CURSOS!$D$14,"TOMA DE MUESTRAS Y LABORATORIO ",IF(O95=CURSOS!$D$15,"SOPORTE VITAL BASICO (BLS)",IF(O95=CURSOS!$D$16,"ATENCION A VICTIMAS DE VIOLENCIA SEXUAL ",IF(O95=CURSOS!$D$17,"PROGRAMADO AMPLIADO DE INMUNIZACION (PAI - COVID 19)",IF(O95=CURSOS!$D$18,"ATENCION INTEGRAL EN ENFERMEDADES PREVALENTES EN PRIMERA INFANCIA (AIEPI)",IF(O95=CURSOS!$D$19,"ADMINISTRACION DE MEDICAMENTOS, INYECTOLOGIA  Y CANALIZACION ",IF(O95=CURSOS!$D$20,"OPERADOR DE VEHICULOS DE EMERGENCIA (OVE)",IF(O95=CURSOS!$D$21,"INSTITUCIONES AMIGAS DE LA MUJER Y LA INFANCIA (IAMI)",IF(O95=CURSOS!$D$22,"CUIDADO DEL DONANTE DE ORGANOS",IF(O95=CURSOS!$D$23,"ATENCION A VICTIMAS POR VIOLENCIA DE GENERO",IF(O95=CURSOS!$D$24,"IGUALDAD DE GENERO EN LA SALUD",IF(O95=CURSOS!$D$25,"BRIGADA DE EMERGENCIA",IF(O95=CURSOS!$D$26,"MANEJO DEL DOLOR Y CUIDADOS PALIATIVOS",IF(O95=CURSOS!$D$27,"TOMA DE MUESTRAS Y LABORATORIO POCT",IF(O95=CURSOS!$D$28,"IMPLANTE SUBDERMICO DE DISPOSITIVO INTRAUTERINO",IF(O95=CURSOS!$D$29,"SALUD MENTAL",IF(O95=CURSOS!$D$30,"PRIMEROS AUXILIOS PSICOLOGICOS",IF(O95=CURSOS!$D$31,"ATENCION A VICTIMAS POR CONFLICTO ARMADO",IF(O95=CURSOS!$D$32,"MANIPULACION DE ALIMENTOS Y BPM",IF(O95=CURSOS!$D$33,"ATENCION A PERSONAS CON DISCAPACIDAD",IF(O95=CURSOS!$D$34,"CUIDADO INTEGRAL DEL PACIENTE ADULTO",IF(O95=CURSOS!$D$35,"MANEJO DEFENSIVO",IF(O95=CURSOS!$D$36,"SOPORTE CARDIOVASCULAR AVANZADO NEONATAL",IF(O95=CURSOS!$D$37,"SEGURIDAD DEL PACIENTE",IF(O95=CURSOS!$D$38,"MANEJO DE RESIDUOS HOSPITALARIOS"))))))))))))))))))))))))))))))))))))</f>
        <v xml:space="preserve">ATENCION A VICTIMAS DE VIOLENCIA SEXUAL </v>
      </c>
      <c r="V95" s="87" t="str">
        <f t="shared" si="3"/>
        <v>Yurany Natalia Rodríguez Vaca</v>
      </c>
      <c r="W95" s="87" t="str">
        <f t="shared" si="4"/>
        <v>Yurany Natalia Rodríguez Vaca</v>
      </c>
      <c r="X95" s="87" t="str">
        <f t="shared" si="5"/>
        <v>Yurany Natalia Rodríguez Vaca-1088736947-VIOLENCIA SEXUAL</v>
      </c>
    </row>
    <row r="96" spans="1:24" s="87" customFormat="1" x14ac:dyDescent="0.2">
      <c r="A96" s="86">
        <v>95</v>
      </c>
      <c r="B96" s="87">
        <v>1088736947</v>
      </c>
      <c r="C96" s="87" t="s">
        <v>317</v>
      </c>
      <c r="D96" s="87" t="s">
        <v>318</v>
      </c>
      <c r="E96" s="87" t="s">
        <v>319</v>
      </c>
      <c r="F96" s="87" t="s">
        <v>124</v>
      </c>
      <c r="G96" s="87">
        <v>25</v>
      </c>
      <c r="H96" s="87" t="s">
        <v>102</v>
      </c>
      <c r="I96" s="88" t="s">
        <v>108</v>
      </c>
      <c r="J96" s="89">
        <v>45590</v>
      </c>
      <c r="K96" s="93">
        <v>32000</v>
      </c>
      <c r="L96" s="87" t="s">
        <v>206</v>
      </c>
      <c r="M96" s="87" t="s">
        <v>85</v>
      </c>
      <c r="N96" s="104" t="s">
        <v>115</v>
      </c>
      <c r="O96" s="100" t="s">
        <v>25</v>
      </c>
      <c r="P96" s="88">
        <v>34692</v>
      </c>
      <c r="Q96" s="88" t="s">
        <v>96</v>
      </c>
      <c r="R96" s="100" t="s">
        <v>116</v>
      </c>
      <c r="S96" s="91">
        <v>3103673822</v>
      </c>
      <c r="T96" s="87" t="s">
        <v>320</v>
      </c>
      <c r="U96" s="87" t="str">
        <f>IF(O96=CURSOS!$D$3,"DIPLOMADO EN ATENCION PRE-HOSPITALARIA",IF(O96=CURSOS!$D$4,"ACOMPAÑAMIENTO Y MANEJO DEL DUELO",IF(O96=CURSOS!$D$5,"ATENCION A VICTIMAS DE ATAQUE CON AGENTES QUIMICOS ",IF(O96=CURSOS!$D$6,"PRIMEROS AUXILIOS ",IF(O96=CURSOS!$D$7,"DIPLOMADO DE UNIDAD DE CUIDADOS INTENSIVOS (UCI)",IF(O96=CURSOS!$D$8,"MODELO DE ATENCION PARA EVENTOS EMERGENTES EN SALUD MENTAL (CODIGO VERDE)",IF(O96=CURSOS!$D$9,"HUMANIZACION EN EL SERVICIO DE LA SALUD Y BUENAS PRACTICAS EN PACIENTE ",IF(O96=CURSOS!$D$10,"CLINICA DE HERIDAS ",IF(O96=CURSOS!$D$11,"TOMA DE CITOLOGIA CERVICO VAGINAL ",IF(O96=CURSOS!$D$12,"SOPORTE CARDIOVASCULAR AVANZADO (ACLS) ",IF(O96=CURSOS!$D$13,"CAMILLERO ",IF(O96=CURSOS!$D$14,"TOMA DE MUESTRAS Y LABORATORIO ",IF(O96=CURSOS!$D$15,"SOPORTE VITAL BASICO (BLS)",IF(O96=CURSOS!$D$16,"ATENCION A VICTIMAS DE VIOLENCIA SEXUAL ",IF(O96=CURSOS!$D$17,"PROGRAMADO AMPLIADO DE INMUNIZACION (PAI - COVID 19)",IF(O96=CURSOS!$D$18,"ATENCION INTEGRAL EN ENFERMEDADES PREVALENTES EN PRIMERA INFANCIA (AIEPI)",IF(O96=CURSOS!$D$19,"ADMINISTRACION DE MEDICAMENTOS, INYECTOLOGIA  Y CANALIZACION ",IF(O96=CURSOS!$D$20,"OPERADOR DE VEHICULOS DE EMERGENCIA (OVE)",IF(O96=CURSOS!$D$21,"INSTITUCIONES AMIGAS DE LA MUJER Y LA INFANCIA (IAMI)",IF(O96=CURSOS!$D$22,"CUIDADO DEL DONANTE DE ORGANOS",IF(O96=CURSOS!$D$23,"ATENCION A VICTIMAS POR VIOLENCIA DE GENERO",IF(O96=CURSOS!$D$24,"IGUALDAD DE GENERO EN LA SALUD",IF(O96=CURSOS!$D$25,"BRIGADA DE EMERGENCIA",IF(O96=CURSOS!$D$26,"MANEJO DEL DOLOR Y CUIDADOS PALIATIVOS",IF(O96=CURSOS!$D$27,"TOMA DE MUESTRAS Y LABORATORIO POCT",IF(O96=CURSOS!$D$28,"IMPLANTE SUBDERMICO DE DISPOSITIVO INTRAUTERINO",IF(O96=CURSOS!$D$29,"SALUD MENTAL",IF(O96=CURSOS!$D$30,"PRIMEROS AUXILIOS PSICOLOGICOS",IF(O96=CURSOS!$D$31,"ATENCION A VICTIMAS POR CONFLICTO ARMADO",IF(O96=CURSOS!$D$32,"MANIPULACION DE ALIMENTOS Y BPM",IF(O96=CURSOS!$D$33,"ATENCION A PERSONAS CON DISCAPACIDAD",IF(O96=CURSOS!$D$34,"CUIDADO INTEGRAL DEL PACIENTE ADULTO",IF(O96=CURSOS!$D$35,"MANEJO DEFENSIVO",IF(O96=CURSOS!$D$36,"SOPORTE CARDIOVASCULAR AVANZADO NEONATAL",IF(O96=CURSOS!$D$37,"SEGURIDAD DEL PACIENTE",IF(O96=CURSOS!$D$38,"MANEJO DE RESIDUOS HOSPITALARIOS"))))))))))))))))))))))))))))))))))))</f>
        <v xml:space="preserve">ATENCION A VICTIMAS DE ATAQUE CON AGENTES QUIMICOS </v>
      </c>
      <c r="V96" s="87" t="str">
        <f t="shared" si="3"/>
        <v>Yurany Natalia Rodríguez Vaca</v>
      </c>
      <c r="W96" s="87" t="str">
        <f t="shared" si="4"/>
        <v>Yurany Natalia Rodríguez Vaca</v>
      </c>
      <c r="X96" s="87" t="str">
        <f t="shared" si="5"/>
        <v>Yurany Natalia Rodríguez Vaca-1088736947-QUIMICOS</v>
      </c>
    </row>
    <row r="97" spans="1:24" s="49" customFormat="1" x14ac:dyDescent="0.2">
      <c r="A97" s="55">
        <v>96</v>
      </c>
      <c r="B97" s="50">
        <v>1004216783</v>
      </c>
      <c r="C97" s="50" t="s">
        <v>321</v>
      </c>
      <c r="D97" s="50" t="s">
        <v>300</v>
      </c>
      <c r="E97" s="50" t="s">
        <v>191</v>
      </c>
      <c r="F97" s="50" t="s">
        <v>322</v>
      </c>
      <c r="G97" s="50">
        <v>25</v>
      </c>
      <c r="H97" s="50" t="s">
        <v>102</v>
      </c>
      <c r="I97" s="52" t="s">
        <v>111</v>
      </c>
      <c r="J97" s="56">
        <v>45590</v>
      </c>
      <c r="K97" s="60">
        <v>60000</v>
      </c>
      <c r="L97" s="50" t="s">
        <v>149</v>
      </c>
      <c r="M97" s="50" t="s">
        <v>136</v>
      </c>
      <c r="N97" s="51" t="s">
        <v>103</v>
      </c>
      <c r="O97" s="68" t="s">
        <v>43</v>
      </c>
      <c r="P97" s="52">
        <v>37545</v>
      </c>
      <c r="Q97" s="52" t="s">
        <v>96</v>
      </c>
      <c r="R97" s="81" t="s">
        <v>125</v>
      </c>
      <c r="S97" s="58">
        <v>3188602519</v>
      </c>
      <c r="T97" s="50" t="s">
        <v>323</v>
      </c>
      <c r="U97" s="59" t="str">
        <f>IF(O97=CURSOS!$D$3,"DIPLOMADO EN ATENCION PRE-HOSPITALARIA",IF(O97=CURSOS!$D$4,"ACOMPAÑAMIENTO Y MANEJO DEL DUELO",IF(O97=CURSOS!$D$5,"ATENCION A VICTIMAS DE ATAQUE CON AGENTES QUIMICOS ",IF(O97=CURSOS!$D$6,"PRIMEROS AUXILIOS ",IF(O97=CURSOS!$D$7,"DIPLOMADO DE UNIDAD DE CUIDADOS INTENSIVOS (UCI)",IF(O97=CURSOS!$D$8,"MODELO DE ATENCION PARA EVENTOS EMERGENTES EN SALUD MENTAL (CODIGO VERDE)",IF(O97=CURSOS!$D$9,"HUMANIZACION EN EL SERVICIO DE LA SALUD Y BUENAS PRACTICAS EN PACIENTE ",IF(O97=CURSOS!$D$10,"CLINICA DE HERIDAS ",IF(O97=CURSOS!$D$11,"TOMA DE CITOLOGIA CERVICO VAGINAL ",IF(O97=CURSOS!$D$12,"SOPORTE CARDIOVASCULAR AVANZADO (ACLS) ",IF(O97=CURSOS!$D$13,"CAMILLERO ",IF(O97=CURSOS!$D$14,"TOMA DE MUESTRAS Y LABORATORIO ",IF(O97=CURSOS!$D$15,"SOPORTE VITAL BASICO (BLS)",IF(O97=CURSOS!$D$16,"ATENCION A VICTIMAS DE VIOLENCIA SEXUAL ",IF(O97=CURSOS!$D$17,"PROGRAMADO AMPLIADO DE INMUNIZACION (PAI - COVID 19)",IF(O97=CURSOS!$D$18,"ATENCION INTEGRAL EN ENFERMEDADES PREVALENTES EN PRIMERA INFANCIA (AIEPI)",IF(O97=CURSOS!$D$19,"ADMINISTRACION DE MEDICAMENTOS, INYECTOLOGIA  Y CANALIZACION ",IF(O97=CURSOS!$D$20,"OPERADOR DE VEHICULOS DE EMERGENCIA (OVE)",IF(O97=CURSOS!$D$21,"INSTITUCIONES AMIGAS DE LA MUJER Y LA INFANCIA (IAMI)",IF(O97=CURSOS!$D$22,"CUIDADO DEL DONANTE DE ORGANOS",IF(O97=CURSOS!$D$23,"ATENCION A VICTIMAS POR VIOLENCIA DE GENERO",IF(O97=CURSOS!$D$24,"IGUALDAD DE GENERO EN LA SALUD",IF(O97=CURSOS!$D$25,"BRIGADA DE EMERGENCIA",IF(O97=CURSOS!$D$26,"MANEJO DEL DOLOR Y CUIDADOS PALIATIVOS",IF(O97=CURSOS!$D$27,"TOMA DE MUESTRAS Y LABORATORIO POCT",IF(O97=CURSOS!$D$28,"IMPLANTE SUBDERMICO DE DISPOSITIVO INTRAUTERINO",IF(O97=CURSOS!$D$29,"SALUD MENTAL",IF(O97=CURSOS!$D$30,"PRIMEROS AUXILIOS PSICOLOGICOS",IF(O97=CURSOS!$D$31,"ATENCION A VICTIMAS POR CONFLICTO ARMADO",IF(O97=CURSOS!$D$32,"MANIPULACION DE ALIMENTOS Y BPM",IF(O97=CURSOS!$D$33,"ATENCION A PERSONAS CON DISCAPACIDAD",IF(O97=CURSOS!$D$34,"CUIDADO INTEGRAL DEL PACIENTE ADULTO",IF(O97=CURSOS!$D$35,"MANEJO DEFENSIVO",IF(O97=CURSOS!$D$36,"SOPORTE CARDIOVASCULAR AVANZADO NEONATAL",IF(O97=CURSOS!$D$37,"SEGURIDAD DEL PACIENTE",IF(O97=CURSOS!$D$38,"MANEJO DE RESIDUOS HOSPITALARIOS"))))))))))))))))))))))))))))))))))))</f>
        <v xml:space="preserve">ATENCION A VICTIMAS DE VIOLENCIA SEXUAL </v>
      </c>
      <c r="V97" s="59" t="str">
        <f t="shared" si="3"/>
        <v>Maria Paula Moran Mora</v>
      </c>
      <c r="W97" s="59" t="str">
        <f t="shared" si="4"/>
        <v>Maria Paula Moran Mora</v>
      </c>
      <c r="X97" s="59" t="str">
        <f t="shared" si="5"/>
        <v>Maria Paula Moran Mora-1004216783-VIOLENCIA SEXUAL</v>
      </c>
    </row>
    <row r="98" spans="1:24" s="49" customFormat="1" x14ac:dyDescent="0.2">
      <c r="A98" s="55">
        <v>97</v>
      </c>
      <c r="B98" s="50">
        <v>1004216783</v>
      </c>
      <c r="C98" s="50" t="s">
        <v>321</v>
      </c>
      <c r="D98" s="50" t="s">
        <v>300</v>
      </c>
      <c r="E98" s="50" t="s">
        <v>191</v>
      </c>
      <c r="F98" s="50" t="s">
        <v>322</v>
      </c>
      <c r="G98" s="50">
        <v>25</v>
      </c>
      <c r="H98" s="50" t="s">
        <v>102</v>
      </c>
      <c r="I98" s="52" t="s">
        <v>111</v>
      </c>
      <c r="J98" s="56">
        <v>45590</v>
      </c>
      <c r="K98" s="60">
        <v>60000</v>
      </c>
      <c r="L98" s="50" t="s">
        <v>149</v>
      </c>
      <c r="M98" s="50" t="s">
        <v>136</v>
      </c>
      <c r="N98" s="51" t="s">
        <v>103</v>
      </c>
      <c r="O98" s="68" t="s">
        <v>23</v>
      </c>
      <c r="P98" s="52">
        <v>37545</v>
      </c>
      <c r="Q98" s="52" t="s">
        <v>96</v>
      </c>
      <c r="R98" s="81" t="s">
        <v>125</v>
      </c>
      <c r="S98" s="58">
        <v>3188602519</v>
      </c>
      <c r="T98" s="50" t="s">
        <v>323</v>
      </c>
      <c r="U98" s="59" t="str">
        <f>IF(O98=CURSOS!$D$3,"DIPLOMADO EN ATENCION PRE-HOSPITALARIA",IF(O98=CURSOS!$D$4,"ACOMPAÑAMIENTO Y MANEJO DEL DUELO",IF(O98=CURSOS!$D$5,"ATENCION A VICTIMAS DE ATAQUE CON AGENTES QUIMICOS ",IF(O98=CURSOS!$D$6,"PRIMEROS AUXILIOS ",IF(O98=CURSOS!$D$7,"DIPLOMADO DE UNIDAD DE CUIDADOS INTENSIVOS (UCI)",IF(O98=CURSOS!$D$8,"MODELO DE ATENCION PARA EVENTOS EMERGENTES EN SALUD MENTAL (CODIGO VERDE)",IF(O98=CURSOS!$D$9,"HUMANIZACION EN EL SERVICIO DE LA SALUD Y BUENAS PRACTICAS EN PACIENTE ",IF(O98=CURSOS!$D$10,"CLINICA DE HERIDAS ",IF(O98=CURSOS!$D$11,"TOMA DE CITOLOGIA CERVICO VAGINAL ",IF(O98=CURSOS!$D$12,"SOPORTE CARDIOVASCULAR AVANZADO (ACLS) ",IF(O98=CURSOS!$D$13,"CAMILLERO ",IF(O98=CURSOS!$D$14,"TOMA DE MUESTRAS Y LABORATORIO ",IF(O98=CURSOS!$D$15,"SOPORTE VITAL BASICO (BLS)",IF(O98=CURSOS!$D$16,"ATENCION A VICTIMAS DE VIOLENCIA SEXUAL ",IF(O98=CURSOS!$D$17,"PROGRAMADO AMPLIADO DE INMUNIZACION (PAI - COVID 19)",IF(O98=CURSOS!$D$18,"ATENCION INTEGRAL EN ENFERMEDADES PREVALENTES EN PRIMERA INFANCIA (AIEPI)",IF(O98=CURSOS!$D$19,"ADMINISTRACION DE MEDICAMENTOS, INYECTOLOGIA  Y CANALIZACION ",IF(O98=CURSOS!$D$20,"OPERADOR DE VEHICULOS DE EMERGENCIA (OVE)",IF(O98=CURSOS!$D$21,"INSTITUCIONES AMIGAS DE LA MUJER Y LA INFANCIA (IAMI)",IF(O98=CURSOS!$D$22,"CUIDADO DEL DONANTE DE ORGANOS",IF(O98=CURSOS!$D$23,"ATENCION A VICTIMAS POR VIOLENCIA DE GENERO",IF(O98=CURSOS!$D$24,"IGUALDAD DE GENERO EN LA SALUD",IF(O98=CURSOS!$D$25,"BRIGADA DE EMERGENCIA",IF(O98=CURSOS!$D$26,"MANEJO DEL DOLOR Y CUIDADOS PALIATIVOS",IF(O98=CURSOS!$D$27,"TOMA DE MUESTRAS Y LABORATORIO POCT",IF(O98=CURSOS!$D$28,"IMPLANTE SUBDERMICO DE DISPOSITIVO INTRAUTERINO",IF(O98=CURSOS!$D$29,"SALUD MENTAL",IF(O98=CURSOS!$D$30,"PRIMEROS AUXILIOS PSICOLOGICOS",IF(O98=CURSOS!$D$31,"ATENCION A VICTIMAS POR CONFLICTO ARMADO",IF(O98=CURSOS!$D$32,"MANIPULACION DE ALIMENTOS Y BPM",IF(O98=CURSOS!$D$33,"ATENCION A PERSONAS CON DISCAPACIDAD",IF(O98=CURSOS!$D$34,"CUIDADO INTEGRAL DEL PACIENTE ADULTO",IF(O98=CURSOS!$D$35,"MANEJO DEFENSIVO",IF(O98=CURSOS!$D$36,"SOPORTE CARDIOVASCULAR AVANZADO NEONATAL",IF(O98=CURSOS!$D$37,"SEGURIDAD DEL PACIENTE",IF(O98=CURSOS!$D$38,"MANEJO DE RESIDUOS HOSPITALARIOS"))))))))))))))))))))))))))))))))))))</f>
        <v>ACOMPAÑAMIENTO Y MANEJO DEL DUELO</v>
      </c>
      <c r="V98" s="59" t="str">
        <f t="shared" si="3"/>
        <v>Maria Paula Moran Mora</v>
      </c>
      <c r="W98" s="59" t="str">
        <f t="shared" si="4"/>
        <v>Maria Paula Moran Mora</v>
      </c>
      <c r="X98" s="59" t="str">
        <f t="shared" si="5"/>
        <v>Maria Paula Moran Mora-1004216783-DUELO</v>
      </c>
    </row>
    <row r="99" spans="1:24" s="49" customFormat="1" x14ac:dyDescent="0.2">
      <c r="A99" s="55">
        <v>98</v>
      </c>
      <c r="B99" s="50">
        <v>1004216783</v>
      </c>
      <c r="C99" s="50" t="s">
        <v>321</v>
      </c>
      <c r="D99" s="50" t="s">
        <v>300</v>
      </c>
      <c r="E99" s="50" t="s">
        <v>191</v>
      </c>
      <c r="F99" s="50" t="s">
        <v>322</v>
      </c>
      <c r="G99" s="50">
        <v>25</v>
      </c>
      <c r="H99" s="50" t="s">
        <v>102</v>
      </c>
      <c r="I99" s="52" t="s">
        <v>111</v>
      </c>
      <c r="J99" s="56">
        <v>45590</v>
      </c>
      <c r="K99" s="60">
        <v>60000</v>
      </c>
      <c r="L99" s="50" t="s">
        <v>149</v>
      </c>
      <c r="M99" s="50" t="s">
        <v>136</v>
      </c>
      <c r="N99" s="51" t="s">
        <v>103</v>
      </c>
      <c r="O99" s="68" t="s">
        <v>33</v>
      </c>
      <c r="P99" s="52">
        <v>37545</v>
      </c>
      <c r="Q99" s="52" t="s">
        <v>96</v>
      </c>
      <c r="R99" s="81" t="s">
        <v>125</v>
      </c>
      <c r="S99" s="58">
        <v>3188602519</v>
      </c>
      <c r="T99" s="50" t="s">
        <v>323</v>
      </c>
      <c r="U99" s="59" t="str">
        <f>IF(O99=CURSOS!$D$3,"DIPLOMADO EN ATENCION PRE-HOSPITALARIA",IF(O99=CURSOS!$D$4,"ACOMPAÑAMIENTO Y MANEJO DEL DUELO",IF(O99=CURSOS!$D$5,"ATENCION A VICTIMAS DE ATAQUE CON AGENTES QUIMICOS ",IF(O99=CURSOS!$D$6,"PRIMEROS AUXILIOS ",IF(O99=CURSOS!$D$7,"DIPLOMADO DE UNIDAD DE CUIDADOS INTENSIVOS (UCI)",IF(O99=CURSOS!$D$8,"MODELO DE ATENCION PARA EVENTOS EMERGENTES EN SALUD MENTAL (CODIGO VERDE)",IF(O99=CURSOS!$D$9,"HUMANIZACION EN EL SERVICIO DE LA SALUD Y BUENAS PRACTICAS EN PACIENTE ",IF(O99=CURSOS!$D$10,"CLINICA DE HERIDAS ",IF(O99=CURSOS!$D$11,"TOMA DE CITOLOGIA CERVICO VAGINAL ",IF(O99=CURSOS!$D$12,"SOPORTE CARDIOVASCULAR AVANZADO (ACLS) ",IF(O99=CURSOS!$D$13,"CAMILLERO ",IF(O99=CURSOS!$D$14,"TOMA DE MUESTRAS Y LABORATORIO ",IF(O99=CURSOS!$D$15,"SOPORTE VITAL BASICO (BLS)",IF(O99=CURSOS!$D$16,"ATENCION A VICTIMAS DE VIOLENCIA SEXUAL ",IF(O99=CURSOS!$D$17,"PROGRAMADO AMPLIADO DE INMUNIZACION (PAI - COVID 19)",IF(O99=CURSOS!$D$18,"ATENCION INTEGRAL EN ENFERMEDADES PREVALENTES EN PRIMERA INFANCIA (AIEPI)",IF(O99=CURSOS!$D$19,"ADMINISTRACION DE MEDICAMENTOS, INYECTOLOGIA  Y CANALIZACION ",IF(O99=CURSOS!$D$20,"OPERADOR DE VEHICULOS DE EMERGENCIA (OVE)",IF(O99=CURSOS!$D$21,"INSTITUCIONES AMIGAS DE LA MUJER Y LA INFANCIA (IAMI)",IF(O99=CURSOS!$D$22,"CUIDADO DEL DONANTE DE ORGANOS",IF(O99=CURSOS!$D$23,"ATENCION A VICTIMAS POR VIOLENCIA DE GENERO",IF(O99=CURSOS!$D$24,"IGUALDAD DE GENERO EN LA SALUD",IF(O99=CURSOS!$D$25,"BRIGADA DE EMERGENCIA",IF(O99=CURSOS!$D$26,"MANEJO DEL DOLOR Y CUIDADOS PALIATIVOS",IF(O99=CURSOS!$D$27,"TOMA DE MUESTRAS Y LABORATORIO POCT",IF(O99=CURSOS!$D$28,"IMPLANTE SUBDERMICO DE DISPOSITIVO INTRAUTERINO",IF(O99=CURSOS!$D$29,"SALUD MENTAL",IF(O99=CURSOS!$D$30,"PRIMEROS AUXILIOS PSICOLOGICOS",IF(O99=CURSOS!$D$31,"ATENCION A VICTIMAS POR CONFLICTO ARMADO",IF(O99=CURSOS!$D$32,"MANIPULACION DE ALIMENTOS Y BPM",IF(O99=CURSOS!$D$33,"ATENCION A PERSONAS CON DISCAPACIDAD",IF(O99=CURSOS!$D$34,"CUIDADO INTEGRAL DEL PACIENTE ADULTO",IF(O99=CURSOS!$D$35,"MANEJO DEFENSIVO",IF(O99=CURSOS!$D$36,"SOPORTE CARDIOVASCULAR AVANZADO NEONATAL",IF(O99=CURSOS!$D$37,"SEGURIDAD DEL PACIENTE",IF(O99=CURSOS!$D$38,"MANEJO DE RESIDUOS HOSPITALARIOS"))))))))))))))))))))))))))))))))))))</f>
        <v xml:space="preserve">HUMANIZACION EN EL SERVICIO DE LA SALUD Y BUENAS PRACTICAS EN PACIENTE </v>
      </c>
      <c r="V99" s="59" t="str">
        <f t="shared" si="3"/>
        <v>Maria Paula Moran Mora</v>
      </c>
      <c r="W99" s="59" t="str">
        <f t="shared" si="4"/>
        <v>Maria Paula Moran Mora</v>
      </c>
      <c r="X99" s="59" t="str">
        <f t="shared" si="5"/>
        <v>Maria Paula Moran Mora-1004216783-HUMANIZACION</v>
      </c>
    </row>
    <row r="100" spans="1:24" s="49" customFormat="1" x14ac:dyDescent="0.2">
      <c r="A100" s="55">
        <v>99</v>
      </c>
      <c r="B100" s="50">
        <v>1004216783</v>
      </c>
      <c r="C100" s="50" t="s">
        <v>321</v>
      </c>
      <c r="D100" s="50" t="s">
        <v>300</v>
      </c>
      <c r="E100" s="50" t="s">
        <v>191</v>
      </c>
      <c r="F100" s="50" t="s">
        <v>322</v>
      </c>
      <c r="G100" s="50">
        <v>25</v>
      </c>
      <c r="H100" s="50" t="s">
        <v>102</v>
      </c>
      <c r="I100" s="52" t="s">
        <v>111</v>
      </c>
      <c r="J100" s="56">
        <v>45590</v>
      </c>
      <c r="K100" s="60">
        <v>60000</v>
      </c>
      <c r="L100" s="50" t="s">
        <v>149</v>
      </c>
      <c r="M100" s="50" t="s">
        <v>136</v>
      </c>
      <c r="N100" s="51" t="s">
        <v>103</v>
      </c>
      <c r="O100" s="68" t="s">
        <v>68</v>
      </c>
      <c r="P100" s="52">
        <v>37545</v>
      </c>
      <c r="Q100" s="52" t="s">
        <v>96</v>
      </c>
      <c r="R100" s="81" t="s">
        <v>125</v>
      </c>
      <c r="S100" s="58">
        <v>3188602519</v>
      </c>
      <c r="T100" s="50" t="s">
        <v>323</v>
      </c>
      <c r="U100" s="59" t="str">
        <f>IF(O100=CURSOS!$D$3,"DIPLOMADO EN ATENCION PRE-HOSPITALARIA",IF(O100=CURSOS!$D$4,"ACOMPAÑAMIENTO Y MANEJO DEL DUELO",IF(O100=CURSOS!$D$5,"ATENCION A VICTIMAS DE ATAQUE CON AGENTES QUIMICOS ",IF(O100=CURSOS!$D$6,"PRIMEROS AUXILIOS ",IF(O100=CURSOS!$D$7,"DIPLOMADO DE UNIDAD DE CUIDADOS INTENSIVOS (UCI)",IF(O100=CURSOS!$D$8,"MODELO DE ATENCION PARA EVENTOS EMERGENTES EN SALUD MENTAL (CODIGO VERDE)",IF(O100=CURSOS!$D$9,"HUMANIZACION EN EL SERVICIO DE LA SALUD Y BUENAS PRACTICAS EN PACIENTE ",IF(O100=CURSOS!$D$10,"CLINICA DE HERIDAS ",IF(O100=CURSOS!$D$11,"TOMA DE CITOLOGIA CERVICO VAGINAL ",IF(O100=CURSOS!$D$12,"SOPORTE CARDIOVASCULAR AVANZADO (ACLS) ",IF(O100=CURSOS!$D$13,"CAMILLERO ",IF(O100=CURSOS!$D$14,"TOMA DE MUESTRAS Y LABORATORIO ",IF(O100=CURSOS!$D$15,"SOPORTE VITAL BASICO (BLS)",IF(O100=CURSOS!$D$16,"ATENCION A VICTIMAS DE VIOLENCIA SEXUAL ",IF(O100=CURSOS!$D$17,"PROGRAMADO AMPLIADO DE INMUNIZACION (PAI - COVID 19)",IF(O100=CURSOS!$D$18,"ATENCION INTEGRAL EN ENFERMEDADES PREVALENTES EN PRIMERA INFANCIA (AIEPI)",IF(O100=CURSOS!$D$19,"ADMINISTRACION DE MEDICAMENTOS, INYECTOLOGIA  Y CANALIZACION ",IF(O100=CURSOS!$D$20,"OPERADOR DE VEHICULOS DE EMERGENCIA (OVE)",IF(O100=CURSOS!$D$21,"INSTITUCIONES AMIGAS DE LA MUJER Y LA INFANCIA (IAMI)",IF(O100=CURSOS!$D$22,"CUIDADO DEL DONANTE DE ORGANOS",IF(O100=CURSOS!$D$23,"ATENCION A VICTIMAS POR VIOLENCIA DE GENERO",IF(O100=CURSOS!$D$24,"IGUALDAD DE GENERO EN LA SALUD",IF(O100=CURSOS!$D$25,"BRIGADA DE EMERGENCIA",IF(O100=CURSOS!$D$26,"MANEJO DEL DOLOR Y CUIDADOS PALIATIVOS",IF(O100=CURSOS!$D$27,"TOMA DE MUESTRAS Y LABORATORIO POCT",IF(O100=CURSOS!$D$28,"IMPLANTE SUBDERMICO DE DISPOSITIVO INTRAUTERINO",IF(O100=CURSOS!$D$29,"SALUD MENTAL",IF(O100=CURSOS!$D$30,"PRIMEROS AUXILIOS PSICOLOGICOS",IF(O100=CURSOS!$D$31,"ATENCION A VICTIMAS POR CONFLICTO ARMADO",IF(O100=CURSOS!$D$32,"MANIPULACION DE ALIMENTOS Y BPM",IF(O100=CURSOS!$D$33,"ATENCION A PERSONAS CON DISCAPACIDAD",IF(O100=CURSOS!$D$34,"CUIDADO INTEGRAL DEL PACIENTE ADULTO",IF(O100=CURSOS!$D$35,"MANEJO DEFENSIVO",IF(O100=CURSOS!$D$36,"SOPORTE CARDIOVASCULAR AVANZADO NEONATAL",IF(O100=CURSOS!$D$37,"SEGURIDAD DEL PACIENTE",IF(O100=CURSOS!$D$38,"MANEJO DE RESIDUOS HOSPITALARIOS"))))))))))))))))))))))))))))))))))))</f>
        <v>ATENCION A VICTIMAS POR CONFLICTO ARMADO</v>
      </c>
      <c r="V100" s="59" t="str">
        <f t="shared" si="3"/>
        <v>Maria Paula Moran Mora</v>
      </c>
      <c r="W100" s="59" t="str">
        <f t="shared" si="4"/>
        <v>Maria Paula Moran Mora</v>
      </c>
      <c r="X100" s="59" t="str">
        <f t="shared" si="5"/>
        <v>Maria Paula Moran Mora-1004216783-CONFLICTO ARMADO</v>
      </c>
    </row>
    <row r="101" spans="1:24" s="49" customFormat="1" x14ac:dyDescent="0.2">
      <c r="A101" s="55">
        <v>100</v>
      </c>
      <c r="B101" s="50">
        <v>4613483</v>
      </c>
      <c r="C101" s="50" t="s">
        <v>324</v>
      </c>
      <c r="D101" s="50" t="s">
        <v>325</v>
      </c>
      <c r="E101" s="50" t="s">
        <v>326</v>
      </c>
      <c r="F101" s="50" t="s">
        <v>327</v>
      </c>
      <c r="G101" s="50">
        <v>29</v>
      </c>
      <c r="H101" s="50" t="s">
        <v>102</v>
      </c>
      <c r="I101" s="52" t="s">
        <v>111</v>
      </c>
      <c r="J101" s="56">
        <v>45590</v>
      </c>
      <c r="K101" s="60">
        <v>80000</v>
      </c>
      <c r="L101" s="50" t="s">
        <v>149</v>
      </c>
      <c r="M101" s="50" t="s">
        <v>136</v>
      </c>
      <c r="N101" s="51" t="s">
        <v>103</v>
      </c>
      <c r="O101" s="50" t="s">
        <v>43</v>
      </c>
      <c r="P101" s="52">
        <v>29320</v>
      </c>
      <c r="Q101" s="50" t="s">
        <v>96</v>
      </c>
      <c r="R101" s="50" t="s">
        <v>328</v>
      </c>
      <c r="S101" s="50">
        <v>316536130</v>
      </c>
      <c r="T101" s="50" t="s">
        <v>329</v>
      </c>
      <c r="U101" s="59" t="str">
        <f>IF(O101=CURSOS!$D$3,"DIPLOMADO EN ATENCION PRE-HOSPITALARIA",IF(O101=CURSOS!$D$4,"ACOMPAÑAMIENTO Y MANEJO DEL DUELO",IF(O101=CURSOS!$D$5,"ATENCION A VICTIMAS DE ATAQUE CON AGENTES QUIMICOS ",IF(O101=CURSOS!$D$6,"PRIMEROS AUXILIOS ",IF(O101=CURSOS!$D$7,"DIPLOMADO DE UNIDAD DE CUIDADOS INTENSIVOS (UCI)",IF(O101=CURSOS!$D$8,"MODELO DE ATENCION PARA EVENTOS EMERGENTES EN SALUD MENTAL (CODIGO VERDE)",IF(O101=CURSOS!$D$9,"HUMANIZACION EN EL SERVICIO DE LA SALUD Y BUENAS PRACTICAS EN PACIENTE ",IF(O101=CURSOS!$D$10,"CLINICA DE HERIDAS ",IF(O101=CURSOS!$D$11,"TOMA DE CITOLOGIA CERVICO VAGINAL ",IF(O101=CURSOS!$D$12,"SOPORTE CARDIOVASCULAR AVANZADO (ACLS) ",IF(O101=CURSOS!$D$13,"CAMILLERO ",IF(O101=CURSOS!$D$14,"TOMA DE MUESTRAS Y LABORATORIO ",IF(O101=CURSOS!$D$15,"SOPORTE VITAL BASICO (BLS)",IF(O101=CURSOS!$D$16,"ATENCION A VICTIMAS DE VIOLENCIA SEXUAL ",IF(O101=CURSOS!$D$17,"PROGRAMADO AMPLIADO DE INMUNIZACION (PAI - COVID 19)",IF(O101=CURSOS!$D$18,"ATENCION INTEGRAL EN ENFERMEDADES PREVALENTES EN PRIMERA INFANCIA (AIEPI)",IF(O101=CURSOS!$D$19,"ADMINISTRACION DE MEDICAMENTOS, INYECTOLOGIA  Y CANALIZACION ",IF(O101=CURSOS!$D$20,"OPERADOR DE VEHICULOS DE EMERGENCIA (OVE)",IF(O101=CURSOS!$D$21,"INSTITUCIONES AMIGAS DE LA MUJER Y LA INFANCIA (IAMI)",IF(O101=CURSOS!$D$22,"CUIDADO DEL DONANTE DE ORGANOS",IF(O101=CURSOS!$D$23,"ATENCION A VICTIMAS POR VIOLENCIA DE GENERO",IF(O101=CURSOS!$D$24,"IGUALDAD DE GENERO EN LA SALUD",IF(O101=CURSOS!$D$25,"BRIGADA DE EMERGENCIA",IF(O101=CURSOS!$D$26,"MANEJO DEL DOLOR Y CUIDADOS PALIATIVOS",IF(O101=CURSOS!$D$27,"TOMA DE MUESTRAS Y LABORATORIO POCT",IF(O101=CURSOS!$D$28,"IMPLANTE SUBDERMICO DE DISPOSITIVO INTRAUTERINO",IF(O101=CURSOS!$D$29,"SALUD MENTAL",IF(O101=CURSOS!$D$30,"PRIMEROS AUXILIOS PSICOLOGICOS",IF(O101=CURSOS!$D$31,"ATENCION A VICTIMAS POR CONFLICTO ARMADO",IF(O101=CURSOS!$D$32,"MANIPULACION DE ALIMENTOS Y BPM",IF(O101=CURSOS!$D$33,"ATENCION A PERSONAS CON DISCAPACIDAD",IF(O101=CURSOS!$D$34,"CUIDADO INTEGRAL DEL PACIENTE ADULTO",IF(O101=CURSOS!$D$35,"MANEJO DEFENSIVO",IF(O101=CURSOS!$D$36,"SOPORTE CARDIOVASCULAR AVANZADO NEONATAL",IF(O101=CURSOS!$D$37,"SEGURIDAD DEL PACIENTE",IF(O101=CURSOS!$D$38,"MANEJO DE RESIDUOS HOSPITALARIOS"))))))))))))))))))))))))))))))))))))</f>
        <v xml:space="preserve">ATENCION A VICTIMAS DE VIOLENCIA SEXUAL </v>
      </c>
      <c r="V101" s="59" t="str">
        <f t="shared" si="3"/>
        <v>Gilzan Javier Narvaez Ortega</v>
      </c>
      <c r="W101" s="59" t="str">
        <f t="shared" si="4"/>
        <v>Gilzan Javier Narvaez Ortega</v>
      </c>
      <c r="X101" s="59" t="str">
        <f t="shared" si="5"/>
        <v>Gilzan Javier Narvaez Ortega-4613483-VIOLENCIA SEXUAL</v>
      </c>
    </row>
    <row r="102" spans="1:24" s="49" customFormat="1" x14ac:dyDescent="0.2">
      <c r="A102" s="55">
        <v>101</v>
      </c>
      <c r="B102" s="50">
        <v>1087113948</v>
      </c>
      <c r="C102" s="50" t="s">
        <v>167</v>
      </c>
      <c r="D102" s="50" t="s">
        <v>330</v>
      </c>
      <c r="E102" s="50" t="s">
        <v>331</v>
      </c>
      <c r="F102" s="50" t="s">
        <v>332</v>
      </c>
      <c r="G102" s="50">
        <v>28</v>
      </c>
      <c r="H102" s="50" t="s">
        <v>102</v>
      </c>
      <c r="I102" s="52" t="s">
        <v>108</v>
      </c>
      <c r="J102" s="56"/>
      <c r="K102" s="60">
        <v>30000</v>
      </c>
      <c r="L102" s="50"/>
      <c r="M102" s="50" t="s">
        <v>85</v>
      </c>
      <c r="N102" s="51" t="s">
        <v>115</v>
      </c>
      <c r="O102" s="50" t="s">
        <v>23</v>
      </c>
      <c r="P102" s="52">
        <v>34482</v>
      </c>
      <c r="Q102" s="50" t="s">
        <v>96</v>
      </c>
      <c r="R102" s="50" t="s">
        <v>116</v>
      </c>
      <c r="S102" s="50">
        <v>3243222339</v>
      </c>
      <c r="T102" s="50" t="s">
        <v>333</v>
      </c>
      <c r="U102" s="59" t="str">
        <f>IF(O102=CURSOS!$D$3,"DIPLOMADO EN ATENCION PRE-HOSPITALARIA",IF(O102=CURSOS!$D$4,"ACOMPAÑAMIENTO Y MANEJO DEL DUELO",IF(O102=CURSOS!$D$5,"ATENCION A VICTIMAS DE ATAQUE CON AGENTES QUIMICOS ",IF(O102=CURSOS!$D$6,"PRIMEROS AUXILIOS ",IF(O102=CURSOS!$D$7,"DIPLOMADO DE UNIDAD DE CUIDADOS INTENSIVOS (UCI)",IF(O102=CURSOS!$D$8,"MODELO DE ATENCION PARA EVENTOS EMERGENTES EN SALUD MENTAL (CODIGO VERDE)",IF(O102=CURSOS!$D$9,"HUMANIZACION EN EL SERVICIO DE LA SALUD Y BUENAS PRACTICAS EN PACIENTE ",IF(O102=CURSOS!$D$10,"CLINICA DE HERIDAS ",IF(O102=CURSOS!$D$11,"TOMA DE CITOLOGIA CERVICO VAGINAL ",IF(O102=CURSOS!$D$12,"SOPORTE CARDIOVASCULAR AVANZADO (ACLS) ",IF(O102=CURSOS!$D$13,"CAMILLERO ",IF(O102=CURSOS!$D$14,"TOMA DE MUESTRAS Y LABORATORIO ",IF(O102=CURSOS!$D$15,"SOPORTE VITAL BASICO (BLS)",IF(O102=CURSOS!$D$16,"ATENCION A VICTIMAS DE VIOLENCIA SEXUAL ",IF(O102=CURSOS!$D$17,"PROGRAMADO AMPLIADO DE INMUNIZACION (PAI - COVID 19)",IF(O102=CURSOS!$D$18,"ATENCION INTEGRAL EN ENFERMEDADES PREVALENTES EN PRIMERA INFANCIA (AIEPI)",IF(O102=CURSOS!$D$19,"ADMINISTRACION DE MEDICAMENTOS, INYECTOLOGIA  Y CANALIZACION ",IF(O102=CURSOS!$D$20,"OPERADOR DE VEHICULOS DE EMERGENCIA (OVE)",IF(O102=CURSOS!$D$21,"INSTITUCIONES AMIGAS DE LA MUJER Y LA INFANCIA (IAMI)",IF(O102=CURSOS!$D$22,"CUIDADO DEL DONANTE DE ORGANOS",IF(O102=CURSOS!$D$23,"ATENCION A VICTIMAS POR VIOLENCIA DE GENERO",IF(O102=CURSOS!$D$24,"IGUALDAD DE GENERO EN LA SALUD",IF(O102=CURSOS!$D$25,"BRIGADA DE EMERGENCIA",IF(O102=CURSOS!$D$26,"MANEJO DEL DOLOR Y CUIDADOS PALIATIVOS",IF(O102=CURSOS!$D$27,"TOMA DE MUESTRAS Y LABORATORIO POCT",IF(O102=CURSOS!$D$28,"IMPLANTE SUBDERMICO DE DISPOSITIVO INTRAUTERINO",IF(O102=CURSOS!$D$29,"SALUD MENTAL",IF(O102=CURSOS!$D$30,"PRIMEROS AUXILIOS PSICOLOGICOS",IF(O102=CURSOS!$D$31,"ATENCION A VICTIMAS POR CONFLICTO ARMADO",IF(O102=CURSOS!$D$32,"MANIPULACION DE ALIMENTOS Y BPM",IF(O102=CURSOS!$D$33,"ATENCION A PERSONAS CON DISCAPACIDAD",IF(O102=CURSOS!$D$34,"CUIDADO INTEGRAL DEL PACIENTE ADULTO",IF(O102=CURSOS!$D$35,"MANEJO DEFENSIVO",IF(O102=CURSOS!$D$36,"SOPORTE CARDIOVASCULAR AVANZADO NEONATAL",IF(O102=CURSOS!$D$37,"SEGURIDAD DEL PACIENTE",IF(O102=CURSOS!$D$38,"MANEJO DE RESIDUOS HOSPITALARIOS"))))))))))))))))))))))))))))))))))))</f>
        <v>ACOMPAÑAMIENTO Y MANEJO DEL DUELO</v>
      </c>
      <c r="V102" s="59" t="str">
        <f t="shared" si="3"/>
        <v>Maryi Briyit Quiñones Angulo</v>
      </c>
      <c r="W102" s="59" t="str">
        <f t="shared" si="4"/>
        <v>Maryi Briyit Quiñones Angulo</v>
      </c>
      <c r="X102" s="59" t="str">
        <f t="shared" si="5"/>
        <v>Maryi Briyit Quiñones Angulo-1087113948-DUELO</v>
      </c>
    </row>
    <row r="103" spans="1:24" s="71" customFormat="1" x14ac:dyDescent="0.2">
      <c r="A103" s="55">
        <v>102</v>
      </c>
      <c r="B103" s="50">
        <v>1087113948</v>
      </c>
      <c r="C103" s="50" t="s">
        <v>167</v>
      </c>
      <c r="D103" s="50" t="s">
        <v>330</v>
      </c>
      <c r="E103" s="50" t="s">
        <v>331</v>
      </c>
      <c r="F103" s="50" t="s">
        <v>332</v>
      </c>
      <c r="G103" s="50">
        <v>28</v>
      </c>
      <c r="H103" s="50" t="s">
        <v>102</v>
      </c>
      <c r="I103" s="52" t="s">
        <v>108</v>
      </c>
      <c r="J103" s="56"/>
      <c r="K103" s="60">
        <v>30000</v>
      </c>
      <c r="L103" s="50"/>
      <c r="M103" s="50" t="s">
        <v>85</v>
      </c>
      <c r="N103" s="51" t="s">
        <v>115</v>
      </c>
      <c r="O103" s="50" t="s">
        <v>43</v>
      </c>
      <c r="P103" s="52">
        <v>34482</v>
      </c>
      <c r="Q103" s="50" t="s">
        <v>96</v>
      </c>
      <c r="R103" s="50" t="s">
        <v>116</v>
      </c>
      <c r="S103" s="50">
        <v>3243222339</v>
      </c>
      <c r="T103" s="50" t="s">
        <v>333</v>
      </c>
      <c r="U103" s="59" t="str">
        <f>IF(O103=CURSOS!$D$3,"DIPLOMADO EN ATENCION PRE-HOSPITALARIA",IF(O103=CURSOS!$D$4,"ACOMPAÑAMIENTO Y MANEJO DEL DUELO",IF(O103=CURSOS!$D$5,"ATENCION A VICTIMAS DE ATAQUE CON AGENTES QUIMICOS ",IF(O103=CURSOS!$D$6,"PRIMEROS AUXILIOS ",IF(O103=CURSOS!$D$7,"DIPLOMADO DE UNIDAD DE CUIDADOS INTENSIVOS (UCI)",IF(O103=CURSOS!$D$8,"MODELO DE ATENCION PARA EVENTOS EMERGENTES EN SALUD MENTAL (CODIGO VERDE)",IF(O103=CURSOS!$D$9,"HUMANIZACION EN EL SERVICIO DE LA SALUD Y BUENAS PRACTICAS EN PACIENTE ",IF(O103=CURSOS!$D$10,"CLINICA DE HERIDAS ",IF(O103=CURSOS!$D$11,"TOMA DE CITOLOGIA CERVICO VAGINAL ",IF(O103=CURSOS!$D$12,"SOPORTE CARDIOVASCULAR AVANZADO (ACLS) ",IF(O103=CURSOS!$D$13,"CAMILLERO ",IF(O103=CURSOS!$D$14,"TOMA DE MUESTRAS Y LABORATORIO ",IF(O103=CURSOS!$D$15,"SOPORTE VITAL BASICO (BLS)",IF(O103=CURSOS!$D$16,"ATENCION A VICTIMAS DE VIOLENCIA SEXUAL ",IF(O103=CURSOS!$D$17,"PROGRAMADO AMPLIADO DE INMUNIZACION (PAI - COVID 19)",IF(O103=CURSOS!$D$18,"ATENCION INTEGRAL EN ENFERMEDADES PREVALENTES EN PRIMERA INFANCIA (AIEPI)",IF(O103=CURSOS!$D$19,"ADMINISTRACION DE MEDICAMENTOS, INYECTOLOGIA  Y CANALIZACION ",IF(O103=CURSOS!$D$20,"OPERADOR DE VEHICULOS DE EMERGENCIA (OVE)",IF(O103=CURSOS!$D$21,"INSTITUCIONES AMIGAS DE LA MUJER Y LA INFANCIA (IAMI)",IF(O103=CURSOS!$D$22,"CUIDADO DEL DONANTE DE ORGANOS",IF(O103=CURSOS!$D$23,"ATENCION A VICTIMAS POR VIOLENCIA DE GENERO",IF(O103=CURSOS!$D$24,"IGUALDAD DE GENERO EN LA SALUD",IF(O103=CURSOS!$D$25,"BRIGADA DE EMERGENCIA",IF(O103=CURSOS!$D$26,"MANEJO DEL DOLOR Y CUIDADOS PALIATIVOS",IF(O103=CURSOS!$D$27,"TOMA DE MUESTRAS Y LABORATORIO POCT",IF(O103=CURSOS!$D$28,"IMPLANTE SUBDERMICO DE DISPOSITIVO INTRAUTERINO",IF(O103=CURSOS!$D$29,"SALUD MENTAL",IF(O103=CURSOS!$D$30,"PRIMEROS AUXILIOS PSICOLOGICOS",IF(O103=CURSOS!$D$31,"ATENCION A VICTIMAS POR CONFLICTO ARMADO",IF(O103=CURSOS!$D$32,"MANIPULACION DE ALIMENTOS Y BPM",IF(O103=CURSOS!$D$33,"ATENCION A PERSONAS CON DISCAPACIDAD",IF(O103=CURSOS!$D$34,"CUIDADO INTEGRAL DEL PACIENTE ADULTO",IF(O103=CURSOS!$D$35,"MANEJO DEFENSIVO",IF(O103=CURSOS!$D$36,"SOPORTE CARDIOVASCULAR AVANZADO NEONATAL",IF(O103=CURSOS!$D$37,"SEGURIDAD DEL PACIENTE",IF(O103=CURSOS!$D$38,"MANEJO DE RESIDUOS HOSPITALARIOS"))))))))))))))))))))))))))))))))))))</f>
        <v xml:space="preserve">ATENCION A VICTIMAS DE VIOLENCIA SEXUAL </v>
      </c>
      <c r="V103" s="59" t="str">
        <f t="shared" si="3"/>
        <v>Maryi Briyit Quiñones Angulo</v>
      </c>
      <c r="W103" s="59" t="str">
        <f t="shared" si="4"/>
        <v>Maryi Briyit Quiñones Angulo</v>
      </c>
      <c r="X103" s="59" t="str">
        <f t="shared" si="5"/>
        <v>Maryi Briyit Quiñones Angulo-1087113948-VIOLENCIA SEXUAL</v>
      </c>
    </row>
    <row r="104" spans="1:24" s="71" customFormat="1" x14ac:dyDescent="0.2">
      <c r="A104" s="55">
        <v>103</v>
      </c>
      <c r="B104" s="50">
        <v>1087113948</v>
      </c>
      <c r="C104" s="50" t="s">
        <v>167</v>
      </c>
      <c r="D104" s="50" t="s">
        <v>330</v>
      </c>
      <c r="E104" s="50" t="s">
        <v>331</v>
      </c>
      <c r="F104" s="50" t="s">
        <v>332</v>
      </c>
      <c r="G104" s="50">
        <v>25</v>
      </c>
      <c r="H104" s="50" t="s">
        <v>102</v>
      </c>
      <c r="I104" s="52" t="s">
        <v>108</v>
      </c>
      <c r="J104" s="56"/>
      <c r="K104" s="60">
        <v>30000</v>
      </c>
      <c r="L104" s="50"/>
      <c r="M104" s="50" t="s">
        <v>85</v>
      </c>
      <c r="N104" s="51" t="s">
        <v>115</v>
      </c>
      <c r="O104" s="50" t="s">
        <v>25</v>
      </c>
      <c r="P104" s="52">
        <v>34482</v>
      </c>
      <c r="Q104" s="50" t="s">
        <v>96</v>
      </c>
      <c r="R104" s="50" t="s">
        <v>116</v>
      </c>
      <c r="S104" s="50">
        <v>3243222339</v>
      </c>
      <c r="T104" s="50" t="s">
        <v>333</v>
      </c>
      <c r="U104" s="59" t="str">
        <f>IF(O104=CURSOS!$D$3,"DIPLOMADO EN ATENCION PRE-HOSPITALARIA",IF(O104=CURSOS!$D$4,"ACOMPAÑAMIENTO Y MANEJO DEL DUELO",IF(O104=CURSOS!$D$5,"ATENCION A VICTIMAS DE ATAQUE CON AGENTES QUIMICOS ",IF(O104=CURSOS!$D$6,"PRIMEROS AUXILIOS ",IF(O104=CURSOS!$D$7,"DIPLOMADO DE UNIDAD DE CUIDADOS INTENSIVOS (UCI)",IF(O104=CURSOS!$D$8,"MODELO DE ATENCION PARA EVENTOS EMERGENTES EN SALUD MENTAL (CODIGO VERDE)",IF(O104=CURSOS!$D$9,"HUMANIZACION EN EL SERVICIO DE LA SALUD Y BUENAS PRACTICAS EN PACIENTE ",IF(O104=CURSOS!$D$10,"CLINICA DE HERIDAS ",IF(O104=CURSOS!$D$11,"TOMA DE CITOLOGIA CERVICO VAGINAL ",IF(O104=CURSOS!$D$12,"SOPORTE CARDIOVASCULAR AVANZADO (ACLS) ",IF(O104=CURSOS!$D$13,"CAMILLERO ",IF(O104=CURSOS!$D$14,"TOMA DE MUESTRAS Y LABORATORIO ",IF(O104=CURSOS!$D$15,"SOPORTE VITAL BASICO (BLS)",IF(O104=CURSOS!$D$16,"ATENCION A VICTIMAS DE VIOLENCIA SEXUAL ",IF(O104=CURSOS!$D$17,"PROGRAMADO AMPLIADO DE INMUNIZACION (PAI - COVID 19)",IF(O104=CURSOS!$D$18,"ATENCION INTEGRAL EN ENFERMEDADES PREVALENTES EN PRIMERA INFANCIA (AIEPI)",IF(O104=CURSOS!$D$19,"ADMINISTRACION DE MEDICAMENTOS, INYECTOLOGIA  Y CANALIZACION ",IF(O104=CURSOS!$D$20,"OPERADOR DE VEHICULOS DE EMERGENCIA (OVE)",IF(O104=CURSOS!$D$21,"INSTITUCIONES AMIGAS DE LA MUJER Y LA INFANCIA (IAMI)",IF(O104=CURSOS!$D$22,"CUIDADO DEL DONANTE DE ORGANOS",IF(O104=CURSOS!$D$23,"ATENCION A VICTIMAS POR VIOLENCIA DE GENERO",IF(O104=CURSOS!$D$24,"IGUALDAD DE GENERO EN LA SALUD",IF(O104=CURSOS!$D$25,"BRIGADA DE EMERGENCIA",IF(O104=CURSOS!$D$26,"MANEJO DEL DOLOR Y CUIDADOS PALIATIVOS",IF(O104=CURSOS!$D$27,"TOMA DE MUESTRAS Y LABORATORIO POCT",IF(O104=CURSOS!$D$28,"IMPLANTE SUBDERMICO DE DISPOSITIVO INTRAUTERINO",IF(O104=CURSOS!$D$29,"SALUD MENTAL",IF(O104=CURSOS!$D$30,"PRIMEROS AUXILIOS PSICOLOGICOS",IF(O104=CURSOS!$D$31,"ATENCION A VICTIMAS POR CONFLICTO ARMADO",IF(O104=CURSOS!$D$32,"MANIPULACION DE ALIMENTOS Y BPM",IF(O104=CURSOS!$D$33,"ATENCION A PERSONAS CON DISCAPACIDAD",IF(O104=CURSOS!$D$34,"CUIDADO INTEGRAL DEL PACIENTE ADULTO",IF(O104=CURSOS!$D$35,"MANEJO DEFENSIVO",IF(O104=CURSOS!$D$36,"SOPORTE CARDIOVASCULAR AVANZADO NEONATAL",IF(O104=CURSOS!$D$37,"SEGURIDAD DEL PACIENTE",IF(O104=CURSOS!$D$38,"MANEJO DE RESIDUOS HOSPITALARIOS"))))))))))))))))))))))))))))))))))))</f>
        <v xml:space="preserve">ATENCION A VICTIMAS DE ATAQUE CON AGENTES QUIMICOS </v>
      </c>
      <c r="V104" s="59" t="str">
        <f t="shared" si="3"/>
        <v>Maryi Briyit Quiñones Angulo</v>
      </c>
      <c r="W104" s="59" t="str">
        <f t="shared" si="4"/>
        <v>Maryi Briyit Quiñones Angulo</v>
      </c>
      <c r="X104" s="59" t="str">
        <f t="shared" si="5"/>
        <v>Maryi Briyit Quiñones Angulo-1087113948-QUIMICOS</v>
      </c>
    </row>
    <row r="105" spans="1:24" s="71" customFormat="1" x14ac:dyDescent="0.2">
      <c r="A105" s="55">
        <v>104</v>
      </c>
      <c r="B105" s="50">
        <v>1087113948</v>
      </c>
      <c r="C105" s="50" t="s">
        <v>167</v>
      </c>
      <c r="D105" s="50" t="s">
        <v>330</v>
      </c>
      <c r="E105" s="50" t="s">
        <v>331</v>
      </c>
      <c r="F105" s="50" t="s">
        <v>332</v>
      </c>
      <c r="G105" s="50">
        <v>26</v>
      </c>
      <c r="H105" s="50" t="s">
        <v>102</v>
      </c>
      <c r="I105" s="52" t="s">
        <v>108</v>
      </c>
      <c r="J105" s="56"/>
      <c r="K105" s="60">
        <v>30000</v>
      </c>
      <c r="L105" s="50"/>
      <c r="M105" s="50" t="s">
        <v>85</v>
      </c>
      <c r="N105" s="51" t="s">
        <v>115</v>
      </c>
      <c r="O105" s="50" t="s">
        <v>36</v>
      </c>
      <c r="P105" s="52">
        <v>34482</v>
      </c>
      <c r="Q105" s="50" t="s">
        <v>96</v>
      </c>
      <c r="R105" s="50" t="s">
        <v>116</v>
      </c>
      <c r="S105" s="50">
        <v>3243222339</v>
      </c>
      <c r="T105" s="50" t="s">
        <v>333</v>
      </c>
      <c r="U105" s="59" t="str">
        <f>IF(O105=CURSOS!$D$3,"DIPLOMADO EN ATENCION PRE-HOSPITALARIA",IF(O105=CURSOS!$D$4,"ACOMPAÑAMIENTO Y MANEJO DEL DUELO",IF(O105=CURSOS!$D$5,"ATENCION A VICTIMAS DE ATAQUE CON AGENTES QUIMICOS ",IF(O105=CURSOS!$D$6,"PRIMEROS AUXILIOS ",IF(O105=CURSOS!$D$7,"DIPLOMADO DE UNIDAD DE CUIDADOS INTENSIVOS (UCI)",IF(O105=CURSOS!$D$8,"MODELO DE ATENCION PARA EVENTOS EMERGENTES EN SALUD MENTAL (CODIGO VERDE)",IF(O105=CURSOS!$D$9,"HUMANIZACION EN EL SERVICIO DE LA SALUD Y BUENAS PRACTICAS EN PACIENTE ",IF(O105=CURSOS!$D$10,"CLINICA DE HERIDAS ",IF(O105=CURSOS!$D$11,"TOMA DE CITOLOGIA CERVICO VAGINAL ",IF(O105=CURSOS!$D$12,"SOPORTE CARDIOVASCULAR AVANZADO (ACLS) ",IF(O105=CURSOS!$D$13,"CAMILLERO ",IF(O105=CURSOS!$D$14,"TOMA DE MUESTRAS Y LABORATORIO ",IF(O105=CURSOS!$D$15,"SOPORTE VITAL BASICO (BLS)",IF(O105=CURSOS!$D$16,"ATENCION A VICTIMAS DE VIOLENCIA SEXUAL ",IF(O105=CURSOS!$D$17,"PROGRAMADO AMPLIADO DE INMUNIZACION (PAI - COVID 19)",IF(O105=CURSOS!$D$18,"ATENCION INTEGRAL EN ENFERMEDADES PREVALENTES EN PRIMERA INFANCIA (AIEPI)",IF(O105=CURSOS!$D$19,"ADMINISTRACION DE MEDICAMENTOS, INYECTOLOGIA  Y CANALIZACION ",IF(O105=CURSOS!$D$20,"OPERADOR DE VEHICULOS DE EMERGENCIA (OVE)",IF(O105=CURSOS!$D$21,"INSTITUCIONES AMIGAS DE LA MUJER Y LA INFANCIA (IAMI)",IF(O105=CURSOS!$D$22,"CUIDADO DEL DONANTE DE ORGANOS",IF(O105=CURSOS!$D$23,"ATENCION A VICTIMAS POR VIOLENCIA DE GENERO",IF(O105=CURSOS!$D$24,"IGUALDAD DE GENERO EN LA SALUD",IF(O105=CURSOS!$D$25,"BRIGADA DE EMERGENCIA",IF(O105=CURSOS!$D$26,"MANEJO DEL DOLOR Y CUIDADOS PALIATIVOS",IF(O105=CURSOS!$D$27,"TOMA DE MUESTRAS Y LABORATORIO POCT",IF(O105=CURSOS!$D$28,"IMPLANTE SUBDERMICO DE DISPOSITIVO INTRAUTERINO",IF(O105=CURSOS!$D$29,"SALUD MENTAL",IF(O105=CURSOS!$D$30,"PRIMEROS AUXILIOS PSICOLOGICOS",IF(O105=CURSOS!$D$31,"ATENCION A VICTIMAS POR CONFLICTO ARMADO",IF(O105=CURSOS!$D$32,"MANIPULACION DE ALIMENTOS Y BPM",IF(O105=CURSOS!$D$33,"ATENCION A PERSONAS CON DISCAPACIDAD",IF(O105=CURSOS!$D$34,"CUIDADO INTEGRAL DEL PACIENTE ADULTO",IF(O105=CURSOS!$D$35,"MANEJO DEFENSIVO",IF(O105=CURSOS!$D$36,"SOPORTE CARDIOVASCULAR AVANZADO NEONATAL",IF(O105=CURSOS!$D$37,"SEGURIDAD DEL PACIENTE",IF(O105=CURSOS!$D$38,"MANEJO DE RESIDUOS HOSPITALARIOS"))))))))))))))))))))))))))))))))))))</f>
        <v xml:space="preserve">TOMA DE CITOLOGIA CERVICO VAGINAL </v>
      </c>
      <c r="V105" s="59" t="str">
        <f t="shared" si="3"/>
        <v>Maryi Briyit Quiñones Angulo</v>
      </c>
      <c r="W105" s="59" t="str">
        <f t="shared" si="4"/>
        <v>Maryi Briyit Quiñones Angulo</v>
      </c>
      <c r="X105" s="59" t="str">
        <f t="shared" si="5"/>
        <v>Maryi Briyit Quiñones Angulo-1087113948-CITOLOGIA</v>
      </c>
    </row>
    <row r="106" spans="1:24" s="71" customFormat="1" x14ac:dyDescent="0.2">
      <c r="A106" s="55">
        <v>105</v>
      </c>
      <c r="B106" s="50">
        <v>1087113948</v>
      </c>
      <c r="C106" s="50" t="s">
        <v>167</v>
      </c>
      <c r="D106" s="50" t="s">
        <v>330</v>
      </c>
      <c r="E106" s="50" t="s">
        <v>331</v>
      </c>
      <c r="F106" s="50" t="s">
        <v>332</v>
      </c>
      <c r="G106" s="50">
        <v>29</v>
      </c>
      <c r="H106" s="50" t="s">
        <v>102</v>
      </c>
      <c r="I106" s="52" t="s">
        <v>108</v>
      </c>
      <c r="J106" s="56"/>
      <c r="K106" s="60">
        <v>30000</v>
      </c>
      <c r="L106" s="50"/>
      <c r="M106" s="50" t="s">
        <v>85</v>
      </c>
      <c r="N106" s="51" t="s">
        <v>115</v>
      </c>
      <c r="O106" s="50" t="s">
        <v>19</v>
      </c>
      <c r="P106" s="52">
        <v>34482</v>
      </c>
      <c r="Q106" s="50" t="s">
        <v>96</v>
      </c>
      <c r="R106" s="50" t="s">
        <v>116</v>
      </c>
      <c r="S106" s="50">
        <v>3243222339</v>
      </c>
      <c r="T106" s="50" t="s">
        <v>333</v>
      </c>
      <c r="U106" s="59" t="str">
        <f>IF(O106=CURSOS!$D$3,"DIPLOMADO EN ATENCION PRE-HOSPITALARIA",IF(O106=CURSOS!$D$4,"ACOMPAÑAMIENTO Y MANEJO DEL DUELO",IF(O106=CURSOS!$D$5,"ATENCION A VICTIMAS DE ATAQUE CON AGENTES QUIMICOS ",IF(O106=CURSOS!$D$6,"PRIMEROS AUXILIOS ",IF(O106=CURSOS!$D$7,"DIPLOMADO DE UNIDAD DE CUIDADOS INTENSIVOS (UCI)",IF(O106=CURSOS!$D$8,"MODELO DE ATENCION PARA EVENTOS EMERGENTES EN SALUD MENTAL (CODIGO VERDE)",IF(O106=CURSOS!$D$9,"HUMANIZACION EN EL SERVICIO DE LA SALUD Y BUENAS PRACTICAS EN PACIENTE ",IF(O106=CURSOS!$D$10,"CLINICA DE HERIDAS ",IF(O106=CURSOS!$D$11,"TOMA DE CITOLOGIA CERVICO VAGINAL ",IF(O106=CURSOS!$D$12,"SOPORTE CARDIOVASCULAR AVANZADO (ACLS) ",IF(O106=CURSOS!$D$13,"CAMILLERO ",IF(O106=CURSOS!$D$14,"TOMA DE MUESTRAS Y LABORATORIO ",IF(O106=CURSOS!$D$15,"SOPORTE VITAL BASICO (BLS)",IF(O106=CURSOS!$D$16,"ATENCION A VICTIMAS DE VIOLENCIA SEXUAL ",IF(O106=CURSOS!$D$17,"PROGRAMADO AMPLIADO DE INMUNIZACION (PAI - COVID 19)",IF(O106=CURSOS!$D$18,"ATENCION INTEGRAL EN ENFERMEDADES PREVALENTES EN PRIMERA INFANCIA (AIEPI)",IF(O106=CURSOS!$D$19,"ADMINISTRACION DE MEDICAMENTOS, INYECTOLOGIA  Y CANALIZACION ",IF(O106=CURSOS!$D$20,"OPERADOR DE VEHICULOS DE EMERGENCIA (OVE)",IF(O106=CURSOS!$D$21,"INSTITUCIONES AMIGAS DE LA MUJER Y LA INFANCIA (IAMI)",IF(O106=CURSOS!$D$22,"CUIDADO DEL DONANTE DE ORGANOS",IF(O106=CURSOS!$D$23,"ATENCION A VICTIMAS POR VIOLENCIA DE GENERO",IF(O106=CURSOS!$D$24,"IGUALDAD DE GENERO EN LA SALUD",IF(O106=CURSOS!$D$25,"BRIGADA DE EMERGENCIA",IF(O106=CURSOS!$D$26,"MANEJO DEL DOLOR Y CUIDADOS PALIATIVOS",IF(O106=CURSOS!$D$27,"TOMA DE MUESTRAS Y LABORATORIO POCT",IF(O106=CURSOS!$D$28,"IMPLANTE SUBDERMICO DE DISPOSITIVO INTRAUTERINO",IF(O106=CURSOS!$D$29,"SALUD MENTAL",IF(O106=CURSOS!$D$30,"PRIMEROS AUXILIOS PSICOLOGICOS",IF(O106=CURSOS!$D$31,"ATENCION A VICTIMAS POR CONFLICTO ARMADO",IF(O106=CURSOS!$D$32,"MANIPULACION DE ALIMENTOS Y BPM",IF(O106=CURSOS!$D$33,"ATENCION A PERSONAS CON DISCAPACIDAD",IF(O106=CURSOS!$D$34,"CUIDADO INTEGRAL DEL PACIENTE ADULTO",IF(O106=CURSOS!$D$35,"MANEJO DEFENSIVO",IF(O106=CURSOS!$D$36,"SOPORTE CARDIOVASCULAR AVANZADO NEONATAL",IF(O106=CURSOS!$D$37,"SEGURIDAD DEL PACIENTE",IF(O106=CURSOS!$D$38,"MANEJO DE RESIDUOS HOSPITALARIOS"))))))))))))))))))))))))))))))))))))</f>
        <v>SOPORTE VITAL BASICO (BLS)</v>
      </c>
      <c r="V106" s="59" t="str">
        <f t="shared" si="3"/>
        <v>Maryi Briyit Quiñones Angulo</v>
      </c>
      <c r="W106" s="59" t="str">
        <f t="shared" si="4"/>
        <v>Maryi Briyit Quiñones Angulo</v>
      </c>
      <c r="X106" s="59" t="str">
        <f t="shared" si="5"/>
        <v>Maryi Briyit Quiñones Angulo-1087113948-BLS</v>
      </c>
    </row>
    <row r="107" spans="1:24" s="75" customFormat="1" x14ac:dyDescent="0.2">
      <c r="A107" s="55">
        <v>106</v>
      </c>
      <c r="B107" s="50">
        <v>1085304694</v>
      </c>
      <c r="C107" s="50" t="s">
        <v>232</v>
      </c>
      <c r="D107" s="50" t="s">
        <v>150</v>
      </c>
      <c r="E107" s="50" t="s">
        <v>335</v>
      </c>
      <c r="F107" s="50" t="s">
        <v>334</v>
      </c>
      <c r="G107" s="50">
        <v>29</v>
      </c>
      <c r="H107" s="50" t="s">
        <v>102</v>
      </c>
      <c r="I107" s="52" t="s">
        <v>108</v>
      </c>
      <c r="J107" s="56">
        <v>45594</v>
      </c>
      <c r="K107" s="60">
        <v>32000</v>
      </c>
      <c r="L107" s="50" t="s">
        <v>149</v>
      </c>
      <c r="M107" s="50" t="s">
        <v>85</v>
      </c>
      <c r="N107" s="51" t="s">
        <v>336</v>
      </c>
      <c r="O107" s="50" t="s">
        <v>43</v>
      </c>
      <c r="P107" s="52">
        <v>34111</v>
      </c>
      <c r="Q107" s="50" t="s">
        <v>97</v>
      </c>
      <c r="R107" s="85" t="s">
        <v>125</v>
      </c>
      <c r="S107" s="50">
        <v>3134014048</v>
      </c>
      <c r="T107" s="50" t="s">
        <v>337</v>
      </c>
      <c r="U107" s="59" t="str">
        <f>IF(O107=CURSOS!$D$3,"DIPLOMADO EN ATENCION PRE-HOSPITALARIA",IF(O107=CURSOS!$D$4,"ACOMPAÑAMIENTO Y MANEJO DEL DUELO",IF(O107=CURSOS!$D$5,"ATENCION A VICTIMAS DE ATAQUE CON AGENTES QUIMICOS ",IF(O107=CURSOS!$D$6,"PRIMEROS AUXILIOS ",IF(O107=CURSOS!$D$7,"DIPLOMADO DE UNIDAD DE CUIDADOS INTENSIVOS (UCI)",IF(O107=CURSOS!$D$8,"MODELO DE ATENCION PARA EVENTOS EMERGENTES EN SALUD MENTAL (CODIGO VERDE)",IF(O107=CURSOS!$D$9,"HUMANIZACION EN EL SERVICIO DE LA SALUD Y BUENAS PRACTICAS EN PACIENTE ",IF(O107=CURSOS!$D$10,"CLINICA DE HERIDAS ",IF(O107=CURSOS!$D$11,"TOMA DE CITOLOGIA CERVICO VAGINAL ",IF(O107=CURSOS!$D$12,"SOPORTE CARDIOVASCULAR AVANZADO (ACLS) ",IF(O107=CURSOS!$D$13,"CAMILLERO ",IF(O107=CURSOS!$D$14,"TOMA DE MUESTRAS Y LABORATORIO ",IF(O107=CURSOS!$D$15,"SOPORTE VITAL BASICO (BLS)",IF(O107=CURSOS!$D$16,"ATENCION A VICTIMAS DE VIOLENCIA SEXUAL ",IF(O107=CURSOS!$D$17,"PROGRAMADO AMPLIADO DE INMUNIZACION (PAI - COVID 19)",IF(O107=CURSOS!$D$18,"ATENCION INTEGRAL EN ENFERMEDADES PREVALENTES EN PRIMERA INFANCIA (AIEPI)",IF(O107=CURSOS!$D$19,"ADMINISTRACION DE MEDICAMENTOS, INYECTOLOGIA  Y CANALIZACION ",IF(O107=CURSOS!$D$20,"OPERADOR DE VEHICULOS DE EMERGENCIA (OVE)",IF(O107=CURSOS!$D$21,"INSTITUCIONES AMIGAS DE LA MUJER Y LA INFANCIA (IAMI)",IF(O107=CURSOS!$D$22,"CUIDADO DEL DONANTE DE ORGANOS",IF(O107=CURSOS!$D$23,"ATENCION A VICTIMAS POR VIOLENCIA DE GENERO",IF(O107=CURSOS!$D$24,"IGUALDAD DE GENERO EN LA SALUD",IF(O107=CURSOS!$D$25,"BRIGADA DE EMERGENCIA",IF(O107=CURSOS!$D$26,"MANEJO DEL DOLOR Y CUIDADOS PALIATIVOS",IF(O107=CURSOS!$D$27,"TOMA DE MUESTRAS Y LABORATORIO POCT",IF(O107=CURSOS!$D$28,"IMPLANTE SUBDERMICO DE DISPOSITIVO INTRAUTERINO",IF(O107=CURSOS!$D$29,"SALUD MENTAL",IF(O107=CURSOS!$D$30,"PRIMEROS AUXILIOS PSICOLOGICOS",IF(O107=CURSOS!$D$31,"ATENCION A VICTIMAS POR CONFLICTO ARMADO",IF(O107=CURSOS!$D$32,"MANIPULACION DE ALIMENTOS Y BPM",IF(O107=CURSOS!$D$33,"ATENCION A PERSONAS CON DISCAPACIDAD",IF(O107=CURSOS!$D$34,"CUIDADO INTEGRAL DEL PACIENTE ADULTO",IF(O107=CURSOS!$D$35,"MANEJO DEFENSIVO",IF(O107=CURSOS!$D$36,"SOPORTE CARDIOVASCULAR AVANZADO NEONATAL",IF(O107=CURSOS!$D$37,"SEGURIDAD DEL PACIENTE",IF(O107=CURSOS!$D$38,"MANEJO DE RESIDUOS HOSPITALARIOS"))))))))))))))))))))))))))))))))))))</f>
        <v xml:space="preserve">ATENCION A VICTIMAS DE VIOLENCIA SEXUAL </v>
      </c>
      <c r="V107" s="59" t="str">
        <f t="shared" si="3"/>
        <v>Juan Camilo Martinez Delgado</v>
      </c>
      <c r="W107" s="59" t="str">
        <f t="shared" si="4"/>
        <v>Juan Camilo Martinez Delgado</v>
      </c>
      <c r="X107" s="59" t="str">
        <f t="shared" si="5"/>
        <v>Juan Camilo Martinez Delgado-1085304694-VIOLENCIA SEXUAL</v>
      </c>
    </row>
    <row r="108" spans="1:24" s="106" customFormat="1" x14ac:dyDescent="0.2">
      <c r="A108" s="86">
        <v>107</v>
      </c>
      <c r="B108" s="87">
        <v>1085339117</v>
      </c>
      <c r="C108" s="87" t="s">
        <v>338</v>
      </c>
      <c r="D108" s="87" t="s">
        <v>339</v>
      </c>
      <c r="E108" s="87" t="s">
        <v>340</v>
      </c>
      <c r="F108" s="87" t="s">
        <v>341</v>
      </c>
      <c r="G108" s="87">
        <v>30</v>
      </c>
      <c r="H108" s="87" t="s">
        <v>102</v>
      </c>
      <c r="I108" s="88" t="s">
        <v>108</v>
      </c>
      <c r="J108" s="89">
        <v>45595</v>
      </c>
      <c r="K108" s="93">
        <v>115000</v>
      </c>
      <c r="L108" s="87" t="s">
        <v>342</v>
      </c>
      <c r="M108" s="87" t="s">
        <v>85</v>
      </c>
      <c r="N108" s="104" t="s">
        <v>103</v>
      </c>
      <c r="O108" s="87" t="s">
        <v>38</v>
      </c>
      <c r="P108" s="87" t="s">
        <v>344</v>
      </c>
      <c r="Q108" s="87" t="s">
        <v>97</v>
      </c>
      <c r="R108" s="105" t="s">
        <v>125</v>
      </c>
      <c r="S108" s="87" t="s">
        <v>343</v>
      </c>
      <c r="T108" s="87" t="s">
        <v>345</v>
      </c>
      <c r="U108" s="87" t="str">
        <f>IF(O108=CURSOS!$D$3,"DIPLOMADO EN ATENCION PRE-HOSPITALARIA",IF(O108=CURSOS!$D$4,"ACOMPAÑAMIENTO Y MANEJO DEL DUELO",IF(O108=CURSOS!$D$5,"ATENCION A VICTIMAS DE ATAQUE CON AGENTES QUIMICOS ",IF(O108=CURSOS!$D$6,"PRIMEROS AUXILIOS ",IF(O108=CURSOS!$D$7,"DIPLOMADO DE UNIDAD DE CUIDADOS INTENSIVOS (UCI)",IF(O108=CURSOS!$D$8,"MODELO DE ATENCION PARA EVENTOS EMERGENTES EN SALUD MENTAL (CODIGO VERDE)",IF(O108=CURSOS!$D$9,"HUMANIZACION EN EL SERVICIO DE LA SALUD Y BUENAS PRACTICAS EN PACIENTE ",IF(O108=CURSOS!$D$10,"CLINICA DE HERIDAS ",IF(O108=CURSOS!$D$11,"TOMA DE CITOLOGIA CERVICO VAGINAL ",IF(O108=CURSOS!$D$12,"SOPORTE CARDIOVASCULAR AVANZADO (ACLS) ",IF(O108=CURSOS!$D$13,"CAMILLERO ",IF(O108=CURSOS!$D$14,"TOMA DE MUESTRAS Y LABORATORIO ",IF(O108=CURSOS!$D$15,"SOPORTE VITAL BASICO (BLS)",IF(O108=CURSOS!$D$16,"ATENCION A VICTIMAS DE VIOLENCIA SEXUAL ",IF(O108=CURSOS!$D$17,"PROGRAMADO AMPLIADO DE INMUNIZACION (PAI - COVID 19)",IF(O108=CURSOS!$D$18,"ATENCION INTEGRAL EN ENFERMEDADES PREVALENTES EN PRIMERA INFANCIA (AIEPI)",IF(O108=CURSOS!$D$19,"ADMINISTRACION DE MEDICAMENTOS, INYECTOLOGIA  Y CANALIZACION ",IF(O108=CURSOS!$D$20,"OPERADOR DE VEHICULOS DE EMERGENCIA (OVE)",IF(O108=CURSOS!$D$21,"INSTITUCIONES AMIGAS DE LA MUJER Y LA INFANCIA (IAMI)",IF(O108=CURSOS!$D$22,"CUIDADO DEL DONANTE DE ORGANOS",IF(O108=CURSOS!$D$23,"ATENCION A VICTIMAS POR VIOLENCIA DE GENERO",IF(O108=CURSOS!$D$24,"IGUALDAD DE GENERO EN LA SALUD",IF(O108=CURSOS!$D$25,"BRIGADA DE EMERGENCIA",IF(O108=CURSOS!$D$26,"MANEJO DEL DOLOR Y CUIDADOS PALIATIVOS",IF(O108=CURSOS!$D$27,"TOMA DE MUESTRAS Y LABORATORIO POCT",IF(O108=CURSOS!$D$28,"IMPLANTE SUBDERMICO DE DISPOSITIVO INTRAUTERINO",IF(O108=CURSOS!$D$29,"SALUD MENTAL",IF(O108=CURSOS!$D$30,"PRIMEROS AUXILIOS PSICOLOGICOS",IF(O108=CURSOS!$D$31,"ATENCION A VICTIMAS POR CONFLICTO ARMADO",IF(O108=CURSOS!$D$32,"MANIPULACION DE ALIMENTOS Y BPM",IF(O108=CURSOS!$D$33,"ATENCION A PERSONAS CON DISCAPACIDAD",IF(O108=CURSOS!$D$34,"CUIDADO INTEGRAL DEL PACIENTE ADULTO",IF(O108=CURSOS!$D$35,"MANEJO DEFENSIVO",IF(O108=CURSOS!$D$36,"SOPORTE CARDIOVASCULAR AVANZADO NEONATAL",IF(O108=CURSOS!$D$37,"SEGURIDAD DEL PACIENTE",IF(O108=CURSOS!$D$38,"MANEJO DE RESIDUOS HOSPITALARIOS"))))))))))))))))))))))))))))))))))))</f>
        <v xml:space="preserve">SOPORTE CARDIOVASCULAR AVANZADO (ACLS) </v>
      </c>
      <c r="V108" s="87" t="str">
        <f t="shared" si="3"/>
        <v>Carlos Mario Jaramillo Gomez</v>
      </c>
      <c r="W108" s="87" t="str">
        <f t="shared" si="4"/>
        <v>Carlos Mario Jaramillo Gomez</v>
      </c>
      <c r="X108" s="87" t="str">
        <f t="shared" si="5"/>
        <v>Carlos Mario Jaramillo Gomez-1085339117-ACLS</v>
      </c>
    </row>
    <row r="109" spans="1:24" s="75" customFormat="1" x14ac:dyDescent="0.2">
      <c r="A109" s="72">
        <v>108</v>
      </c>
      <c r="H109" s="53"/>
      <c r="I109" s="73"/>
      <c r="J109" s="69"/>
      <c r="K109" s="70"/>
      <c r="L109" s="53"/>
      <c r="M109" s="53"/>
      <c r="N109" s="54"/>
      <c r="O109" s="53"/>
      <c r="P109" s="53"/>
      <c r="Q109" s="53"/>
      <c r="R109" s="53"/>
      <c r="S109" s="53"/>
      <c r="T109" s="53"/>
      <c r="U109" s="74" t="b">
        <f>IF(O109=CURSOS!$D$3,"DIPLOMADO EN ATENCION PRE-HOSPITALARIA",IF(O109=CURSOS!$D$4,"ACOMPAÑAMIENTO Y MANEJO DEL DUELO",IF(O109=CURSOS!$D$5,"ATENCION A VICTIMAS DE ATAQUE CON AGENTES QUIMICOS ",IF(O109=CURSOS!$D$6,"PRIMEROS AUXILIOS ",IF(O109=CURSOS!$D$7,"DIPLOMADO DE UNIDAD DE CUIDADOS INTENSIVOS (UCI)",IF(O109=CURSOS!$D$8,"MODELO DE ATENCION PARA EVENTOS EMERGENTES EN SALUD MENTAL (CODIGO VERDE)",IF(O109=CURSOS!$D$9,"HUMANIZACION EN EL SERVICIO DE LA SALUD Y BUENAS PRACTICAS EN PACIENTE ",IF(O109=CURSOS!$D$10,"CLINICA DE HERIDAS ",IF(O109=CURSOS!$D$11,"TOMA DE CITOLOGIA CERVICO VAGINAL ",IF(O109=CURSOS!$D$12,"SOPORTE CARDIOVASCULAR AVANZADO (ACLS) ",IF(O109=CURSOS!$D$13,"CAMILLERO ",IF(O109=CURSOS!$D$14,"TOMA DE MUESTRAS Y LABORATORIO ",IF(O109=CURSOS!$D$15,"SOPORTE VITAL BASICO (BLS)",IF(O109=CURSOS!$D$16,"ATENCION A VICTIMAS DE VIOLENCIA SEXUAL ",IF(O109=CURSOS!$D$17,"PROGRAMADO AMPLIADO DE INMUNIZACION (PAI - COVID 19)",IF(O109=CURSOS!$D$18,"ATENCION INTEGRAL EN ENFERMEDADES PREVALENTES EN PRIMERA INFANCIA (AIEPI)",IF(O109=CURSOS!$D$19,"ADMINISTRACION DE MEDICAMENTOS, INYECTOLOGIA  Y CANALIZACION ",IF(O109=CURSOS!$D$20,"OPERADOR DE VEHICULOS DE EMERGENCIA (OVE)",IF(O109=CURSOS!$D$21,"INSTITUCIONES AMIGAS DE LA MUJER Y LA INFANCIA (IAMI)",IF(O109=CURSOS!$D$22,"CUIDADO DEL DONANTE DE ORGANOS",IF(O109=CURSOS!$D$23,"ATENCION A VICTIMAS POR VIOLENCIA DE GENERO",IF(O109=CURSOS!$D$24,"IGUALDAD DE GENERO EN LA SALUD",IF(O109=CURSOS!$D$25,"BRIGADA DE EMERGENCIA",IF(O109=CURSOS!$D$26,"MANEJO DEL DOLOR Y CUIDADOS PALIATIVOS",IF(O109=CURSOS!$D$27,"TOMA DE MUESTRAS Y LABORATORIO POCT",IF(O109=CURSOS!$D$28,"IMPLANTE SUBDERMICO DE DISPOSITIVO INTRAUTERINO",IF(O109=CURSOS!$D$29,"SALUD MENTAL",IF(O109=CURSOS!$D$30,"PRIMEROS AUXILIOS PSICOLOGICOS",IF(O109=CURSOS!$D$31,"ATENCION A VICTIMAS POR CONFLICTO ARMADO",IF(O109=CURSOS!$D$32,"MANIPULACION DE ALIMENTOS Y BPM",IF(O109=CURSOS!$D$33,"ATENCION A PERSONAS CON DISCAPACIDAD",IF(O109=CURSOS!$D$34,"CUIDADO INTEGRAL DEL PACIENTE ADULTO",IF(O109=CURSOS!$D$35,"MANEJO DEFENSIVO",IF(O109=CURSOS!$D$36,"SOPORTE CARDIOVASCULAR AVANZADO NEONATAL",IF(O109=CURSOS!$D$37,"SEGURIDAD DEL PACIENTE",IF(O109=CURSOS!$D$38,"MANEJO DE RESIDUOS HOSPITALARIOS"))))))))))))))))))))))))))))))))))))</f>
        <v>0</v>
      </c>
      <c r="V109" s="74" t="str">
        <f>CONCATENATE([1]INSCRITOS!E2," ",[1]INSCRITOS!F2," ",[1]INSCRITOS!C2," ",[1]INSCRITOS!D2)</f>
        <v>Yudy Alejandra Cordoba Arteaga</v>
      </c>
      <c r="W109" s="74" t="str">
        <f t="shared" si="4"/>
        <v>Yudy Alejandra Cordoba Arteaga</v>
      </c>
      <c r="X109" s="74" t="str">
        <f>CONCATENATE(V109,"-",[1]INSCRITOS!B2,"-",O109)</f>
        <v>Yudy Alejandra Cordoba Arteaga-1089485138-</v>
      </c>
    </row>
    <row r="110" spans="1:24" s="75" customFormat="1" x14ac:dyDescent="0.2">
      <c r="A110" s="55">
        <v>109</v>
      </c>
      <c r="B110" s="53"/>
      <c r="C110" s="53"/>
      <c r="D110" s="53"/>
      <c r="E110" s="53"/>
      <c r="F110" s="53"/>
      <c r="G110" s="53"/>
      <c r="H110" s="53"/>
      <c r="I110" s="73"/>
      <c r="J110" s="69"/>
      <c r="K110" s="70"/>
      <c r="L110" s="54"/>
      <c r="M110" s="53"/>
      <c r="N110" s="54"/>
      <c r="O110" s="53"/>
      <c r="P110" s="53"/>
      <c r="Q110" s="53"/>
      <c r="R110" s="53"/>
      <c r="S110" s="53"/>
      <c r="T110" s="53"/>
      <c r="U110" s="59" t="b">
        <f>IF(O110=CURSOS!$D$3,"DIPLOMADO EN ATENCION PRE-HOSPITALARIA",IF(O110=CURSOS!$D$4,"ACOMPAÑAMIENTO Y MANEJO DEL DUELO",IF(O110=CURSOS!$D$5,"ATENCION A VICTIMAS DE ATAQUE CON AGENTES QUIMICOS ",IF(O110=CURSOS!$D$6,"PRIMEROS AUXILIOS ",IF(O110=CURSOS!$D$7,"DIPLOMADO DE UNIDAD DE CUIDADOS INTENSIVOS (UCI)",IF(O110=CURSOS!$D$8,"MODELO DE ATENCION PARA EVENTOS EMERGENTES EN SALUD MENTAL (CODIGO VERDE)",IF(O110=CURSOS!$D$9,"HUMANIZACION EN EL SERVICIO DE LA SALUD Y BUENAS PRACTICAS EN PACIENTE ",IF(O110=CURSOS!$D$10,"CLINICA DE HERIDAS ",IF(O110=CURSOS!$D$11,"TOMA DE CITOLOGIA CERVICO VAGINAL ",IF(O110=CURSOS!$D$12,"SOPORTE CARDIOVASCULAR AVANZADO (ACLS) ",IF(O110=CURSOS!$D$13,"CAMILLERO ",IF(O110=CURSOS!$D$14,"TOMA DE MUESTRAS Y LABORATORIO ",IF(O110=CURSOS!$D$15,"SOPORTE VITAL BASICO (BLS)",IF(O110=CURSOS!$D$16,"ATENCION A VICTIMAS DE VIOLENCIA SEXUAL ",IF(O110=CURSOS!$D$17,"PROGRAMADO AMPLIADO DE INMUNIZACION (PAI - COVID 19)",IF(O110=CURSOS!$D$18,"ATENCION INTEGRAL EN ENFERMEDADES PREVALENTES EN PRIMERA INFANCIA (AIEPI)",IF(O110=CURSOS!$D$19,"ADMINISTRACION DE MEDICAMENTOS, INYECTOLOGIA  Y CANALIZACION ",IF(O110=CURSOS!$D$20,"OPERADOR DE VEHICULOS DE EMERGENCIA (OVE)",IF(O110=CURSOS!$D$21,"INSTITUCIONES AMIGAS DE LA MUJER Y LA INFANCIA (IAMI)",IF(O110=CURSOS!$D$22,"CUIDADO DEL DONANTE DE ORGANOS",IF(O110=CURSOS!$D$23,"ATENCION A VICTIMAS POR VIOLENCIA DE GENERO",IF(O110=CURSOS!$D$24,"IGUALDAD DE GENERO EN LA SALUD",IF(O110=CURSOS!$D$25,"BRIGADA DE EMERGENCIA",IF(O110=CURSOS!$D$26,"MANEJO DEL DOLOR Y CUIDADOS PALIATIVOS",IF(O110=CURSOS!$D$27,"TOMA DE MUESTRAS Y LABORATORIO POCT",IF(O110=CURSOS!$D$28,"IMPLANTE SUBDERMICO DE DISPOSITIVO INTRAUTERINO",IF(O110=CURSOS!$D$29,"SALUD MENTAL",IF(O110=CURSOS!$D$30,"PRIMEROS AUXILIOS PSICOLOGICOS",IF(O110=CURSOS!$D$31,"ATENCION A VICTIMAS POR CONFLICTO ARMADO",IF(O110=CURSOS!$D$32,"MANIPULACION DE ALIMENTOS Y BPM",IF(O110=CURSOS!$D$33,"ATENCION A PERSONAS CON DISCAPACIDAD",IF(O110=CURSOS!$D$34,"CUIDADO INTEGRAL DEL PACIENTE ADULTO",IF(O110=CURSOS!$D$35,"MANEJO DEFENSIVO",IF(O110=CURSOS!$D$36,"SOPORTE CARDIOVASCULAR AVANZADO NEONATAL",IF(O110=CURSOS!$D$37,"SEGURIDAD DEL PACIENTE",IF(O110=CURSOS!$D$38,"MANEJO DE RESIDUOS HOSPITALARIOS"))))))))))))))))))))))))))))))))))))</f>
        <v>0</v>
      </c>
      <c r="V110" s="59" t="str">
        <f t="shared" ref="V110:V130" si="6">CONCATENATE(E110," ",F110," ",C110," ",D110)</f>
        <v xml:space="preserve">   </v>
      </c>
      <c r="W110" s="59" t="str">
        <f t="shared" si="4"/>
        <v xml:space="preserve">   </v>
      </c>
      <c r="X110" s="59" t="str">
        <f t="shared" ref="X110:X130" si="7">CONCATENATE(V110,"-",B110,"-",O110)</f>
        <v xml:space="preserve">   --</v>
      </c>
    </row>
    <row r="111" spans="1:24" s="75" customFormat="1" x14ac:dyDescent="0.2">
      <c r="A111" s="55">
        <v>110</v>
      </c>
      <c r="B111" s="53"/>
      <c r="C111" s="53"/>
      <c r="D111" s="53"/>
      <c r="E111" s="53"/>
      <c r="F111" s="53"/>
      <c r="G111" s="53"/>
      <c r="H111" s="53"/>
      <c r="I111" s="73"/>
      <c r="J111" s="69"/>
      <c r="K111" s="70"/>
      <c r="L111" s="54"/>
      <c r="M111" s="53"/>
      <c r="N111" s="54"/>
      <c r="O111" s="53"/>
      <c r="P111" s="53"/>
      <c r="Q111" s="53"/>
      <c r="R111" s="53"/>
      <c r="S111" s="53"/>
      <c r="T111" s="53"/>
      <c r="U111" s="59" t="b">
        <f>IF(O111=CURSOS!$D$3,"DIPLOMADO EN ATENCION PRE-HOSPITALARIA",IF(O111=CURSOS!$D$4,"ACOMPAÑAMIENTO Y MANEJO DEL DUELO",IF(O111=CURSOS!$D$5,"ATENCION A VICTIMAS DE ATAQUE CON AGENTES QUIMICOS ",IF(O111=CURSOS!$D$6,"PRIMEROS AUXILIOS ",IF(O111=CURSOS!$D$7,"DIPLOMADO DE UNIDAD DE CUIDADOS INTENSIVOS (UCI)",IF(O111=CURSOS!$D$8,"MODELO DE ATENCION PARA EVENTOS EMERGENTES EN SALUD MENTAL (CODIGO VERDE)",IF(O111=CURSOS!$D$9,"HUMANIZACION EN EL SERVICIO DE LA SALUD Y BUENAS PRACTICAS EN PACIENTE ",IF(O111=CURSOS!$D$10,"CLINICA DE HERIDAS ",IF(O111=CURSOS!$D$11,"TOMA DE CITOLOGIA CERVICO VAGINAL ",IF(O111=CURSOS!$D$12,"SOPORTE CARDIOVASCULAR AVANZADO (ACLS) ",IF(O111=CURSOS!$D$13,"CAMILLERO ",IF(O111=CURSOS!$D$14,"TOMA DE MUESTRAS Y LABORATORIO ",IF(O111=CURSOS!$D$15,"SOPORTE VITAL BASICO (BLS)",IF(O111=CURSOS!$D$16,"ATENCION A VICTIMAS DE VIOLENCIA SEXUAL ",IF(O111=CURSOS!$D$17,"PROGRAMADO AMPLIADO DE INMUNIZACION (PAI - COVID 19)",IF(O111=CURSOS!$D$18,"ATENCION INTEGRAL EN ENFERMEDADES PREVALENTES EN PRIMERA INFANCIA (AIEPI)",IF(O111=CURSOS!$D$19,"ADMINISTRACION DE MEDICAMENTOS, INYECTOLOGIA  Y CANALIZACION ",IF(O111=CURSOS!$D$20,"OPERADOR DE VEHICULOS DE EMERGENCIA (OVE)",IF(O111=CURSOS!$D$21,"INSTITUCIONES AMIGAS DE LA MUJER Y LA INFANCIA (IAMI)",IF(O111=CURSOS!$D$22,"CUIDADO DEL DONANTE DE ORGANOS",IF(O111=CURSOS!$D$23,"ATENCION A VICTIMAS POR VIOLENCIA DE GENERO",IF(O111=CURSOS!$D$24,"IGUALDAD DE GENERO EN LA SALUD",IF(O111=CURSOS!$D$25,"BRIGADA DE EMERGENCIA",IF(O111=CURSOS!$D$26,"MANEJO DEL DOLOR Y CUIDADOS PALIATIVOS",IF(O111=CURSOS!$D$27,"TOMA DE MUESTRAS Y LABORATORIO POCT",IF(O111=CURSOS!$D$28,"IMPLANTE SUBDERMICO DE DISPOSITIVO INTRAUTERINO",IF(O111=CURSOS!$D$29,"SALUD MENTAL",IF(O111=CURSOS!$D$30,"PRIMEROS AUXILIOS PSICOLOGICOS",IF(O111=CURSOS!$D$31,"ATENCION A VICTIMAS POR CONFLICTO ARMADO",IF(O111=CURSOS!$D$32,"MANIPULACION DE ALIMENTOS Y BPM",IF(O111=CURSOS!$D$33,"ATENCION A PERSONAS CON DISCAPACIDAD",IF(O111=CURSOS!$D$34,"CUIDADO INTEGRAL DEL PACIENTE ADULTO",IF(O111=CURSOS!$D$35,"MANEJO DEFENSIVO",IF(O111=CURSOS!$D$36,"SOPORTE CARDIOVASCULAR AVANZADO NEONATAL",IF(O111=CURSOS!$D$37,"SEGURIDAD DEL PACIENTE",IF(O111=CURSOS!$D$38,"MANEJO DE RESIDUOS HOSPITALARIOS"))))))))))))))))))))))))))))))))))))</f>
        <v>0</v>
      </c>
      <c r="V111" s="59" t="str">
        <f t="shared" si="6"/>
        <v xml:space="preserve">   </v>
      </c>
      <c r="W111" s="59" t="str">
        <f t="shared" si="4"/>
        <v xml:space="preserve">   </v>
      </c>
      <c r="X111" s="59" t="str">
        <f t="shared" si="7"/>
        <v xml:space="preserve">   --</v>
      </c>
    </row>
    <row r="112" spans="1:24" s="75" customFormat="1" x14ac:dyDescent="0.2">
      <c r="A112" s="55">
        <v>111</v>
      </c>
      <c r="B112" s="53"/>
      <c r="C112" s="53"/>
      <c r="D112" s="53"/>
      <c r="E112" s="53"/>
      <c r="F112" s="53"/>
      <c r="G112" s="53"/>
      <c r="H112" s="53"/>
      <c r="I112" s="73"/>
      <c r="J112" s="69"/>
      <c r="K112" s="70"/>
      <c r="L112" s="54"/>
      <c r="M112" s="53"/>
      <c r="N112" s="54"/>
      <c r="O112" s="53"/>
      <c r="P112" s="53"/>
      <c r="Q112" s="53"/>
      <c r="R112" s="53"/>
      <c r="S112" s="53"/>
      <c r="T112" s="53"/>
      <c r="U112" s="59" t="b">
        <f>IF(O112=CURSOS!$D$3,"DIPLOMADO EN ATENCION PRE-HOSPITALARIA",IF(O112=CURSOS!$D$4,"ACOMPAÑAMIENTO Y MANEJO DEL DUELO",IF(O112=CURSOS!$D$5,"ATENCION A VICTIMAS DE ATAQUE CON AGENTES QUIMICOS ",IF(O112=CURSOS!$D$6,"PRIMEROS AUXILIOS ",IF(O112=CURSOS!$D$7,"DIPLOMADO DE UNIDAD DE CUIDADOS INTENSIVOS (UCI)",IF(O112=CURSOS!$D$8,"MODELO DE ATENCION PARA EVENTOS EMERGENTES EN SALUD MENTAL (CODIGO VERDE)",IF(O112=CURSOS!$D$9,"HUMANIZACION EN EL SERVICIO DE LA SALUD Y BUENAS PRACTICAS EN PACIENTE ",IF(O112=CURSOS!$D$10,"CLINICA DE HERIDAS ",IF(O112=CURSOS!$D$11,"TOMA DE CITOLOGIA CERVICO VAGINAL ",IF(O112=CURSOS!$D$12,"SOPORTE CARDIOVASCULAR AVANZADO (ACLS) ",IF(O112=CURSOS!$D$13,"CAMILLERO ",IF(O112=CURSOS!$D$14,"TOMA DE MUESTRAS Y LABORATORIO ",IF(O112=CURSOS!$D$15,"SOPORTE VITAL BASICO (BLS)",IF(O112=CURSOS!$D$16,"ATENCION A VICTIMAS DE VIOLENCIA SEXUAL ",IF(O112=CURSOS!$D$17,"PROGRAMADO AMPLIADO DE INMUNIZACION (PAI - COVID 19)",IF(O112=CURSOS!$D$18,"ATENCION INTEGRAL EN ENFERMEDADES PREVALENTES EN PRIMERA INFANCIA (AIEPI)",IF(O112=CURSOS!$D$19,"ADMINISTRACION DE MEDICAMENTOS, INYECTOLOGIA  Y CANALIZACION ",IF(O112=CURSOS!$D$20,"OPERADOR DE VEHICULOS DE EMERGENCIA (OVE)",IF(O112=CURSOS!$D$21,"INSTITUCIONES AMIGAS DE LA MUJER Y LA INFANCIA (IAMI)",IF(O112=CURSOS!$D$22,"CUIDADO DEL DONANTE DE ORGANOS",IF(O112=CURSOS!$D$23,"ATENCION A VICTIMAS POR VIOLENCIA DE GENERO",IF(O112=CURSOS!$D$24,"IGUALDAD DE GENERO EN LA SALUD",IF(O112=CURSOS!$D$25,"BRIGADA DE EMERGENCIA",IF(O112=CURSOS!$D$26,"MANEJO DEL DOLOR Y CUIDADOS PALIATIVOS",IF(O112=CURSOS!$D$27,"TOMA DE MUESTRAS Y LABORATORIO POCT",IF(O112=CURSOS!$D$28,"IMPLANTE SUBDERMICO DE DISPOSITIVO INTRAUTERINO",IF(O112=CURSOS!$D$29,"SALUD MENTAL",IF(O112=CURSOS!$D$30,"PRIMEROS AUXILIOS PSICOLOGICOS",IF(O112=CURSOS!$D$31,"ATENCION A VICTIMAS POR CONFLICTO ARMADO",IF(O112=CURSOS!$D$32,"MANIPULACION DE ALIMENTOS Y BPM",IF(O112=CURSOS!$D$33,"ATENCION A PERSONAS CON DISCAPACIDAD",IF(O112=CURSOS!$D$34,"CUIDADO INTEGRAL DEL PACIENTE ADULTO",IF(O112=CURSOS!$D$35,"MANEJO DEFENSIVO",IF(O112=CURSOS!$D$36,"SOPORTE CARDIOVASCULAR AVANZADO NEONATAL",IF(O112=CURSOS!$D$37,"SEGURIDAD DEL PACIENTE",IF(O112=CURSOS!$D$38,"MANEJO DE RESIDUOS HOSPITALARIOS"))))))))))))))))))))))))))))))))))))</f>
        <v>0</v>
      </c>
      <c r="V112" s="59" t="str">
        <f t="shared" si="6"/>
        <v xml:space="preserve">   </v>
      </c>
      <c r="W112" s="59" t="str">
        <f t="shared" si="4"/>
        <v xml:space="preserve">   </v>
      </c>
      <c r="X112" s="59" t="str">
        <f t="shared" si="7"/>
        <v xml:space="preserve">   --</v>
      </c>
    </row>
    <row r="113" spans="1:24" s="75" customFormat="1" x14ac:dyDescent="0.2">
      <c r="A113" s="55">
        <v>112</v>
      </c>
      <c r="B113" s="53"/>
      <c r="C113" s="54"/>
      <c r="D113" s="54"/>
      <c r="E113" s="54"/>
      <c r="F113" s="54"/>
      <c r="G113" s="54"/>
      <c r="H113" s="53"/>
      <c r="I113" s="73"/>
      <c r="J113" s="76"/>
      <c r="K113" s="77"/>
      <c r="L113" s="54"/>
      <c r="M113" s="53"/>
      <c r="N113" s="54"/>
      <c r="O113" s="54"/>
      <c r="P113" s="54"/>
      <c r="Q113" s="54"/>
      <c r="R113" s="54"/>
      <c r="S113" s="54"/>
      <c r="T113" s="53"/>
      <c r="U113" s="59" t="b">
        <f>IF(O113=CURSOS!$D$3,"DIPLOMADO EN ATENCION PRE-HOSPITALARIA",IF(O113=CURSOS!$D$4,"ACOMPAÑAMIENTO Y MANEJO DEL DUELO",IF(O113=CURSOS!$D$5,"ATENCION A VICTIMAS DE ATAQUE CON AGENTES QUIMICOS ",IF(O113=CURSOS!$D$6,"PRIMEROS AUXILIOS ",IF(O113=CURSOS!$D$7,"DIPLOMADO DE UNIDAD DE CUIDADOS INTENSIVOS (UCI)",IF(O113=CURSOS!$D$8,"MODELO DE ATENCION PARA EVENTOS EMERGENTES EN SALUD MENTAL (CODIGO VERDE)",IF(O113=CURSOS!$D$9,"HUMANIZACION EN EL SERVICIO DE LA SALUD Y BUENAS PRACTICAS EN PACIENTE ",IF(O113=CURSOS!$D$10,"CLINICA DE HERIDAS ",IF(O113=CURSOS!$D$11,"TOMA DE CITOLOGIA CERVICO VAGINAL ",IF(O113=CURSOS!$D$12,"SOPORTE CARDIOVASCULAR AVANZADO (ACLS) ",IF(O113=CURSOS!$D$13,"CAMILLERO ",IF(O113=CURSOS!$D$14,"TOMA DE MUESTRAS Y LABORATORIO ",IF(O113=CURSOS!$D$15,"SOPORTE VITAL BASICO (BLS)",IF(O113=CURSOS!$D$16,"ATENCION A VICTIMAS DE VIOLENCIA SEXUAL ",IF(O113=CURSOS!$D$17,"PROGRAMADO AMPLIADO DE INMUNIZACION (PAI - COVID 19)",IF(O113=CURSOS!$D$18,"ATENCION INTEGRAL EN ENFERMEDADES PREVALENTES EN PRIMERA INFANCIA (AIEPI)",IF(O113=CURSOS!$D$19,"ADMINISTRACION DE MEDICAMENTOS, INYECTOLOGIA  Y CANALIZACION ",IF(O113=CURSOS!$D$20,"OPERADOR DE VEHICULOS DE EMERGENCIA (OVE)",IF(O113=CURSOS!$D$21,"INSTITUCIONES AMIGAS DE LA MUJER Y LA INFANCIA (IAMI)",IF(O113=CURSOS!$D$22,"CUIDADO DEL DONANTE DE ORGANOS",IF(O113=CURSOS!$D$23,"ATENCION A VICTIMAS POR VIOLENCIA DE GENERO",IF(O113=CURSOS!$D$24,"IGUALDAD DE GENERO EN LA SALUD",IF(O113=CURSOS!$D$25,"BRIGADA DE EMERGENCIA",IF(O113=CURSOS!$D$26,"MANEJO DEL DOLOR Y CUIDADOS PALIATIVOS",IF(O113=CURSOS!$D$27,"TOMA DE MUESTRAS Y LABORATORIO POCT",IF(O113=CURSOS!$D$28,"IMPLANTE SUBDERMICO DE DISPOSITIVO INTRAUTERINO",IF(O113=CURSOS!$D$29,"SALUD MENTAL",IF(O113=CURSOS!$D$30,"PRIMEROS AUXILIOS PSICOLOGICOS",IF(O113=CURSOS!$D$31,"ATENCION A VICTIMAS POR CONFLICTO ARMADO",IF(O113=CURSOS!$D$32,"MANIPULACION DE ALIMENTOS Y BPM",IF(O113=CURSOS!$D$33,"ATENCION A PERSONAS CON DISCAPACIDAD",IF(O113=CURSOS!$D$34,"CUIDADO INTEGRAL DEL PACIENTE ADULTO",IF(O113=CURSOS!$D$35,"MANEJO DEFENSIVO",IF(O113=CURSOS!$D$36,"SOPORTE CARDIOVASCULAR AVANZADO NEONATAL",IF(O113=CURSOS!$D$37,"SEGURIDAD DEL PACIENTE",IF(O113=CURSOS!$D$38,"MANEJO DE RESIDUOS HOSPITALARIOS"))))))))))))))))))))))))))))))))))))</f>
        <v>0</v>
      </c>
      <c r="V113" s="59" t="str">
        <f t="shared" si="6"/>
        <v xml:space="preserve">   </v>
      </c>
      <c r="W113" s="59" t="str">
        <f t="shared" si="4"/>
        <v xml:space="preserve">   </v>
      </c>
      <c r="X113" s="59" t="str">
        <f t="shared" si="7"/>
        <v xml:space="preserve">   --</v>
      </c>
    </row>
    <row r="114" spans="1:24" s="75" customFormat="1" x14ac:dyDescent="0.2">
      <c r="A114" s="55">
        <v>113</v>
      </c>
      <c r="B114" s="53"/>
      <c r="C114" s="54"/>
      <c r="D114" s="54"/>
      <c r="E114" s="54"/>
      <c r="F114" s="54"/>
      <c r="G114" s="54"/>
      <c r="H114" s="53"/>
      <c r="I114" s="73"/>
      <c r="J114" s="76"/>
      <c r="K114" s="77"/>
      <c r="L114" s="54"/>
      <c r="M114" s="53"/>
      <c r="N114" s="54"/>
      <c r="O114" s="54"/>
      <c r="P114" s="54"/>
      <c r="Q114" s="54"/>
      <c r="R114" s="54"/>
      <c r="S114" s="82"/>
      <c r="T114" s="53"/>
      <c r="U114" s="59" t="b">
        <f>IF(O114=CURSOS!$D$3,"DIPLOMADO EN ATENCION PRE-HOSPITALARIA",IF(O114=CURSOS!$D$4,"ACOMPAÑAMIENTO Y MANEJO DEL DUELO",IF(O114=CURSOS!$D$5,"ATENCION A VICTIMAS DE ATAQUE CON AGENTES QUIMICOS ",IF(O114=CURSOS!$D$6,"PRIMEROS AUXILIOS ",IF(O114=CURSOS!$D$7,"DIPLOMADO DE UNIDAD DE CUIDADOS INTENSIVOS (UCI)",IF(O114=CURSOS!$D$8,"MODELO DE ATENCION PARA EVENTOS EMERGENTES EN SALUD MENTAL (CODIGO VERDE)",IF(O114=CURSOS!$D$9,"HUMANIZACION EN EL SERVICIO DE LA SALUD Y BUENAS PRACTICAS EN PACIENTE ",IF(O114=CURSOS!$D$10,"CLINICA DE HERIDAS ",IF(O114=CURSOS!$D$11,"TOMA DE CITOLOGIA CERVICO VAGINAL ",IF(O114=CURSOS!$D$12,"SOPORTE CARDIOVASCULAR AVANZADO (ACLS) ",IF(O114=CURSOS!$D$13,"CAMILLERO ",IF(O114=CURSOS!$D$14,"TOMA DE MUESTRAS Y LABORATORIO ",IF(O114=CURSOS!$D$15,"SOPORTE VITAL BASICO (BLS)",IF(O114=CURSOS!$D$16,"ATENCION A VICTIMAS DE VIOLENCIA SEXUAL ",IF(O114=CURSOS!$D$17,"PROGRAMADO AMPLIADO DE INMUNIZACION (PAI - COVID 19)",IF(O114=CURSOS!$D$18,"ATENCION INTEGRAL EN ENFERMEDADES PREVALENTES EN PRIMERA INFANCIA (AIEPI)",IF(O114=CURSOS!$D$19,"ADMINISTRACION DE MEDICAMENTOS, INYECTOLOGIA  Y CANALIZACION ",IF(O114=CURSOS!$D$20,"OPERADOR DE VEHICULOS DE EMERGENCIA (OVE)",IF(O114=CURSOS!$D$21,"INSTITUCIONES AMIGAS DE LA MUJER Y LA INFANCIA (IAMI)",IF(O114=CURSOS!$D$22,"CUIDADO DEL DONANTE DE ORGANOS",IF(O114=CURSOS!$D$23,"ATENCION A VICTIMAS POR VIOLENCIA DE GENERO",IF(O114=CURSOS!$D$24,"IGUALDAD DE GENERO EN LA SALUD",IF(O114=CURSOS!$D$25,"BRIGADA DE EMERGENCIA",IF(O114=CURSOS!$D$26,"MANEJO DEL DOLOR Y CUIDADOS PALIATIVOS",IF(O114=CURSOS!$D$27,"TOMA DE MUESTRAS Y LABORATORIO POCT",IF(O114=CURSOS!$D$28,"IMPLANTE SUBDERMICO DE DISPOSITIVO INTRAUTERINO",IF(O114=CURSOS!$D$29,"SALUD MENTAL",IF(O114=CURSOS!$D$30,"PRIMEROS AUXILIOS PSICOLOGICOS",IF(O114=CURSOS!$D$31,"ATENCION A VICTIMAS POR CONFLICTO ARMADO",IF(O114=CURSOS!$D$32,"MANIPULACION DE ALIMENTOS Y BPM",IF(O114=CURSOS!$D$33,"ATENCION A PERSONAS CON DISCAPACIDAD",IF(O114=CURSOS!$D$34,"CUIDADO INTEGRAL DEL PACIENTE ADULTO",IF(O114=CURSOS!$D$35,"MANEJO DEFENSIVO",IF(O114=CURSOS!$D$36,"SOPORTE CARDIOVASCULAR AVANZADO NEONATAL",IF(O114=CURSOS!$D$37,"SEGURIDAD DEL PACIENTE",IF(O114=CURSOS!$D$38,"MANEJO DE RESIDUOS HOSPITALARIOS"))))))))))))))))))))))))))))))))))))</f>
        <v>0</v>
      </c>
      <c r="V114" s="59" t="str">
        <f t="shared" si="6"/>
        <v xml:space="preserve">   </v>
      </c>
      <c r="W114" s="59" t="str">
        <f t="shared" si="4"/>
        <v xml:space="preserve">   </v>
      </c>
      <c r="X114" s="59" t="str">
        <f t="shared" si="7"/>
        <v xml:space="preserve">   --</v>
      </c>
    </row>
    <row r="115" spans="1:24" s="75" customFormat="1" x14ac:dyDescent="0.2">
      <c r="A115" s="55">
        <v>114</v>
      </c>
      <c r="B115" s="53"/>
      <c r="C115" s="54"/>
      <c r="D115" s="54"/>
      <c r="E115" s="54"/>
      <c r="F115" s="54"/>
      <c r="G115" s="54"/>
      <c r="H115" s="53"/>
      <c r="I115" s="24"/>
      <c r="J115" s="76"/>
      <c r="K115" s="77"/>
      <c r="L115" s="54"/>
      <c r="M115" s="53"/>
      <c r="N115" s="54"/>
      <c r="O115" s="54"/>
      <c r="P115" s="54"/>
      <c r="Q115" s="54"/>
      <c r="R115" s="54"/>
      <c r="S115" s="82"/>
      <c r="T115" s="53"/>
      <c r="U115" s="59" t="b">
        <f>IF(O115=CURSOS!$D$3,"DIPLOMADO EN ATENCION PRE-HOSPITALARIA",IF(O115=CURSOS!$D$4,"ACOMPAÑAMIENTO Y MANEJO DEL DUELO",IF(O115=CURSOS!$D$5,"ATENCION A VICTIMAS DE ATAQUE CON AGENTES QUIMICOS ",IF(O115=CURSOS!$D$6,"PRIMEROS AUXILIOS ",IF(O115=CURSOS!$D$7,"DIPLOMADO DE UNIDAD DE CUIDADOS INTENSIVOS (UCI)",IF(O115=CURSOS!$D$8,"MODELO DE ATENCION PARA EVENTOS EMERGENTES EN SALUD MENTAL (CODIGO VERDE)",IF(O115=CURSOS!$D$9,"HUMANIZACION EN EL SERVICIO DE LA SALUD Y BUENAS PRACTICAS EN PACIENTE ",IF(O115=CURSOS!$D$10,"CLINICA DE HERIDAS ",IF(O115=CURSOS!$D$11,"TOMA DE CITOLOGIA CERVICO VAGINAL ",IF(O115=CURSOS!$D$12,"SOPORTE CARDIOVASCULAR AVANZADO (ACLS) ",IF(O115=CURSOS!$D$13,"CAMILLERO ",IF(O115=CURSOS!$D$14,"TOMA DE MUESTRAS Y LABORATORIO ",IF(O115=CURSOS!$D$15,"SOPORTE VITAL BASICO (BLS)",IF(O115=CURSOS!$D$16,"ATENCION A VICTIMAS DE VIOLENCIA SEXUAL ",IF(O115=CURSOS!$D$17,"PROGRAMADO AMPLIADO DE INMUNIZACION (PAI - COVID 19)",IF(O115=CURSOS!$D$18,"ATENCION INTEGRAL EN ENFERMEDADES PREVALENTES EN PRIMERA INFANCIA (AIEPI)",IF(O115=CURSOS!$D$19,"ADMINISTRACION DE MEDICAMENTOS, INYECTOLOGIA  Y CANALIZACION ",IF(O115=CURSOS!$D$20,"OPERADOR DE VEHICULOS DE EMERGENCIA (OVE)",IF(O115=CURSOS!$D$21,"INSTITUCIONES AMIGAS DE LA MUJER Y LA INFANCIA (IAMI)",IF(O115=CURSOS!$D$22,"CUIDADO DEL DONANTE DE ORGANOS",IF(O115=CURSOS!$D$23,"ATENCION A VICTIMAS POR VIOLENCIA DE GENERO",IF(O115=CURSOS!$D$24,"IGUALDAD DE GENERO EN LA SALUD",IF(O115=CURSOS!$D$25,"BRIGADA DE EMERGENCIA",IF(O115=CURSOS!$D$26,"MANEJO DEL DOLOR Y CUIDADOS PALIATIVOS",IF(O115=CURSOS!$D$27,"TOMA DE MUESTRAS Y LABORATORIO POCT",IF(O115=CURSOS!$D$28,"IMPLANTE SUBDERMICO DE DISPOSITIVO INTRAUTERINO",IF(O115=CURSOS!$D$29,"SALUD MENTAL",IF(O115=CURSOS!$D$30,"PRIMEROS AUXILIOS PSICOLOGICOS",IF(O115=CURSOS!$D$31,"ATENCION A VICTIMAS POR CONFLICTO ARMADO",IF(O115=CURSOS!$D$32,"MANIPULACION DE ALIMENTOS Y BPM",IF(O115=CURSOS!$D$33,"ATENCION A PERSONAS CON DISCAPACIDAD",IF(O115=CURSOS!$D$34,"CUIDADO INTEGRAL DEL PACIENTE ADULTO",IF(O115=CURSOS!$D$35,"MANEJO DEFENSIVO",IF(O115=CURSOS!$D$36,"SOPORTE CARDIOVASCULAR AVANZADO NEONATAL",IF(O115=CURSOS!$D$37,"SEGURIDAD DEL PACIENTE",IF(O115=CURSOS!$D$38,"MANEJO DE RESIDUOS HOSPITALARIOS"))))))))))))))))))))))))))))))))))))</f>
        <v>0</v>
      </c>
      <c r="V115" s="59" t="str">
        <f t="shared" si="6"/>
        <v xml:space="preserve">   </v>
      </c>
      <c r="W115" s="59" t="str">
        <f t="shared" si="4"/>
        <v xml:space="preserve">   </v>
      </c>
      <c r="X115" s="59" t="str">
        <f t="shared" si="7"/>
        <v xml:space="preserve">   --</v>
      </c>
    </row>
    <row r="116" spans="1:24" s="75" customFormat="1" x14ac:dyDescent="0.2">
      <c r="A116" s="55">
        <v>115</v>
      </c>
      <c r="B116" s="53"/>
      <c r="C116" s="54"/>
      <c r="D116" s="54"/>
      <c r="E116" s="54"/>
      <c r="F116" s="54"/>
      <c r="G116" s="54"/>
      <c r="H116" s="53"/>
      <c r="I116" s="24"/>
      <c r="J116" s="76"/>
      <c r="K116" s="77"/>
      <c r="L116" s="54"/>
      <c r="M116" s="53"/>
      <c r="N116" s="54"/>
      <c r="O116" s="54"/>
      <c r="P116" s="54"/>
      <c r="Q116" s="54"/>
      <c r="R116" s="54"/>
      <c r="S116" s="82"/>
      <c r="T116" s="53"/>
      <c r="U116" s="59" t="b">
        <f>IF(O116=CURSOS!$D$3,"DIPLOMADO EN ATENCION PRE-HOSPITALARIA",IF(O116=CURSOS!$D$4,"ACOMPAÑAMIENTO Y MANEJO DEL DUELO",IF(O116=CURSOS!$D$5,"ATENCION A VICTIMAS DE ATAQUE CON AGENTES QUIMICOS ",IF(O116=CURSOS!$D$6,"PRIMEROS AUXILIOS ",IF(O116=CURSOS!$D$7,"DIPLOMADO DE UNIDAD DE CUIDADOS INTENSIVOS (UCI)",IF(O116=CURSOS!$D$8,"MODELO DE ATENCION PARA EVENTOS EMERGENTES EN SALUD MENTAL (CODIGO VERDE)",IF(O116=CURSOS!$D$9,"HUMANIZACION EN EL SERVICIO DE LA SALUD Y BUENAS PRACTICAS EN PACIENTE ",IF(O116=CURSOS!$D$10,"CLINICA DE HERIDAS ",IF(O116=CURSOS!$D$11,"TOMA DE CITOLOGIA CERVICO VAGINAL ",IF(O116=CURSOS!$D$12,"SOPORTE CARDIOVASCULAR AVANZADO (ACLS) ",IF(O116=CURSOS!$D$13,"CAMILLERO ",IF(O116=CURSOS!$D$14,"TOMA DE MUESTRAS Y LABORATORIO ",IF(O116=CURSOS!$D$15,"SOPORTE VITAL BASICO (BLS)",IF(O116=CURSOS!$D$16,"ATENCION A VICTIMAS DE VIOLENCIA SEXUAL ",IF(O116=CURSOS!$D$17,"PROGRAMADO AMPLIADO DE INMUNIZACION (PAI - COVID 19)",IF(O116=CURSOS!$D$18,"ATENCION INTEGRAL EN ENFERMEDADES PREVALENTES EN PRIMERA INFANCIA (AIEPI)",IF(O116=CURSOS!$D$19,"ADMINISTRACION DE MEDICAMENTOS, INYECTOLOGIA  Y CANALIZACION ",IF(O116=CURSOS!$D$20,"OPERADOR DE VEHICULOS DE EMERGENCIA (OVE)",IF(O116=CURSOS!$D$21,"INSTITUCIONES AMIGAS DE LA MUJER Y LA INFANCIA (IAMI)",IF(O116=CURSOS!$D$22,"CUIDADO DEL DONANTE DE ORGANOS",IF(O116=CURSOS!$D$23,"ATENCION A VICTIMAS POR VIOLENCIA DE GENERO",IF(O116=CURSOS!$D$24,"IGUALDAD DE GENERO EN LA SALUD",IF(O116=CURSOS!$D$25,"BRIGADA DE EMERGENCIA",IF(O116=CURSOS!$D$26,"MANEJO DEL DOLOR Y CUIDADOS PALIATIVOS",IF(O116=CURSOS!$D$27,"TOMA DE MUESTRAS Y LABORATORIO POCT",IF(O116=CURSOS!$D$28,"IMPLANTE SUBDERMICO DE DISPOSITIVO INTRAUTERINO",IF(O116=CURSOS!$D$29,"SALUD MENTAL",IF(O116=CURSOS!$D$30,"PRIMEROS AUXILIOS PSICOLOGICOS",IF(O116=CURSOS!$D$31,"ATENCION A VICTIMAS POR CONFLICTO ARMADO",IF(O116=CURSOS!$D$32,"MANIPULACION DE ALIMENTOS Y BPM",IF(O116=CURSOS!$D$33,"ATENCION A PERSONAS CON DISCAPACIDAD",IF(O116=CURSOS!$D$34,"CUIDADO INTEGRAL DEL PACIENTE ADULTO",IF(O116=CURSOS!$D$35,"MANEJO DEFENSIVO",IF(O116=CURSOS!$D$36,"SOPORTE CARDIOVASCULAR AVANZADO NEONATAL",IF(O116=CURSOS!$D$37,"SEGURIDAD DEL PACIENTE",IF(O116=CURSOS!$D$38,"MANEJO DE RESIDUOS HOSPITALARIOS"))))))))))))))))))))))))))))))))))))</f>
        <v>0</v>
      </c>
      <c r="V116" s="59" t="str">
        <f t="shared" si="6"/>
        <v xml:space="preserve">   </v>
      </c>
      <c r="W116" s="59" t="str">
        <f t="shared" si="4"/>
        <v xml:space="preserve">   </v>
      </c>
      <c r="X116" s="59" t="str">
        <f t="shared" si="7"/>
        <v xml:space="preserve">   --</v>
      </c>
    </row>
    <row r="117" spans="1:24" s="75" customFormat="1" x14ac:dyDescent="0.2">
      <c r="A117" s="55">
        <v>116</v>
      </c>
      <c r="B117" s="54"/>
      <c r="C117" s="54"/>
      <c r="D117" s="54"/>
      <c r="E117" s="54"/>
      <c r="F117" s="54"/>
      <c r="G117" s="54"/>
      <c r="H117" s="53"/>
      <c r="I117" s="24"/>
      <c r="J117" s="76"/>
      <c r="K117" s="77"/>
      <c r="L117" s="54"/>
      <c r="M117" s="53"/>
      <c r="N117" s="54"/>
      <c r="O117" s="54"/>
      <c r="P117" s="54"/>
      <c r="Q117" s="54"/>
      <c r="R117" s="54"/>
      <c r="S117" s="82"/>
      <c r="T117" s="53"/>
      <c r="U117" s="59" t="b">
        <f>IF(O117=CURSOS!$D$3,"DIPLOMADO EN ATENCION PRE-HOSPITALARIA",IF(O117=CURSOS!$D$4,"ACOMPAÑAMIENTO Y MANEJO DEL DUELO",IF(O117=CURSOS!$D$5,"ATENCION A VICTIMAS DE ATAQUE CON AGENTES QUIMICOS ",IF(O117=CURSOS!$D$6,"PRIMEROS AUXILIOS ",IF(O117=CURSOS!$D$7,"DIPLOMADO DE UNIDAD DE CUIDADOS INTENSIVOS (UCI)",IF(O117=CURSOS!$D$8,"MODELO DE ATENCION PARA EVENTOS EMERGENTES EN SALUD MENTAL (CODIGO VERDE)",IF(O117=CURSOS!$D$9,"HUMANIZACION EN EL SERVICIO DE LA SALUD Y BUENAS PRACTICAS EN PACIENTE ",IF(O117=CURSOS!$D$10,"CLINICA DE HERIDAS ",IF(O117=CURSOS!$D$11,"TOMA DE CITOLOGIA CERVICO VAGINAL ",IF(O117=CURSOS!$D$12,"SOPORTE CARDIOVASCULAR AVANZADO (ACLS) ",IF(O117=CURSOS!$D$13,"CAMILLERO ",IF(O117=CURSOS!$D$14,"TOMA DE MUESTRAS Y LABORATORIO ",IF(O117=CURSOS!$D$15,"SOPORTE VITAL BASICO (BLS)",IF(O117=CURSOS!$D$16,"ATENCION A VICTIMAS DE VIOLENCIA SEXUAL ",IF(O117=CURSOS!$D$17,"PROGRAMADO AMPLIADO DE INMUNIZACION (PAI - COVID 19)",IF(O117=CURSOS!$D$18,"ATENCION INTEGRAL EN ENFERMEDADES PREVALENTES EN PRIMERA INFANCIA (AIEPI)",IF(O117=CURSOS!$D$19,"ADMINISTRACION DE MEDICAMENTOS, INYECTOLOGIA  Y CANALIZACION ",IF(O117=CURSOS!$D$20,"OPERADOR DE VEHICULOS DE EMERGENCIA (OVE)",IF(O117=CURSOS!$D$21,"INSTITUCIONES AMIGAS DE LA MUJER Y LA INFANCIA (IAMI)",IF(O117=CURSOS!$D$22,"CUIDADO DEL DONANTE DE ORGANOS",IF(O117=CURSOS!$D$23,"ATENCION A VICTIMAS POR VIOLENCIA DE GENERO",IF(O117=CURSOS!$D$24,"IGUALDAD DE GENERO EN LA SALUD",IF(O117=CURSOS!$D$25,"BRIGADA DE EMERGENCIA",IF(O117=CURSOS!$D$26,"MANEJO DEL DOLOR Y CUIDADOS PALIATIVOS",IF(O117=CURSOS!$D$27,"TOMA DE MUESTRAS Y LABORATORIO POCT",IF(O117=CURSOS!$D$28,"IMPLANTE SUBDERMICO DE DISPOSITIVO INTRAUTERINO",IF(O117=CURSOS!$D$29,"SALUD MENTAL",IF(O117=CURSOS!$D$30,"PRIMEROS AUXILIOS PSICOLOGICOS",IF(O117=CURSOS!$D$31,"ATENCION A VICTIMAS POR CONFLICTO ARMADO",IF(O117=CURSOS!$D$32,"MANIPULACION DE ALIMENTOS Y BPM",IF(O117=CURSOS!$D$33,"ATENCION A PERSONAS CON DISCAPACIDAD",IF(O117=CURSOS!$D$34,"CUIDADO INTEGRAL DEL PACIENTE ADULTO",IF(O117=CURSOS!$D$35,"MANEJO DEFENSIVO",IF(O117=CURSOS!$D$36,"SOPORTE CARDIOVASCULAR AVANZADO NEONATAL",IF(O117=CURSOS!$D$37,"SEGURIDAD DEL PACIENTE",IF(O117=CURSOS!$D$38,"MANEJO DE RESIDUOS HOSPITALARIOS"))))))))))))))))))))))))))))))))))))</f>
        <v>0</v>
      </c>
      <c r="V117" s="59" t="str">
        <f t="shared" si="6"/>
        <v xml:space="preserve">   </v>
      </c>
      <c r="W117" s="59" t="str">
        <f t="shared" si="4"/>
        <v xml:space="preserve">   </v>
      </c>
      <c r="X117" s="59" t="str">
        <f t="shared" si="7"/>
        <v xml:space="preserve">   --</v>
      </c>
    </row>
    <row r="118" spans="1:24" s="75" customFormat="1" x14ac:dyDescent="0.2">
      <c r="A118" s="55">
        <v>117</v>
      </c>
      <c r="B118" s="54"/>
      <c r="C118" s="54"/>
      <c r="D118" s="54"/>
      <c r="E118" s="54"/>
      <c r="F118" s="54"/>
      <c r="G118" s="54"/>
      <c r="H118" s="53"/>
      <c r="I118" s="24"/>
      <c r="J118" s="76"/>
      <c r="K118" s="77"/>
      <c r="L118" s="54"/>
      <c r="M118" s="53"/>
      <c r="N118" s="54"/>
      <c r="O118" s="54"/>
      <c r="P118" s="54"/>
      <c r="Q118" s="54"/>
      <c r="R118" s="54"/>
      <c r="S118" s="54"/>
      <c r="T118" s="53"/>
      <c r="U118" s="59" t="b">
        <f>IF(O118=CURSOS!$D$3,"DIPLOMADO EN ATENCION PRE-HOSPITALARIA",IF(O118=CURSOS!$D$4,"ACOMPAÑAMIENTO Y MANEJO DEL DUELO",IF(O118=CURSOS!$D$5,"ATENCION A VICTIMAS DE ATAQUE CON AGENTES QUIMICOS ",IF(O118=CURSOS!$D$6,"PRIMEROS AUXILIOS ",IF(O118=CURSOS!$D$7,"DIPLOMADO DE UNIDAD DE CUIDADOS INTENSIVOS (UCI)",IF(O118=CURSOS!$D$8,"MODELO DE ATENCION PARA EVENTOS EMERGENTES EN SALUD MENTAL (CODIGO VERDE)",IF(O118=CURSOS!$D$9,"HUMANIZACION EN EL SERVICIO DE LA SALUD Y BUENAS PRACTICAS EN PACIENTE ",IF(O118=CURSOS!$D$10,"CLINICA DE HERIDAS ",IF(O118=CURSOS!$D$11,"TOMA DE CITOLOGIA CERVICO VAGINAL ",IF(O118=CURSOS!$D$12,"SOPORTE CARDIOVASCULAR AVANZADO (ACLS) ",IF(O118=CURSOS!$D$13,"CAMILLERO ",IF(O118=CURSOS!$D$14,"TOMA DE MUESTRAS Y LABORATORIO ",IF(O118=CURSOS!$D$15,"SOPORTE VITAL BASICO (BLS)",IF(O118=CURSOS!$D$16,"ATENCION A VICTIMAS DE VIOLENCIA SEXUAL ",IF(O118=CURSOS!$D$17,"PROGRAMADO AMPLIADO DE INMUNIZACION (PAI - COVID 19)",IF(O118=CURSOS!$D$18,"ATENCION INTEGRAL EN ENFERMEDADES PREVALENTES EN PRIMERA INFANCIA (AIEPI)",IF(O118=CURSOS!$D$19,"ADMINISTRACION DE MEDICAMENTOS, INYECTOLOGIA  Y CANALIZACION ",IF(O118=CURSOS!$D$20,"OPERADOR DE VEHICULOS DE EMERGENCIA (OVE)",IF(O118=CURSOS!$D$21,"INSTITUCIONES AMIGAS DE LA MUJER Y LA INFANCIA (IAMI)",IF(O118=CURSOS!$D$22,"CUIDADO DEL DONANTE DE ORGANOS",IF(O118=CURSOS!$D$23,"ATENCION A VICTIMAS POR VIOLENCIA DE GENERO",IF(O118=CURSOS!$D$24,"IGUALDAD DE GENERO EN LA SALUD",IF(O118=CURSOS!$D$25,"BRIGADA DE EMERGENCIA",IF(O118=CURSOS!$D$26,"MANEJO DEL DOLOR Y CUIDADOS PALIATIVOS",IF(O118=CURSOS!$D$27,"TOMA DE MUESTRAS Y LABORATORIO POCT",IF(O118=CURSOS!$D$28,"IMPLANTE SUBDERMICO DE DISPOSITIVO INTRAUTERINO",IF(O118=CURSOS!$D$29,"SALUD MENTAL",IF(O118=CURSOS!$D$30,"PRIMEROS AUXILIOS PSICOLOGICOS",IF(O118=CURSOS!$D$31,"ATENCION A VICTIMAS POR CONFLICTO ARMADO",IF(O118=CURSOS!$D$32,"MANIPULACION DE ALIMENTOS Y BPM",IF(O118=CURSOS!$D$33,"ATENCION A PERSONAS CON DISCAPACIDAD",IF(O118=CURSOS!$D$34,"CUIDADO INTEGRAL DEL PACIENTE ADULTO",IF(O118=CURSOS!$D$35,"MANEJO DEFENSIVO",IF(O118=CURSOS!$D$36,"SOPORTE CARDIOVASCULAR AVANZADO NEONATAL",IF(O118=CURSOS!$D$37,"SEGURIDAD DEL PACIENTE",IF(O118=CURSOS!$D$38,"MANEJO DE RESIDUOS HOSPITALARIOS"))))))))))))))))))))))))))))))))))))</f>
        <v>0</v>
      </c>
      <c r="V118" s="59" t="str">
        <f t="shared" si="6"/>
        <v xml:space="preserve">   </v>
      </c>
      <c r="W118" s="59" t="str">
        <f t="shared" si="4"/>
        <v xml:space="preserve">   </v>
      </c>
      <c r="X118" s="59" t="str">
        <f t="shared" si="7"/>
        <v xml:space="preserve">   --</v>
      </c>
    </row>
    <row r="119" spans="1:24" s="75" customFormat="1" x14ac:dyDescent="0.2">
      <c r="A119" s="55">
        <v>118</v>
      </c>
      <c r="B119" s="54"/>
      <c r="C119" s="54"/>
      <c r="D119" s="54"/>
      <c r="E119" s="54"/>
      <c r="F119" s="54"/>
      <c r="G119" s="54"/>
      <c r="H119" s="53"/>
      <c r="I119" s="24"/>
      <c r="J119" s="76"/>
      <c r="K119" s="77"/>
      <c r="L119" s="54"/>
      <c r="M119" s="53"/>
      <c r="N119" s="54"/>
      <c r="O119" s="54"/>
      <c r="P119" s="54"/>
      <c r="Q119" s="54"/>
      <c r="R119" s="54"/>
      <c r="S119" s="54"/>
      <c r="T119" s="53"/>
      <c r="U119" s="59" t="b">
        <f>IF(O119=CURSOS!$D$3,"DIPLOMADO EN ATENCION PRE-HOSPITALARIA",IF(O119=CURSOS!$D$4,"ACOMPAÑAMIENTO Y MANEJO DEL DUELO",IF(O119=CURSOS!$D$5,"ATENCION A VICTIMAS DE ATAQUE CON AGENTES QUIMICOS ",IF(O119=CURSOS!$D$6,"PRIMEROS AUXILIOS ",IF(O119=CURSOS!$D$7,"DIPLOMADO DE UNIDAD DE CUIDADOS INTENSIVOS (UCI)",IF(O119=CURSOS!$D$8,"MODELO DE ATENCION PARA EVENTOS EMERGENTES EN SALUD MENTAL (CODIGO VERDE)",IF(O119=CURSOS!$D$9,"HUMANIZACION EN EL SERVICIO DE LA SALUD Y BUENAS PRACTICAS EN PACIENTE ",IF(O119=CURSOS!$D$10,"CLINICA DE HERIDAS ",IF(O119=CURSOS!$D$11,"TOMA DE CITOLOGIA CERVICO VAGINAL ",IF(O119=CURSOS!$D$12,"SOPORTE CARDIOVASCULAR AVANZADO (ACLS) ",IF(O119=CURSOS!$D$13,"CAMILLERO ",IF(O119=CURSOS!$D$14,"TOMA DE MUESTRAS Y LABORATORIO ",IF(O119=CURSOS!$D$15,"SOPORTE VITAL BASICO (BLS)",IF(O119=CURSOS!$D$16,"ATENCION A VICTIMAS DE VIOLENCIA SEXUAL ",IF(O119=CURSOS!$D$17,"PROGRAMADO AMPLIADO DE INMUNIZACION (PAI - COVID 19)",IF(O119=CURSOS!$D$18,"ATENCION INTEGRAL EN ENFERMEDADES PREVALENTES EN PRIMERA INFANCIA (AIEPI)",IF(O119=CURSOS!$D$19,"ADMINISTRACION DE MEDICAMENTOS, INYECTOLOGIA  Y CANALIZACION ",IF(O119=CURSOS!$D$20,"OPERADOR DE VEHICULOS DE EMERGENCIA (OVE)",IF(O119=CURSOS!$D$21,"INSTITUCIONES AMIGAS DE LA MUJER Y LA INFANCIA (IAMI)",IF(O119=CURSOS!$D$22,"CUIDADO DEL DONANTE DE ORGANOS",IF(O119=CURSOS!$D$23,"ATENCION A VICTIMAS POR VIOLENCIA DE GENERO",IF(O119=CURSOS!$D$24,"IGUALDAD DE GENERO EN LA SALUD",IF(O119=CURSOS!$D$25,"BRIGADA DE EMERGENCIA",IF(O119=CURSOS!$D$26,"MANEJO DEL DOLOR Y CUIDADOS PALIATIVOS",IF(O119=CURSOS!$D$27,"TOMA DE MUESTRAS Y LABORATORIO POCT",IF(O119=CURSOS!$D$28,"IMPLANTE SUBDERMICO DE DISPOSITIVO INTRAUTERINO",IF(O119=CURSOS!$D$29,"SALUD MENTAL",IF(O119=CURSOS!$D$30,"PRIMEROS AUXILIOS PSICOLOGICOS",IF(O119=CURSOS!$D$31,"ATENCION A VICTIMAS POR CONFLICTO ARMADO",IF(O119=CURSOS!$D$32,"MANIPULACION DE ALIMENTOS Y BPM",IF(O119=CURSOS!$D$33,"ATENCION A PERSONAS CON DISCAPACIDAD",IF(O119=CURSOS!$D$34,"CUIDADO INTEGRAL DEL PACIENTE ADULTO",IF(O119=CURSOS!$D$35,"MANEJO DEFENSIVO",IF(O119=CURSOS!$D$36,"SOPORTE CARDIOVASCULAR AVANZADO NEONATAL",IF(O119=CURSOS!$D$37,"SEGURIDAD DEL PACIENTE",IF(O119=CURSOS!$D$38,"MANEJO DE RESIDUOS HOSPITALARIOS"))))))))))))))))))))))))))))))))))))</f>
        <v>0</v>
      </c>
      <c r="V119" s="59" t="str">
        <f t="shared" si="6"/>
        <v xml:space="preserve">   </v>
      </c>
      <c r="W119" s="59" t="str">
        <f t="shared" si="4"/>
        <v xml:space="preserve">   </v>
      </c>
      <c r="X119" s="59" t="str">
        <f t="shared" si="7"/>
        <v xml:space="preserve">   --</v>
      </c>
    </row>
    <row r="120" spans="1:24" s="75" customFormat="1" x14ac:dyDescent="0.2">
      <c r="A120" s="55">
        <v>119</v>
      </c>
      <c r="B120" s="54"/>
      <c r="C120" s="54"/>
      <c r="D120" s="54"/>
      <c r="E120" s="54"/>
      <c r="F120" s="54"/>
      <c r="G120" s="54"/>
      <c r="H120" s="53"/>
      <c r="I120" s="24"/>
      <c r="J120" s="76"/>
      <c r="K120" s="77"/>
      <c r="L120" s="54"/>
      <c r="M120" s="53"/>
      <c r="N120" s="54"/>
      <c r="O120" s="54"/>
      <c r="P120" s="54"/>
      <c r="Q120" s="54"/>
      <c r="R120" s="54"/>
      <c r="S120" s="82"/>
      <c r="T120" s="53"/>
      <c r="U120" s="59" t="b">
        <f>IF(O120=CURSOS!$D$3,"DIPLOMADO EN ATENCION PRE-HOSPITALARIA",IF(O120=CURSOS!$D$4,"ACOMPAÑAMIENTO Y MANEJO DEL DUELO",IF(O120=CURSOS!$D$5,"ATENCION A VICTIMAS DE ATAQUE CON AGENTES QUIMICOS ",IF(O120=CURSOS!$D$6,"PRIMEROS AUXILIOS ",IF(O120=CURSOS!$D$7,"DIPLOMADO DE UNIDAD DE CUIDADOS INTENSIVOS (UCI)",IF(O120=CURSOS!$D$8,"MODELO DE ATENCION PARA EVENTOS EMERGENTES EN SALUD MENTAL (CODIGO VERDE)",IF(O120=CURSOS!$D$9,"HUMANIZACION EN EL SERVICIO DE LA SALUD Y BUENAS PRACTICAS EN PACIENTE ",IF(O120=CURSOS!$D$10,"CLINICA DE HERIDAS ",IF(O120=CURSOS!$D$11,"TOMA DE CITOLOGIA CERVICO VAGINAL ",IF(O120=CURSOS!$D$12,"SOPORTE CARDIOVASCULAR AVANZADO (ACLS) ",IF(O120=CURSOS!$D$13,"CAMILLERO ",IF(O120=CURSOS!$D$14,"TOMA DE MUESTRAS Y LABORATORIO ",IF(O120=CURSOS!$D$15,"SOPORTE VITAL BASICO (BLS)",IF(O120=CURSOS!$D$16,"ATENCION A VICTIMAS DE VIOLENCIA SEXUAL ",IF(O120=CURSOS!$D$17,"PROGRAMADO AMPLIADO DE INMUNIZACION (PAI - COVID 19)",IF(O120=CURSOS!$D$18,"ATENCION INTEGRAL EN ENFERMEDADES PREVALENTES EN PRIMERA INFANCIA (AIEPI)",IF(O120=CURSOS!$D$19,"ADMINISTRACION DE MEDICAMENTOS, INYECTOLOGIA  Y CANALIZACION ",IF(O120=CURSOS!$D$20,"OPERADOR DE VEHICULOS DE EMERGENCIA (OVE)",IF(O120=CURSOS!$D$21,"INSTITUCIONES AMIGAS DE LA MUJER Y LA INFANCIA (IAMI)",IF(O120=CURSOS!$D$22,"CUIDADO DEL DONANTE DE ORGANOS",IF(O120=CURSOS!$D$23,"ATENCION A VICTIMAS POR VIOLENCIA DE GENERO",IF(O120=CURSOS!$D$24,"IGUALDAD DE GENERO EN LA SALUD",IF(O120=CURSOS!$D$25,"BRIGADA DE EMERGENCIA",IF(O120=CURSOS!$D$26,"MANEJO DEL DOLOR Y CUIDADOS PALIATIVOS",IF(O120=CURSOS!$D$27,"TOMA DE MUESTRAS Y LABORATORIO POCT",IF(O120=CURSOS!$D$28,"IMPLANTE SUBDERMICO DE DISPOSITIVO INTRAUTERINO",IF(O120=CURSOS!$D$29,"SALUD MENTAL",IF(O120=CURSOS!$D$30,"PRIMEROS AUXILIOS PSICOLOGICOS",IF(O120=CURSOS!$D$31,"ATENCION A VICTIMAS POR CONFLICTO ARMADO",IF(O120=CURSOS!$D$32,"MANIPULACION DE ALIMENTOS Y BPM",IF(O120=CURSOS!$D$33,"ATENCION A PERSONAS CON DISCAPACIDAD",IF(O120=CURSOS!$D$34,"CUIDADO INTEGRAL DEL PACIENTE ADULTO",IF(O120=CURSOS!$D$35,"MANEJO DEFENSIVO",IF(O120=CURSOS!$D$36,"SOPORTE CARDIOVASCULAR AVANZADO NEONATAL",IF(O120=CURSOS!$D$37,"SEGURIDAD DEL PACIENTE",IF(O120=CURSOS!$D$38,"MANEJO DE RESIDUOS HOSPITALARIOS"))))))))))))))))))))))))))))))))))))</f>
        <v>0</v>
      </c>
      <c r="V120" s="59" t="str">
        <f t="shared" si="6"/>
        <v xml:space="preserve">   </v>
      </c>
      <c r="W120" s="59" t="str">
        <f t="shared" si="4"/>
        <v xml:space="preserve">   </v>
      </c>
      <c r="X120" s="59" t="str">
        <f t="shared" si="7"/>
        <v xml:space="preserve">   --</v>
      </c>
    </row>
    <row r="121" spans="1:24" s="75" customFormat="1" x14ac:dyDescent="0.2">
      <c r="A121" s="55">
        <v>120</v>
      </c>
      <c r="B121" s="54"/>
      <c r="C121" s="54"/>
      <c r="D121" s="54"/>
      <c r="E121" s="54"/>
      <c r="F121" s="54"/>
      <c r="G121" s="54"/>
      <c r="H121" s="53"/>
      <c r="I121" s="24"/>
      <c r="J121" s="76"/>
      <c r="K121" s="70"/>
      <c r="L121" s="54"/>
      <c r="M121" s="53"/>
      <c r="N121" s="54"/>
      <c r="O121" s="54"/>
      <c r="P121" s="54"/>
      <c r="Q121" s="54"/>
      <c r="R121" s="54"/>
      <c r="S121" s="82"/>
      <c r="T121" s="53"/>
      <c r="U121" s="59" t="b">
        <f>IF(O121=CURSOS!$D$3,"DIPLOMADO EN ATENCION PRE-HOSPITALARIA",IF(O121=CURSOS!$D$4,"ACOMPAÑAMIENTO Y MANEJO DEL DUELO",IF(O121=CURSOS!$D$5,"ATENCION A VICTIMAS DE ATAQUE CON AGENTES QUIMICOS ",IF(O121=CURSOS!$D$6,"PRIMEROS AUXILIOS ",IF(O121=CURSOS!$D$7,"DIPLOMADO DE UNIDAD DE CUIDADOS INTENSIVOS (UCI)",IF(O121=CURSOS!$D$8,"MODELO DE ATENCION PARA EVENTOS EMERGENTES EN SALUD MENTAL (CODIGO VERDE)",IF(O121=CURSOS!$D$9,"HUMANIZACION EN EL SERVICIO DE LA SALUD Y BUENAS PRACTICAS EN PACIENTE ",IF(O121=CURSOS!$D$10,"CLINICA DE HERIDAS ",IF(O121=CURSOS!$D$11,"TOMA DE CITOLOGIA CERVICO VAGINAL ",IF(O121=CURSOS!$D$12,"SOPORTE CARDIOVASCULAR AVANZADO (ACLS) ",IF(O121=CURSOS!$D$13,"CAMILLERO ",IF(O121=CURSOS!$D$14,"TOMA DE MUESTRAS Y LABORATORIO ",IF(O121=CURSOS!$D$15,"SOPORTE VITAL BASICO (BLS)",IF(O121=CURSOS!$D$16,"ATENCION A VICTIMAS DE VIOLENCIA SEXUAL ",IF(O121=CURSOS!$D$17,"PROGRAMADO AMPLIADO DE INMUNIZACION (PAI - COVID 19)",IF(O121=CURSOS!$D$18,"ATENCION INTEGRAL EN ENFERMEDADES PREVALENTES EN PRIMERA INFANCIA (AIEPI)",IF(O121=CURSOS!$D$19,"ADMINISTRACION DE MEDICAMENTOS, INYECTOLOGIA  Y CANALIZACION ",IF(O121=CURSOS!$D$20,"OPERADOR DE VEHICULOS DE EMERGENCIA (OVE)",IF(O121=CURSOS!$D$21,"INSTITUCIONES AMIGAS DE LA MUJER Y LA INFANCIA (IAMI)",IF(O121=CURSOS!$D$22,"CUIDADO DEL DONANTE DE ORGANOS",IF(O121=CURSOS!$D$23,"ATENCION A VICTIMAS POR VIOLENCIA DE GENERO",IF(O121=CURSOS!$D$24,"IGUALDAD DE GENERO EN LA SALUD",IF(O121=CURSOS!$D$25,"BRIGADA DE EMERGENCIA",IF(O121=CURSOS!$D$26,"MANEJO DEL DOLOR Y CUIDADOS PALIATIVOS",IF(O121=CURSOS!$D$27,"TOMA DE MUESTRAS Y LABORATORIO POCT",IF(O121=CURSOS!$D$28,"IMPLANTE SUBDERMICO DE DISPOSITIVO INTRAUTERINO",IF(O121=CURSOS!$D$29,"SALUD MENTAL",IF(O121=CURSOS!$D$30,"PRIMEROS AUXILIOS PSICOLOGICOS",IF(O121=CURSOS!$D$31,"ATENCION A VICTIMAS POR CONFLICTO ARMADO",IF(O121=CURSOS!$D$32,"MANIPULACION DE ALIMENTOS Y BPM",IF(O121=CURSOS!$D$33,"ATENCION A PERSONAS CON DISCAPACIDAD",IF(O121=CURSOS!$D$34,"CUIDADO INTEGRAL DEL PACIENTE ADULTO",IF(O121=CURSOS!$D$35,"MANEJO DEFENSIVO",IF(O121=CURSOS!$D$36,"SOPORTE CARDIOVASCULAR AVANZADO NEONATAL",IF(O121=CURSOS!$D$37,"SEGURIDAD DEL PACIENTE",IF(O121=CURSOS!$D$38,"MANEJO DE RESIDUOS HOSPITALARIOS"))))))))))))))))))))))))))))))))))))</f>
        <v>0</v>
      </c>
      <c r="V121" s="59" t="str">
        <f t="shared" si="6"/>
        <v xml:space="preserve">   </v>
      </c>
      <c r="W121" s="59" t="str">
        <f t="shared" si="4"/>
        <v xml:space="preserve">   </v>
      </c>
      <c r="X121" s="59" t="str">
        <f t="shared" si="7"/>
        <v xml:space="preserve">   --</v>
      </c>
    </row>
    <row r="122" spans="1:24" s="75" customFormat="1" x14ac:dyDescent="0.2">
      <c r="A122" s="55">
        <v>121</v>
      </c>
      <c r="B122" s="54"/>
      <c r="C122" s="54"/>
      <c r="D122" s="54"/>
      <c r="E122" s="54"/>
      <c r="F122" s="54"/>
      <c r="G122" s="54"/>
      <c r="H122" s="53"/>
      <c r="I122" s="24"/>
      <c r="J122" s="76"/>
      <c r="K122" s="70"/>
      <c r="L122" s="54"/>
      <c r="M122" s="53"/>
      <c r="N122" s="54"/>
      <c r="O122" s="54"/>
      <c r="P122" s="54"/>
      <c r="Q122" s="54"/>
      <c r="R122" s="54"/>
      <c r="S122" s="82"/>
      <c r="T122" s="53"/>
      <c r="U122" s="59" t="b">
        <f>IF(O122=CURSOS!$D$3,"DIPLOMADO EN ATENCION PRE-HOSPITALARIA",IF(O122=CURSOS!$D$4,"ACOMPAÑAMIENTO Y MANEJO DEL DUELO",IF(O122=CURSOS!$D$5,"ATENCION A VICTIMAS DE ATAQUE CON AGENTES QUIMICOS ",IF(O122=CURSOS!$D$6,"PRIMEROS AUXILIOS ",IF(O122=CURSOS!$D$7,"DIPLOMADO DE UNIDAD DE CUIDADOS INTENSIVOS (UCI)",IF(O122=CURSOS!$D$8,"MODELO DE ATENCION PARA EVENTOS EMERGENTES EN SALUD MENTAL (CODIGO VERDE)",IF(O122=CURSOS!$D$9,"HUMANIZACION EN EL SERVICIO DE LA SALUD Y BUENAS PRACTICAS EN PACIENTE ",IF(O122=CURSOS!$D$10,"CLINICA DE HERIDAS ",IF(O122=CURSOS!$D$11,"TOMA DE CITOLOGIA CERVICO VAGINAL ",IF(O122=CURSOS!$D$12,"SOPORTE CARDIOVASCULAR AVANZADO (ACLS) ",IF(O122=CURSOS!$D$13,"CAMILLERO ",IF(O122=CURSOS!$D$14,"TOMA DE MUESTRAS Y LABORATORIO ",IF(O122=CURSOS!$D$15,"SOPORTE VITAL BASICO (BLS)",IF(O122=CURSOS!$D$16,"ATENCION A VICTIMAS DE VIOLENCIA SEXUAL ",IF(O122=CURSOS!$D$17,"PROGRAMADO AMPLIADO DE INMUNIZACION (PAI - COVID 19)",IF(O122=CURSOS!$D$18,"ATENCION INTEGRAL EN ENFERMEDADES PREVALENTES EN PRIMERA INFANCIA (AIEPI)",IF(O122=CURSOS!$D$19,"ADMINISTRACION DE MEDICAMENTOS, INYECTOLOGIA  Y CANALIZACION ",IF(O122=CURSOS!$D$20,"OPERADOR DE VEHICULOS DE EMERGENCIA (OVE)",IF(O122=CURSOS!$D$21,"INSTITUCIONES AMIGAS DE LA MUJER Y LA INFANCIA (IAMI)",IF(O122=CURSOS!$D$22,"CUIDADO DEL DONANTE DE ORGANOS",IF(O122=CURSOS!$D$23,"ATENCION A VICTIMAS POR VIOLENCIA DE GENERO",IF(O122=CURSOS!$D$24,"IGUALDAD DE GENERO EN LA SALUD",IF(O122=CURSOS!$D$25,"BRIGADA DE EMERGENCIA",IF(O122=CURSOS!$D$26,"MANEJO DEL DOLOR Y CUIDADOS PALIATIVOS",IF(O122=CURSOS!$D$27,"TOMA DE MUESTRAS Y LABORATORIO POCT",IF(O122=CURSOS!$D$28,"IMPLANTE SUBDERMICO DE DISPOSITIVO INTRAUTERINO",IF(O122=CURSOS!$D$29,"SALUD MENTAL",IF(O122=CURSOS!$D$30,"PRIMEROS AUXILIOS PSICOLOGICOS",IF(O122=CURSOS!$D$31,"ATENCION A VICTIMAS POR CONFLICTO ARMADO",IF(O122=CURSOS!$D$32,"MANIPULACION DE ALIMENTOS Y BPM",IF(O122=CURSOS!$D$33,"ATENCION A PERSONAS CON DISCAPACIDAD",IF(O122=CURSOS!$D$34,"CUIDADO INTEGRAL DEL PACIENTE ADULTO",IF(O122=CURSOS!$D$35,"MANEJO DEFENSIVO",IF(O122=CURSOS!$D$36,"SOPORTE CARDIOVASCULAR AVANZADO NEONATAL",IF(O122=CURSOS!$D$37,"SEGURIDAD DEL PACIENTE",IF(O122=CURSOS!$D$38,"MANEJO DE RESIDUOS HOSPITALARIOS"))))))))))))))))))))))))))))))))))))</f>
        <v>0</v>
      </c>
      <c r="V122" s="59" t="str">
        <f t="shared" si="6"/>
        <v xml:space="preserve">   </v>
      </c>
      <c r="W122" s="59" t="str">
        <f t="shared" si="4"/>
        <v xml:space="preserve">   </v>
      </c>
      <c r="X122" s="59" t="str">
        <f t="shared" si="7"/>
        <v xml:space="preserve">   --</v>
      </c>
    </row>
    <row r="123" spans="1:24" s="75" customFormat="1" x14ac:dyDescent="0.2">
      <c r="A123" s="55">
        <v>122</v>
      </c>
      <c r="B123" s="54"/>
      <c r="C123" s="54"/>
      <c r="D123" s="54"/>
      <c r="E123" s="54"/>
      <c r="F123" s="54"/>
      <c r="G123" s="54"/>
      <c r="H123" s="53"/>
      <c r="I123" s="24"/>
      <c r="J123" s="76"/>
      <c r="K123" s="70"/>
      <c r="L123" s="54"/>
      <c r="M123" s="53"/>
      <c r="N123" s="54"/>
      <c r="O123" s="53"/>
      <c r="P123" s="54"/>
      <c r="Q123" s="54"/>
      <c r="R123" s="54"/>
      <c r="S123" s="54"/>
      <c r="T123" s="53"/>
      <c r="U123" s="59" t="b">
        <f>IF(O123=CURSOS!$D$3,"DIPLOMADO EN ATENCION PRE-HOSPITALARIA",IF(O123=CURSOS!$D$4,"ACOMPAÑAMIENTO Y MANEJO DEL DUELO",IF(O123=CURSOS!$D$5,"ATENCION A VICTIMAS DE ATAQUE CON AGENTES QUIMICOS ",IF(O123=CURSOS!$D$6,"PRIMEROS AUXILIOS ",IF(O123=CURSOS!$D$7,"DIPLOMADO DE UNIDAD DE CUIDADOS INTENSIVOS (UCI)",IF(O123=CURSOS!$D$8,"MODELO DE ATENCION PARA EVENTOS EMERGENTES EN SALUD MENTAL (CODIGO VERDE)",IF(O123=CURSOS!$D$9,"HUMANIZACION EN EL SERVICIO DE LA SALUD Y BUENAS PRACTICAS EN PACIENTE ",IF(O123=CURSOS!$D$10,"CLINICA DE HERIDAS ",IF(O123=CURSOS!$D$11,"TOMA DE CITOLOGIA CERVICO VAGINAL ",IF(O123=CURSOS!$D$12,"SOPORTE CARDIOVASCULAR AVANZADO (ACLS) ",IF(O123=CURSOS!$D$13,"CAMILLERO ",IF(O123=CURSOS!$D$14,"TOMA DE MUESTRAS Y LABORATORIO ",IF(O123=CURSOS!$D$15,"SOPORTE VITAL BASICO (BLS)",IF(O123=CURSOS!$D$16,"ATENCION A VICTIMAS DE VIOLENCIA SEXUAL ",IF(O123=CURSOS!$D$17,"PROGRAMADO AMPLIADO DE INMUNIZACION (PAI - COVID 19)",IF(O123=CURSOS!$D$18,"ATENCION INTEGRAL EN ENFERMEDADES PREVALENTES EN PRIMERA INFANCIA (AIEPI)",IF(O123=CURSOS!$D$19,"ADMINISTRACION DE MEDICAMENTOS, INYECTOLOGIA  Y CANALIZACION ",IF(O123=CURSOS!$D$20,"OPERADOR DE VEHICULOS DE EMERGENCIA (OVE)",IF(O123=CURSOS!$D$21,"INSTITUCIONES AMIGAS DE LA MUJER Y LA INFANCIA (IAMI)",IF(O123=CURSOS!$D$22,"CUIDADO DEL DONANTE DE ORGANOS",IF(O123=CURSOS!$D$23,"ATENCION A VICTIMAS POR VIOLENCIA DE GENERO",IF(O123=CURSOS!$D$24,"IGUALDAD DE GENERO EN LA SALUD",IF(O123=CURSOS!$D$25,"BRIGADA DE EMERGENCIA",IF(O123=CURSOS!$D$26,"MANEJO DEL DOLOR Y CUIDADOS PALIATIVOS",IF(O123=CURSOS!$D$27,"TOMA DE MUESTRAS Y LABORATORIO POCT",IF(O123=CURSOS!$D$28,"IMPLANTE SUBDERMICO DE DISPOSITIVO INTRAUTERINO",IF(O123=CURSOS!$D$29,"SALUD MENTAL",IF(O123=CURSOS!$D$30,"PRIMEROS AUXILIOS PSICOLOGICOS",IF(O123=CURSOS!$D$31,"ATENCION A VICTIMAS POR CONFLICTO ARMADO",IF(O123=CURSOS!$D$32,"MANIPULACION DE ALIMENTOS Y BPM",IF(O123=CURSOS!$D$33,"ATENCION A PERSONAS CON DISCAPACIDAD",IF(O123=CURSOS!$D$34,"CUIDADO INTEGRAL DEL PACIENTE ADULTO",IF(O123=CURSOS!$D$35,"MANEJO DEFENSIVO",IF(O123=CURSOS!$D$36,"SOPORTE CARDIOVASCULAR AVANZADO NEONATAL",IF(O123=CURSOS!$D$37,"SEGURIDAD DEL PACIENTE",IF(O123=CURSOS!$D$38,"MANEJO DE RESIDUOS HOSPITALARIOS"))))))))))))))))))))))))))))))))))))</f>
        <v>0</v>
      </c>
      <c r="V123" s="59" t="str">
        <f t="shared" si="6"/>
        <v xml:space="preserve">   </v>
      </c>
      <c r="W123" s="59" t="str">
        <f t="shared" si="4"/>
        <v xml:space="preserve">   </v>
      </c>
      <c r="X123" s="59" t="str">
        <f t="shared" si="7"/>
        <v xml:space="preserve">   --</v>
      </c>
    </row>
    <row r="124" spans="1:24" s="75" customFormat="1" x14ac:dyDescent="0.2">
      <c r="A124" s="55">
        <v>123</v>
      </c>
      <c r="B124" s="54"/>
      <c r="C124" s="54"/>
      <c r="D124" s="54"/>
      <c r="E124" s="54"/>
      <c r="F124" s="54"/>
      <c r="G124" s="54"/>
      <c r="H124" s="53"/>
      <c r="I124" s="24"/>
      <c r="J124" s="76"/>
      <c r="K124" s="70"/>
      <c r="L124" s="54"/>
      <c r="M124" s="53"/>
      <c r="N124" s="54"/>
      <c r="O124" s="53"/>
      <c r="P124" s="53"/>
      <c r="Q124" s="54"/>
      <c r="R124" s="53"/>
      <c r="S124" s="83"/>
      <c r="T124" s="53"/>
      <c r="U124" s="59" t="b">
        <f>IF(O124=CURSOS!$D$3,"DIPLOMADO EN ATENCION PRE-HOSPITALARIA",IF(O124=CURSOS!$D$4,"ACOMPAÑAMIENTO Y MANEJO DEL DUELO",IF(O124=CURSOS!$D$5,"ATENCION A VICTIMAS DE ATAQUE CON AGENTES QUIMICOS ",IF(O124=CURSOS!$D$6,"PRIMEROS AUXILIOS ",IF(O124=CURSOS!$D$7,"DIPLOMADO DE UNIDAD DE CUIDADOS INTENSIVOS (UCI)",IF(O124=CURSOS!$D$8,"MODELO DE ATENCION PARA EVENTOS EMERGENTES EN SALUD MENTAL (CODIGO VERDE)",IF(O124=CURSOS!$D$9,"HUMANIZACION EN EL SERVICIO DE LA SALUD Y BUENAS PRACTICAS EN PACIENTE ",IF(O124=CURSOS!$D$10,"CLINICA DE HERIDAS ",IF(O124=CURSOS!$D$11,"TOMA DE CITOLOGIA CERVICO VAGINAL ",IF(O124=CURSOS!$D$12,"SOPORTE CARDIOVASCULAR AVANZADO (ACLS) ",IF(O124=CURSOS!$D$13,"CAMILLERO ",IF(O124=CURSOS!$D$14,"TOMA DE MUESTRAS Y LABORATORIO ",IF(O124=CURSOS!$D$15,"SOPORTE VITAL BASICO (BLS)",IF(O124=CURSOS!$D$16,"ATENCION A VICTIMAS DE VIOLENCIA SEXUAL ",IF(O124=CURSOS!$D$17,"PROGRAMADO AMPLIADO DE INMUNIZACION (PAI - COVID 19)",IF(O124=CURSOS!$D$18,"ATENCION INTEGRAL EN ENFERMEDADES PREVALENTES EN PRIMERA INFANCIA (AIEPI)",IF(O124=CURSOS!$D$19,"ADMINISTRACION DE MEDICAMENTOS, INYECTOLOGIA  Y CANALIZACION ",IF(O124=CURSOS!$D$20,"OPERADOR DE VEHICULOS DE EMERGENCIA (OVE)",IF(O124=CURSOS!$D$21,"INSTITUCIONES AMIGAS DE LA MUJER Y LA INFANCIA (IAMI)",IF(O124=CURSOS!$D$22,"CUIDADO DEL DONANTE DE ORGANOS",IF(O124=CURSOS!$D$23,"ATENCION A VICTIMAS POR VIOLENCIA DE GENERO",IF(O124=CURSOS!$D$24,"IGUALDAD DE GENERO EN LA SALUD",IF(O124=CURSOS!$D$25,"BRIGADA DE EMERGENCIA",IF(O124=CURSOS!$D$26,"MANEJO DEL DOLOR Y CUIDADOS PALIATIVOS",IF(O124=CURSOS!$D$27,"TOMA DE MUESTRAS Y LABORATORIO POCT",IF(O124=CURSOS!$D$28,"IMPLANTE SUBDERMICO DE DISPOSITIVO INTRAUTERINO",IF(O124=CURSOS!$D$29,"SALUD MENTAL",IF(O124=CURSOS!$D$30,"PRIMEROS AUXILIOS PSICOLOGICOS",IF(O124=CURSOS!$D$31,"ATENCION A VICTIMAS POR CONFLICTO ARMADO",IF(O124=CURSOS!$D$32,"MANIPULACION DE ALIMENTOS Y BPM",IF(O124=CURSOS!$D$33,"ATENCION A PERSONAS CON DISCAPACIDAD",IF(O124=CURSOS!$D$34,"CUIDADO INTEGRAL DEL PACIENTE ADULTO",IF(O124=CURSOS!$D$35,"MANEJO DEFENSIVO",IF(O124=CURSOS!$D$36,"SOPORTE CARDIOVASCULAR AVANZADO NEONATAL",IF(O124=CURSOS!$D$37,"SEGURIDAD DEL PACIENTE",IF(O124=CURSOS!$D$38,"MANEJO DE RESIDUOS HOSPITALARIOS"))))))))))))))))))))))))))))))))))))</f>
        <v>0</v>
      </c>
      <c r="V124" s="59" t="str">
        <f t="shared" si="6"/>
        <v xml:space="preserve">   </v>
      </c>
      <c r="W124" s="59" t="str">
        <f t="shared" si="4"/>
        <v xml:space="preserve">   </v>
      </c>
      <c r="X124" s="59" t="str">
        <f t="shared" si="7"/>
        <v xml:space="preserve">   --</v>
      </c>
    </row>
    <row r="125" spans="1:24" x14ac:dyDescent="0.2">
      <c r="A125" s="55">
        <v>124</v>
      </c>
      <c r="B125" s="54"/>
      <c r="C125" s="54"/>
      <c r="D125" s="54"/>
      <c r="E125" s="54"/>
      <c r="F125" s="54"/>
      <c r="G125" s="54"/>
      <c r="I125" s="24"/>
      <c r="J125" s="76"/>
      <c r="L125" s="54"/>
      <c r="N125" s="54"/>
      <c r="Q125" s="54"/>
      <c r="S125" s="83"/>
      <c r="T125" s="53"/>
      <c r="U125" s="59" t="b">
        <f>IF(O125=CURSOS!$D$3,"DIPLOMADO EN ATENCION PRE-HOSPITALARIA",IF(O125=CURSOS!$D$4,"ACOMPAÑAMIENTO Y MANEJO DEL DUELO",IF(O125=CURSOS!$D$5,"ATENCION A VICTIMAS DE ATAQUE CON AGENTES QUIMICOS ",IF(O125=CURSOS!$D$6,"PRIMEROS AUXILIOS ",IF(O125=CURSOS!$D$7,"DIPLOMADO DE UNIDAD DE CUIDADOS INTENSIVOS (UCI)",IF(O125=CURSOS!$D$8,"MODELO DE ATENCION PARA EVENTOS EMERGENTES EN SALUD MENTAL (CODIGO VERDE)",IF(O125=CURSOS!$D$9,"HUMANIZACION EN EL SERVICIO DE LA SALUD Y BUENAS PRACTICAS EN PACIENTE ",IF(O125=CURSOS!$D$10,"CLINICA DE HERIDAS ",IF(O125=CURSOS!$D$11,"TOMA DE CITOLOGIA CERVICO VAGINAL ",IF(O125=CURSOS!$D$12,"SOPORTE CARDIOVASCULAR AVANZADO (ACLS) ",IF(O125=CURSOS!$D$13,"CAMILLERO ",IF(O125=CURSOS!$D$14,"TOMA DE MUESTRAS Y LABORATORIO ",IF(O125=CURSOS!$D$15,"SOPORTE VITAL BASICO (BLS)",IF(O125=CURSOS!$D$16,"ATENCION A VICTIMAS DE VIOLENCIA SEXUAL ",IF(O125=CURSOS!$D$17,"PROGRAMADO AMPLIADO DE INMUNIZACION (PAI - COVID 19)",IF(O125=CURSOS!$D$18,"ATENCION INTEGRAL EN ENFERMEDADES PREVALENTES EN PRIMERA INFANCIA (AIEPI)",IF(O125=CURSOS!$D$19,"ADMINISTRACION DE MEDICAMENTOS, INYECTOLOGIA  Y CANALIZACION ",IF(O125=CURSOS!$D$20,"OPERADOR DE VEHICULOS DE EMERGENCIA (OVE)",IF(O125=CURSOS!$D$21,"INSTITUCIONES AMIGAS DE LA MUJER Y LA INFANCIA (IAMI)",IF(O125=CURSOS!$D$22,"CUIDADO DEL DONANTE DE ORGANOS",IF(O125=CURSOS!$D$23,"ATENCION A VICTIMAS POR VIOLENCIA DE GENERO",IF(O125=CURSOS!$D$24,"IGUALDAD DE GENERO EN LA SALUD",IF(O125=CURSOS!$D$25,"BRIGADA DE EMERGENCIA",IF(O125=CURSOS!$D$26,"MANEJO DEL DOLOR Y CUIDADOS PALIATIVOS",IF(O125=CURSOS!$D$27,"TOMA DE MUESTRAS Y LABORATORIO POCT",IF(O125=CURSOS!$D$28,"IMPLANTE SUBDERMICO DE DISPOSITIVO INTRAUTERINO",IF(O125=CURSOS!$D$29,"SALUD MENTAL",IF(O125=CURSOS!$D$30,"PRIMEROS AUXILIOS PSICOLOGICOS",IF(O125=CURSOS!$D$31,"ATENCION A VICTIMAS POR CONFLICTO ARMADO",IF(O125=CURSOS!$D$32,"MANIPULACION DE ALIMENTOS Y BPM",IF(O125=CURSOS!$D$33,"ATENCION A PERSONAS CON DISCAPACIDAD",IF(O125=CURSOS!$D$34,"CUIDADO INTEGRAL DEL PACIENTE ADULTO",IF(O125=CURSOS!$D$35,"MANEJO DEFENSIVO",IF(O125=CURSOS!$D$36,"SOPORTE CARDIOVASCULAR AVANZADO NEONATAL",IF(O125=CURSOS!$D$37,"SEGURIDAD DEL PACIENTE",IF(O125=CURSOS!$D$38,"MANEJO DE RESIDUOS HOSPITALARIOS"))))))))))))))))))))))))))))))))))))</f>
        <v>0</v>
      </c>
      <c r="V125" s="59" t="str">
        <f t="shared" si="6"/>
        <v xml:space="preserve">   </v>
      </c>
      <c r="W125" s="59" t="str">
        <f t="shared" si="4"/>
        <v xml:space="preserve">   </v>
      </c>
      <c r="X125" s="59" t="str">
        <f t="shared" si="7"/>
        <v xml:space="preserve">   --</v>
      </c>
    </row>
    <row r="126" spans="1:24" x14ac:dyDescent="0.2">
      <c r="A126" s="55">
        <v>125</v>
      </c>
      <c r="B126" s="54"/>
      <c r="C126" s="54"/>
      <c r="D126" s="54"/>
      <c r="E126" s="54"/>
      <c r="F126" s="54"/>
      <c r="G126" s="54"/>
      <c r="I126" s="24"/>
      <c r="J126" s="76"/>
      <c r="L126" s="54"/>
      <c r="Q126" s="54"/>
      <c r="S126" s="83"/>
      <c r="T126" s="53"/>
      <c r="U126" s="59" t="b">
        <f>IF(O126=CURSOS!$D$3,"DIPLOMADO EN ATENCION PRE-HOSPITALARIA",IF(O126=CURSOS!$D$4,"ACOMPAÑAMIENTO Y MANEJO DEL DUELO",IF(O126=CURSOS!$D$5,"ATENCION A VICTIMAS DE ATAQUE CON AGENTES QUIMICOS ",IF(O126=CURSOS!$D$6,"PRIMEROS AUXILIOS ",IF(O126=CURSOS!$D$7,"DIPLOMADO DE UNIDAD DE CUIDADOS INTENSIVOS (UCI)",IF(O126=CURSOS!$D$8,"MODELO DE ATENCION PARA EVENTOS EMERGENTES EN SALUD MENTAL (CODIGO VERDE)",IF(O126=CURSOS!$D$9,"HUMANIZACION EN EL SERVICIO DE LA SALUD Y BUENAS PRACTICAS EN PACIENTE ",IF(O126=CURSOS!$D$10,"CLINICA DE HERIDAS ",IF(O126=CURSOS!$D$11,"TOMA DE CITOLOGIA CERVICO VAGINAL ",IF(O126=CURSOS!$D$12,"SOPORTE CARDIOVASCULAR AVANZADO (ACLS) ",IF(O126=CURSOS!$D$13,"CAMILLERO ",IF(O126=CURSOS!$D$14,"TOMA DE MUESTRAS Y LABORATORIO ",IF(O126=CURSOS!$D$15,"SOPORTE VITAL BASICO (BLS)",IF(O126=CURSOS!$D$16,"ATENCION A VICTIMAS DE VIOLENCIA SEXUAL ",IF(O126=CURSOS!$D$17,"PROGRAMADO AMPLIADO DE INMUNIZACION (PAI - COVID 19)",IF(O126=CURSOS!$D$18,"ATENCION INTEGRAL EN ENFERMEDADES PREVALENTES EN PRIMERA INFANCIA (AIEPI)",IF(O126=CURSOS!$D$19,"ADMINISTRACION DE MEDICAMENTOS, INYECTOLOGIA  Y CANALIZACION ",IF(O126=CURSOS!$D$20,"OPERADOR DE VEHICULOS DE EMERGENCIA (OVE)",IF(O126=CURSOS!$D$21,"INSTITUCIONES AMIGAS DE LA MUJER Y LA INFANCIA (IAMI)",IF(O126=CURSOS!$D$22,"CUIDADO DEL DONANTE DE ORGANOS",IF(O126=CURSOS!$D$23,"ATENCION A VICTIMAS POR VIOLENCIA DE GENERO",IF(O126=CURSOS!$D$24,"IGUALDAD DE GENERO EN LA SALUD",IF(O126=CURSOS!$D$25,"BRIGADA DE EMERGENCIA",IF(O126=CURSOS!$D$26,"MANEJO DEL DOLOR Y CUIDADOS PALIATIVOS",IF(O126=CURSOS!$D$27,"TOMA DE MUESTRAS Y LABORATORIO POCT",IF(O126=CURSOS!$D$28,"IMPLANTE SUBDERMICO DE DISPOSITIVO INTRAUTERINO",IF(O126=CURSOS!$D$29,"SALUD MENTAL",IF(O126=CURSOS!$D$30,"PRIMEROS AUXILIOS PSICOLOGICOS",IF(O126=CURSOS!$D$31,"ATENCION A VICTIMAS POR CONFLICTO ARMADO",IF(O126=CURSOS!$D$32,"MANIPULACION DE ALIMENTOS Y BPM",IF(O126=CURSOS!$D$33,"ATENCION A PERSONAS CON DISCAPACIDAD",IF(O126=CURSOS!$D$34,"CUIDADO INTEGRAL DEL PACIENTE ADULTO",IF(O126=CURSOS!$D$35,"MANEJO DEFENSIVO",IF(O126=CURSOS!$D$36,"SOPORTE CARDIOVASCULAR AVANZADO NEONATAL",IF(O126=CURSOS!$D$37,"SEGURIDAD DEL PACIENTE",IF(O126=CURSOS!$D$38,"MANEJO DE RESIDUOS HOSPITALARIOS"))))))))))))))))))))))))))))))))))))</f>
        <v>0</v>
      </c>
      <c r="V126" s="59" t="str">
        <f t="shared" si="6"/>
        <v xml:space="preserve">   </v>
      </c>
      <c r="W126" s="59" t="str">
        <f t="shared" si="4"/>
        <v xml:space="preserve">   </v>
      </c>
      <c r="X126" s="59" t="str">
        <f t="shared" si="7"/>
        <v xml:space="preserve">   --</v>
      </c>
    </row>
    <row r="127" spans="1:24" x14ac:dyDescent="0.2">
      <c r="A127" s="55">
        <v>126</v>
      </c>
      <c r="C127" s="54"/>
      <c r="D127" s="54"/>
      <c r="E127" s="54"/>
      <c r="F127" s="54"/>
      <c r="G127" s="54"/>
      <c r="I127" s="24"/>
      <c r="J127" s="76"/>
      <c r="L127" s="54"/>
      <c r="Q127" s="54"/>
      <c r="S127" s="83"/>
      <c r="T127" s="53"/>
      <c r="U127" s="59" t="b">
        <f>IF(O127=CURSOS!$D$3,"DIPLOMADO EN ATENCION PRE-HOSPITALARIA",IF(O127=CURSOS!$D$4,"ACOMPAÑAMIENTO Y MANEJO DEL DUELO",IF(O127=CURSOS!$D$5,"ATENCION A VICTIMAS DE ATAQUE CON AGENTES QUIMICOS ",IF(O127=CURSOS!$D$6,"PRIMEROS AUXILIOS ",IF(O127=CURSOS!$D$7,"DIPLOMADO DE UNIDAD DE CUIDADOS INTENSIVOS (UCI)",IF(O127=CURSOS!$D$8,"MODELO DE ATENCION PARA EVENTOS EMERGENTES EN SALUD MENTAL (CODIGO VERDE)",IF(O127=CURSOS!$D$9,"HUMANIZACION EN EL SERVICIO DE LA SALUD Y BUENAS PRACTICAS EN PACIENTE ",IF(O127=CURSOS!$D$10,"CLINICA DE HERIDAS ",IF(O127=CURSOS!$D$11,"TOMA DE CITOLOGIA CERVICO VAGINAL ",IF(O127=CURSOS!$D$12,"SOPORTE CARDIOVASCULAR AVANZADO (ACLS) ",IF(O127=CURSOS!$D$13,"CAMILLERO ",IF(O127=CURSOS!$D$14,"TOMA DE MUESTRAS Y LABORATORIO ",IF(O127=CURSOS!$D$15,"SOPORTE VITAL BASICO (BLS)",IF(O127=CURSOS!$D$16,"ATENCION A VICTIMAS DE VIOLENCIA SEXUAL ",IF(O127=CURSOS!$D$17,"PROGRAMADO AMPLIADO DE INMUNIZACION (PAI - COVID 19)",IF(O127=CURSOS!$D$18,"ATENCION INTEGRAL EN ENFERMEDADES PREVALENTES EN PRIMERA INFANCIA (AIEPI)",IF(O127=CURSOS!$D$19,"ADMINISTRACION DE MEDICAMENTOS, INYECTOLOGIA  Y CANALIZACION ",IF(O127=CURSOS!$D$20,"OPERADOR DE VEHICULOS DE EMERGENCIA (OVE)",IF(O127=CURSOS!$D$21,"INSTITUCIONES AMIGAS DE LA MUJER Y LA INFANCIA (IAMI)",IF(O127=CURSOS!$D$22,"CUIDADO DEL DONANTE DE ORGANOS",IF(O127=CURSOS!$D$23,"ATENCION A VICTIMAS POR VIOLENCIA DE GENERO",IF(O127=CURSOS!$D$24,"IGUALDAD DE GENERO EN LA SALUD",IF(O127=CURSOS!$D$25,"BRIGADA DE EMERGENCIA",IF(O127=CURSOS!$D$26,"MANEJO DEL DOLOR Y CUIDADOS PALIATIVOS",IF(O127=CURSOS!$D$27,"TOMA DE MUESTRAS Y LABORATORIO POCT",IF(O127=CURSOS!$D$28,"IMPLANTE SUBDERMICO DE DISPOSITIVO INTRAUTERINO",IF(O127=CURSOS!$D$29,"SALUD MENTAL",IF(O127=CURSOS!$D$30,"PRIMEROS AUXILIOS PSICOLOGICOS",IF(O127=CURSOS!$D$31,"ATENCION A VICTIMAS POR CONFLICTO ARMADO",IF(O127=CURSOS!$D$32,"MANIPULACION DE ALIMENTOS Y BPM",IF(O127=CURSOS!$D$33,"ATENCION A PERSONAS CON DISCAPACIDAD",IF(O127=CURSOS!$D$34,"CUIDADO INTEGRAL DEL PACIENTE ADULTO",IF(O127=CURSOS!$D$35,"MANEJO DEFENSIVO",IF(O127=CURSOS!$D$36,"SOPORTE CARDIOVASCULAR AVANZADO NEONATAL",IF(O127=CURSOS!$D$37,"SEGURIDAD DEL PACIENTE",IF(O127=CURSOS!$D$38,"MANEJO DE RESIDUOS HOSPITALARIOS"))))))))))))))))))))))))))))))))))))</f>
        <v>0</v>
      </c>
      <c r="V127" s="59" t="str">
        <f t="shared" si="6"/>
        <v xml:space="preserve">   </v>
      </c>
      <c r="W127" s="59" t="str">
        <f t="shared" si="4"/>
        <v xml:space="preserve">   </v>
      </c>
      <c r="X127" s="59" t="str">
        <f t="shared" si="7"/>
        <v xml:space="preserve">   --</v>
      </c>
    </row>
    <row r="128" spans="1:24" x14ac:dyDescent="0.2">
      <c r="A128" s="55">
        <v>127</v>
      </c>
      <c r="C128" s="54"/>
      <c r="D128" s="54"/>
      <c r="E128" s="54"/>
      <c r="F128" s="54"/>
      <c r="G128" s="54"/>
      <c r="I128" s="24"/>
      <c r="J128" s="76"/>
      <c r="L128" s="54"/>
      <c r="Q128" s="54"/>
      <c r="T128" s="53"/>
      <c r="U128" s="59" t="b">
        <f>IF(O128=CURSOS!$D$3,"DIPLOMADO EN ATENCION PRE-HOSPITALARIA",IF(O128=CURSOS!$D$4,"ACOMPAÑAMIENTO Y MANEJO DEL DUELO",IF(O128=CURSOS!$D$5,"ATENCION A VICTIMAS DE ATAQUE CON AGENTES QUIMICOS ",IF(O128=CURSOS!$D$6,"PRIMEROS AUXILIOS ",IF(O128=CURSOS!$D$7,"DIPLOMADO DE UNIDAD DE CUIDADOS INTENSIVOS (UCI)",IF(O128=CURSOS!$D$8,"MODELO DE ATENCION PARA EVENTOS EMERGENTES EN SALUD MENTAL (CODIGO VERDE)",IF(O128=CURSOS!$D$9,"HUMANIZACION EN EL SERVICIO DE LA SALUD Y BUENAS PRACTICAS EN PACIENTE ",IF(O128=CURSOS!$D$10,"CLINICA DE HERIDAS ",IF(O128=CURSOS!$D$11,"TOMA DE CITOLOGIA CERVICO VAGINAL ",IF(O128=CURSOS!$D$12,"SOPORTE CARDIOVASCULAR AVANZADO (ACLS) ",IF(O128=CURSOS!$D$13,"CAMILLERO ",IF(O128=CURSOS!$D$14,"TOMA DE MUESTRAS Y LABORATORIO ",IF(O128=CURSOS!$D$15,"SOPORTE VITAL BASICO (BLS)",IF(O128=CURSOS!$D$16,"ATENCION A VICTIMAS DE VIOLENCIA SEXUAL ",IF(O128=CURSOS!$D$17,"PROGRAMADO AMPLIADO DE INMUNIZACION (PAI - COVID 19)",IF(O128=CURSOS!$D$18,"ATENCION INTEGRAL EN ENFERMEDADES PREVALENTES EN PRIMERA INFANCIA (AIEPI)",IF(O128=CURSOS!$D$19,"ADMINISTRACION DE MEDICAMENTOS, INYECTOLOGIA  Y CANALIZACION ",IF(O128=CURSOS!$D$20,"OPERADOR DE VEHICULOS DE EMERGENCIA (OVE)",IF(O128=CURSOS!$D$21,"INSTITUCIONES AMIGAS DE LA MUJER Y LA INFANCIA (IAMI)",IF(O128=CURSOS!$D$22,"CUIDADO DEL DONANTE DE ORGANOS",IF(O128=CURSOS!$D$23,"ATENCION A VICTIMAS POR VIOLENCIA DE GENERO",IF(O128=CURSOS!$D$24,"IGUALDAD DE GENERO EN LA SALUD",IF(O128=CURSOS!$D$25,"BRIGADA DE EMERGENCIA",IF(O128=CURSOS!$D$26,"MANEJO DEL DOLOR Y CUIDADOS PALIATIVOS",IF(O128=CURSOS!$D$27,"TOMA DE MUESTRAS Y LABORATORIO POCT",IF(O128=CURSOS!$D$28,"IMPLANTE SUBDERMICO DE DISPOSITIVO INTRAUTERINO",IF(O128=CURSOS!$D$29,"SALUD MENTAL",IF(O128=CURSOS!$D$30,"PRIMEROS AUXILIOS PSICOLOGICOS",IF(O128=CURSOS!$D$31,"ATENCION A VICTIMAS POR CONFLICTO ARMADO",IF(O128=CURSOS!$D$32,"MANIPULACION DE ALIMENTOS Y BPM",IF(O128=CURSOS!$D$33,"ATENCION A PERSONAS CON DISCAPACIDAD",IF(O128=CURSOS!$D$34,"CUIDADO INTEGRAL DEL PACIENTE ADULTO",IF(O128=CURSOS!$D$35,"MANEJO DEFENSIVO",IF(O128=CURSOS!$D$36,"SOPORTE CARDIOVASCULAR AVANZADO NEONATAL",IF(O128=CURSOS!$D$37,"SEGURIDAD DEL PACIENTE",IF(O128=CURSOS!$D$38,"MANEJO DE RESIDUOS HOSPITALARIOS"))))))))))))))))))))))))))))))))))))</f>
        <v>0</v>
      </c>
      <c r="V128" s="59" t="str">
        <f t="shared" si="6"/>
        <v xml:space="preserve">   </v>
      </c>
      <c r="W128" s="59" t="str">
        <f t="shared" si="4"/>
        <v xml:space="preserve">   </v>
      </c>
      <c r="X128" s="59" t="str">
        <f t="shared" si="7"/>
        <v xml:space="preserve">   --</v>
      </c>
    </row>
    <row r="129" spans="1:24" x14ac:dyDescent="0.2">
      <c r="A129" s="55">
        <v>128</v>
      </c>
      <c r="C129" s="54"/>
      <c r="D129" s="54"/>
      <c r="E129" s="54"/>
      <c r="F129" s="54"/>
      <c r="G129" s="54"/>
      <c r="I129" s="24"/>
      <c r="J129" s="76"/>
      <c r="L129" s="54"/>
      <c r="Q129" s="54"/>
      <c r="T129" s="53"/>
      <c r="U129" s="59" t="b">
        <f>IF(O129=CURSOS!$D$3,"DIPLOMADO EN ATENCION PRE-HOSPITALARIA",IF(O129=CURSOS!$D$4,"ACOMPAÑAMIENTO Y MANEJO DEL DUELO",IF(O129=CURSOS!$D$5,"ATENCION A VICTIMAS DE ATAQUE CON AGENTES QUIMICOS ",IF(O129=CURSOS!$D$6,"PRIMEROS AUXILIOS ",IF(O129=CURSOS!$D$7,"DIPLOMADO DE UNIDAD DE CUIDADOS INTENSIVOS (UCI)",IF(O129=CURSOS!$D$8,"MODELO DE ATENCION PARA EVENTOS EMERGENTES EN SALUD MENTAL (CODIGO VERDE)",IF(O129=CURSOS!$D$9,"HUMANIZACION EN EL SERVICIO DE LA SALUD Y BUENAS PRACTICAS EN PACIENTE ",IF(O129=CURSOS!$D$10,"CLINICA DE HERIDAS ",IF(O129=CURSOS!$D$11,"TOMA DE CITOLOGIA CERVICO VAGINAL ",IF(O129=CURSOS!$D$12,"SOPORTE CARDIOVASCULAR AVANZADO (ACLS) ",IF(O129=CURSOS!$D$13,"CAMILLERO ",IF(O129=CURSOS!$D$14,"TOMA DE MUESTRAS Y LABORATORIO ",IF(O129=CURSOS!$D$15,"SOPORTE VITAL BASICO (BLS)",IF(O129=CURSOS!$D$16,"ATENCION A VICTIMAS DE VIOLENCIA SEXUAL ",IF(O129=CURSOS!$D$17,"PROGRAMADO AMPLIADO DE INMUNIZACION (PAI - COVID 19)",IF(O129=CURSOS!$D$18,"ATENCION INTEGRAL EN ENFERMEDADES PREVALENTES EN PRIMERA INFANCIA (AIEPI)",IF(O129=CURSOS!$D$19,"ADMINISTRACION DE MEDICAMENTOS, INYECTOLOGIA  Y CANALIZACION ",IF(O129=CURSOS!$D$20,"OPERADOR DE VEHICULOS DE EMERGENCIA (OVE)",IF(O129=CURSOS!$D$21,"INSTITUCIONES AMIGAS DE LA MUJER Y LA INFANCIA (IAMI)",IF(O129=CURSOS!$D$22,"CUIDADO DEL DONANTE DE ORGANOS",IF(O129=CURSOS!$D$23,"ATENCION A VICTIMAS POR VIOLENCIA DE GENERO",IF(O129=CURSOS!$D$24,"IGUALDAD DE GENERO EN LA SALUD",IF(O129=CURSOS!$D$25,"BRIGADA DE EMERGENCIA",IF(O129=CURSOS!$D$26,"MANEJO DEL DOLOR Y CUIDADOS PALIATIVOS",IF(O129=CURSOS!$D$27,"TOMA DE MUESTRAS Y LABORATORIO POCT",IF(O129=CURSOS!$D$28,"IMPLANTE SUBDERMICO DE DISPOSITIVO INTRAUTERINO",IF(O129=CURSOS!$D$29,"SALUD MENTAL",IF(O129=CURSOS!$D$30,"PRIMEROS AUXILIOS PSICOLOGICOS",IF(O129=CURSOS!$D$31,"ATENCION A VICTIMAS POR CONFLICTO ARMADO",IF(O129=CURSOS!$D$32,"MANIPULACION DE ALIMENTOS Y BPM",IF(O129=CURSOS!$D$33,"ATENCION A PERSONAS CON DISCAPACIDAD",IF(O129=CURSOS!$D$34,"CUIDADO INTEGRAL DEL PACIENTE ADULTO",IF(O129=CURSOS!$D$35,"MANEJO DEFENSIVO",IF(O129=CURSOS!$D$36,"SOPORTE CARDIOVASCULAR AVANZADO NEONATAL",IF(O129=CURSOS!$D$37,"SEGURIDAD DEL PACIENTE",IF(O129=CURSOS!$D$38,"MANEJO DE RESIDUOS HOSPITALARIOS"))))))))))))))))))))))))))))))))))))</f>
        <v>0</v>
      </c>
      <c r="V129" s="59" t="str">
        <f t="shared" si="6"/>
        <v xml:space="preserve">   </v>
      </c>
      <c r="W129" s="59" t="str">
        <f t="shared" si="4"/>
        <v xml:space="preserve">   </v>
      </c>
      <c r="X129" s="59" t="str">
        <f t="shared" si="7"/>
        <v xml:space="preserve">   --</v>
      </c>
    </row>
    <row r="130" spans="1:24" x14ac:dyDescent="0.2">
      <c r="A130" s="55">
        <v>129</v>
      </c>
      <c r="C130" s="54"/>
      <c r="D130" s="54"/>
      <c r="E130" s="54"/>
      <c r="F130" s="54"/>
      <c r="G130" s="54"/>
      <c r="I130" s="24"/>
      <c r="J130" s="76"/>
      <c r="L130" s="54"/>
      <c r="Q130" s="54"/>
      <c r="T130" s="53"/>
      <c r="U130" s="59" t="b">
        <f>IF(O130=CURSOS!$D$3,"DIPLOMADO EN ATENCION PRE-HOSPITALARIA",IF(O130=CURSOS!$D$4,"ACOMPAÑAMIENTO Y MANEJO DEL DUELO",IF(O130=CURSOS!$D$5,"ATENCION A VICTIMAS DE ATAQUE CON AGENTES QUIMICOS ",IF(O130=CURSOS!$D$6,"PRIMEROS AUXILIOS ",IF(O130=CURSOS!$D$7,"DIPLOMADO DE UNIDAD DE CUIDADOS INTENSIVOS (UCI)",IF(O130=CURSOS!$D$8,"MODELO DE ATENCION PARA EVENTOS EMERGENTES EN SALUD MENTAL (CODIGO VERDE)",IF(O130=CURSOS!$D$9,"HUMANIZACION EN EL SERVICIO DE LA SALUD Y BUENAS PRACTICAS EN PACIENTE ",IF(O130=CURSOS!$D$10,"CLINICA DE HERIDAS ",IF(O130=CURSOS!$D$11,"TOMA DE CITOLOGIA CERVICO VAGINAL ",IF(O130=CURSOS!$D$12,"SOPORTE CARDIOVASCULAR AVANZADO (ACLS) ",IF(O130=CURSOS!$D$13,"CAMILLERO ",IF(O130=CURSOS!$D$14,"TOMA DE MUESTRAS Y LABORATORIO ",IF(O130=CURSOS!$D$15,"SOPORTE VITAL BASICO (BLS)",IF(O130=CURSOS!$D$16,"ATENCION A VICTIMAS DE VIOLENCIA SEXUAL ",IF(O130=CURSOS!$D$17,"PROGRAMADO AMPLIADO DE INMUNIZACION (PAI - COVID 19)",IF(O130=CURSOS!$D$18,"ATENCION INTEGRAL EN ENFERMEDADES PREVALENTES EN PRIMERA INFANCIA (AIEPI)",IF(O130=CURSOS!$D$19,"ADMINISTRACION DE MEDICAMENTOS, INYECTOLOGIA  Y CANALIZACION ",IF(O130=CURSOS!$D$20,"OPERADOR DE VEHICULOS DE EMERGENCIA (OVE)",IF(O130=CURSOS!$D$21,"INSTITUCIONES AMIGAS DE LA MUJER Y LA INFANCIA (IAMI)",IF(O130=CURSOS!$D$22,"CUIDADO DEL DONANTE DE ORGANOS",IF(O130=CURSOS!$D$23,"ATENCION A VICTIMAS POR VIOLENCIA DE GENERO",IF(O130=CURSOS!$D$24,"IGUALDAD DE GENERO EN LA SALUD",IF(O130=CURSOS!$D$25,"BRIGADA DE EMERGENCIA",IF(O130=CURSOS!$D$26,"MANEJO DEL DOLOR Y CUIDADOS PALIATIVOS",IF(O130=CURSOS!$D$27,"TOMA DE MUESTRAS Y LABORATORIO POCT",IF(O130=CURSOS!$D$28,"IMPLANTE SUBDERMICO DE DISPOSITIVO INTRAUTERINO",IF(O130=CURSOS!$D$29,"SALUD MENTAL",IF(O130=CURSOS!$D$30,"PRIMEROS AUXILIOS PSICOLOGICOS",IF(O130=CURSOS!$D$31,"ATENCION A VICTIMAS POR CONFLICTO ARMADO",IF(O130=CURSOS!$D$32,"MANIPULACION DE ALIMENTOS Y BPM",IF(O130=CURSOS!$D$33,"ATENCION A PERSONAS CON DISCAPACIDAD",IF(O130=CURSOS!$D$34,"CUIDADO INTEGRAL DEL PACIENTE ADULTO",IF(O130=CURSOS!$D$35,"MANEJO DEFENSIVO",IF(O130=CURSOS!$D$36,"SOPORTE CARDIOVASCULAR AVANZADO NEONATAL",IF(O130=CURSOS!$D$37,"SEGURIDAD DEL PACIENTE",IF(O130=CURSOS!$D$38,"MANEJO DE RESIDUOS HOSPITALARIOS"))))))))))))))))))))))))))))))))))))</f>
        <v>0</v>
      </c>
      <c r="V130" s="59" t="str">
        <f t="shared" si="6"/>
        <v xml:space="preserve">   </v>
      </c>
      <c r="W130" s="59" t="str">
        <f t="shared" si="4"/>
        <v xml:space="preserve">   </v>
      </c>
      <c r="X130" s="59" t="str">
        <f t="shared" si="7"/>
        <v xml:space="preserve">   --</v>
      </c>
    </row>
    <row r="131" spans="1:24" x14ac:dyDescent="0.2">
      <c r="A131" s="55">
        <v>130</v>
      </c>
      <c r="C131" s="54"/>
      <c r="D131" s="54"/>
      <c r="E131" s="54"/>
      <c r="F131" s="54"/>
      <c r="G131" s="54"/>
      <c r="I131" s="24"/>
      <c r="L131" s="54"/>
      <c r="Q131" s="54"/>
      <c r="T131" s="53"/>
      <c r="U131" s="59" t="b">
        <f>IF(O131=CURSOS!$D$3,"DIPLOMADO EN ATENCION PRE-HOSPITALARIA",IF(O131=CURSOS!$D$4,"ACOMPAÑAMIENTO Y MANEJO DEL DUELO",IF(O131=CURSOS!$D$5,"ATENCION A VICTIMAS DE ATAQUE CON AGENTES QUIMICOS ",IF(O131=CURSOS!$D$6,"PRIMEROS AUXILIOS ",IF(O131=CURSOS!$D$7,"DIPLOMADO DE UNIDAD DE CUIDADOS INTENSIVOS (UCI)",IF(O131=CURSOS!$D$8,"MODELO DE ATENCION PARA EVENTOS EMERGENTES EN SALUD MENTAL (CODIGO VERDE)",IF(O131=CURSOS!$D$9,"HUMANIZACION EN EL SERVICIO DE LA SALUD Y BUENAS PRACTICAS EN PACIENTE ",IF(O131=CURSOS!$D$10,"CLINICA DE HERIDAS ",IF(O131=CURSOS!$D$11,"TOMA DE CITOLOGIA CERVICO VAGINAL ",IF(O131=CURSOS!$D$12,"SOPORTE CARDIOVASCULAR AVANZADO (ACLS) ",IF(O131=CURSOS!$D$13,"CAMILLERO ",IF(O131=CURSOS!$D$14,"TOMA DE MUESTRAS Y LABORATORIO ",IF(O131=CURSOS!$D$15,"SOPORTE VITAL BASICO (BLS)",IF(O131=CURSOS!$D$16,"ATENCION A VICTIMAS DE VIOLENCIA SEXUAL ",IF(O131=CURSOS!$D$17,"PROGRAMADO AMPLIADO DE INMUNIZACION (PAI - COVID 19)",IF(O131=CURSOS!$D$18,"ATENCION INTEGRAL EN ENFERMEDADES PREVALENTES EN PRIMERA INFANCIA (AIEPI)",IF(O131=CURSOS!$D$19,"ADMINISTRACION DE MEDICAMENTOS, INYECTOLOGIA  Y CANALIZACION ",IF(O131=CURSOS!$D$20,"OPERADOR DE VEHICULOS DE EMERGENCIA (OVE)",IF(O131=CURSOS!$D$21,"INSTITUCIONES AMIGAS DE LA MUJER Y LA INFANCIA (IAMI)",IF(O131=CURSOS!$D$22,"CUIDADO DEL DONANTE DE ORGANOS",IF(O131=CURSOS!$D$23,"ATENCION A VICTIMAS POR VIOLENCIA DE GENERO",IF(O131=CURSOS!$D$24,"IGUALDAD DE GENERO EN LA SALUD",IF(O131=CURSOS!$D$25,"BRIGADA DE EMERGENCIA",IF(O131=CURSOS!$D$26,"MANEJO DEL DOLOR Y CUIDADOS PALIATIVOS",IF(O131=CURSOS!$D$27,"TOMA DE MUESTRAS Y LABORATORIO POCT",IF(O131=CURSOS!$D$28,"IMPLANTE SUBDERMICO DE DISPOSITIVO INTRAUTERINO",IF(O131=CURSOS!$D$29,"SALUD MENTAL",IF(O131=CURSOS!$D$30,"PRIMEROS AUXILIOS PSICOLOGICOS",IF(O131=CURSOS!$D$31,"ATENCION A VICTIMAS POR CONFLICTO ARMADO",IF(O131=CURSOS!$D$32,"MANIPULACION DE ALIMENTOS Y BPM",IF(O131=CURSOS!$D$33,"ATENCION A PERSONAS CON DISCAPACIDAD",IF(O131=CURSOS!$D$34,"CUIDADO INTEGRAL DEL PACIENTE ADULTO",IF(O131=CURSOS!$D$35,"MANEJO DEFENSIVO",IF(O131=CURSOS!$D$36,"SOPORTE CARDIOVASCULAR AVANZADO NEONATAL",IF(O131=CURSOS!$D$37,"SEGURIDAD DEL PACIENTE",IF(O131=CURSOS!$D$38,"MANEJO DE RESIDUOS HOSPITALARIOS"))))))))))))))))))))))))))))))))))))</f>
        <v>0</v>
      </c>
      <c r="V131" s="59" t="str">
        <f t="shared" ref="V131:V194" si="8">CONCATENATE(E131," ",F131," ",C131," ",D131)</f>
        <v xml:space="preserve">   </v>
      </c>
      <c r="W131" s="59" t="str">
        <f t="shared" ref="W131:W194" si="9">PROPER(V131)</f>
        <v xml:space="preserve">   </v>
      </c>
      <c r="X131" s="59" t="str">
        <f t="shared" ref="X131:X194" si="10">CONCATENATE(V131,"-",B131,"-",O131)</f>
        <v xml:space="preserve">   --</v>
      </c>
    </row>
    <row r="132" spans="1:24" x14ac:dyDescent="0.2">
      <c r="A132" s="55">
        <v>131</v>
      </c>
      <c r="C132" s="54"/>
      <c r="D132" s="54"/>
      <c r="E132" s="54"/>
      <c r="F132" s="54"/>
      <c r="G132" s="54"/>
      <c r="I132" s="24"/>
      <c r="J132" s="76"/>
      <c r="L132" s="54"/>
      <c r="Q132" s="54"/>
      <c r="T132" s="53"/>
      <c r="U132" s="59" t="b">
        <f>IF(O132=CURSOS!$D$3,"DIPLOMADO EN ATENCION PRE-HOSPITALARIA",IF(O132=CURSOS!$D$4,"ACOMPAÑAMIENTO Y MANEJO DEL DUELO",IF(O132=CURSOS!$D$5,"ATENCION A VICTIMAS DE ATAQUE CON AGENTES QUIMICOS ",IF(O132=CURSOS!$D$6,"PRIMEROS AUXILIOS ",IF(O132=CURSOS!$D$7,"DIPLOMADO DE UNIDAD DE CUIDADOS INTENSIVOS (UCI)",IF(O132=CURSOS!$D$8,"MODELO DE ATENCION PARA EVENTOS EMERGENTES EN SALUD MENTAL (CODIGO VERDE)",IF(O132=CURSOS!$D$9,"HUMANIZACION EN EL SERVICIO DE LA SALUD Y BUENAS PRACTICAS EN PACIENTE ",IF(O132=CURSOS!$D$10,"CLINICA DE HERIDAS ",IF(O132=CURSOS!$D$11,"TOMA DE CITOLOGIA CERVICO VAGINAL ",IF(O132=CURSOS!$D$12,"SOPORTE CARDIOVASCULAR AVANZADO (ACLS) ",IF(O132=CURSOS!$D$13,"CAMILLERO ",IF(O132=CURSOS!$D$14,"TOMA DE MUESTRAS Y LABORATORIO ",IF(O132=CURSOS!$D$15,"SOPORTE VITAL BASICO (BLS)",IF(O132=CURSOS!$D$16,"ATENCION A VICTIMAS DE VIOLENCIA SEXUAL ",IF(O132=CURSOS!$D$17,"PROGRAMADO AMPLIADO DE INMUNIZACION (PAI - COVID 19)",IF(O132=CURSOS!$D$18,"ATENCION INTEGRAL EN ENFERMEDADES PREVALENTES EN PRIMERA INFANCIA (AIEPI)",IF(O132=CURSOS!$D$19,"ADMINISTRACION DE MEDICAMENTOS, INYECTOLOGIA  Y CANALIZACION ",IF(O132=CURSOS!$D$20,"OPERADOR DE VEHICULOS DE EMERGENCIA (OVE)",IF(O132=CURSOS!$D$21,"INSTITUCIONES AMIGAS DE LA MUJER Y LA INFANCIA (IAMI)",IF(O132=CURSOS!$D$22,"CUIDADO DEL DONANTE DE ORGANOS",IF(O132=CURSOS!$D$23,"ATENCION A VICTIMAS POR VIOLENCIA DE GENERO",IF(O132=CURSOS!$D$24,"IGUALDAD DE GENERO EN LA SALUD",IF(O132=CURSOS!$D$25,"BRIGADA DE EMERGENCIA",IF(O132=CURSOS!$D$26,"MANEJO DEL DOLOR Y CUIDADOS PALIATIVOS",IF(O132=CURSOS!$D$27,"TOMA DE MUESTRAS Y LABORATORIO POCT",IF(O132=CURSOS!$D$28,"IMPLANTE SUBDERMICO DE DISPOSITIVO INTRAUTERINO",IF(O132=CURSOS!$D$29,"SALUD MENTAL",IF(O132=CURSOS!$D$30,"PRIMEROS AUXILIOS PSICOLOGICOS",IF(O132=CURSOS!$D$31,"ATENCION A VICTIMAS POR CONFLICTO ARMADO",IF(O132=CURSOS!$D$32,"MANIPULACION DE ALIMENTOS Y BPM",IF(O132=CURSOS!$D$33,"ATENCION A PERSONAS CON DISCAPACIDAD",IF(O132=CURSOS!$D$34,"CUIDADO INTEGRAL DEL PACIENTE ADULTO",IF(O132=CURSOS!$D$35,"MANEJO DEFENSIVO",IF(O132=CURSOS!$D$36,"SOPORTE CARDIOVASCULAR AVANZADO NEONATAL",IF(O132=CURSOS!$D$37,"SEGURIDAD DEL PACIENTE",IF(O132=CURSOS!$D$38,"MANEJO DE RESIDUOS HOSPITALARIOS"))))))))))))))))))))))))))))))))))))</f>
        <v>0</v>
      </c>
      <c r="V132" s="59" t="str">
        <f t="shared" si="8"/>
        <v xml:space="preserve">   </v>
      </c>
      <c r="W132" s="59" t="str">
        <f t="shared" si="9"/>
        <v xml:space="preserve">   </v>
      </c>
      <c r="X132" s="59" t="str">
        <f t="shared" si="10"/>
        <v xml:space="preserve">   --</v>
      </c>
    </row>
    <row r="133" spans="1:24" x14ac:dyDescent="0.2">
      <c r="A133" s="55">
        <v>132</v>
      </c>
      <c r="C133" s="54"/>
      <c r="D133" s="54"/>
      <c r="E133" s="54"/>
      <c r="F133" s="54"/>
      <c r="G133" s="54"/>
      <c r="I133" s="24"/>
      <c r="J133" s="76"/>
      <c r="L133" s="54"/>
      <c r="Q133" s="54"/>
      <c r="S133" s="83"/>
      <c r="T133" s="53"/>
      <c r="U133" s="59" t="b">
        <f>IF(O133=CURSOS!$D$3,"DIPLOMADO EN ATENCION PRE-HOSPITALARIA",IF(O133=CURSOS!$D$4,"ACOMPAÑAMIENTO Y MANEJO DEL DUELO",IF(O133=CURSOS!$D$5,"ATENCION A VICTIMAS DE ATAQUE CON AGENTES QUIMICOS ",IF(O133=CURSOS!$D$6,"PRIMEROS AUXILIOS ",IF(O133=CURSOS!$D$7,"DIPLOMADO DE UNIDAD DE CUIDADOS INTENSIVOS (UCI)",IF(O133=CURSOS!$D$8,"MODELO DE ATENCION PARA EVENTOS EMERGENTES EN SALUD MENTAL (CODIGO VERDE)",IF(O133=CURSOS!$D$9,"HUMANIZACION EN EL SERVICIO DE LA SALUD Y BUENAS PRACTICAS EN PACIENTE ",IF(O133=CURSOS!$D$10,"CLINICA DE HERIDAS ",IF(O133=CURSOS!$D$11,"TOMA DE CITOLOGIA CERVICO VAGINAL ",IF(O133=CURSOS!$D$12,"SOPORTE CARDIOVASCULAR AVANZADO (ACLS) ",IF(O133=CURSOS!$D$13,"CAMILLERO ",IF(O133=CURSOS!$D$14,"TOMA DE MUESTRAS Y LABORATORIO ",IF(O133=CURSOS!$D$15,"SOPORTE VITAL BASICO (BLS)",IF(O133=CURSOS!$D$16,"ATENCION A VICTIMAS DE VIOLENCIA SEXUAL ",IF(O133=CURSOS!$D$17,"PROGRAMADO AMPLIADO DE INMUNIZACION (PAI - COVID 19)",IF(O133=CURSOS!$D$18,"ATENCION INTEGRAL EN ENFERMEDADES PREVALENTES EN PRIMERA INFANCIA (AIEPI)",IF(O133=CURSOS!$D$19,"ADMINISTRACION DE MEDICAMENTOS, INYECTOLOGIA  Y CANALIZACION ",IF(O133=CURSOS!$D$20,"OPERADOR DE VEHICULOS DE EMERGENCIA (OVE)",IF(O133=CURSOS!$D$21,"INSTITUCIONES AMIGAS DE LA MUJER Y LA INFANCIA (IAMI)",IF(O133=CURSOS!$D$22,"CUIDADO DEL DONANTE DE ORGANOS",IF(O133=CURSOS!$D$23,"ATENCION A VICTIMAS POR VIOLENCIA DE GENERO",IF(O133=CURSOS!$D$24,"IGUALDAD DE GENERO EN LA SALUD",IF(O133=CURSOS!$D$25,"BRIGADA DE EMERGENCIA",IF(O133=CURSOS!$D$26,"MANEJO DEL DOLOR Y CUIDADOS PALIATIVOS",IF(O133=CURSOS!$D$27,"TOMA DE MUESTRAS Y LABORATORIO POCT",IF(O133=CURSOS!$D$28,"IMPLANTE SUBDERMICO DE DISPOSITIVO INTRAUTERINO",IF(O133=CURSOS!$D$29,"SALUD MENTAL",IF(O133=CURSOS!$D$30,"PRIMEROS AUXILIOS PSICOLOGICOS",IF(O133=CURSOS!$D$31,"ATENCION A VICTIMAS POR CONFLICTO ARMADO",IF(O133=CURSOS!$D$32,"MANIPULACION DE ALIMENTOS Y BPM",IF(O133=CURSOS!$D$33,"ATENCION A PERSONAS CON DISCAPACIDAD",IF(O133=CURSOS!$D$34,"CUIDADO INTEGRAL DEL PACIENTE ADULTO",IF(O133=CURSOS!$D$35,"MANEJO DEFENSIVO",IF(O133=CURSOS!$D$36,"SOPORTE CARDIOVASCULAR AVANZADO NEONATAL",IF(O133=CURSOS!$D$37,"SEGURIDAD DEL PACIENTE",IF(O133=CURSOS!$D$38,"MANEJO DE RESIDUOS HOSPITALARIOS"))))))))))))))))))))))))))))))))))))</f>
        <v>0</v>
      </c>
      <c r="V133" s="59" t="str">
        <f t="shared" si="8"/>
        <v xml:space="preserve">   </v>
      </c>
      <c r="W133" s="59" t="str">
        <f t="shared" si="9"/>
        <v xml:space="preserve">   </v>
      </c>
      <c r="X133" s="59" t="str">
        <f t="shared" si="10"/>
        <v xml:space="preserve">   --</v>
      </c>
    </row>
    <row r="134" spans="1:24" x14ac:dyDescent="0.2">
      <c r="A134" s="55">
        <v>133</v>
      </c>
      <c r="C134" s="54"/>
      <c r="D134" s="54"/>
      <c r="E134" s="54"/>
      <c r="F134" s="54"/>
      <c r="G134" s="54"/>
      <c r="I134" s="24"/>
      <c r="J134" s="76"/>
      <c r="L134" s="54"/>
      <c r="Q134" s="54"/>
      <c r="S134" s="83"/>
      <c r="T134" s="53"/>
      <c r="U134" s="59" t="b">
        <f>IF(O134=CURSOS!$D$3,"DIPLOMADO EN ATENCION PRE-HOSPITALARIA",IF(O134=CURSOS!$D$4,"ACOMPAÑAMIENTO Y MANEJO DEL DUELO",IF(O134=CURSOS!$D$5,"ATENCION A VICTIMAS DE ATAQUE CON AGENTES QUIMICOS ",IF(O134=CURSOS!$D$6,"PRIMEROS AUXILIOS ",IF(O134=CURSOS!$D$7,"DIPLOMADO DE UNIDAD DE CUIDADOS INTENSIVOS (UCI)",IF(O134=CURSOS!$D$8,"MODELO DE ATENCION PARA EVENTOS EMERGENTES EN SALUD MENTAL (CODIGO VERDE)",IF(O134=CURSOS!$D$9,"HUMANIZACION EN EL SERVICIO DE LA SALUD Y BUENAS PRACTICAS EN PACIENTE ",IF(O134=CURSOS!$D$10,"CLINICA DE HERIDAS ",IF(O134=CURSOS!$D$11,"TOMA DE CITOLOGIA CERVICO VAGINAL ",IF(O134=CURSOS!$D$12,"SOPORTE CARDIOVASCULAR AVANZADO (ACLS) ",IF(O134=CURSOS!$D$13,"CAMILLERO ",IF(O134=CURSOS!$D$14,"TOMA DE MUESTRAS Y LABORATORIO ",IF(O134=CURSOS!$D$15,"SOPORTE VITAL BASICO (BLS)",IF(O134=CURSOS!$D$16,"ATENCION A VICTIMAS DE VIOLENCIA SEXUAL ",IF(O134=CURSOS!$D$17,"PROGRAMADO AMPLIADO DE INMUNIZACION (PAI - COVID 19)",IF(O134=CURSOS!$D$18,"ATENCION INTEGRAL EN ENFERMEDADES PREVALENTES EN PRIMERA INFANCIA (AIEPI)",IF(O134=CURSOS!$D$19,"ADMINISTRACION DE MEDICAMENTOS, INYECTOLOGIA  Y CANALIZACION ",IF(O134=CURSOS!$D$20,"OPERADOR DE VEHICULOS DE EMERGENCIA (OVE)",IF(O134=CURSOS!$D$21,"INSTITUCIONES AMIGAS DE LA MUJER Y LA INFANCIA (IAMI)",IF(O134=CURSOS!$D$22,"CUIDADO DEL DONANTE DE ORGANOS",IF(O134=CURSOS!$D$23,"ATENCION A VICTIMAS POR VIOLENCIA DE GENERO",IF(O134=CURSOS!$D$24,"IGUALDAD DE GENERO EN LA SALUD",IF(O134=CURSOS!$D$25,"BRIGADA DE EMERGENCIA",IF(O134=CURSOS!$D$26,"MANEJO DEL DOLOR Y CUIDADOS PALIATIVOS",IF(O134=CURSOS!$D$27,"TOMA DE MUESTRAS Y LABORATORIO POCT",IF(O134=CURSOS!$D$28,"IMPLANTE SUBDERMICO DE DISPOSITIVO INTRAUTERINO",IF(O134=CURSOS!$D$29,"SALUD MENTAL",IF(O134=CURSOS!$D$30,"PRIMEROS AUXILIOS PSICOLOGICOS",IF(O134=CURSOS!$D$31,"ATENCION A VICTIMAS POR CONFLICTO ARMADO",IF(O134=CURSOS!$D$32,"MANIPULACION DE ALIMENTOS Y BPM",IF(O134=CURSOS!$D$33,"ATENCION A PERSONAS CON DISCAPACIDAD",IF(O134=CURSOS!$D$34,"CUIDADO INTEGRAL DEL PACIENTE ADULTO",IF(O134=CURSOS!$D$35,"MANEJO DEFENSIVO",IF(O134=CURSOS!$D$36,"SOPORTE CARDIOVASCULAR AVANZADO NEONATAL",IF(O134=CURSOS!$D$37,"SEGURIDAD DEL PACIENTE",IF(O134=CURSOS!$D$38,"MANEJO DE RESIDUOS HOSPITALARIOS"))))))))))))))))))))))))))))))))))))</f>
        <v>0</v>
      </c>
      <c r="V134" s="59" t="str">
        <f t="shared" si="8"/>
        <v xml:space="preserve">   </v>
      </c>
      <c r="W134" s="59" t="str">
        <f t="shared" si="9"/>
        <v xml:space="preserve">   </v>
      </c>
      <c r="X134" s="59" t="str">
        <f t="shared" si="10"/>
        <v xml:space="preserve">   --</v>
      </c>
    </row>
    <row r="135" spans="1:24" x14ac:dyDescent="0.2">
      <c r="A135" s="55">
        <v>134</v>
      </c>
      <c r="C135" s="54"/>
      <c r="D135" s="54"/>
      <c r="E135" s="54"/>
      <c r="F135" s="54"/>
      <c r="G135" s="54"/>
      <c r="I135" s="24"/>
      <c r="J135" s="76"/>
      <c r="L135" s="54"/>
      <c r="Q135" s="54"/>
      <c r="S135" s="83"/>
      <c r="T135" s="53"/>
      <c r="U135" s="59" t="b">
        <f>IF(O135=CURSOS!$D$3,"DIPLOMADO EN ATENCION PRE-HOSPITALARIA",IF(O135=CURSOS!$D$4,"ACOMPAÑAMIENTO Y MANEJO DEL DUELO",IF(O135=CURSOS!$D$5,"ATENCION A VICTIMAS DE ATAQUE CON AGENTES QUIMICOS ",IF(O135=CURSOS!$D$6,"PRIMEROS AUXILIOS ",IF(O135=CURSOS!$D$7,"DIPLOMADO DE UNIDAD DE CUIDADOS INTENSIVOS (UCI)",IF(O135=CURSOS!$D$8,"MODELO DE ATENCION PARA EVENTOS EMERGENTES EN SALUD MENTAL (CODIGO VERDE)",IF(O135=CURSOS!$D$9,"HUMANIZACION EN EL SERVICIO DE LA SALUD Y BUENAS PRACTICAS EN PACIENTE ",IF(O135=CURSOS!$D$10,"CLINICA DE HERIDAS ",IF(O135=CURSOS!$D$11,"TOMA DE CITOLOGIA CERVICO VAGINAL ",IF(O135=CURSOS!$D$12,"SOPORTE CARDIOVASCULAR AVANZADO (ACLS) ",IF(O135=CURSOS!$D$13,"CAMILLERO ",IF(O135=CURSOS!$D$14,"TOMA DE MUESTRAS Y LABORATORIO ",IF(O135=CURSOS!$D$15,"SOPORTE VITAL BASICO (BLS)",IF(O135=CURSOS!$D$16,"ATENCION A VICTIMAS DE VIOLENCIA SEXUAL ",IF(O135=CURSOS!$D$17,"PROGRAMADO AMPLIADO DE INMUNIZACION (PAI - COVID 19)",IF(O135=CURSOS!$D$18,"ATENCION INTEGRAL EN ENFERMEDADES PREVALENTES EN PRIMERA INFANCIA (AIEPI)",IF(O135=CURSOS!$D$19,"ADMINISTRACION DE MEDICAMENTOS, INYECTOLOGIA  Y CANALIZACION ",IF(O135=CURSOS!$D$20,"OPERADOR DE VEHICULOS DE EMERGENCIA (OVE)",IF(O135=CURSOS!$D$21,"INSTITUCIONES AMIGAS DE LA MUJER Y LA INFANCIA (IAMI)",IF(O135=CURSOS!$D$22,"CUIDADO DEL DONANTE DE ORGANOS",IF(O135=CURSOS!$D$23,"ATENCION A VICTIMAS POR VIOLENCIA DE GENERO",IF(O135=CURSOS!$D$24,"IGUALDAD DE GENERO EN LA SALUD",IF(O135=CURSOS!$D$25,"BRIGADA DE EMERGENCIA",IF(O135=CURSOS!$D$26,"MANEJO DEL DOLOR Y CUIDADOS PALIATIVOS",IF(O135=CURSOS!$D$27,"TOMA DE MUESTRAS Y LABORATORIO POCT",IF(O135=CURSOS!$D$28,"IMPLANTE SUBDERMICO DE DISPOSITIVO INTRAUTERINO",IF(O135=CURSOS!$D$29,"SALUD MENTAL",IF(O135=CURSOS!$D$30,"PRIMEROS AUXILIOS PSICOLOGICOS",IF(O135=CURSOS!$D$31,"ATENCION A VICTIMAS POR CONFLICTO ARMADO",IF(O135=CURSOS!$D$32,"MANIPULACION DE ALIMENTOS Y BPM",IF(O135=CURSOS!$D$33,"ATENCION A PERSONAS CON DISCAPACIDAD",IF(O135=CURSOS!$D$34,"CUIDADO INTEGRAL DEL PACIENTE ADULTO",IF(O135=CURSOS!$D$35,"MANEJO DEFENSIVO",IF(O135=CURSOS!$D$36,"SOPORTE CARDIOVASCULAR AVANZADO NEONATAL",IF(O135=CURSOS!$D$37,"SEGURIDAD DEL PACIENTE",IF(O135=CURSOS!$D$38,"MANEJO DE RESIDUOS HOSPITALARIOS"))))))))))))))))))))))))))))))))))))</f>
        <v>0</v>
      </c>
      <c r="V135" s="59" t="str">
        <f t="shared" si="8"/>
        <v xml:space="preserve">   </v>
      </c>
      <c r="W135" s="59" t="str">
        <f t="shared" si="9"/>
        <v xml:space="preserve">   </v>
      </c>
      <c r="X135" s="59" t="str">
        <f t="shared" si="10"/>
        <v xml:space="preserve">   --</v>
      </c>
    </row>
    <row r="136" spans="1:24" x14ac:dyDescent="0.2">
      <c r="A136" s="55">
        <v>135</v>
      </c>
      <c r="C136" s="54"/>
      <c r="D136" s="54"/>
      <c r="E136" s="54"/>
      <c r="F136" s="54"/>
      <c r="G136" s="54"/>
      <c r="I136" s="24"/>
      <c r="J136" s="76"/>
      <c r="L136" s="54"/>
      <c r="Q136" s="54"/>
      <c r="S136" s="83"/>
      <c r="T136" s="53"/>
      <c r="U136" s="59" t="b">
        <f>IF(O136=CURSOS!$D$3,"DIPLOMADO EN ATENCION PRE-HOSPITALARIA",IF(O136=CURSOS!$D$4,"ACOMPAÑAMIENTO Y MANEJO DEL DUELO",IF(O136=CURSOS!$D$5,"ATENCION A VICTIMAS DE ATAQUE CON AGENTES QUIMICOS ",IF(O136=CURSOS!$D$6,"PRIMEROS AUXILIOS ",IF(O136=CURSOS!$D$7,"DIPLOMADO DE UNIDAD DE CUIDADOS INTENSIVOS (UCI)",IF(O136=CURSOS!$D$8,"MODELO DE ATENCION PARA EVENTOS EMERGENTES EN SALUD MENTAL (CODIGO VERDE)",IF(O136=CURSOS!$D$9,"HUMANIZACION EN EL SERVICIO DE LA SALUD Y BUENAS PRACTICAS EN PACIENTE ",IF(O136=CURSOS!$D$10,"CLINICA DE HERIDAS ",IF(O136=CURSOS!$D$11,"TOMA DE CITOLOGIA CERVICO VAGINAL ",IF(O136=CURSOS!$D$12,"SOPORTE CARDIOVASCULAR AVANZADO (ACLS) ",IF(O136=CURSOS!$D$13,"CAMILLERO ",IF(O136=CURSOS!$D$14,"TOMA DE MUESTRAS Y LABORATORIO ",IF(O136=CURSOS!$D$15,"SOPORTE VITAL BASICO (BLS)",IF(O136=CURSOS!$D$16,"ATENCION A VICTIMAS DE VIOLENCIA SEXUAL ",IF(O136=CURSOS!$D$17,"PROGRAMADO AMPLIADO DE INMUNIZACION (PAI - COVID 19)",IF(O136=CURSOS!$D$18,"ATENCION INTEGRAL EN ENFERMEDADES PREVALENTES EN PRIMERA INFANCIA (AIEPI)",IF(O136=CURSOS!$D$19,"ADMINISTRACION DE MEDICAMENTOS, INYECTOLOGIA  Y CANALIZACION ",IF(O136=CURSOS!$D$20,"OPERADOR DE VEHICULOS DE EMERGENCIA (OVE)",IF(O136=CURSOS!$D$21,"INSTITUCIONES AMIGAS DE LA MUJER Y LA INFANCIA (IAMI)",IF(O136=CURSOS!$D$22,"CUIDADO DEL DONANTE DE ORGANOS",IF(O136=CURSOS!$D$23,"ATENCION A VICTIMAS POR VIOLENCIA DE GENERO",IF(O136=CURSOS!$D$24,"IGUALDAD DE GENERO EN LA SALUD",IF(O136=CURSOS!$D$25,"BRIGADA DE EMERGENCIA",IF(O136=CURSOS!$D$26,"MANEJO DEL DOLOR Y CUIDADOS PALIATIVOS",IF(O136=CURSOS!$D$27,"TOMA DE MUESTRAS Y LABORATORIO POCT",IF(O136=CURSOS!$D$28,"IMPLANTE SUBDERMICO DE DISPOSITIVO INTRAUTERINO",IF(O136=CURSOS!$D$29,"SALUD MENTAL",IF(O136=CURSOS!$D$30,"PRIMEROS AUXILIOS PSICOLOGICOS",IF(O136=CURSOS!$D$31,"ATENCION A VICTIMAS POR CONFLICTO ARMADO",IF(O136=CURSOS!$D$32,"MANIPULACION DE ALIMENTOS Y BPM",IF(O136=CURSOS!$D$33,"ATENCION A PERSONAS CON DISCAPACIDAD",IF(O136=CURSOS!$D$34,"CUIDADO INTEGRAL DEL PACIENTE ADULTO",IF(O136=CURSOS!$D$35,"MANEJO DEFENSIVO",IF(O136=CURSOS!$D$36,"SOPORTE CARDIOVASCULAR AVANZADO NEONATAL",IF(O136=CURSOS!$D$37,"SEGURIDAD DEL PACIENTE",IF(O136=CURSOS!$D$38,"MANEJO DE RESIDUOS HOSPITALARIOS"))))))))))))))))))))))))))))))))))))</f>
        <v>0</v>
      </c>
      <c r="V136" s="59" t="str">
        <f t="shared" si="8"/>
        <v xml:space="preserve">   </v>
      </c>
      <c r="W136" s="59" t="str">
        <f t="shared" si="9"/>
        <v xml:space="preserve">   </v>
      </c>
      <c r="X136" s="59" t="str">
        <f t="shared" si="10"/>
        <v xml:space="preserve">   --</v>
      </c>
    </row>
    <row r="137" spans="1:24" x14ac:dyDescent="0.2">
      <c r="A137" s="55">
        <v>136</v>
      </c>
      <c r="C137" s="54"/>
      <c r="D137" s="54"/>
      <c r="E137" s="54"/>
      <c r="F137" s="54"/>
      <c r="G137" s="54"/>
      <c r="I137" s="24"/>
      <c r="L137" s="54"/>
      <c r="N137" s="54"/>
      <c r="O137" s="54"/>
      <c r="Q137" s="54"/>
      <c r="R137" s="54"/>
      <c r="S137" s="54"/>
      <c r="T137" s="53"/>
      <c r="U137" s="59" t="b">
        <f>IF(O137=CURSOS!$D$3,"DIPLOMADO EN ATENCION PRE-HOSPITALARIA",IF(O137=CURSOS!$D$4,"ACOMPAÑAMIENTO Y MANEJO DEL DUELO",IF(O137=CURSOS!$D$5,"ATENCION A VICTIMAS DE ATAQUE CON AGENTES QUIMICOS ",IF(O137=CURSOS!$D$6,"PRIMEROS AUXILIOS ",IF(O137=CURSOS!$D$7,"DIPLOMADO DE UNIDAD DE CUIDADOS INTENSIVOS (UCI)",IF(O137=CURSOS!$D$8,"MODELO DE ATENCION PARA EVENTOS EMERGENTES EN SALUD MENTAL (CODIGO VERDE)",IF(O137=CURSOS!$D$9,"HUMANIZACION EN EL SERVICIO DE LA SALUD Y BUENAS PRACTICAS EN PACIENTE ",IF(O137=CURSOS!$D$10,"CLINICA DE HERIDAS ",IF(O137=CURSOS!$D$11,"TOMA DE CITOLOGIA CERVICO VAGINAL ",IF(O137=CURSOS!$D$12,"SOPORTE CARDIOVASCULAR AVANZADO (ACLS) ",IF(O137=CURSOS!$D$13,"CAMILLERO ",IF(O137=CURSOS!$D$14,"TOMA DE MUESTRAS Y LABORATORIO ",IF(O137=CURSOS!$D$15,"SOPORTE VITAL BASICO (BLS)",IF(O137=CURSOS!$D$16,"ATENCION A VICTIMAS DE VIOLENCIA SEXUAL ",IF(O137=CURSOS!$D$17,"PROGRAMADO AMPLIADO DE INMUNIZACION (PAI - COVID 19)",IF(O137=CURSOS!$D$18,"ATENCION INTEGRAL EN ENFERMEDADES PREVALENTES EN PRIMERA INFANCIA (AIEPI)",IF(O137=CURSOS!$D$19,"ADMINISTRACION DE MEDICAMENTOS, INYECTOLOGIA  Y CANALIZACION ",IF(O137=CURSOS!$D$20,"OPERADOR DE VEHICULOS DE EMERGENCIA (OVE)",IF(O137=CURSOS!$D$21,"INSTITUCIONES AMIGAS DE LA MUJER Y LA INFANCIA (IAMI)",IF(O137=CURSOS!$D$22,"CUIDADO DEL DONANTE DE ORGANOS",IF(O137=CURSOS!$D$23,"ATENCION A VICTIMAS POR VIOLENCIA DE GENERO",IF(O137=CURSOS!$D$24,"IGUALDAD DE GENERO EN LA SALUD",IF(O137=CURSOS!$D$25,"BRIGADA DE EMERGENCIA",IF(O137=CURSOS!$D$26,"MANEJO DEL DOLOR Y CUIDADOS PALIATIVOS",IF(O137=CURSOS!$D$27,"TOMA DE MUESTRAS Y LABORATORIO POCT",IF(O137=CURSOS!$D$28,"IMPLANTE SUBDERMICO DE DISPOSITIVO INTRAUTERINO",IF(O137=CURSOS!$D$29,"SALUD MENTAL",IF(O137=CURSOS!$D$30,"PRIMEROS AUXILIOS PSICOLOGICOS",IF(O137=CURSOS!$D$31,"ATENCION A VICTIMAS POR CONFLICTO ARMADO",IF(O137=CURSOS!$D$32,"MANIPULACION DE ALIMENTOS Y BPM",IF(O137=CURSOS!$D$33,"ATENCION A PERSONAS CON DISCAPACIDAD",IF(O137=CURSOS!$D$34,"CUIDADO INTEGRAL DEL PACIENTE ADULTO",IF(O137=CURSOS!$D$35,"MANEJO DEFENSIVO",IF(O137=CURSOS!$D$36,"SOPORTE CARDIOVASCULAR AVANZADO NEONATAL",IF(O137=CURSOS!$D$37,"SEGURIDAD DEL PACIENTE",IF(O137=CURSOS!$D$38,"MANEJO DE RESIDUOS HOSPITALARIOS"))))))))))))))))))))))))))))))))))))</f>
        <v>0</v>
      </c>
      <c r="V137" s="59" t="str">
        <f t="shared" si="8"/>
        <v xml:space="preserve">   </v>
      </c>
      <c r="W137" s="59" t="str">
        <f t="shared" si="9"/>
        <v xml:space="preserve">   </v>
      </c>
      <c r="X137" s="59" t="str">
        <f t="shared" si="10"/>
        <v xml:space="preserve">   --</v>
      </c>
    </row>
    <row r="138" spans="1:24" x14ac:dyDescent="0.2">
      <c r="A138" s="55">
        <v>137</v>
      </c>
      <c r="C138" s="54"/>
      <c r="D138" s="54"/>
      <c r="E138" s="54"/>
      <c r="F138" s="54"/>
      <c r="G138" s="54"/>
      <c r="I138" s="24"/>
      <c r="L138" s="54"/>
      <c r="N138" s="54"/>
      <c r="O138" s="54"/>
      <c r="Q138" s="54"/>
      <c r="R138" s="54"/>
      <c r="S138" s="54"/>
      <c r="T138" s="53"/>
      <c r="U138" s="59" t="b">
        <f>IF(O138=CURSOS!$D$3,"DIPLOMADO EN ATENCION PRE-HOSPITALARIA",IF(O138=CURSOS!$D$4,"ACOMPAÑAMIENTO Y MANEJO DEL DUELO",IF(O138=CURSOS!$D$5,"ATENCION A VICTIMAS DE ATAQUE CON AGENTES QUIMICOS ",IF(O138=CURSOS!$D$6,"PRIMEROS AUXILIOS ",IF(O138=CURSOS!$D$7,"DIPLOMADO DE UNIDAD DE CUIDADOS INTENSIVOS (UCI)",IF(O138=CURSOS!$D$8,"MODELO DE ATENCION PARA EVENTOS EMERGENTES EN SALUD MENTAL (CODIGO VERDE)",IF(O138=CURSOS!$D$9,"HUMANIZACION EN EL SERVICIO DE LA SALUD Y BUENAS PRACTICAS EN PACIENTE ",IF(O138=CURSOS!$D$10,"CLINICA DE HERIDAS ",IF(O138=CURSOS!$D$11,"TOMA DE CITOLOGIA CERVICO VAGINAL ",IF(O138=CURSOS!$D$12,"SOPORTE CARDIOVASCULAR AVANZADO (ACLS) ",IF(O138=CURSOS!$D$13,"CAMILLERO ",IF(O138=CURSOS!$D$14,"TOMA DE MUESTRAS Y LABORATORIO ",IF(O138=CURSOS!$D$15,"SOPORTE VITAL BASICO (BLS)",IF(O138=CURSOS!$D$16,"ATENCION A VICTIMAS DE VIOLENCIA SEXUAL ",IF(O138=CURSOS!$D$17,"PROGRAMADO AMPLIADO DE INMUNIZACION (PAI - COVID 19)",IF(O138=CURSOS!$D$18,"ATENCION INTEGRAL EN ENFERMEDADES PREVALENTES EN PRIMERA INFANCIA (AIEPI)",IF(O138=CURSOS!$D$19,"ADMINISTRACION DE MEDICAMENTOS, INYECTOLOGIA  Y CANALIZACION ",IF(O138=CURSOS!$D$20,"OPERADOR DE VEHICULOS DE EMERGENCIA (OVE)",IF(O138=CURSOS!$D$21,"INSTITUCIONES AMIGAS DE LA MUJER Y LA INFANCIA (IAMI)",IF(O138=CURSOS!$D$22,"CUIDADO DEL DONANTE DE ORGANOS",IF(O138=CURSOS!$D$23,"ATENCION A VICTIMAS POR VIOLENCIA DE GENERO",IF(O138=CURSOS!$D$24,"IGUALDAD DE GENERO EN LA SALUD",IF(O138=CURSOS!$D$25,"BRIGADA DE EMERGENCIA",IF(O138=CURSOS!$D$26,"MANEJO DEL DOLOR Y CUIDADOS PALIATIVOS",IF(O138=CURSOS!$D$27,"TOMA DE MUESTRAS Y LABORATORIO POCT",IF(O138=CURSOS!$D$28,"IMPLANTE SUBDERMICO DE DISPOSITIVO INTRAUTERINO",IF(O138=CURSOS!$D$29,"SALUD MENTAL",IF(O138=CURSOS!$D$30,"PRIMEROS AUXILIOS PSICOLOGICOS",IF(O138=CURSOS!$D$31,"ATENCION A VICTIMAS POR CONFLICTO ARMADO",IF(O138=CURSOS!$D$32,"MANIPULACION DE ALIMENTOS Y BPM",IF(O138=CURSOS!$D$33,"ATENCION A PERSONAS CON DISCAPACIDAD",IF(O138=CURSOS!$D$34,"CUIDADO INTEGRAL DEL PACIENTE ADULTO",IF(O138=CURSOS!$D$35,"MANEJO DEFENSIVO",IF(O138=CURSOS!$D$36,"SOPORTE CARDIOVASCULAR AVANZADO NEONATAL",IF(O138=CURSOS!$D$37,"SEGURIDAD DEL PACIENTE",IF(O138=CURSOS!$D$38,"MANEJO DE RESIDUOS HOSPITALARIOS"))))))))))))))))))))))))))))))))))))</f>
        <v>0</v>
      </c>
      <c r="V138" s="59" t="str">
        <f t="shared" si="8"/>
        <v xml:space="preserve">   </v>
      </c>
      <c r="W138" s="59" t="str">
        <f t="shared" si="9"/>
        <v xml:space="preserve">   </v>
      </c>
      <c r="X138" s="59" t="str">
        <f t="shared" si="10"/>
        <v xml:space="preserve">   --</v>
      </c>
    </row>
    <row r="139" spans="1:24" x14ac:dyDescent="0.2">
      <c r="A139" s="55">
        <v>138</v>
      </c>
      <c r="C139" s="54"/>
      <c r="D139" s="54"/>
      <c r="E139" s="54"/>
      <c r="F139" s="54"/>
      <c r="G139" s="54"/>
      <c r="I139" s="24"/>
      <c r="L139" s="54"/>
      <c r="N139" s="54"/>
      <c r="O139" s="54"/>
      <c r="Q139" s="54"/>
      <c r="R139" s="54"/>
      <c r="S139" s="54"/>
      <c r="T139" s="53"/>
      <c r="U139" s="59" t="b">
        <f>IF(O139=CURSOS!$D$3,"DIPLOMADO EN ATENCION PRE-HOSPITALARIA",IF(O139=CURSOS!$D$4,"ACOMPAÑAMIENTO Y MANEJO DEL DUELO",IF(O139=CURSOS!$D$5,"ATENCION A VICTIMAS DE ATAQUE CON AGENTES QUIMICOS ",IF(O139=CURSOS!$D$6,"PRIMEROS AUXILIOS ",IF(O139=CURSOS!$D$7,"DIPLOMADO DE UNIDAD DE CUIDADOS INTENSIVOS (UCI)",IF(O139=CURSOS!$D$8,"MODELO DE ATENCION PARA EVENTOS EMERGENTES EN SALUD MENTAL (CODIGO VERDE)",IF(O139=CURSOS!$D$9,"HUMANIZACION EN EL SERVICIO DE LA SALUD Y BUENAS PRACTICAS EN PACIENTE ",IF(O139=CURSOS!$D$10,"CLINICA DE HERIDAS ",IF(O139=CURSOS!$D$11,"TOMA DE CITOLOGIA CERVICO VAGINAL ",IF(O139=CURSOS!$D$12,"SOPORTE CARDIOVASCULAR AVANZADO (ACLS) ",IF(O139=CURSOS!$D$13,"CAMILLERO ",IF(O139=CURSOS!$D$14,"TOMA DE MUESTRAS Y LABORATORIO ",IF(O139=CURSOS!$D$15,"SOPORTE VITAL BASICO (BLS)",IF(O139=CURSOS!$D$16,"ATENCION A VICTIMAS DE VIOLENCIA SEXUAL ",IF(O139=CURSOS!$D$17,"PROGRAMADO AMPLIADO DE INMUNIZACION (PAI - COVID 19)",IF(O139=CURSOS!$D$18,"ATENCION INTEGRAL EN ENFERMEDADES PREVALENTES EN PRIMERA INFANCIA (AIEPI)",IF(O139=CURSOS!$D$19,"ADMINISTRACION DE MEDICAMENTOS, INYECTOLOGIA  Y CANALIZACION ",IF(O139=CURSOS!$D$20,"OPERADOR DE VEHICULOS DE EMERGENCIA (OVE)",IF(O139=CURSOS!$D$21,"INSTITUCIONES AMIGAS DE LA MUJER Y LA INFANCIA (IAMI)",IF(O139=CURSOS!$D$22,"CUIDADO DEL DONANTE DE ORGANOS",IF(O139=CURSOS!$D$23,"ATENCION A VICTIMAS POR VIOLENCIA DE GENERO",IF(O139=CURSOS!$D$24,"IGUALDAD DE GENERO EN LA SALUD",IF(O139=CURSOS!$D$25,"BRIGADA DE EMERGENCIA",IF(O139=CURSOS!$D$26,"MANEJO DEL DOLOR Y CUIDADOS PALIATIVOS",IF(O139=CURSOS!$D$27,"TOMA DE MUESTRAS Y LABORATORIO POCT",IF(O139=CURSOS!$D$28,"IMPLANTE SUBDERMICO DE DISPOSITIVO INTRAUTERINO",IF(O139=CURSOS!$D$29,"SALUD MENTAL",IF(O139=CURSOS!$D$30,"PRIMEROS AUXILIOS PSICOLOGICOS",IF(O139=CURSOS!$D$31,"ATENCION A VICTIMAS POR CONFLICTO ARMADO",IF(O139=CURSOS!$D$32,"MANIPULACION DE ALIMENTOS Y BPM",IF(O139=CURSOS!$D$33,"ATENCION A PERSONAS CON DISCAPACIDAD",IF(O139=CURSOS!$D$34,"CUIDADO INTEGRAL DEL PACIENTE ADULTO",IF(O139=CURSOS!$D$35,"MANEJO DEFENSIVO",IF(O139=CURSOS!$D$36,"SOPORTE CARDIOVASCULAR AVANZADO NEONATAL",IF(O139=CURSOS!$D$37,"SEGURIDAD DEL PACIENTE",IF(O139=CURSOS!$D$38,"MANEJO DE RESIDUOS HOSPITALARIOS"))))))))))))))))))))))))))))))))))))</f>
        <v>0</v>
      </c>
      <c r="V139" s="59" t="str">
        <f t="shared" si="8"/>
        <v xml:space="preserve">   </v>
      </c>
      <c r="W139" s="59" t="str">
        <f t="shared" si="9"/>
        <v xml:space="preserve">   </v>
      </c>
      <c r="X139" s="59" t="str">
        <f t="shared" si="10"/>
        <v xml:space="preserve">   --</v>
      </c>
    </row>
    <row r="140" spans="1:24" x14ac:dyDescent="0.2">
      <c r="A140" s="55">
        <v>139</v>
      </c>
      <c r="C140" s="54"/>
      <c r="D140" s="54"/>
      <c r="E140" s="54"/>
      <c r="F140" s="54"/>
      <c r="G140" s="54"/>
      <c r="I140" s="24"/>
      <c r="L140" s="54"/>
      <c r="Q140" s="54"/>
      <c r="T140" s="53"/>
      <c r="U140" s="59" t="b">
        <f>IF(O140=CURSOS!$D$3,"DIPLOMADO EN ATENCION PRE-HOSPITALARIA",IF(O140=CURSOS!$D$4,"ACOMPAÑAMIENTO Y MANEJO DEL DUELO",IF(O140=CURSOS!$D$5,"ATENCION A VICTIMAS DE ATAQUE CON AGENTES QUIMICOS ",IF(O140=CURSOS!$D$6,"PRIMEROS AUXILIOS ",IF(O140=CURSOS!$D$7,"DIPLOMADO DE UNIDAD DE CUIDADOS INTENSIVOS (UCI)",IF(O140=CURSOS!$D$8,"MODELO DE ATENCION PARA EVENTOS EMERGENTES EN SALUD MENTAL (CODIGO VERDE)",IF(O140=CURSOS!$D$9,"HUMANIZACION EN EL SERVICIO DE LA SALUD Y BUENAS PRACTICAS EN PACIENTE ",IF(O140=CURSOS!$D$10,"CLINICA DE HERIDAS ",IF(O140=CURSOS!$D$11,"TOMA DE CITOLOGIA CERVICO VAGINAL ",IF(O140=CURSOS!$D$12,"SOPORTE CARDIOVASCULAR AVANZADO (ACLS) ",IF(O140=CURSOS!$D$13,"CAMILLERO ",IF(O140=CURSOS!$D$14,"TOMA DE MUESTRAS Y LABORATORIO ",IF(O140=CURSOS!$D$15,"SOPORTE VITAL BASICO (BLS)",IF(O140=CURSOS!$D$16,"ATENCION A VICTIMAS DE VIOLENCIA SEXUAL ",IF(O140=CURSOS!$D$17,"PROGRAMADO AMPLIADO DE INMUNIZACION (PAI - COVID 19)",IF(O140=CURSOS!$D$18,"ATENCION INTEGRAL EN ENFERMEDADES PREVALENTES EN PRIMERA INFANCIA (AIEPI)",IF(O140=CURSOS!$D$19,"ADMINISTRACION DE MEDICAMENTOS, INYECTOLOGIA  Y CANALIZACION ",IF(O140=CURSOS!$D$20,"OPERADOR DE VEHICULOS DE EMERGENCIA (OVE)",IF(O140=CURSOS!$D$21,"INSTITUCIONES AMIGAS DE LA MUJER Y LA INFANCIA (IAMI)",IF(O140=CURSOS!$D$22,"CUIDADO DEL DONANTE DE ORGANOS",IF(O140=CURSOS!$D$23,"ATENCION A VICTIMAS POR VIOLENCIA DE GENERO",IF(O140=CURSOS!$D$24,"IGUALDAD DE GENERO EN LA SALUD",IF(O140=CURSOS!$D$25,"BRIGADA DE EMERGENCIA",IF(O140=CURSOS!$D$26,"MANEJO DEL DOLOR Y CUIDADOS PALIATIVOS",IF(O140=CURSOS!$D$27,"TOMA DE MUESTRAS Y LABORATORIO POCT",IF(O140=CURSOS!$D$28,"IMPLANTE SUBDERMICO DE DISPOSITIVO INTRAUTERINO",IF(O140=CURSOS!$D$29,"SALUD MENTAL",IF(O140=CURSOS!$D$30,"PRIMEROS AUXILIOS PSICOLOGICOS",IF(O140=CURSOS!$D$31,"ATENCION A VICTIMAS POR CONFLICTO ARMADO",IF(O140=CURSOS!$D$32,"MANIPULACION DE ALIMENTOS Y BPM",IF(O140=CURSOS!$D$33,"ATENCION A PERSONAS CON DISCAPACIDAD",IF(O140=CURSOS!$D$34,"CUIDADO INTEGRAL DEL PACIENTE ADULTO",IF(O140=CURSOS!$D$35,"MANEJO DEFENSIVO",IF(O140=CURSOS!$D$36,"SOPORTE CARDIOVASCULAR AVANZADO NEONATAL",IF(O140=CURSOS!$D$37,"SEGURIDAD DEL PACIENTE",IF(O140=CURSOS!$D$38,"MANEJO DE RESIDUOS HOSPITALARIOS"))))))))))))))))))))))))))))))))))))</f>
        <v>0</v>
      </c>
      <c r="V140" s="59" t="str">
        <f t="shared" si="8"/>
        <v xml:space="preserve">   </v>
      </c>
      <c r="W140" s="59" t="str">
        <f t="shared" si="9"/>
        <v xml:space="preserve">   </v>
      </c>
      <c r="X140" s="59" t="str">
        <f t="shared" si="10"/>
        <v xml:space="preserve">   --</v>
      </c>
    </row>
    <row r="141" spans="1:24" x14ac:dyDescent="0.2">
      <c r="A141" s="55">
        <v>140</v>
      </c>
      <c r="C141" s="54"/>
      <c r="D141" s="54"/>
      <c r="E141" s="54"/>
      <c r="F141" s="54"/>
      <c r="G141" s="54"/>
      <c r="I141" s="24"/>
      <c r="L141" s="54"/>
      <c r="Q141" s="54"/>
      <c r="T141" s="53"/>
      <c r="U141" s="59" t="b">
        <f>IF(O141=CURSOS!$D$3,"DIPLOMADO EN ATENCION PRE-HOSPITALARIA",IF(O141=CURSOS!$D$4,"ACOMPAÑAMIENTO Y MANEJO DEL DUELO",IF(O141=CURSOS!$D$5,"ATENCION A VICTIMAS DE ATAQUE CON AGENTES QUIMICOS ",IF(O141=CURSOS!$D$6,"PRIMEROS AUXILIOS ",IF(O141=CURSOS!$D$7,"DIPLOMADO DE UNIDAD DE CUIDADOS INTENSIVOS (UCI)",IF(O141=CURSOS!$D$8,"MODELO DE ATENCION PARA EVENTOS EMERGENTES EN SALUD MENTAL (CODIGO VERDE)",IF(O141=CURSOS!$D$9,"HUMANIZACION EN EL SERVICIO DE LA SALUD Y BUENAS PRACTICAS EN PACIENTE ",IF(O141=CURSOS!$D$10,"CLINICA DE HERIDAS ",IF(O141=CURSOS!$D$11,"TOMA DE CITOLOGIA CERVICO VAGINAL ",IF(O141=CURSOS!$D$12,"SOPORTE CARDIOVASCULAR AVANZADO (ACLS) ",IF(O141=CURSOS!$D$13,"CAMILLERO ",IF(O141=CURSOS!$D$14,"TOMA DE MUESTRAS Y LABORATORIO ",IF(O141=CURSOS!$D$15,"SOPORTE VITAL BASICO (BLS)",IF(O141=CURSOS!$D$16,"ATENCION A VICTIMAS DE VIOLENCIA SEXUAL ",IF(O141=CURSOS!$D$17,"PROGRAMADO AMPLIADO DE INMUNIZACION (PAI - COVID 19)",IF(O141=CURSOS!$D$18,"ATENCION INTEGRAL EN ENFERMEDADES PREVALENTES EN PRIMERA INFANCIA (AIEPI)",IF(O141=CURSOS!$D$19,"ADMINISTRACION DE MEDICAMENTOS, INYECTOLOGIA  Y CANALIZACION ",IF(O141=CURSOS!$D$20,"OPERADOR DE VEHICULOS DE EMERGENCIA (OVE)",IF(O141=CURSOS!$D$21,"INSTITUCIONES AMIGAS DE LA MUJER Y LA INFANCIA (IAMI)",IF(O141=CURSOS!$D$22,"CUIDADO DEL DONANTE DE ORGANOS",IF(O141=CURSOS!$D$23,"ATENCION A VICTIMAS POR VIOLENCIA DE GENERO",IF(O141=CURSOS!$D$24,"IGUALDAD DE GENERO EN LA SALUD",IF(O141=CURSOS!$D$25,"BRIGADA DE EMERGENCIA",IF(O141=CURSOS!$D$26,"MANEJO DEL DOLOR Y CUIDADOS PALIATIVOS",IF(O141=CURSOS!$D$27,"TOMA DE MUESTRAS Y LABORATORIO POCT",IF(O141=CURSOS!$D$28,"IMPLANTE SUBDERMICO DE DISPOSITIVO INTRAUTERINO",IF(O141=CURSOS!$D$29,"SALUD MENTAL",IF(O141=CURSOS!$D$30,"PRIMEROS AUXILIOS PSICOLOGICOS",IF(O141=CURSOS!$D$31,"ATENCION A VICTIMAS POR CONFLICTO ARMADO",IF(O141=CURSOS!$D$32,"MANIPULACION DE ALIMENTOS Y BPM",IF(O141=CURSOS!$D$33,"ATENCION A PERSONAS CON DISCAPACIDAD",IF(O141=CURSOS!$D$34,"CUIDADO INTEGRAL DEL PACIENTE ADULTO",IF(O141=CURSOS!$D$35,"MANEJO DEFENSIVO",IF(O141=CURSOS!$D$36,"SOPORTE CARDIOVASCULAR AVANZADO NEONATAL",IF(O141=CURSOS!$D$37,"SEGURIDAD DEL PACIENTE",IF(O141=CURSOS!$D$38,"MANEJO DE RESIDUOS HOSPITALARIOS"))))))))))))))))))))))))))))))))))))</f>
        <v>0</v>
      </c>
      <c r="V141" s="59" t="str">
        <f t="shared" si="8"/>
        <v xml:space="preserve">   </v>
      </c>
      <c r="W141" s="59" t="str">
        <f t="shared" si="9"/>
        <v xml:space="preserve">   </v>
      </c>
      <c r="X141" s="59" t="str">
        <f t="shared" si="10"/>
        <v xml:space="preserve">   --</v>
      </c>
    </row>
    <row r="142" spans="1:24" x14ac:dyDescent="0.2">
      <c r="A142" s="55">
        <v>141</v>
      </c>
      <c r="C142" s="54"/>
      <c r="D142" s="54"/>
      <c r="E142" s="54"/>
      <c r="F142" s="54"/>
      <c r="G142" s="54"/>
      <c r="I142" s="24"/>
      <c r="L142" s="54"/>
      <c r="Q142" s="54"/>
      <c r="T142" s="53"/>
      <c r="U142" s="59" t="b">
        <f>IF(O142=CURSOS!$D$3,"DIPLOMADO EN ATENCION PRE-HOSPITALARIA",IF(O142=CURSOS!$D$4,"ACOMPAÑAMIENTO Y MANEJO DEL DUELO",IF(O142=CURSOS!$D$5,"ATENCION A VICTIMAS DE ATAQUE CON AGENTES QUIMICOS ",IF(O142=CURSOS!$D$6,"PRIMEROS AUXILIOS ",IF(O142=CURSOS!$D$7,"DIPLOMADO DE UNIDAD DE CUIDADOS INTENSIVOS (UCI)",IF(O142=CURSOS!$D$8,"MODELO DE ATENCION PARA EVENTOS EMERGENTES EN SALUD MENTAL (CODIGO VERDE)",IF(O142=CURSOS!$D$9,"HUMANIZACION EN EL SERVICIO DE LA SALUD Y BUENAS PRACTICAS EN PACIENTE ",IF(O142=CURSOS!$D$10,"CLINICA DE HERIDAS ",IF(O142=CURSOS!$D$11,"TOMA DE CITOLOGIA CERVICO VAGINAL ",IF(O142=CURSOS!$D$12,"SOPORTE CARDIOVASCULAR AVANZADO (ACLS) ",IF(O142=CURSOS!$D$13,"CAMILLERO ",IF(O142=CURSOS!$D$14,"TOMA DE MUESTRAS Y LABORATORIO ",IF(O142=CURSOS!$D$15,"SOPORTE VITAL BASICO (BLS)",IF(O142=CURSOS!$D$16,"ATENCION A VICTIMAS DE VIOLENCIA SEXUAL ",IF(O142=CURSOS!$D$17,"PROGRAMADO AMPLIADO DE INMUNIZACION (PAI - COVID 19)",IF(O142=CURSOS!$D$18,"ATENCION INTEGRAL EN ENFERMEDADES PREVALENTES EN PRIMERA INFANCIA (AIEPI)",IF(O142=CURSOS!$D$19,"ADMINISTRACION DE MEDICAMENTOS, INYECTOLOGIA  Y CANALIZACION ",IF(O142=CURSOS!$D$20,"OPERADOR DE VEHICULOS DE EMERGENCIA (OVE)",IF(O142=CURSOS!$D$21,"INSTITUCIONES AMIGAS DE LA MUJER Y LA INFANCIA (IAMI)",IF(O142=CURSOS!$D$22,"CUIDADO DEL DONANTE DE ORGANOS",IF(O142=CURSOS!$D$23,"ATENCION A VICTIMAS POR VIOLENCIA DE GENERO",IF(O142=CURSOS!$D$24,"IGUALDAD DE GENERO EN LA SALUD",IF(O142=CURSOS!$D$25,"BRIGADA DE EMERGENCIA",IF(O142=CURSOS!$D$26,"MANEJO DEL DOLOR Y CUIDADOS PALIATIVOS",IF(O142=CURSOS!$D$27,"TOMA DE MUESTRAS Y LABORATORIO POCT",IF(O142=CURSOS!$D$28,"IMPLANTE SUBDERMICO DE DISPOSITIVO INTRAUTERINO",IF(O142=CURSOS!$D$29,"SALUD MENTAL",IF(O142=CURSOS!$D$30,"PRIMEROS AUXILIOS PSICOLOGICOS",IF(O142=CURSOS!$D$31,"ATENCION A VICTIMAS POR CONFLICTO ARMADO",IF(O142=CURSOS!$D$32,"MANIPULACION DE ALIMENTOS Y BPM",IF(O142=CURSOS!$D$33,"ATENCION A PERSONAS CON DISCAPACIDAD",IF(O142=CURSOS!$D$34,"CUIDADO INTEGRAL DEL PACIENTE ADULTO",IF(O142=CURSOS!$D$35,"MANEJO DEFENSIVO",IF(O142=CURSOS!$D$36,"SOPORTE CARDIOVASCULAR AVANZADO NEONATAL",IF(O142=CURSOS!$D$37,"SEGURIDAD DEL PACIENTE",IF(O142=CURSOS!$D$38,"MANEJO DE RESIDUOS HOSPITALARIOS"))))))))))))))))))))))))))))))))))))</f>
        <v>0</v>
      </c>
      <c r="V142" s="59" t="str">
        <f t="shared" si="8"/>
        <v xml:space="preserve">   </v>
      </c>
      <c r="W142" s="59" t="str">
        <f t="shared" si="9"/>
        <v xml:space="preserve">   </v>
      </c>
      <c r="X142" s="59" t="str">
        <f t="shared" si="10"/>
        <v xml:space="preserve">   --</v>
      </c>
    </row>
    <row r="143" spans="1:24" x14ac:dyDescent="0.2">
      <c r="A143" s="55">
        <v>142</v>
      </c>
      <c r="C143" s="54"/>
      <c r="D143" s="54"/>
      <c r="E143" s="54"/>
      <c r="F143" s="54"/>
      <c r="G143" s="54"/>
      <c r="I143" s="24"/>
      <c r="L143" s="54"/>
      <c r="Q143" s="54"/>
      <c r="T143" s="53"/>
      <c r="U143" s="59" t="b">
        <f>IF(O143=CURSOS!$D$3,"DIPLOMADO EN ATENCION PRE-HOSPITALARIA",IF(O143=CURSOS!$D$4,"ACOMPAÑAMIENTO Y MANEJO DEL DUELO",IF(O143=CURSOS!$D$5,"ATENCION A VICTIMAS DE ATAQUE CON AGENTES QUIMICOS ",IF(O143=CURSOS!$D$6,"PRIMEROS AUXILIOS ",IF(O143=CURSOS!$D$7,"DIPLOMADO DE UNIDAD DE CUIDADOS INTENSIVOS (UCI)",IF(O143=CURSOS!$D$8,"MODELO DE ATENCION PARA EVENTOS EMERGENTES EN SALUD MENTAL (CODIGO VERDE)",IF(O143=CURSOS!$D$9,"HUMANIZACION EN EL SERVICIO DE LA SALUD Y BUENAS PRACTICAS EN PACIENTE ",IF(O143=CURSOS!$D$10,"CLINICA DE HERIDAS ",IF(O143=CURSOS!$D$11,"TOMA DE CITOLOGIA CERVICO VAGINAL ",IF(O143=CURSOS!$D$12,"SOPORTE CARDIOVASCULAR AVANZADO (ACLS) ",IF(O143=CURSOS!$D$13,"CAMILLERO ",IF(O143=CURSOS!$D$14,"TOMA DE MUESTRAS Y LABORATORIO ",IF(O143=CURSOS!$D$15,"SOPORTE VITAL BASICO (BLS)",IF(O143=CURSOS!$D$16,"ATENCION A VICTIMAS DE VIOLENCIA SEXUAL ",IF(O143=CURSOS!$D$17,"PROGRAMADO AMPLIADO DE INMUNIZACION (PAI - COVID 19)",IF(O143=CURSOS!$D$18,"ATENCION INTEGRAL EN ENFERMEDADES PREVALENTES EN PRIMERA INFANCIA (AIEPI)",IF(O143=CURSOS!$D$19,"ADMINISTRACION DE MEDICAMENTOS, INYECTOLOGIA  Y CANALIZACION ",IF(O143=CURSOS!$D$20,"OPERADOR DE VEHICULOS DE EMERGENCIA (OVE)",IF(O143=CURSOS!$D$21,"INSTITUCIONES AMIGAS DE LA MUJER Y LA INFANCIA (IAMI)",IF(O143=CURSOS!$D$22,"CUIDADO DEL DONANTE DE ORGANOS",IF(O143=CURSOS!$D$23,"ATENCION A VICTIMAS POR VIOLENCIA DE GENERO",IF(O143=CURSOS!$D$24,"IGUALDAD DE GENERO EN LA SALUD",IF(O143=CURSOS!$D$25,"BRIGADA DE EMERGENCIA",IF(O143=CURSOS!$D$26,"MANEJO DEL DOLOR Y CUIDADOS PALIATIVOS",IF(O143=CURSOS!$D$27,"TOMA DE MUESTRAS Y LABORATORIO POCT",IF(O143=CURSOS!$D$28,"IMPLANTE SUBDERMICO DE DISPOSITIVO INTRAUTERINO",IF(O143=CURSOS!$D$29,"SALUD MENTAL",IF(O143=CURSOS!$D$30,"PRIMEROS AUXILIOS PSICOLOGICOS",IF(O143=CURSOS!$D$31,"ATENCION A VICTIMAS POR CONFLICTO ARMADO",IF(O143=CURSOS!$D$32,"MANIPULACION DE ALIMENTOS Y BPM",IF(O143=CURSOS!$D$33,"ATENCION A PERSONAS CON DISCAPACIDAD",IF(O143=CURSOS!$D$34,"CUIDADO INTEGRAL DEL PACIENTE ADULTO",IF(O143=CURSOS!$D$35,"MANEJO DEFENSIVO",IF(O143=CURSOS!$D$36,"SOPORTE CARDIOVASCULAR AVANZADO NEONATAL",IF(O143=CURSOS!$D$37,"SEGURIDAD DEL PACIENTE",IF(O143=CURSOS!$D$38,"MANEJO DE RESIDUOS HOSPITALARIOS"))))))))))))))))))))))))))))))))))))</f>
        <v>0</v>
      </c>
      <c r="V143" s="59" t="str">
        <f t="shared" si="8"/>
        <v xml:space="preserve">   </v>
      </c>
      <c r="W143" s="59" t="str">
        <f t="shared" si="9"/>
        <v xml:space="preserve">   </v>
      </c>
      <c r="X143" s="59" t="str">
        <f t="shared" si="10"/>
        <v xml:space="preserve">   --</v>
      </c>
    </row>
    <row r="144" spans="1:24" x14ac:dyDescent="0.2">
      <c r="A144" s="55">
        <v>143</v>
      </c>
      <c r="C144" s="54"/>
      <c r="D144" s="54"/>
      <c r="E144" s="54"/>
      <c r="F144" s="54"/>
      <c r="G144" s="54"/>
      <c r="I144" s="24"/>
      <c r="L144" s="54"/>
      <c r="Q144" s="54"/>
      <c r="T144" s="53"/>
      <c r="U144" s="59" t="b">
        <f>IF(O144=CURSOS!$D$3,"DIPLOMADO EN ATENCION PRE-HOSPITALARIA",IF(O144=CURSOS!$D$4,"ACOMPAÑAMIENTO Y MANEJO DEL DUELO",IF(O144=CURSOS!$D$5,"ATENCION A VICTIMAS DE ATAQUE CON AGENTES QUIMICOS ",IF(O144=CURSOS!$D$6,"PRIMEROS AUXILIOS ",IF(O144=CURSOS!$D$7,"DIPLOMADO DE UNIDAD DE CUIDADOS INTENSIVOS (UCI)",IF(O144=CURSOS!$D$8,"MODELO DE ATENCION PARA EVENTOS EMERGENTES EN SALUD MENTAL (CODIGO VERDE)",IF(O144=CURSOS!$D$9,"HUMANIZACION EN EL SERVICIO DE LA SALUD Y BUENAS PRACTICAS EN PACIENTE ",IF(O144=CURSOS!$D$10,"CLINICA DE HERIDAS ",IF(O144=CURSOS!$D$11,"TOMA DE CITOLOGIA CERVICO VAGINAL ",IF(O144=CURSOS!$D$12,"SOPORTE CARDIOVASCULAR AVANZADO (ACLS) ",IF(O144=CURSOS!$D$13,"CAMILLERO ",IF(O144=CURSOS!$D$14,"TOMA DE MUESTRAS Y LABORATORIO ",IF(O144=CURSOS!$D$15,"SOPORTE VITAL BASICO (BLS)",IF(O144=CURSOS!$D$16,"ATENCION A VICTIMAS DE VIOLENCIA SEXUAL ",IF(O144=CURSOS!$D$17,"PROGRAMADO AMPLIADO DE INMUNIZACION (PAI - COVID 19)",IF(O144=CURSOS!$D$18,"ATENCION INTEGRAL EN ENFERMEDADES PREVALENTES EN PRIMERA INFANCIA (AIEPI)",IF(O144=CURSOS!$D$19,"ADMINISTRACION DE MEDICAMENTOS, INYECTOLOGIA  Y CANALIZACION ",IF(O144=CURSOS!$D$20,"OPERADOR DE VEHICULOS DE EMERGENCIA (OVE)",IF(O144=CURSOS!$D$21,"INSTITUCIONES AMIGAS DE LA MUJER Y LA INFANCIA (IAMI)",IF(O144=CURSOS!$D$22,"CUIDADO DEL DONANTE DE ORGANOS",IF(O144=CURSOS!$D$23,"ATENCION A VICTIMAS POR VIOLENCIA DE GENERO",IF(O144=CURSOS!$D$24,"IGUALDAD DE GENERO EN LA SALUD",IF(O144=CURSOS!$D$25,"BRIGADA DE EMERGENCIA",IF(O144=CURSOS!$D$26,"MANEJO DEL DOLOR Y CUIDADOS PALIATIVOS",IF(O144=CURSOS!$D$27,"TOMA DE MUESTRAS Y LABORATORIO POCT",IF(O144=CURSOS!$D$28,"IMPLANTE SUBDERMICO DE DISPOSITIVO INTRAUTERINO",IF(O144=CURSOS!$D$29,"SALUD MENTAL",IF(O144=CURSOS!$D$30,"PRIMEROS AUXILIOS PSICOLOGICOS",IF(O144=CURSOS!$D$31,"ATENCION A VICTIMAS POR CONFLICTO ARMADO",IF(O144=CURSOS!$D$32,"MANIPULACION DE ALIMENTOS Y BPM",IF(O144=CURSOS!$D$33,"ATENCION A PERSONAS CON DISCAPACIDAD",IF(O144=CURSOS!$D$34,"CUIDADO INTEGRAL DEL PACIENTE ADULTO",IF(O144=CURSOS!$D$35,"MANEJO DEFENSIVO",IF(O144=CURSOS!$D$36,"SOPORTE CARDIOVASCULAR AVANZADO NEONATAL",IF(O144=CURSOS!$D$37,"SEGURIDAD DEL PACIENTE",IF(O144=CURSOS!$D$38,"MANEJO DE RESIDUOS HOSPITALARIOS"))))))))))))))))))))))))))))))))))))</f>
        <v>0</v>
      </c>
      <c r="V144" s="59" t="str">
        <f t="shared" si="8"/>
        <v xml:space="preserve">   </v>
      </c>
      <c r="W144" s="59" t="str">
        <f t="shared" si="9"/>
        <v xml:space="preserve">   </v>
      </c>
      <c r="X144" s="59" t="str">
        <f t="shared" si="10"/>
        <v xml:space="preserve">   --</v>
      </c>
    </row>
    <row r="145" spans="1:24" x14ac:dyDescent="0.2">
      <c r="A145" s="55">
        <v>144</v>
      </c>
      <c r="C145" s="54"/>
      <c r="D145" s="54"/>
      <c r="E145" s="54"/>
      <c r="F145" s="54"/>
      <c r="G145" s="54"/>
      <c r="I145" s="24"/>
      <c r="L145" s="54"/>
      <c r="Q145" s="54"/>
      <c r="T145" s="53"/>
      <c r="U145" s="59" t="b">
        <f>IF(O145=CURSOS!$D$3,"DIPLOMADO EN ATENCION PRE-HOSPITALARIA",IF(O145=CURSOS!$D$4,"ACOMPAÑAMIENTO Y MANEJO DEL DUELO",IF(O145=CURSOS!$D$5,"ATENCION A VICTIMAS DE ATAQUE CON AGENTES QUIMICOS ",IF(O145=CURSOS!$D$6,"PRIMEROS AUXILIOS ",IF(O145=CURSOS!$D$7,"DIPLOMADO DE UNIDAD DE CUIDADOS INTENSIVOS (UCI)",IF(O145=CURSOS!$D$8,"MODELO DE ATENCION PARA EVENTOS EMERGENTES EN SALUD MENTAL (CODIGO VERDE)",IF(O145=CURSOS!$D$9,"HUMANIZACION EN EL SERVICIO DE LA SALUD Y BUENAS PRACTICAS EN PACIENTE ",IF(O145=CURSOS!$D$10,"CLINICA DE HERIDAS ",IF(O145=CURSOS!$D$11,"TOMA DE CITOLOGIA CERVICO VAGINAL ",IF(O145=CURSOS!$D$12,"SOPORTE CARDIOVASCULAR AVANZADO (ACLS) ",IF(O145=CURSOS!$D$13,"CAMILLERO ",IF(O145=CURSOS!$D$14,"TOMA DE MUESTRAS Y LABORATORIO ",IF(O145=CURSOS!$D$15,"SOPORTE VITAL BASICO (BLS)",IF(O145=CURSOS!$D$16,"ATENCION A VICTIMAS DE VIOLENCIA SEXUAL ",IF(O145=CURSOS!$D$17,"PROGRAMADO AMPLIADO DE INMUNIZACION (PAI - COVID 19)",IF(O145=CURSOS!$D$18,"ATENCION INTEGRAL EN ENFERMEDADES PREVALENTES EN PRIMERA INFANCIA (AIEPI)",IF(O145=CURSOS!$D$19,"ADMINISTRACION DE MEDICAMENTOS, INYECTOLOGIA  Y CANALIZACION ",IF(O145=CURSOS!$D$20,"OPERADOR DE VEHICULOS DE EMERGENCIA (OVE)",IF(O145=CURSOS!$D$21,"INSTITUCIONES AMIGAS DE LA MUJER Y LA INFANCIA (IAMI)",IF(O145=CURSOS!$D$22,"CUIDADO DEL DONANTE DE ORGANOS",IF(O145=CURSOS!$D$23,"ATENCION A VICTIMAS POR VIOLENCIA DE GENERO",IF(O145=CURSOS!$D$24,"IGUALDAD DE GENERO EN LA SALUD",IF(O145=CURSOS!$D$25,"BRIGADA DE EMERGENCIA",IF(O145=CURSOS!$D$26,"MANEJO DEL DOLOR Y CUIDADOS PALIATIVOS",IF(O145=CURSOS!$D$27,"TOMA DE MUESTRAS Y LABORATORIO POCT",IF(O145=CURSOS!$D$28,"IMPLANTE SUBDERMICO DE DISPOSITIVO INTRAUTERINO",IF(O145=CURSOS!$D$29,"SALUD MENTAL",IF(O145=CURSOS!$D$30,"PRIMEROS AUXILIOS PSICOLOGICOS",IF(O145=CURSOS!$D$31,"ATENCION A VICTIMAS POR CONFLICTO ARMADO",IF(O145=CURSOS!$D$32,"MANIPULACION DE ALIMENTOS Y BPM",IF(O145=CURSOS!$D$33,"ATENCION A PERSONAS CON DISCAPACIDAD",IF(O145=CURSOS!$D$34,"CUIDADO INTEGRAL DEL PACIENTE ADULTO",IF(O145=CURSOS!$D$35,"MANEJO DEFENSIVO",IF(O145=CURSOS!$D$36,"SOPORTE CARDIOVASCULAR AVANZADO NEONATAL",IF(O145=CURSOS!$D$37,"SEGURIDAD DEL PACIENTE",IF(O145=CURSOS!$D$38,"MANEJO DE RESIDUOS HOSPITALARIOS"))))))))))))))))))))))))))))))))))))</f>
        <v>0</v>
      </c>
      <c r="V145" s="59" t="str">
        <f t="shared" si="8"/>
        <v xml:space="preserve">   </v>
      </c>
      <c r="W145" s="59" t="str">
        <f t="shared" si="9"/>
        <v xml:space="preserve">   </v>
      </c>
      <c r="X145" s="59" t="str">
        <f t="shared" si="10"/>
        <v xml:space="preserve">   --</v>
      </c>
    </row>
    <row r="146" spans="1:24" x14ac:dyDescent="0.2">
      <c r="A146" s="55">
        <v>145</v>
      </c>
      <c r="E146" s="54"/>
      <c r="G146" s="54"/>
      <c r="I146" s="24"/>
      <c r="L146" s="54"/>
      <c r="T146" s="53"/>
      <c r="U146" s="59" t="b">
        <f>IF(O146=CURSOS!$D$3,"DIPLOMADO EN ATENCION PRE-HOSPITALARIA",IF(O146=CURSOS!$D$4,"ACOMPAÑAMIENTO Y MANEJO DEL DUELO",IF(O146=CURSOS!$D$5,"ATENCION A VICTIMAS DE ATAQUE CON AGENTES QUIMICOS ",IF(O146=CURSOS!$D$6,"PRIMEROS AUXILIOS ",IF(O146=CURSOS!$D$7,"DIPLOMADO DE UNIDAD DE CUIDADOS INTENSIVOS (UCI)",IF(O146=CURSOS!$D$8,"MODELO DE ATENCION PARA EVENTOS EMERGENTES EN SALUD MENTAL (CODIGO VERDE)",IF(O146=CURSOS!$D$9,"HUMANIZACION EN EL SERVICIO DE LA SALUD Y BUENAS PRACTICAS EN PACIENTE ",IF(O146=CURSOS!$D$10,"CLINICA DE HERIDAS ",IF(O146=CURSOS!$D$11,"TOMA DE CITOLOGIA CERVICO VAGINAL ",IF(O146=CURSOS!$D$12,"SOPORTE CARDIOVASCULAR AVANZADO (ACLS) ",IF(O146=CURSOS!$D$13,"CAMILLERO ",IF(O146=CURSOS!$D$14,"TOMA DE MUESTRAS Y LABORATORIO ",IF(O146=CURSOS!$D$15,"SOPORTE VITAL BASICO (BLS)",IF(O146=CURSOS!$D$16,"ATENCION A VICTIMAS DE VIOLENCIA SEXUAL ",IF(O146=CURSOS!$D$17,"PROGRAMADO AMPLIADO DE INMUNIZACION (PAI - COVID 19)",IF(O146=CURSOS!$D$18,"ATENCION INTEGRAL EN ENFERMEDADES PREVALENTES EN PRIMERA INFANCIA (AIEPI)",IF(O146=CURSOS!$D$19,"ADMINISTRACION DE MEDICAMENTOS, INYECTOLOGIA  Y CANALIZACION ",IF(O146=CURSOS!$D$20,"OPERADOR DE VEHICULOS DE EMERGENCIA (OVE)",IF(O146=CURSOS!$D$21,"INSTITUCIONES AMIGAS DE LA MUJER Y LA INFANCIA (IAMI)",IF(O146=CURSOS!$D$22,"CUIDADO DEL DONANTE DE ORGANOS",IF(O146=CURSOS!$D$23,"ATENCION A VICTIMAS POR VIOLENCIA DE GENERO",IF(O146=CURSOS!$D$24,"IGUALDAD DE GENERO EN LA SALUD",IF(O146=CURSOS!$D$25,"BRIGADA DE EMERGENCIA",IF(O146=CURSOS!$D$26,"MANEJO DEL DOLOR Y CUIDADOS PALIATIVOS",IF(O146=CURSOS!$D$27,"TOMA DE MUESTRAS Y LABORATORIO POCT",IF(O146=CURSOS!$D$28,"IMPLANTE SUBDERMICO DE DISPOSITIVO INTRAUTERINO",IF(O146=CURSOS!$D$29,"SALUD MENTAL",IF(O146=CURSOS!$D$30,"PRIMEROS AUXILIOS PSICOLOGICOS",IF(O146=CURSOS!$D$31,"ATENCION A VICTIMAS POR CONFLICTO ARMADO",IF(O146=CURSOS!$D$32,"MANIPULACION DE ALIMENTOS Y BPM",IF(O146=CURSOS!$D$33,"ATENCION A PERSONAS CON DISCAPACIDAD",IF(O146=CURSOS!$D$34,"CUIDADO INTEGRAL DEL PACIENTE ADULTO",IF(O146=CURSOS!$D$35,"MANEJO DEFENSIVO",IF(O146=CURSOS!$D$36,"SOPORTE CARDIOVASCULAR AVANZADO NEONATAL",IF(O146=CURSOS!$D$37,"SEGURIDAD DEL PACIENTE",IF(O146=CURSOS!$D$38,"MANEJO DE RESIDUOS HOSPITALARIOS"))))))))))))))))))))))))))))))))))))</f>
        <v>0</v>
      </c>
      <c r="V146" s="59" t="str">
        <f t="shared" si="8"/>
        <v xml:space="preserve">   </v>
      </c>
      <c r="W146" s="59" t="str">
        <f t="shared" si="9"/>
        <v xml:space="preserve">   </v>
      </c>
      <c r="X146" s="59" t="str">
        <f t="shared" si="10"/>
        <v xml:space="preserve">   --</v>
      </c>
    </row>
    <row r="147" spans="1:24" x14ac:dyDescent="0.2">
      <c r="A147" s="55">
        <v>146</v>
      </c>
      <c r="I147" s="73"/>
      <c r="L147" s="54"/>
      <c r="S147" s="83"/>
      <c r="T147" s="53"/>
      <c r="U147" s="59" t="b">
        <f>IF(O147=CURSOS!$D$3,"DIPLOMADO EN ATENCION PRE-HOSPITALARIA",IF(O147=CURSOS!$D$4,"ACOMPAÑAMIENTO Y MANEJO DEL DUELO",IF(O147=CURSOS!$D$5,"ATENCION A VICTIMAS DE ATAQUE CON AGENTES QUIMICOS ",IF(O147=CURSOS!$D$6,"PRIMEROS AUXILIOS ",IF(O147=CURSOS!$D$7,"DIPLOMADO DE UNIDAD DE CUIDADOS INTENSIVOS (UCI)",IF(O147=CURSOS!$D$8,"MODELO DE ATENCION PARA EVENTOS EMERGENTES EN SALUD MENTAL (CODIGO VERDE)",IF(O147=CURSOS!$D$9,"HUMANIZACION EN EL SERVICIO DE LA SALUD Y BUENAS PRACTICAS EN PACIENTE ",IF(O147=CURSOS!$D$10,"CLINICA DE HERIDAS ",IF(O147=CURSOS!$D$11,"TOMA DE CITOLOGIA CERVICO VAGINAL ",IF(O147=CURSOS!$D$12,"SOPORTE CARDIOVASCULAR AVANZADO (ACLS) ",IF(O147=CURSOS!$D$13,"CAMILLERO ",IF(O147=CURSOS!$D$14,"TOMA DE MUESTRAS Y LABORATORIO ",IF(O147=CURSOS!$D$15,"SOPORTE VITAL BASICO (BLS)",IF(O147=CURSOS!$D$16,"ATENCION A VICTIMAS DE VIOLENCIA SEXUAL ",IF(O147=CURSOS!$D$17,"PROGRAMADO AMPLIADO DE INMUNIZACION (PAI - COVID 19)",IF(O147=CURSOS!$D$18,"ATENCION INTEGRAL EN ENFERMEDADES PREVALENTES EN PRIMERA INFANCIA (AIEPI)",IF(O147=CURSOS!$D$19,"ADMINISTRACION DE MEDICAMENTOS, INYECTOLOGIA  Y CANALIZACION ",IF(O147=CURSOS!$D$20,"OPERADOR DE VEHICULOS DE EMERGENCIA (OVE)",IF(O147=CURSOS!$D$21,"INSTITUCIONES AMIGAS DE LA MUJER Y LA INFANCIA (IAMI)",IF(O147=CURSOS!$D$22,"CUIDADO DEL DONANTE DE ORGANOS",IF(O147=CURSOS!$D$23,"ATENCION A VICTIMAS POR VIOLENCIA DE GENERO",IF(O147=CURSOS!$D$24,"IGUALDAD DE GENERO EN LA SALUD",IF(O147=CURSOS!$D$25,"BRIGADA DE EMERGENCIA",IF(O147=CURSOS!$D$26,"MANEJO DEL DOLOR Y CUIDADOS PALIATIVOS",IF(O147=CURSOS!$D$27,"TOMA DE MUESTRAS Y LABORATORIO POCT",IF(O147=CURSOS!$D$28,"IMPLANTE SUBDERMICO DE DISPOSITIVO INTRAUTERINO",IF(O147=CURSOS!$D$29,"SALUD MENTAL",IF(O147=CURSOS!$D$30,"PRIMEROS AUXILIOS PSICOLOGICOS",IF(O147=CURSOS!$D$31,"ATENCION A VICTIMAS POR CONFLICTO ARMADO",IF(O147=CURSOS!$D$32,"MANIPULACION DE ALIMENTOS Y BPM",IF(O147=CURSOS!$D$33,"ATENCION A PERSONAS CON DISCAPACIDAD",IF(O147=CURSOS!$D$34,"CUIDADO INTEGRAL DEL PACIENTE ADULTO",IF(O147=CURSOS!$D$35,"MANEJO DEFENSIVO",IF(O147=CURSOS!$D$36,"SOPORTE CARDIOVASCULAR AVANZADO NEONATAL",IF(O147=CURSOS!$D$37,"SEGURIDAD DEL PACIENTE",IF(O147=CURSOS!$D$38,"MANEJO DE RESIDUOS HOSPITALARIOS"))))))))))))))))))))))))))))))))))))</f>
        <v>0</v>
      </c>
      <c r="V147" s="59" t="str">
        <f t="shared" si="8"/>
        <v xml:space="preserve">   </v>
      </c>
      <c r="W147" s="59" t="str">
        <f t="shared" si="9"/>
        <v xml:space="preserve">   </v>
      </c>
      <c r="X147" s="59" t="str">
        <f t="shared" si="10"/>
        <v xml:space="preserve">   --</v>
      </c>
    </row>
    <row r="148" spans="1:24" x14ac:dyDescent="0.2">
      <c r="A148" s="55">
        <v>147</v>
      </c>
      <c r="I148" s="24"/>
      <c r="S148" s="83"/>
      <c r="T148" s="53"/>
      <c r="U148" s="59" t="b">
        <f>IF(O148=CURSOS!$D$3,"DIPLOMADO EN ATENCION PRE-HOSPITALARIA",IF(O148=CURSOS!$D$4,"ACOMPAÑAMIENTO Y MANEJO DEL DUELO",IF(O148=CURSOS!$D$5,"ATENCION A VICTIMAS DE ATAQUE CON AGENTES QUIMICOS ",IF(O148=CURSOS!$D$6,"PRIMEROS AUXILIOS ",IF(O148=CURSOS!$D$7,"DIPLOMADO DE UNIDAD DE CUIDADOS INTENSIVOS (UCI)",IF(O148=CURSOS!$D$8,"MODELO DE ATENCION PARA EVENTOS EMERGENTES EN SALUD MENTAL (CODIGO VERDE)",IF(O148=CURSOS!$D$9,"HUMANIZACION EN EL SERVICIO DE LA SALUD Y BUENAS PRACTICAS EN PACIENTE ",IF(O148=CURSOS!$D$10,"CLINICA DE HERIDAS ",IF(O148=CURSOS!$D$11,"TOMA DE CITOLOGIA CERVICO VAGINAL ",IF(O148=CURSOS!$D$12,"SOPORTE CARDIOVASCULAR AVANZADO (ACLS) ",IF(O148=CURSOS!$D$13,"CAMILLERO ",IF(O148=CURSOS!$D$14,"TOMA DE MUESTRAS Y LABORATORIO ",IF(O148=CURSOS!$D$15,"SOPORTE VITAL BASICO (BLS)",IF(O148=CURSOS!$D$16,"ATENCION A VICTIMAS DE VIOLENCIA SEXUAL ",IF(O148=CURSOS!$D$17,"PROGRAMADO AMPLIADO DE INMUNIZACION (PAI - COVID 19)",IF(O148=CURSOS!$D$18,"ATENCION INTEGRAL EN ENFERMEDADES PREVALENTES EN PRIMERA INFANCIA (AIEPI)",IF(O148=CURSOS!$D$19,"ADMINISTRACION DE MEDICAMENTOS, INYECTOLOGIA  Y CANALIZACION ",IF(O148=CURSOS!$D$20,"OPERADOR DE VEHICULOS DE EMERGENCIA (OVE)",IF(O148=CURSOS!$D$21,"INSTITUCIONES AMIGAS DE LA MUJER Y LA INFANCIA (IAMI)",IF(O148=CURSOS!$D$22,"CUIDADO DEL DONANTE DE ORGANOS",IF(O148=CURSOS!$D$23,"ATENCION A VICTIMAS POR VIOLENCIA DE GENERO",IF(O148=CURSOS!$D$24,"IGUALDAD DE GENERO EN LA SALUD",IF(O148=CURSOS!$D$25,"BRIGADA DE EMERGENCIA",IF(O148=CURSOS!$D$26,"MANEJO DEL DOLOR Y CUIDADOS PALIATIVOS",IF(O148=CURSOS!$D$27,"TOMA DE MUESTRAS Y LABORATORIO POCT",IF(O148=CURSOS!$D$28,"IMPLANTE SUBDERMICO DE DISPOSITIVO INTRAUTERINO",IF(O148=CURSOS!$D$29,"SALUD MENTAL",IF(O148=CURSOS!$D$30,"PRIMEROS AUXILIOS PSICOLOGICOS",IF(O148=CURSOS!$D$31,"ATENCION A VICTIMAS POR CONFLICTO ARMADO",IF(O148=CURSOS!$D$32,"MANIPULACION DE ALIMENTOS Y BPM",IF(O148=CURSOS!$D$33,"ATENCION A PERSONAS CON DISCAPACIDAD",IF(O148=CURSOS!$D$34,"CUIDADO INTEGRAL DEL PACIENTE ADULTO",IF(O148=CURSOS!$D$35,"MANEJO DEFENSIVO",IF(O148=CURSOS!$D$36,"SOPORTE CARDIOVASCULAR AVANZADO NEONATAL",IF(O148=CURSOS!$D$37,"SEGURIDAD DEL PACIENTE",IF(O148=CURSOS!$D$38,"MANEJO DE RESIDUOS HOSPITALARIOS"))))))))))))))))))))))))))))))))))))</f>
        <v>0</v>
      </c>
      <c r="V148" s="59" t="str">
        <f t="shared" si="8"/>
        <v xml:space="preserve">   </v>
      </c>
      <c r="W148" s="59" t="str">
        <f t="shared" si="9"/>
        <v xml:space="preserve">   </v>
      </c>
      <c r="X148" s="59" t="str">
        <f t="shared" si="10"/>
        <v xml:space="preserve">   --</v>
      </c>
    </row>
    <row r="149" spans="1:24" x14ac:dyDescent="0.2">
      <c r="A149" s="55">
        <v>148</v>
      </c>
      <c r="I149" s="24"/>
      <c r="S149" s="83"/>
      <c r="T149" s="53"/>
      <c r="U149" s="59" t="b">
        <f>IF(O149=CURSOS!$D$3,"DIPLOMADO EN ATENCION PRE-HOSPITALARIA",IF(O149=CURSOS!$D$4,"ACOMPAÑAMIENTO Y MANEJO DEL DUELO",IF(O149=CURSOS!$D$5,"ATENCION A VICTIMAS DE ATAQUE CON AGENTES QUIMICOS ",IF(O149=CURSOS!$D$6,"PRIMEROS AUXILIOS ",IF(O149=CURSOS!$D$7,"DIPLOMADO DE UNIDAD DE CUIDADOS INTENSIVOS (UCI)",IF(O149=CURSOS!$D$8,"MODELO DE ATENCION PARA EVENTOS EMERGENTES EN SALUD MENTAL (CODIGO VERDE)",IF(O149=CURSOS!$D$9,"HUMANIZACION EN EL SERVICIO DE LA SALUD Y BUENAS PRACTICAS EN PACIENTE ",IF(O149=CURSOS!$D$10,"CLINICA DE HERIDAS ",IF(O149=CURSOS!$D$11,"TOMA DE CITOLOGIA CERVICO VAGINAL ",IF(O149=CURSOS!$D$12,"SOPORTE CARDIOVASCULAR AVANZADO (ACLS) ",IF(O149=CURSOS!$D$13,"CAMILLERO ",IF(O149=CURSOS!$D$14,"TOMA DE MUESTRAS Y LABORATORIO ",IF(O149=CURSOS!$D$15,"SOPORTE VITAL BASICO (BLS)",IF(O149=CURSOS!$D$16,"ATENCION A VICTIMAS DE VIOLENCIA SEXUAL ",IF(O149=CURSOS!$D$17,"PROGRAMADO AMPLIADO DE INMUNIZACION (PAI - COVID 19)",IF(O149=CURSOS!$D$18,"ATENCION INTEGRAL EN ENFERMEDADES PREVALENTES EN PRIMERA INFANCIA (AIEPI)",IF(O149=CURSOS!$D$19,"ADMINISTRACION DE MEDICAMENTOS, INYECTOLOGIA  Y CANALIZACION ",IF(O149=CURSOS!$D$20,"OPERADOR DE VEHICULOS DE EMERGENCIA (OVE)",IF(O149=CURSOS!$D$21,"INSTITUCIONES AMIGAS DE LA MUJER Y LA INFANCIA (IAMI)",IF(O149=CURSOS!$D$22,"CUIDADO DEL DONANTE DE ORGANOS",IF(O149=CURSOS!$D$23,"ATENCION A VICTIMAS POR VIOLENCIA DE GENERO",IF(O149=CURSOS!$D$24,"IGUALDAD DE GENERO EN LA SALUD",IF(O149=CURSOS!$D$25,"BRIGADA DE EMERGENCIA",IF(O149=CURSOS!$D$26,"MANEJO DEL DOLOR Y CUIDADOS PALIATIVOS",IF(O149=CURSOS!$D$27,"TOMA DE MUESTRAS Y LABORATORIO POCT",IF(O149=CURSOS!$D$28,"IMPLANTE SUBDERMICO DE DISPOSITIVO INTRAUTERINO",IF(O149=CURSOS!$D$29,"SALUD MENTAL",IF(O149=CURSOS!$D$30,"PRIMEROS AUXILIOS PSICOLOGICOS",IF(O149=CURSOS!$D$31,"ATENCION A VICTIMAS POR CONFLICTO ARMADO",IF(O149=CURSOS!$D$32,"MANIPULACION DE ALIMENTOS Y BPM",IF(O149=CURSOS!$D$33,"ATENCION A PERSONAS CON DISCAPACIDAD",IF(O149=CURSOS!$D$34,"CUIDADO INTEGRAL DEL PACIENTE ADULTO",IF(O149=CURSOS!$D$35,"MANEJO DEFENSIVO",IF(O149=CURSOS!$D$36,"SOPORTE CARDIOVASCULAR AVANZADO NEONATAL",IF(O149=CURSOS!$D$37,"SEGURIDAD DEL PACIENTE",IF(O149=CURSOS!$D$38,"MANEJO DE RESIDUOS HOSPITALARIOS"))))))))))))))))))))))))))))))))))))</f>
        <v>0</v>
      </c>
      <c r="V149" s="59" t="str">
        <f t="shared" si="8"/>
        <v xml:space="preserve">   </v>
      </c>
      <c r="W149" s="59" t="str">
        <f t="shared" si="9"/>
        <v xml:space="preserve">   </v>
      </c>
      <c r="X149" s="59" t="str">
        <f t="shared" si="10"/>
        <v xml:space="preserve">   --</v>
      </c>
    </row>
    <row r="150" spans="1:24" x14ac:dyDescent="0.2">
      <c r="A150" s="55">
        <v>149</v>
      </c>
      <c r="I150" s="24"/>
      <c r="T150" s="53"/>
      <c r="U150" s="59" t="b">
        <f>IF(O150=CURSOS!$D$3,"DIPLOMADO EN ATENCION PRE-HOSPITALARIA",IF(O150=CURSOS!$D$4,"ACOMPAÑAMIENTO Y MANEJO DEL DUELO",IF(O150=CURSOS!$D$5,"ATENCION A VICTIMAS DE ATAQUE CON AGENTES QUIMICOS ",IF(O150=CURSOS!$D$6,"PRIMEROS AUXILIOS ",IF(O150=CURSOS!$D$7,"DIPLOMADO DE UNIDAD DE CUIDADOS INTENSIVOS (UCI)",IF(O150=CURSOS!$D$8,"MODELO DE ATENCION PARA EVENTOS EMERGENTES EN SALUD MENTAL (CODIGO VERDE)",IF(O150=CURSOS!$D$9,"HUMANIZACION EN EL SERVICIO DE LA SALUD Y BUENAS PRACTICAS EN PACIENTE ",IF(O150=CURSOS!$D$10,"CLINICA DE HERIDAS ",IF(O150=CURSOS!$D$11,"TOMA DE CITOLOGIA CERVICO VAGINAL ",IF(O150=CURSOS!$D$12,"SOPORTE CARDIOVASCULAR AVANZADO (ACLS) ",IF(O150=CURSOS!$D$13,"CAMILLERO ",IF(O150=CURSOS!$D$14,"TOMA DE MUESTRAS Y LABORATORIO ",IF(O150=CURSOS!$D$15,"SOPORTE VITAL BASICO (BLS)",IF(O150=CURSOS!$D$16,"ATENCION A VICTIMAS DE VIOLENCIA SEXUAL ",IF(O150=CURSOS!$D$17,"PROGRAMADO AMPLIADO DE INMUNIZACION (PAI - COVID 19)",IF(O150=CURSOS!$D$18,"ATENCION INTEGRAL EN ENFERMEDADES PREVALENTES EN PRIMERA INFANCIA (AIEPI)",IF(O150=CURSOS!$D$19,"ADMINISTRACION DE MEDICAMENTOS, INYECTOLOGIA  Y CANALIZACION ",IF(O150=CURSOS!$D$20,"OPERADOR DE VEHICULOS DE EMERGENCIA (OVE)",IF(O150=CURSOS!$D$21,"INSTITUCIONES AMIGAS DE LA MUJER Y LA INFANCIA (IAMI)",IF(O150=CURSOS!$D$22,"CUIDADO DEL DONANTE DE ORGANOS",IF(O150=CURSOS!$D$23,"ATENCION A VICTIMAS POR VIOLENCIA DE GENERO",IF(O150=CURSOS!$D$24,"IGUALDAD DE GENERO EN LA SALUD",IF(O150=CURSOS!$D$25,"BRIGADA DE EMERGENCIA",IF(O150=CURSOS!$D$26,"MANEJO DEL DOLOR Y CUIDADOS PALIATIVOS",IF(O150=CURSOS!$D$27,"TOMA DE MUESTRAS Y LABORATORIO POCT",IF(O150=CURSOS!$D$28,"IMPLANTE SUBDERMICO DE DISPOSITIVO INTRAUTERINO",IF(O150=CURSOS!$D$29,"SALUD MENTAL",IF(O150=CURSOS!$D$30,"PRIMEROS AUXILIOS PSICOLOGICOS",IF(O150=CURSOS!$D$31,"ATENCION A VICTIMAS POR CONFLICTO ARMADO",IF(O150=CURSOS!$D$32,"MANIPULACION DE ALIMENTOS Y BPM",IF(O150=CURSOS!$D$33,"ATENCION A PERSONAS CON DISCAPACIDAD",IF(O150=CURSOS!$D$34,"CUIDADO INTEGRAL DEL PACIENTE ADULTO",IF(O150=CURSOS!$D$35,"MANEJO DEFENSIVO",IF(O150=CURSOS!$D$36,"SOPORTE CARDIOVASCULAR AVANZADO NEONATAL",IF(O150=CURSOS!$D$37,"SEGURIDAD DEL PACIENTE",IF(O150=CURSOS!$D$38,"MANEJO DE RESIDUOS HOSPITALARIOS"))))))))))))))))))))))))))))))))))))</f>
        <v>0</v>
      </c>
      <c r="V150" s="59" t="str">
        <f t="shared" si="8"/>
        <v xml:space="preserve">   </v>
      </c>
      <c r="W150" s="59" t="str">
        <f t="shared" si="9"/>
        <v xml:space="preserve">   </v>
      </c>
      <c r="X150" s="59" t="str">
        <f t="shared" si="10"/>
        <v xml:space="preserve">   --</v>
      </c>
    </row>
    <row r="151" spans="1:24" x14ac:dyDescent="0.2">
      <c r="A151" s="55">
        <v>150</v>
      </c>
      <c r="I151" s="24"/>
      <c r="T151" s="53"/>
      <c r="U151" s="59" t="b">
        <f>IF(O151=CURSOS!$D$3,"DIPLOMADO EN ATENCION PRE-HOSPITALARIA",IF(O151=CURSOS!$D$4,"ACOMPAÑAMIENTO Y MANEJO DEL DUELO",IF(O151=CURSOS!$D$5,"ATENCION A VICTIMAS DE ATAQUE CON AGENTES QUIMICOS ",IF(O151=CURSOS!$D$6,"PRIMEROS AUXILIOS ",IF(O151=CURSOS!$D$7,"DIPLOMADO DE UNIDAD DE CUIDADOS INTENSIVOS (UCI)",IF(O151=CURSOS!$D$8,"MODELO DE ATENCION PARA EVENTOS EMERGENTES EN SALUD MENTAL (CODIGO VERDE)",IF(O151=CURSOS!$D$9,"HUMANIZACION EN EL SERVICIO DE LA SALUD Y BUENAS PRACTICAS EN PACIENTE ",IF(O151=CURSOS!$D$10,"CLINICA DE HERIDAS ",IF(O151=CURSOS!$D$11,"TOMA DE CITOLOGIA CERVICO VAGINAL ",IF(O151=CURSOS!$D$12,"SOPORTE CARDIOVASCULAR AVANZADO (ACLS) ",IF(O151=CURSOS!$D$13,"CAMILLERO ",IF(O151=CURSOS!$D$14,"TOMA DE MUESTRAS Y LABORATORIO ",IF(O151=CURSOS!$D$15,"SOPORTE VITAL BASICO (BLS)",IF(O151=CURSOS!$D$16,"ATENCION A VICTIMAS DE VIOLENCIA SEXUAL ",IF(O151=CURSOS!$D$17,"PROGRAMADO AMPLIADO DE INMUNIZACION (PAI - COVID 19)",IF(O151=CURSOS!$D$18,"ATENCION INTEGRAL EN ENFERMEDADES PREVALENTES EN PRIMERA INFANCIA (AIEPI)",IF(O151=CURSOS!$D$19,"ADMINISTRACION DE MEDICAMENTOS, INYECTOLOGIA  Y CANALIZACION ",IF(O151=CURSOS!$D$20,"OPERADOR DE VEHICULOS DE EMERGENCIA (OVE)",IF(O151=CURSOS!$D$21,"INSTITUCIONES AMIGAS DE LA MUJER Y LA INFANCIA (IAMI)",IF(O151=CURSOS!$D$22,"CUIDADO DEL DONANTE DE ORGANOS",IF(O151=CURSOS!$D$23,"ATENCION A VICTIMAS POR VIOLENCIA DE GENERO",IF(O151=CURSOS!$D$24,"IGUALDAD DE GENERO EN LA SALUD",IF(O151=CURSOS!$D$25,"BRIGADA DE EMERGENCIA",IF(O151=CURSOS!$D$26,"MANEJO DEL DOLOR Y CUIDADOS PALIATIVOS",IF(O151=CURSOS!$D$27,"TOMA DE MUESTRAS Y LABORATORIO POCT",IF(O151=CURSOS!$D$28,"IMPLANTE SUBDERMICO DE DISPOSITIVO INTRAUTERINO",IF(O151=CURSOS!$D$29,"SALUD MENTAL",IF(O151=CURSOS!$D$30,"PRIMEROS AUXILIOS PSICOLOGICOS",IF(O151=CURSOS!$D$31,"ATENCION A VICTIMAS POR CONFLICTO ARMADO",IF(O151=CURSOS!$D$32,"MANIPULACION DE ALIMENTOS Y BPM",IF(O151=CURSOS!$D$33,"ATENCION A PERSONAS CON DISCAPACIDAD",IF(O151=CURSOS!$D$34,"CUIDADO INTEGRAL DEL PACIENTE ADULTO",IF(O151=CURSOS!$D$35,"MANEJO DEFENSIVO",IF(O151=CURSOS!$D$36,"SOPORTE CARDIOVASCULAR AVANZADO NEONATAL",IF(O151=CURSOS!$D$37,"SEGURIDAD DEL PACIENTE",IF(O151=CURSOS!$D$38,"MANEJO DE RESIDUOS HOSPITALARIOS"))))))))))))))))))))))))))))))))))))</f>
        <v>0</v>
      </c>
      <c r="V151" s="59" t="str">
        <f t="shared" si="8"/>
        <v xml:space="preserve">   </v>
      </c>
      <c r="W151" s="59" t="str">
        <f t="shared" si="9"/>
        <v xml:space="preserve">   </v>
      </c>
      <c r="X151" s="59" t="str">
        <f t="shared" si="10"/>
        <v xml:space="preserve">   --</v>
      </c>
    </row>
    <row r="152" spans="1:24" x14ac:dyDescent="0.2">
      <c r="A152" s="55">
        <v>151</v>
      </c>
      <c r="I152" s="24"/>
      <c r="T152" s="53"/>
      <c r="U152" s="59" t="b">
        <f>IF(O152=CURSOS!$D$3,"DIPLOMADO EN ATENCION PRE-HOSPITALARIA",IF(O152=CURSOS!$D$4,"ACOMPAÑAMIENTO Y MANEJO DEL DUELO",IF(O152=CURSOS!$D$5,"ATENCION A VICTIMAS DE ATAQUE CON AGENTES QUIMICOS ",IF(O152=CURSOS!$D$6,"PRIMEROS AUXILIOS ",IF(O152=CURSOS!$D$7,"DIPLOMADO DE UNIDAD DE CUIDADOS INTENSIVOS (UCI)",IF(O152=CURSOS!$D$8,"MODELO DE ATENCION PARA EVENTOS EMERGENTES EN SALUD MENTAL (CODIGO VERDE)",IF(O152=CURSOS!$D$9,"HUMANIZACION EN EL SERVICIO DE LA SALUD Y BUENAS PRACTICAS EN PACIENTE ",IF(O152=CURSOS!$D$10,"CLINICA DE HERIDAS ",IF(O152=CURSOS!$D$11,"TOMA DE CITOLOGIA CERVICO VAGINAL ",IF(O152=CURSOS!$D$12,"SOPORTE CARDIOVASCULAR AVANZADO (ACLS) ",IF(O152=CURSOS!$D$13,"CAMILLERO ",IF(O152=CURSOS!$D$14,"TOMA DE MUESTRAS Y LABORATORIO ",IF(O152=CURSOS!$D$15,"SOPORTE VITAL BASICO (BLS)",IF(O152=CURSOS!$D$16,"ATENCION A VICTIMAS DE VIOLENCIA SEXUAL ",IF(O152=CURSOS!$D$17,"PROGRAMADO AMPLIADO DE INMUNIZACION (PAI - COVID 19)",IF(O152=CURSOS!$D$18,"ATENCION INTEGRAL EN ENFERMEDADES PREVALENTES EN PRIMERA INFANCIA (AIEPI)",IF(O152=CURSOS!$D$19,"ADMINISTRACION DE MEDICAMENTOS, INYECTOLOGIA  Y CANALIZACION ",IF(O152=CURSOS!$D$20,"OPERADOR DE VEHICULOS DE EMERGENCIA (OVE)",IF(O152=CURSOS!$D$21,"INSTITUCIONES AMIGAS DE LA MUJER Y LA INFANCIA (IAMI)",IF(O152=CURSOS!$D$22,"CUIDADO DEL DONANTE DE ORGANOS",IF(O152=CURSOS!$D$23,"ATENCION A VICTIMAS POR VIOLENCIA DE GENERO",IF(O152=CURSOS!$D$24,"IGUALDAD DE GENERO EN LA SALUD",IF(O152=CURSOS!$D$25,"BRIGADA DE EMERGENCIA",IF(O152=CURSOS!$D$26,"MANEJO DEL DOLOR Y CUIDADOS PALIATIVOS",IF(O152=CURSOS!$D$27,"TOMA DE MUESTRAS Y LABORATORIO POCT",IF(O152=CURSOS!$D$28,"IMPLANTE SUBDERMICO DE DISPOSITIVO INTRAUTERINO",IF(O152=CURSOS!$D$29,"SALUD MENTAL",IF(O152=CURSOS!$D$30,"PRIMEROS AUXILIOS PSICOLOGICOS",IF(O152=CURSOS!$D$31,"ATENCION A VICTIMAS POR CONFLICTO ARMADO",IF(O152=CURSOS!$D$32,"MANIPULACION DE ALIMENTOS Y BPM",IF(O152=CURSOS!$D$33,"ATENCION A PERSONAS CON DISCAPACIDAD",IF(O152=CURSOS!$D$34,"CUIDADO INTEGRAL DEL PACIENTE ADULTO",IF(O152=CURSOS!$D$35,"MANEJO DEFENSIVO",IF(O152=CURSOS!$D$36,"SOPORTE CARDIOVASCULAR AVANZADO NEONATAL",IF(O152=CURSOS!$D$37,"SEGURIDAD DEL PACIENTE",IF(O152=CURSOS!$D$38,"MANEJO DE RESIDUOS HOSPITALARIOS"))))))))))))))))))))))))))))))))))))</f>
        <v>0</v>
      </c>
      <c r="V152" s="59" t="str">
        <f t="shared" si="8"/>
        <v xml:space="preserve">   </v>
      </c>
      <c r="W152" s="59" t="str">
        <f t="shared" si="9"/>
        <v xml:space="preserve">   </v>
      </c>
      <c r="X152" s="59" t="str">
        <f t="shared" si="10"/>
        <v xml:space="preserve">   --</v>
      </c>
    </row>
    <row r="153" spans="1:24" x14ac:dyDescent="0.2">
      <c r="A153" s="55">
        <v>152</v>
      </c>
      <c r="I153" s="24"/>
      <c r="T153" s="53"/>
      <c r="U153" s="59" t="b">
        <f>IF(O153=CURSOS!$D$3,"DIPLOMADO EN ATENCION PRE-HOSPITALARIA",IF(O153=CURSOS!$D$4,"ACOMPAÑAMIENTO Y MANEJO DEL DUELO",IF(O153=CURSOS!$D$5,"ATENCION A VICTIMAS DE ATAQUE CON AGENTES QUIMICOS ",IF(O153=CURSOS!$D$6,"PRIMEROS AUXILIOS ",IF(O153=CURSOS!$D$7,"DIPLOMADO DE UNIDAD DE CUIDADOS INTENSIVOS (UCI)",IF(O153=CURSOS!$D$8,"MODELO DE ATENCION PARA EVENTOS EMERGENTES EN SALUD MENTAL (CODIGO VERDE)",IF(O153=CURSOS!$D$9,"HUMANIZACION EN EL SERVICIO DE LA SALUD Y BUENAS PRACTICAS EN PACIENTE ",IF(O153=CURSOS!$D$10,"CLINICA DE HERIDAS ",IF(O153=CURSOS!$D$11,"TOMA DE CITOLOGIA CERVICO VAGINAL ",IF(O153=CURSOS!$D$12,"SOPORTE CARDIOVASCULAR AVANZADO (ACLS) ",IF(O153=CURSOS!$D$13,"CAMILLERO ",IF(O153=CURSOS!$D$14,"TOMA DE MUESTRAS Y LABORATORIO ",IF(O153=CURSOS!$D$15,"SOPORTE VITAL BASICO (BLS)",IF(O153=CURSOS!$D$16,"ATENCION A VICTIMAS DE VIOLENCIA SEXUAL ",IF(O153=CURSOS!$D$17,"PROGRAMADO AMPLIADO DE INMUNIZACION (PAI - COVID 19)",IF(O153=CURSOS!$D$18,"ATENCION INTEGRAL EN ENFERMEDADES PREVALENTES EN PRIMERA INFANCIA (AIEPI)",IF(O153=CURSOS!$D$19,"ADMINISTRACION DE MEDICAMENTOS, INYECTOLOGIA  Y CANALIZACION ",IF(O153=CURSOS!$D$20,"OPERADOR DE VEHICULOS DE EMERGENCIA (OVE)",IF(O153=CURSOS!$D$21,"INSTITUCIONES AMIGAS DE LA MUJER Y LA INFANCIA (IAMI)",IF(O153=CURSOS!$D$22,"CUIDADO DEL DONANTE DE ORGANOS",IF(O153=CURSOS!$D$23,"ATENCION A VICTIMAS POR VIOLENCIA DE GENERO",IF(O153=CURSOS!$D$24,"IGUALDAD DE GENERO EN LA SALUD",IF(O153=CURSOS!$D$25,"BRIGADA DE EMERGENCIA",IF(O153=CURSOS!$D$26,"MANEJO DEL DOLOR Y CUIDADOS PALIATIVOS",IF(O153=CURSOS!$D$27,"TOMA DE MUESTRAS Y LABORATORIO POCT",IF(O153=CURSOS!$D$28,"IMPLANTE SUBDERMICO DE DISPOSITIVO INTRAUTERINO",IF(O153=CURSOS!$D$29,"SALUD MENTAL",IF(O153=CURSOS!$D$30,"PRIMEROS AUXILIOS PSICOLOGICOS",IF(O153=CURSOS!$D$31,"ATENCION A VICTIMAS POR CONFLICTO ARMADO",IF(O153=CURSOS!$D$32,"MANIPULACION DE ALIMENTOS Y BPM",IF(O153=CURSOS!$D$33,"ATENCION A PERSONAS CON DISCAPACIDAD",IF(O153=CURSOS!$D$34,"CUIDADO INTEGRAL DEL PACIENTE ADULTO",IF(O153=CURSOS!$D$35,"MANEJO DEFENSIVO",IF(O153=CURSOS!$D$36,"SOPORTE CARDIOVASCULAR AVANZADO NEONATAL",IF(O153=CURSOS!$D$37,"SEGURIDAD DEL PACIENTE",IF(O153=CURSOS!$D$38,"MANEJO DE RESIDUOS HOSPITALARIOS"))))))))))))))))))))))))))))))))))))</f>
        <v>0</v>
      </c>
      <c r="V153" s="59" t="str">
        <f t="shared" si="8"/>
        <v xml:space="preserve">   </v>
      </c>
      <c r="W153" s="59" t="str">
        <f t="shared" si="9"/>
        <v xml:space="preserve">   </v>
      </c>
      <c r="X153" s="59" t="str">
        <f t="shared" si="10"/>
        <v xml:space="preserve">   --</v>
      </c>
    </row>
    <row r="154" spans="1:24" x14ac:dyDescent="0.2">
      <c r="A154" s="55">
        <v>153</v>
      </c>
      <c r="I154" s="73"/>
      <c r="T154" s="53"/>
      <c r="U154" s="59" t="b">
        <f>IF(O154=CURSOS!$D$3,"DIPLOMADO EN ATENCION PRE-HOSPITALARIA",IF(O154=CURSOS!$D$4,"ACOMPAÑAMIENTO Y MANEJO DEL DUELO",IF(O154=CURSOS!$D$5,"ATENCION A VICTIMAS DE ATAQUE CON AGENTES QUIMICOS ",IF(O154=CURSOS!$D$6,"PRIMEROS AUXILIOS ",IF(O154=CURSOS!$D$7,"DIPLOMADO DE UNIDAD DE CUIDADOS INTENSIVOS (UCI)",IF(O154=CURSOS!$D$8,"MODELO DE ATENCION PARA EVENTOS EMERGENTES EN SALUD MENTAL (CODIGO VERDE)",IF(O154=CURSOS!$D$9,"HUMANIZACION EN EL SERVICIO DE LA SALUD Y BUENAS PRACTICAS EN PACIENTE ",IF(O154=CURSOS!$D$10,"CLINICA DE HERIDAS ",IF(O154=CURSOS!$D$11,"TOMA DE CITOLOGIA CERVICO VAGINAL ",IF(O154=CURSOS!$D$12,"SOPORTE CARDIOVASCULAR AVANZADO (ACLS) ",IF(O154=CURSOS!$D$13,"CAMILLERO ",IF(O154=CURSOS!$D$14,"TOMA DE MUESTRAS Y LABORATORIO ",IF(O154=CURSOS!$D$15,"SOPORTE VITAL BASICO (BLS)",IF(O154=CURSOS!$D$16,"ATENCION A VICTIMAS DE VIOLENCIA SEXUAL ",IF(O154=CURSOS!$D$17,"PROGRAMADO AMPLIADO DE INMUNIZACION (PAI - COVID 19)",IF(O154=CURSOS!$D$18,"ATENCION INTEGRAL EN ENFERMEDADES PREVALENTES EN PRIMERA INFANCIA (AIEPI)",IF(O154=CURSOS!$D$19,"ADMINISTRACION DE MEDICAMENTOS, INYECTOLOGIA  Y CANALIZACION ",IF(O154=CURSOS!$D$20,"OPERADOR DE VEHICULOS DE EMERGENCIA (OVE)",IF(O154=CURSOS!$D$21,"INSTITUCIONES AMIGAS DE LA MUJER Y LA INFANCIA (IAMI)",IF(O154=CURSOS!$D$22,"CUIDADO DEL DONANTE DE ORGANOS",IF(O154=CURSOS!$D$23,"ATENCION A VICTIMAS POR VIOLENCIA DE GENERO",IF(O154=CURSOS!$D$24,"IGUALDAD DE GENERO EN LA SALUD",IF(O154=CURSOS!$D$25,"BRIGADA DE EMERGENCIA",IF(O154=CURSOS!$D$26,"MANEJO DEL DOLOR Y CUIDADOS PALIATIVOS",IF(O154=CURSOS!$D$27,"TOMA DE MUESTRAS Y LABORATORIO POCT",IF(O154=CURSOS!$D$28,"IMPLANTE SUBDERMICO DE DISPOSITIVO INTRAUTERINO",IF(O154=CURSOS!$D$29,"SALUD MENTAL",IF(O154=CURSOS!$D$30,"PRIMEROS AUXILIOS PSICOLOGICOS",IF(O154=CURSOS!$D$31,"ATENCION A VICTIMAS POR CONFLICTO ARMADO",IF(O154=CURSOS!$D$32,"MANIPULACION DE ALIMENTOS Y BPM",IF(O154=CURSOS!$D$33,"ATENCION A PERSONAS CON DISCAPACIDAD",IF(O154=CURSOS!$D$34,"CUIDADO INTEGRAL DEL PACIENTE ADULTO",IF(O154=CURSOS!$D$35,"MANEJO DEFENSIVO",IF(O154=CURSOS!$D$36,"SOPORTE CARDIOVASCULAR AVANZADO NEONATAL",IF(O154=CURSOS!$D$37,"SEGURIDAD DEL PACIENTE",IF(O154=CURSOS!$D$38,"MANEJO DE RESIDUOS HOSPITALARIOS"))))))))))))))))))))))))))))))))))))</f>
        <v>0</v>
      </c>
      <c r="V154" s="59" t="str">
        <f t="shared" si="8"/>
        <v xml:space="preserve">   </v>
      </c>
      <c r="W154" s="59" t="str">
        <f t="shared" si="9"/>
        <v xml:space="preserve">   </v>
      </c>
      <c r="X154" s="59" t="str">
        <f t="shared" si="10"/>
        <v xml:space="preserve">   --</v>
      </c>
    </row>
    <row r="155" spans="1:24" x14ac:dyDescent="0.2">
      <c r="A155" s="55">
        <v>154</v>
      </c>
      <c r="I155" s="73"/>
      <c r="T155" s="53"/>
      <c r="U155" s="59" t="b">
        <f>IF(O155=CURSOS!$D$3,"DIPLOMADO EN ATENCION PRE-HOSPITALARIA",IF(O155=CURSOS!$D$4,"ACOMPAÑAMIENTO Y MANEJO DEL DUELO",IF(O155=CURSOS!$D$5,"ATENCION A VICTIMAS DE ATAQUE CON AGENTES QUIMICOS ",IF(O155=CURSOS!$D$6,"PRIMEROS AUXILIOS ",IF(O155=CURSOS!$D$7,"DIPLOMADO DE UNIDAD DE CUIDADOS INTENSIVOS (UCI)",IF(O155=CURSOS!$D$8,"MODELO DE ATENCION PARA EVENTOS EMERGENTES EN SALUD MENTAL (CODIGO VERDE)",IF(O155=CURSOS!$D$9,"HUMANIZACION EN EL SERVICIO DE LA SALUD Y BUENAS PRACTICAS EN PACIENTE ",IF(O155=CURSOS!$D$10,"CLINICA DE HERIDAS ",IF(O155=CURSOS!$D$11,"TOMA DE CITOLOGIA CERVICO VAGINAL ",IF(O155=CURSOS!$D$12,"SOPORTE CARDIOVASCULAR AVANZADO (ACLS) ",IF(O155=CURSOS!$D$13,"CAMILLERO ",IF(O155=CURSOS!$D$14,"TOMA DE MUESTRAS Y LABORATORIO ",IF(O155=CURSOS!$D$15,"SOPORTE VITAL BASICO (BLS)",IF(O155=CURSOS!$D$16,"ATENCION A VICTIMAS DE VIOLENCIA SEXUAL ",IF(O155=CURSOS!$D$17,"PROGRAMADO AMPLIADO DE INMUNIZACION (PAI - COVID 19)",IF(O155=CURSOS!$D$18,"ATENCION INTEGRAL EN ENFERMEDADES PREVALENTES EN PRIMERA INFANCIA (AIEPI)",IF(O155=CURSOS!$D$19,"ADMINISTRACION DE MEDICAMENTOS, INYECTOLOGIA  Y CANALIZACION ",IF(O155=CURSOS!$D$20,"OPERADOR DE VEHICULOS DE EMERGENCIA (OVE)",IF(O155=CURSOS!$D$21,"INSTITUCIONES AMIGAS DE LA MUJER Y LA INFANCIA (IAMI)",IF(O155=CURSOS!$D$22,"CUIDADO DEL DONANTE DE ORGANOS",IF(O155=CURSOS!$D$23,"ATENCION A VICTIMAS POR VIOLENCIA DE GENERO",IF(O155=CURSOS!$D$24,"IGUALDAD DE GENERO EN LA SALUD",IF(O155=CURSOS!$D$25,"BRIGADA DE EMERGENCIA",IF(O155=CURSOS!$D$26,"MANEJO DEL DOLOR Y CUIDADOS PALIATIVOS",IF(O155=CURSOS!$D$27,"TOMA DE MUESTRAS Y LABORATORIO POCT",IF(O155=CURSOS!$D$28,"IMPLANTE SUBDERMICO DE DISPOSITIVO INTRAUTERINO",IF(O155=CURSOS!$D$29,"SALUD MENTAL",IF(O155=CURSOS!$D$30,"PRIMEROS AUXILIOS PSICOLOGICOS",IF(O155=CURSOS!$D$31,"ATENCION A VICTIMAS POR CONFLICTO ARMADO",IF(O155=CURSOS!$D$32,"MANIPULACION DE ALIMENTOS Y BPM",IF(O155=CURSOS!$D$33,"ATENCION A PERSONAS CON DISCAPACIDAD",IF(O155=CURSOS!$D$34,"CUIDADO INTEGRAL DEL PACIENTE ADULTO",IF(O155=CURSOS!$D$35,"MANEJO DEFENSIVO",IF(O155=CURSOS!$D$36,"SOPORTE CARDIOVASCULAR AVANZADO NEONATAL",IF(O155=CURSOS!$D$37,"SEGURIDAD DEL PACIENTE",IF(O155=CURSOS!$D$38,"MANEJO DE RESIDUOS HOSPITALARIOS"))))))))))))))))))))))))))))))))))))</f>
        <v>0</v>
      </c>
      <c r="V155" s="59" t="str">
        <f t="shared" si="8"/>
        <v xml:space="preserve">   </v>
      </c>
      <c r="W155" s="59" t="str">
        <f t="shared" si="9"/>
        <v xml:space="preserve">   </v>
      </c>
      <c r="X155" s="59" t="str">
        <f t="shared" si="10"/>
        <v xml:space="preserve">   --</v>
      </c>
    </row>
    <row r="156" spans="1:24" x14ac:dyDescent="0.2">
      <c r="A156" s="55">
        <v>155</v>
      </c>
      <c r="I156" s="73"/>
      <c r="Q156" s="54"/>
      <c r="T156" s="53"/>
      <c r="U156" s="59" t="b">
        <f>IF(O156=CURSOS!$D$3,"DIPLOMADO EN ATENCION PRE-HOSPITALARIA",IF(O156=CURSOS!$D$4,"ACOMPAÑAMIENTO Y MANEJO DEL DUELO",IF(O156=CURSOS!$D$5,"ATENCION A VICTIMAS DE ATAQUE CON AGENTES QUIMICOS ",IF(O156=CURSOS!$D$6,"PRIMEROS AUXILIOS ",IF(O156=CURSOS!$D$7,"DIPLOMADO DE UNIDAD DE CUIDADOS INTENSIVOS (UCI)",IF(O156=CURSOS!$D$8,"MODELO DE ATENCION PARA EVENTOS EMERGENTES EN SALUD MENTAL (CODIGO VERDE)",IF(O156=CURSOS!$D$9,"HUMANIZACION EN EL SERVICIO DE LA SALUD Y BUENAS PRACTICAS EN PACIENTE ",IF(O156=CURSOS!$D$10,"CLINICA DE HERIDAS ",IF(O156=CURSOS!$D$11,"TOMA DE CITOLOGIA CERVICO VAGINAL ",IF(O156=CURSOS!$D$12,"SOPORTE CARDIOVASCULAR AVANZADO (ACLS) ",IF(O156=CURSOS!$D$13,"CAMILLERO ",IF(O156=CURSOS!$D$14,"TOMA DE MUESTRAS Y LABORATORIO ",IF(O156=CURSOS!$D$15,"SOPORTE VITAL BASICO (BLS)",IF(O156=CURSOS!$D$16,"ATENCION A VICTIMAS DE VIOLENCIA SEXUAL ",IF(O156=CURSOS!$D$17,"PROGRAMADO AMPLIADO DE INMUNIZACION (PAI - COVID 19)",IF(O156=CURSOS!$D$18,"ATENCION INTEGRAL EN ENFERMEDADES PREVALENTES EN PRIMERA INFANCIA (AIEPI)",IF(O156=CURSOS!$D$19,"ADMINISTRACION DE MEDICAMENTOS, INYECTOLOGIA  Y CANALIZACION ",IF(O156=CURSOS!$D$20,"OPERADOR DE VEHICULOS DE EMERGENCIA (OVE)",IF(O156=CURSOS!$D$21,"INSTITUCIONES AMIGAS DE LA MUJER Y LA INFANCIA (IAMI)",IF(O156=CURSOS!$D$22,"CUIDADO DEL DONANTE DE ORGANOS",IF(O156=CURSOS!$D$23,"ATENCION A VICTIMAS POR VIOLENCIA DE GENERO",IF(O156=CURSOS!$D$24,"IGUALDAD DE GENERO EN LA SALUD",IF(O156=CURSOS!$D$25,"BRIGADA DE EMERGENCIA",IF(O156=CURSOS!$D$26,"MANEJO DEL DOLOR Y CUIDADOS PALIATIVOS",IF(O156=CURSOS!$D$27,"TOMA DE MUESTRAS Y LABORATORIO POCT",IF(O156=CURSOS!$D$28,"IMPLANTE SUBDERMICO DE DISPOSITIVO INTRAUTERINO",IF(O156=CURSOS!$D$29,"SALUD MENTAL",IF(O156=CURSOS!$D$30,"PRIMEROS AUXILIOS PSICOLOGICOS",IF(O156=CURSOS!$D$31,"ATENCION A VICTIMAS POR CONFLICTO ARMADO",IF(O156=CURSOS!$D$32,"MANIPULACION DE ALIMENTOS Y BPM",IF(O156=CURSOS!$D$33,"ATENCION A PERSONAS CON DISCAPACIDAD",IF(O156=CURSOS!$D$34,"CUIDADO INTEGRAL DEL PACIENTE ADULTO",IF(O156=CURSOS!$D$35,"MANEJO DEFENSIVO",IF(O156=CURSOS!$D$36,"SOPORTE CARDIOVASCULAR AVANZADO NEONATAL",IF(O156=CURSOS!$D$37,"SEGURIDAD DEL PACIENTE",IF(O156=CURSOS!$D$38,"MANEJO DE RESIDUOS HOSPITALARIOS"))))))))))))))))))))))))))))))))))))</f>
        <v>0</v>
      </c>
      <c r="V156" s="59" t="str">
        <f t="shared" si="8"/>
        <v xml:space="preserve">   </v>
      </c>
      <c r="W156" s="59" t="str">
        <f t="shared" si="9"/>
        <v xml:space="preserve">   </v>
      </c>
      <c r="X156" s="59" t="str">
        <f t="shared" si="10"/>
        <v xml:space="preserve">   --</v>
      </c>
    </row>
    <row r="157" spans="1:24" x14ac:dyDescent="0.2">
      <c r="A157" s="55">
        <v>156</v>
      </c>
      <c r="I157" s="73"/>
      <c r="T157" s="53"/>
      <c r="U157" s="59" t="b">
        <f>IF(O157=CURSOS!$D$3,"DIPLOMADO EN ATENCION PRE-HOSPITALARIA",IF(O157=CURSOS!$D$4,"ACOMPAÑAMIENTO Y MANEJO DEL DUELO",IF(O157=CURSOS!$D$5,"ATENCION A VICTIMAS DE ATAQUE CON AGENTES QUIMICOS ",IF(O157=CURSOS!$D$6,"PRIMEROS AUXILIOS ",IF(O157=CURSOS!$D$7,"DIPLOMADO DE UNIDAD DE CUIDADOS INTENSIVOS (UCI)",IF(O157=CURSOS!$D$8,"MODELO DE ATENCION PARA EVENTOS EMERGENTES EN SALUD MENTAL (CODIGO VERDE)",IF(O157=CURSOS!$D$9,"HUMANIZACION EN EL SERVICIO DE LA SALUD Y BUENAS PRACTICAS EN PACIENTE ",IF(O157=CURSOS!$D$10,"CLINICA DE HERIDAS ",IF(O157=CURSOS!$D$11,"TOMA DE CITOLOGIA CERVICO VAGINAL ",IF(O157=CURSOS!$D$12,"SOPORTE CARDIOVASCULAR AVANZADO (ACLS) ",IF(O157=CURSOS!$D$13,"CAMILLERO ",IF(O157=CURSOS!$D$14,"TOMA DE MUESTRAS Y LABORATORIO ",IF(O157=CURSOS!$D$15,"SOPORTE VITAL BASICO (BLS)",IF(O157=CURSOS!$D$16,"ATENCION A VICTIMAS DE VIOLENCIA SEXUAL ",IF(O157=CURSOS!$D$17,"PROGRAMADO AMPLIADO DE INMUNIZACION (PAI - COVID 19)",IF(O157=CURSOS!$D$18,"ATENCION INTEGRAL EN ENFERMEDADES PREVALENTES EN PRIMERA INFANCIA (AIEPI)",IF(O157=CURSOS!$D$19,"ADMINISTRACION DE MEDICAMENTOS, INYECTOLOGIA  Y CANALIZACION ",IF(O157=CURSOS!$D$20,"OPERADOR DE VEHICULOS DE EMERGENCIA (OVE)",IF(O157=CURSOS!$D$21,"INSTITUCIONES AMIGAS DE LA MUJER Y LA INFANCIA (IAMI)",IF(O157=CURSOS!$D$22,"CUIDADO DEL DONANTE DE ORGANOS",IF(O157=CURSOS!$D$23,"ATENCION A VICTIMAS POR VIOLENCIA DE GENERO",IF(O157=CURSOS!$D$24,"IGUALDAD DE GENERO EN LA SALUD",IF(O157=CURSOS!$D$25,"BRIGADA DE EMERGENCIA",IF(O157=CURSOS!$D$26,"MANEJO DEL DOLOR Y CUIDADOS PALIATIVOS",IF(O157=CURSOS!$D$27,"TOMA DE MUESTRAS Y LABORATORIO POCT",IF(O157=CURSOS!$D$28,"IMPLANTE SUBDERMICO DE DISPOSITIVO INTRAUTERINO",IF(O157=CURSOS!$D$29,"SALUD MENTAL",IF(O157=CURSOS!$D$30,"PRIMEROS AUXILIOS PSICOLOGICOS",IF(O157=CURSOS!$D$31,"ATENCION A VICTIMAS POR CONFLICTO ARMADO",IF(O157=CURSOS!$D$32,"MANIPULACION DE ALIMENTOS Y BPM",IF(O157=CURSOS!$D$33,"ATENCION A PERSONAS CON DISCAPACIDAD",IF(O157=CURSOS!$D$34,"CUIDADO INTEGRAL DEL PACIENTE ADULTO",IF(O157=CURSOS!$D$35,"MANEJO DEFENSIVO",IF(O157=CURSOS!$D$36,"SOPORTE CARDIOVASCULAR AVANZADO NEONATAL",IF(O157=CURSOS!$D$37,"SEGURIDAD DEL PACIENTE",IF(O157=CURSOS!$D$38,"MANEJO DE RESIDUOS HOSPITALARIOS"))))))))))))))))))))))))))))))))))))</f>
        <v>0</v>
      </c>
      <c r="V157" s="59" t="str">
        <f t="shared" si="8"/>
        <v xml:space="preserve">   </v>
      </c>
      <c r="W157" s="59" t="str">
        <f t="shared" si="9"/>
        <v xml:space="preserve">   </v>
      </c>
      <c r="X157" s="59" t="str">
        <f t="shared" si="10"/>
        <v xml:space="preserve">   --</v>
      </c>
    </row>
    <row r="158" spans="1:24" x14ac:dyDescent="0.2">
      <c r="A158" s="55">
        <v>157</v>
      </c>
      <c r="I158" s="73"/>
      <c r="T158" s="53"/>
      <c r="U158" s="59" t="b">
        <f>IF(O158=CURSOS!$D$3,"DIPLOMADO EN ATENCION PRE-HOSPITALARIA",IF(O158=CURSOS!$D$4,"ACOMPAÑAMIENTO Y MANEJO DEL DUELO",IF(O158=CURSOS!$D$5,"ATENCION A VICTIMAS DE ATAQUE CON AGENTES QUIMICOS ",IF(O158=CURSOS!$D$6,"PRIMEROS AUXILIOS ",IF(O158=CURSOS!$D$7,"DIPLOMADO DE UNIDAD DE CUIDADOS INTENSIVOS (UCI)",IF(O158=CURSOS!$D$8,"MODELO DE ATENCION PARA EVENTOS EMERGENTES EN SALUD MENTAL (CODIGO VERDE)",IF(O158=CURSOS!$D$9,"HUMANIZACION EN EL SERVICIO DE LA SALUD Y BUENAS PRACTICAS EN PACIENTE ",IF(O158=CURSOS!$D$10,"CLINICA DE HERIDAS ",IF(O158=CURSOS!$D$11,"TOMA DE CITOLOGIA CERVICO VAGINAL ",IF(O158=CURSOS!$D$12,"SOPORTE CARDIOVASCULAR AVANZADO (ACLS) ",IF(O158=CURSOS!$D$13,"CAMILLERO ",IF(O158=CURSOS!$D$14,"TOMA DE MUESTRAS Y LABORATORIO ",IF(O158=CURSOS!$D$15,"SOPORTE VITAL BASICO (BLS)",IF(O158=CURSOS!$D$16,"ATENCION A VICTIMAS DE VIOLENCIA SEXUAL ",IF(O158=CURSOS!$D$17,"PROGRAMADO AMPLIADO DE INMUNIZACION (PAI - COVID 19)",IF(O158=CURSOS!$D$18,"ATENCION INTEGRAL EN ENFERMEDADES PREVALENTES EN PRIMERA INFANCIA (AIEPI)",IF(O158=CURSOS!$D$19,"ADMINISTRACION DE MEDICAMENTOS, INYECTOLOGIA  Y CANALIZACION ",IF(O158=CURSOS!$D$20,"OPERADOR DE VEHICULOS DE EMERGENCIA (OVE)",IF(O158=CURSOS!$D$21,"INSTITUCIONES AMIGAS DE LA MUJER Y LA INFANCIA (IAMI)",IF(O158=CURSOS!$D$22,"CUIDADO DEL DONANTE DE ORGANOS",IF(O158=CURSOS!$D$23,"ATENCION A VICTIMAS POR VIOLENCIA DE GENERO",IF(O158=CURSOS!$D$24,"IGUALDAD DE GENERO EN LA SALUD",IF(O158=CURSOS!$D$25,"BRIGADA DE EMERGENCIA",IF(O158=CURSOS!$D$26,"MANEJO DEL DOLOR Y CUIDADOS PALIATIVOS",IF(O158=CURSOS!$D$27,"TOMA DE MUESTRAS Y LABORATORIO POCT",IF(O158=CURSOS!$D$28,"IMPLANTE SUBDERMICO DE DISPOSITIVO INTRAUTERINO",IF(O158=CURSOS!$D$29,"SALUD MENTAL",IF(O158=CURSOS!$D$30,"PRIMEROS AUXILIOS PSICOLOGICOS",IF(O158=CURSOS!$D$31,"ATENCION A VICTIMAS POR CONFLICTO ARMADO",IF(O158=CURSOS!$D$32,"MANIPULACION DE ALIMENTOS Y BPM",IF(O158=CURSOS!$D$33,"ATENCION A PERSONAS CON DISCAPACIDAD",IF(O158=CURSOS!$D$34,"CUIDADO INTEGRAL DEL PACIENTE ADULTO",IF(O158=CURSOS!$D$35,"MANEJO DEFENSIVO",IF(O158=CURSOS!$D$36,"SOPORTE CARDIOVASCULAR AVANZADO NEONATAL",IF(O158=CURSOS!$D$37,"SEGURIDAD DEL PACIENTE",IF(O158=CURSOS!$D$38,"MANEJO DE RESIDUOS HOSPITALARIOS"))))))))))))))))))))))))))))))))))))</f>
        <v>0</v>
      </c>
      <c r="V158" s="59" t="str">
        <f t="shared" si="8"/>
        <v xml:space="preserve">   </v>
      </c>
      <c r="W158" s="59" t="str">
        <f t="shared" si="9"/>
        <v xml:space="preserve">   </v>
      </c>
      <c r="X158" s="59" t="str">
        <f t="shared" si="10"/>
        <v xml:space="preserve">   --</v>
      </c>
    </row>
    <row r="159" spans="1:24" x14ac:dyDescent="0.2">
      <c r="A159" s="55">
        <v>158</v>
      </c>
      <c r="I159" s="73"/>
      <c r="T159" s="53"/>
      <c r="U159" s="59" t="b">
        <f>IF(O159=CURSOS!$D$3,"DIPLOMADO EN ATENCION PRE-HOSPITALARIA",IF(O159=CURSOS!$D$4,"ACOMPAÑAMIENTO Y MANEJO DEL DUELO",IF(O159=CURSOS!$D$5,"ATENCION A VICTIMAS DE ATAQUE CON AGENTES QUIMICOS ",IF(O159=CURSOS!$D$6,"PRIMEROS AUXILIOS ",IF(O159=CURSOS!$D$7,"DIPLOMADO DE UNIDAD DE CUIDADOS INTENSIVOS (UCI)",IF(O159=CURSOS!$D$8,"MODELO DE ATENCION PARA EVENTOS EMERGENTES EN SALUD MENTAL (CODIGO VERDE)",IF(O159=CURSOS!$D$9,"HUMANIZACION EN EL SERVICIO DE LA SALUD Y BUENAS PRACTICAS EN PACIENTE ",IF(O159=CURSOS!$D$10,"CLINICA DE HERIDAS ",IF(O159=CURSOS!$D$11,"TOMA DE CITOLOGIA CERVICO VAGINAL ",IF(O159=CURSOS!$D$12,"SOPORTE CARDIOVASCULAR AVANZADO (ACLS) ",IF(O159=CURSOS!$D$13,"CAMILLERO ",IF(O159=CURSOS!$D$14,"TOMA DE MUESTRAS Y LABORATORIO ",IF(O159=CURSOS!$D$15,"SOPORTE VITAL BASICO (BLS)",IF(O159=CURSOS!$D$16,"ATENCION A VICTIMAS DE VIOLENCIA SEXUAL ",IF(O159=CURSOS!$D$17,"PROGRAMADO AMPLIADO DE INMUNIZACION (PAI - COVID 19)",IF(O159=CURSOS!$D$18,"ATENCION INTEGRAL EN ENFERMEDADES PREVALENTES EN PRIMERA INFANCIA (AIEPI)",IF(O159=CURSOS!$D$19,"ADMINISTRACION DE MEDICAMENTOS, INYECTOLOGIA  Y CANALIZACION ",IF(O159=CURSOS!$D$20,"OPERADOR DE VEHICULOS DE EMERGENCIA (OVE)",IF(O159=CURSOS!$D$21,"INSTITUCIONES AMIGAS DE LA MUJER Y LA INFANCIA (IAMI)",IF(O159=CURSOS!$D$22,"CUIDADO DEL DONANTE DE ORGANOS",IF(O159=CURSOS!$D$23,"ATENCION A VICTIMAS POR VIOLENCIA DE GENERO",IF(O159=CURSOS!$D$24,"IGUALDAD DE GENERO EN LA SALUD",IF(O159=CURSOS!$D$25,"BRIGADA DE EMERGENCIA",IF(O159=CURSOS!$D$26,"MANEJO DEL DOLOR Y CUIDADOS PALIATIVOS",IF(O159=CURSOS!$D$27,"TOMA DE MUESTRAS Y LABORATORIO POCT",IF(O159=CURSOS!$D$28,"IMPLANTE SUBDERMICO DE DISPOSITIVO INTRAUTERINO",IF(O159=CURSOS!$D$29,"SALUD MENTAL",IF(O159=CURSOS!$D$30,"PRIMEROS AUXILIOS PSICOLOGICOS",IF(O159=CURSOS!$D$31,"ATENCION A VICTIMAS POR CONFLICTO ARMADO",IF(O159=CURSOS!$D$32,"MANIPULACION DE ALIMENTOS Y BPM",IF(O159=CURSOS!$D$33,"ATENCION A PERSONAS CON DISCAPACIDAD",IF(O159=CURSOS!$D$34,"CUIDADO INTEGRAL DEL PACIENTE ADULTO",IF(O159=CURSOS!$D$35,"MANEJO DEFENSIVO",IF(O159=CURSOS!$D$36,"SOPORTE CARDIOVASCULAR AVANZADO NEONATAL",IF(O159=CURSOS!$D$37,"SEGURIDAD DEL PACIENTE",IF(O159=CURSOS!$D$38,"MANEJO DE RESIDUOS HOSPITALARIOS"))))))))))))))))))))))))))))))))))))</f>
        <v>0</v>
      </c>
      <c r="V159" s="59" t="str">
        <f t="shared" si="8"/>
        <v xml:space="preserve">   </v>
      </c>
      <c r="W159" s="59" t="str">
        <f t="shared" si="9"/>
        <v xml:space="preserve">   </v>
      </c>
      <c r="X159" s="59" t="str">
        <f t="shared" si="10"/>
        <v xml:space="preserve">   --</v>
      </c>
    </row>
    <row r="160" spans="1:24" x14ac:dyDescent="0.2">
      <c r="A160" s="55">
        <v>159</v>
      </c>
      <c r="I160" s="73"/>
      <c r="S160" s="83"/>
      <c r="T160" s="53"/>
      <c r="U160" s="59" t="b">
        <f>IF(O160=CURSOS!$D$3,"DIPLOMADO EN ATENCION PRE-HOSPITALARIA",IF(O160=CURSOS!$D$4,"ACOMPAÑAMIENTO Y MANEJO DEL DUELO",IF(O160=CURSOS!$D$5,"ATENCION A VICTIMAS DE ATAQUE CON AGENTES QUIMICOS ",IF(O160=CURSOS!$D$6,"PRIMEROS AUXILIOS ",IF(O160=CURSOS!$D$7,"DIPLOMADO DE UNIDAD DE CUIDADOS INTENSIVOS (UCI)",IF(O160=CURSOS!$D$8,"MODELO DE ATENCION PARA EVENTOS EMERGENTES EN SALUD MENTAL (CODIGO VERDE)",IF(O160=CURSOS!$D$9,"HUMANIZACION EN EL SERVICIO DE LA SALUD Y BUENAS PRACTICAS EN PACIENTE ",IF(O160=CURSOS!$D$10,"CLINICA DE HERIDAS ",IF(O160=CURSOS!$D$11,"TOMA DE CITOLOGIA CERVICO VAGINAL ",IF(O160=CURSOS!$D$12,"SOPORTE CARDIOVASCULAR AVANZADO (ACLS) ",IF(O160=CURSOS!$D$13,"CAMILLERO ",IF(O160=CURSOS!$D$14,"TOMA DE MUESTRAS Y LABORATORIO ",IF(O160=CURSOS!$D$15,"SOPORTE VITAL BASICO (BLS)",IF(O160=CURSOS!$D$16,"ATENCION A VICTIMAS DE VIOLENCIA SEXUAL ",IF(O160=CURSOS!$D$17,"PROGRAMADO AMPLIADO DE INMUNIZACION (PAI - COVID 19)",IF(O160=CURSOS!$D$18,"ATENCION INTEGRAL EN ENFERMEDADES PREVALENTES EN PRIMERA INFANCIA (AIEPI)",IF(O160=CURSOS!$D$19,"ADMINISTRACION DE MEDICAMENTOS, INYECTOLOGIA  Y CANALIZACION ",IF(O160=CURSOS!$D$20,"OPERADOR DE VEHICULOS DE EMERGENCIA (OVE)",IF(O160=CURSOS!$D$21,"INSTITUCIONES AMIGAS DE LA MUJER Y LA INFANCIA (IAMI)",IF(O160=CURSOS!$D$22,"CUIDADO DEL DONANTE DE ORGANOS",IF(O160=CURSOS!$D$23,"ATENCION A VICTIMAS POR VIOLENCIA DE GENERO",IF(O160=CURSOS!$D$24,"IGUALDAD DE GENERO EN LA SALUD",IF(O160=CURSOS!$D$25,"BRIGADA DE EMERGENCIA",IF(O160=CURSOS!$D$26,"MANEJO DEL DOLOR Y CUIDADOS PALIATIVOS",IF(O160=CURSOS!$D$27,"TOMA DE MUESTRAS Y LABORATORIO POCT",IF(O160=CURSOS!$D$28,"IMPLANTE SUBDERMICO DE DISPOSITIVO INTRAUTERINO",IF(O160=CURSOS!$D$29,"SALUD MENTAL",IF(O160=CURSOS!$D$30,"PRIMEROS AUXILIOS PSICOLOGICOS",IF(O160=CURSOS!$D$31,"ATENCION A VICTIMAS POR CONFLICTO ARMADO",IF(O160=CURSOS!$D$32,"MANIPULACION DE ALIMENTOS Y BPM",IF(O160=CURSOS!$D$33,"ATENCION A PERSONAS CON DISCAPACIDAD",IF(O160=CURSOS!$D$34,"CUIDADO INTEGRAL DEL PACIENTE ADULTO",IF(O160=CURSOS!$D$35,"MANEJO DEFENSIVO",IF(O160=CURSOS!$D$36,"SOPORTE CARDIOVASCULAR AVANZADO NEONATAL",IF(O160=CURSOS!$D$37,"SEGURIDAD DEL PACIENTE",IF(O160=CURSOS!$D$38,"MANEJO DE RESIDUOS HOSPITALARIOS"))))))))))))))))))))))))))))))))))))</f>
        <v>0</v>
      </c>
      <c r="V160" s="59" t="str">
        <f t="shared" si="8"/>
        <v xml:space="preserve">   </v>
      </c>
      <c r="W160" s="59" t="str">
        <f t="shared" si="9"/>
        <v xml:space="preserve">   </v>
      </c>
      <c r="X160" s="59" t="str">
        <f t="shared" si="10"/>
        <v xml:space="preserve">   --</v>
      </c>
    </row>
    <row r="161" spans="1:24" x14ac:dyDescent="0.2">
      <c r="A161" s="55">
        <v>160</v>
      </c>
      <c r="I161" s="73"/>
      <c r="O161" s="84"/>
      <c r="S161" s="83"/>
      <c r="T161" s="53"/>
      <c r="U161" s="59" t="b">
        <f>IF(O161=CURSOS!$D$3,"DIPLOMADO EN ATENCION PRE-HOSPITALARIA",IF(O161=CURSOS!$D$4,"ACOMPAÑAMIENTO Y MANEJO DEL DUELO",IF(O161=CURSOS!$D$5,"ATENCION A VICTIMAS DE ATAQUE CON AGENTES QUIMICOS ",IF(O161=CURSOS!$D$6,"PRIMEROS AUXILIOS ",IF(O161=CURSOS!$D$7,"DIPLOMADO DE UNIDAD DE CUIDADOS INTENSIVOS (UCI)",IF(O161=CURSOS!$D$8,"MODELO DE ATENCION PARA EVENTOS EMERGENTES EN SALUD MENTAL (CODIGO VERDE)",IF(O161=CURSOS!$D$9,"HUMANIZACION EN EL SERVICIO DE LA SALUD Y BUENAS PRACTICAS EN PACIENTE ",IF(O161=CURSOS!$D$10,"CLINICA DE HERIDAS ",IF(O161=CURSOS!$D$11,"TOMA DE CITOLOGIA CERVICO VAGINAL ",IF(O161=CURSOS!$D$12,"SOPORTE CARDIOVASCULAR AVANZADO (ACLS) ",IF(O161=CURSOS!$D$13,"CAMILLERO ",IF(O161=CURSOS!$D$14,"TOMA DE MUESTRAS Y LABORATORIO ",IF(O161=CURSOS!$D$15,"SOPORTE VITAL BASICO (BLS)",IF(O161=CURSOS!$D$16,"ATENCION A VICTIMAS DE VIOLENCIA SEXUAL ",IF(O161=CURSOS!$D$17,"PROGRAMADO AMPLIADO DE INMUNIZACION (PAI - COVID 19)",IF(O161=CURSOS!$D$18,"ATENCION INTEGRAL EN ENFERMEDADES PREVALENTES EN PRIMERA INFANCIA (AIEPI)",IF(O161=CURSOS!$D$19,"ADMINISTRACION DE MEDICAMENTOS, INYECTOLOGIA  Y CANALIZACION ",IF(O161=CURSOS!$D$20,"OPERADOR DE VEHICULOS DE EMERGENCIA (OVE)",IF(O161=CURSOS!$D$21,"INSTITUCIONES AMIGAS DE LA MUJER Y LA INFANCIA (IAMI)",IF(O161=CURSOS!$D$22,"CUIDADO DEL DONANTE DE ORGANOS",IF(O161=CURSOS!$D$23,"ATENCION A VICTIMAS POR VIOLENCIA DE GENERO",IF(O161=CURSOS!$D$24,"IGUALDAD DE GENERO EN LA SALUD",IF(O161=CURSOS!$D$25,"BRIGADA DE EMERGENCIA",IF(O161=CURSOS!$D$26,"MANEJO DEL DOLOR Y CUIDADOS PALIATIVOS",IF(O161=CURSOS!$D$27,"TOMA DE MUESTRAS Y LABORATORIO POCT",IF(O161=CURSOS!$D$28,"IMPLANTE SUBDERMICO DE DISPOSITIVO INTRAUTERINO",IF(O161=CURSOS!$D$29,"SALUD MENTAL",IF(O161=CURSOS!$D$30,"PRIMEROS AUXILIOS PSICOLOGICOS",IF(O161=CURSOS!$D$31,"ATENCION A VICTIMAS POR CONFLICTO ARMADO",IF(O161=CURSOS!$D$32,"MANIPULACION DE ALIMENTOS Y BPM",IF(O161=CURSOS!$D$33,"ATENCION A PERSONAS CON DISCAPACIDAD",IF(O161=CURSOS!$D$34,"CUIDADO INTEGRAL DEL PACIENTE ADULTO",IF(O161=CURSOS!$D$35,"MANEJO DEFENSIVO",IF(O161=CURSOS!$D$36,"SOPORTE CARDIOVASCULAR AVANZADO NEONATAL",IF(O161=CURSOS!$D$37,"SEGURIDAD DEL PACIENTE",IF(O161=CURSOS!$D$38,"MANEJO DE RESIDUOS HOSPITALARIOS"))))))))))))))))))))))))))))))))))))</f>
        <v>0</v>
      </c>
      <c r="V161" s="59" t="str">
        <f t="shared" si="8"/>
        <v xml:space="preserve">   </v>
      </c>
      <c r="W161" s="59" t="str">
        <f t="shared" si="9"/>
        <v xml:space="preserve">   </v>
      </c>
      <c r="X161" s="59" t="str">
        <f t="shared" si="10"/>
        <v xml:space="preserve">   --</v>
      </c>
    </row>
    <row r="162" spans="1:24" x14ac:dyDescent="0.2">
      <c r="A162" s="55">
        <v>161</v>
      </c>
      <c r="I162" s="73"/>
      <c r="S162" s="83"/>
      <c r="T162" s="53"/>
      <c r="U162" s="59" t="b">
        <f>IF(O162=CURSOS!$D$3,"DIPLOMADO EN ATENCION PRE-HOSPITALARIA",IF(O162=CURSOS!$D$4,"ACOMPAÑAMIENTO Y MANEJO DEL DUELO",IF(O162=CURSOS!$D$5,"ATENCION A VICTIMAS DE ATAQUE CON AGENTES QUIMICOS ",IF(O162=CURSOS!$D$6,"PRIMEROS AUXILIOS ",IF(O162=CURSOS!$D$7,"DIPLOMADO DE UNIDAD DE CUIDADOS INTENSIVOS (UCI)",IF(O162=CURSOS!$D$8,"MODELO DE ATENCION PARA EVENTOS EMERGENTES EN SALUD MENTAL (CODIGO VERDE)",IF(O162=CURSOS!$D$9,"HUMANIZACION EN EL SERVICIO DE LA SALUD Y BUENAS PRACTICAS EN PACIENTE ",IF(O162=CURSOS!$D$10,"CLINICA DE HERIDAS ",IF(O162=CURSOS!$D$11,"TOMA DE CITOLOGIA CERVICO VAGINAL ",IF(O162=CURSOS!$D$12,"SOPORTE CARDIOVASCULAR AVANZADO (ACLS) ",IF(O162=CURSOS!$D$13,"CAMILLERO ",IF(O162=CURSOS!$D$14,"TOMA DE MUESTRAS Y LABORATORIO ",IF(O162=CURSOS!$D$15,"SOPORTE VITAL BASICO (BLS)",IF(O162=CURSOS!$D$16,"ATENCION A VICTIMAS DE VIOLENCIA SEXUAL ",IF(O162=CURSOS!$D$17,"PROGRAMADO AMPLIADO DE INMUNIZACION (PAI - COVID 19)",IF(O162=CURSOS!$D$18,"ATENCION INTEGRAL EN ENFERMEDADES PREVALENTES EN PRIMERA INFANCIA (AIEPI)",IF(O162=CURSOS!$D$19,"ADMINISTRACION DE MEDICAMENTOS, INYECTOLOGIA  Y CANALIZACION ",IF(O162=CURSOS!$D$20,"OPERADOR DE VEHICULOS DE EMERGENCIA (OVE)",IF(O162=CURSOS!$D$21,"INSTITUCIONES AMIGAS DE LA MUJER Y LA INFANCIA (IAMI)",IF(O162=CURSOS!$D$22,"CUIDADO DEL DONANTE DE ORGANOS",IF(O162=CURSOS!$D$23,"ATENCION A VICTIMAS POR VIOLENCIA DE GENERO",IF(O162=CURSOS!$D$24,"IGUALDAD DE GENERO EN LA SALUD",IF(O162=CURSOS!$D$25,"BRIGADA DE EMERGENCIA",IF(O162=CURSOS!$D$26,"MANEJO DEL DOLOR Y CUIDADOS PALIATIVOS",IF(O162=CURSOS!$D$27,"TOMA DE MUESTRAS Y LABORATORIO POCT",IF(O162=CURSOS!$D$28,"IMPLANTE SUBDERMICO DE DISPOSITIVO INTRAUTERINO",IF(O162=CURSOS!$D$29,"SALUD MENTAL",IF(O162=CURSOS!$D$30,"PRIMEROS AUXILIOS PSICOLOGICOS",IF(O162=CURSOS!$D$31,"ATENCION A VICTIMAS POR CONFLICTO ARMADO",IF(O162=CURSOS!$D$32,"MANIPULACION DE ALIMENTOS Y BPM",IF(O162=CURSOS!$D$33,"ATENCION A PERSONAS CON DISCAPACIDAD",IF(O162=CURSOS!$D$34,"CUIDADO INTEGRAL DEL PACIENTE ADULTO",IF(O162=CURSOS!$D$35,"MANEJO DEFENSIVO",IF(O162=CURSOS!$D$36,"SOPORTE CARDIOVASCULAR AVANZADO NEONATAL",IF(O162=CURSOS!$D$37,"SEGURIDAD DEL PACIENTE",IF(O162=CURSOS!$D$38,"MANEJO DE RESIDUOS HOSPITALARIOS"))))))))))))))))))))))))))))))))))))</f>
        <v>0</v>
      </c>
      <c r="V162" s="59" t="str">
        <f t="shared" si="8"/>
        <v xml:space="preserve">   </v>
      </c>
      <c r="W162" s="59" t="str">
        <f t="shared" si="9"/>
        <v xml:space="preserve">   </v>
      </c>
      <c r="X162" s="59" t="str">
        <f t="shared" si="10"/>
        <v xml:space="preserve">   --</v>
      </c>
    </row>
    <row r="163" spans="1:24" x14ac:dyDescent="0.2">
      <c r="A163" s="55">
        <v>162</v>
      </c>
      <c r="I163" s="73"/>
      <c r="S163" s="83"/>
      <c r="T163" s="53"/>
      <c r="U163" s="59" t="b">
        <f>IF(O163=CURSOS!$D$3,"DIPLOMADO EN ATENCION PRE-HOSPITALARIA",IF(O163=CURSOS!$D$4,"ACOMPAÑAMIENTO Y MANEJO DEL DUELO",IF(O163=CURSOS!$D$5,"ATENCION A VICTIMAS DE ATAQUE CON AGENTES QUIMICOS ",IF(O163=CURSOS!$D$6,"PRIMEROS AUXILIOS ",IF(O163=CURSOS!$D$7,"DIPLOMADO DE UNIDAD DE CUIDADOS INTENSIVOS (UCI)",IF(O163=CURSOS!$D$8,"MODELO DE ATENCION PARA EVENTOS EMERGENTES EN SALUD MENTAL (CODIGO VERDE)",IF(O163=CURSOS!$D$9,"HUMANIZACION EN EL SERVICIO DE LA SALUD Y BUENAS PRACTICAS EN PACIENTE ",IF(O163=CURSOS!$D$10,"CLINICA DE HERIDAS ",IF(O163=CURSOS!$D$11,"TOMA DE CITOLOGIA CERVICO VAGINAL ",IF(O163=CURSOS!$D$12,"SOPORTE CARDIOVASCULAR AVANZADO (ACLS) ",IF(O163=CURSOS!$D$13,"CAMILLERO ",IF(O163=CURSOS!$D$14,"TOMA DE MUESTRAS Y LABORATORIO ",IF(O163=CURSOS!$D$15,"SOPORTE VITAL BASICO (BLS)",IF(O163=CURSOS!$D$16,"ATENCION A VICTIMAS DE VIOLENCIA SEXUAL ",IF(O163=CURSOS!$D$17,"PROGRAMADO AMPLIADO DE INMUNIZACION (PAI - COVID 19)",IF(O163=CURSOS!$D$18,"ATENCION INTEGRAL EN ENFERMEDADES PREVALENTES EN PRIMERA INFANCIA (AIEPI)",IF(O163=CURSOS!$D$19,"ADMINISTRACION DE MEDICAMENTOS, INYECTOLOGIA  Y CANALIZACION ",IF(O163=CURSOS!$D$20,"OPERADOR DE VEHICULOS DE EMERGENCIA (OVE)",IF(O163=CURSOS!$D$21,"INSTITUCIONES AMIGAS DE LA MUJER Y LA INFANCIA (IAMI)",IF(O163=CURSOS!$D$22,"CUIDADO DEL DONANTE DE ORGANOS",IF(O163=CURSOS!$D$23,"ATENCION A VICTIMAS POR VIOLENCIA DE GENERO",IF(O163=CURSOS!$D$24,"IGUALDAD DE GENERO EN LA SALUD",IF(O163=CURSOS!$D$25,"BRIGADA DE EMERGENCIA",IF(O163=CURSOS!$D$26,"MANEJO DEL DOLOR Y CUIDADOS PALIATIVOS",IF(O163=CURSOS!$D$27,"TOMA DE MUESTRAS Y LABORATORIO POCT",IF(O163=CURSOS!$D$28,"IMPLANTE SUBDERMICO DE DISPOSITIVO INTRAUTERINO",IF(O163=CURSOS!$D$29,"SALUD MENTAL",IF(O163=CURSOS!$D$30,"PRIMEROS AUXILIOS PSICOLOGICOS",IF(O163=CURSOS!$D$31,"ATENCION A VICTIMAS POR CONFLICTO ARMADO",IF(O163=CURSOS!$D$32,"MANIPULACION DE ALIMENTOS Y BPM",IF(O163=CURSOS!$D$33,"ATENCION A PERSONAS CON DISCAPACIDAD",IF(O163=CURSOS!$D$34,"CUIDADO INTEGRAL DEL PACIENTE ADULTO",IF(O163=CURSOS!$D$35,"MANEJO DEFENSIVO",IF(O163=CURSOS!$D$36,"SOPORTE CARDIOVASCULAR AVANZADO NEONATAL",IF(O163=CURSOS!$D$37,"SEGURIDAD DEL PACIENTE",IF(O163=CURSOS!$D$38,"MANEJO DE RESIDUOS HOSPITALARIOS"))))))))))))))))))))))))))))))))))))</f>
        <v>0</v>
      </c>
      <c r="V163" s="59" t="str">
        <f t="shared" si="8"/>
        <v xml:space="preserve">   </v>
      </c>
      <c r="W163" s="59" t="str">
        <f t="shared" si="9"/>
        <v xml:space="preserve">   </v>
      </c>
      <c r="X163" s="59" t="str">
        <f t="shared" si="10"/>
        <v xml:space="preserve">   --</v>
      </c>
    </row>
    <row r="164" spans="1:24" x14ac:dyDescent="0.2">
      <c r="A164" s="55">
        <v>163</v>
      </c>
      <c r="I164" s="73"/>
      <c r="S164" s="83"/>
      <c r="T164" s="53"/>
      <c r="U164" s="59" t="b">
        <f>IF(O164=CURSOS!$D$3,"DIPLOMADO EN ATENCION PRE-HOSPITALARIA",IF(O164=CURSOS!$D$4,"ACOMPAÑAMIENTO Y MANEJO DEL DUELO",IF(O164=CURSOS!$D$5,"ATENCION A VICTIMAS DE ATAQUE CON AGENTES QUIMICOS ",IF(O164=CURSOS!$D$6,"PRIMEROS AUXILIOS ",IF(O164=CURSOS!$D$7,"DIPLOMADO DE UNIDAD DE CUIDADOS INTENSIVOS (UCI)",IF(O164=CURSOS!$D$8,"MODELO DE ATENCION PARA EVENTOS EMERGENTES EN SALUD MENTAL (CODIGO VERDE)",IF(O164=CURSOS!$D$9,"HUMANIZACION EN EL SERVICIO DE LA SALUD Y BUENAS PRACTICAS EN PACIENTE ",IF(O164=CURSOS!$D$10,"CLINICA DE HERIDAS ",IF(O164=CURSOS!$D$11,"TOMA DE CITOLOGIA CERVICO VAGINAL ",IF(O164=CURSOS!$D$12,"SOPORTE CARDIOVASCULAR AVANZADO (ACLS) ",IF(O164=CURSOS!$D$13,"CAMILLERO ",IF(O164=CURSOS!$D$14,"TOMA DE MUESTRAS Y LABORATORIO ",IF(O164=CURSOS!$D$15,"SOPORTE VITAL BASICO (BLS)",IF(O164=CURSOS!$D$16,"ATENCION A VICTIMAS DE VIOLENCIA SEXUAL ",IF(O164=CURSOS!$D$17,"PROGRAMADO AMPLIADO DE INMUNIZACION (PAI - COVID 19)",IF(O164=CURSOS!$D$18,"ATENCION INTEGRAL EN ENFERMEDADES PREVALENTES EN PRIMERA INFANCIA (AIEPI)",IF(O164=CURSOS!$D$19,"ADMINISTRACION DE MEDICAMENTOS, INYECTOLOGIA  Y CANALIZACION ",IF(O164=CURSOS!$D$20,"OPERADOR DE VEHICULOS DE EMERGENCIA (OVE)",IF(O164=CURSOS!$D$21,"INSTITUCIONES AMIGAS DE LA MUJER Y LA INFANCIA (IAMI)",IF(O164=CURSOS!$D$22,"CUIDADO DEL DONANTE DE ORGANOS",IF(O164=CURSOS!$D$23,"ATENCION A VICTIMAS POR VIOLENCIA DE GENERO",IF(O164=CURSOS!$D$24,"IGUALDAD DE GENERO EN LA SALUD",IF(O164=CURSOS!$D$25,"BRIGADA DE EMERGENCIA",IF(O164=CURSOS!$D$26,"MANEJO DEL DOLOR Y CUIDADOS PALIATIVOS",IF(O164=CURSOS!$D$27,"TOMA DE MUESTRAS Y LABORATORIO POCT",IF(O164=CURSOS!$D$28,"IMPLANTE SUBDERMICO DE DISPOSITIVO INTRAUTERINO",IF(O164=CURSOS!$D$29,"SALUD MENTAL",IF(O164=CURSOS!$D$30,"PRIMEROS AUXILIOS PSICOLOGICOS",IF(O164=CURSOS!$D$31,"ATENCION A VICTIMAS POR CONFLICTO ARMADO",IF(O164=CURSOS!$D$32,"MANIPULACION DE ALIMENTOS Y BPM",IF(O164=CURSOS!$D$33,"ATENCION A PERSONAS CON DISCAPACIDAD",IF(O164=CURSOS!$D$34,"CUIDADO INTEGRAL DEL PACIENTE ADULTO",IF(O164=CURSOS!$D$35,"MANEJO DEFENSIVO",IF(O164=CURSOS!$D$36,"SOPORTE CARDIOVASCULAR AVANZADO NEONATAL",IF(O164=CURSOS!$D$37,"SEGURIDAD DEL PACIENTE",IF(O164=CURSOS!$D$38,"MANEJO DE RESIDUOS HOSPITALARIOS"))))))))))))))))))))))))))))))))))))</f>
        <v>0</v>
      </c>
      <c r="V164" s="59" t="str">
        <f t="shared" si="8"/>
        <v xml:space="preserve">   </v>
      </c>
      <c r="W164" s="59" t="str">
        <f t="shared" si="9"/>
        <v xml:space="preserve">   </v>
      </c>
      <c r="X164" s="59" t="str">
        <f t="shared" si="10"/>
        <v xml:space="preserve">   --</v>
      </c>
    </row>
    <row r="165" spans="1:24" x14ac:dyDescent="0.2">
      <c r="A165" s="55">
        <v>164</v>
      </c>
      <c r="I165" s="73"/>
      <c r="T165" s="53"/>
      <c r="U165" s="59" t="b">
        <f>IF(O165=CURSOS!$D$3,"DIPLOMADO EN ATENCION PRE-HOSPITALARIA",IF(O165=CURSOS!$D$4,"ACOMPAÑAMIENTO Y MANEJO DEL DUELO",IF(O165=CURSOS!$D$5,"ATENCION A VICTIMAS DE ATAQUE CON AGENTES QUIMICOS ",IF(O165=CURSOS!$D$6,"PRIMEROS AUXILIOS ",IF(O165=CURSOS!$D$7,"DIPLOMADO DE UNIDAD DE CUIDADOS INTENSIVOS (UCI)",IF(O165=CURSOS!$D$8,"MODELO DE ATENCION PARA EVENTOS EMERGENTES EN SALUD MENTAL (CODIGO VERDE)",IF(O165=CURSOS!$D$9,"HUMANIZACION EN EL SERVICIO DE LA SALUD Y BUENAS PRACTICAS EN PACIENTE ",IF(O165=CURSOS!$D$10,"CLINICA DE HERIDAS ",IF(O165=CURSOS!$D$11,"TOMA DE CITOLOGIA CERVICO VAGINAL ",IF(O165=CURSOS!$D$12,"SOPORTE CARDIOVASCULAR AVANZADO (ACLS) ",IF(O165=CURSOS!$D$13,"CAMILLERO ",IF(O165=CURSOS!$D$14,"TOMA DE MUESTRAS Y LABORATORIO ",IF(O165=CURSOS!$D$15,"SOPORTE VITAL BASICO (BLS)",IF(O165=CURSOS!$D$16,"ATENCION A VICTIMAS DE VIOLENCIA SEXUAL ",IF(O165=CURSOS!$D$17,"PROGRAMADO AMPLIADO DE INMUNIZACION (PAI - COVID 19)",IF(O165=CURSOS!$D$18,"ATENCION INTEGRAL EN ENFERMEDADES PREVALENTES EN PRIMERA INFANCIA (AIEPI)",IF(O165=CURSOS!$D$19,"ADMINISTRACION DE MEDICAMENTOS, INYECTOLOGIA  Y CANALIZACION ",IF(O165=CURSOS!$D$20,"OPERADOR DE VEHICULOS DE EMERGENCIA (OVE)",IF(O165=CURSOS!$D$21,"INSTITUCIONES AMIGAS DE LA MUJER Y LA INFANCIA (IAMI)",IF(O165=CURSOS!$D$22,"CUIDADO DEL DONANTE DE ORGANOS",IF(O165=CURSOS!$D$23,"ATENCION A VICTIMAS POR VIOLENCIA DE GENERO",IF(O165=CURSOS!$D$24,"IGUALDAD DE GENERO EN LA SALUD",IF(O165=CURSOS!$D$25,"BRIGADA DE EMERGENCIA",IF(O165=CURSOS!$D$26,"MANEJO DEL DOLOR Y CUIDADOS PALIATIVOS",IF(O165=CURSOS!$D$27,"TOMA DE MUESTRAS Y LABORATORIO POCT",IF(O165=CURSOS!$D$28,"IMPLANTE SUBDERMICO DE DISPOSITIVO INTRAUTERINO",IF(O165=CURSOS!$D$29,"SALUD MENTAL",IF(O165=CURSOS!$D$30,"PRIMEROS AUXILIOS PSICOLOGICOS",IF(O165=CURSOS!$D$31,"ATENCION A VICTIMAS POR CONFLICTO ARMADO",IF(O165=CURSOS!$D$32,"MANIPULACION DE ALIMENTOS Y BPM",IF(O165=CURSOS!$D$33,"ATENCION A PERSONAS CON DISCAPACIDAD",IF(O165=CURSOS!$D$34,"CUIDADO INTEGRAL DEL PACIENTE ADULTO",IF(O165=CURSOS!$D$35,"MANEJO DEFENSIVO",IF(O165=CURSOS!$D$36,"SOPORTE CARDIOVASCULAR AVANZADO NEONATAL",IF(O165=CURSOS!$D$37,"SEGURIDAD DEL PACIENTE",IF(O165=CURSOS!$D$38,"MANEJO DE RESIDUOS HOSPITALARIOS"))))))))))))))))))))))))))))))))))))</f>
        <v>0</v>
      </c>
      <c r="V165" s="59" t="str">
        <f t="shared" si="8"/>
        <v xml:space="preserve">   </v>
      </c>
      <c r="W165" s="59" t="str">
        <f t="shared" si="9"/>
        <v xml:space="preserve">   </v>
      </c>
      <c r="X165" s="59" t="str">
        <f t="shared" si="10"/>
        <v xml:space="preserve">   --</v>
      </c>
    </row>
    <row r="166" spans="1:24" x14ac:dyDescent="0.2">
      <c r="A166" s="55">
        <v>165</v>
      </c>
      <c r="I166" s="73"/>
      <c r="T166" s="53"/>
      <c r="U166" s="59" t="b">
        <f>IF(O166=CURSOS!$D$3,"DIPLOMADO EN ATENCION PRE-HOSPITALARIA",IF(O166=CURSOS!$D$4,"ACOMPAÑAMIENTO Y MANEJO DEL DUELO",IF(O166=CURSOS!$D$5,"ATENCION A VICTIMAS DE ATAQUE CON AGENTES QUIMICOS ",IF(O166=CURSOS!$D$6,"PRIMEROS AUXILIOS ",IF(O166=CURSOS!$D$7,"DIPLOMADO DE UNIDAD DE CUIDADOS INTENSIVOS (UCI)",IF(O166=CURSOS!$D$8,"MODELO DE ATENCION PARA EVENTOS EMERGENTES EN SALUD MENTAL (CODIGO VERDE)",IF(O166=CURSOS!$D$9,"HUMANIZACION EN EL SERVICIO DE LA SALUD Y BUENAS PRACTICAS EN PACIENTE ",IF(O166=CURSOS!$D$10,"CLINICA DE HERIDAS ",IF(O166=CURSOS!$D$11,"TOMA DE CITOLOGIA CERVICO VAGINAL ",IF(O166=CURSOS!$D$12,"SOPORTE CARDIOVASCULAR AVANZADO (ACLS) ",IF(O166=CURSOS!$D$13,"CAMILLERO ",IF(O166=CURSOS!$D$14,"TOMA DE MUESTRAS Y LABORATORIO ",IF(O166=CURSOS!$D$15,"SOPORTE VITAL BASICO (BLS)",IF(O166=CURSOS!$D$16,"ATENCION A VICTIMAS DE VIOLENCIA SEXUAL ",IF(O166=CURSOS!$D$17,"PROGRAMADO AMPLIADO DE INMUNIZACION (PAI - COVID 19)",IF(O166=CURSOS!$D$18,"ATENCION INTEGRAL EN ENFERMEDADES PREVALENTES EN PRIMERA INFANCIA (AIEPI)",IF(O166=CURSOS!$D$19,"ADMINISTRACION DE MEDICAMENTOS, INYECTOLOGIA  Y CANALIZACION ",IF(O166=CURSOS!$D$20,"OPERADOR DE VEHICULOS DE EMERGENCIA (OVE)",IF(O166=CURSOS!$D$21,"INSTITUCIONES AMIGAS DE LA MUJER Y LA INFANCIA (IAMI)",IF(O166=CURSOS!$D$22,"CUIDADO DEL DONANTE DE ORGANOS",IF(O166=CURSOS!$D$23,"ATENCION A VICTIMAS POR VIOLENCIA DE GENERO",IF(O166=CURSOS!$D$24,"IGUALDAD DE GENERO EN LA SALUD",IF(O166=CURSOS!$D$25,"BRIGADA DE EMERGENCIA",IF(O166=CURSOS!$D$26,"MANEJO DEL DOLOR Y CUIDADOS PALIATIVOS",IF(O166=CURSOS!$D$27,"TOMA DE MUESTRAS Y LABORATORIO POCT",IF(O166=CURSOS!$D$28,"IMPLANTE SUBDERMICO DE DISPOSITIVO INTRAUTERINO",IF(O166=CURSOS!$D$29,"SALUD MENTAL",IF(O166=CURSOS!$D$30,"PRIMEROS AUXILIOS PSICOLOGICOS",IF(O166=CURSOS!$D$31,"ATENCION A VICTIMAS POR CONFLICTO ARMADO",IF(O166=CURSOS!$D$32,"MANIPULACION DE ALIMENTOS Y BPM",IF(O166=CURSOS!$D$33,"ATENCION A PERSONAS CON DISCAPACIDAD",IF(O166=CURSOS!$D$34,"CUIDADO INTEGRAL DEL PACIENTE ADULTO",IF(O166=CURSOS!$D$35,"MANEJO DEFENSIVO",IF(O166=CURSOS!$D$36,"SOPORTE CARDIOVASCULAR AVANZADO NEONATAL",IF(O166=CURSOS!$D$37,"SEGURIDAD DEL PACIENTE",IF(O166=CURSOS!$D$38,"MANEJO DE RESIDUOS HOSPITALARIOS"))))))))))))))))))))))))))))))))))))</f>
        <v>0</v>
      </c>
      <c r="V166" s="59" t="str">
        <f t="shared" si="8"/>
        <v xml:space="preserve">   </v>
      </c>
      <c r="W166" s="59" t="str">
        <f t="shared" si="9"/>
        <v xml:space="preserve">   </v>
      </c>
      <c r="X166" s="59" t="str">
        <f t="shared" si="10"/>
        <v xml:space="preserve">   --</v>
      </c>
    </row>
    <row r="167" spans="1:24" x14ac:dyDescent="0.2">
      <c r="A167" s="55">
        <v>166</v>
      </c>
      <c r="I167" s="73"/>
      <c r="T167" s="53"/>
      <c r="U167" s="59" t="b">
        <f>IF(O167=CURSOS!$D$3,"DIPLOMADO EN ATENCION PRE-HOSPITALARIA",IF(O167=CURSOS!$D$4,"ACOMPAÑAMIENTO Y MANEJO DEL DUELO",IF(O167=CURSOS!$D$5,"ATENCION A VICTIMAS DE ATAQUE CON AGENTES QUIMICOS ",IF(O167=CURSOS!$D$6,"PRIMEROS AUXILIOS ",IF(O167=CURSOS!$D$7,"DIPLOMADO DE UNIDAD DE CUIDADOS INTENSIVOS (UCI)",IF(O167=CURSOS!$D$8,"MODELO DE ATENCION PARA EVENTOS EMERGENTES EN SALUD MENTAL (CODIGO VERDE)",IF(O167=CURSOS!$D$9,"HUMANIZACION EN EL SERVICIO DE LA SALUD Y BUENAS PRACTICAS EN PACIENTE ",IF(O167=CURSOS!$D$10,"CLINICA DE HERIDAS ",IF(O167=CURSOS!$D$11,"TOMA DE CITOLOGIA CERVICO VAGINAL ",IF(O167=CURSOS!$D$12,"SOPORTE CARDIOVASCULAR AVANZADO (ACLS) ",IF(O167=CURSOS!$D$13,"CAMILLERO ",IF(O167=CURSOS!$D$14,"TOMA DE MUESTRAS Y LABORATORIO ",IF(O167=CURSOS!$D$15,"SOPORTE VITAL BASICO (BLS)",IF(O167=CURSOS!$D$16,"ATENCION A VICTIMAS DE VIOLENCIA SEXUAL ",IF(O167=CURSOS!$D$17,"PROGRAMADO AMPLIADO DE INMUNIZACION (PAI - COVID 19)",IF(O167=CURSOS!$D$18,"ATENCION INTEGRAL EN ENFERMEDADES PREVALENTES EN PRIMERA INFANCIA (AIEPI)",IF(O167=CURSOS!$D$19,"ADMINISTRACION DE MEDICAMENTOS, INYECTOLOGIA  Y CANALIZACION ",IF(O167=CURSOS!$D$20,"OPERADOR DE VEHICULOS DE EMERGENCIA (OVE)",IF(O167=CURSOS!$D$21,"INSTITUCIONES AMIGAS DE LA MUJER Y LA INFANCIA (IAMI)",IF(O167=CURSOS!$D$22,"CUIDADO DEL DONANTE DE ORGANOS",IF(O167=CURSOS!$D$23,"ATENCION A VICTIMAS POR VIOLENCIA DE GENERO",IF(O167=CURSOS!$D$24,"IGUALDAD DE GENERO EN LA SALUD",IF(O167=CURSOS!$D$25,"BRIGADA DE EMERGENCIA",IF(O167=CURSOS!$D$26,"MANEJO DEL DOLOR Y CUIDADOS PALIATIVOS",IF(O167=CURSOS!$D$27,"TOMA DE MUESTRAS Y LABORATORIO POCT",IF(O167=CURSOS!$D$28,"IMPLANTE SUBDERMICO DE DISPOSITIVO INTRAUTERINO",IF(O167=CURSOS!$D$29,"SALUD MENTAL",IF(O167=CURSOS!$D$30,"PRIMEROS AUXILIOS PSICOLOGICOS",IF(O167=CURSOS!$D$31,"ATENCION A VICTIMAS POR CONFLICTO ARMADO",IF(O167=CURSOS!$D$32,"MANIPULACION DE ALIMENTOS Y BPM",IF(O167=CURSOS!$D$33,"ATENCION A PERSONAS CON DISCAPACIDAD",IF(O167=CURSOS!$D$34,"CUIDADO INTEGRAL DEL PACIENTE ADULTO",IF(O167=CURSOS!$D$35,"MANEJO DEFENSIVO",IF(O167=CURSOS!$D$36,"SOPORTE CARDIOVASCULAR AVANZADO NEONATAL",IF(O167=CURSOS!$D$37,"SEGURIDAD DEL PACIENTE",IF(O167=CURSOS!$D$38,"MANEJO DE RESIDUOS HOSPITALARIOS"))))))))))))))))))))))))))))))))))))</f>
        <v>0</v>
      </c>
      <c r="V167" s="59" t="str">
        <f t="shared" si="8"/>
        <v xml:space="preserve">   </v>
      </c>
      <c r="W167" s="59" t="str">
        <f t="shared" si="9"/>
        <v xml:space="preserve">   </v>
      </c>
      <c r="X167" s="59" t="str">
        <f t="shared" si="10"/>
        <v xml:space="preserve">   --</v>
      </c>
    </row>
    <row r="168" spans="1:24" x14ac:dyDescent="0.2">
      <c r="A168" s="55">
        <v>167</v>
      </c>
      <c r="I168" s="73"/>
      <c r="T168" s="53"/>
      <c r="U168" s="59" t="b">
        <f>IF(O168=CURSOS!$D$3,"DIPLOMADO EN ATENCION PRE-HOSPITALARIA",IF(O168=CURSOS!$D$4,"ACOMPAÑAMIENTO Y MANEJO DEL DUELO",IF(O168=CURSOS!$D$5,"ATENCION A VICTIMAS DE ATAQUE CON AGENTES QUIMICOS ",IF(O168=CURSOS!$D$6,"PRIMEROS AUXILIOS ",IF(O168=CURSOS!$D$7,"DIPLOMADO DE UNIDAD DE CUIDADOS INTENSIVOS (UCI)",IF(O168=CURSOS!$D$8,"MODELO DE ATENCION PARA EVENTOS EMERGENTES EN SALUD MENTAL (CODIGO VERDE)",IF(O168=CURSOS!$D$9,"HUMANIZACION EN EL SERVICIO DE LA SALUD Y BUENAS PRACTICAS EN PACIENTE ",IF(O168=CURSOS!$D$10,"CLINICA DE HERIDAS ",IF(O168=CURSOS!$D$11,"TOMA DE CITOLOGIA CERVICO VAGINAL ",IF(O168=CURSOS!$D$12,"SOPORTE CARDIOVASCULAR AVANZADO (ACLS) ",IF(O168=CURSOS!$D$13,"CAMILLERO ",IF(O168=CURSOS!$D$14,"TOMA DE MUESTRAS Y LABORATORIO ",IF(O168=CURSOS!$D$15,"SOPORTE VITAL BASICO (BLS)",IF(O168=CURSOS!$D$16,"ATENCION A VICTIMAS DE VIOLENCIA SEXUAL ",IF(O168=CURSOS!$D$17,"PROGRAMADO AMPLIADO DE INMUNIZACION (PAI - COVID 19)",IF(O168=CURSOS!$D$18,"ATENCION INTEGRAL EN ENFERMEDADES PREVALENTES EN PRIMERA INFANCIA (AIEPI)",IF(O168=CURSOS!$D$19,"ADMINISTRACION DE MEDICAMENTOS, INYECTOLOGIA  Y CANALIZACION ",IF(O168=CURSOS!$D$20,"OPERADOR DE VEHICULOS DE EMERGENCIA (OVE)",IF(O168=CURSOS!$D$21,"INSTITUCIONES AMIGAS DE LA MUJER Y LA INFANCIA (IAMI)",IF(O168=CURSOS!$D$22,"CUIDADO DEL DONANTE DE ORGANOS",IF(O168=CURSOS!$D$23,"ATENCION A VICTIMAS POR VIOLENCIA DE GENERO",IF(O168=CURSOS!$D$24,"IGUALDAD DE GENERO EN LA SALUD",IF(O168=CURSOS!$D$25,"BRIGADA DE EMERGENCIA",IF(O168=CURSOS!$D$26,"MANEJO DEL DOLOR Y CUIDADOS PALIATIVOS",IF(O168=CURSOS!$D$27,"TOMA DE MUESTRAS Y LABORATORIO POCT",IF(O168=CURSOS!$D$28,"IMPLANTE SUBDERMICO DE DISPOSITIVO INTRAUTERINO",IF(O168=CURSOS!$D$29,"SALUD MENTAL",IF(O168=CURSOS!$D$30,"PRIMEROS AUXILIOS PSICOLOGICOS",IF(O168=CURSOS!$D$31,"ATENCION A VICTIMAS POR CONFLICTO ARMADO",IF(O168=CURSOS!$D$32,"MANIPULACION DE ALIMENTOS Y BPM",IF(O168=CURSOS!$D$33,"ATENCION A PERSONAS CON DISCAPACIDAD",IF(O168=CURSOS!$D$34,"CUIDADO INTEGRAL DEL PACIENTE ADULTO",IF(O168=CURSOS!$D$35,"MANEJO DEFENSIVO",IF(O168=CURSOS!$D$36,"SOPORTE CARDIOVASCULAR AVANZADO NEONATAL",IF(O168=CURSOS!$D$37,"SEGURIDAD DEL PACIENTE",IF(O168=CURSOS!$D$38,"MANEJO DE RESIDUOS HOSPITALARIOS"))))))))))))))))))))))))))))))))))))</f>
        <v>0</v>
      </c>
      <c r="V168" s="59" t="str">
        <f t="shared" si="8"/>
        <v xml:space="preserve">   </v>
      </c>
      <c r="W168" s="59" t="str">
        <f t="shared" si="9"/>
        <v xml:space="preserve">   </v>
      </c>
      <c r="X168" s="59" t="str">
        <f t="shared" si="10"/>
        <v xml:space="preserve">   --</v>
      </c>
    </row>
    <row r="169" spans="1:24" x14ac:dyDescent="0.2">
      <c r="A169" s="55">
        <v>168</v>
      </c>
      <c r="I169" s="73"/>
      <c r="T169" s="53"/>
      <c r="U169" s="59" t="b">
        <f>IF(O169=CURSOS!$D$3,"DIPLOMADO EN ATENCION PRE-HOSPITALARIA",IF(O169=CURSOS!$D$4,"ACOMPAÑAMIENTO Y MANEJO DEL DUELO",IF(O169=CURSOS!$D$5,"ATENCION A VICTIMAS DE ATAQUE CON AGENTES QUIMICOS ",IF(O169=CURSOS!$D$6,"PRIMEROS AUXILIOS ",IF(O169=CURSOS!$D$7,"DIPLOMADO DE UNIDAD DE CUIDADOS INTENSIVOS (UCI)",IF(O169=CURSOS!$D$8,"MODELO DE ATENCION PARA EVENTOS EMERGENTES EN SALUD MENTAL (CODIGO VERDE)",IF(O169=CURSOS!$D$9,"HUMANIZACION EN EL SERVICIO DE LA SALUD Y BUENAS PRACTICAS EN PACIENTE ",IF(O169=CURSOS!$D$10,"CLINICA DE HERIDAS ",IF(O169=CURSOS!$D$11,"TOMA DE CITOLOGIA CERVICO VAGINAL ",IF(O169=CURSOS!$D$12,"SOPORTE CARDIOVASCULAR AVANZADO (ACLS) ",IF(O169=CURSOS!$D$13,"CAMILLERO ",IF(O169=CURSOS!$D$14,"TOMA DE MUESTRAS Y LABORATORIO ",IF(O169=CURSOS!$D$15,"SOPORTE VITAL BASICO (BLS)",IF(O169=CURSOS!$D$16,"ATENCION A VICTIMAS DE VIOLENCIA SEXUAL ",IF(O169=CURSOS!$D$17,"PROGRAMADO AMPLIADO DE INMUNIZACION (PAI - COVID 19)",IF(O169=CURSOS!$D$18,"ATENCION INTEGRAL EN ENFERMEDADES PREVALENTES EN PRIMERA INFANCIA (AIEPI)",IF(O169=CURSOS!$D$19,"ADMINISTRACION DE MEDICAMENTOS, INYECTOLOGIA  Y CANALIZACION ",IF(O169=CURSOS!$D$20,"OPERADOR DE VEHICULOS DE EMERGENCIA (OVE)",IF(O169=CURSOS!$D$21,"INSTITUCIONES AMIGAS DE LA MUJER Y LA INFANCIA (IAMI)",IF(O169=CURSOS!$D$22,"CUIDADO DEL DONANTE DE ORGANOS",IF(O169=CURSOS!$D$23,"ATENCION A VICTIMAS POR VIOLENCIA DE GENERO",IF(O169=CURSOS!$D$24,"IGUALDAD DE GENERO EN LA SALUD",IF(O169=CURSOS!$D$25,"BRIGADA DE EMERGENCIA",IF(O169=CURSOS!$D$26,"MANEJO DEL DOLOR Y CUIDADOS PALIATIVOS",IF(O169=CURSOS!$D$27,"TOMA DE MUESTRAS Y LABORATORIO POCT",IF(O169=CURSOS!$D$28,"IMPLANTE SUBDERMICO DE DISPOSITIVO INTRAUTERINO",IF(O169=CURSOS!$D$29,"SALUD MENTAL",IF(O169=CURSOS!$D$30,"PRIMEROS AUXILIOS PSICOLOGICOS",IF(O169=CURSOS!$D$31,"ATENCION A VICTIMAS POR CONFLICTO ARMADO",IF(O169=CURSOS!$D$32,"MANIPULACION DE ALIMENTOS Y BPM",IF(O169=CURSOS!$D$33,"ATENCION A PERSONAS CON DISCAPACIDAD",IF(O169=CURSOS!$D$34,"CUIDADO INTEGRAL DEL PACIENTE ADULTO",IF(O169=CURSOS!$D$35,"MANEJO DEFENSIVO",IF(O169=CURSOS!$D$36,"SOPORTE CARDIOVASCULAR AVANZADO NEONATAL",IF(O169=CURSOS!$D$37,"SEGURIDAD DEL PACIENTE",IF(O169=CURSOS!$D$38,"MANEJO DE RESIDUOS HOSPITALARIOS"))))))))))))))))))))))))))))))))))))</f>
        <v>0</v>
      </c>
      <c r="V169" s="59" t="str">
        <f t="shared" si="8"/>
        <v xml:space="preserve">   </v>
      </c>
      <c r="W169" s="59" t="str">
        <f t="shared" si="9"/>
        <v xml:space="preserve">   </v>
      </c>
      <c r="X169" s="59" t="str">
        <f t="shared" si="10"/>
        <v xml:space="preserve">   --</v>
      </c>
    </row>
    <row r="170" spans="1:24" x14ac:dyDescent="0.2">
      <c r="A170" s="55">
        <v>169</v>
      </c>
      <c r="I170" s="73"/>
      <c r="T170" s="53"/>
      <c r="U170" s="59" t="b">
        <f>IF(O170=CURSOS!$D$3,"DIPLOMADO EN ATENCION PRE-HOSPITALARIA",IF(O170=CURSOS!$D$4,"ACOMPAÑAMIENTO Y MANEJO DEL DUELO",IF(O170=CURSOS!$D$5,"ATENCION A VICTIMAS DE ATAQUE CON AGENTES QUIMICOS ",IF(O170=CURSOS!$D$6,"PRIMEROS AUXILIOS ",IF(O170=CURSOS!$D$7,"DIPLOMADO DE UNIDAD DE CUIDADOS INTENSIVOS (UCI)",IF(O170=CURSOS!$D$8,"MODELO DE ATENCION PARA EVENTOS EMERGENTES EN SALUD MENTAL (CODIGO VERDE)",IF(O170=CURSOS!$D$9,"HUMANIZACION EN EL SERVICIO DE LA SALUD Y BUENAS PRACTICAS EN PACIENTE ",IF(O170=CURSOS!$D$10,"CLINICA DE HERIDAS ",IF(O170=CURSOS!$D$11,"TOMA DE CITOLOGIA CERVICO VAGINAL ",IF(O170=CURSOS!$D$12,"SOPORTE CARDIOVASCULAR AVANZADO (ACLS) ",IF(O170=CURSOS!$D$13,"CAMILLERO ",IF(O170=CURSOS!$D$14,"TOMA DE MUESTRAS Y LABORATORIO ",IF(O170=CURSOS!$D$15,"SOPORTE VITAL BASICO (BLS)",IF(O170=CURSOS!$D$16,"ATENCION A VICTIMAS DE VIOLENCIA SEXUAL ",IF(O170=CURSOS!$D$17,"PROGRAMADO AMPLIADO DE INMUNIZACION (PAI - COVID 19)",IF(O170=CURSOS!$D$18,"ATENCION INTEGRAL EN ENFERMEDADES PREVALENTES EN PRIMERA INFANCIA (AIEPI)",IF(O170=CURSOS!$D$19,"ADMINISTRACION DE MEDICAMENTOS, INYECTOLOGIA  Y CANALIZACION ",IF(O170=CURSOS!$D$20,"OPERADOR DE VEHICULOS DE EMERGENCIA (OVE)",IF(O170=CURSOS!$D$21,"INSTITUCIONES AMIGAS DE LA MUJER Y LA INFANCIA (IAMI)",IF(O170=CURSOS!$D$22,"CUIDADO DEL DONANTE DE ORGANOS",IF(O170=CURSOS!$D$23,"ATENCION A VICTIMAS POR VIOLENCIA DE GENERO",IF(O170=CURSOS!$D$24,"IGUALDAD DE GENERO EN LA SALUD",IF(O170=CURSOS!$D$25,"BRIGADA DE EMERGENCIA",IF(O170=CURSOS!$D$26,"MANEJO DEL DOLOR Y CUIDADOS PALIATIVOS",IF(O170=CURSOS!$D$27,"TOMA DE MUESTRAS Y LABORATORIO POCT",IF(O170=CURSOS!$D$28,"IMPLANTE SUBDERMICO DE DISPOSITIVO INTRAUTERINO",IF(O170=CURSOS!$D$29,"SALUD MENTAL",IF(O170=CURSOS!$D$30,"PRIMEROS AUXILIOS PSICOLOGICOS",IF(O170=CURSOS!$D$31,"ATENCION A VICTIMAS POR CONFLICTO ARMADO",IF(O170=CURSOS!$D$32,"MANIPULACION DE ALIMENTOS Y BPM",IF(O170=CURSOS!$D$33,"ATENCION A PERSONAS CON DISCAPACIDAD",IF(O170=CURSOS!$D$34,"CUIDADO INTEGRAL DEL PACIENTE ADULTO",IF(O170=CURSOS!$D$35,"MANEJO DEFENSIVO",IF(O170=CURSOS!$D$36,"SOPORTE CARDIOVASCULAR AVANZADO NEONATAL",IF(O170=CURSOS!$D$37,"SEGURIDAD DEL PACIENTE",IF(O170=CURSOS!$D$38,"MANEJO DE RESIDUOS HOSPITALARIOS"))))))))))))))))))))))))))))))))))))</f>
        <v>0</v>
      </c>
      <c r="V170" s="59" t="str">
        <f t="shared" si="8"/>
        <v xml:space="preserve">   </v>
      </c>
      <c r="W170" s="59" t="str">
        <f t="shared" si="9"/>
        <v xml:space="preserve">   </v>
      </c>
      <c r="X170" s="59" t="str">
        <f t="shared" si="10"/>
        <v xml:space="preserve">   --</v>
      </c>
    </row>
    <row r="171" spans="1:24" x14ac:dyDescent="0.2">
      <c r="A171" s="55">
        <v>170</v>
      </c>
      <c r="I171" s="73"/>
      <c r="T171" s="53"/>
      <c r="U171" s="59" t="b">
        <f>IF(O171=CURSOS!$D$3,"DIPLOMADO EN ATENCION PRE-HOSPITALARIA",IF(O171=CURSOS!$D$4,"ACOMPAÑAMIENTO Y MANEJO DEL DUELO",IF(O171=CURSOS!$D$5,"ATENCION A VICTIMAS DE ATAQUE CON AGENTES QUIMICOS ",IF(O171=CURSOS!$D$6,"PRIMEROS AUXILIOS ",IF(O171=CURSOS!$D$7,"DIPLOMADO DE UNIDAD DE CUIDADOS INTENSIVOS (UCI)",IF(O171=CURSOS!$D$8,"MODELO DE ATENCION PARA EVENTOS EMERGENTES EN SALUD MENTAL (CODIGO VERDE)",IF(O171=CURSOS!$D$9,"HUMANIZACION EN EL SERVICIO DE LA SALUD Y BUENAS PRACTICAS EN PACIENTE ",IF(O171=CURSOS!$D$10,"CLINICA DE HERIDAS ",IF(O171=CURSOS!$D$11,"TOMA DE CITOLOGIA CERVICO VAGINAL ",IF(O171=CURSOS!$D$12,"SOPORTE CARDIOVASCULAR AVANZADO (ACLS) ",IF(O171=CURSOS!$D$13,"CAMILLERO ",IF(O171=CURSOS!$D$14,"TOMA DE MUESTRAS Y LABORATORIO ",IF(O171=CURSOS!$D$15,"SOPORTE VITAL BASICO (BLS)",IF(O171=CURSOS!$D$16,"ATENCION A VICTIMAS DE VIOLENCIA SEXUAL ",IF(O171=CURSOS!$D$17,"PROGRAMADO AMPLIADO DE INMUNIZACION (PAI - COVID 19)",IF(O171=CURSOS!$D$18,"ATENCION INTEGRAL EN ENFERMEDADES PREVALENTES EN PRIMERA INFANCIA (AIEPI)",IF(O171=CURSOS!$D$19,"ADMINISTRACION DE MEDICAMENTOS, INYECTOLOGIA  Y CANALIZACION ",IF(O171=CURSOS!$D$20,"OPERADOR DE VEHICULOS DE EMERGENCIA (OVE)",IF(O171=CURSOS!$D$21,"INSTITUCIONES AMIGAS DE LA MUJER Y LA INFANCIA (IAMI)",IF(O171=CURSOS!$D$22,"CUIDADO DEL DONANTE DE ORGANOS",IF(O171=CURSOS!$D$23,"ATENCION A VICTIMAS POR VIOLENCIA DE GENERO",IF(O171=CURSOS!$D$24,"IGUALDAD DE GENERO EN LA SALUD",IF(O171=CURSOS!$D$25,"BRIGADA DE EMERGENCIA",IF(O171=CURSOS!$D$26,"MANEJO DEL DOLOR Y CUIDADOS PALIATIVOS",IF(O171=CURSOS!$D$27,"TOMA DE MUESTRAS Y LABORATORIO POCT",IF(O171=CURSOS!$D$28,"IMPLANTE SUBDERMICO DE DISPOSITIVO INTRAUTERINO",IF(O171=CURSOS!$D$29,"SALUD MENTAL",IF(O171=CURSOS!$D$30,"PRIMEROS AUXILIOS PSICOLOGICOS",IF(O171=CURSOS!$D$31,"ATENCION A VICTIMAS POR CONFLICTO ARMADO",IF(O171=CURSOS!$D$32,"MANIPULACION DE ALIMENTOS Y BPM",IF(O171=CURSOS!$D$33,"ATENCION A PERSONAS CON DISCAPACIDAD",IF(O171=CURSOS!$D$34,"CUIDADO INTEGRAL DEL PACIENTE ADULTO",IF(O171=CURSOS!$D$35,"MANEJO DEFENSIVO",IF(O171=CURSOS!$D$36,"SOPORTE CARDIOVASCULAR AVANZADO NEONATAL",IF(O171=CURSOS!$D$37,"SEGURIDAD DEL PACIENTE",IF(O171=CURSOS!$D$38,"MANEJO DE RESIDUOS HOSPITALARIOS"))))))))))))))))))))))))))))))))))))</f>
        <v>0</v>
      </c>
      <c r="V171" s="59" t="str">
        <f t="shared" si="8"/>
        <v xml:space="preserve">   </v>
      </c>
      <c r="W171" s="59" t="str">
        <f t="shared" si="9"/>
        <v xml:space="preserve">   </v>
      </c>
      <c r="X171" s="59" t="str">
        <f t="shared" si="10"/>
        <v xml:space="preserve">   --</v>
      </c>
    </row>
    <row r="172" spans="1:24" x14ac:dyDescent="0.2">
      <c r="A172" s="55">
        <v>171</v>
      </c>
      <c r="I172" s="73"/>
      <c r="T172" s="53"/>
      <c r="U172" s="59" t="b">
        <f>IF(O172=CURSOS!$D$3,"DIPLOMADO EN ATENCION PRE-HOSPITALARIA",IF(O172=CURSOS!$D$4,"ACOMPAÑAMIENTO Y MANEJO DEL DUELO",IF(O172=CURSOS!$D$5,"ATENCION A VICTIMAS DE ATAQUE CON AGENTES QUIMICOS ",IF(O172=CURSOS!$D$6,"PRIMEROS AUXILIOS ",IF(O172=CURSOS!$D$7,"DIPLOMADO DE UNIDAD DE CUIDADOS INTENSIVOS (UCI)",IF(O172=CURSOS!$D$8,"MODELO DE ATENCION PARA EVENTOS EMERGENTES EN SALUD MENTAL (CODIGO VERDE)",IF(O172=CURSOS!$D$9,"HUMANIZACION EN EL SERVICIO DE LA SALUD Y BUENAS PRACTICAS EN PACIENTE ",IF(O172=CURSOS!$D$10,"CLINICA DE HERIDAS ",IF(O172=CURSOS!$D$11,"TOMA DE CITOLOGIA CERVICO VAGINAL ",IF(O172=CURSOS!$D$12,"SOPORTE CARDIOVASCULAR AVANZADO (ACLS) ",IF(O172=CURSOS!$D$13,"CAMILLERO ",IF(O172=CURSOS!$D$14,"TOMA DE MUESTRAS Y LABORATORIO ",IF(O172=CURSOS!$D$15,"SOPORTE VITAL BASICO (BLS)",IF(O172=CURSOS!$D$16,"ATENCION A VICTIMAS DE VIOLENCIA SEXUAL ",IF(O172=CURSOS!$D$17,"PROGRAMADO AMPLIADO DE INMUNIZACION (PAI - COVID 19)",IF(O172=CURSOS!$D$18,"ATENCION INTEGRAL EN ENFERMEDADES PREVALENTES EN PRIMERA INFANCIA (AIEPI)",IF(O172=CURSOS!$D$19,"ADMINISTRACION DE MEDICAMENTOS, INYECTOLOGIA  Y CANALIZACION ",IF(O172=CURSOS!$D$20,"OPERADOR DE VEHICULOS DE EMERGENCIA (OVE)",IF(O172=CURSOS!$D$21,"INSTITUCIONES AMIGAS DE LA MUJER Y LA INFANCIA (IAMI)",IF(O172=CURSOS!$D$22,"CUIDADO DEL DONANTE DE ORGANOS",IF(O172=CURSOS!$D$23,"ATENCION A VICTIMAS POR VIOLENCIA DE GENERO",IF(O172=CURSOS!$D$24,"IGUALDAD DE GENERO EN LA SALUD",IF(O172=CURSOS!$D$25,"BRIGADA DE EMERGENCIA",IF(O172=CURSOS!$D$26,"MANEJO DEL DOLOR Y CUIDADOS PALIATIVOS",IF(O172=CURSOS!$D$27,"TOMA DE MUESTRAS Y LABORATORIO POCT",IF(O172=CURSOS!$D$28,"IMPLANTE SUBDERMICO DE DISPOSITIVO INTRAUTERINO",IF(O172=CURSOS!$D$29,"SALUD MENTAL",IF(O172=CURSOS!$D$30,"PRIMEROS AUXILIOS PSICOLOGICOS",IF(O172=CURSOS!$D$31,"ATENCION A VICTIMAS POR CONFLICTO ARMADO",IF(O172=CURSOS!$D$32,"MANIPULACION DE ALIMENTOS Y BPM",IF(O172=CURSOS!$D$33,"ATENCION A PERSONAS CON DISCAPACIDAD",IF(O172=CURSOS!$D$34,"CUIDADO INTEGRAL DEL PACIENTE ADULTO",IF(O172=CURSOS!$D$35,"MANEJO DEFENSIVO",IF(O172=CURSOS!$D$36,"SOPORTE CARDIOVASCULAR AVANZADO NEONATAL",IF(O172=CURSOS!$D$37,"SEGURIDAD DEL PACIENTE",IF(O172=CURSOS!$D$38,"MANEJO DE RESIDUOS HOSPITALARIOS"))))))))))))))))))))))))))))))))))))</f>
        <v>0</v>
      </c>
      <c r="V172" s="59" t="str">
        <f t="shared" si="8"/>
        <v xml:space="preserve">   </v>
      </c>
      <c r="W172" s="59" t="str">
        <f t="shared" si="9"/>
        <v xml:space="preserve">   </v>
      </c>
      <c r="X172" s="59" t="str">
        <f t="shared" si="10"/>
        <v xml:space="preserve">   --</v>
      </c>
    </row>
    <row r="173" spans="1:24" x14ac:dyDescent="0.2">
      <c r="A173" s="55">
        <v>172</v>
      </c>
      <c r="I173" s="73"/>
      <c r="T173" s="53"/>
      <c r="U173" s="59" t="b">
        <f>IF(O173=CURSOS!$D$3,"DIPLOMADO EN ATENCION PRE-HOSPITALARIA",IF(O173=CURSOS!$D$4,"ACOMPAÑAMIENTO Y MANEJO DEL DUELO",IF(O173=CURSOS!$D$5,"ATENCION A VICTIMAS DE ATAQUE CON AGENTES QUIMICOS ",IF(O173=CURSOS!$D$6,"PRIMEROS AUXILIOS ",IF(O173=CURSOS!$D$7,"DIPLOMADO DE UNIDAD DE CUIDADOS INTENSIVOS (UCI)",IF(O173=CURSOS!$D$8,"MODELO DE ATENCION PARA EVENTOS EMERGENTES EN SALUD MENTAL (CODIGO VERDE)",IF(O173=CURSOS!$D$9,"HUMANIZACION EN EL SERVICIO DE LA SALUD Y BUENAS PRACTICAS EN PACIENTE ",IF(O173=CURSOS!$D$10,"CLINICA DE HERIDAS ",IF(O173=CURSOS!$D$11,"TOMA DE CITOLOGIA CERVICO VAGINAL ",IF(O173=CURSOS!$D$12,"SOPORTE CARDIOVASCULAR AVANZADO (ACLS) ",IF(O173=CURSOS!$D$13,"CAMILLERO ",IF(O173=CURSOS!$D$14,"TOMA DE MUESTRAS Y LABORATORIO ",IF(O173=CURSOS!$D$15,"SOPORTE VITAL BASICO (BLS)",IF(O173=CURSOS!$D$16,"ATENCION A VICTIMAS DE VIOLENCIA SEXUAL ",IF(O173=CURSOS!$D$17,"PROGRAMADO AMPLIADO DE INMUNIZACION (PAI - COVID 19)",IF(O173=CURSOS!$D$18,"ATENCION INTEGRAL EN ENFERMEDADES PREVALENTES EN PRIMERA INFANCIA (AIEPI)",IF(O173=CURSOS!$D$19,"ADMINISTRACION DE MEDICAMENTOS, INYECTOLOGIA  Y CANALIZACION ",IF(O173=CURSOS!$D$20,"OPERADOR DE VEHICULOS DE EMERGENCIA (OVE)",IF(O173=CURSOS!$D$21,"INSTITUCIONES AMIGAS DE LA MUJER Y LA INFANCIA (IAMI)",IF(O173=CURSOS!$D$22,"CUIDADO DEL DONANTE DE ORGANOS",IF(O173=CURSOS!$D$23,"ATENCION A VICTIMAS POR VIOLENCIA DE GENERO",IF(O173=CURSOS!$D$24,"IGUALDAD DE GENERO EN LA SALUD",IF(O173=CURSOS!$D$25,"BRIGADA DE EMERGENCIA",IF(O173=CURSOS!$D$26,"MANEJO DEL DOLOR Y CUIDADOS PALIATIVOS",IF(O173=CURSOS!$D$27,"TOMA DE MUESTRAS Y LABORATORIO POCT",IF(O173=CURSOS!$D$28,"IMPLANTE SUBDERMICO DE DISPOSITIVO INTRAUTERINO",IF(O173=CURSOS!$D$29,"SALUD MENTAL",IF(O173=CURSOS!$D$30,"PRIMEROS AUXILIOS PSICOLOGICOS",IF(O173=CURSOS!$D$31,"ATENCION A VICTIMAS POR CONFLICTO ARMADO",IF(O173=CURSOS!$D$32,"MANIPULACION DE ALIMENTOS Y BPM",IF(O173=CURSOS!$D$33,"ATENCION A PERSONAS CON DISCAPACIDAD",IF(O173=CURSOS!$D$34,"CUIDADO INTEGRAL DEL PACIENTE ADULTO",IF(O173=CURSOS!$D$35,"MANEJO DEFENSIVO",IF(O173=CURSOS!$D$36,"SOPORTE CARDIOVASCULAR AVANZADO NEONATAL",IF(O173=CURSOS!$D$37,"SEGURIDAD DEL PACIENTE",IF(O173=CURSOS!$D$38,"MANEJO DE RESIDUOS HOSPITALARIOS"))))))))))))))))))))))))))))))))))))</f>
        <v>0</v>
      </c>
      <c r="V173" s="59" t="str">
        <f t="shared" si="8"/>
        <v xml:space="preserve">   </v>
      </c>
      <c r="W173" s="59" t="str">
        <f t="shared" si="9"/>
        <v xml:space="preserve">   </v>
      </c>
      <c r="X173" s="59" t="str">
        <f t="shared" si="10"/>
        <v xml:space="preserve">   --</v>
      </c>
    </row>
    <row r="174" spans="1:24" x14ac:dyDescent="0.2">
      <c r="A174" s="55">
        <v>173</v>
      </c>
      <c r="I174" s="73"/>
      <c r="T174" s="53"/>
      <c r="U174" s="59" t="b">
        <f>IF(O174=CURSOS!$D$3,"DIPLOMADO EN ATENCION PRE-HOSPITALARIA",IF(O174=CURSOS!$D$4,"ACOMPAÑAMIENTO Y MANEJO DEL DUELO",IF(O174=CURSOS!$D$5,"ATENCION A VICTIMAS DE ATAQUE CON AGENTES QUIMICOS ",IF(O174=CURSOS!$D$6,"PRIMEROS AUXILIOS ",IF(O174=CURSOS!$D$7,"DIPLOMADO DE UNIDAD DE CUIDADOS INTENSIVOS (UCI)",IF(O174=CURSOS!$D$8,"MODELO DE ATENCION PARA EVENTOS EMERGENTES EN SALUD MENTAL (CODIGO VERDE)",IF(O174=CURSOS!$D$9,"HUMANIZACION EN EL SERVICIO DE LA SALUD Y BUENAS PRACTICAS EN PACIENTE ",IF(O174=CURSOS!$D$10,"CLINICA DE HERIDAS ",IF(O174=CURSOS!$D$11,"TOMA DE CITOLOGIA CERVICO VAGINAL ",IF(O174=CURSOS!$D$12,"SOPORTE CARDIOVASCULAR AVANZADO (ACLS) ",IF(O174=CURSOS!$D$13,"CAMILLERO ",IF(O174=CURSOS!$D$14,"TOMA DE MUESTRAS Y LABORATORIO ",IF(O174=CURSOS!$D$15,"SOPORTE VITAL BASICO (BLS)",IF(O174=CURSOS!$D$16,"ATENCION A VICTIMAS DE VIOLENCIA SEXUAL ",IF(O174=CURSOS!$D$17,"PROGRAMADO AMPLIADO DE INMUNIZACION (PAI - COVID 19)",IF(O174=CURSOS!$D$18,"ATENCION INTEGRAL EN ENFERMEDADES PREVALENTES EN PRIMERA INFANCIA (AIEPI)",IF(O174=CURSOS!$D$19,"ADMINISTRACION DE MEDICAMENTOS, INYECTOLOGIA  Y CANALIZACION ",IF(O174=CURSOS!$D$20,"OPERADOR DE VEHICULOS DE EMERGENCIA (OVE)",IF(O174=CURSOS!$D$21,"INSTITUCIONES AMIGAS DE LA MUJER Y LA INFANCIA (IAMI)",IF(O174=CURSOS!$D$22,"CUIDADO DEL DONANTE DE ORGANOS",IF(O174=CURSOS!$D$23,"ATENCION A VICTIMAS POR VIOLENCIA DE GENERO",IF(O174=CURSOS!$D$24,"IGUALDAD DE GENERO EN LA SALUD",IF(O174=CURSOS!$D$25,"BRIGADA DE EMERGENCIA",IF(O174=CURSOS!$D$26,"MANEJO DEL DOLOR Y CUIDADOS PALIATIVOS",IF(O174=CURSOS!$D$27,"TOMA DE MUESTRAS Y LABORATORIO POCT",IF(O174=CURSOS!$D$28,"IMPLANTE SUBDERMICO DE DISPOSITIVO INTRAUTERINO",IF(O174=CURSOS!$D$29,"SALUD MENTAL",IF(O174=CURSOS!$D$30,"PRIMEROS AUXILIOS PSICOLOGICOS",IF(O174=CURSOS!$D$31,"ATENCION A VICTIMAS POR CONFLICTO ARMADO",IF(O174=CURSOS!$D$32,"MANIPULACION DE ALIMENTOS Y BPM",IF(O174=CURSOS!$D$33,"ATENCION A PERSONAS CON DISCAPACIDAD",IF(O174=CURSOS!$D$34,"CUIDADO INTEGRAL DEL PACIENTE ADULTO",IF(O174=CURSOS!$D$35,"MANEJO DEFENSIVO",IF(O174=CURSOS!$D$36,"SOPORTE CARDIOVASCULAR AVANZADO NEONATAL",IF(O174=CURSOS!$D$37,"SEGURIDAD DEL PACIENTE",IF(O174=CURSOS!$D$38,"MANEJO DE RESIDUOS HOSPITALARIOS"))))))))))))))))))))))))))))))))))))</f>
        <v>0</v>
      </c>
      <c r="V174" s="59" t="str">
        <f t="shared" si="8"/>
        <v xml:space="preserve">   </v>
      </c>
      <c r="W174" s="59" t="str">
        <f t="shared" si="9"/>
        <v xml:space="preserve">   </v>
      </c>
      <c r="X174" s="59" t="str">
        <f t="shared" si="10"/>
        <v xml:space="preserve">   --</v>
      </c>
    </row>
    <row r="175" spans="1:24" x14ac:dyDescent="0.2">
      <c r="A175" s="55">
        <v>174</v>
      </c>
      <c r="I175" s="73"/>
      <c r="T175" s="53"/>
      <c r="U175" s="59" t="b">
        <f>IF(O175=CURSOS!$D$3,"DIPLOMADO EN ATENCION PRE-HOSPITALARIA",IF(O175=CURSOS!$D$4,"ACOMPAÑAMIENTO Y MANEJO DEL DUELO",IF(O175=CURSOS!$D$5,"ATENCION A VICTIMAS DE ATAQUE CON AGENTES QUIMICOS ",IF(O175=CURSOS!$D$6,"PRIMEROS AUXILIOS ",IF(O175=CURSOS!$D$7,"DIPLOMADO DE UNIDAD DE CUIDADOS INTENSIVOS (UCI)",IF(O175=CURSOS!$D$8,"MODELO DE ATENCION PARA EVENTOS EMERGENTES EN SALUD MENTAL (CODIGO VERDE)",IF(O175=CURSOS!$D$9,"HUMANIZACION EN EL SERVICIO DE LA SALUD Y BUENAS PRACTICAS EN PACIENTE ",IF(O175=CURSOS!$D$10,"CLINICA DE HERIDAS ",IF(O175=CURSOS!$D$11,"TOMA DE CITOLOGIA CERVICO VAGINAL ",IF(O175=CURSOS!$D$12,"SOPORTE CARDIOVASCULAR AVANZADO (ACLS) ",IF(O175=CURSOS!$D$13,"CAMILLERO ",IF(O175=CURSOS!$D$14,"TOMA DE MUESTRAS Y LABORATORIO ",IF(O175=CURSOS!$D$15,"SOPORTE VITAL BASICO (BLS)",IF(O175=CURSOS!$D$16,"ATENCION A VICTIMAS DE VIOLENCIA SEXUAL ",IF(O175=CURSOS!$D$17,"PROGRAMADO AMPLIADO DE INMUNIZACION (PAI - COVID 19)",IF(O175=CURSOS!$D$18,"ATENCION INTEGRAL EN ENFERMEDADES PREVALENTES EN PRIMERA INFANCIA (AIEPI)",IF(O175=CURSOS!$D$19,"ADMINISTRACION DE MEDICAMENTOS, INYECTOLOGIA  Y CANALIZACION ",IF(O175=CURSOS!$D$20,"OPERADOR DE VEHICULOS DE EMERGENCIA (OVE)",IF(O175=CURSOS!$D$21,"INSTITUCIONES AMIGAS DE LA MUJER Y LA INFANCIA (IAMI)",IF(O175=CURSOS!$D$22,"CUIDADO DEL DONANTE DE ORGANOS",IF(O175=CURSOS!$D$23,"ATENCION A VICTIMAS POR VIOLENCIA DE GENERO",IF(O175=CURSOS!$D$24,"IGUALDAD DE GENERO EN LA SALUD",IF(O175=CURSOS!$D$25,"BRIGADA DE EMERGENCIA",IF(O175=CURSOS!$D$26,"MANEJO DEL DOLOR Y CUIDADOS PALIATIVOS",IF(O175=CURSOS!$D$27,"TOMA DE MUESTRAS Y LABORATORIO POCT",IF(O175=CURSOS!$D$28,"IMPLANTE SUBDERMICO DE DISPOSITIVO INTRAUTERINO",IF(O175=CURSOS!$D$29,"SALUD MENTAL",IF(O175=CURSOS!$D$30,"PRIMEROS AUXILIOS PSICOLOGICOS",IF(O175=CURSOS!$D$31,"ATENCION A VICTIMAS POR CONFLICTO ARMADO",IF(O175=CURSOS!$D$32,"MANIPULACION DE ALIMENTOS Y BPM",IF(O175=CURSOS!$D$33,"ATENCION A PERSONAS CON DISCAPACIDAD",IF(O175=CURSOS!$D$34,"CUIDADO INTEGRAL DEL PACIENTE ADULTO",IF(O175=CURSOS!$D$35,"MANEJO DEFENSIVO",IF(O175=CURSOS!$D$36,"SOPORTE CARDIOVASCULAR AVANZADO NEONATAL",IF(O175=CURSOS!$D$37,"SEGURIDAD DEL PACIENTE",IF(O175=CURSOS!$D$38,"MANEJO DE RESIDUOS HOSPITALARIOS"))))))))))))))))))))))))))))))))))))</f>
        <v>0</v>
      </c>
      <c r="V175" s="59" t="str">
        <f t="shared" si="8"/>
        <v xml:space="preserve">   </v>
      </c>
      <c r="W175" s="59" t="str">
        <f t="shared" si="9"/>
        <v xml:space="preserve">   </v>
      </c>
      <c r="X175" s="59" t="str">
        <f t="shared" si="10"/>
        <v xml:space="preserve">   --</v>
      </c>
    </row>
    <row r="176" spans="1:24" x14ac:dyDescent="0.2">
      <c r="A176" s="55">
        <v>175</v>
      </c>
      <c r="I176" s="73"/>
      <c r="T176" s="53"/>
      <c r="U176" s="59" t="b">
        <f>IF(O176=CURSOS!$D$3,"DIPLOMADO EN ATENCION PRE-HOSPITALARIA",IF(O176=CURSOS!$D$4,"ACOMPAÑAMIENTO Y MANEJO DEL DUELO",IF(O176=CURSOS!$D$5,"ATENCION A VICTIMAS DE ATAQUE CON AGENTES QUIMICOS ",IF(O176=CURSOS!$D$6,"PRIMEROS AUXILIOS ",IF(O176=CURSOS!$D$7,"DIPLOMADO DE UNIDAD DE CUIDADOS INTENSIVOS (UCI)",IF(O176=CURSOS!$D$8,"MODELO DE ATENCION PARA EVENTOS EMERGENTES EN SALUD MENTAL (CODIGO VERDE)",IF(O176=CURSOS!$D$9,"HUMANIZACION EN EL SERVICIO DE LA SALUD Y BUENAS PRACTICAS EN PACIENTE ",IF(O176=CURSOS!$D$10,"CLINICA DE HERIDAS ",IF(O176=CURSOS!$D$11,"TOMA DE CITOLOGIA CERVICO VAGINAL ",IF(O176=CURSOS!$D$12,"SOPORTE CARDIOVASCULAR AVANZADO (ACLS) ",IF(O176=CURSOS!$D$13,"CAMILLERO ",IF(O176=CURSOS!$D$14,"TOMA DE MUESTRAS Y LABORATORIO ",IF(O176=CURSOS!$D$15,"SOPORTE VITAL BASICO (BLS)",IF(O176=CURSOS!$D$16,"ATENCION A VICTIMAS DE VIOLENCIA SEXUAL ",IF(O176=CURSOS!$D$17,"PROGRAMADO AMPLIADO DE INMUNIZACION (PAI - COVID 19)",IF(O176=CURSOS!$D$18,"ATENCION INTEGRAL EN ENFERMEDADES PREVALENTES EN PRIMERA INFANCIA (AIEPI)",IF(O176=CURSOS!$D$19,"ADMINISTRACION DE MEDICAMENTOS, INYECTOLOGIA  Y CANALIZACION ",IF(O176=CURSOS!$D$20,"OPERADOR DE VEHICULOS DE EMERGENCIA (OVE)",IF(O176=CURSOS!$D$21,"INSTITUCIONES AMIGAS DE LA MUJER Y LA INFANCIA (IAMI)",IF(O176=CURSOS!$D$22,"CUIDADO DEL DONANTE DE ORGANOS",IF(O176=CURSOS!$D$23,"ATENCION A VICTIMAS POR VIOLENCIA DE GENERO",IF(O176=CURSOS!$D$24,"IGUALDAD DE GENERO EN LA SALUD",IF(O176=CURSOS!$D$25,"BRIGADA DE EMERGENCIA",IF(O176=CURSOS!$D$26,"MANEJO DEL DOLOR Y CUIDADOS PALIATIVOS",IF(O176=CURSOS!$D$27,"TOMA DE MUESTRAS Y LABORATORIO POCT",IF(O176=CURSOS!$D$28,"IMPLANTE SUBDERMICO DE DISPOSITIVO INTRAUTERINO",IF(O176=CURSOS!$D$29,"SALUD MENTAL",IF(O176=CURSOS!$D$30,"PRIMEROS AUXILIOS PSICOLOGICOS",IF(O176=CURSOS!$D$31,"ATENCION A VICTIMAS POR CONFLICTO ARMADO",IF(O176=CURSOS!$D$32,"MANIPULACION DE ALIMENTOS Y BPM",IF(O176=CURSOS!$D$33,"ATENCION A PERSONAS CON DISCAPACIDAD",IF(O176=CURSOS!$D$34,"CUIDADO INTEGRAL DEL PACIENTE ADULTO",IF(O176=CURSOS!$D$35,"MANEJO DEFENSIVO",IF(O176=CURSOS!$D$36,"SOPORTE CARDIOVASCULAR AVANZADO NEONATAL",IF(O176=CURSOS!$D$37,"SEGURIDAD DEL PACIENTE",IF(O176=CURSOS!$D$38,"MANEJO DE RESIDUOS HOSPITALARIOS"))))))))))))))))))))))))))))))))))))</f>
        <v>0</v>
      </c>
      <c r="V176" s="59" t="str">
        <f t="shared" si="8"/>
        <v xml:space="preserve">   </v>
      </c>
      <c r="W176" s="59" t="str">
        <f t="shared" si="9"/>
        <v xml:space="preserve">   </v>
      </c>
      <c r="X176" s="59" t="str">
        <f t="shared" si="10"/>
        <v xml:space="preserve">   --</v>
      </c>
    </row>
    <row r="177" spans="1:24" x14ac:dyDescent="0.2">
      <c r="A177" s="55">
        <v>176</v>
      </c>
      <c r="I177" s="73"/>
      <c r="T177" s="53"/>
      <c r="U177" s="59" t="b">
        <f>IF(O177=CURSOS!$D$3,"DIPLOMADO EN ATENCION PRE-HOSPITALARIA",IF(O177=CURSOS!$D$4,"ACOMPAÑAMIENTO Y MANEJO DEL DUELO",IF(O177=CURSOS!$D$5,"ATENCION A VICTIMAS DE ATAQUE CON AGENTES QUIMICOS ",IF(O177=CURSOS!$D$6,"PRIMEROS AUXILIOS ",IF(O177=CURSOS!$D$7,"DIPLOMADO DE UNIDAD DE CUIDADOS INTENSIVOS (UCI)",IF(O177=CURSOS!$D$8,"MODELO DE ATENCION PARA EVENTOS EMERGENTES EN SALUD MENTAL (CODIGO VERDE)",IF(O177=CURSOS!$D$9,"HUMANIZACION EN EL SERVICIO DE LA SALUD Y BUENAS PRACTICAS EN PACIENTE ",IF(O177=CURSOS!$D$10,"CLINICA DE HERIDAS ",IF(O177=CURSOS!$D$11,"TOMA DE CITOLOGIA CERVICO VAGINAL ",IF(O177=CURSOS!$D$12,"SOPORTE CARDIOVASCULAR AVANZADO (ACLS) ",IF(O177=CURSOS!$D$13,"CAMILLERO ",IF(O177=CURSOS!$D$14,"TOMA DE MUESTRAS Y LABORATORIO ",IF(O177=CURSOS!$D$15,"SOPORTE VITAL BASICO (BLS)",IF(O177=CURSOS!$D$16,"ATENCION A VICTIMAS DE VIOLENCIA SEXUAL ",IF(O177=CURSOS!$D$17,"PROGRAMADO AMPLIADO DE INMUNIZACION (PAI - COVID 19)",IF(O177=CURSOS!$D$18,"ATENCION INTEGRAL EN ENFERMEDADES PREVALENTES EN PRIMERA INFANCIA (AIEPI)",IF(O177=CURSOS!$D$19,"ADMINISTRACION DE MEDICAMENTOS, INYECTOLOGIA  Y CANALIZACION ",IF(O177=CURSOS!$D$20,"OPERADOR DE VEHICULOS DE EMERGENCIA (OVE)",IF(O177=CURSOS!$D$21,"INSTITUCIONES AMIGAS DE LA MUJER Y LA INFANCIA (IAMI)",IF(O177=CURSOS!$D$22,"CUIDADO DEL DONANTE DE ORGANOS",IF(O177=CURSOS!$D$23,"ATENCION A VICTIMAS POR VIOLENCIA DE GENERO",IF(O177=CURSOS!$D$24,"IGUALDAD DE GENERO EN LA SALUD",IF(O177=CURSOS!$D$25,"BRIGADA DE EMERGENCIA",IF(O177=CURSOS!$D$26,"MANEJO DEL DOLOR Y CUIDADOS PALIATIVOS",IF(O177=CURSOS!$D$27,"TOMA DE MUESTRAS Y LABORATORIO POCT",IF(O177=CURSOS!$D$28,"IMPLANTE SUBDERMICO DE DISPOSITIVO INTRAUTERINO",IF(O177=CURSOS!$D$29,"SALUD MENTAL",IF(O177=CURSOS!$D$30,"PRIMEROS AUXILIOS PSICOLOGICOS",IF(O177=CURSOS!$D$31,"ATENCION A VICTIMAS POR CONFLICTO ARMADO",IF(O177=CURSOS!$D$32,"MANIPULACION DE ALIMENTOS Y BPM",IF(O177=CURSOS!$D$33,"ATENCION A PERSONAS CON DISCAPACIDAD",IF(O177=CURSOS!$D$34,"CUIDADO INTEGRAL DEL PACIENTE ADULTO",IF(O177=CURSOS!$D$35,"MANEJO DEFENSIVO",IF(O177=CURSOS!$D$36,"SOPORTE CARDIOVASCULAR AVANZADO NEONATAL",IF(O177=CURSOS!$D$37,"SEGURIDAD DEL PACIENTE",IF(O177=CURSOS!$D$38,"MANEJO DE RESIDUOS HOSPITALARIOS"))))))))))))))))))))))))))))))))))))</f>
        <v>0</v>
      </c>
      <c r="V177" s="59" t="str">
        <f t="shared" si="8"/>
        <v xml:space="preserve">   </v>
      </c>
      <c r="W177" s="59" t="str">
        <f t="shared" si="9"/>
        <v xml:space="preserve">   </v>
      </c>
      <c r="X177" s="59" t="str">
        <f t="shared" si="10"/>
        <v xml:space="preserve">   --</v>
      </c>
    </row>
    <row r="178" spans="1:24" x14ac:dyDescent="0.2">
      <c r="A178" s="55">
        <v>177</v>
      </c>
      <c r="I178" s="73"/>
      <c r="T178" s="53"/>
      <c r="U178" s="59" t="b">
        <f>IF(O178=CURSOS!$D$3,"DIPLOMADO EN ATENCION PRE-HOSPITALARIA",IF(O178=CURSOS!$D$4,"ACOMPAÑAMIENTO Y MANEJO DEL DUELO",IF(O178=CURSOS!$D$5,"ATENCION A VICTIMAS DE ATAQUE CON AGENTES QUIMICOS ",IF(O178=CURSOS!$D$6,"PRIMEROS AUXILIOS ",IF(O178=CURSOS!$D$7,"DIPLOMADO DE UNIDAD DE CUIDADOS INTENSIVOS (UCI)",IF(O178=CURSOS!$D$8,"MODELO DE ATENCION PARA EVENTOS EMERGENTES EN SALUD MENTAL (CODIGO VERDE)",IF(O178=CURSOS!$D$9,"HUMANIZACION EN EL SERVICIO DE LA SALUD Y BUENAS PRACTICAS EN PACIENTE ",IF(O178=CURSOS!$D$10,"CLINICA DE HERIDAS ",IF(O178=CURSOS!$D$11,"TOMA DE CITOLOGIA CERVICO VAGINAL ",IF(O178=CURSOS!$D$12,"SOPORTE CARDIOVASCULAR AVANZADO (ACLS) ",IF(O178=CURSOS!$D$13,"CAMILLERO ",IF(O178=CURSOS!$D$14,"TOMA DE MUESTRAS Y LABORATORIO ",IF(O178=CURSOS!$D$15,"SOPORTE VITAL BASICO (BLS)",IF(O178=CURSOS!$D$16,"ATENCION A VICTIMAS DE VIOLENCIA SEXUAL ",IF(O178=CURSOS!$D$17,"PROGRAMADO AMPLIADO DE INMUNIZACION (PAI - COVID 19)",IF(O178=CURSOS!$D$18,"ATENCION INTEGRAL EN ENFERMEDADES PREVALENTES EN PRIMERA INFANCIA (AIEPI)",IF(O178=CURSOS!$D$19,"ADMINISTRACION DE MEDICAMENTOS, INYECTOLOGIA  Y CANALIZACION ",IF(O178=CURSOS!$D$20,"OPERADOR DE VEHICULOS DE EMERGENCIA (OVE)",IF(O178=CURSOS!$D$21,"INSTITUCIONES AMIGAS DE LA MUJER Y LA INFANCIA (IAMI)",IF(O178=CURSOS!$D$22,"CUIDADO DEL DONANTE DE ORGANOS",IF(O178=CURSOS!$D$23,"ATENCION A VICTIMAS POR VIOLENCIA DE GENERO",IF(O178=CURSOS!$D$24,"IGUALDAD DE GENERO EN LA SALUD",IF(O178=CURSOS!$D$25,"BRIGADA DE EMERGENCIA",IF(O178=CURSOS!$D$26,"MANEJO DEL DOLOR Y CUIDADOS PALIATIVOS",IF(O178=CURSOS!$D$27,"TOMA DE MUESTRAS Y LABORATORIO POCT",IF(O178=CURSOS!$D$28,"IMPLANTE SUBDERMICO DE DISPOSITIVO INTRAUTERINO",IF(O178=CURSOS!$D$29,"SALUD MENTAL",IF(O178=CURSOS!$D$30,"PRIMEROS AUXILIOS PSICOLOGICOS",IF(O178=CURSOS!$D$31,"ATENCION A VICTIMAS POR CONFLICTO ARMADO",IF(O178=CURSOS!$D$32,"MANIPULACION DE ALIMENTOS Y BPM",IF(O178=CURSOS!$D$33,"ATENCION A PERSONAS CON DISCAPACIDAD",IF(O178=CURSOS!$D$34,"CUIDADO INTEGRAL DEL PACIENTE ADULTO",IF(O178=CURSOS!$D$35,"MANEJO DEFENSIVO",IF(O178=CURSOS!$D$36,"SOPORTE CARDIOVASCULAR AVANZADO NEONATAL",IF(O178=CURSOS!$D$37,"SEGURIDAD DEL PACIENTE",IF(O178=CURSOS!$D$38,"MANEJO DE RESIDUOS HOSPITALARIOS"))))))))))))))))))))))))))))))))))))</f>
        <v>0</v>
      </c>
      <c r="V178" s="59" t="str">
        <f t="shared" si="8"/>
        <v xml:space="preserve">   </v>
      </c>
      <c r="W178" s="59" t="str">
        <f t="shared" si="9"/>
        <v xml:space="preserve">   </v>
      </c>
      <c r="X178" s="59" t="str">
        <f t="shared" si="10"/>
        <v xml:space="preserve">   --</v>
      </c>
    </row>
    <row r="179" spans="1:24" x14ac:dyDescent="0.2">
      <c r="A179" s="55">
        <v>178</v>
      </c>
      <c r="I179" s="73"/>
      <c r="T179" s="53"/>
      <c r="U179" s="59" t="b">
        <f>IF(O179=CURSOS!$D$3,"DIPLOMADO EN ATENCION PRE-HOSPITALARIA",IF(O179=CURSOS!$D$4,"ACOMPAÑAMIENTO Y MANEJO DEL DUELO",IF(O179=CURSOS!$D$5,"ATENCION A VICTIMAS DE ATAQUE CON AGENTES QUIMICOS ",IF(O179=CURSOS!$D$6,"PRIMEROS AUXILIOS ",IF(O179=CURSOS!$D$7,"DIPLOMADO DE UNIDAD DE CUIDADOS INTENSIVOS (UCI)",IF(O179=CURSOS!$D$8,"MODELO DE ATENCION PARA EVENTOS EMERGENTES EN SALUD MENTAL (CODIGO VERDE)",IF(O179=CURSOS!$D$9,"HUMANIZACION EN EL SERVICIO DE LA SALUD Y BUENAS PRACTICAS EN PACIENTE ",IF(O179=CURSOS!$D$10,"CLINICA DE HERIDAS ",IF(O179=CURSOS!$D$11,"TOMA DE CITOLOGIA CERVICO VAGINAL ",IF(O179=CURSOS!$D$12,"SOPORTE CARDIOVASCULAR AVANZADO (ACLS) ",IF(O179=CURSOS!$D$13,"CAMILLERO ",IF(O179=CURSOS!$D$14,"TOMA DE MUESTRAS Y LABORATORIO ",IF(O179=CURSOS!$D$15,"SOPORTE VITAL BASICO (BLS)",IF(O179=CURSOS!$D$16,"ATENCION A VICTIMAS DE VIOLENCIA SEXUAL ",IF(O179=CURSOS!$D$17,"PROGRAMADO AMPLIADO DE INMUNIZACION (PAI - COVID 19)",IF(O179=CURSOS!$D$18,"ATENCION INTEGRAL EN ENFERMEDADES PREVALENTES EN PRIMERA INFANCIA (AIEPI)",IF(O179=CURSOS!$D$19,"ADMINISTRACION DE MEDICAMENTOS, INYECTOLOGIA  Y CANALIZACION ",IF(O179=CURSOS!$D$20,"OPERADOR DE VEHICULOS DE EMERGENCIA (OVE)",IF(O179=CURSOS!$D$21,"INSTITUCIONES AMIGAS DE LA MUJER Y LA INFANCIA (IAMI)",IF(O179=CURSOS!$D$22,"CUIDADO DEL DONANTE DE ORGANOS",IF(O179=CURSOS!$D$23,"ATENCION A VICTIMAS POR VIOLENCIA DE GENERO",IF(O179=CURSOS!$D$24,"IGUALDAD DE GENERO EN LA SALUD",IF(O179=CURSOS!$D$25,"BRIGADA DE EMERGENCIA",IF(O179=CURSOS!$D$26,"MANEJO DEL DOLOR Y CUIDADOS PALIATIVOS",IF(O179=CURSOS!$D$27,"TOMA DE MUESTRAS Y LABORATORIO POCT",IF(O179=CURSOS!$D$28,"IMPLANTE SUBDERMICO DE DISPOSITIVO INTRAUTERINO",IF(O179=CURSOS!$D$29,"SALUD MENTAL",IF(O179=CURSOS!$D$30,"PRIMEROS AUXILIOS PSICOLOGICOS",IF(O179=CURSOS!$D$31,"ATENCION A VICTIMAS POR CONFLICTO ARMADO",IF(O179=CURSOS!$D$32,"MANIPULACION DE ALIMENTOS Y BPM",IF(O179=CURSOS!$D$33,"ATENCION A PERSONAS CON DISCAPACIDAD",IF(O179=CURSOS!$D$34,"CUIDADO INTEGRAL DEL PACIENTE ADULTO",IF(O179=CURSOS!$D$35,"MANEJO DEFENSIVO",IF(O179=CURSOS!$D$36,"SOPORTE CARDIOVASCULAR AVANZADO NEONATAL",IF(O179=CURSOS!$D$37,"SEGURIDAD DEL PACIENTE",IF(O179=CURSOS!$D$38,"MANEJO DE RESIDUOS HOSPITALARIOS"))))))))))))))))))))))))))))))))))))</f>
        <v>0</v>
      </c>
      <c r="V179" s="59" t="str">
        <f t="shared" si="8"/>
        <v xml:space="preserve">   </v>
      </c>
      <c r="W179" s="59" t="str">
        <f t="shared" si="9"/>
        <v xml:space="preserve">   </v>
      </c>
      <c r="X179" s="59" t="str">
        <f t="shared" si="10"/>
        <v xml:space="preserve">   --</v>
      </c>
    </row>
    <row r="180" spans="1:24" x14ac:dyDescent="0.2">
      <c r="A180" s="55">
        <v>179</v>
      </c>
      <c r="I180" s="73"/>
      <c r="T180" s="53"/>
      <c r="U180" s="59" t="b">
        <f>IF(O180=CURSOS!$D$3,"DIPLOMADO EN ATENCION PRE-HOSPITALARIA",IF(O180=CURSOS!$D$4,"ACOMPAÑAMIENTO Y MANEJO DEL DUELO",IF(O180=CURSOS!$D$5,"ATENCION A VICTIMAS DE ATAQUE CON AGENTES QUIMICOS ",IF(O180=CURSOS!$D$6,"PRIMEROS AUXILIOS ",IF(O180=CURSOS!$D$7,"DIPLOMADO DE UNIDAD DE CUIDADOS INTENSIVOS (UCI)",IF(O180=CURSOS!$D$8,"MODELO DE ATENCION PARA EVENTOS EMERGENTES EN SALUD MENTAL (CODIGO VERDE)",IF(O180=CURSOS!$D$9,"HUMANIZACION EN EL SERVICIO DE LA SALUD Y BUENAS PRACTICAS EN PACIENTE ",IF(O180=CURSOS!$D$10,"CLINICA DE HERIDAS ",IF(O180=CURSOS!$D$11,"TOMA DE CITOLOGIA CERVICO VAGINAL ",IF(O180=CURSOS!$D$12,"SOPORTE CARDIOVASCULAR AVANZADO (ACLS) ",IF(O180=CURSOS!$D$13,"CAMILLERO ",IF(O180=CURSOS!$D$14,"TOMA DE MUESTRAS Y LABORATORIO ",IF(O180=CURSOS!$D$15,"SOPORTE VITAL BASICO (BLS)",IF(O180=CURSOS!$D$16,"ATENCION A VICTIMAS DE VIOLENCIA SEXUAL ",IF(O180=CURSOS!$D$17,"PROGRAMADO AMPLIADO DE INMUNIZACION (PAI - COVID 19)",IF(O180=CURSOS!$D$18,"ATENCION INTEGRAL EN ENFERMEDADES PREVALENTES EN PRIMERA INFANCIA (AIEPI)",IF(O180=CURSOS!$D$19,"ADMINISTRACION DE MEDICAMENTOS, INYECTOLOGIA  Y CANALIZACION ",IF(O180=CURSOS!$D$20,"OPERADOR DE VEHICULOS DE EMERGENCIA (OVE)",IF(O180=CURSOS!$D$21,"INSTITUCIONES AMIGAS DE LA MUJER Y LA INFANCIA (IAMI)",IF(O180=CURSOS!$D$22,"CUIDADO DEL DONANTE DE ORGANOS",IF(O180=CURSOS!$D$23,"ATENCION A VICTIMAS POR VIOLENCIA DE GENERO",IF(O180=CURSOS!$D$24,"IGUALDAD DE GENERO EN LA SALUD",IF(O180=CURSOS!$D$25,"BRIGADA DE EMERGENCIA",IF(O180=CURSOS!$D$26,"MANEJO DEL DOLOR Y CUIDADOS PALIATIVOS",IF(O180=CURSOS!$D$27,"TOMA DE MUESTRAS Y LABORATORIO POCT",IF(O180=CURSOS!$D$28,"IMPLANTE SUBDERMICO DE DISPOSITIVO INTRAUTERINO",IF(O180=CURSOS!$D$29,"SALUD MENTAL",IF(O180=CURSOS!$D$30,"PRIMEROS AUXILIOS PSICOLOGICOS",IF(O180=CURSOS!$D$31,"ATENCION A VICTIMAS POR CONFLICTO ARMADO",IF(O180=CURSOS!$D$32,"MANIPULACION DE ALIMENTOS Y BPM",IF(O180=CURSOS!$D$33,"ATENCION A PERSONAS CON DISCAPACIDAD",IF(O180=CURSOS!$D$34,"CUIDADO INTEGRAL DEL PACIENTE ADULTO",IF(O180=CURSOS!$D$35,"MANEJO DEFENSIVO",IF(O180=CURSOS!$D$36,"SOPORTE CARDIOVASCULAR AVANZADO NEONATAL",IF(O180=CURSOS!$D$37,"SEGURIDAD DEL PACIENTE",IF(O180=CURSOS!$D$38,"MANEJO DE RESIDUOS HOSPITALARIOS"))))))))))))))))))))))))))))))))))))</f>
        <v>0</v>
      </c>
      <c r="V180" s="59" t="str">
        <f t="shared" si="8"/>
        <v xml:space="preserve">   </v>
      </c>
      <c r="W180" s="59" t="str">
        <f t="shared" si="9"/>
        <v xml:space="preserve">   </v>
      </c>
      <c r="X180" s="59" t="str">
        <f t="shared" si="10"/>
        <v xml:space="preserve">   --</v>
      </c>
    </row>
    <row r="181" spans="1:24" x14ac:dyDescent="0.2">
      <c r="A181" s="55">
        <v>180</v>
      </c>
      <c r="I181" s="73"/>
      <c r="T181" s="53"/>
      <c r="U181" s="59" t="b">
        <f>IF(O181=CURSOS!$D$3,"DIPLOMADO EN ATENCION PRE-HOSPITALARIA",IF(O181=CURSOS!$D$4,"ACOMPAÑAMIENTO Y MANEJO DEL DUELO",IF(O181=CURSOS!$D$5,"ATENCION A VICTIMAS DE ATAQUE CON AGENTES QUIMICOS ",IF(O181=CURSOS!$D$6,"PRIMEROS AUXILIOS ",IF(O181=CURSOS!$D$7,"DIPLOMADO DE UNIDAD DE CUIDADOS INTENSIVOS (UCI)",IF(O181=CURSOS!$D$8,"MODELO DE ATENCION PARA EVENTOS EMERGENTES EN SALUD MENTAL (CODIGO VERDE)",IF(O181=CURSOS!$D$9,"HUMANIZACION EN EL SERVICIO DE LA SALUD Y BUENAS PRACTICAS EN PACIENTE ",IF(O181=CURSOS!$D$10,"CLINICA DE HERIDAS ",IF(O181=CURSOS!$D$11,"TOMA DE CITOLOGIA CERVICO VAGINAL ",IF(O181=CURSOS!$D$12,"SOPORTE CARDIOVASCULAR AVANZADO (ACLS) ",IF(O181=CURSOS!$D$13,"CAMILLERO ",IF(O181=CURSOS!$D$14,"TOMA DE MUESTRAS Y LABORATORIO ",IF(O181=CURSOS!$D$15,"SOPORTE VITAL BASICO (BLS)",IF(O181=CURSOS!$D$16,"ATENCION A VICTIMAS DE VIOLENCIA SEXUAL ",IF(O181=CURSOS!$D$17,"PROGRAMADO AMPLIADO DE INMUNIZACION (PAI - COVID 19)",IF(O181=CURSOS!$D$18,"ATENCION INTEGRAL EN ENFERMEDADES PREVALENTES EN PRIMERA INFANCIA (AIEPI)",IF(O181=CURSOS!$D$19,"ADMINISTRACION DE MEDICAMENTOS, INYECTOLOGIA  Y CANALIZACION ",IF(O181=CURSOS!$D$20,"OPERADOR DE VEHICULOS DE EMERGENCIA (OVE)",IF(O181=CURSOS!$D$21,"INSTITUCIONES AMIGAS DE LA MUJER Y LA INFANCIA (IAMI)",IF(O181=CURSOS!$D$22,"CUIDADO DEL DONANTE DE ORGANOS",IF(O181=CURSOS!$D$23,"ATENCION A VICTIMAS POR VIOLENCIA DE GENERO",IF(O181=CURSOS!$D$24,"IGUALDAD DE GENERO EN LA SALUD",IF(O181=CURSOS!$D$25,"BRIGADA DE EMERGENCIA",IF(O181=CURSOS!$D$26,"MANEJO DEL DOLOR Y CUIDADOS PALIATIVOS",IF(O181=CURSOS!$D$27,"TOMA DE MUESTRAS Y LABORATORIO POCT",IF(O181=CURSOS!$D$28,"IMPLANTE SUBDERMICO DE DISPOSITIVO INTRAUTERINO",IF(O181=CURSOS!$D$29,"SALUD MENTAL",IF(O181=CURSOS!$D$30,"PRIMEROS AUXILIOS PSICOLOGICOS",IF(O181=CURSOS!$D$31,"ATENCION A VICTIMAS POR CONFLICTO ARMADO",IF(O181=CURSOS!$D$32,"MANIPULACION DE ALIMENTOS Y BPM",IF(O181=CURSOS!$D$33,"ATENCION A PERSONAS CON DISCAPACIDAD",IF(O181=CURSOS!$D$34,"CUIDADO INTEGRAL DEL PACIENTE ADULTO",IF(O181=CURSOS!$D$35,"MANEJO DEFENSIVO",IF(O181=CURSOS!$D$36,"SOPORTE CARDIOVASCULAR AVANZADO NEONATAL",IF(O181=CURSOS!$D$37,"SEGURIDAD DEL PACIENTE",IF(O181=CURSOS!$D$38,"MANEJO DE RESIDUOS HOSPITALARIOS"))))))))))))))))))))))))))))))))))))</f>
        <v>0</v>
      </c>
      <c r="V181" s="59" t="str">
        <f t="shared" si="8"/>
        <v xml:space="preserve">   </v>
      </c>
      <c r="W181" s="59" t="str">
        <f t="shared" si="9"/>
        <v xml:space="preserve">   </v>
      </c>
      <c r="X181" s="59" t="str">
        <f t="shared" si="10"/>
        <v xml:space="preserve">   --</v>
      </c>
    </row>
    <row r="182" spans="1:24" x14ac:dyDescent="0.2">
      <c r="A182" s="55">
        <v>181</v>
      </c>
      <c r="I182" s="73"/>
      <c r="T182" s="53"/>
      <c r="U182" s="59" t="b">
        <f>IF(O182=CURSOS!$D$3,"DIPLOMADO EN ATENCION PRE-HOSPITALARIA",IF(O182=CURSOS!$D$4,"ACOMPAÑAMIENTO Y MANEJO DEL DUELO",IF(O182=CURSOS!$D$5,"ATENCION A VICTIMAS DE ATAQUE CON AGENTES QUIMICOS ",IF(O182=CURSOS!$D$6,"PRIMEROS AUXILIOS ",IF(O182=CURSOS!$D$7,"DIPLOMADO DE UNIDAD DE CUIDADOS INTENSIVOS (UCI)",IF(O182=CURSOS!$D$8,"MODELO DE ATENCION PARA EVENTOS EMERGENTES EN SALUD MENTAL (CODIGO VERDE)",IF(O182=CURSOS!$D$9,"HUMANIZACION EN EL SERVICIO DE LA SALUD Y BUENAS PRACTICAS EN PACIENTE ",IF(O182=CURSOS!$D$10,"CLINICA DE HERIDAS ",IF(O182=CURSOS!$D$11,"TOMA DE CITOLOGIA CERVICO VAGINAL ",IF(O182=CURSOS!$D$12,"SOPORTE CARDIOVASCULAR AVANZADO (ACLS) ",IF(O182=CURSOS!$D$13,"CAMILLERO ",IF(O182=CURSOS!$D$14,"TOMA DE MUESTRAS Y LABORATORIO ",IF(O182=CURSOS!$D$15,"SOPORTE VITAL BASICO (BLS)",IF(O182=CURSOS!$D$16,"ATENCION A VICTIMAS DE VIOLENCIA SEXUAL ",IF(O182=CURSOS!$D$17,"PROGRAMADO AMPLIADO DE INMUNIZACION (PAI - COVID 19)",IF(O182=CURSOS!$D$18,"ATENCION INTEGRAL EN ENFERMEDADES PREVALENTES EN PRIMERA INFANCIA (AIEPI)",IF(O182=CURSOS!$D$19,"ADMINISTRACION DE MEDICAMENTOS, INYECTOLOGIA  Y CANALIZACION ",IF(O182=CURSOS!$D$20,"OPERADOR DE VEHICULOS DE EMERGENCIA (OVE)",IF(O182=CURSOS!$D$21,"INSTITUCIONES AMIGAS DE LA MUJER Y LA INFANCIA (IAMI)",IF(O182=CURSOS!$D$22,"CUIDADO DEL DONANTE DE ORGANOS",IF(O182=CURSOS!$D$23,"ATENCION A VICTIMAS POR VIOLENCIA DE GENERO",IF(O182=CURSOS!$D$24,"IGUALDAD DE GENERO EN LA SALUD",IF(O182=CURSOS!$D$25,"BRIGADA DE EMERGENCIA",IF(O182=CURSOS!$D$26,"MANEJO DEL DOLOR Y CUIDADOS PALIATIVOS",IF(O182=CURSOS!$D$27,"TOMA DE MUESTRAS Y LABORATORIO POCT",IF(O182=CURSOS!$D$28,"IMPLANTE SUBDERMICO DE DISPOSITIVO INTRAUTERINO",IF(O182=CURSOS!$D$29,"SALUD MENTAL",IF(O182=CURSOS!$D$30,"PRIMEROS AUXILIOS PSICOLOGICOS",IF(O182=CURSOS!$D$31,"ATENCION A VICTIMAS POR CONFLICTO ARMADO",IF(O182=CURSOS!$D$32,"MANIPULACION DE ALIMENTOS Y BPM",IF(O182=CURSOS!$D$33,"ATENCION A PERSONAS CON DISCAPACIDAD",IF(O182=CURSOS!$D$34,"CUIDADO INTEGRAL DEL PACIENTE ADULTO",IF(O182=CURSOS!$D$35,"MANEJO DEFENSIVO",IF(O182=CURSOS!$D$36,"SOPORTE CARDIOVASCULAR AVANZADO NEONATAL",IF(O182=CURSOS!$D$37,"SEGURIDAD DEL PACIENTE",IF(O182=CURSOS!$D$38,"MANEJO DE RESIDUOS HOSPITALARIOS"))))))))))))))))))))))))))))))))))))</f>
        <v>0</v>
      </c>
      <c r="V182" s="59" t="str">
        <f t="shared" si="8"/>
        <v xml:space="preserve">   </v>
      </c>
      <c r="W182" s="59" t="str">
        <f t="shared" si="9"/>
        <v xml:space="preserve">   </v>
      </c>
      <c r="X182" s="59" t="str">
        <f t="shared" si="10"/>
        <v xml:space="preserve">   --</v>
      </c>
    </row>
    <row r="183" spans="1:24" x14ac:dyDescent="0.2">
      <c r="A183" s="55">
        <v>182</v>
      </c>
      <c r="I183" s="73"/>
      <c r="T183" s="53"/>
      <c r="U183" s="59" t="b">
        <f>IF(O183=CURSOS!$D$3,"DIPLOMADO EN ATENCION PRE-HOSPITALARIA",IF(O183=CURSOS!$D$4,"ACOMPAÑAMIENTO Y MANEJO DEL DUELO",IF(O183=CURSOS!$D$5,"ATENCION A VICTIMAS DE ATAQUE CON AGENTES QUIMICOS ",IF(O183=CURSOS!$D$6,"PRIMEROS AUXILIOS ",IF(O183=CURSOS!$D$7,"DIPLOMADO DE UNIDAD DE CUIDADOS INTENSIVOS (UCI)",IF(O183=CURSOS!$D$8,"MODELO DE ATENCION PARA EVENTOS EMERGENTES EN SALUD MENTAL (CODIGO VERDE)",IF(O183=CURSOS!$D$9,"HUMANIZACION EN EL SERVICIO DE LA SALUD Y BUENAS PRACTICAS EN PACIENTE ",IF(O183=CURSOS!$D$10,"CLINICA DE HERIDAS ",IF(O183=CURSOS!$D$11,"TOMA DE CITOLOGIA CERVICO VAGINAL ",IF(O183=CURSOS!$D$12,"SOPORTE CARDIOVASCULAR AVANZADO (ACLS) ",IF(O183=CURSOS!$D$13,"CAMILLERO ",IF(O183=CURSOS!$D$14,"TOMA DE MUESTRAS Y LABORATORIO ",IF(O183=CURSOS!$D$15,"SOPORTE VITAL BASICO (BLS)",IF(O183=CURSOS!$D$16,"ATENCION A VICTIMAS DE VIOLENCIA SEXUAL ",IF(O183=CURSOS!$D$17,"PROGRAMADO AMPLIADO DE INMUNIZACION (PAI - COVID 19)",IF(O183=CURSOS!$D$18,"ATENCION INTEGRAL EN ENFERMEDADES PREVALENTES EN PRIMERA INFANCIA (AIEPI)",IF(O183=CURSOS!$D$19,"ADMINISTRACION DE MEDICAMENTOS, INYECTOLOGIA  Y CANALIZACION ",IF(O183=CURSOS!$D$20,"OPERADOR DE VEHICULOS DE EMERGENCIA (OVE)",IF(O183=CURSOS!$D$21,"INSTITUCIONES AMIGAS DE LA MUJER Y LA INFANCIA (IAMI)",IF(O183=CURSOS!$D$22,"CUIDADO DEL DONANTE DE ORGANOS",IF(O183=CURSOS!$D$23,"ATENCION A VICTIMAS POR VIOLENCIA DE GENERO",IF(O183=CURSOS!$D$24,"IGUALDAD DE GENERO EN LA SALUD",IF(O183=CURSOS!$D$25,"BRIGADA DE EMERGENCIA",IF(O183=CURSOS!$D$26,"MANEJO DEL DOLOR Y CUIDADOS PALIATIVOS",IF(O183=CURSOS!$D$27,"TOMA DE MUESTRAS Y LABORATORIO POCT",IF(O183=CURSOS!$D$28,"IMPLANTE SUBDERMICO DE DISPOSITIVO INTRAUTERINO",IF(O183=CURSOS!$D$29,"SALUD MENTAL",IF(O183=CURSOS!$D$30,"PRIMEROS AUXILIOS PSICOLOGICOS",IF(O183=CURSOS!$D$31,"ATENCION A VICTIMAS POR CONFLICTO ARMADO",IF(O183=CURSOS!$D$32,"MANIPULACION DE ALIMENTOS Y BPM",IF(O183=CURSOS!$D$33,"ATENCION A PERSONAS CON DISCAPACIDAD",IF(O183=CURSOS!$D$34,"CUIDADO INTEGRAL DEL PACIENTE ADULTO",IF(O183=CURSOS!$D$35,"MANEJO DEFENSIVO",IF(O183=CURSOS!$D$36,"SOPORTE CARDIOVASCULAR AVANZADO NEONATAL",IF(O183=CURSOS!$D$37,"SEGURIDAD DEL PACIENTE",IF(O183=CURSOS!$D$38,"MANEJO DE RESIDUOS HOSPITALARIOS"))))))))))))))))))))))))))))))))))))</f>
        <v>0</v>
      </c>
      <c r="V183" s="59" t="str">
        <f t="shared" si="8"/>
        <v xml:space="preserve">   </v>
      </c>
      <c r="W183" s="59" t="str">
        <f t="shared" si="9"/>
        <v xml:space="preserve">   </v>
      </c>
      <c r="X183" s="59" t="str">
        <f t="shared" si="10"/>
        <v xml:space="preserve">   --</v>
      </c>
    </row>
    <row r="184" spans="1:24" x14ac:dyDescent="0.2">
      <c r="A184" s="55">
        <v>183</v>
      </c>
      <c r="I184" s="73"/>
      <c r="T184" s="53"/>
      <c r="U184" s="59" t="b">
        <f>IF(O184=CURSOS!$D$3,"DIPLOMADO EN ATENCION PRE-HOSPITALARIA",IF(O184=CURSOS!$D$4,"ACOMPAÑAMIENTO Y MANEJO DEL DUELO",IF(O184=CURSOS!$D$5,"ATENCION A VICTIMAS DE ATAQUE CON AGENTES QUIMICOS ",IF(O184=CURSOS!$D$6,"PRIMEROS AUXILIOS ",IF(O184=CURSOS!$D$7,"DIPLOMADO DE UNIDAD DE CUIDADOS INTENSIVOS (UCI)",IF(O184=CURSOS!$D$8,"MODELO DE ATENCION PARA EVENTOS EMERGENTES EN SALUD MENTAL (CODIGO VERDE)",IF(O184=CURSOS!$D$9,"HUMANIZACION EN EL SERVICIO DE LA SALUD Y BUENAS PRACTICAS EN PACIENTE ",IF(O184=CURSOS!$D$10,"CLINICA DE HERIDAS ",IF(O184=CURSOS!$D$11,"TOMA DE CITOLOGIA CERVICO VAGINAL ",IF(O184=CURSOS!$D$12,"SOPORTE CARDIOVASCULAR AVANZADO (ACLS) ",IF(O184=CURSOS!$D$13,"CAMILLERO ",IF(O184=CURSOS!$D$14,"TOMA DE MUESTRAS Y LABORATORIO ",IF(O184=CURSOS!$D$15,"SOPORTE VITAL BASICO (BLS)",IF(O184=CURSOS!$D$16,"ATENCION A VICTIMAS DE VIOLENCIA SEXUAL ",IF(O184=CURSOS!$D$17,"PROGRAMADO AMPLIADO DE INMUNIZACION (PAI - COVID 19)",IF(O184=CURSOS!$D$18,"ATENCION INTEGRAL EN ENFERMEDADES PREVALENTES EN PRIMERA INFANCIA (AIEPI)",IF(O184=CURSOS!$D$19,"ADMINISTRACION DE MEDICAMENTOS, INYECTOLOGIA  Y CANALIZACION ",IF(O184=CURSOS!$D$20,"OPERADOR DE VEHICULOS DE EMERGENCIA (OVE)",IF(O184=CURSOS!$D$21,"INSTITUCIONES AMIGAS DE LA MUJER Y LA INFANCIA (IAMI)",IF(O184=CURSOS!$D$22,"CUIDADO DEL DONANTE DE ORGANOS",IF(O184=CURSOS!$D$23,"ATENCION A VICTIMAS POR VIOLENCIA DE GENERO",IF(O184=CURSOS!$D$24,"IGUALDAD DE GENERO EN LA SALUD",IF(O184=CURSOS!$D$25,"BRIGADA DE EMERGENCIA",IF(O184=CURSOS!$D$26,"MANEJO DEL DOLOR Y CUIDADOS PALIATIVOS",IF(O184=CURSOS!$D$27,"TOMA DE MUESTRAS Y LABORATORIO POCT",IF(O184=CURSOS!$D$28,"IMPLANTE SUBDERMICO DE DISPOSITIVO INTRAUTERINO",IF(O184=CURSOS!$D$29,"SALUD MENTAL",IF(O184=CURSOS!$D$30,"PRIMEROS AUXILIOS PSICOLOGICOS",IF(O184=CURSOS!$D$31,"ATENCION A VICTIMAS POR CONFLICTO ARMADO",IF(O184=CURSOS!$D$32,"MANIPULACION DE ALIMENTOS Y BPM",IF(O184=CURSOS!$D$33,"ATENCION A PERSONAS CON DISCAPACIDAD",IF(O184=CURSOS!$D$34,"CUIDADO INTEGRAL DEL PACIENTE ADULTO",IF(O184=CURSOS!$D$35,"MANEJO DEFENSIVO",IF(O184=CURSOS!$D$36,"SOPORTE CARDIOVASCULAR AVANZADO NEONATAL",IF(O184=CURSOS!$D$37,"SEGURIDAD DEL PACIENTE",IF(O184=CURSOS!$D$38,"MANEJO DE RESIDUOS HOSPITALARIOS"))))))))))))))))))))))))))))))))))))</f>
        <v>0</v>
      </c>
      <c r="V184" s="59" t="str">
        <f t="shared" si="8"/>
        <v xml:space="preserve">   </v>
      </c>
      <c r="W184" s="59" t="str">
        <f t="shared" si="9"/>
        <v xml:space="preserve">   </v>
      </c>
      <c r="X184" s="59" t="str">
        <f t="shared" si="10"/>
        <v xml:space="preserve">   --</v>
      </c>
    </row>
    <row r="185" spans="1:24" x14ac:dyDescent="0.2">
      <c r="A185" s="55">
        <v>184</v>
      </c>
      <c r="I185" s="73"/>
      <c r="T185" s="53"/>
      <c r="U185" s="59" t="b">
        <f>IF(O185=CURSOS!$D$3,"DIPLOMADO EN ATENCION PRE-HOSPITALARIA",IF(O185=CURSOS!$D$4,"ACOMPAÑAMIENTO Y MANEJO DEL DUELO",IF(O185=CURSOS!$D$5,"ATENCION A VICTIMAS DE ATAQUE CON AGENTES QUIMICOS ",IF(O185=CURSOS!$D$6,"PRIMEROS AUXILIOS ",IF(O185=CURSOS!$D$7,"DIPLOMADO DE UNIDAD DE CUIDADOS INTENSIVOS (UCI)",IF(O185=CURSOS!$D$8,"MODELO DE ATENCION PARA EVENTOS EMERGENTES EN SALUD MENTAL (CODIGO VERDE)",IF(O185=CURSOS!$D$9,"HUMANIZACION EN EL SERVICIO DE LA SALUD Y BUENAS PRACTICAS EN PACIENTE ",IF(O185=CURSOS!$D$10,"CLINICA DE HERIDAS ",IF(O185=CURSOS!$D$11,"TOMA DE CITOLOGIA CERVICO VAGINAL ",IF(O185=CURSOS!$D$12,"SOPORTE CARDIOVASCULAR AVANZADO (ACLS) ",IF(O185=CURSOS!$D$13,"CAMILLERO ",IF(O185=CURSOS!$D$14,"TOMA DE MUESTRAS Y LABORATORIO ",IF(O185=CURSOS!$D$15,"SOPORTE VITAL BASICO (BLS)",IF(O185=CURSOS!$D$16,"ATENCION A VICTIMAS DE VIOLENCIA SEXUAL ",IF(O185=CURSOS!$D$17,"PROGRAMADO AMPLIADO DE INMUNIZACION (PAI - COVID 19)",IF(O185=CURSOS!$D$18,"ATENCION INTEGRAL EN ENFERMEDADES PREVALENTES EN PRIMERA INFANCIA (AIEPI)",IF(O185=CURSOS!$D$19,"ADMINISTRACION DE MEDICAMENTOS, INYECTOLOGIA  Y CANALIZACION ",IF(O185=CURSOS!$D$20,"OPERADOR DE VEHICULOS DE EMERGENCIA (OVE)",IF(O185=CURSOS!$D$21,"INSTITUCIONES AMIGAS DE LA MUJER Y LA INFANCIA (IAMI)",IF(O185=CURSOS!$D$22,"CUIDADO DEL DONANTE DE ORGANOS",IF(O185=CURSOS!$D$23,"ATENCION A VICTIMAS POR VIOLENCIA DE GENERO",IF(O185=CURSOS!$D$24,"IGUALDAD DE GENERO EN LA SALUD",IF(O185=CURSOS!$D$25,"BRIGADA DE EMERGENCIA",IF(O185=CURSOS!$D$26,"MANEJO DEL DOLOR Y CUIDADOS PALIATIVOS",IF(O185=CURSOS!$D$27,"TOMA DE MUESTRAS Y LABORATORIO POCT",IF(O185=CURSOS!$D$28,"IMPLANTE SUBDERMICO DE DISPOSITIVO INTRAUTERINO",IF(O185=CURSOS!$D$29,"SALUD MENTAL",IF(O185=CURSOS!$D$30,"PRIMEROS AUXILIOS PSICOLOGICOS",IF(O185=CURSOS!$D$31,"ATENCION A VICTIMAS POR CONFLICTO ARMADO",IF(O185=CURSOS!$D$32,"MANIPULACION DE ALIMENTOS Y BPM",IF(O185=CURSOS!$D$33,"ATENCION A PERSONAS CON DISCAPACIDAD",IF(O185=CURSOS!$D$34,"CUIDADO INTEGRAL DEL PACIENTE ADULTO",IF(O185=CURSOS!$D$35,"MANEJO DEFENSIVO",IF(O185=CURSOS!$D$36,"SOPORTE CARDIOVASCULAR AVANZADO NEONATAL",IF(O185=CURSOS!$D$37,"SEGURIDAD DEL PACIENTE",IF(O185=CURSOS!$D$38,"MANEJO DE RESIDUOS HOSPITALARIOS"))))))))))))))))))))))))))))))))))))</f>
        <v>0</v>
      </c>
      <c r="V185" s="59" t="str">
        <f t="shared" si="8"/>
        <v xml:space="preserve">   </v>
      </c>
      <c r="W185" s="59" t="str">
        <f t="shared" si="9"/>
        <v xml:space="preserve">   </v>
      </c>
      <c r="X185" s="59" t="str">
        <f t="shared" si="10"/>
        <v xml:space="preserve">   --</v>
      </c>
    </row>
    <row r="186" spans="1:24" x14ac:dyDescent="0.2">
      <c r="A186" s="55">
        <v>185</v>
      </c>
      <c r="I186" s="73"/>
      <c r="T186" s="53"/>
      <c r="U186" s="59" t="b">
        <f>IF(O186=CURSOS!$D$3,"DIPLOMADO EN ATENCION PRE-HOSPITALARIA",IF(O186=CURSOS!$D$4,"ACOMPAÑAMIENTO Y MANEJO DEL DUELO",IF(O186=CURSOS!$D$5,"ATENCION A VICTIMAS DE ATAQUE CON AGENTES QUIMICOS ",IF(O186=CURSOS!$D$6,"PRIMEROS AUXILIOS ",IF(O186=CURSOS!$D$7,"DIPLOMADO DE UNIDAD DE CUIDADOS INTENSIVOS (UCI)",IF(O186=CURSOS!$D$8,"MODELO DE ATENCION PARA EVENTOS EMERGENTES EN SALUD MENTAL (CODIGO VERDE)",IF(O186=CURSOS!$D$9,"HUMANIZACION EN EL SERVICIO DE LA SALUD Y BUENAS PRACTICAS EN PACIENTE ",IF(O186=CURSOS!$D$10,"CLINICA DE HERIDAS ",IF(O186=CURSOS!$D$11,"TOMA DE CITOLOGIA CERVICO VAGINAL ",IF(O186=CURSOS!$D$12,"SOPORTE CARDIOVASCULAR AVANZADO (ACLS) ",IF(O186=CURSOS!$D$13,"CAMILLERO ",IF(O186=CURSOS!$D$14,"TOMA DE MUESTRAS Y LABORATORIO ",IF(O186=CURSOS!$D$15,"SOPORTE VITAL BASICO (BLS)",IF(O186=CURSOS!$D$16,"ATENCION A VICTIMAS DE VIOLENCIA SEXUAL ",IF(O186=CURSOS!$D$17,"PROGRAMADO AMPLIADO DE INMUNIZACION (PAI - COVID 19)",IF(O186=CURSOS!$D$18,"ATENCION INTEGRAL EN ENFERMEDADES PREVALENTES EN PRIMERA INFANCIA (AIEPI)",IF(O186=CURSOS!$D$19,"ADMINISTRACION DE MEDICAMENTOS, INYECTOLOGIA  Y CANALIZACION ",IF(O186=CURSOS!$D$20,"OPERADOR DE VEHICULOS DE EMERGENCIA (OVE)",IF(O186=CURSOS!$D$21,"INSTITUCIONES AMIGAS DE LA MUJER Y LA INFANCIA (IAMI)",IF(O186=CURSOS!$D$22,"CUIDADO DEL DONANTE DE ORGANOS",IF(O186=CURSOS!$D$23,"ATENCION A VICTIMAS POR VIOLENCIA DE GENERO",IF(O186=CURSOS!$D$24,"IGUALDAD DE GENERO EN LA SALUD",IF(O186=CURSOS!$D$25,"BRIGADA DE EMERGENCIA",IF(O186=CURSOS!$D$26,"MANEJO DEL DOLOR Y CUIDADOS PALIATIVOS",IF(O186=CURSOS!$D$27,"TOMA DE MUESTRAS Y LABORATORIO POCT",IF(O186=CURSOS!$D$28,"IMPLANTE SUBDERMICO DE DISPOSITIVO INTRAUTERINO",IF(O186=CURSOS!$D$29,"SALUD MENTAL",IF(O186=CURSOS!$D$30,"PRIMEROS AUXILIOS PSICOLOGICOS",IF(O186=CURSOS!$D$31,"ATENCION A VICTIMAS POR CONFLICTO ARMADO",IF(O186=CURSOS!$D$32,"MANIPULACION DE ALIMENTOS Y BPM",IF(O186=CURSOS!$D$33,"ATENCION A PERSONAS CON DISCAPACIDAD",IF(O186=CURSOS!$D$34,"CUIDADO INTEGRAL DEL PACIENTE ADULTO",IF(O186=CURSOS!$D$35,"MANEJO DEFENSIVO",IF(O186=CURSOS!$D$36,"SOPORTE CARDIOVASCULAR AVANZADO NEONATAL",IF(O186=CURSOS!$D$37,"SEGURIDAD DEL PACIENTE",IF(O186=CURSOS!$D$38,"MANEJO DE RESIDUOS HOSPITALARIOS"))))))))))))))))))))))))))))))))))))</f>
        <v>0</v>
      </c>
      <c r="V186" s="59" t="str">
        <f t="shared" si="8"/>
        <v xml:space="preserve">   </v>
      </c>
      <c r="W186" s="59" t="str">
        <f t="shared" si="9"/>
        <v xml:space="preserve">   </v>
      </c>
      <c r="X186" s="59" t="str">
        <f t="shared" si="10"/>
        <v xml:space="preserve">   --</v>
      </c>
    </row>
    <row r="187" spans="1:24" x14ac:dyDescent="0.2">
      <c r="A187" s="55">
        <v>186</v>
      </c>
      <c r="I187" s="73"/>
      <c r="T187" s="53"/>
      <c r="U187" s="59" t="b">
        <f>IF(O187=CURSOS!$D$3,"DIPLOMADO EN ATENCION PRE-HOSPITALARIA",IF(O187=CURSOS!$D$4,"ACOMPAÑAMIENTO Y MANEJO DEL DUELO",IF(O187=CURSOS!$D$5,"ATENCION A VICTIMAS DE ATAQUE CON AGENTES QUIMICOS ",IF(O187=CURSOS!$D$6,"PRIMEROS AUXILIOS ",IF(O187=CURSOS!$D$7,"DIPLOMADO DE UNIDAD DE CUIDADOS INTENSIVOS (UCI)",IF(O187=CURSOS!$D$8,"MODELO DE ATENCION PARA EVENTOS EMERGENTES EN SALUD MENTAL (CODIGO VERDE)",IF(O187=CURSOS!$D$9,"HUMANIZACION EN EL SERVICIO DE LA SALUD Y BUENAS PRACTICAS EN PACIENTE ",IF(O187=CURSOS!$D$10,"CLINICA DE HERIDAS ",IF(O187=CURSOS!$D$11,"TOMA DE CITOLOGIA CERVICO VAGINAL ",IF(O187=CURSOS!$D$12,"SOPORTE CARDIOVASCULAR AVANZADO (ACLS) ",IF(O187=CURSOS!$D$13,"CAMILLERO ",IF(O187=CURSOS!$D$14,"TOMA DE MUESTRAS Y LABORATORIO ",IF(O187=CURSOS!$D$15,"SOPORTE VITAL BASICO (BLS)",IF(O187=CURSOS!$D$16,"ATENCION A VICTIMAS DE VIOLENCIA SEXUAL ",IF(O187=CURSOS!$D$17,"PROGRAMADO AMPLIADO DE INMUNIZACION (PAI - COVID 19)",IF(O187=CURSOS!$D$18,"ATENCION INTEGRAL EN ENFERMEDADES PREVALENTES EN PRIMERA INFANCIA (AIEPI)",IF(O187=CURSOS!$D$19,"ADMINISTRACION DE MEDICAMENTOS, INYECTOLOGIA  Y CANALIZACION ",IF(O187=CURSOS!$D$20,"OPERADOR DE VEHICULOS DE EMERGENCIA (OVE)",IF(O187=CURSOS!$D$21,"INSTITUCIONES AMIGAS DE LA MUJER Y LA INFANCIA (IAMI)",IF(O187=CURSOS!$D$22,"CUIDADO DEL DONANTE DE ORGANOS",IF(O187=CURSOS!$D$23,"ATENCION A VICTIMAS POR VIOLENCIA DE GENERO",IF(O187=CURSOS!$D$24,"IGUALDAD DE GENERO EN LA SALUD",IF(O187=CURSOS!$D$25,"BRIGADA DE EMERGENCIA",IF(O187=CURSOS!$D$26,"MANEJO DEL DOLOR Y CUIDADOS PALIATIVOS",IF(O187=CURSOS!$D$27,"TOMA DE MUESTRAS Y LABORATORIO POCT",IF(O187=CURSOS!$D$28,"IMPLANTE SUBDERMICO DE DISPOSITIVO INTRAUTERINO",IF(O187=CURSOS!$D$29,"SALUD MENTAL",IF(O187=CURSOS!$D$30,"PRIMEROS AUXILIOS PSICOLOGICOS",IF(O187=CURSOS!$D$31,"ATENCION A VICTIMAS POR CONFLICTO ARMADO",IF(O187=CURSOS!$D$32,"MANIPULACION DE ALIMENTOS Y BPM",IF(O187=CURSOS!$D$33,"ATENCION A PERSONAS CON DISCAPACIDAD",IF(O187=CURSOS!$D$34,"CUIDADO INTEGRAL DEL PACIENTE ADULTO",IF(O187=CURSOS!$D$35,"MANEJO DEFENSIVO",IF(O187=CURSOS!$D$36,"SOPORTE CARDIOVASCULAR AVANZADO NEONATAL",IF(O187=CURSOS!$D$37,"SEGURIDAD DEL PACIENTE",IF(O187=CURSOS!$D$38,"MANEJO DE RESIDUOS HOSPITALARIOS"))))))))))))))))))))))))))))))))))))</f>
        <v>0</v>
      </c>
      <c r="V187" s="59" t="str">
        <f t="shared" si="8"/>
        <v xml:space="preserve">   </v>
      </c>
      <c r="W187" s="59" t="str">
        <f t="shared" si="9"/>
        <v xml:space="preserve">   </v>
      </c>
      <c r="X187" s="59" t="str">
        <f t="shared" si="10"/>
        <v xml:space="preserve">   --</v>
      </c>
    </row>
    <row r="188" spans="1:24" x14ac:dyDescent="0.2">
      <c r="A188" s="55">
        <v>187</v>
      </c>
      <c r="I188" s="73"/>
      <c r="T188" s="53"/>
      <c r="U188" s="59" t="b">
        <f>IF(O188=CURSOS!$D$3,"DIPLOMADO EN ATENCION PRE-HOSPITALARIA",IF(O188=CURSOS!$D$4,"ACOMPAÑAMIENTO Y MANEJO DEL DUELO",IF(O188=CURSOS!$D$5,"ATENCION A VICTIMAS DE ATAQUE CON AGENTES QUIMICOS ",IF(O188=CURSOS!$D$6,"PRIMEROS AUXILIOS ",IF(O188=CURSOS!$D$7,"DIPLOMADO DE UNIDAD DE CUIDADOS INTENSIVOS (UCI)",IF(O188=CURSOS!$D$8,"MODELO DE ATENCION PARA EVENTOS EMERGENTES EN SALUD MENTAL (CODIGO VERDE)",IF(O188=CURSOS!$D$9,"HUMANIZACION EN EL SERVICIO DE LA SALUD Y BUENAS PRACTICAS EN PACIENTE ",IF(O188=CURSOS!$D$10,"CLINICA DE HERIDAS ",IF(O188=CURSOS!$D$11,"TOMA DE CITOLOGIA CERVICO VAGINAL ",IF(O188=CURSOS!$D$12,"SOPORTE CARDIOVASCULAR AVANZADO (ACLS) ",IF(O188=CURSOS!$D$13,"CAMILLERO ",IF(O188=CURSOS!$D$14,"TOMA DE MUESTRAS Y LABORATORIO ",IF(O188=CURSOS!$D$15,"SOPORTE VITAL BASICO (BLS)",IF(O188=CURSOS!$D$16,"ATENCION A VICTIMAS DE VIOLENCIA SEXUAL ",IF(O188=CURSOS!$D$17,"PROGRAMADO AMPLIADO DE INMUNIZACION (PAI - COVID 19)",IF(O188=CURSOS!$D$18,"ATENCION INTEGRAL EN ENFERMEDADES PREVALENTES EN PRIMERA INFANCIA (AIEPI)",IF(O188=CURSOS!$D$19,"ADMINISTRACION DE MEDICAMENTOS, INYECTOLOGIA  Y CANALIZACION ",IF(O188=CURSOS!$D$20,"OPERADOR DE VEHICULOS DE EMERGENCIA (OVE)",IF(O188=CURSOS!$D$21,"INSTITUCIONES AMIGAS DE LA MUJER Y LA INFANCIA (IAMI)",IF(O188=CURSOS!$D$22,"CUIDADO DEL DONANTE DE ORGANOS",IF(O188=CURSOS!$D$23,"ATENCION A VICTIMAS POR VIOLENCIA DE GENERO",IF(O188=CURSOS!$D$24,"IGUALDAD DE GENERO EN LA SALUD",IF(O188=CURSOS!$D$25,"BRIGADA DE EMERGENCIA",IF(O188=CURSOS!$D$26,"MANEJO DEL DOLOR Y CUIDADOS PALIATIVOS",IF(O188=CURSOS!$D$27,"TOMA DE MUESTRAS Y LABORATORIO POCT",IF(O188=CURSOS!$D$28,"IMPLANTE SUBDERMICO DE DISPOSITIVO INTRAUTERINO",IF(O188=CURSOS!$D$29,"SALUD MENTAL",IF(O188=CURSOS!$D$30,"PRIMEROS AUXILIOS PSICOLOGICOS",IF(O188=CURSOS!$D$31,"ATENCION A VICTIMAS POR CONFLICTO ARMADO",IF(O188=CURSOS!$D$32,"MANIPULACION DE ALIMENTOS Y BPM",IF(O188=CURSOS!$D$33,"ATENCION A PERSONAS CON DISCAPACIDAD",IF(O188=CURSOS!$D$34,"CUIDADO INTEGRAL DEL PACIENTE ADULTO",IF(O188=CURSOS!$D$35,"MANEJO DEFENSIVO",IF(O188=CURSOS!$D$36,"SOPORTE CARDIOVASCULAR AVANZADO NEONATAL",IF(O188=CURSOS!$D$37,"SEGURIDAD DEL PACIENTE",IF(O188=CURSOS!$D$38,"MANEJO DE RESIDUOS HOSPITALARIOS"))))))))))))))))))))))))))))))))))))</f>
        <v>0</v>
      </c>
      <c r="V188" s="59" t="str">
        <f t="shared" si="8"/>
        <v xml:space="preserve">   </v>
      </c>
      <c r="W188" s="59" t="str">
        <f t="shared" si="9"/>
        <v xml:space="preserve">   </v>
      </c>
      <c r="X188" s="59" t="str">
        <f t="shared" si="10"/>
        <v xml:space="preserve">   --</v>
      </c>
    </row>
    <row r="189" spans="1:24" x14ac:dyDescent="0.2">
      <c r="A189" s="55">
        <v>188</v>
      </c>
      <c r="I189" s="73"/>
      <c r="T189" s="53"/>
      <c r="U189" s="59" t="b">
        <f>IF(O189=CURSOS!$D$3,"DIPLOMADO EN ATENCION PRE-HOSPITALARIA",IF(O189=CURSOS!$D$4,"ACOMPAÑAMIENTO Y MANEJO DEL DUELO",IF(O189=CURSOS!$D$5,"ATENCION A VICTIMAS DE ATAQUE CON AGENTES QUIMICOS ",IF(O189=CURSOS!$D$6,"PRIMEROS AUXILIOS ",IF(O189=CURSOS!$D$7,"DIPLOMADO DE UNIDAD DE CUIDADOS INTENSIVOS (UCI)",IF(O189=CURSOS!$D$8,"MODELO DE ATENCION PARA EVENTOS EMERGENTES EN SALUD MENTAL (CODIGO VERDE)",IF(O189=CURSOS!$D$9,"HUMANIZACION EN EL SERVICIO DE LA SALUD Y BUENAS PRACTICAS EN PACIENTE ",IF(O189=CURSOS!$D$10,"CLINICA DE HERIDAS ",IF(O189=CURSOS!$D$11,"TOMA DE CITOLOGIA CERVICO VAGINAL ",IF(O189=CURSOS!$D$12,"SOPORTE CARDIOVASCULAR AVANZADO (ACLS) ",IF(O189=CURSOS!$D$13,"CAMILLERO ",IF(O189=CURSOS!$D$14,"TOMA DE MUESTRAS Y LABORATORIO ",IF(O189=CURSOS!$D$15,"SOPORTE VITAL BASICO (BLS)",IF(O189=CURSOS!$D$16,"ATENCION A VICTIMAS DE VIOLENCIA SEXUAL ",IF(O189=CURSOS!$D$17,"PROGRAMADO AMPLIADO DE INMUNIZACION (PAI - COVID 19)",IF(O189=CURSOS!$D$18,"ATENCION INTEGRAL EN ENFERMEDADES PREVALENTES EN PRIMERA INFANCIA (AIEPI)",IF(O189=CURSOS!$D$19,"ADMINISTRACION DE MEDICAMENTOS, INYECTOLOGIA  Y CANALIZACION ",IF(O189=CURSOS!$D$20,"OPERADOR DE VEHICULOS DE EMERGENCIA (OVE)",IF(O189=CURSOS!$D$21,"INSTITUCIONES AMIGAS DE LA MUJER Y LA INFANCIA (IAMI)",IF(O189=CURSOS!$D$22,"CUIDADO DEL DONANTE DE ORGANOS",IF(O189=CURSOS!$D$23,"ATENCION A VICTIMAS POR VIOLENCIA DE GENERO",IF(O189=CURSOS!$D$24,"IGUALDAD DE GENERO EN LA SALUD",IF(O189=CURSOS!$D$25,"BRIGADA DE EMERGENCIA",IF(O189=CURSOS!$D$26,"MANEJO DEL DOLOR Y CUIDADOS PALIATIVOS",IF(O189=CURSOS!$D$27,"TOMA DE MUESTRAS Y LABORATORIO POCT",IF(O189=CURSOS!$D$28,"IMPLANTE SUBDERMICO DE DISPOSITIVO INTRAUTERINO",IF(O189=CURSOS!$D$29,"SALUD MENTAL",IF(O189=CURSOS!$D$30,"PRIMEROS AUXILIOS PSICOLOGICOS",IF(O189=CURSOS!$D$31,"ATENCION A VICTIMAS POR CONFLICTO ARMADO",IF(O189=CURSOS!$D$32,"MANIPULACION DE ALIMENTOS Y BPM",IF(O189=CURSOS!$D$33,"ATENCION A PERSONAS CON DISCAPACIDAD",IF(O189=CURSOS!$D$34,"CUIDADO INTEGRAL DEL PACIENTE ADULTO",IF(O189=CURSOS!$D$35,"MANEJO DEFENSIVO",IF(O189=CURSOS!$D$36,"SOPORTE CARDIOVASCULAR AVANZADO NEONATAL",IF(O189=CURSOS!$D$37,"SEGURIDAD DEL PACIENTE",IF(O189=CURSOS!$D$38,"MANEJO DE RESIDUOS HOSPITALARIOS"))))))))))))))))))))))))))))))))))))</f>
        <v>0</v>
      </c>
      <c r="V189" s="59" t="str">
        <f t="shared" si="8"/>
        <v xml:space="preserve">   </v>
      </c>
      <c r="W189" s="59" t="str">
        <f t="shared" si="9"/>
        <v xml:space="preserve">   </v>
      </c>
      <c r="X189" s="59" t="str">
        <f t="shared" si="10"/>
        <v xml:space="preserve">   --</v>
      </c>
    </row>
    <row r="190" spans="1:24" x14ac:dyDescent="0.2">
      <c r="A190" s="55">
        <v>189</v>
      </c>
      <c r="I190" s="73"/>
      <c r="T190" s="53"/>
      <c r="U190" s="59" t="b">
        <f>IF(O190=CURSOS!$D$3,"DIPLOMADO EN ATENCION PRE-HOSPITALARIA",IF(O190=CURSOS!$D$4,"ACOMPAÑAMIENTO Y MANEJO DEL DUELO",IF(O190=CURSOS!$D$5,"ATENCION A VICTIMAS DE ATAQUE CON AGENTES QUIMICOS ",IF(O190=CURSOS!$D$6,"PRIMEROS AUXILIOS ",IF(O190=CURSOS!$D$7,"DIPLOMADO DE UNIDAD DE CUIDADOS INTENSIVOS (UCI)",IF(O190=CURSOS!$D$8,"MODELO DE ATENCION PARA EVENTOS EMERGENTES EN SALUD MENTAL (CODIGO VERDE)",IF(O190=CURSOS!$D$9,"HUMANIZACION EN EL SERVICIO DE LA SALUD Y BUENAS PRACTICAS EN PACIENTE ",IF(O190=CURSOS!$D$10,"CLINICA DE HERIDAS ",IF(O190=CURSOS!$D$11,"TOMA DE CITOLOGIA CERVICO VAGINAL ",IF(O190=CURSOS!$D$12,"SOPORTE CARDIOVASCULAR AVANZADO (ACLS) ",IF(O190=CURSOS!$D$13,"CAMILLERO ",IF(O190=CURSOS!$D$14,"TOMA DE MUESTRAS Y LABORATORIO ",IF(O190=CURSOS!$D$15,"SOPORTE VITAL BASICO (BLS)",IF(O190=CURSOS!$D$16,"ATENCION A VICTIMAS DE VIOLENCIA SEXUAL ",IF(O190=CURSOS!$D$17,"PROGRAMADO AMPLIADO DE INMUNIZACION (PAI - COVID 19)",IF(O190=CURSOS!$D$18,"ATENCION INTEGRAL EN ENFERMEDADES PREVALENTES EN PRIMERA INFANCIA (AIEPI)",IF(O190=CURSOS!$D$19,"ADMINISTRACION DE MEDICAMENTOS, INYECTOLOGIA  Y CANALIZACION ",IF(O190=CURSOS!$D$20,"OPERADOR DE VEHICULOS DE EMERGENCIA (OVE)",IF(O190=CURSOS!$D$21,"INSTITUCIONES AMIGAS DE LA MUJER Y LA INFANCIA (IAMI)",IF(O190=CURSOS!$D$22,"CUIDADO DEL DONANTE DE ORGANOS",IF(O190=CURSOS!$D$23,"ATENCION A VICTIMAS POR VIOLENCIA DE GENERO",IF(O190=CURSOS!$D$24,"IGUALDAD DE GENERO EN LA SALUD",IF(O190=CURSOS!$D$25,"BRIGADA DE EMERGENCIA",IF(O190=CURSOS!$D$26,"MANEJO DEL DOLOR Y CUIDADOS PALIATIVOS",IF(O190=CURSOS!$D$27,"TOMA DE MUESTRAS Y LABORATORIO POCT",IF(O190=CURSOS!$D$28,"IMPLANTE SUBDERMICO DE DISPOSITIVO INTRAUTERINO",IF(O190=CURSOS!$D$29,"SALUD MENTAL",IF(O190=CURSOS!$D$30,"PRIMEROS AUXILIOS PSICOLOGICOS",IF(O190=CURSOS!$D$31,"ATENCION A VICTIMAS POR CONFLICTO ARMADO",IF(O190=CURSOS!$D$32,"MANIPULACION DE ALIMENTOS Y BPM",IF(O190=CURSOS!$D$33,"ATENCION A PERSONAS CON DISCAPACIDAD",IF(O190=CURSOS!$D$34,"CUIDADO INTEGRAL DEL PACIENTE ADULTO",IF(O190=CURSOS!$D$35,"MANEJO DEFENSIVO",IF(O190=CURSOS!$D$36,"SOPORTE CARDIOVASCULAR AVANZADO NEONATAL",IF(O190=CURSOS!$D$37,"SEGURIDAD DEL PACIENTE",IF(O190=CURSOS!$D$38,"MANEJO DE RESIDUOS HOSPITALARIOS"))))))))))))))))))))))))))))))))))))</f>
        <v>0</v>
      </c>
      <c r="V190" s="59" t="str">
        <f t="shared" si="8"/>
        <v xml:space="preserve">   </v>
      </c>
      <c r="W190" s="59" t="str">
        <f t="shared" si="9"/>
        <v xml:space="preserve">   </v>
      </c>
      <c r="X190" s="59" t="str">
        <f t="shared" si="10"/>
        <v xml:space="preserve">   --</v>
      </c>
    </row>
    <row r="191" spans="1:24" x14ac:dyDescent="0.2">
      <c r="A191" s="55">
        <v>190</v>
      </c>
      <c r="I191" s="73"/>
      <c r="T191" s="53"/>
      <c r="U191" s="59" t="b">
        <f>IF(O191=CURSOS!$D$3,"DIPLOMADO EN ATENCION PRE-HOSPITALARIA",IF(O191=CURSOS!$D$4,"ACOMPAÑAMIENTO Y MANEJO DEL DUELO",IF(O191=CURSOS!$D$5,"ATENCION A VICTIMAS DE ATAQUE CON AGENTES QUIMICOS ",IF(O191=CURSOS!$D$6,"PRIMEROS AUXILIOS ",IF(O191=CURSOS!$D$7,"DIPLOMADO DE UNIDAD DE CUIDADOS INTENSIVOS (UCI)",IF(O191=CURSOS!$D$8,"MODELO DE ATENCION PARA EVENTOS EMERGENTES EN SALUD MENTAL (CODIGO VERDE)",IF(O191=CURSOS!$D$9,"HUMANIZACION EN EL SERVICIO DE LA SALUD Y BUENAS PRACTICAS EN PACIENTE ",IF(O191=CURSOS!$D$10,"CLINICA DE HERIDAS ",IF(O191=CURSOS!$D$11,"TOMA DE CITOLOGIA CERVICO VAGINAL ",IF(O191=CURSOS!$D$12,"SOPORTE CARDIOVASCULAR AVANZADO (ACLS) ",IF(O191=CURSOS!$D$13,"CAMILLERO ",IF(O191=CURSOS!$D$14,"TOMA DE MUESTRAS Y LABORATORIO ",IF(O191=CURSOS!$D$15,"SOPORTE VITAL BASICO (BLS)",IF(O191=CURSOS!$D$16,"ATENCION A VICTIMAS DE VIOLENCIA SEXUAL ",IF(O191=CURSOS!$D$17,"PROGRAMADO AMPLIADO DE INMUNIZACION (PAI - COVID 19)",IF(O191=CURSOS!$D$18,"ATENCION INTEGRAL EN ENFERMEDADES PREVALENTES EN PRIMERA INFANCIA (AIEPI)",IF(O191=CURSOS!$D$19,"ADMINISTRACION DE MEDICAMENTOS, INYECTOLOGIA  Y CANALIZACION ",IF(O191=CURSOS!$D$20,"OPERADOR DE VEHICULOS DE EMERGENCIA (OVE)",IF(O191=CURSOS!$D$21,"INSTITUCIONES AMIGAS DE LA MUJER Y LA INFANCIA (IAMI)",IF(O191=CURSOS!$D$22,"CUIDADO DEL DONANTE DE ORGANOS",IF(O191=CURSOS!$D$23,"ATENCION A VICTIMAS POR VIOLENCIA DE GENERO",IF(O191=CURSOS!$D$24,"IGUALDAD DE GENERO EN LA SALUD",IF(O191=CURSOS!$D$25,"BRIGADA DE EMERGENCIA",IF(O191=CURSOS!$D$26,"MANEJO DEL DOLOR Y CUIDADOS PALIATIVOS",IF(O191=CURSOS!$D$27,"TOMA DE MUESTRAS Y LABORATORIO POCT",IF(O191=CURSOS!$D$28,"IMPLANTE SUBDERMICO DE DISPOSITIVO INTRAUTERINO",IF(O191=CURSOS!$D$29,"SALUD MENTAL",IF(O191=CURSOS!$D$30,"PRIMEROS AUXILIOS PSICOLOGICOS",IF(O191=CURSOS!$D$31,"ATENCION A VICTIMAS POR CONFLICTO ARMADO",IF(O191=CURSOS!$D$32,"MANIPULACION DE ALIMENTOS Y BPM",IF(O191=CURSOS!$D$33,"ATENCION A PERSONAS CON DISCAPACIDAD",IF(O191=CURSOS!$D$34,"CUIDADO INTEGRAL DEL PACIENTE ADULTO",IF(O191=CURSOS!$D$35,"MANEJO DEFENSIVO",IF(O191=CURSOS!$D$36,"SOPORTE CARDIOVASCULAR AVANZADO NEONATAL",IF(O191=CURSOS!$D$37,"SEGURIDAD DEL PACIENTE",IF(O191=CURSOS!$D$38,"MANEJO DE RESIDUOS HOSPITALARIOS"))))))))))))))))))))))))))))))))))))</f>
        <v>0</v>
      </c>
      <c r="V191" s="59" t="str">
        <f t="shared" si="8"/>
        <v xml:space="preserve">   </v>
      </c>
      <c r="W191" s="59" t="str">
        <f t="shared" si="9"/>
        <v xml:space="preserve">   </v>
      </c>
      <c r="X191" s="59" t="str">
        <f t="shared" si="10"/>
        <v xml:space="preserve">   --</v>
      </c>
    </row>
    <row r="192" spans="1:24" x14ac:dyDescent="0.2">
      <c r="A192" s="55">
        <v>191</v>
      </c>
      <c r="I192" s="73"/>
      <c r="T192" s="53"/>
      <c r="U192" s="59" t="b">
        <f>IF(O192=CURSOS!$D$3,"DIPLOMADO EN ATENCION PRE-HOSPITALARIA",IF(O192=CURSOS!$D$4,"ACOMPAÑAMIENTO Y MANEJO DEL DUELO",IF(O192=CURSOS!$D$5,"ATENCION A VICTIMAS DE ATAQUE CON AGENTES QUIMICOS ",IF(O192=CURSOS!$D$6,"PRIMEROS AUXILIOS ",IF(O192=CURSOS!$D$7,"DIPLOMADO DE UNIDAD DE CUIDADOS INTENSIVOS (UCI)",IF(O192=CURSOS!$D$8,"MODELO DE ATENCION PARA EVENTOS EMERGENTES EN SALUD MENTAL (CODIGO VERDE)",IF(O192=CURSOS!$D$9,"HUMANIZACION EN EL SERVICIO DE LA SALUD Y BUENAS PRACTICAS EN PACIENTE ",IF(O192=CURSOS!$D$10,"CLINICA DE HERIDAS ",IF(O192=CURSOS!$D$11,"TOMA DE CITOLOGIA CERVICO VAGINAL ",IF(O192=CURSOS!$D$12,"SOPORTE CARDIOVASCULAR AVANZADO (ACLS) ",IF(O192=CURSOS!$D$13,"CAMILLERO ",IF(O192=CURSOS!$D$14,"TOMA DE MUESTRAS Y LABORATORIO ",IF(O192=CURSOS!$D$15,"SOPORTE VITAL BASICO (BLS)",IF(O192=CURSOS!$D$16,"ATENCION A VICTIMAS DE VIOLENCIA SEXUAL ",IF(O192=CURSOS!$D$17,"PROGRAMADO AMPLIADO DE INMUNIZACION (PAI - COVID 19)",IF(O192=CURSOS!$D$18,"ATENCION INTEGRAL EN ENFERMEDADES PREVALENTES EN PRIMERA INFANCIA (AIEPI)",IF(O192=CURSOS!$D$19,"ADMINISTRACION DE MEDICAMENTOS, INYECTOLOGIA  Y CANALIZACION ",IF(O192=CURSOS!$D$20,"OPERADOR DE VEHICULOS DE EMERGENCIA (OVE)",IF(O192=CURSOS!$D$21,"INSTITUCIONES AMIGAS DE LA MUJER Y LA INFANCIA (IAMI)",IF(O192=CURSOS!$D$22,"CUIDADO DEL DONANTE DE ORGANOS",IF(O192=CURSOS!$D$23,"ATENCION A VICTIMAS POR VIOLENCIA DE GENERO",IF(O192=CURSOS!$D$24,"IGUALDAD DE GENERO EN LA SALUD",IF(O192=CURSOS!$D$25,"BRIGADA DE EMERGENCIA",IF(O192=CURSOS!$D$26,"MANEJO DEL DOLOR Y CUIDADOS PALIATIVOS",IF(O192=CURSOS!$D$27,"TOMA DE MUESTRAS Y LABORATORIO POCT",IF(O192=CURSOS!$D$28,"IMPLANTE SUBDERMICO DE DISPOSITIVO INTRAUTERINO",IF(O192=CURSOS!$D$29,"SALUD MENTAL",IF(O192=CURSOS!$D$30,"PRIMEROS AUXILIOS PSICOLOGICOS",IF(O192=CURSOS!$D$31,"ATENCION A VICTIMAS POR CONFLICTO ARMADO",IF(O192=CURSOS!$D$32,"MANIPULACION DE ALIMENTOS Y BPM",IF(O192=CURSOS!$D$33,"ATENCION A PERSONAS CON DISCAPACIDAD",IF(O192=CURSOS!$D$34,"CUIDADO INTEGRAL DEL PACIENTE ADULTO",IF(O192=CURSOS!$D$35,"MANEJO DEFENSIVO",IF(O192=CURSOS!$D$36,"SOPORTE CARDIOVASCULAR AVANZADO NEONATAL",IF(O192=CURSOS!$D$37,"SEGURIDAD DEL PACIENTE",IF(O192=CURSOS!$D$38,"MANEJO DE RESIDUOS HOSPITALARIOS"))))))))))))))))))))))))))))))))))))</f>
        <v>0</v>
      </c>
      <c r="V192" s="59" t="str">
        <f t="shared" si="8"/>
        <v xml:space="preserve">   </v>
      </c>
      <c r="W192" s="59" t="str">
        <f t="shared" si="9"/>
        <v xml:space="preserve">   </v>
      </c>
      <c r="X192" s="59" t="str">
        <f t="shared" si="10"/>
        <v xml:space="preserve">   --</v>
      </c>
    </row>
    <row r="193" spans="1:24" x14ac:dyDescent="0.2">
      <c r="A193" s="55">
        <v>192</v>
      </c>
      <c r="I193" s="73"/>
      <c r="T193" s="53"/>
      <c r="U193" s="59" t="b">
        <f>IF(O193=CURSOS!$D$3,"DIPLOMADO EN ATENCION PRE-HOSPITALARIA",IF(O193=CURSOS!$D$4,"ACOMPAÑAMIENTO Y MANEJO DEL DUELO",IF(O193=CURSOS!$D$5,"ATENCION A VICTIMAS DE ATAQUE CON AGENTES QUIMICOS ",IF(O193=CURSOS!$D$6,"PRIMEROS AUXILIOS ",IF(O193=CURSOS!$D$7,"DIPLOMADO DE UNIDAD DE CUIDADOS INTENSIVOS (UCI)",IF(O193=CURSOS!$D$8,"MODELO DE ATENCION PARA EVENTOS EMERGENTES EN SALUD MENTAL (CODIGO VERDE)",IF(O193=CURSOS!$D$9,"HUMANIZACION EN EL SERVICIO DE LA SALUD Y BUENAS PRACTICAS EN PACIENTE ",IF(O193=CURSOS!$D$10,"CLINICA DE HERIDAS ",IF(O193=CURSOS!$D$11,"TOMA DE CITOLOGIA CERVICO VAGINAL ",IF(O193=CURSOS!$D$12,"SOPORTE CARDIOVASCULAR AVANZADO (ACLS) ",IF(O193=CURSOS!$D$13,"CAMILLERO ",IF(O193=CURSOS!$D$14,"TOMA DE MUESTRAS Y LABORATORIO ",IF(O193=CURSOS!$D$15,"SOPORTE VITAL BASICO (BLS)",IF(O193=CURSOS!$D$16,"ATENCION A VICTIMAS DE VIOLENCIA SEXUAL ",IF(O193=CURSOS!$D$17,"PROGRAMADO AMPLIADO DE INMUNIZACION (PAI - COVID 19)",IF(O193=CURSOS!$D$18,"ATENCION INTEGRAL EN ENFERMEDADES PREVALENTES EN PRIMERA INFANCIA (AIEPI)",IF(O193=CURSOS!$D$19,"ADMINISTRACION DE MEDICAMENTOS, INYECTOLOGIA  Y CANALIZACION ",IF(O193=CURSOS!$D$20,"OPERADOR DE VEHICULOS DE EMERGENCIA (OVE)",IF(O193=CURSOS!$D$21,"INSTITUCIONES AMIGAS DE LA MUJER Y LA INFANCIA (IAMI)",IF(O193=CURSOS!$D$22,"CUIDADO DEL DONANTE DE ORGANOS",IF(O193=CURSOS!$D$23,"ATENCION A VICTIMAS POR VIOLENCIA DE GENERO",IF(O193=CURSOS!$D$24,"IGUALDAD DE GENERO EN LA SALUD",IF(O193=CURSOS!$D$25,"BRIGADA DE EMERGENCIA",IF(O193=CURSOS!$D$26,"MANEJO DEL DOLOR Y CUIDADOS PALIATIVOS",IF(O193=CURSOS!$D$27,"TOMA DE MUESTRAS Y LABORATORIO POCT",IF(O193=CURSOS!$D$28,"IMPLANTE SUBDERMICO DE DISPOSITIVO INTRAUTERINO",IF(O193=CURSOS!$D$29,"SALUD MENTAL",IF(O193=CURSOS!$D$30,"PRIMEROS AUXILIOS PSICOLOGICOS",IF(O193=CURSOS!$D$31,"ATENCION A VICTIMAS POR CONFLICTO ARMADO",IF(O193=CURSOS!$D$32,"MANIPULACION DE ALIMENTOS Y BPM",IF(O193=CURSOS!$D$33,"ATENCION A PERSONAS CON DISCAPACIDAD",IF(O193=CURSOS!$D$34,"CUIDADO INTEGRAL DEL PACIENTE ADULTO",IF(O193=CURSOS!$D$35,"MANEJO DEFENSIVO",IF(O193=CURSOS!$D$36,"SOPORTE CARDIOVASCULAR AVANZADO NEONATAL",IF(O193=CURSOS!$D$37,"SEGURIDAD DEL PACIENTE",IF(O193=CURSOS!$D$38,"MANEJO DE RESIDUOS HOSPITALARIOS"))))))))))))))))))))))))))))))))))))</f>
        <v>0</v>
      </c>
      <c r="V193" s="59" t="str">
        <f t="shared" si="8"/>
        <v xml:space="preserve">   </v>
      </c>
      <c r="W193" s="59" t="str">
        <f t="shared" si="9"/>
        <v xml:space="preserve">   </v>
      </c>
      <c r="X193" s="59" t="str">
        <f t="shared" si="10"/>
        <v xml:space="preserve">   --</v>
      </c>
    </row>
    <row r="194" spans="1:24" x14ac:dyDescent="0.2">
      <c r="A194" s="55">
        <v>193</v>
      </c>
      <c r="I194" s="73"/>
      <c r="T194" s="53"/>
      <c r="U194" s="59" t="b">
        <f>IF(O194=CURSOS!$D$3,"DIPLOMADO EN ATENCION PRE-HOSPITALARIA",IF(O194=CURSOS!$D$4,"ACOMPAÑAMIENTO Y MANEJO DEL DUELO",IF(O194=CURSOS!$D$5,"ATENCION A VICTIMAS DE ATAQUE CON AGENTES QUIMICOS ",IF(O194=CURSOS!$D$6,"PRIMEROS AUXILIOS ",IF(O194=CURSOS!$D$7,"DIPLOMADO DE UNIDAD DE CUIDADOS INTENSIVOS (UCI)",IF(O194=CURSOS!$D$8,"MODELO DE ATENCION PARA EVENTOS EMERGENTES EN SALUD MENTAL (CODIGO VERDE)",IF(O194=CURSOS!$D$9,"HUMANIZACION EN EL SERVICIO DE LA SALUD Y BUENAS PRACTICAS EN PACIENTE ",IF(O194=CURSOS!$D$10,"CLINICA DE HERIDAS ",IF(O194=CURSOS!$D$11,"TOMA DE CITOLOGIA CERVICO VAGINAL ",IF(O194=CURSOS!$D$12,"SOPORTE CARDIOVASCULAR AVANZADO (ACLS) ",IF(O194=CURSOS!$D$13,"CAMILLERO ",IF(O194=CURSOS!$D$14,"TOMA DE MUESTRAS Y LABORATORIO ",IF(O194=CURSOS!$D$15,"SOPORTE VITAL BASICO (BLS)",IF(O194=CURSOS!$D$16,"ATENCION A VICTIMAS DE VIOLENCIA SEXUAL ",IF(O194=CURSOS!$D$17,"PROGRAMADO AMPLIADO DE INMUNIZACION (PAI - COVID 19)",IF(O194=CURSOS!$D$18,"ATENCION INTEGRAL EN ENFERMEDADES PREVALENTES EN PRIMERA INFANCIA (AIEPI)",IF(O194=CURSOS!$D$19,"ADMINISTRACION DE MEDICAMENTOS, INYECTOLOGIA  Y CANALIZACION ",IF(O194=CURSOS!$D$20,"OPERADOR DE VEHICULOS DE EMERGENCIA (OVE)",IF(O194=CURSOS!$D$21,"INSTITUCIONES AMIGAS DE LA MUJER Y LA INFANCIA (IAMI)",IF(O194=CURSOS!$D$22,"CUIDADO DEL DONANTE DE ORGANOS",IF(O194=CURSOS!$D$23,"ATENCION A VICTIMAS POR VIOLENCIA DE GENERO",IF(O194=CURSOS!$D$24,"IGUALDAD DE GENERO EN LA SALUD",IF(O194=CURSOS!$D$25,"BRIGADA DE EMERGENCIA",IF(O194=CURSOS!$D$26,"MANEJO DEL DOLOR Y CUIDADOS PALIATIVOS",IF(O194=CURSOS!$D$27,"TOMA DE MUESTRAS Y LABORATORIO POCT",IF(O194=CURSOS!$D$28,"IMPLANTE SUBDERMICO DE DISPOSITIVO INTRAUTERINO",IF(O194=CURSOS!$D$29,"SALUD MENTAL",IF(O194=CURSOS!$D$30,"PRIMEROS AUXILIOS PSICOLOGICOS",IF(O194=CURSOS!$D$31,"ATENCION A VICTIMAS POR CONFLICTO ARMADO",IF(O194=CURSOS!$D$32,"MANIPULACION DE ALIMENTOS Y BPM",IF(O194=CURSOS!$D$33,"ATENCION A PERSONAS CON DISCAPACIDAD",IF(O194=CURSOS!$D$34,"CUIDADO INTEGRAL DEL PACIENTE ADULTO",IF(O194=CURSOS!$D$35,"MANEJO DEFENSIVO",IF(O194=CURSOS!$D$36,"SOPORTE CARDIOVASCULAR AVANZADO NEONATAL",IF(O194=CURSOS!$D$37,"SEGURIDAD DEL PACIENTE",IF(O194=CURSOS!$D$38,"MANEJO DE RESIDUOS HOSPITALARIOS"))))))))))))))))))))))))))))))))))))</f>
        <v>0</v>
      </c>
      <c r="V194" s="59" t="str">
        <f t="shared" si="8"/>
        <v xml:space="preserve">   </v>
      </c>
      <c r="W194" s="59" t="str">
        <f t="shared" si="9"/>
        <v xml:space="preserve">   </v>
      </c>
      <c r="X194" s="59" t="str">
        <f t="shared" si="10"/>
        <v xml:space="preserve">   --</v>
      </c>
    </row>
    <row r="195" spans="1:24" x14ac:dyDescent="0.2">
      <c r="A195" s="55">
        <v>194</v>
      </c>
      <c r="I195" s="73"/>
      <c r="T195" s="53"/>
      <c r="U195" s="59" t="b">
        <f>IF(O195=CURSOS!$D$3,"DIPLOMADO EN ATENCION PRE-HOSPITALARIA",IF(O195=CURSOS!$D$4,"ACOMPAÑAMIENTO Y MANEJO DEL DUELO",IF(O195=CURSOS!$D$5,"ATENCION A VICTIMAS DE ATAQUE CON AGENTES QUIMICOS ",IF(O195=CURSOS!$D$6,"PRIMEROS AUXILIOS ",IF(O195=CURSOS!$D$7,"DIPLOMADO DE UNIDAD DE CUIDADOS INTENSIVOS (UCI)",IF(O195=CURSOS!$D$8,"MODELO DE ATENCION PARA EVENTOS EMERGENTES EN SALUD MENTAL (CODIGO VERDE)",IF(O195=CURSOS!$D$9,"HUMANIZACION EN EL SERVICIO DE LA SALUD Y BUENAS PRACTICAS EN PACIENTE ",IF(O195=CURSOS!$D$10,"CLINICA DE HERIDAS ",IF(O195=CURSOS!$D$11,"TOMA DE CITOLOGIA CERVICO VAGINAL ",IF(O195=CURSOS!$D$12,"SOPORTE CARDIOVASCULAR AVANZADO (ACLS) ",IF(O195=CURSOS!$D$13,"CAMILLERO ",IF(O195=CURSOS!$D$14,"TOMA DE MUESTRAS Y LABORATORIO ",IF(O195=CURSOS!$D$15,"SOPORTE VITAL BASICO (BLS)",IF(O195=CURSOS!$D$16,"ATENCION A VICTIMAS DE VIOLENCIA SEXUAL ",IF(O195=CURSOS!$D$17,"PROGRAMADO AMPLIADO DE INMUNIZACION (PAI - COVID 19)",IF(O195=CURSOS!$D$18,"ATENCION INTEGRAL EN ENFERMEDADES PREVALENTES EN PRIMERA INFANCIA (AIEPI)",IF(O195=CURSOS!$D$19,"ADMINISTRACION DE MEDICAMENTOS, INYECTOLOGIA  Y CANALIZACION ",IF(O195=CURSOS!$D$20,"OPERADOR DE VEHICULOS DE EMERGENCIA (OVE)",IF(O195=CURSOS!$D$21,"INSTITUCIONES AMIGAS DE LA MUJER Y LA INFANCIA (IAMI)",IF(O195=CURSOS!$D$22,"CUIDADO DEL DONANTE DE ORGANOS",IF(O195=CURSOS!$D$23,"ATENCION A VICTIMAS POR VIOLENCIA DE GENERO",IF(O195=CURSOS!$D$24,"IGUALDAD DE GENERO EN LA SALUD",IF(O195=CURSOS!$D$25,"BRIGADA DE EMERGENCIA",IF(O195=CURSOS!$D$26,"MANEJO DEL DOLOR Y CUIDADOS PALIATIVOS",IF(O195=CURSOS!$D$27,"TOMA DE MUESTRAS Y LABORATORIO POCT",IF(O195=CURSOS!$D$28,"IMPLANTE SUBDERMICO DE DISPOSITIVO INTRAUTERINO",IF(O195=CURSOS!$D$29,"SALUD MENTAL",IF(O195=CURSOS!$D$30,"PRIMEROS AUXILIOS PSICOLOGICOS",IF(O195=CURSOS!$D$31,"ATENCION A VICTIMAS POR CONFLICTO ARMADO",IF(O195=CURSOS!$D$32,"MANIPULACION DE ALIMENTOS Y BPM",IF(O195=CURSOS!$D$33,"ATENCION A PERSONAS CON DISCAPACIDAD",IF(O195=CURSOS!$D$34,"CUIDADO INTEGRAL DEL PACIENTE ADULTO",IF(O195=CURSOS!$D$35,"MANEJO DEFENSIVO",IF(O195=CURSOS!$D$36,"SOPORTE CARDIOVASCULAR AVANZADO NEONATAL",IF(O195=CURSOS!$D$37,"SEGURIDAD DEL PACIENTE",IF(O195=CURSOS!$D$38,"MANEJO DE RESIDUOS HOSPITALARIOS"))))))))))))))))))))))))))))))))))))</f>
        <v>0</v>
      </c>
      <c r="V195" s="59" t="str">
        <f t="shared" ref="V195:V249" si="11">CONCATENATE(E195," ",F195," ",C195," ",D195)</f>
        <v xml:space="preserve">   </v>
      </c>
      <c r="W195" s="59" t="str">
        <f t="shared" ref="W195:W249" si="12">PROPER(V195)</f>
        <v xml:space="preserve">   </v>
      </c>
      <c r="X195" s="59" t="str">
        <f t="shared" ref="X195:X249" si="13">CONCATENATE(V195,"-",B195,"-",O195)</f>
        <v xml:space="preserve">   --</v>
      </c>
    </row>
    <row r="196" spans="1:24" x14ac:dyDescent="0.2">
      <c r="A196" s="55">
        <v>195</v>
      </c>
      <c r="I196" s="73"/>
      <c r="T196" s="53"/>
      <c r="U196" s="59" t="b">
        <f>IF(O196=CURSOS!$D$3,"DIPLOMADO EN ATENCION PRE-HOSPITALARIA",IF(O196=CURSOS!$D$4,"ACOMPAÑAMIENTO Y MANEJO DEL DUELO",IF(O196=CURSOS!$D$5,"ATENCION A VICTIMAS DE ATAQUE CON AGENTES QUIMICOS ",IF(O196=CURSOS!$D$6,"PRIMEROS AUXILIOS ",IF(O196=CURSOS!$D$7,"DIPLOMADO DE UNIDAD DE CUIDADOS INTENSIVOS (UCI)",IF(O196=CURSOS!$D$8,"MODELO DE ATENCION PARA EVENTOS EMERGENTES EN SALUD MENTAL (CODIGO VERDE)",IF(O196=CURSOS!$D$9,"HUMANIZACION EN EL SERVICIO DE LA SALUD Y BUENAS PRACTICAS EN PACIENTE ",IF(O196=CURSOS!$D$10,"CLINICA DE HERIDAS ",IF(O196=CURSOS!$D$11,"TOMA DE CITOLOGIA CERVICO VAGINAL ",IF(O196=CURSOS!$D$12,"SOPORTE CARDIOVASCULAR AVANZADO (ACLS) ",IF(O196=CURSOS!$D$13,"CAMILLERO ",IF(O196=CURSOS!$D$14,"TOMA DE MUESTRAS Y LABORATORIO ",IF(O196=CURSOS!$D$15,"SOPORTE VITAL BASICO (BLS)",IF(O196=CURSOS!$D$16,"ATENCION A VICTIMAS DE VIOLENCIA SEXUAL ",IF(O196=CURSOS!$D$17,"PROGRAMADO AMPLIADO DE INMUNIZACION (PAI - COVID 19)",IF(O196=CURSOS!$D$18,"ATENCION INTEGRAL EN ENFERMEDADES PREVALENTES EN PRIMERA INFANCIA (AIEPI)",IF(O196=CURSOS!$D$19,"ADMINISTRACION DE MEDICAMENTOS, INYECTOLOGIA  Y CANALIZACION ",IF(O196=CURSOS!$D$20,"OPERADOR DE VEHICULOS DE EMERGENCIA (OVE)",IF(O196=CURSOS!$D$21,"INSTITUCIONES AMIGAS DE LA MUJER Y LA INFANCIA (IAMI)",IF(O196=CURSOS!$D$22,"CUIDADO DEL DONANTE DE ORGANOS",IF(O196=CURSOS!$D$23,"ATENCION A VICTIMAS POR VIOLENCIA DE GENERO",IF(O196=CURSOS!$D$24,"IGUALDAD DE GENERO EN LA SALUD",IF(O196=CURSOS!$D$25,"BRIGADA DE EMERGENCIA",IF(O196=CURSOS!$D$26,"MANEJO DEL DOLOR Y CUIDADOS PALIATIVOS",IF(O196=CURSOS!$D$27,"TOMA DE MUESTRAS Y LABORATORIO POCT",IF(O196=CURSOS!$D$28,"IMPLANTE SUBDERMICO DE DISPOSITIVO INTRAUTERINO",IF(O196=CURSOS!$D$29,"SALUD MENTAL",IF(O196=CURSOS!$D$30,"PRIMEROS AUXILIOS PSICOLOGICOS",IF(O196=CURSOS!$D$31,"ATENCION A VICTIMAS POR CONFLICTO ARMADO",IF(O196=CURSOS!$D$32,"MANIPULACION DE ALIMENTOS Y BPM",IF(O196=CURSOS!$D$33,"ATENCION A PERSONAS CON DISCAPACIDAD",IF(O196=CURSOS!$D$34,"CUIDADO INTEGRAL DEL PACIENTE ADULTO",IF(O196=CURSOS!$D$35,"MANEJO DEFENSIVO",IF(O196=CURSOS!$D$36,"SOPORTE CARDIOVASCULAR AVANZADO NEONATAL",IF(O196=CURSOS!$D$37,"SEGURIDAD DEL PACIENTE",IF(O196=CURSOS!$D$38,"MANEJO DE RESIDUOS HOSPITALARIOS"))))))))))))))))))))))))))))))))))))</f>
        <v>0</v>
      </c>
      <c r="V196" s="59" t="str">
        <f t="shared" si="11"/>
        <v xml:space="preserve">   </v>
      </c>
      <c r="W196" s="59" t="str">
        <f t="shared" si="12"/>
        <v xml:space="preserve">   </v>
      </c>
      <c r="X196" s="59" t="str">
        <f t="shared" si="13"/>
        <v xml:space="preserve">   --</v>
      </c>
    </row>
    <row r="197" spans="1:24" x14ac:dyDescent="0.2">
      <c r="A197" s="55">
        <v>196</v>
      </c>
      <c r="I197" s="73"/>
      <c r="T197" s="53"/>
      <c r="U197" s="59" t="b">
        <f>IF(O197=CURSOS!$D$3,"DIPLOMADO EN ATENCION PRE-HOSPITALARIA",IF(O197=CURSOS!$D$4,"ACOMPAÑAMIENTO Y MANEJO DEL DUELO",IF(O197=CURSOS!$D$5,"ATENCION A VICTIMAS DE ATAQUE CON AGENTES QUIMICOS ",IF(O197=CURSOS!$D$6,"PRIMEROS AUXILIOS ",IF(O197=CURSOS!$D$7,"DIPLOMADO DE UNIDAD DE CUIDADOS INTENSIVOS (UCI)",IF(O197=CURSOS!$D$8,"MODELO DE ATENCION PARA EVENTOS EMERGENTES EN SALUD MENTAL (CODIGO VERDE)",IF(O197=CURSOS!$D$9,"HUMANIZACION EN EL SERVICIO DE LA SALUD Y BUENAS PRACTICAS EN PACIENTE ",IF(O197=CURSOS!$D$10,"CLINICA DE HERIDAS ",IF(O197=CURSOS!$D$11,"TOMA DE CITOLOGIA CERVICO VAGINAL ",IF(O197=CURSOS!$D$12,"SOPORTE CARDIOVASCULAR AVANZADO (ACLS) ",IF(O197=CURSOS!$D$13,"CAMILLERO ",IF(O197=CURSOS!$D$14,"TOMA DE MUESTRAS Y LABORATORIO ",IF(O197=CURSOS!$D$15,"SOPORTE VITAL BASICO (BLS)",IF(O197=CURSOS!$D$16,"ATENCION A VICTIMAS DE VIOLENCIA SEXUAL ",IF(O197=CURSOS!$D$17,"PROGRAMADO AMPLIADO DE INMUNIZACION (PAI - COVID 19)",IF(O197=CURSOS!$D$18,"ATENCION INTEGRAL EN ENFERMEDADES PREVALENTES EN PRIMERA INFANCIA (AIEPI)",IF(O197=CURSOS!$D$19,"ADMINISTRACION DE MEDICAMENTOS, INYECTOLOGIA  Y CANALIZACION ",IF(O197=CURSOS!$D$20,"OPERADOR DE VEHICULOS DE EMERGENCIA (OVE)",IF(O197=CURSOS!$D$21,"INSTITUCIONES AMIGAS DE LA MUJER Y LA INFANCIA (IAMI)",IF(O197=CURSOS!$D$22,"CUIDADO DEL DONANTE DE ORGANOS",IF(O197=CURSOS!$D$23,"ATENCION A VICTIMAS POR VIOLENCIA DE GENERO",IF(O197=CURSOS!$D$24,"IGUALDAD DE GENERO EN LA SALUD",IF(O197=CURSOS!$D$25,"BRIGADA DE EMERGENCIA",IF(O197=CURSOS!$D$26,"MANEJO DEL DOLOR Y CUIDADOS PALIATIVOS",IF(O197=CURSOS!$D$27,"TOMA DE MUESTRAS Y LABORATORIO POCT",IF(O197=CURSOS!$D$28,"IMPLANTE SUBDERMICO DE DISPOSITIVO INTRAUTERINO",IF(O197=CURSOS!$D$29,"SALUD MENTAL",IF(O197=CURSOS!$D$30,"PRIMEROS AUXILIOS PSICOLOGICOS",IF(O197=CURSOS!$D$31,"ATENCION A VICTIMAS POR CONFLICTO ARMADO",IF(O197=CURSOS!$D$32,"MANIPULACION DE ALIMENTOS Y BPM",IF(O197=CURSOS!$D$33,"ATENCION A PERSONAS CON DISCAPACIDAD",IF(O197=CURSOS!$D$34,"CUIDADO INTEGRAL DEL PACIENTE ADULTO",IF(O197=CURSOS!$D$35,"MANEJO DEFENSIVO",IF(O197=CURSOS!$D$36,"SOPORTE CARDIOVASCULAR AVANZADO NEONATAL",IF(O197=CURSOS!$D$37,"SEGURIDAD DEL PACIENTE",IF(O197=CURSOS!$D$38,"MANEJO DE RESIDUOS HOSPITALARIOS"))))))))))))))))))))))))))))))))))))</f>
        <v>0</v>
      </c>
      <c r="V197" s="59" t="str">
        <f t="shared" si="11"/>
        <v xml:space="preserve">   </v>
      </c>
      <c r="W197" s="59" t="str">
        <f t="shared" si="12"/>
        <v xml:space="preserve">   </v>
      </c>
      <c r="X197" s="59" t="str">
        <f t="shared" si="13"/>
        <v xml:space="preserve">   --</v>
      </c>
    </row>
    <row r="198" spans="1:24" x14ac:dyDescent="0.2">
      <c r="A198" s="55">
        <v>197</v>
      </c>
      <c r="I198" s="73"/>
      <c r="T198" s="53"/>
      <c r="U198" s="59" t="b">
        <f>IF(O198=CURSOS!$D$3,"DIPLOMADO EN ATENCION PRE-HOSPITALARIA",IF(O198=CURSOS!$D$4,"ACOMPAÑAMIENTO Y MANEJO DEL DUELO",IF(O198=CURSOS!$D$5,"ATENCION A VICTIMAS DE ATAQUE CON AGENTES QUIMICOS ",IF(O198=CURSOS!$D$6,"PRIMEROS AUXILIOS ",IF(O198=CURSOS!$D$7,"DIPLOMADO DE UNIDAD DE CUIDADOS INTENSIVOS (UCI)",IF(O198=CURSOS!$D$8,"MODELO DE ATENCION PARA EVENTOS EMERGENTES EN SALUD MENTAL (CODIGO VERDE)",IF(O198=CURSOS!$D$9,"HUMANIZACION EN EL SERVICIO DE LA SALUD Y BUENAS PRACTICAS EN PACIENTE ",IF(O198=CURSOS!$D$10,"CLINICA DE HERIDAS ",IF(O198=CURSOS!$D$11,"TOMA DE CITOLOGIA CERVICO VAGINAL ",IF(O198=CURSOS!$D$12,"SOPORTE CARDIOVASCULAR AVANZADO (ACLS) ",IF(O198=CURSOS!$D$13,"CAMILLERO ",IF(O198=CURSOS!$D$14,"TOMA DE MUESTRAS Y LABORATORIO ",IF(O198=CURSOS!$D$15,"SOPORTE VITAL BASICO (BLS)",IF(O198=CURSOS!$D$16,"ATENCION A VICTIMAS DE VIOLENCIA SEXUAL ",IF(O198=CURSOS!$D$17,"PROGRAMADO AMPLIADO DE INMUNIZACION (PAI - COVID 19)",IF(O198=CURSOS!$D$18,"ATENCION INTEGRAL EN ENFERMEDADES PREVALENTES EN PRIMERA INFANCIA (AIEPI)",IF(O198=CURSOS!$D$19,"ADMINISTRACION DE MEDICAMENTOS, INYECTOLOGIA  Y CANALIZACION ",IF(O198=CURSOS!$D$20,"OPERADOR DE VEHICULOS DE EMERGENCIA (OVE)",IF(O198=CURSOS!$D$21,"INSTITUCIONES AMIGAS DE LA MUJER Y LA INFANCIA (IAMI)",IF(O198=CURSOS!$D$22,"CUIDADO DEL DONANTE DE ORGANOS",IF(O198=CURSOS!$D$23,"ATENCION A VICTIMAS POR VIOLENCIA DE GENERO",IF(O198=CURSOS!$D$24,"IGUALDAD DE GENERO EN LA SALUD",IF(O198=CURSOS!$D$25,"BRIGADA DE EMERGENCIA",IF(O198=CURSOS!$D$26,"MANEJO DEL DOLOR Y CUIDADOS PALIATIVOS",IF(O198=CURSOS!$D$27,"TOMA DE MUESTRAS Y LABORATORIO POCT",IF(O198=CURSOS!$D$28,"IMPLANTE SUBDERMICO DE DISPOSITIVO INTRAUTERINO",IF(O198=CURSOS!$D$29,"SALUD MENTAL",IF(O198=CURSOS!$D$30,"PRIMEROS AUXILIOS PSICOLOGICOS",IF(O198=CURSOS!$D$31,"ATENCION A VICTIMAS POR CONFLICTO ARMADO",IF(O198=CURSOS!$D$32,"MANIPULACION DE ALIMENTOS Y BPM",IF(O198=CURSOS!$D$33,"ATENCION A PERSONAS CON DISCAPACIDAD",IF(O198=CURSOS!$D$34,"CUIDADO INTEGRAL DEL PACIENTE ADULTO",IF(O198=CURSOS!$D$35,"MANEJO DEFENSIVO",IF(O198=CURSOS!$D$36,"SOPORTE CARDIOVASCULAR AVANZADO NEONATAL",IF(O198=CURSOS!$D$37,"SEGURIDAD DEL PACIENTE",IF(O198=CURSOS!$D$38,"MANEJO DE RESIDUOS HOSPITALARIOS"))))))))))))))))))))))))))))))))))))</f>
        <v>0</v>
      </c>
      <c r="V198" s="59" t="str">
        <f t="shared" si="11"/>
        <v xml:space="preserve">   </v>
      </c>
      <c r="W198" s="59" t="str">
        <f t="shared" si="12"/>
        <v xml:space="preserve">   </v>
      </c>
      <c r="X198" s="59" t="str">
        <f t="shared" si="13"/>
        <v xml:space="preserve">   --</v>
      </c>
    </row>
    <row r="199" spans="1:24" x14ac:dyDescent="0.2">
      <c r="A199" s="55">
        <v>198</v>
      </c>
      <c r="I199" s="73"/>
      <c r="T199" s="53"/>
      <c r="U199" s="59" t="b">
        <f>IF(O199=CURSOS!$D$3,"DIPLOMADO EN ATENCION PRE-HOSPITALARIA",IF(O199=CURSOS!$D$4,"ACOMPAÑAMIENTO Y MANEJO DEL DUELO",IF(O199=CURSOS!$D$5,"ATENCION A VICTIMAS DE ATAQUE CON AGENTES QUIMICOS ",IF(O199=CURSOS!$D$6,"PRIMEROS AUXILIOS ",IF(O199=CURSOS!$D$7,"DIPLOMADO DE UNIDAD DE CUIDADOS INTENSIVOS (UCI)",IF(O199=CURSOS!$D$8,"MODELO DE ATENCION PARA EVENTOS EMERGENTES EN SALUD MENTAL (CODIGO VERDE)",IF(O199=CURSOS!$D$9,"HUMANIZACION EN EL SERVICIO DE LA SALUD Y BUENAS PRACTICAS EN PACIENTE ",IF(O199=CURSOS!$D$10,"CLINICA DE HERIDAS ",IF(O199=CURSOS!$D$11,"TOMA DE CITOLOGIA CERVICO VAGINAL ",IF(O199=CURSOS!$D$12,"SOPORTE CARDIOVASCULAR AVANZADO (ACLS) ",IF(O199=CURSOS!$D$13,"CAMILLERO ",IF(O199=CURSOS!$D$14,"TOMA DE MUESTRAS Y LABORATORIO ",IF(O199=CURSOS!$D$15,"SOPORTE VITAL BASICO (BLS)",IF(O199=CURSOS!$D$16,"ATENCION A VICTIMAS DE VIOLENCIA SEXUAL ",IF(O199=CURSOS!$D$17,"PROGRAMADO AMPLIADO DE INMUNIZACION (PAI - COVID 19)",IF(O199=CURSOS!$D$18,"ATENCION INTEGRAL EN ENFERMEDADES PREVALENTES EN PRIMERA INFANCIA (AIEPI)",IF(O199=CURSOS!$D$19,"ADMINISTRACION DE MEDICAMENTOS, INYECTOLOGIA  Y CANALIZACION ",IF(O199=CURSOS!$D$20,"OPERADOR DE VEHICULOS DE EMERGENCIA (OVE)",IF(O199=CURSOS!$D$21,"INSTITUCIONES AMIGAS DE LA MUJER Y LA INFANCIA (IAMI)",IF(O199=CURSOS!$D$22,"CUIDADO DEL DONANTE DE ORGANOS",IF(O199=CURSOS!$D$23,"ATENCION A VICTIMAS POR VIOLENCIA DE GENERO",IF(O199=CURSOS!$D$24,"IGUALDAD DE GENERO EN LA SALUD",IF(O199=CURSOS!$D$25,"BRIGADA DE EMERGENCIA",IF(O199=CURSOS!$D$26,"MANEJO DEL DOLOR Y CUIDADOS PALIATIVOS",IF(O199=CURSOS!$D$27,"TOMA DE MUESTRAS Y LABORATORIO POCT",IF(O199=CURSOS!$D$28,"IMPLANTE SUBDERMICO DE DISPOSITIVO INTRAUTERINO",IF(O199=CURSOS!$D$29,"SALUD MENTAL",IF(O199=CURSOS!$D$30,"PRIMEROS AUXILIOS PSICOLOGICOS",IF(O199=CURSOS!$D$31,"ATENCION A VICTIMAS POR CONFLICTO ARMADO",IF(O199=CURSOS!$D$32,"MANIPULACION DE ALIMENTOS Y BPM",IF(O199=CURSOS!$D$33,"ATENCION A PERSONAS CON DISCAPACIDAD",IF(O199=CURSOS!$D$34,"CUIDADO INTEGRAL DEL PACIENTE ADULTO",IF(O199=CURSOS!$D$35,"MANEJO DEFENSIVO",IF(O199=CURSOS!$D$36,"SOPORTE CARDIOVASCULAR AVANZADO NEONATAL",IF(O199=CURSOS!$D$37,"SEGURIDAD DEL PACIENTE",IF(O199=CURSOS!$D$38,"MANEJO DE RESIDUOS HOSPITALARIOS"))))))))))))))))))))))))))))))))))))</f>
        <v>0</v>
      </c>
      <c r="V199" s="59" t="str">
        <f t="shared" si="11"/>
        <v xml:space="preserve">   </v>
      </c>
      <c r="W199" s="59" t="str">
        <f t="shared" si="12"/>
        <v xml:space="preserve">   </v>
      </c>
      <c r="X199" s="59" t="str">
        <f t="shared" si="13"/>
        <v xml:space="preserve">   --</v>
      </c>
    </row>
    <row r="200" spans="1:24" x14ac:dyDescent="0.2">
      <c r="A200" s="55">
        <v>199</v>
      </c>
      <c r="I200" s="73"/>
      <c r="T200" s="53"/>
      <c r="U200" s="59" t="b">
        <f>IF(O200=CURSOS!$D$3,"DIPLOMADO EN ATENCION PRE-HOSPITALARIA",IF(O200=CURSOS!$D$4,"ACOMPAÑAMIENTO Y MANEJO DEL DUELO",IF(O200=CURSOS!$D$5,"ATENCION A VICTIMAS DE ATAQUE CON AGENTES QUIMICOS ",IF(O200=CURSOS!$D$6,"PRIMEROS AUXILIOS ",IF(O200=CURSOS!$D$7,"DIPLOMADO DE UNIDAD DE CUIDADOS INTENSIVOS (UCI)",IF(O200=CURSOS!$D$8,"MODELO DE ATENCION PARA EVENTOS EMERGENTES EN SALUD MENTAL (CODIGO VERDE)",IF(O200=CURSOS!$D$9,"HUMANIZACION EN EL SERVICIO DE LA SALUD Y BUENAS PRACTICAS EN PACIENTE ",IF(O200=CURSOS!$D$10,"CLINICA DE HERIDAS ",IF(O200=CURSOS!$D$11,"TOMA DE CITOLOGIA CERVICO VAGINAL ",IF(O200=CURSOS!$D$12,"SOPORTE CARDIOVASCULAR AVANZADO (ACLS) ",IF(O200=CURSOS!$D$13,"CAMILLERO ",IF(O200=CURSOS!$D$14,"TOMA DE MUESTRAS Y LABORATORIO ",IF(O200=CURSOS!$D$15,"SOPORTE VITAL BASICO (BLS)",IF(O200=CURSOS!$D$16,"ATENCION A VICTIMAS DE VIOLENCIA SEXUAL ",IF(O200=CURSOS!$D$17,"PROGRAMADO AMPLIADO DE INMUNIZACION (PAI - COVID 19)",IF(O200=CURSOS!$D$18,"ATENCION INTEGRAL EN ENFERMEDADES PREVALENTES EN PRIMERA INFANCIA (AIEPI)",IF(O200=CURSOS!$D$19,"ADMINISTRACION DE MEDICAMENTOS, INYECTOLOGIA  Y CANALIZACION ",IF(O200=CURSOS!$D$20,"OPERADOR DE VEHICULOS DE EMERGENCIA (OVE)",IF(O200=CURSOS!$D$21,"INSTITUCIONES AMIGAS DE LA MUJER Y LA INFANCIA (IAMI)",IF(O200=CURSOS!$D$22,"CUIDADO DEL DONANTE DE ORGANOS",IF(O200=CURSOS!$D$23,"ATENCION A VICTIMAS POR VIOLENCIA DE GENERO",IF(O200=CURSOS!$D$24,"IGUALDAD DE GENERO EN LA SALUD",IF(O200=CURSOS!$D$25,"BRIGADA DE EMERGENCIA",IF(O200=CURSOS!$D$26,"MANEJO DEL DOLOR Y CUIDADOS PALIATIVOS",IF(O200=CURSOS!$D$27,"TOMA DE MUESTRAS Y LABORATORIO POCT",IF(O200=CURSOS!$D$28,"IMPLANTE SUBDERMICO DE DISPOSITIVO INTRAUTERINO",IF(O200=CURSOS!$D$29,"SALUD MENTAL",IF(O200=CURSOS!$D$30,"PRIMEROS AUXILIOS PSICOLOGICOS",IF(O200=CURSOS!$D$31,"ATENCION A VICTIMAS POR CONFLICTO ARMADO",IF(O200=CURSOS!$D$32,"MANIPULACION DE ALIMENTOS Y BPM",IF(O200=CURSOS!$D$33,"ATENCION A PERSONAS CON DISCAPACIDAD",IF(O200=CURSOS!$D$34,"CUIDADO INTEGRAL DEL PACIENTE ADULTO",IF(O200=CURSOS!$D$35,"MANEJO DEFENSIVO",IF(O200=CURSOS!$D$36,"SOPORTE CARDIOVASCULAR AVANZADO NEONATAL",IF(O200=CURSOS!$D$37,"SEGURIDAD DEL PACIENTE",IF(O200=CURSOS!$D$38,"MANEJO DE RESIDUOS HOSPITALARIOS"))))))))))))))))))))))))))))))))))))</f>
        <v>0</v>
      </c>
      <c r="V200" s="59" t="str">
        <f t="shared" si="11"/>
        <v xml:space="preserve">   </v>
      </c>
      <c r="W200" s="59" t="str">
        <f t="shared" si="12"/>
        <v xml:space="preserve">   </v>
      </c>
      <c r="X200" s="59" t="str">
        <f t="shared" si="13"/>
        <v xml:space="preserve">   --</v>
      </c>
    </row>
    <row r="201" spans="1:24" x14ac:dyDescent="0.2">
      <c r="A201" s="55">
        <v>200</v>
      </c>
      <c r="I201" s="73"/>
      <c r="T201" s="53"/>
      <c r="U201" s="59" t="b">
        <f>IF(O201=CURSOS!$D$3,"DIPLOMADO EN ATENCION PRE-HOSPITALARIA",IF(O201=CURSOS!$D$4,"ACOMPAÑAMIENTO Y MANEJO DEL DUELO",IF(O201=CURSOS!$D$5,"ATENCION A VICTIMAS DE ATAQUE CON AGENTES QUIMICOS ",IF(O201=CURSOS!$D$6,"PRIMEROS AUXILIOS ",IF(O201=CURSOS!$D$7,"DIPLOMADO DE UNIDAD DE CUIDADOS INTENSIVOS (UCI)",IF(O201=CURSOS!$D$8,"MODELO DE ATENCION PARA EVENTOS EMERGENTES EN SALUD MENTAL (CODIGO VERDE)",IF(O201=CURSOS!$D$9,"HUMANIZACION EN EL SERVICIO DE LA SALUD Y BUENAS PRACTICAS EN PACIENTE ",IF(O201=CURSOS!$D$10,"CLINICA DE HERIDAS ",IF(O201=CURSOS!$D$11,"TOMA DE CITOLOGIA CERVICO VAGINAL ",IF(O201=CURSOS!$D$12,"SOPORTE CARDIOVASCULAR AVANZADO (ACLS) ",IF(O201=CURSOS!$D$13,"CAMILLERO ",IF(O201=CURSOS!$D$14,"TOMA DE MUESTRAS Y LABORATORIO ",IF(O201=CURSOS!$D$15,"SOPORTE VITAL BASICO (BLS)",IF(O201=CURSOS!$D$16,"ATENCION A VICTIMAS DE VIOLENCIA SEXUAL ",IF(O201=CURSOS!$D$17,"PROGRAMADO AMPLIADO DE INMUNIZACION (PAI - COVID 19)",IF(O201=CURSOS!$D$18,"ATENCION INTEGRAL EN ENFERMEDADES PREVALENTES EN PRIMERA INFANCIA (AIEPI)",IF(O201=CURSOS!$D$19,"ADMINISTRACION DE MEDICAMENTOS, INYECTOLOGIA  Y CANALIZACION ",IF(O201=CURSOS!$D$20,"OPERADOR DE VEHICULOS DE EMERGENCIA (OVE)",IF(O201=CURSOS!$D$21,"INSTITUCIONES AMIGAS DE LA MUJER Y LA INFANCIA (IAMI)",IF(O201=CURSOS!$D$22,"CUIDADO DEL DONANTE DE ORGANOS",IF(O201=CURSOS!$D$23,"ATENCION A VICTIMAS POR VIOLENCIA DE GENERO",IF(O201=CURSOS!$D$24,"IGUALDAD DE GENERO EN LA SALUD",IF(O201=CURSOS!$D$25,"BRIGADA DE EMERGENCIA",IF(O201=CURSOS!$D$26,"MANEJO DEL DOLOR Y CUIDADOS PALIATIVOS",IF(O201=CURSOS!$D$27,"TOMA DE MUESTRAS Y LABORATORIO POCT",IF(O201=CURSOS!$D$28,"IMPLANTE SUBDERMICO DE DISPOSITIVO INTRAUTERINO",IF(O201=CURSOS!$D$29,"SALUD MENTAL",IF(O201=CURSOS!$D$30,"PRIMEROS AUXILIOS PSICOLOGICOS",IF(O201=CURSOS!$D$31,"ATENCION A VICTIMAS POR CONFLICTO ARMADO",IF(O201=CURSOS!$D$32,"MANIPULACION DE ALIMENTOS Y BPM",IF(O201=CURSOS!$D$33,"ATENCION A PERSONAS CON DISCAPACIDAD",IF(O201=CURSOS!$D$34,"CUIDADO INTEGRAL DEL PACIENTE ADULTO",IF(O201=CURSOS!$D$35,"MANEJO DEFENSIVO",IF(O201=CURSOS!$D$36,"SOPORTE CARDIOVASCULAR AVANZADO NEONATAL",IF(O201=CURSOS!$D$37,"SEGURIDAD DEL PACIENTE",IF(O201=CURSOS!$D$38,"MANEJO DE RESIDUOS HOSPITALARIOS"))))))))))))))))))))))))))))))))))))</f>
        <v>0</v>
      </c>
      <c r="V201" s="59" t="str">
        <f t="shared" si="11"/>
        <v xml:space="preserve">   </v>
      </c>
      <c r="W201" s="59" t="str">
        <f t="shared" si="12"/>
        <v xml:space="preserve">   </v>
      </c>
      <c r="X201" s="59" t="str">
        <f t="shared" si="13"/>
        <v xml:space="preserve">   --</v>
      </c>
    </row>
    <row r="202" spans="1:24" x14ac:dyDescent="0.2">
      <c r="A202" s="55">
        <v>201</v>
      </c>
      <c r="I202" s="73"/>
      <c r="T202" s="53"/>
      <c r="U202" s="59" t="b">
        <f>IF(O202=CURSOS!$D$3,"DIPLOMADO EN ATENCION PRE-HOSPITALARIA",IF(O202=CURSOS!$D$4,"ACOMPAÑAMIENTO Y MANEJO DEL DUELO",IF(O202=CURSOS!$D$5,"ATENCION A VICTIMAS DE ATAQUE CON AGENTES QUIMICOS ",IF(O202=CURSOS!$D$6,"PRIMEROS AUXILIOS ",IF(O202=CURSOS!$D$7,"DIPLOMADO DE UNIDAD DE CUIDADOS INTENSIVOS (UCI)",IF(O202=CURSOS!$D$8,"MODELO DE ATENCION PARA EVENTOS EMERGENTES EN SALUD MENTAL (CODIGO VERDE)",IF(O202=CURSOS!$D$9,"HUMANIZACION EN EL SERVICIO DE LA SALUD Y BUENAS PRACTICAS EN PACIENTE ",IF(O202=CURSOS!$D$10,"CLINICA DE HERIDAS ",IF(O202=CURSOS!$D$11,"TOMA DE CITOLOGIA CERVICO VAGINAL ",IF(O202=CURSOS!$D$12,"SOPORTE CARDIOVASCULAR AVANZADO (ACLS) ",IF(O202=CURSOS!$D$13,"CAMILLERO ",IF(O202=CURSOS!$D$14,"TOMA DE MUESTRAS Y LABORATORIO ",IF(O202=CURSOS!$D$15,"SOPORTE VITAL BASICO (BLS)",IF(O202=CURSOS!$D$16,"ATENCION A VICTIMAS DE VIOLENCIA SEXUAL ",IF(O202=CURSOS!$D$17,"PROGRAMADO AMPLIADO DE INMUNIZACION (PAI - COVID 19)",IF(O202=CURSOS!$D$18,"ATENCION INTEGRAL EN ENFERMEDADES PREVALENTES EN PRIMERA INFANCIA (AIEPI)",IF(O202=CURSOS!$D$19,"ADMINISTRACION DE MEDICAMENTOS, INYECTOLOGIA  Y CANALIZACION ",IF(O202=CURSOS!$D$20,"OPERADOR DE VEHICULOS DE EMERGENCIA (OVE)",IF(O202=CURSOS!$D$21,"INSTITUCIONES AMIGAS DE LA MUJER Y LA INFANCIA (IAMI)",IF(O202=CURSOS!$D$22,"CUIDADO DEL DONANTE DE ORGANOS",IF(O202=CURSOS!$D$23,"ATENCION A VICTIMAS POR VIOLENCIA DE GENERO",IF(O202=CURSOS!$D$24,"IGUALDAD DE GENERO EN LA SALUD",IF(O202=CURSOS!$D$25,"BRIGADA DE EMERGENCIA",IF(O202=CURSOS!$D$26,"MANEJO DEL DOLOR Y CUIDADOS PALIATIVOS",IF(O202=CURSOS!$D$27,"TOMA DE MUESTRAS Y LABORATORIO POCT",IF(O202=CURSOS!$D$28,"IMPLANTE SUBDERMICO DE DISPOSITIVO INTRAUTERINO",IF(O202=CURSOS!$D$29,"SALUD MENTAL",IF(O202=CURSOS!$D$30,"PRIMEROS AUXILIOS PSICOLOGICOS",IF(O202=CURSOS!$D$31,"ATENCION A VICTIMAS POR CONFLICTO ARMADO",IF(O202=CURSOS!$D$32,"MANIPULACION DE ALIMENTOS Y BPM",IF(O202=CURSOS!$D$33,"ATENCION A PERSONAS CON DISCAPACIDAD",IF(O202=CURSOS!$D$34,"CUIDADO INTEGRAL DEL PACIENTE ADULTO",IF(O202=CURSOS!$D$35,"MANEJO DEFENSIVO",IF(O202=CURSOS!$D$36,"SOPORTE CARDIOVASCULAR AVANZADO NEONATAL",IF(O202=CURSOS!$D$37,"SEGURIDAD DEL PACIENTE",IF(O202=CURSOS!$D$38,"MANEJO DE RESIDUOS HOSPITALARIOS"))))))))))))))))))))))))))))))))))))</f>
        <v>0</v>
      </c>
      <c r="V202" s="59" t="str">
        <f t="shared" si="11"/>
        <v xml:space="preserve">   </v>
      </c>
      <c r="W202" s="59" t="str">
        <f t="shared" si="12"/>
        <v xml:space="preserve">   </v>
      </c>
      <c r="X202" s="59" t="str">
        <f t="shared" si="13"/>
        <v xml:space="preserve">   --</v>
      </c>
    </row>
    <row r="203" spans="1:24" x14ac:dyDescent="0.2">
      <c r="A203" s="55">
        <v>202</v>
      </c>
      <c r="I203" s="73"/>
      <c r="T203" s="53"/>
      <c r="U203" s="59" t="b">
        <f>IF(O203=CURSOS!$D$3,"DIPLOMADO EN ATENCION PRE-HOSPITALARIA",IF(O203=CURSOS!$D$4,"ACOMPAÑAMIENTO Y MANEJO DEL DUELO",IF(O203=CURSOS!$D$5,"ATENCION A VICTIMAS DE ATAQUE CON AGENTES QUIMICOS ",IF(O203=CURSOS!$D$6,"PRIMEROS AUXILIOS ",IF(O203=CURSOS!$D$7,"DIPLOMADO DE UNIDAD DE CUIDADOS INTENSIVOS (UCI)",IF(O203=CURSOS!$D$8,"MODELO DE ATENCION PARA EVENTOS EMERGENTES EN SALUD MENTAL (CODIGO VERDE)",IF(O203=CURSOS!$D$9,"HUMANIZACION EN EL SERVICIO DE LA SALUD Y BUENAS PRACTICAS EN PACIENTE ",IF(O203=CURSOS!$D$10,"CLINICA DE HERIDAS ",IF(O203=CURSOS!$D$11,"TOMA DE CITOLOGIA CERVICO VAGINAL ",IF(O203=CURSOS!$D$12,"SOPORTE CARDIOVASCULAR AVANZADO (ACLS) ",IF(O203=CURSOS!$D$13,"CAMILLERO ",IF(O203=CURSOS!$D$14,"TOMA DE MUESTRAS Y LABORATORIO ",IF(O203=CURSOS!$D$15,"SOPORTE VITAL BASICO (BLS)",IF(O203=CURSOS!$D$16,"ATENCION A VICTIMAS DE VIOLENCIA SEXUAL ",IF(O203=CURSOS!$D$17,"PROGRAMADO AMPLIADO DE INMUNIZACION (PAI - COVID 19)",IF(O203=CURSOS!$D$18,"ATENCION INTEGRAL EN ENFERMEDADES PREVALENTES EN PRIMERA INFANCIA (AIEPI)",IF(O203=CURSOS!$D$19,"ADMINISTRACION DE MEDICAMENTOS, INYECTOLOGIA  Y CANALIZACION ",IF(O203=CURSOS!$D$20,"OPERADOR DE VEHICULOS DE EMERGENCIA (OVE)",IF(O203=CURSOS!$D$21,"INSTITUCIONES AMIGAS DE LA MUJER Y LA INFANCIA (IAMI)",IF(O203=CURSOS!$D$22,"CUIDADO DEL DONANTE DE ORGANOS",IF(O203=CURSOS!$D$23,"ATENCION A VICTIMAS POR VIOLENCIA DE GENERO",IF(O203=CURSOS!$D$24,"IGUALDAD DE GENERO EN LA SALUD",IF(O203=CURSOS!$D$25,"BRIGADA DE EMERGENCIA",IF(O203=CURSOS!$D$26,"MANEJO DEL DOLOR Y CUIDADOS PALIATIVOS",IF(O203=CURSOS!$D$27,"TOMA DE MUESTRAS Y LABORATORIO POCT",IF(O203=CURSOS!$D$28,"IMPLANTE SUBDERMICO DE DISPOSITIVO INTRAUTERINO",IF(O203=CURSOS!$D$29,"SALUD MENTAL",IF(O203=CURSOS!$D$30,"PRIMEROS AUXILIOS PSICOLOGICOS",IF(O203=CURSOS!$D$31,"ATENCION A VICTIMAS POR CONFLICTO ARMADO",IF(O203=CURSOS!$D$32,"MANIPULACION DE ALIMENTOS Y BPM",IF(O203=CURSOS!$D$33,"ATENCION A PERSONAS CON DISCAPACIDAD",IF(O203=CURSOS!$D$34,"CUIDADO INTEGRAL DEL PACIENTE ADULTO",IF(O203=CURSOS!$D$35,"MANEJO DEFENSIVO",IF(O203=CURSOS!$D$36,"SOPORTE CARDIOVASCULAR AVANZADO NEONATAL",IF(O203=CURSOS!$D$37,"SEGURIDAD DEL PACIENTE",IF(O203=CURSOS!$D$38,"MANEJO DE RESIDUOS HOSPITALARIOS"))))))))))))))))))))))))))))))))))))</f>
        <v>0</v>
      </c>
      <c r="V203" s="59" t="str">
        <f t="shared" si="11"/>
        <v xml:space="preserve">   </v>
      </c>
      <c r="W203" s="59" t="str">
        <f t="shared" si="12"/>
        <v xml:space="preserve">   </v>
      </c>
      <c r="X203" s="59" t="str">
        <f t="shared" si="13"/>
        <v xml:space="preserve">   --</v>
      </c>
    </row>
    <row r="204" spans="1:24" x14ac:dyDescent="0.2">
      <c r="A204" s="55">
        <v>203</v>
      </c>
      <c r="I204" s="73"/>
      <c r="T204" s="53"/>
      <c r="U204" s="59" t="b">
        <f>IF(O204=CURSOS!$D$3,"DIPLOMADO EN ATENCION PRE-HOSPITALARIA",IF(O204=CURSOS!$D$4,"ACOMPAÑAMIENTO Y MANEJO DEL DUELO",IF(O204=CURSOS!$D$5,"ATENCION A VICTIMAS DE ATAQUE CON AGENTES QUIMICOS ",IF(O204=CURSOS!$D$6,"PRIMEROS AUXILIOS ",IF(O204=CURSOS!$D$7,"DIPLOMADO DE UNIDAD DE CUIDADOS INTENSIVOS (UCI)",IF(O204=CURSOS!$D$8,"MODELO DE ATENCION PARA EVENTOS EMERGENTES EN SALUD MENTAL (CODIGO VERDE)",IF(O204=CURSOS!$D$9,"HUMANIZACION EN EL SERVICIO DE LA SALUD Y BUENAS PRACTICAS EN PACIENTE ",IF(O204=CURSOS!$D$10,"CLINICA DE HERIDAS ",IF(O204=CURSOS!$D$11,"TOMA DE CITOLOGIA CERVICO VAGINAL ",IF(O204=CURSOS!$D$12,"SOPORTE CARDIOVASCULAR AVANZADO (ACLS) ",IF(O204=CURSOS!$D$13,"CAMILLERO ",IF(O204=CURSOS!$D$14,"TOMA DE MUESTRAS Y LABORATORIO ",IF(O204=CURSOS!$D$15,"SOPORTE VITAL BASICO (BLS)",IF(O204=CURSOS!$D$16,"ATENCION A VICTIMAS DE VIOLENCIA SEXUAL ",IF(O204=CURSOS!$D$17,"PROGRAMADO AMPLIADO DE INMUNIZACION (PAI - COVID 19)",IF(O204=CURSOS!$D$18,"ATENCION INTEGRAL EN ENFERMEDADES PREVALENTES EN PRIMERA INFANCIA (AIEPI)",IF(O204=CURSOS!$D$19,"ADMINISTRACION DE MEDICAMENTOS, INYECTOLOGIA  Y CANALIZACION ",IF(O204=CURSOS!$D$20,"OPERADOR DE VEHICULOS DE EMERGENCIA (OVE)",IF(O204=CURSOS!$D$21,"INSTITUCIONES AMIGAS DE LA MUJER Y LA INFANCIA (IAMI)",IF(O204=CURSOS!$D$22,"CUIDADO DEL DONANTE DE ORGANOS",IF(O204=CURSOS!$D$23,"ATENCION A VICTIMAS POR VIOLENCIA DE GENERO",IF(O204=CURSOS!$D$24,"IGUALDAD DE GENERO EN LA SALUD",IF(O204=CURSOS!$D$25,"BRIGADA DE EMERGENCIA",IF(O204=CURSOS!$D$26,"MANEJO DEL DOLOR Y CUIDADOS PALIATIVOS",IF(O204=CURSOS!$D$27,"TOMA DE MUESTRAS Y LABORATORIO POCT",IF(O204=CURSOS!$D$28,"IMPLANTE SUBDERMICO DE DISPOSITIVO INTRAUTERINO",IF(O204=CURSOS!$D$29,"SALUD MENTAL",IF(O204=CURSOS!$D$30,"PRIMEROS AUXILIOS PSICOLOGICOS",IF(O204=CURSOS!$D$31,"ATENCION A VICTIMAS POR CONFLICTO ARMADO",IF(O204=CURSOS!$D$32,"MANIPULACION DE ALIMENTOS Y BPM",IF(O204=CURSOS!$D$33,"ATENCION A PERSONAS CON DISCAPACIDAD",IF(O204=CURSOS!$D$34,"CUIDADO INTEGRAL DEL PACIENTE ADULTO",IF(O204=CURSOS!$D$35,"MANEJO DEFENSIVO",IF(O204=CURSOS!$D$36,"SOPORTE CARDIOVASCULAR AVANZADO NEONATAL",IF(O204=CURSOS!$D$37,"SEGURIDAD DEL PACIENTE",IF(O204=CURSOS!$D$38,"MANEJO DE RESIDUOS HOSPITALARIOS"))))))))))))))))))))))))))))))))))))</f>
        <v>0</v>
      </c>
      <c r="V204" s="59" t="str">
        <f t="shared" si="11"/>
        <v xml:space="preserve">   </v>
      </c>
      <c r="W204" s="59" t="str">
        <f t="shared" si="12"/>
        <v xml:space="preserve">   </v>
      </c>
      <c r="X204" s="59" t="str">
        <f t="shared" si="13"/>
        <v xml:space="preserve">   --</v>
      </c>
    </row>
    <row r="205" spans="1:24" x14ac:dyDescent="0.2">
      <c r="A205" s="55">
        <v>204</v>
      </c>
      <c r="I205" s="73"/>
      <c r="S205" s="84"/>
      <c r="T205" s="53"/>
      <c r="U205" s="59" t="b">
        <f>IF(O205=CURSOS!$D$3,"DIPLOMADO EN ATENCION PRE-HOSPITALARIA",IF(O205=CURSOS!$D$4,"ACOMPAÑAMIENTO Y MANEJO DEL DUELO",IF(O205=CURSOS!$D$5,"ATENCION A VICTIMAS DE ATAQUE CON AGENTES QUIMICOS ",IF(O205=CURSOS!$D$6,"PRIMEROS AUXILIOS ",IF(O205=CURSOS!$D$7,"DIPLOMADO DE UNIDAD DE CUIDADOS INTENSIVOS (UCI)",IF(O205=CURSOS!$D$8,"MODELO DE ATENCION PARA EVENTOS EMERGENTES EN SALUD MENTAL (CODIGO VERDE)",IF(O205=CURSOS!$D$9,"HUMANIZACION EN EL SERVICIO DE LA SALUD Y BUENAS PRACTICAS EN PACIENTE ",IF(O205=CURSOS!$D$10,"CLINICA DE HERIDAS ",IF(O205=CURSOS!$D$11,"TOMA DE CITOLOGIA CERVICO VAGINAL ",IF(O205=CURSOS!$D$12,"SOPORTE CARDIOVASCULAR AVANZADO (ACLS) ",IF(O205=CURSOS!$D$13,"CAMILLERO ",IF(O205=CURSOS!$D$14,"TOMA DE MUESTRAS Y LABORATORIO ",IF(O205=CURSOS!$D$15,"SOPORTE VITAL BASICO (BLS)",IF(O205=CURSOS!$D$16,"ATENCION A VICTIMAS DE VIOLENCIA SEXUAL ",IF(O205=CURSOS!$D$17,"PROGRAMADO AMPLIADO DE INMUNIZACION (PAI - COVID 19)",IF(O205=CURSOS!$D$18,"ATENCION INTEGRAL EN ENFERMEDADES PREVALENTES EN PRIMERA INFANCIA (AIEPI)",IF(O205=CURSOS!$D$19,"ADMINISTRACION DE MEDICAMENTOS, INYECTOLOGIA  Y CANALIZACION ",IF(O205=CURSOS!$D$20,"OPERADOR DE VEHICULOS DE EMERGENCIA (OVE)",IF(O205=CURSOS!$D$21,"INSTITUCIONES AMIGAS DE LA MUJER Y LA INFANCIA (IAMI)",IF(O205=CURSOS!$D$22,"CUIDADO DEL DONANTE DE ORGANOS",IF(O205=CURSOS!$D$23,"ATENCION A VICTIMAS POR VIOLENCIA DE GENERO",IF(O205=CURSOS!$D$24,"IGUALDAD DE GENERO EN LA SALUD",IF(O205=CURSOS!$D$25,"BRIGADA DE EMERGENCIA",IF(O205=CURSOS!$D$26,"MANEJO DEL DOLOR Y CUIDADOS PALIATIVOS",IF(O205=CURSOS!$D$27,"TOMA DE MUESTRAS Y LABORATORIO POCT",IF(O205=CURSOS!$D$28,"IMPLANTE SUBDERMICO DE DISPOSITIVO INTRAUTERINO",IF(O205=CURSOS!$D$29,"SALUD MENTAL",IF(O205=CURSOS!$D$30,"PRIMEROS AUXILIOS PSICOLOGICOS",IF(O205=CURSOS!$D$31,"ATENCION A VICTIMAS POR CONFLICTO ARMADO",IF(O205=CURSOS!$D$32,"MANIPULACION DE ALIMENTOS Y BPM",IF(O205=CURSOS!$D$33,"ATENCION A PERSONAS CON DISCAPACIDAD",IF(O205=CURSOS!$D$34,"CUIDADO INTEGRAL DEL PACIENTE ADULTO",IF(O205=CURSOS!$D$35,"MANEJO DEFENSIVO",IF(O205=CURSOS!$D$36,"SOPORTE CARDIOVASCULAR AVANZADO NEONATAL",IF(O205=CURSOS!$D$37,"SEGURIDAD DEL PACIENTE",IF(O205=CURSOS!$D$38,"MANEJO DE RESIDUOS HOSPITALARIOS"))))))))))))))))))))))))))))))))))))</f>
        <v>0</v>
      </c>
      <c r="V205" s="59" t="str">
        <f t="shared" si="11"/>
        <v xml:space="preserve">   </v>
      </c>
      <c r="W205" s="59" t="str">
        <f t="shared" si="12"/>
        <v xml:space="preserve">   </v>
      </c>
      <c r="X205" s="59" t="str">
        <f t="shared" si="13"/>
        <v xml:space="preserve">   --</v>
      </c>
    </row>
    <row r="206" spans="1:24" x14ac:dyDescent="0.2">
      <c r="A206" s="55">
        <v>205</v>
      </c>
      <c r="I206" s="73"/>
      <c r="S206" s="84"/>
      <c r="T206" s="53"/>
      <c r="U206" s="59" t="b">
        <f>IF(O206=CURSOS!$D$3,"DIPLOMADO EN ATENCION PRE-HOSPITALARIA",IF(O206=CURSOS!$D$4,"ACOMPAÑAMIENTO Y MANEJO DEL DUELO",IF(O206=CURSOS!$D$5,"ATENCION A VICTIMAS DE ATAQUE CON AGENTES QUIMICOS ",IF(O206=CURSOS!$D$6,"PRIMEROS AUXILIOS ",IF(O206=CURSOS!$D$7,"DIPLOMADO DE UNIDAD DE CUIDADOS INTENSIVOS (UCI)",IF(O206=CURSOS!$D$8,"MODELO DE ATENCION PARA EVENTOS EMERGENTES EN SALUD MENTAL (CODIGO VERDE)",IF(O206=CURSOS!$D$9,"HUMANIZACION EN EL SERVICIO DE LA SALUD Y BUENAS PRACTICAS EN PACIENTE ",IF(O206=CURSOS!$D$10,"CLINICA DE HERIDAS ",IF(O206=CURSOS!$D$11,"TOMA DE CITOLOGIA CERVICO VAGINAL ",IF(O206=CURSOS!$D$12,"SOPORTE CARDIOVASCULAR AVANZADO (ACLS) ",IF(O206=CURSOS!$D$13,"CAMILLERO ",IF(O206=CURSOS!$D$14,"TOMA DE MUESTRAS Y LABORATORIO ",IF(O206=CURSOS!$D$15,"SOPORTE VITAL BASICO (BLS)",IF(O206=CURSOS!$D$16,"ATENCION A VICTIMAS DE VIOLENCIA SEXUAL ",IF(O206=CURSOS!$D$17,"PROGRAMADO AMPLIADO DE INMUNIZACION (PAI - COVID 19)",IF(O206=CURSOS!$D$18,"ATENCION INTEGRAL EN ENFERMEDADES PREVALENTES EN PRIMERA INFANCIA (AIEPI)",IF(O206=CURSOS!$D$19,"ADMINISTRACION DE MEDICAMENTOS, INYECTOLOGIA  Y CANALIZACION ",IF(O206=CURSOS!$D$20,"OPERADOR DE VEHICULOS DE EMERGENCIA (OVE)",IF(O206=CURSOS!$D$21,"INSTITUCIONES AMIGAS DE LA MUJER Y LA INFANCIA (IAMI)",IF(O206=CURSOS!$D$22,"CUIDADO DEL DONANTE DE ORGANOS",IF(O206=CURSOS!$D$23,"ATENCION A VICTIMAS POR VIOLENCIA DE GENERO",IF(O206=CURSOS!$D$24,"IGUALDAD DE GENERO EN LA SALUD",IF(O206=CURSOS!$D$25,"BRIGADA DE EMERGENCIA",IF(O206=CURSOS!$D$26,"MANEJO DEL DOLOR Y CUIDADOS PALIATIVOS",IF(O206=CURSOS!$D$27,"TOMA DE MUESTRAS Y LABORATORIO POCT",IF(O206=CURSOS!$D$28,"IMPLANTE SUBDERMICO DE DISPOSITIVO INTRAUTERINO",IF(O206=CURSOS!$D$29,"SALUD MENTAL",IF(O206=CURSOS!$D$30,"PRIMEROS AUXILIOS PSICOLOGICOS",IF(O206=CURSOS!$D$31,"ATENCION A VICTIMAS POR CONFLICTO ARMADO",IF(O206=CURSOS!$D$32,"MANIPULACION DE ALIMENTOS Y BPM",IF(O206=CURSOS!$D$33,"ATENCION A PERSONAS CON DISCAPACIDAD",IF(O206=CURSOS!$D$34,"CUIDADO INTEGRAL DEL PACIENTE ADULTO",IF(O206=CURSOS!$D$35,"MANEJO DEFENSIVO",IF(O206=CURSOS!$D$36,"SOPORTE CARDIOVASCULAR AVANZADO NEONATAL",IF(O206=CURSOS!$D$37,"SEGURIDAD DEL PACIENTE",IF(O206=CURSOS!$D$38,"MANEJO DE RESIDUOS HOSPITALARIOS"))))))))))))))))))))))))))))))))))))</f>
        <v>0</v>
      </c>
      <c r="V206" s="59" t="str">
        <f t="shared" si="11"/>
        <v xml:space="preserve">   </v>
      </c>
      <c r="W206" s="59" t="str">
        <f t="shared" si="12"/>
        <v xml:space="preserve">   </v>
      </c>
      <c r="X206" s="59" t="str">
        <f t="shared" si="13"/>
        <v xml:space="preserve">   --</v>
      </c>
    </row>
    <row r="207" spans="1:24" x14ac:dyDescent="0.2">
      <c r="A207" s="55">
        <v>206</v>
      </c>
      <c r="I207" s="73"/>
      <c r="S207" s="84"/>
      <c r="T207" s="53"/>
      <c r="U207" s="59" t="b">
        <f>IF(O207=CURSOS!$D$3,"DIPLOMADO EN ATENCION PRE-HOSPITALARIA",IF(O207=CURSOS!$D$4,"ACOMPAÑAMIENTO Y MANEJO DEL DUELO",IF(O207=CURSOS!$D$5,"ATENCION A VICTIMAS DE ATAQUE CON AGENTES QUIMICOS ",IF(O207=CURSOS!$D$6,"PRIMEROS AUXILIOS ",IF(O207=CURSOS!$D$7,"DIPLOMADO DE UNIDAD DE CUIDADOS INTENSIVOS (UCI)",IF(O207=CURSOS!$D$8,"MODELO DE ATENCION PARA EVENTOS EMERGENTES EN SALUD MENTAL (CODIGO VERDE)",IF(O207=CURSOS!$D$9,"HUMANIZACION EN EL SERVICIO DE LA SALUD Y BUENAS PRACTICAS EN PACIENTE ",IF(O207=CURSOS!$D$10,"CLINICA DE HERIDAS ",IF(O207=CURSOS!$D$11,"TOMA DE CITOLOGIA CERVICO VAGINAL ",IF(O207=CURSOS!$D$12,"SOPORTE CARDIOVASCULAR AVANZADO (ACLS) ",IF(O207=CURSOS!$D$13,"CAMILLERO ",IF(O207=CURSOS!$D$14,"TOMA DE MUESTRAS Y LABORATORIO ",IF(O207=CURSOS!$D$15,"SOPORTE VITAL BASICO (BLS)",IF(O207=CURSOS!$D$16,"ATENCION A VICTIMAS DE VIOLENCIA SEXUAL ",IF(O207=CURSOS!$D$17,"PROGRAMADO AMPLIADO DE INMUNIZACION (PAI - COVID 19)",IF(O207=CURSOS!$D$18,"ATENCION INTEGRAL EN ENFERMEDADES PREVALENTES EN PRIMERA INFANCIA (AIEPI)",IF(O207=CURSOS!$D$19,"ADMINISTRACION DE MEDICAMENTOS, INYECTOLOGIA  Y CANALIZACION ",IF(O207=CURSOS!$D$20,"OPERADOR DE VEHICULOS DE EMERGENCIA (OVE)",IF(O207=CURSOS!$D$21,"INSTITUCIONES AMIGAS DE LA MUJER Y LA INFANCIA (IAMI)",IF(O207=CURSOS!$D$22,"CUIDADO DEL DONANTE DE ORGANOS",IF(O207=CURSOS!$D$23,"ATENCION A VICTIMAS POR VIOLENCIA DE GENERO",IF(O207=CURSOS!$D$24,"IGUALDAD DE GENERO EN LA SALUD",IF(O207=CURSOS!$D$25,"BRIGADA DE EMERGENCIA",IF(O207=CURSOS!$D$26,"MANEJO DEL DOLOR Y CUIDADOS PALIATIVOS",IF(O207=CURSOS!$D$27,"TOMA DE MUESTRAS Y LABORATORIO POCT",IF(O207=CURSOS!$D$28,"IMPLANTE SUBDERMICO DE DISPOSITIVO INTRAUTERINO",IF(O207=CURSOS!$D$29,"SALUD MENTAL",IF(O207=CURSOS!$D$30,"PRIMEROS AUXILIOS PSICOLOGICOS",IF(O207=CURSOS!$D$31,"ATENCION A VICTIMAS POR CONFLICTO ARMADO",IF(O207=CURSOS!$D$32,"MANIPULACION DE ALIMENTOS Y BPM",IF(O207=CURSOS!$D$33,"ATENCION A PERSONAS CON DISCAPACIDAD",IF(O207=CURSOS!$D$34,"CUIDADO INTEGRAL DEL PACIENTE ADULTO",IF(O207=CURSOS!$D$35,"MANEJO DEFENSIVO",IF(O207=CURSOS!$D$36,"SOPORTE CARDIOVASCULAR AVANZADO NEONATAL",IF(O207=CURSOS!$D$37,"SEGURIDAD DEL PACIENTE",IF(O207=CURSOS!$D$38,"MANEJO DE RESIDUOS HOSPITALARIOS"))))))))))))))))))))))))))))))))))))</f>
        <v>0</v>
      </c>
      <c r="V207" s="59" t="str">
        <f t="shared" si="11"/>
        <v xml:space="preserve">   </v>
      </c>
      <c r="W207" s="59" t="str">
        <f t="shared" si="12"/>
        <v xml:space="preserve">   </v>
      </c>
      <c r="X207" s="59" t="str">
        <f t="shared" si="13"/>
        <v xml:space="preserve">   --</v>
      </c>
    </row>
    <row r="208" spans="1:24" x14ac:dyDescent="0.2">
      <c r="A208" s="55">
        <v>207</v>
      </c>
      <c r="I208" s="73"/>
      <c r="S208" s="84"/>
      <c r="T208" s="53"/>
      <c r="U208" s="59" t="b">
        <f>IF(O208=CURSOS!$D$3,"DIPLOMADO EN ATENCION PRE-HOSPITALARIA",IF(O208=CURSOS!$D$4,"ACOMPAÑAMIENTO Y MANEJO DEL DUELO",IF(O208=CURSOS!$D$5,"ATENCION A VICTIMAS DE ATAQUE CON AGENTES QUIMICOS ",IF(O208=CURSOS!$D$6,"PRIMEROS AUXILIOS ",IF(O208=CURSOS!$D$7,"DIPLOMADO DE UNIDAD DE CUIDADOS INTENSIVOS (UCI)",IF(O208=CURSOS!$D$8,"MODELO DE ATENCION PARA EVENTOS EMERGENTES EN SALUD MENTAL (CODIGO VERDE)",IF(O208=CURSOS!$D$9,"HUMANIZACION EN EL SERVICIO DE LA SALUD Y BUENAS PRACTICAS EN PACIENTE ",IF(O208=CURSOS!$D$10,"CLINICA DE HERIDAS ",IF(O208=CURSOS!$D$11,"TOMA DE CITOLOGIA CERVICO VAGINAL ",IF(O208=CURSOS!$D$12,"SOPORTE CARDIOVASCULAR AVANZADO (ACLS) ",IF(O208=CURSOS!$D$13,"CAMILLERO ",IF(O208=CURSOS!$D$14,"TOMA DE MUESTRAS Y LABORATORIO ",IF(O208=CURSOS!$D$15,"SOPORTE VITAL BASICO (BLS)",IF(O208=CURSOS!$D$16,"ATENCION A VICTIMAS DE VIOLENCIA SEXUAL ",IF(O208=CURSOS!$D$17,"PROGRAMADO AMPLIADO DE INMUNIZACION (PAI - COVID 19)",IF(O208=CURSOS!$D$18,"ATENCION INTEGRAL EN ENFERMEDADES PREVALENTES EN PRIMERA INFANCIA (AIEPI)",IF(O208=CURSOS!$D$19,"ADMINISTRACION DE MEDICAMENTOS, INYECTOLOGIA  Y CANALIZACION ",IF(O208=CURSOS!$D$20,"OPERADOR DE VEHICULOS DE EMERGENCIA (OVE)",IF(O208=CURSOS!$D$21,"INSTITUCIONES AMIGAS DE LA MUJER Y LA INFANCIA (IAMI)",IF(O208=CURSOS!$D$22,"CUIDADO DEL DONANTE DE ORGANOS",IF(O208=CURSOS!$D$23,"ATENCION A VICTIMAS POR VIOLENCIA DE GENERO",IF(O208=CURSOS!$D$24,"IGUALDAD DE GENERO EN LA SALUD",IF(O208=CURSOS!$D$25,"BRIGADA DE EMERGENCIA",IF(O208=CURSOS!$D$26,"MANEJO DEL DOLOR Y CUIDADOS PALIATIVOS",IF(O208=CURSOS!$D$27,"TOMA DE MUESTRAS Y LABORATORIO POCT",IF(O208=CURSOS!$D$28,"IMPLANTE SUBDERMICO DE DISPOSITIVO INTRAUTERINO",IF(O208=CURSOS!$D$29,"SALUD MENTAL",IF(O208=CURSOS!$D$30,"PRIMEROS AUXILIOS PSICOLOGICOS",IF(O208=CURSOS!$D$31,"ATENCION A VICTIMAS POR CONFLICTO ARMADO",IF(O208=CURSOS!$D$32,"MANIPULACION DE ALIMENTOS Y BPM",IF(O208=CURSOS!$D$33,"ATENCION A PERSONAS CON DISCAPACIDAD",IF(O208=CURSOS!$D$34,"CUIDADO INTEGRAL DEL PACIENTE ADULTO",IF(O208=CURSOS!$D$35,"MANEJO DEFENSIVO",IF(O208=CURSOS!$D$36,"SOPORTE CARDIOVASCULAR AVANZADO NEONATAL",IF(O208=CURSOS!$D$37,"SEGURIDAD DEL PACIENTE",IF(O208=CURSOS!$D$38,"MANEJO DE RESIDUOS HOSPITALARIOS"))))))))))))))))))))))))))))))))))))</f>
        <v>0</v>
      </c>
      <c r="V208" s="59" t="str">
        <f t="shared" si="11"/>
        <v xml:space="preserve">   </v>
      </c>
      <c r="W208" s="59" t="str">
        <f t="shared" si="12"/>
        <v xml:space="preserve">   </v>
      </c>
      <c r="X208" s="59" t="str">
        <f t="shared" si="13"/>
        <v xml:space="preserve">   --</v>
      </c>
    </row>
    <row r="209" spans="1:24" x14ac:dyDescent="0.2">
      <c r="A209" s="55">
        <v>208</v>
      </c>
      <c r="I209" s="73"/>
      <c r="S209" s="84"/>
      <c r="T209" s="53"/>
      <c r="U209" s="59" t="b">
        <f>IF(O209=CURSOS!$D$3,"DIPLOMADO EN ATENCION PRE-HOSPITALARIA",IF(O209=CURSOS!$D$4,"ACOMPAÑAMIENTO Y MANEJO DEL DUELO",IF(O209=CURSOS!$D$5,"ATENCION A VICTIMAS DE ATAQUE CON AGENTES QUIMICOS ",IF(O209=CURSOS!$D$6,"PRIMEROS AUXILIOS ",IF(O209=CURSOS!$D$7,"DIPLOMADO DE UNIDAD DE CUIDADOS INTENSIVOS (UCI)",IF(O209=CURSOS!$D$8,"MODELO DE ATENCION PARA EVENTOS EMERGENTES EN SALUD MENTAL (CODIGO VERDE)",IF(O209=CURSOS!$D$9,"HUMANIZACION EN EL SERVICIO DE LA SALUD Y BUENAS PRACTICAS EN PACIENTE ",IF(O209=CURSOS!$D$10,"CLINICA DE HERIDAS ",IF(O209=CURSOS!$D$11,"TOMA DE CITOLOGIA CERVICO VAGINAL ",IF(O209=CURSOS!$D$12,"SOPORTE CARDIOVASCULAR AVANZADO (ACLS) ",IF(O209=CURSOS!$D$13,"CAMILLERO ",IF(O209=CURSOS!$D$14,"TOMA DE MUESTRAS Y LABORATORIO ",IF(O209=CURSOS!$D$15,"SOPORTE VITAL BASICO (BLS)",IF(O209=CURSOS!$D$16,"ATENCION A VICTIMAS DE VIOLENCIA SEXUAL ",IF(O209=CURSOS!$D$17,"PROGRAMADO AMPLIADO DE INMUNIZACION (PAI - COVID 19)",IF(O209=CURSOS!$D$18,"ATENCION INTEGRAL EN ENFERMEDADES PREVALENTES EN PRIMERA INFANCIA (AIEPI)",IF(O209=CURSOS!$D$19,"ADMINISTRACION DE MEDICAMENTOS, INYECTOLOGIA  Y CANALIZACION ",IF(O209=CURSOS!$D$20,"OPERADOR DE VEHICULOS DE EMERGENCIA (OVE)",IF(O209=CURSOS!$D$21,"INSTITUCIONES AMIGAS DE LA MUJER Y LA INFANCIA (IAMI)",IF(O209=CURSOS!$D$22,"CUIDADO DEL DONANTE DE ORGANOS",IF(O209=CURSOS!$D$23,"ATENCION A VICTIMAS POR VIOLENCIA DE GENERO",IF(O209=CURSOS!$D$24,"IGUALDAD DE GENERO EN LA SALUD",IF(O209=CURSOS!$D$25,"BRIGADA DE EMERGENCIA",IF(O209=CURSOS!$D$26,"MANEJO DEL DOLOR Y CUIDADOS PALIATIVOS",IF(O209=CURSOS!$D$27,"TOMA DE MUESTRAS Y LABORATORIO POCT",IF(O209=CURSOS!$D$28,"IMPLANTE SUBDERMICO DE DISPOSITIVO INTRAUTERINO",IF(O209=CURSOS!$D$29,"SALUD MENTAL",IF(O209=CURSOS!$D$30,"PRIMEROS AUXILIOS PSICOLOGICOS",IF(O209=CURSOS!$D$31,"ATENCION A VICTIMAS POR CONFLICTO ARMADO",IF(O209=CURSOS!$D$32,"MANIPULACION DE ALIMENTOS Y BPM",IF(O209=CURSOS!$D$33,"ATENCION A PERSONAS CON DISCAPACIDAD",IF(O209=CURSOS!$D$34,"CUIDADO INTEGRAL DEL PACIENTE ADULTO",IF(O209=CURSOS!$D$35,"MANEJO DEFENSIVO",IF(O209=CURSOS!$D$36,"SOPORTE CARDIOVASCULAR AVANZADO NEONATAL",IF(O209=CURSOS!$D$37,"SEGURIDAD DEL PACIENTE",IF(O209=CURSOS!$D$38,"MANEJO DE RESIDUOS HOSPITALARIOS"))))))))))))))))))))))))))))))))))))</f>
        <v>0</v>
      </c>
      <c r="V209" s="59" t="str">
        <f t="shared" si="11"/>
        <v xml:space="preserve">   </v>
      </c>
      <c r="W209" s="59" t="str">
        <f t="shared" si="12"/>
        <v xml:space="preserve">   </v>
      </c>
      <c r="X209" s="59" t="str">
        <f t="shared" si="13"/>
        <v xml:space="preserve">   --</v>
      </c>
    </row>
    <row r="210" spans="1:24" x14ac:dyDescent="0.2">
      <c r="A210" s="55">
        <v>209</v>
      </c>
      <c r="I210" s="73"/>
      <c r="T210" s="53"/>
      <c r="U210" s="59" t="b">
        <f>IF(O210=CURSOS!$D$3,"DIPLOMADO EN ATENCION PRE-HOSPITALARIA",IF(O210=CURSOS!$D$4,"ACOMPAÑAMIENTO Y MANEJO DEL DUELO",IF(O210=CURSOS!$D$5,"ATENCION A VICTIMAS DE ATAQUE CON AGENTES QUIMICOS ",IF(O210=CURSOS!$D$6,"PRIMEROS AUXILIOS ",IF(O210=CURSOS!$D$7,"DIPLOMADO DE UNIDAD DE CUIDADOS INTENSIVOS (UCI)",IF(O210=CURSOS!$D$8,"MODELO DE ATENCION PARA EVENTOS EMERGENTES EN SALUD MENTAL (CODIGO VERDE)",IF(O210=CURSOS!$D$9,"HUMANIZACION EN EL SERVICIO DE LA SALUD Y BUENAS PRACTICAS EN PACIENTE ",IF(O210=CURSOS!$D$10,"CLINICA DE HERIDAS ",IF(O210=CURSOS!$D$11,"TOMA DE CITOLOGIA CERVICO VAGINAL ",IF(O210=CURSOS!$D$12,"SOPORTE CARDIOVASCULAR AVANZADO (ACLS) ",IF(O210=CURSOS!$D$13,"CAMILLERO ",IF(O210=CURSOS!$D$14,"TOMA DE MUESTRAS Y LABORATORIO ",IF(O210=CURSOS!$D$15,"SOPORTE VITAL BASICO (BLS)",IF(O210=CURSOS!$D$16,"ATENCION A VICTIMAS DE VIOLENCIA SEXUAL ",IF(O210=CURSOS!$D$17,"PROGRAMADO AMPLIADO DE INMUNIZACION (PAI - COVID 19)",IF(O210=CURSOS!$D$18,"ATENCION INTEGRAL EN ENFERMEDADES PREVALENTES EN PRIMERA INFANCIA (AIEPI)",IF(O210=CURSOS!$D$19,"ADMINISTRACION DE MEDICAMENTOS, INYECTOLOGIA  Y CANALIZACION ",IF(O210=CURSOS!$D$20,"OPERADOR DE VEHICULOS DE EMERGENCIA (OVE)",IF(O210=CURSOS!$D$21,"INSTITUCIONES AMIGAS DE LA MUJER Y LA INFANCIA (IAMI)",IF(O210=CURSOS!$D$22,"CUIDADO DEL DONANTE DE ORGANOS",IF(O210=CURSOS!$D$23,"ATENCION A VICTIMAS POR VIOLENCIA DE GENERO",IF(O210=CURSOS!$D$24,"IGUALDAD DE GENERO EN LA SALUD",IF(O210=CURSOS!$D$25,"BRIGADA DE EMERGENCIA",IF(O210=CURSOS!$D$26,"MANEJO DEL DOLOR Y CUIDADOS PALIATIVOS",IF(O210=CURSOS!$D$27,"TOMA DE MUESTRAS Y LABORATORIO POCT",IF(O210=CURSOS!$D$28,"IMPLANTE SUBDERMICO DE DISPOSITIVO INTRAUTERINO",IF(O210=CURSOS!$D$29,"SALUD MENTAL",IF(O210=CURSOS!$D$30,"PRIMEROS AUXILIOS PSICOLOGICOS",IF(O210=CURSOS!$D$31,"ATENCION A VICTIMAS POR CONFLICTO ARMADO",IF(O210=CURSOS!$D$32,"MANIPULACION DE ALIMENTOS Y BPM",IF(O210=CURSOS!$D$33,"ATENCION A PERSONAS CON DISCAPACIDAD",IF(O210=CURSOS!$D$34,"CUIDADO INTEGRAL DEL PACIENTE ADULTO",IF(O210=CURSOS!$D$35,"MANEJO DEFENSIVO",IF(O210=CURSOS!$D$36,"SOPORTE CARDIOVASCULAR AVANZADO NEONATAL",IF(O210=CURSOS!$D$37,"SEGURIDAD DEL PACIENTE",IF(O210=CURSOS!$D$38,"MANEJO DE RESIDUOS HOSPITALARIOS"))))))))))))))))))))))))))))))))))))</f>
        <v>0</v>
      </c>
      <c r="V210" s="59" t="str">
        <f t="shared" si="11"/>
        <v xml:space="preserve">   </v>
      </c>
      <c r="W210" s="59" t="str">
        <f t="shared" si="12"/>
        <v xml:space="preserve">   </v>
      </c>
      <c r="X210" s="59" t="str">
        <f t="shared" si="13"/>
        <v xml:space="preserve">   --</v>
      </c>
    </row>
    <row r="211" spans="1:24" x14ac:dyDescent="0.2">
      <c r="A211" s="55">
        <v>210</v>
      </c>
      <c r="I211" s="73"/>
      <c r="T211" s="53"/>
      <c r="U211" s="59" t="b">
        <f>IF(O211=CURSOS!$D$3,"DIPLOMADO EN ATENCION PRE-HOSPITALARIA",IF(O211=CURSOS!$D$4,"ACOMPAÑAMIENTO Y MANEJO DEL DUELO",IF(O211=CURSOS!$D$5,"ATENCION A VICTIMAS DE ATAQUE CON AGENTES QUIMICOS ",IF(O211=CURSOS!$D$6,"PRIMEROS AUXILIOS ",IF(O211=CURSOS!$D$7,"DIPLOMADO DE UNIDAD DE CUIDADOS INTENSIVOS (UCI)",IF(O211=CURSOS!$D$8,"MODELO DE ATENCION PARA EVENTOS EMERGENTES EN SALUD MENTAL (CODIGO VERDE)",IF(O211=CURSOS!$D$9,"HUMANIZACION EN EL SERVICIO DE LA SALUD Y BUENAS PRACTICAS EN PACIENTE ",IF(O211=CURSOS!$D$10,"CLINICA DE HERIDAS ",IF(O211=CURSOS!$D$11,"TOMA DE CITOLOGIA CERVICO VAGINAL ",IF(O211=CURSOS!$D$12,"SOPORTE CARDIOVASCULAR AVANZADO (ACLS) ",IF(O211=CURSOS!$D$13,"CAMILLERO ",IF(O211=CURSOS!$D$14,"TOMA DE MUESTRAS Y LABORATORIO ",IF(O211=CURSOS!$D$15,"SOPORTE VITAL BASICO (BLS)",IF(O211=CURSOS!$D$16,"ATENCION A VICTIMAS DE VIOLENCIA SEXUAL ",IF(O211=CURSOS!$D$17,"PROGRAMADO AMPLIADO DE INMUNIZACION (PAI - COVID 19)",IF(O211=CURSOS!$D$18,"ATENCION INTEGRAL EN ENFERMEDADES PREVALENTES EN PRIMERA INFANCIA (AIEPI)",IF(O211=CURSOS!$D$19,"ADMINISTRACION DE MEDICAMENTOS, INYECTOLOGIA  Y CANALIZACION ",IF(O211=CURSOS!$D$20,"OPERADOR DE VEHICULOS DE EMERGENCIA (OVE)",IF(O211=CURSOS!$D$21,"INSTITUCIONES AMIGAS DE LA MUJER Y LA INFANCIA (IAMI)",IF(O211=CURSOS!$D$22,"CUIDADO DEL DONANTE DE ORGANOS",IF(O211=CURSOS!$D$23,"ATENCION A VICTIMAS POR VIOLENCIA DE GENERO",IF(O211=CURSOS!$D$24,"IGUALDAD DE GENERO EN LA SALUD",IF(O211=CURSOS!$D$25,"BRIGADA DE EMERGENCIA",IF(O211=CURSOS!$D$26,"MANEJO DEL DOLOR Y CUIDADOS PALIATIVOS",IF(O211=CURSOS!$D$27,"TOMA DE MUESTRAS Y LABORATORIO POCT",IF(O211=CURSOS!$D$28,"IMPLANTE SUBDERMICO DE DISPOSITIVO INTRAUTERINO",IF(O211=CURSOS!$D$29,"SALUD MENTAL",IF(O211=CURSOS!$D$30,"PRIMEROS AUXILIOS PSICOLOGICOS",IF(O211=CURSOS!$D$31,"ATENCION A VICTIMAS POR CONFLICTO ARMADO",IF(O211=CURSOS!$D$32,"MANIPULACION DE ALIMENTOS Y BPM",IF(O211=CURSOS!$D$33,"ATENCION A PERSONAS CON DISCAPACIDAD",IF(O211=CURSOS!$D$34,"CUIDADO INTEGRAL DEL PACIENTE ADULTO",IF(O211=CURSOS!$D$35,"MANEJO DEFENSIVO",IF(O211=CURSOS!$D$36,"SOPORTE CARDIOVASCULAR AVANZADO NEONATAL",IF(O211=CURSOS!$D$37,"SEGURIDAD DEL PACIENTE",IF(O211=CURSOS!$D$38,"MANEJO DE RESIDUOS HOSPITALARIOS"))))))))))))))))))))))))))))))))))))</f>
        <v>0</v>
      </c>
      <c r="V211" s="59" t="str">
        <f t="shared" si="11"/>
        <v xml:space="preserve">   </v>
      </c>
      <c r="W211" s="59" t="str">
        <f t="shared" si="12"/>
        <v xml:space="preserve">   </v>
      </c>
      <c r="X211" s="59" t="str">
        <f t="shared" si="13"/>
        <v xml:space="preserve">   --</v>
      </c>
    </row>
    <row r="212" spans="1:24" x14ac:dyDescent="0.2">
      <c r="A212" s="55">
        <v>211</v>
      </c>
      <c r="I212" s="73"/>
      <c r="T212" s="53"/>
      <c r="U212" s="59" t="b">
        <f>IF(O212=CURSOS!$D$3,"DIPLOMADO EN ATENCION PRE-HOSPITALARIA",IF(O212=CURSOS!$D$4,"ACOMPAÑAMIENTO Y MANEJO DEL DUELO",IF(O212=CURSOS!$D$5,"ATENCION A VICTIMAS DE ATAQUE CON AGENTES QUIMICOS ",IF(O212=CURSOS!$D$6,"PRIMEROS AUXILIOS ",IF(O212=CURSOS!$D$7,"DIPLOMADO DE UNIDAD DE CUIDADOS INTENSIVOS (UCI)",IF(O212=CURSOS!$D$8,"MODELO DE ATENCION PARA EVENTOS EMERGENTES EN SALUD MENTAL (CODIGO VERDE)",IF(O212=CURSOS!$D$9,"HUMANIZACION EN EL SERVICIO DE LA SALUD Y BUENAS PRACTICAS EN PACIENTE ",IF(O212=CURSOS!$D$10,"CLINICA DE HERIDAS ",IF(O212=CURSOS!$D$11,"TOMA DE CITOLOGIA CERVICO VAGINAL ",IF(O212=CURSOS!$D$12,"SOPORTE CARDIOVASCULAR AVANZADO (ACLS) ",IF(O212=CURSOS!$D$13,"CAMILLERO ",IF(O212=CURSOS!$D$14,"TOMA DE MUESTRAS Y LABORATORIO ",IF(O212=CURSOS!$D$15,"SOPORTE VITAL BASICO (BLS)",IF(O212=CURSOS!$D$16,"ATENCION A VICTIMAS DE VIOLENCIA SEXUAL ",IF(O212=CURSOS!$D$17,"PROGRAMADO AMPLIADO DE INMUNIZACION (PAI - COVID 19)",IF(O212=CURSOS!$D$18,"ATENCION INTEGRAL EN ENFERMEDADES PREVALENTES EN PRIMERA INFANCIA (AIEPI)",IF(O212=CURSOS!$D$19,"ADMINISTRACION DE MEDICAMENTOS, INYECTOLOGIA  Y CANALIZACION ",IF(O212=CURSOS!$D$20,"OPERADOR DE VEHICULOS DE EMERGENCIA (OVE)",IF(O212=CURSOS!$D$21,"INSTITUCIONES AMIGAS DE LA MUJER Y LA INFANCIA (IAMI)",IF(O212=CURSOS!$D$22,"CUIDADO DEL DONANTE DE ORGANOS",IF(O212=CURSOS!$D$23,"ATENCION A VICTIMAS POR VIOLENCIA DE GENERO",IF(O212=CURSOS!$D$24,"IGUALDAD DE GENERO EN LA SALUD",IF(O212=CURSOS!$D$25,"BRIGADA DE EMERGENCIA",IF(O212=CURSOS!$D$26,"MANEJO DEL DOLOR Y CUIDADOS PALIATIVOS",IF(O212=CURSOS!$D$27,"TOMA DE MUESTRAS Y LABORATORIO POCT",IF(O212=CURSOS!$D$28,"IMPLANTE SUBDERMICO DE DISPOSITIVO INTRAUTERINO",IF(O212=CURSOS!$D$29,"SALUD MENTAL",IF(O212=CURSOS!$D$30,"PRIMEROS AUXILIOS PSICOLOGICOS",IF(O212=CURSOS!$D$31,"ATENCION A VICTIMAS POR CONFLICTO ARMADO",IF(O212=CURSOS!$D$32,"MANIPULACION DE ALIMENTOS Y BPM",IF(O212=CURSOS!$D$33,"ATENCION A PERSONAS CON DISCAPACIDAD",IF(O212=CURSOS!$D$34,"CUIDADO INTEGRAL DEL PACIENTE ADULTO",IF(O212=CURSOS!$D$35,"MANEJO DEFENSIVO",IF(O212=CURSOS!$D$36,"SOPORTE CARDIOVASCULAR AVANZADO NEONATAL",IF(O212=CURSOS!$D$37,"SEGURIDAD DEL PACIENTE",IF(O212=CURSOS!$D$38,"MANEJO DE RESIDUOS HOSPITALARIOS"))))))))))))))))))))))))))))))))))))</f>
        <v>0</v>
      </c>
      <c r="V212" s="59" t="str">
        <f t="shared" si="11"/>
        <v xml:space="preserve">   </v>
      </c>
      <c r="W212" s="59" t="str">
        <f t="shared" si="12"/>
        <v xml:space="preserve">   </v>
      </c>
      <c r="X212" s="59" t="str">
        <f t="shared" si="13"/>
        <v xml:space="preserve">   --</v>
      </c>
    </row>
    <row r="213" spans="1:24" x14ac:dyDescent="0.2">
      <c r="A213" s="55">
        <v>212</v>
      </c>
      <c r="I213" s="73"/>
      <c r="T213" s="53"/>
      <c r="U213" s="59" t="b">
        <f>IF(O213=CURSOS!$D$3,"DIPLOMADO EN ATENCION PRE-HOSPITALARIA",IF(O213=CURSOS!$D$4,"ACOMPAÑAMIENTO Y MANEJO DEL DUELO",IF(O213=CURSOS!$D$5,"ATENCION A VICTIMAS DE ATAQUE CON AGENTES QUIMICOS ",IF(O213=CURSOS!$D$6,"PRIMEROS AUXILIOS ",IF(O213=CURSOS!$D$7,"DIPLOMADO DE UNIDAD DE CUIDADOS INTENSIVOS (UCI)",IF(O213=CURSOS!$D$8,"MODELO DE ATENCION PARA EVENTOS EMERGENTES EN SALUD MENTAL (CODIGO VERDE)",IF(O213=CURSOS!$D$9,"HUMANIZACION EN EL SERVICIO DE LA SALUD Y BUENAS PRACTICAS EN PACIENTE ",IF(O213=CURSOS!$D$10,"CLINICA DE HERIDAS ",IF(O213=CURSOS!$D$11,"TOMA DE CITOLOGIA CERVICO VAGINAL ",IF(O213=CURSOS!$D$12,"SOPORTE CARDIOVASCULAR AVANZADO (ACLS) ",IF(O213=CURSOS!$D$13,"CAMILLERO ",IF(O213=CURSOS!$D$14,"TOMA DE MUESTRAS Y LABORATORIO ",IF(O213=CURSOS!$D$15,"SOPORTE VITAL BASICO (BLS)",IF(O213=CURSOS!$D$16,"ATENCION A VICTIMAS DE VIOLENCIA SEXUAL ",IF(O213=CURSOS!$D$17,"PROGRAMADO AMPLIADO DE INMUNIZACION (PAI - COVID 19)",IF(O213=CURSOS!$D$18,"ATENCION INTEGRAL EN ENFERMEDADES PREVALENTES EN PRIMERA INFANCIA (AIEPI)",IF(O213=CURSOS!$D$19,"ADMINISTRACION DE MEDICAMENTOS, INYECTOLOGIA  Y CANALIZACION ",IF(O213=CURSOS!$D$20,"OPERADOR DE VEHICULOS DE EMERGENCIA (OVE)",IF(O213=CURSOS!$D$21,"INSTITUCIONES AMIGAS DE LA MUJER Y LA INFANCIA (IAMI)",IF(O213=CURSOS!$D$22,"CUIDADO DEL DONANTE DE ORGANOS",IF(O213=CURSOS!$D$23,"ATENCION A VICTIMAS POR VIOLENCIA DE GENERO",IF(O213=CURSOS!$D$24,"IGUALDAD DE GENERO EN LA SALUD",IF(O213=CURSOS!$D$25,"BRIGADA DE EMERGENCIA",IF(O213=CURSOS!$D$26,"MANEJO DEL DOLOR Y CUIDADOS PALIATIVOS",IF(O213=CURSOS!$D$27,"TOMA DE MUESTRAS Y LABORATORIO POCT",IF(O213=CURSOS!$D$28,"IMPLANTE SUBDERMICO DE DISPOSITIVO INTRAUTERINO",IF(O213=CURSOS!$D$29,"SALUD MENTAL",IF(O213=CURSOS!$D$30,"PRIMEROS AUXILIOS PSICOLOGICOS",IF(O213=CURSOS!$D$31,"ATENCION A VICTIMAS POR CONFLICTO ARMADO",IF(O213=CURSOS!$D$32,"MANIPULACION DE ALIMENTOS Y BPM",IF(O213=CURSOS!$D$33,"ATENCION A PERSONAS CON DISCAPACIDAD",IF(O213=CURSOS!$D$34,"CUIDADO INTEGRAL DEL PACIENTE ADULTO",IF(O213=CURSOS!$D$35,"MANEJO DEFENSIVO",IF(O213=CURSOS!$D$36,"SOPORTE CARDIOVASCULAR AVANZADO NEONATAL",IF(O213=CURSOS!$D$37,"SEGURIDAD DEL PACIENTE",IF(O213=CURSOS!$D$38,"MANEJO DE RESIDUOS HOSPITALARIOS"))))))))))))))))))))))))))))))))))))</f>
        <v>0</v>
      </c>
      <c r="V213" s="59" t="str">
        <f t="shared" si="11"/>
        <v xml:space="preserve">   </v>
      </c>
      <c r="W213" s="59" t="str">
        <f t="shared" si="12"/>
        <v xml:space="preserve">   </v>
      </c>
      <c r="X213" s="59" t="str">
        <f t="shared" si="13"/>
        <v xml:space="preserve">   --</v>
      </c>
    </row>
    <row r="214" spans="1:24" x14ac:dyDescent="0.2">
      <c r="A214" s="55">
        <v>213</v>
      </c>
      <c r="I214" s="73"/>
      <c r="T214" s="53"/>
      <c r="U214" s="59" t="b">
        <f>IF(O214=CURSOS!$D$3,"DIPLOMADO EN ATENCION PRE-HOSPITALARIA",IF(O214=CURSOS!$D$4,"ACOMPAÑAMIENTO Y MANEJO DEL DUELO",IF(O214=CURSOS!$D$5,"ATENCION A VICTIMAS DE ATAQUE CON AGENTES QUIMICOS ",IF(O214=CURSOS!$D$6,"PRIMEROS AUXILIOS ",IF(O214=CURSOS!$D$7,"DIPLOMADO DE UNIDAD DE CUIDADOS INTENSIVOS (UCI)",IF(O214=CURSOS!$D$8,"MODELO DE ATENCION PARA EVENTOS EMERGENTES EN SALUD MENTAL (CODIGO VERDE)",IF(O214=CURSOS!$D$9,"HUMANIZACION EN EL SERVICIO DE LA SALUD Y BUENAS PRACTICAS EN PACIENTE ",IF(O214=CURSOS!$D$10,"CLINICA DE HERIDAS ",IF(O214=CURSOS!$D$11,"TOMA DE CITOLOGIA CERVICO VAGINAL ",IF(O214=CURSOS!$D$12,"SOPORTE CARDIOVASCULAR AVANZADO (ACLS) ",IF(O214=CURSOS!$D$13,"CAMILLERO ",IF(O214=CURSOS!$D$14,"TOMA DE MUESTRAS Y LABORATORIO ",IF(O214=CURSOS!$D$15,"SOPORTE VITAL BASICO (BLS)",IF(O214=CURSOS!$D$16,"ATENCION A VICTIMAS DE VIOLENCIA SEXUAL ",IF(O214=CURSOS!$D$17,"PROGRAMADO AMPLIADO DE INMUNIZACION (PAI - COVID 19)",IF(O214=CURSOS!$D$18,"ATENCION INTEGRAL EN ENFERMEDADES PREVALENTES EN PRIMERA INFANCIA (AIEPI)",IF(O214=CURSOS!$D$19,"ADMINISTRACION DE MEDICAMENTOS, INYECTOLOGIA  Y CANALIZACION ",IF(O214=CURSOS!$D$20,"OPERADOR DE VEHICULOS DE EMERGENCIA (OVE)",IF(O214=CURSOS!$D$21,"INSTITUCIONES AMIGAS DE LA MUJER Y LA INFANCIA (IAMI)",IF(O214=CURSOS!$D$22,"CUIDADO DEL DONANTE DE ORGANOS",IF(O214=CURSOS!$D$23,"ATENCION A VICTIMAS POR VIOLENCIA DE GENERO",IF(O214=CURSOS!$D$24,"IGUALDAD DE GENERO EN LA SALUD",IF(O214=CURSOS!$D$25,"BRIGADA DE EMERGENCIA",IF(O214=CURSOS!$D$26,"MANEJO DEL DOLOR Y CUIDADOS PALIATIVOS",IF(O214=CURSOS!$D$27,"TOMA DE MUESTRAS Y LABORATORIO POCT",IF(O214=CURSOS!$D$28,"IMPLANTE SUBDERMICO DE DISPOSITIVO INTRAUTERINO",IF(O214=CURSOS!$D$29,"SALUD MENTAL",IF(O214=CURSOS!$D$30,"PRIMEROS AUXILIOS PSICOLOGICOS",IF(O214=CURSOS!$D$31,"ATENCION A VICTIMAS POR CONFLICTO ARMADO",IF(O214=CURSOS!$D$32,"MANIPULACION DE ALIMENTOS Y BPM",IF(O214=CURSOS!$D$33,"ATENCION A PERSONAS CON DISCAPACIDAD",IF(O214=CURSOS!$D$34,"CUIDADO INTEGRAL DEL PACIENTE ADULTO",IF(O214=CURSOS!$D$35,"MANEJO DEFENSIVO",IF(O214=CURSOS!$D$36,"SOPORTE CARDIOVASCULAR AVANZADO NEONATAL",IF(O214=CURSOS!$D$37,"SEGURIDAD DEL PACIENTE",IF(O214=CURSOS!$D$38,"MANEJO DE RESIDUOS HOSPITALARIOS"))))))))))))))))))))))))))))))))))))</f>
        <v>0</v>
      </c>
      <c r="V214" s="59" t="str">
        <f t="shared" si="11"/>
        <v xml:space="preserve">   </v>
      </c>
      <c r="W214" s="59" t="str">
        <f t="shared" si="12"/>
        <v xml:space="preserve">   </v>
      </c>
      <c r="X214" s="59" t="str">
        <f t="shared" si="13"/>
        <v xml:space="preserve">   --</v>
      </c>
    </row>
    <row r="215" spans="1:24" x14ac:dyDescent="0.2">
      <c r="A215" s="55">
        <v>214</v>
      </c>
      <c r="I215" s="73"/>
      <c r="T215" s="53"/>
      <c r="U215" s="59" t="b">
        <f>IF(O215=CURSOS!$D$3,"DIPLOMADO EN ATENCION PRE-HOSPITALARIA",IF(O215=CURSOS!$D$4,"ACOMPAÑAMIENTO Y MANEJO DEL DUELO",IF(O215=CURSOS!$D$5,"ATENCION A VICTIMAS DE ATAQUE CON AGENTES QUIMICOS ",IF(O215=CURSOS!$D$6,"PRIMEROS AUXILIOS ",IF(O215=CURSOS!$D$7,"DIPLOMADO DE UNIDAD DE CUIDADOS INTENSIVOS (UCI)",IF(O215=CURSOS!$D$8,"MODELO DE ATENCION PARA EVENTOS EMERGENTES EN SALUD MENTAL (CODIGO VERDE)",IF(O215=CURSOS!$D$9,"HUMANIZACION EN EL SERVICIO DE LA SALUD Y BUENAS PRACTICAS EN PACIENTE ",IF(O215=CURSOS!$D$10,"CLINICA DE HERIDAS ",IF(O215=CURSOS!$D$11,"TOMA DE CITOLOGIA CERVICO VAGINAL ",IF(O215=CURSOS!$D$12,"SOPORTE CARDIOVASCULAR AVANZADO (ACLS) ",IF(O215=CURSOS!$D$13,"CAMILLERO ",IF(O215=CURSOS!$D$14,"TOMA DE MUESTRAS Y LABORATORIO ",IF(O215=CURSOS!$D$15,"SOPORTE VITAL BASICO (BLS)",IF(O215=CURSOS!$D$16,"ATENCION A VICTIMAS DE VIOLENCIA SEXUAL ",IF(O215=CURSOS!$D$17,"PROGRAMADO AMPLIADO DE INMUNIZACION (PAI - COVID 19)",IF(O215=CURSOS!$D$18,"ATENCION INTEGRAL EN ENFERMEDADES PREVALENTES EN PRIMERA INFANCIA (AIEPI)",IF(O215=CURSOS!$D$19,"ADMINISTRACION DE MEDICAMENTOS, INYECTOLOGIA  Y CANALIZACION ",IF(O215=CURSOS!$D$20,"OPERADOR DE VEHICULOS DE EMERGENCIA (OVE)",IF(O215=CURSOS!$D$21,"INSTITUCIONES AMIGAS DE LA MUJER Y LA INFANCIA (IAMI)",IF(O215=CURSOS!$D$22,"CUIDADO DEL DONANTE DE ORGANOS",IF(O215=CURSOS!$D$23,"ATENCION A VICTIMAS POR VIOLENCIA DE GENERO",IF(O215=CURSOS!$D$24,"IGUALDAD DE GENERO EN LA SALUD",IF(O215=CURSOS!$D$25,"BRIGADA DE EMERGENCIA",IF(O215=CURSOS!$D$26,"MANEJO DEL DOLOR Y CUIDADOS PALIATIVOS",IF(O215=CURSOS!$D$27,"TOMA DE MUESTRAS Y LABORATORIO POCT",IF(O215=CURSOS!$D$28,"IMPLANTE SUBDERMICO DE DISPOSITIVO INTRAUTERINO",IF(O215=CURSOS!$D$29,"SALUD MENTAL",IF(O215=CURSOS!$D$30,"PRIMEROS AUXILIOS PSICOLOGICOS",IF(O215=CURSOS!$D$31,"ATENCION A VICTIMAS POR CONFLICTO ARMADO",IF(O215=CURSOS!$D$32,"MANIPULACION DE ALIMENTOS Y BPM",IF(O215=CURSOS!$D$33,"ATENCION A PERSONAS CON DISCAPACIDAD",IF(O215=CURSOS!$D$34,"CUIDADO INTEGRAL DEL PACIENTE ADULTO",IF(O215=CURSOS!$D$35,"MANEJO DEFENSIVO",IF(O215=CURSOS!$D$36,"SOPORTE CARDIOVASCULAR AVANZADO NEONATAL",IF(O215=CURSOS!$D$37,"SEGURIDAD DEL PACIENTE",IF(O215=CURSOS!$D$38,"MANEJO DE RESIDUOS HOSPITALARIOS"))))))))))))))))))))))))))))))))))))</f>
        <v>0</v>
      </c>
      <c r="V215" s="59" t="str">
        <f t="shared" si="11"/>
        <v xml:space="preserve">   </v>
      </c>
      <c r="W215" s="59" t="str">
        <f t="shared" si="12"/>
        <v xml:space="preserve">   </v>
      </c>
      <c r="X215" s="59" t="str">
        <f t="shared" si="13"/>
        <v xml:space="preserve">   --</v>
      </c>
    </row>
    <row r="216" spans="1:24" x14ac:dyDescent="0.2">
      <c r="A216" s="55">
        <v>215</v>
      </c>
      <c r="I216" s="73"/>
      <c r="T216" s="53"/>
      <c r="U216" s="59" t="b">
        <f>IF(O216=CURSOS!$D$3,"DIPLOMADO EN ATENCION PRE-HOSPITALARIA",IF(O216=CURSOS!$D$4,"ACOMPAÑAMIENTO Y MANEJO DEL DUELO",IF(O216=CURSOS!$D$5,"ATENCION A VICTIMAS DE ATAQUE CON AGENTES QUIMICOS ",IF(O216=CURSOS!$D$6,"PRIMEROS AUXILIOS ",IF(O216=CURSOS!$D$7,"DIPLOMADO DE UNIDAD DE CUIDADOS INTENSIVOS (UCI)",IF(O216=CURSOS!$D$8,"MODELO DE ATENCION PARA EVENTOS EMERGENTES EN SALUD MENTAL (CODIGO VERDE)",IF(O216=CURSOS!$D$9,"HUMANIZACION EN EL SERVICIO DE LA SALUD Y BUENAS PRACTICAS EN PACIENTE ",IF(O216=CURSOS!$D$10,"CLINICA DE HERIDAS ",IF(O216=CURSOS!$D$11,"TOMA DE CITOLOGIA CERVICO VAGINAL ",IF(O216=CURSOS!$D$12,"SOPORTE CARDIOVASCULAR AVANZADO (ACLS) ",IF(O216=CURSOS!$D$13,"CAMILLERO ",IF(O216=CURSOS!$D$14,"TOMA DE MUESTRAS Y LABORATORIO ",IF(O216=CURSOS!$D$15,"SOPORTE VITAL BASICO (BLS)",IF(O216=CURSOS!$D$16,"ATENCION A VICTIMAS DE VIOLENCIA SEXUAL ",IF(O216=CURSOS!$D$17,"PROGRAMADO AMPLIADO DE INMUNIZACION (PAI - COVID 19)",IF(O216=CURSOS!$D$18,"ATENCION INTEGRAL EN ENFERMEDADES PREVALENTES EN PRIMERA INFANCIA (AIEPI)",IF(O216=CURSOS!$D$19,"ADMINISTRACION DE MEDICAMENTOS, INYECTOLOGIA  Y CANALIZACION ",IF(O216=CURSOS!$D$20,"OPERADOR DE VEHICULOS DE EMERGENCIA (OVE)",IF(O216=CURSOS!$D$21,"INSTITUCIONES AMIGAS DE LA MUJER Y LA INFANCIA (IAMI)",IF(O216=CURSOS!$D$22,"CUIDADO DEL DONANTE DE ORGANOS",IF(O216=CURSOS!$D$23,"ATENCION A VICTIMAS POR VIOLENCIA DE GENERO",IF(O216=CURSOS!$D$24,"IGUALDAD DE GENERO EN LA SALUD",IF(O216=CURSOS!$D$25,"BRIGADA DE EMERGENCIA",IF(O216=CURSOS!$D$26,"MANEJO DEL DOLOR Y CUIDADOS PALIATIVOS",IF(O216=CURSOS!$D$27,"TOMA DE MUESTRAS Y LABORATORIO POCT",IF(O216=CURSOS!$D$28,"IMPLANTE SUBDERMICO DE DISPOSITIVO INTRAUTERINO",IF(O216=CURSOS!$D$29,"SALUD MENTAL",IF(O216=CURSOS!$D$30,"PRIMEROS AUXILIOS PSICOLOGICOS",IF(O216=CURSOS!$D$31,"ATENCION A VICTIMAS POR CONFLICTO ARMADO",IF(O216=CURSOS!$D$32,"MANIPULACION DE ALIMENTOS Y BPM",IF(O216=CURSOS!$D$33,"ATENCION A PERSONAS CON DISCAPACIDAD",IF(O216=CURSOS!$D$34,"CUIDADO INTEGRAL DEL PACIENTE ADULTO",IF(O216=CURSOS!$D$35,"MANEJO DEFENSIVO",IF(O216=CURSOS!$D$36,"SOPORTE CARDIOVASCULAR AVANZADO NEONATAL",IF(O216=CURSOS!$D$37,"SEGURIDAD DEL PACIENTE",IF(O216=CURSOS!$D$38,"MANEJO DE RESIDUOS HOSPITALARIOS"))))))))))))))))))))))))))))))))))))</f>
        <v>0</v>
      </c>
      <c r="V216" s="59" t="str">
        <f t="shared" si="11"/>
        <v xml:space="preserve">   </v>
      </c>
      <c r="W216" s="59" t="str">
        <f t="shared" si="12"/>
        <v xml:space="preserve">   </v>
      </c>
      <c r="X216" s="59" t="str">
        <f t="shared" si="13"/>
        <v xml:space="preserve">   --</v>
      </c>
    </row>
    <row r="217" spans="1:24" x14ac:dyDescent="0.2">
      <c r="A217" s="55">
        <v>216</v>
      </c>
      <c r="I217" s="73"/>
      <c r="T217" s="53"/>
      <c r="U217" s="59" t="b">
        <f>IF(O217=CURSOS!$D$3,"DIPLOMADO EN ATENCION PRE-HOSPITALARIA",IF(O217=CURSOS!$D$4,"ACOMPAÑAMIENTO Y MANEJO DEL DUELO",IF(O217=CURSOS!$D$5,"ATENCION A VICTIMAS DE ATAQUE CON AGENTES QUIMICOS ",IF(O217=CURSOS!$D$6,"PRIMEROS AUXILIOS ",IF(O217=CURSOS!$D$7,"DIPLOMADO DE UNIDAD DE CUIDADOS INTENSIVOS (UCI)",IF(O217=CURSOS!$D$8,"MODELO DE ATENCION PARA EVENTOS EMERGENTES EN SALUD MENTAL (CODIGO VERDE)",IF(O217=CURSOS!$D$9,"HUMANIZACION EN EL SERVICIO DE LA SALUD Y BUENAS PRACTICAS EN PACIENTE ",IF(O217=CURSOS!$D$10,"CLINICA DE HERIDAS ",IF(O217=CURSOS!$D$11,"TOMA DE CITOLOGIA CERVICO VAGINAL ",IF(O217=CURSOS!$D$12,"SOPORTE CARDIOVASCULAR AVANZADO (ACLS) ",IF(O217=CURSOS!$D$13,"CAMILLERO ",IF(O217=CURSOS!$D$14,"TOMA DE MUESTRAS Y LABORATORIO ",IF(O217=CURSOS!$D$15,"SOPORTE VITAL BASICO (BLS)",IF(O217=CURSOS!$D$16,"ATENCION A VICTIMAS DE VIOLENCIA SEXUAL ",IF(O217=CURSOS!$D$17,"PROGRAMADO AMPLIADO DE INMUNIZACION (PAI - COVID 19)",IF(O217=CURSOS!$D$18,"ATENCION INTEGRAL EN ENFERMEDADES PREVALENTES EN PRIMERA INFANCIA (AIEPI)",IF(O217=CURSOS!$D$19,"ADMINISTRACION DE MEDICAMENTOS, INYECTOLOGIA  Y CANALIZACION ",IF(O217=CURSOS!$D$20,"OPERADOR DE VEHICULOS DE EMERGENCIA (OVE)",IF(O217=CURSOS!$D$21,"INSTITUCIONES AMIGAS DE LA MUJER Y LA INFANCIA (IAMI)",IF(O217=CURSOS!$D$22,"CUIDADO DEL DONANTE DE ORGANOS",IF(O217=CURSOS!$D$23,"ATENCION A VICTIMAS POR VIOLENCIA DE GENERO",IF(O217=CURSOS!$D$24,"IGUALDAD DE GENERO EN LA SALUD",IF(O217=CURSOS!$D$25,"BRIGADA DE EMERGENCIA",IF(O217=CURSOS!$D$26,"MANEJO DEL DOLOR Y CUIDADOS PALIATIVOS",IF(O217=CURSOS!$D$27,"TOMA DE MUESTRAS Y LABORATORIO POCT",IF(O217=CURSOS!$D$28,"IMPLANTE SUBDERMICO DE DISPOSITIVO INTRAUTERINO",IF(O217=CURSOS!$D$29,"SALUD MENTAL",IF(O217=CURSOS!$D$30,"PRIMEROS AUXILIOS PSICOLOGICOS",IF(O217=CURSOS!$D$31,"ATENCION A VICTIMAS POR CONFLICTO ARMADO",IF(O217=CURSOS!$D$32,"MANIPULACION DE ALIMENTOS Y BPM",IF(O217=CURSOS!$D$33,"ATENCION A PERSONAS CON DISCAPACIDAD",IF(O217=CURSOS!$D$34,"CUIDADO INTEGRAL DEL PACIENTE ADULTO",IF(O217=CURSOS!$D$35,"MANEJO DEFENSIVO",IF(O217=CURSOS!$D$36,"SOPORTE CARDIOVASCULAR AVANZADO NEONATAL",IF(O217=CURSOS!$D$37,"SEGURIDAD DEL PACIENTE",IF(O217=CURSOS!$D$38,"MANEJO DE RESIDUOS HOSPITALARIOS"))))))))))))))))))))))))))))))))))))</f>
        <v>0</v>
      </c>
      <c r="V217" s="59" t="str">
        <f t="shared" si="11"/>
        <v xml:space="preserve">   </v>
      </c>
      <c r="W217" s="59" t="str">
        <f t="shared" si="12"/>
        <v xml:space="preserve">   </v>
      </c>
      <c r="X217" s="59" t="str">
        <f t="shared" si="13"/>
        <v xml:space="preserve">   --</v>
      </c>
    </row>
    <row r="218" spans="1:24" x14ac:dyDescent="0.2">
      <c r="A218" s="55">
        <v>217</v>
      </c>
      <c r="I218" s="73"/>
      <c r="T218" s="53"/>
      <c r="U218" s="59" t="b">
        <f>IF(O218=CURSOS!$D$3,"DIPLOMADO EN ATENCION PRE-HOSPITALARIA",IF(O218=CURSOS!$D$4,"ACOMPAÑAMIENTO Y MANEJO DEL DUELO",IF(O218=CURSOS!$D$5,"ATENCION A VICTIMAS DE ATAQUE CON AGENTES QUIMICOS ",IF(O218=CURSOS!$D$6,"PRIMEROS AUXILIOS ",IF(O218=CURSOS!$D$7,"DIPLOMADO DE UNIDAD DE CUIDADOS INTENSIVOS (UCI)",IF(O218=CURSOS!$D$8,"MODELO DE ATENCION PARA EVENTOS EMERGENTES EN SALUD MENTAL (CODIGO VERDE)",IF(O218=CURSOS!$D$9,"HUMANIZACION EN EL SERVICIO DE LA SALUD Y BUENAS PRACTICAS EN PACIENTE ",IF(O218=CURSOS!$D$10,"CLINICA DE HERIDAS ",IF(O218=CURSOS!$D$11,"TOMA DE CITOLOGIA CERVICO VAGINAL ",IF(O218=CURSOS!$D$12,"SOPORTE CARDIOVASCULAR AVANZADO (ACLS) ",IF(O218=CURSOS!$D$13,"CAMILLERO ",IF(O218=CURSOS!$D$14,"TOMA DE MUESTRAS Y LABORATORIO ",IF(O218=CURSOS!$D$15,"SOPORTE VITAL BASICO (BLS)",IF(O218=CURSOS!$D$16,"ATENCION A VICTIMAS DE VIOLENCIA SEXUAL ",IF(O218=CURSOS!$D$17,"PROGRAMADO AMPLIADO DE INMUNIZACION (PAI - COVID 19)",IF(O218=CURSOS!$D$18,"ATENCION INTEGRAL EN ENFERMEDADES PREVALENTES EN PRIMERA INFANCIA (AIEPI)",IF(O218=CURSOS!$D$19,"ADMINISTRACION DE MEDICAMENTOS, INYECTOLOGIA  Y CANALIZACION ",IF(O218=CURSOS!$D$20,"OPERADOR DE VEHICULOS DE EMERGENCIA (OVE)",IF(O218=CURSOS!$D$21,"INSTITUCIONES AMIGAS DE LA MUJER Y LA INFANCIA (IAMI)",IF(O218=CURSOS!$D$22,"CUIDADO DEL DONANTE DE ORGANOS",IF(O218=CURSOS!$D$23,"ATENCION A VICTIMAS POR VIOLENCIA DE GENERO",IF(O218=CURSOS!$D$24,"IGUALDAD DE GENERO EN LA SALUD",IF(O218=CURSOS!$D$25,"BRIGADA DE EMERGENCIA",IF(O218=CURSOS!$D$26,"MANEJO DEL DOLOR Y CUIDADOS PALIATIVOS",IF(O218=CURSOS!$D$27,"TOMA DE MUESTRAS Y LABORATORIO POCT",IF(O218=CURSOS!$D$28,"IMPLANTE SUBDERMICO DE DISPOSITIVO INTRAUTERINO",IF(O218=CURSOS!$D$29,"SALUD MENTAL",IF(O218=CURSOS!$D$30,"PRIMEROS AUXILIOS PSICOLOGICOS",IF(O218=CURSOS!$D$31,"ATENCION A VICTIMAS POR CONFLICTO ARMADO",IF(O218=CURSOS!$D$32,"MANIPULACION DE ALIMENTOS Y BPM",IF(O218=CURSOS!$D$33,"ATENCION A PERSONAS CON DISCAPACIDAD",IF(O218=CURSOS!$D$34,"CUIDADO INTEGRAL DEL PACIENTE ADULTO",IF(O218=CURSOS!$D$35,"MANEJO DEFENSIVO",IF(O218=CURSOS!$D$36,"SOPORTE CARDIOVASCULAR AVANZADO NEONATAL",IF(O218=CURSOS!$D$37,"SEGURIDAD DEL PACIENTE",IF(O218=CURSOS!$D$38,"MANEJO DE RESIDUOS HOSPITALARIOS"))))))))))))))))))))))))))))))))))))</f>
        <v>0</v>
      </c>
      <c r="V218" s="59" t="str">
        <f t="shared" si="11"/>
        <v xml:space="preserve">   </v>
      </c>
      <c r="W218" s="59" t="str">
        <f t="shared" si="12"/>
        <v xml:space="preserve">   </v>
      </c>
      <c r="X218" s="59" t="str">
        <f t="shared" si="13"/>
        <v xml:space="preserve">   --</v>
      </c>
    </row>
    <row r="219" spans="1:24" x14ac:dyDescent="0.2">
      <c r="A219" s="55">
        <v>218</v>
      </c>
      <c r="I219" s="73"/>
      <c r="T219" s="53"/>
      <c r="U219" s="59" t="b">
        <f>IF(O219=CURSOS!$D$3,"DIPLOMADO EN ATENCION PRE-HOSPITALARIA",IF(O219=CURSOS!$D$4,"ACOMPAÑAMIENTO Y MANEJO DEL DUELO",IF(O219=CURSOS!$D$5,"ATENCION A VICTIMAS DE ATAQUE CON AGENTES QUIMICOS ",IF(O219=CURSOS!$D$6,"PRIMEROS AUXILIOS ",IF(O219=CURSOS!$D$7,"DIPLOMADO DE UNIDAD DE CUIDADOS INTENSIVOS (UCI)",IF(O219=CURSOS!$D$8,"MODELO DE ATENCION PARA EVENTOS EMERGENTES EN SALUD MENTAL (CODIGO VERDE)",IF(O219=CURSOS!$D$9,"HUMANIZACION EN EL SERVICIO DE LA SALUD Y BUENAS PRACTICAS EN PACIENTE ",IF(O219=CURSOS!$D$10,"CLINICA DE HERIDAS ",IF(O219=CURSOS!$D$11,"TOMA DE CITOLOGIA CERVICO VAGINAL ",IF(O219=CURSOS!$D$12,"SOPORTE CARDIOVASCULAR AVANZADO (ACLS) ",IF(O219=CURSOS!$D$13,"CAMILLERO ",IF(O219=CURSOS!$D$14,"TOMA DE MUESTRAS Y LABORATORIO ",IF(O219=CURSOS!$D$15,"SOPORTE VITAL BASICO (BLS)",IF(O219=CURSOS!$D$16,"ATENCION A VICTIMAS DE VIOLENCIA SEXUAL ",IF(O219=CURSOS!$D$17,"PROGRAMADO AMPLIADO DE INMUNIZACION (PAI - COVID 19)",IF(O219=CURSOS!$D$18,"ATENCION INTEGRAL EN ENFERMEDADES PREVALENTES EN PRIMERA INFANCIA (AIEPI)",IF(O219=CURSOS!$D$19,"ADMINISTRACION DE MEDICAMENTOS, INYECTOLOGIA  Y CANALIZACION ",IF(O219=CURSOS!$D$20,"OPERADOR DE VEHICULOS DE EMERGENCIA (OVE)",IF(O219=CURSOS!$D$21,"INSTITUCIONES AMIGAS DE LA MUJER Y LA INFANCIA (IAMI)",IF(O219=CURSOS!$D$22,"CUIDADO DEL DONANTE DE ORGANOS",IF(O219=CURSOS!$D$23,"ATENCION A VICTIMAS POR VIOLENCIA DE GENERO",IF(O219=CURSOS!$D$24,"IGUALDAD DE GENERO EN LA SALUD",IF(O219=CURSOS!$D$25,"BRIGADA DE EMERGENCIA",IF(O219=CURSOS!$D$26,"MANEJO DEL DOLOR Y CUIDADOS PALIATIVOS",IF(O219=CURSOS!$D$27,"TOMA DE MUESTRAS Y LABORATORIO POCT",IF(O219=CURSOS!$D$28,"IMPLANTE SUBDERMICO DE DISPOSITIVO INTRAUTERINO",IF(O219=CURSOS!$D$29,"SALUD MENTAL",IF(O219=CURSOS!$D$30,"PRIMEROS AUXILIOS PSICOLOGICOS",IF(O219=CURSOS!$D$31,"ATENCION A VICTIMAS POR CONFLICTO ARMADO",IF(O219=CURSOS!$D$32,"MANIPULACION DE ALIMENTOS Y BPM",IF(O219=CURSOS!$D$33,"ATENCION A PERSONAS CON DISCAPACIDAD",IF(O219=CURSOS!$D$34,"CUIDADO INTEGRAL DEL PACIENTE ADULTO",IF(O219=CURSOS!$D$35,"MANEJO DEFENSIVO",IF(O219=CURSOS!$D$36,"SOPORTE CARDIOVASCULAR AVANZADO NEONATAL",IF(O219=CURSOS!$D$37,"SEGURIDAD DEL PACIENTE",IF(O219=CURSOS!$D$38,"MANEJO DE RESIDUOS HOSPITALARIOS"))))))))))))))))))))))))))))))))))))</f>
        <v>0</v>
      </c>
      <c r="V219" s="59" t="str">
        <f t="shared" si="11"/>
        <v xml:space="preserve">   </v>
      </c>
      <c r="W219" s="59" t="str">
        <f t="shared" si="12"/>
        <v xml:space="preserve">   </v>
      </c>
      <c r="X219" s="59" t="str">
        <f t="shared" si="13"/>
        <v xml:space="preserve">   --</v>
      </c>
    </row>
    <row r="220" spans="1:24" x14ac:dyDescent="0.2">
      <c r="A220" s="55">
        <v>219</v>
      </c>
      <c r="I220" s="73"/>
      <c r="T220" s="53"/>
      <c r="U220" s="59" t="b">
        <f>IF(O220=CURSOS!$D$3,"DIPLOMADO EN ATENCION PRE-HOSPITALARIA",IF(O220=CURSOS!$D$4,"ACOMPAÑAMIENTO Y MANEJO DEL DUELO",IF(O220=CURSOS!$D$5,"ATENCION A VICTIMAS DE ATAQUE CON AGENTES QUIMICOS ",IF(O220=CURSOS!$D$6,"PRIMEROS AUXILIOS ",IF(O220=CURSOS!$D$7,"DIPLOMADO DE UNIDAD DE CUIDADOS INTENSIVOS (UCI)",IF(O220=CURSOS!$D$8,"MODELO DE ATENCION PARA EVENTOS EMERGENTES EN SALUD MENTAL (CODIGO VERDE)",IF(O220=CURSOS!$D$9,"HUMANIZACION EN EL SERVICIO DE LA SALUD Y BUENAS PRACTICAS EN PACIENTE ",IF(O220=CURSOS!$D$10,"CLINICA DE HERIDAS ",IF(O220=CURSOS!$D$11,"TOMA DE CITOLOGIA CERVICO VAGINAL ",IF(O220=CURSOS!$D$12,"SOPORTE CARDIOVASCULAR AVANZADO (ACLS) ",IF(O220=CURSOS!$D$13,"CAMILLERO ",IF(O220=CURSOS!$D$14,"TOMA DE MUESTRAS Y LABORATORIO ",IF(O220=CURSOS!$D$15,"SOPORTE VITAL BASICO (BLS)",IF(O220=CURSOS!$D$16,"ATENCION A VICTIMAS DE VIOLENCIA SEXUAL ",IF(O220=CURSOS!$D$17,"PROGRAMADO AMPLIADO DE INMUNIZACION (PAI - COVID 19)",IF(O220=CURSOS!$D$18,"ATENCION INTEGRAL EN ENFERMEDADES PREVALENTES EN PRIMERA INFANCIA (AIEPI)",IF(O220=CURSOS!$D$19,"ADMINISTRACION DE MEDICAMENTOS, INYECTOLOGIA  Y CANALIZACION ",IF(O220=CURSOS!$D$20,"OPERADOR DE VEHICULOS DE EMERGENCIA (OVE)",IF(O220=CURSOS!$D$21,"INSTITUCIONES AMIGAS DE LA MUJER Y LA INFANCIA (IAMI)",IF(O220=CURSOS!$D$22,"CUIDADO DEL DONANTE DE ORGANOS",IF(O220=CURSOS!$D$23,"ATENCION A VICTIMAS POR VIOLENCIA DE GENERO",IF(O220=CURSOS!$D$24,"IGUALDAD DE GENERO EN LA SALUD",IF(O220=CURSOS!$D$25,"BRIGADA DE EMERGENCIA",IF(O220=CURSOS!$D$26,"MANEJO DEL DOLOR Y CUIDADOS PALIATIVOS",IF(O220=CURSOS!$D$27,"TOMA DE MUESTRAS Y LABORATORIO POCT",IF(O220=CURSOS!$D$28,"IMPLANTE SUBDERMICO DE DISPOSITIVO INTRAUTERINO",IF(O220=CURSOS!$D$29,"SALUD MENTAL",IF(O220=CURSOS!$D$30,"PRIMEROS AUXILIOS PSICOLOGICOS",IF(O220=CURSOS!$D$31,"ATENCION A VICTIMAS POR CONFLICTO ARMADO",IF(O220=CURSOS!$D$32,"MANIPULACION DE ALIMENTOS Y BPM",IF(O220=CURSOS!$D$33,"ATENCION A PERSONAS CON DISCAPACIDAD",IF(O220=CURSOS!$D$34,"CUIDADO INTEGRAL DEL PACIENTE ADULTO",IF(O220=CURSOS!$D$35,"MANEJO DEFENSIVO",IF(O220=CURSOS!$D$36,"SOPORTE CARDIOVASCULAR AVANZADO NEONATAL",IF(O220=CURSOS!$D$37,"SEGURIDAD DEL PACIENTE",IF(O220=CURSOS!$D$38,"MANEJO DE RESIDUOS HOSPITALARIOS"))))))))))))))))))))))))))))))))))))</f>
        <v>0</v>
      </c>
      <c r="V220" s="59" t="str">
        <f t="shared" si="11"/>
        <v xml:space="preserve">   </v>
      </c>
      <c r="W220" s="59" t="str">
        <f t="shared" si="12"/>
        <v xml:space="preserve">   </v>
      </c>
      <c r="X220" s="59" t="str">
        <f t="shared" si="13"/>
        <v xml:space="preserve">   --</v>
      </c>
    </row>
    <row r="221" spans="1:24" x14ac:dyDescent="0.2">
      <c r="A221" s="55">
        <v>220</v>
      </c>
      <c r="I221" s="73"/>
      <c r="T221" s="53"/>
      <c r="U221" s="59" t="b">
        <f>IF(O221=CURSOS!$D$3,"DIPLOMADO EN ATENCION PRE-HOSPITALARIA",IF(O221=CURSOS!$D$4,"ACOMPAÑAMIENTO Y MANEJO DEL DUELO",IF(O221=CURSOS!$D$5,"ATENCION A VICTIMAS DE ATAQUE CON AGENTES QUIMICOS ",IF(O221=CURSOS!$D$6,"PRIMEROS AUXILIOS ",IF(O221=CURSOS!$D$7,"DIPLOMADO DE UNIDAD DE CUIDADOS INTENSIVOS (UCI)",IF(O221=CURSOS!$D$8,"MODELO DE ATENCION PARA EVENTOS EMERGENTES EN SALUD MENTAL (CODIGO VERDE)",IF(O221=CURSOS!$D$9,"HUMANIZACION EN EL SERVICIO DE LA SALUD Y BUENAS PRACTICAS EN PACIENTE ",IF(O221=CURSOS!$D$10,"CLINICA DE HERIDAS ",IF(O221=CURSOS!$D$11,"TOMA DE CITOLOGIA CERVICO VAGINAL ",IF(O221=CURSOS!$D$12,"SOPORTE CARDIOVASCULAR AVANZADO (ACLS) ",IF(O221=CURSOS!$D$13,"CAMILLERO ",IF(O221=CURSOS!$D$14,"TOMA DE MUESTRAS Y LABORATORIO ",IF(O221=CURSOS!$D$15,"SOPORTE VITAL BASICO (BLS)",IF(O221=CURSOS!$D$16,"ATENCION A VICTIMAS DE VIOLENCIA SEXUAL ",IF(O221=CURSOS!$D$17,"PROGRAMADO AMPLIADO DE INMUNIZACION (PAI - COVID 19)",IF(O221=CURSOS!$D$18,"ATENCION INTEGRAL EN ENFERMEDADES PREVALENTES EN PRIMERA INFANCIA (AIEPI)",IF(O221=CURSOS!$D$19,"ADMINISTRACION DE MEDICAMENTOS, INYECTOLOGIA  Y CANALIZACION ",IF(O221=CURSOS!$D$20,"OPERADOR DE VEHICULOS DE EMERGENCIA (OVE)",IF(O221=CURSOS!$D$21,"INSTITUCIONES AMIGAS DE LA MUJER Y LA INFANCIA (IAMI)",IF(O221=CURSOS!$D$22,"CUIDADO DEL DONANTE DE ORGANOS",IF(O221=CURSOS!$D$23,"ATENCION A VICTIMAS POR VIOLENCIA DE GENERO",IF(O221=CURSOS!$D$24,"IGUALDAD DE GENERO EN LA SALUD",IF(O221=CURSOS!$D$25,"BRIGADA DE EMERGENCIA",IF(O221=CURSOS!$D$26,"MANEJO DEL DOLOR Y CUIDADOS PALIATIVOS",IF(O221=CURSOS!$D$27,"TOMA DE MUESTRAS Y LABORATORIO POCT",IF(O221=CURSOS!$D$28,"IMPLANTE SUBDERMICO DE DISPOSITIVO INTRAUTERINO",IF(O221=CURSOS!$D$29,"SALUD MENTAL",IF(O221=CURSOS!$D$30,"PRIMEROS AUXILIOS PSICOLOGICOS",IF(O221=CURSOS!$D$31,"ATENCION A VICTIMAS POR CONFLICTO ARMADO",IF(O221=CURSOS!$D$32,"MANIPULACION DE ALIMENTOS Y BPM",IF(O221=CURSOS!$D$33,"ATENCION A PERSONAS CON DISCAPACIDAD",IF(O221=CURSOS!$D$34,"CUIDADO INTEGRAL DEL PACIENTE ADULTO",IF(O221=CURSOS!$D$35,"MANEJO DEFENSIVO",IF(O221=CURSOS!$D$36,"SOPORTE CARDIOVASCULAR AVANZADO NEONATAL",IF(O221=CURSOS!$D$37,"SEGURIDAD DEL PACIENTE",IF(O221=CURSOS!$D$38,"MANEJO DE RESIDUOS HOSPITALARIOS"))))))))))))))))))))))))))))))))))))</f>
        <v>0</v>
      </c>
      <c r="V221" s="59" t="str">
        <f t="shared" si="11"/>
        <v xml:space="preserve">   </v>
      </c>
      <c r="W221" s="59" t="str">
        <f t="shared" si="12"/>
        <v xml:space="preserve">   </v>
      </c>
      <c r="X221" s="59" t="str">
        <f t="shared" si="13"/>
        <v xml:space="preserve">   --</v>
      </c>
    </row>
    <row r="222" spans="1:24" x14ac:dyDescent="0.2">
      <c r="A222" s="55">
        <v>221</v>
      </c>
      <c r="I222" s="73"/>
      <c r="T222" s="53"/>
      <c r="U222" s="59" t="b">
        <f>IF(O222=CURSOS!$D$3,"DIPLOMADO EN ATENCION PRE-HOSPITALARIA",IF(O222=CURSOS!$D$4,"ACOMPAÑAMIENTO Y MANEJO DEL DUELO",IF(O222=CURSOS!$D$5,"ATENCION A VICTIMAS DE ATAQUE CON AGENTES QUIMICOS ",IF(O222=CURSOS!$D$6,"PRIMEROS AUXILIOS ",IF(O222=CURSOS!$D$7,"DIPLOMADO DE UNIDAD DE CUIDADOS INTENSIVOS (UCI)",IF(O222=CURSOS!$D$8,"MODELO DE ATENCION PARA EVENTOS EMERGENTES EN SALUD MENTAL (CODIGO VERDE)",IF(O222=CURSOS!$D$9,"HUMANIZACION EN EL SERVICIO DE LA SALUD Y BUENAS PRACTICAS EN PACIENTE ",IF(O222=CURSOS!$D$10,"CLINICA DE HERIDAS ",IF(O222=CURSOS!$D$11,"TOMA DE CITOLOGIA CERVICO VAGINAL ",IF(O222=CURSOS!$D$12,"SOPORTE CARDIOVASCULAR AVANZADO (ACLS) ",IF(O222=CURSOS!$D$13,"CAMILLERO ",IF(O222=CURSOS!$D$14,"TOMA DE MUESTRAS Y LABORATORIO ",IF(O222=CURSOS!$D$15,"SOPORTE VITAL BASICO (BLS)",IF(O222=CURSOS!$D$16,"ATENCION A VICTIMAS DE VIOLENCIA SEXUAL ",IF(O222=CURSOS!$D$17,"PROGRAMADO AMPLIADO DE INMUNIZACION (PAI - COVID 19)",IF(O222=CURSOS!$D$18,"ATENCION INTEGRAL EN ENFERMEDADES PREVALENTES EN PRIMERA INFANCIA (AIEPI)",IF(O222=CURSOS!$D$19,"ADMINISTRACION DE MEDICAMENTOS, INYECTOLOGIA  Y CANALIZACION ",IF(O222=CURSOS!$D$20,"OPERADOR DE VEHICULOS DE EMERGENCIA (OVE)",IF(O222=CURSOS!$D$21,"INSTITUCIONES AMIGAS DE LA MUJER Y LA INFANCIA (IAMI)",IF(O222=CURSOS!$D$22,"CUIDADO DEL DONANTE DE ORGANOS",IF(O222=CURSOS!$D$23,"ATENCION A VICTIMAS POR VIOLENCIA DE GENERO",IF(O222=CURSOS!$D$24,"IGUALDAD DE GENERO EN LA SALUD",IF(O222=CURSOS!$D$25,"BRIGADA DE EMERGENCIA",IF(O222=CURSOS!$D$26,"MANEJO DEL DOLOR Y CUIDADOS PALIATIVOS",IF(O222=CURSOS!$D$27,"TOMA DE MUESTRAS Y LABORATORIO POCT",IF(O222=CURSOS!$D$28,"IMPLANTE SUBDERMICO DE DISPOSITIVO INTRAUTERINO",IF(O222=CURSOS!$D$29,"SALUD MENTAL",IF(O222=CURSOS!$D$30,"PRIMEROS AUXILIOS PSICOLOGICOS",IF(O222=CURSOS!$D$31,"ATENCION A VICTIMAS POR CONFLICTO ARMADO",IF(O222=CURSOS!$D$32,"MANIPULACION DE ALIMENTOS Y BPM",IF(O222=CURSOS!$D$33,"ATENCION A PERSONAS CON DISCAPACIDAD",IF(O222=CURSOS!$D$34,"CUIDADO INTEGRAL DEL PACIENTE ADULTO",IF(O222=CURSOS!$D$35,"MANEJO DEFENSIVO",IF(O222=CURSOS!$D$36,"SOPORTE CARDIOVASCULAR AVANZADO NEONATAL",IF(O222=CURSOS!$D$37,"SEGURIDAD DEL PACIENTE",IF(O222=CURSOS!$D$38,"MANEJO DE RESIDUOS HOSPITALARIOS"))))))))))))))))))))))))))))))))))))</f>
        <v>0</v>
      </c>
      <c r="V222" s="59" t="str">
        <f t="shared" si="11"/>
        <v xml:space="preserve">   </v>
      </c>
      <c r="W222" s="59" t="str">
        <f t="shared" si="12"/>
        <v xml:space="preserve">   </v>
      </c>
      <c r="X222" s="59" t="str">
        <f t="shared" si="13"/>
        <v xml:space="preserve">   --</v>
      </c>
    </row>
    <row r="223" spans="1:24" x14ac:dyDescent="0.2">
      <c r="A223" s="55">
        <v>222</v>
      </c>
      <c r="I223" s="73"/>
      <c r="T223" s="53"/>
      <c r="U223" s="59" t="b">
        <f>IF(O223=CURSOS!$D$3,"DIPLOMADO EN ATENCION PRE-HOSPITALARIA",IF(O223=CURSOS!$D$4,"ACOMPAÑAMIENTO Y MANEJO DEL DUELO",IF(O223=CURSOS!$D$5,"ATENCION A VICTIMAS DE ATAQUE CON AGENTES QUIMICOS ",IF(O223=CURSOS!$D$6,"PRIMEROS AUXILIOS ",IF(O223=CURSOS!$D$7,"DIPLOMADO DE UNIDAD DE CUIDADOS INTENSIVOS (UCI)",IF(O223=CURSOS!$D$8,"MODELO DE ATENCION PARA EVENTOS EMERGENTES EN SALUD MENTAL (CODIGO VERDE)",IF(O223=CURSOS!$D$9,"HUMANIZACION EN EL SERVICIO DE LA SALUD Y BUENAS PRACTICAS EN PACIENTE ",IF(O223=CURSOS!$D$10,"CLINICA DE HERIDAS ",IF(O223=CURSOS!$D$11,"TOMA DE CITOLOGIA CERVICO VAGINAL ",IF(O223=CURSOS!$D$12,"SOPORTE CARDIOVASCULAR AVANZADO (ACLS) ",IF(O223=CURSOS!$D$13,"CAMILLERO ",IF(O223=CURSOS!$D$14,"TOMA DE MUESTRAS Y LABORATORIO ",IF(O223=CURSOS!$D$15,"SOPORTE VITAL BASICO (BLS)",IF(O223=CURSOS!$D$16,"ATENCION A VICTIMAS DE VIOLENCIA SEXUAL ",IF(O223=CURSOS!$D$17,"PROGRAMADO AMPLIADO DE INMUNIZACION (PAI - COVID 19)",IF(O223=CURSOS!$D$18,"ATENCION INTEGRAL EN ENFERMEDADES PREVALENTES EN PRIMERA INFANCIA (AIEPI)",IF(O223=CURSOS!$D$19,"ADMINISTRACION DE MEDICAMENTOS, INYECTOLOGIA  Y CANALIZACION ",IF(O223=CURSOS!$D$20,"OPERADOR DE VEHICULOS DE EMERGENCIA (OVE)",IF(O223=CURSOS!$D$21,"INSTITUCIONES AMIGAS DE LA MUJER Y LA INFANCIA (IAMI)",IF(O223=CURSOS!$D$22,"CUIDADO DEL DONANTE DE ORGANOS",IF(O223=CURSOS!$D$23,"ATENCION A VICTIMAS POR VIOLENCIA DE GENERO",IF(O223=CURSOS!$D$24,"IGUALDAD DE GENERO EN LA SALUD",IF(O223=CURSOS!$D$25,"BRIGADA DE EMERGENCIA",IF(O223=CURSOS!$D$26,"MANEJO DEL DOLOR Y CUIDADOS PALIATIVOS",IF(O223=CURSOS!$D$27,"TOMA DE MUESTRAS Y LABORATORIO POCT",IF(O223=CURSOS!$D$28,"IMPLANTE SUBDERMICO DE DISPOSITIVO INTRAUTERINO",IF(O223=CURSOS!$D$29,"SALUD MENTAL",IF(O223=CURSOS!$D$30,"PRIMEROS AUXILIOS PSICOLOGICOS",IF(O223=CURSOS!$D$31,"ATENCION A VICTIMAS POR CONFLICTO ARMADO",IF(O223=CURSOS!$D$32,"MANIPULACION DE ALIMENTOS Y BPM",IF(O223=CURSOS!$D$33,"ATENCION A PERSONAS CON DISCAPACIDAD",IF(O223=CURSOS!$D$34,"CUIDADO INTEGRAL DEL PACIENTE ADULTO",IF(O223=CURSOS!$D$35,"MANEJO DEFENSIVO",IF(O223=CURSOS!$D$36,"SOPORTE CARDIOVASCULAR AVANZADO NEONATAL",IF(O223=CURSOS!$D$37,"SEGURIDAD DEL PACIENTE",IF(O223=CURSOS!$D$38,"MANEJO DE RESIDUOS HOSPITALARIOS"))))))))))))))))))))))))))))))))))))</f>
        <v>0</v>
      </c>
      <c r="V223" s="59" t="str">
        <f t="shared" si="11"/>
        <v xml:space="preserve">   </v>
      </c>
      <c r="W223" s="59" t="str">
        <f t="shared" si="12"/>
        <v xml:space="preserve">   </v>
      </c>
      <c r="X223" s="59" t="str">
        <f t="shared" si="13"/>
        <v xml:space="preserve">   --</v>
      </c>
    </row>
    <row r="224" spans="1:24" x14ac:dyDescent="0.2">
      <c r="A224" s="55">
        <v>223</v>
      </c>
      <c r="I224" s="73"/>
      <c r="T224" s="53"/>
      <c r="U224" s="59" t="b">
        <f>IF(O224=CURSOS!$D$3,"DIPLOMADO EN ATENCION PRE-HOSPITALARIA",IF(O224=CURSOS!$D$4,"ACOMPAÑAMIENTO Y MANEJO DEL DUELO",IF(O224=CURSOS!$D$5,"ATENCION A VICTIMAS DE ATAQUE CON AGENTES QUIMICOS ",IF(O224=CURSOS!$D$6,"PRIMEROS AUXILIOS ",IF(O224=CURSOS!$D$7,"DIPLOMADO DE UNIDAD DE CUIDADOS INTENSIVOS (UCI)",IF(O224=CURSOS!$D$8,"MODELO DE ATENCION PARA EVENTOS EMERGENTES EN SALUD MENTAL (CODIGO VERDE)",IF(O224=CURSOS!$D$9,"HUMANIZACION EN EL SERVICIO DE LA SALUD Y BUENAS PRACTICAS EN PACIENTE ",IF(O224=CURSOS!$D$10,"CLINICA DE HERIDAS ",IF(O224=CURSOS!$D$11,"TOMA DE CITOLOGIA CERVICO VAGINAL ",IF(O224=CURSOS!$D$12,"SOPORTE CARDIOVASCULAR AVANZADO (ACLS) ",IF(O224=CURSOS!$D$13,"CAMILLERO ",IF(O224=CURSOS!$D$14,"TOMA DE MUESTRAS Y LABORATORIO ",IF(O224=CURSOS!$D$15,"SOPORTE VITAL BASICO (BLS)",IF(O224=CURSOS!$D$16,"ATENCION A VICTIMAS DE VIOLENCIA SEXUAL ",IF(O224=CURSOS!$D$17,"PROGRAMADO AMPLIADO DE INMUNIZACION (PAI - COVID 19)",IF(O224=CURSOS!$D$18,"ATENCION INTEGRAL EN ENFERMEDADES PREVALENTES EN PRIMERA INFANCIA (AIEPI)",IF(O224=CURSOS!$D$19,"ADMINISTRACION DE MEDICAMENTOS, INYECTOLOGIA  Y CANALIZACION ",IF(O224=CURSOS!$D$20,"OPERADOR DE VEHICULOS DE EMERGENCIA (OVE)",IF(O224=CURSOS!$D$21,"INSTITUCIONES AMIGAS DE LA MUJER Y LA INFANCIA (IAMI)",IF(O224=CURSOS!$D$22,"CUIDADO DEL DONANTE DE ORGANOS",IF(O224=CURSOS!$D$23,"ATENCION A VICTIMAS POR VIOLENCIA DE GENERO",IF(O224=CURSOS!$D$24,"IGUALDAD DE GENERO EN LA SALUD",IF(O224=CURSOS!$D$25,"BRIGADA DE EMERGENCIA",IF(O224=CURSOS!$D$26,"MANEJO DEL DOLOR Y CUIDADOS PALIATIVOS",IF(O224=CURSOS!$D$27,"TOMA DE MUESTRAS Y LABORATORIO POCT",IF(O224=CURSOS!$D$28,"IMPLANTE SUBDERMICO DE DISPOSITIVO INTRAUTERINO",IF(O224=CURSOS!$D$29,"SALUD MENTAL",IF(O224=CURSOS!$D$30,"PRIMEROS AUXILIOS PSICOLOGICOS",IF(O224=CURSOS!$D$31,"ATENCION A VICTIMAS POR CONFLICTO ARMADO",IF(O224=CURSOS!$D$32,"MANIPULACION DE ALIMENTOS Y BPM",IF(O224=CURSOS!$D$33,"ATENCION A PERSONAS CON DISCAPACIDAD",IF(O224=CURSOS!$D$34,"CUIDADO INTEGRAL DEL PACIENTE ADULTO",IF(O224=CURSOS!$D$35,"MANEJO DEFENSIVO",IF(O224=CURSOS!$D$36,"SOPORTE CARDIOVASCULAR AVANZADO NEONATAL",IF(O224=CURSOS!$D$37,"SEGURIDAD DEL PACIENTE",IF(O224=CURSOS!$D$38,"MANEJO DE RESIDUOS HOSPITALARIOS"))))))))))))))))))))))))))))))))))))</f>
        <v>0</v>
      </c>
      <c r="V224" s="59" t="str">
        <f t="shared" si="11"/>
        <v xml:space="preserve">   </v>
      </c>
      <c r="W224" s="59" t="str">
        <f t="shared" si="12"/>
        <v xml:space="preserve">   </v>
      </c>
      <c r="X224" s="59" t="str">
        <f t="shared" si="13"/>
        <v xml:space="preserve">   --</v>
      </c>
    </row>
    <row r="225" spans="1:24" x14ac:dyDescent="0.2">
      <c r="A225" s="55">
        <v>224</v>
      </c>
      <c r="I225" s="73"/>
      <c r="T225" s="53"/>
      <c r="U225" s="59" t="b">
        <f>IF(O225=CURSOS!$D$3,"DIPLOMADO EN ATENCION PRE-HOSPITALARIA",IF(O225=CURSOS!$D$4,"ACOMPAÑAMIENTO Y MANEJO DEL DUELO",IF(O225=CURSOS!$D$5,"ATENCION A VICTIMAS DE ATAQUE CON AGENTES QUIMICOS ",IF(O225=CURSOS!$D$6,"PRIMEROS AUXILIOS ",IF(O225=CURSOS!$D$7,"DIPLOMADO DE UNIDAD DE CUIDADOS INTENSIVOS (UCI)",IF(O225=CURSOS!$D$8,"MODELO DE ATENCION PARA EVENTOS EMERGENTES EN SALUD MENTAL (CODIGO VERDE)",IF(O225=CURSOS!$D$9,"HUMANIZACION EN EL SERVICIO DE LA SALUD Y BUENAS PRACTICAS EN PACIENTE ",IF(O225=CURSOS!$D$10,"CLINICA DE HERIDAS ",IF(O225=CURSOS!$D$11,"TOMA DE CITOLOGIA CERVICO VAGINAL ",IF(O225=CURSOS!$D$12,"SOPORTE CARDIOVASCULAR AVANZADO (ACLS) ",IF(O225=CURSOS!$D$13,"CAMILLERO ",IF(O225=CURSOS!$D$14,"TOMA DE MUESTRAS Y LABORATORIO ",IF(O225=CURSOS!$D$15,"SOPORTE VITAL BASICO (BLS)",IF(O225=CURSOS!$D$16,"ATENCION A VICTIMAS DE VIOLENCIA SEXUAL ",IF(O225=CURSOS!$D$17,"PROGRAMADO AMPLIADO DE INMUNIZACION (PAI - COVID 19)",IF(O225=CURSOS!$D$18,"ATENCION INTEGRAL EN ENFERMEDADES PREVALENTES EN PRIMERA INFANCIA (AIEPI)",IF(O225=CURSOS!$D$19,"ADMINISTRACION DE MEDICAMENTOS, INYECTOLOGIA  Y CANALIZACION ",IF(O225=CURSOS!$D$20,"OPERADOR DE VEHICULOS DE EMERGENCIA (OVE)",IF(O225=CURSOS!$D$21,"INSTITUCIONES AMIGAS DE LA MUJER Y LA INFANCIA (IAMI)",IF(O225=CURSOS!$D$22,"CUIDADO DEL DONANTE DE ORGANOS",IF(O225=CURSOS!$D$23,"ATENCION A VICTIMAS POR VIOLENCIA DE GENERO",IF(O225=CURSOS!$D$24,"IGUALDAD DE GENERO EN LA SALUD",IF(O225=CURSOS!$D$25,"BRIGADA DE EMERGENCIA",IF(O225=CURSOS!$D$26,"MANEJO DEL DOLOR Y CUIDADOS PALIATIVOS",IF(O225=CURSOS!$D$27,"TOMA DE MUESTRAS Y LABORATORIO POCT",IF(O225=CURSOS!$D$28,"IMPLANTE SUBDERMICO DE DISPOSITIVO INTRAUTERINO",IF(O225=CURSOS!$D$29,"SALUD MENTAL",IF(O225=CURSOS!$D$30,"PRIMEROS AUXILIOS PSICOLOGICOS",IF(O225=CURSOS!$D$31,"ATENCION A VICTIMAS POR CONFLICTO ARMADO",IF(O225=CURSOS!$D$32,"MANIPULACION DE ALIMENTOS Y BPM",IF(O225=CURSOS!$D$33,"ATENCION A PERSONAS CON DISCAPACIDAD",IF(O225=CURSOS!$D$34,"CUIDADO INTEGRAL DEL PACIENTE ADULTO",IF(O225=CURSOS!$D$35,"MANEJO DEFENSIVO",IF(O225=CURSOS!$D$36,"SOPORTE CARDIOVASCULAR AVANZADO NEONATAL",IF(O225=CURSOS!$D$37,"SEGURIDAD DEL PACIENTE",IF(O225=CURSOS!$D$38,"MANEJO DE RESIDUOS HOSPITALARIOS"))))))))))))))))))))))))))))))))))))</f>
        <v>0</v>
      </c>
      <c r="V225" s="59" t="str">
        <f t="shared" si="11"/>
        <v xml:space="preserve">   </v>
      </c>
      <c r="W225" s="59" t="str">
        <f t="shared" si="12"/>
        <v xml:space="preserve">   </v>
      </c>
      <c r="X225" s="59" t="str">
        <f t="shared" si="13"/>
        <v xml:space="preserve">   --</v>
      </c>
    </row>
    <row r="226" spans="1:24" x14ac:dyDescent="0.2">
      <c r="A226" s="55">
        <v>225</v>
      </c>
      <c r="I226" s="73"/>
      <c r="T226" s="53"/>
      <c r="U226" s="59" t="b">
        <f>IF(O226=CURSOS!$D$3,"DIPLOMADO EN ATENCION PRE-HOSPITALARIA",IF(O226=CURSOS!$D$4,"ACOMPAÑAMIENTO Y MANEJO DEL DUELO",IF(O226=CURSOS!$D$5,"ATENCION A VICTIMAS DE ATAQUE CON AGENTES QUIMICOS ",IF(O226=CURSOS!$D$6,"PRIMEROS AUXILIOS ",IF(O226=CURSOS!$D$7,"DIPLOMADO DE UNIDAD DE CUIDADOS INTENSIVOS (UCI)",IF(O226=CURSOS!$D$8,"MODELO DE ATENCION PARA EVENTOS EMERGENTES EN SALUD MENTAL (CODIGO VERDE)",IF(O226=CURSOS!$D$9,"HUMANIZACION EN EL SERVICIO DE LA SALUD Y BUENAS PRACTICAS EN PACIENTE ",IF(O226=CURSOS!$D$10,"CLINICA DE HERIDAS ",IF(O226=CURSOS!$D$11,"TOMA DE CITOLOGIA CERVICO VAGINAL ",IF(O226=CURSOS!$D$12,"SOPORTE CARDIOVASCULAR AVANZADO (ACLS) ",IF(O226=CURSOS!$D$13,"CAMILLERO ",IF(O226=CURSOS!$D$14,"TOMA DE MUESTRAS Y LABORATORIO ",IF(O226=CURSOS!$D$15,"SOPORTE VITAL BASICO (BLS)",IF(O226=CURSOS!$D$16,"ATENCION A VICTIMAS DE VIOLENCIA SEXUAL ",IF(O226=CURSOS!$D$17,"PROGRAMADO AMPLIADO DE INMUNIZACION (PAI - COVID 19)",IF(O226=CURSOS!$D$18,"ATENCION INTEGRAL EN ENFERMEDADES PREVALENTES EN PRIMERA INFANCIA (AIEPI)",IF(O226=CURSOS!$D$19,"ADMINISTRACION DE MEDICAMENTOS, INYECTOLOGIA  Y CANALIZACION ",IF(O226=CURSOS!$D$20,"OPERADOR DE VEHICULOS DE EMERGENCIA (OVE)",IF(O226=CURSOS!$D$21,"INSTITUCIONES AMIGAS DE LA MUJER Y LA INFANCIA (IAMI)",IF(O226=CURSOS!$D$22,"CUIDADO DEL DONANTE DE ORGANOS",IF(O226=CURSOS!$D$23,"ATENCION A VICTIMAS POR VIOLENCIA DE GENERO",IF(O226=CURSOS!$D$24,"IGUALDAD DE GENERO EN LA SALUD",IF(O226=CURSOS!$D$25,"BRIGADA DE EMERGENCIA",IF(O226=CURSOS!$D$26,"MANEJO DEL DOLOR Y CUIDADOS PALIATIVOS",IF(O226=CURSOS!$D$27,"TOMA DE MUESTRAS Y LABORATORIO POCT",IF(O226=CURSOS!$D$28,"IMPLANTE SUBDERMICO DE DISPOSITIVO INTRAUTERINO",IF(O226=CURSOS!$D$29,"SALUD MENTAL",IF(O226=CURSOS!$D$30,"PRIMEROS AUXILIOS PSICOLOGICOS",IF(O226=CURSOS!$D$31,"ATENCION A VICTIMAS POR CONFLICTO ARMADO",IF(O226=CURSOS!$D$32,"MANIPULACION DE ALIMENTOS Y BPM",IF(O226=CURSOS!$D$33,"ATENCION A PERSONAS CON DISCAPACIDAD",IF(O226=CURSOS!$D$34,"CUIDADO INTEGRAL DEL PACIENTE ADULTO",IF(O226=CURSOS!$D$35,"MANEJO DEFENSIVO",IF(O226=CURSOS!$D$36,"SOPORTE CARDIOVASCULAR AVANZADO NEONATAL",IF(O226=CURSOS!$D$37,"SEGURIDAD DEL PACIENTE",IF(O226=CURSOS!$D$38,"MANEJO DE RESIDUOS HOSPITALARIOS"))))))))))))))))))))))))))))))))))))</f>
        <v>0</v>
      </c>
      <c r="V226" s="59" t="str">
        <f t="shared" si="11"/>
        <v xml:space="preserve">   </v>
      </c>
      <c r="W226" s="59" t="str">
        <f t="shared" si="12"/>
        <v xml:space="preserve">   </v>
      </c>
      <c r="X226" s="59" t="str">
        <f t="shared" si="13"/>
        <v xml:space="preserve">   --</v>
      </c>
    </row>
    <row r="227" spans="1:24" x14ac:dyDescent="0.2">
      <c r="A227" s="55">
        <v>226</v>
      </c>
      <c r="I227" s="73"/>
      <c r="T227" s="53"/>
      <c r="U227" s="59" t="b">
        <f>IF(O227=CURSOS!$D$3,"DIPLOMADO EN ATENCION PRE-HOSPITALARIA",IF(O227=CURSOS!$D$4,"ACOMPAÑAMIENTO Y MANEJO DEL DUELO",IF(O227=CURSOS!$D$5,"ATENCION A VICTIMAS DE ATAQUE CON AGENTES QUIMICOS ",IF(O227=CURSOS!$D$6,"PRIMEROS AUXILIOS ",IF(O227=CURSOS!$D$7,"DIPLOMADO DE UNIDAD DE CUIDADOS INTENSIVOS (UCI)",IF(O227=CURSOS!$D$8,"MODELO DE ATENCION PARA EVENTOS EMERGENTES EN SALUD MENTAL (CODIGO VERDE)",IF(O227=CURSOS!$D$9,"HUMANIZACION EN EL SERVICIO DE LA SALUD Y BUENAS PRACTICAS EN PACIENTE ",IF(O227=CURSOS!$D$10,"CLINICA DE HERIDAS ",IF(O227=CURSOS!$D$11,"TOMA DE CITOLOGIA CERVICO VAGINAL ",IF(O227=CURSOS!$D$12,"SOPORTE CARDIOVASCULAR AVANZADO (ACLS) ",IF(O227=CURSOS!$D$13,"CAMILLERO ",IF(O227=CURSOS!$D$14,"TOMA DE MUESTRAS Y LABORATORIO ",IF(O227=CURSOS!$D$15,"SOPORTE VITAL BASICO (BLS)",IF(O227=CURSOS!$D$16,"ATENCION A VICTIMAS DE VIOLENCIA SEXUAL ",IF(O227=CURSOS!$D$17,"PROGRAMADO AMPLIADO DE INMUNIZACION (PAI - COVID 19)",IF(O227=CURSOS!$D$18,"ATENCION INTEGRAL EN ENFERMEDADES PREVALENTES EN PRIMERA INFANCIA (AIEPI)",IF(O227=CURSOS!$D$19,"ADMINISTRACION DE MEDICAMENTOS, INYECTOLOGIA  Y CANALIZACION ",IF(O227=CURSOS!$D$20,"OPERADOR DE VEHICULOS DE EMERGENCIA (OVE)",IF(O227=CURSOS!$D$21,"INSTITUCIONES AMIGAS DE LA MUJER Y LA INFANCIA (IAMI)",IF(O227=CURSOS!$D$22,"CUIDADO DEL DONANTE DE ORGANOS",IF(O227=CURSOS!$D$23,"ATENCION A VICTIMAS POR VIOLENCIA DE GENERO",IF(O227=CURSOS!$D$24,"IGUALDAD DE GENERO EN LA SALUD",IF(O227=CURSOS!$D$25,"BRIGADA DE EMERGENCIA",IF(O227=CURSOS!$D$26,"MANEJO DEL DOLOR Y CUIDADOS PALIATIVOS",IF(O227=CURSOS!$D$27,"TOMA DE MUESTRAS Y LABORATORIO POCT",IF(O227=CURSOS!$D$28,"IMPLANTE SUBDERMICO DE DISPOSITIVO INTRAUTERINO",IF(O227=CURSOS!$D$29,"SALUD MENTAL",IF(O227=CURSOS!$D$30,"PRIMEROS AUXILIOS PSICOLOGICOS",IF(O227=CURSOS!$D$31,"ATENCION A VICTIMAS POR CONFLICTO ARMADO",IF(O227=CURSOS!$D$32,"MANIPULACION DE ALIMENTOS Y BPM",IF(O227=CURSOS!$D$33,"ATENCION A PERSONAS CON DISCAPACIDAD",IF(O227=CURSOS!$D$34,"CUIDADO INTEGRAL DEL PACIENTE ADULTO",IF(O227=CURSOS!$D$35,"MANEJO DEFENSIVO",IF(O227=CURSOS!$D$36,"SOPORTE CARDIOVASCULAR AVANZADO NEONATAL",IF(O227=CURSOS!$D$37,"SEGURIDAD DEL PACIENTE",IF(O227=CURSOS!$D$38,"MANEJO DE RESIDUOS HOSPITALARIOS"))))))))))))))))))))))))))))))))))))</f>
        <v>0</v>
      </c>
      <c r="V227" s="59" t="str">
        <f t="shared" si="11"/>
        <v xml:space="preserve">   </v>
      </c>
      <c r="W227" s="59" t="str">
        <f t="shared" si="12"/>
        <v xml:space="preserve">   </v>
      </c>
      <c r="X227" s="59" t="str">
        <f t="shared" si="13"/>
        <v xml:space="preserve">   --</v>
      </c>
    </row>
    <row r="228" spans="1:24" x14ac:dyDescent="0.2">
      <c r="A228" s="55">
        <v>227</v>
      </c>
      <c r="I228" s="73"/>
      <c r="T228" s="53"/>
      <c r="U228" s="59" t="b">
        <f>IF(O228=CURSOS!$D$3,"DIPLOMADO EN ATENCION PRE-HOSPITALARIA",IF(O228=CURSOS!$D$4,"ACOMPAÑAMIENTO Y MANEJO DEL DUELO",IF(O228=CURSOS!$D$5,"ATENCION A VICTIMAS DE ATAQUE CON AGENTES QUIMICOS ",IF(O228=CURSOS!$D$6,"PRIMEROS AUXILIOS ",IF(O228=CURSOS!$D$7,"DIPLOMADO DE UNIDAD DE CUIDADOS INTENSIVOS (UCI)",IF(O228=CURSOS!$D$8,"MODELO DE ATENCION PARA EVENTOS EMERGENTES EN SALUD MENTAL (CODIGO VERDE)",IF(O228=CURSOS!$D$9,"HUMANIZACION EN EL SERVICIO DE LA SALUD Y BUENAS PRACTICAS EN PACIENTE ",IF(O228=CURSOS!$D$10,"CLINICA DE HERIDAS ",IF(O228=CURSOS!$D$11,"TOMA DE CITOLOGIA CERVICO VAGINAL ",IF(O228=CURSOS!$D$12,"SOPORTE CARDIOVASCULAR AVANZADO (ACLS) ",IF(O228=CURSOS!$D$13,"CAMILLERO ",IF(O228=CURSOS!$D$14,"TOMA DE MUESTRAS Y LABORATORIO ",IF(O228=CURSOS!$D$15,"SOPORTE VITAL BASICO (BLS)",IF(O228=CURSOS!$D$16,"ATENCION A VICTIMAS DE VIOLENCIA SEXUAL ",IF(O228=CURSOS!$D$17,"PROGRAMADO AMPLIADO DE INMUNIZACION (PAI - COVID 19)",IF(O228=CURSOS!$D$18,"ATENCION INTEGRAL EN ENFERMEDADES PREVALENTES EN PRIMERA INFANCIA (AIEPI)",IF(O228=CURSOS!$D$19,"ADMINISTRACION DE MEDICAMENTOS, INYECTOLOGIA  Y CANALIZACION ",IF(O228=CURSOS!$D$20,"OPERADOR DE VEHICULOS DE EMERGENCIA (OVE)",IF(O228=CURSOS!$D$21,"INSTITUCIONES AMIGAS DE LA MUJER Y LA INFANCIA (IAMI)",IF(O228=CURSOS!$D$22,"CUIDADO DEL DONANTE DE ORGANOS",IF(O228=CURSOS!$D$23,"ATENCION A VICTIMAS POR VIOLENCIA DE GENERO",IF(O228=CURSOS!$D$24,"IGUALDAD DE GENERO EN LA SALUD",IF(O228=CURSOS!$D$25,"BRIGADA DE EMERGENCIA",IF(O228=CURSOS!$D$26,"MANEJO DEL DOLOR Y CUIDADOS PALIATIVOS",IF(O228=CURSOS!$D$27,"TOMA DE MUESTRAS Y LABORATORIO POCT",IF(O228=CURSOS!$D$28,"IMPLANTE SUBDERMICO DE DISPOSITIVO INTRAUTERINO",IF(O228=CURSOS!$D$29,"SALUD MENTAL",IF(O228=CURSOS!$D$30,"PRIMEROS AUXILIOS PSICOLOGICOS",IF(O228=CURSOS!$D$31,"ATENCION A VICTIMAS POR CONFLICTO ARMADO",IF(O228=CURSOS!$D$32,"MANIPULACION DE ALIMENTOS Y BPM",IF(O228=CURSOS!$D$33,"ATENCION A PERSONAS CON DISCAPACIDAD",IF(O228=CURSOS!$D$34,"CUIDADO INTEGRAL DEL PACIENTE ADULTO",IF(O228=CURSOS!$D$35,"MANEJO DEFENSIVO",IF(O228=CURSOS!$D$36,"SOPORTE CARDIOVASCULAR AVANZADO NEONATAL",IF(O228=CURSOS!$D$37,"SEGURIDAD DEL PACIENTE",IF(O228=CURSOS!$D$38,"MANEJO DE RESIDUOS HOSPITALARIOS"))))))))))))))))))))))))))))))))))))</f>
        <v>0</v>
      </c>
      <c r="V228" s="59" t="str">
        <f t="shared" si="11"/>
        <v xml:space="preserve">   </v>
      </c>
      <c r="W228" s="59" t="str">
        <f t="shared" si="12"/>
        <v xml:space="preserve">   </v>
      </c>
      <c r="X228" s="59" t="str">
        <f t="shared" si="13"/>
        <v xml:space="preserve">   --</v>
      </c>
    </row>
    <row r="229" spans="1:24" x14ac:dyDescent="0.2">
      <c r="A229" s="55">
        <v>228</v>
      </c>
      <c r="I229" s="73"/>
      <c r="T229" s="53"/>
      <c r="U229" s="59" t="b">
        <f>IF(O229=CURSOS!$D$3,"DIPLOMADO EN ATENCION PRE-HOSPITALARIA",IF(O229=CURSOS!$D$4,"ACOMPAÑAMIENTO Y MANEJO DEL DUELO",IF(O229=CURSOS!$D$5,"ATENCION A VICTIMAS DE ATAQUE CON AGENTES QUIMICOS ",IF(O229=CURSOS!$D$6,"PRIMEROS AUXILIOS ",IF(O229=CURSOS!$D$7,"DIPLOMADO DE UNIDAD DE CUIDADOS INTENSIVOS (UCI)",IF(O229=CURSOS!$D$8,"MODELO DE ATENCION PARA EVENTOS EMERGENTES EN SALUD MENTAL (CODIGO VERDE)",IF(O229=CURSOS!$D$9,"HUMANIZACION EN EL SERVICIO DE LA SALUD Y BUENAS PRACTICAS EN PACIENTE ",IF(O229=CURSOS!$D$10,"CLINICA DE HERIDAS ",IF(O229=CURSOS!$D$11,"TOMA DE CITOLOGIA CERVICO VAGINAL ",IF(O229=CURSOS!$D$12,"SOPORTE CARDIOVASCULAR AVANZADO (ACLS) ",IF(O229=CURSOS!$D$13,"CAMILLERO ",IF(O229=CURSOS!$D$14,"TOMA DE MUESTRAS Y LABORATORIO ",IF(O229=CURSOS!$D$15,"SOPORTE VITAL BASICO (BLS)",IF(O229=CURSOS!$D$16,"ATENCION A VICTIMAS DE VIOLENCIA SEXUAL ",IF(O229=CURSOS!$D$17,"PROGRAMADO AMPLIADO DE INMUNIZACION (PAI - COVID 19)",IF(O229=CURSOS!$D$18,"ATENCION INTEGRAL EN ENFERMEDADES PREVALENTES EN PRIMERA INFANCIA (AIEPI)",IF(O229=CURSOS!$D$19,"ADMINISTRACION DE MEDICAMENTOS, INYECTOLOGIA  Y CANALIZACION ",IF(O229=CURSOS!$D$20,"OPERADOR DE VEHICULOS DE EMERGENCIA (OVE)",IF(O229=CURSOS!$D$21,"INSTITUCIONES AMIGAS DE LA MUJER Y LA INFANCIA (IAMI)",IF(O229=CURSOS!$D$22,"CUIDADO DEL DONANTE DE ORGANOS",IF(O229=CURSOS!$D$23,"ATENCION A VICTIMAS POR VIOLENCIA DE GENERO",IF(O229=CURSOS!$D$24,"IGUALDAD DE GENERO EN LA SALUD",IF(O229=CURSOS!$D$25,"BRIGADA DE EMERGENCIA",IF(O229=CURSOS!$D$26,"MANEJO DEL DOLOR Y CUIDADOS PALIATIVOS",IF(O229=CURSOS!$D$27,"TOMA DE MUESTRAS Y LABORATORIO POCT",IF(O229=CURSOS!$D$28,"IMPLANTE SUBDERMICO DE DISPOSITIVO INTRAUTERINO",IF(O229=CURSOS!$D$29,"SALUD MENTAL",IF(O229=CURSOS!$D$30,"PRIMEROS AUXILIOS PSICOLOGICOS",IF(O229=CURSOS!$D$31,"ATENCION A VICTIMAS POR CONFLICTO ARMADO",IF(O229=CURSOS!$D$32,"MANIPULACION DE ALIMENTOS Y BPM",IF(O229=CURSOS!$D$33,"ATENCION A PERSONAS CON DISCAPACIDAD",IF(O229=CURSOS!$D$34,"CUIDADO INTEGRAL DEL PACIENTE ADULTO",IF(O229=CURSOS!$D$35,"MANEJO DEFENSIVO",IF(O229=CURSOS!$D$36,"SOPORTE CARDIOVASCULAR AVANZADO NEONATAL",IF(O229=CURSOS!$D$37,"SEGURIDAD DEL PACIENTE",IF(O229=CURSOS!$D$38,"MANEJO DE RESIDUOS HOSPITALARIOS"))))))))))))))))))))))))))))))))))))</f>
        <v>0</v>
      </c>
      <c r="V229" s="59" t="str">
        <f t="shared" si="11"/>
        <v xml:space="preserve">   </v>
      </c>
      <c r="W229" s="59" t="str">
        <f t="shared" si="12"/>
        <v xml:space="preserve">   </v>
      </c>
      <c r="X229" s="59" t="str">
        <f t="shared" si="13"/>
        <v xml:space="preserve">   --</v>
      </c>
    </row>
    <row r="230" spans="1:24" x14ac:dyDescent="0.2">
      <c r="A230" s="55">
        <v>229</v>
      </c>
      <c r="I230" s="73"/>
      <c r="T230" s="53"/>
      <c r="U230" s="59" t="b">
        <f>IF(O230=CURSOS!$D$3,"DIPLOMADO EN ATENCION PRE-HOSPITALARIA",IF(O230=CURSOS!$D$4,"ACOMPAÑAMIENTO Y MANEJO DEL DUELO",IF(O230=CURSOS!$D$5,"ATENCION A VICTIMAS DE ATAQUE CON AGENTES QUIMICOS ",IF(O230=CURSOS!$D$6,"PRIMEROS AUXILIOS ",IF(O230=CURSOS!$D$7,"DIPLOMADO DE UNIDAD DE CUIDADOS INTENSIVOS (UCI)",IF(O230=CURSOS!$D$8,"MODELO DE ATENCION PARA EVENTOS EMERGENTES EN SALUD MENTAL (CODIGO VERDE)",IF(O230=CURSOS!$D$9,"HUMANIZACION EN EL SERVICIO DE LA SALUD Y BUENAS PRACTICAS EN PACIENTE ",IF(O230=CURSOS!$D$10,"CLINICA DE HERIDAS ",IF(O230=CURSOS!$D$11,"TOMA DE CITOLOGIA CERVICO VAGINAL ",IF(O230=CURSOS!$D$12,"SOPORTE CARDIOVASCULAR AVANZADO (ACLS) ",IF(O230=CURSOS!$D$13,"CAMILLERO ",IF(O230=CURSOS!$D$14,"TOMA DE MUESTRAS Y LABORATORIO ",IF(O230=CURSOS!$D$15,"SOPORTE VITAL BASICO (BLS)",IF(O230=CURSOS!$D$16,"ATENCION A VICTIMAS DE VIOLENCIA SEXUAL ",IF(O230=CURSOS!$D$17,"PROGRAMADO AMPLIADO DE INMUNIZACION (PAI - COVID 19)",IF(O230=CURSOS!$D$18,"ATENCION INTEGRAL EN ENFERMEDADES PREVALENTES EN PRIMERA INFANCIA (AIEPI)",IF(O230=CURSOS!$D$19,"ADMINISTRACION DE MEDICAMENTOS, INYECTOLOGIA  Y CANALIZACION ",IF(O230=CURSOS!$D$20,"OPERADOR DE VEHICULOS DE EMERGENCIA (OVE)",IF(O230=CURSOS!$D$21,"INSTITUCIONES AMIGAS DE LA MUJER Y LA INFANCIA (IAMI)",IF(O230=CURSOS!$D$22,"CUIDADO DEL DONANTE DE ORGANOS",IF(O230=CURSOS!$D$23,"ATENCION A VICTIMAS POR VIOLENCIA DE GENERO",IF(O230=CURSOS!$D$24,"IGUALDAD DE GENERO EN LA SALUD",IF(O230=CURSOS!$D$25,"BRIGADA DE EMERGENCIA",IF(O230=CURSOS!$D$26,"MANEJO DEL DOLOR Y CUIDADOS PALIATIVOS",IF(O230=CURSOS!$D$27,"TOMA DE MUESTRAS Y LABORATORIO POCT",IF(O230=CURSOS!$D$28,"IMPLANTE SUBDERMICO DE DISPOSITIVO INTRAUTERINO",IF(O230=CURSOS!$D$29,"SALUD MENTAL",IF(O230=CURSOS!$D$30,"PRIMEROS AUXILIOS PSICOLOGICOS",IF(O230=CURSOS!$D$31,"ATENCION A VICTIMAS POR CONFLICTO ARMADO",IF(O230=CURSOS!$D$32,"MANIPULACION DE ALIMENTOS Y BPM",IF(O230=CURSOS!$D$33,"ATENCION A PERSONAS CON DISCAPACIDAD",IF(O230=CURSOS!$D$34,"CUIDADO INTEGRAL DEL PACIENTE ADULTO",IF(O230=CURSOS!$D$35,"MANEJO DEFENSIVO",IF(O230=CURSOS!$D$36,"SOPORTE CARDIOVASCULAR AVANZADO NEONATAL",IF(O230=CURSOS!$D$37,"SEGURIDAD DEL PACIENTE",IF(O230=CURSOS!$D$38,"MANEJO DE RESIDUOS HOSPITALARIOS"))))))))))))))))))))))))))))))))))))</f>
        <v>0</v>
      </c>
      <c r="V230" s="59" t="str">
        <f t="shared" si="11"/>
        <v xml:space="preserve">   </v>
      </c>
      <c r="W230" s="59" t="str">
        <f t="shared" si="12"/>
        <v xml:space="preserve">   </v>
      </c>
      <c r="X230" s="59" t="str">
        <f t="shared" si="13"/>
        <v xml:space="preserve">   --</v>
      </c>
    </row>
    <row r="231" spans="1:24" x14ac:dyDescent="0.2">
      <c r="A231" s="55">
        <v>230</v>
      </c>
      <c r="I231" s="73"/>
      <c r="T231" s="53"/>
      <c r="U231" s="59" t="b">
        <f>IF(O231=CURSOS!$D$3,"DIPLOMADO EN ATENCION PRE-HOSPITALARIA",IF(O231=CURSOS!$D$4,"ACOMPAÑAMIENTO Y MANEJO DEL DUELO",IF(O231=CURSOS!$D$5,"ATENCION A VICTIMAS DE ATAQUE CON AGENTES QUIMICOS ",IF(O231=CURSOS!$D$6,"PRIMEROS AUXILIOS ",IF(O231=CURSOS!$D$7,"DIPLOMADO DE UNIDAD DE CUIDADOS INTENSIVOS (UCI)",IF(O231=CURSOS!$D$8,"MODELO DE ATENCION PARA EVENTOS EMERGENTES EN SALUD MENTAL (CODIGO VERDE)",IF(O231=CURSOS!$D$9,"HUMANIZACION EN EL SERVICIO DE LA SALUD Y BUENAS PRACTICAS EN PACIENTE ",IF(O231=CURSOS!$D$10,"CLINICA DE HERIDAS ",IF(O231=CURSOS!$D$11,"TOMA DE CITOLOGIA CERVICO VAGINAL ",IF(O231=CURSOS!$D$12,"SOPORTE CARDIOVASCULAR AVANZADO (ACLS) ",IF(O231=CURSOS!$D$13,"CAMILLERO ",IF(O231=CURSOS!$D$14,"TOMA DE MUESTRAS Y LABORATORIO ",IF(O231=CURSOS!$D$15,"SOPORTE VITAL BASICO (BLS)",IF(O231=CURSOS!$D$16,"ATENCION A VICTIMAS DE VIOLENCIA SEXUAL ",IF(O231=CURSOS!$D$17,"PROGRAMADO AMPLIADO DE INMUNIZACION (PAI - COVID 19)",IF(O231=CURSOS!$D$18,"ATENCION INTEGRAL EN ENFERMEDADES PREVALENTES EN PRIMERA INFANCIA (AIEPI)",IF(O231=CURSOS!$D$19,"ADMINISTRACION DE MEDICAMENTOS, INYECTOLOGIA  Y CANALIZACION ",IF(O231=CURSOS!$D$20,"OPERADOR DE VEHICULOS DE EMERGENCIA (OVE)",IF(O231=CURSOS!$D$21,"INSTITUCIONES AMIGAS DE LA MUJER Y LA INFANCIA (IAMI)",IF(O231=CURSOS!$D$22,"CUIDADO DEL DONANTE DE ORGANOS",IF(O231=CURSOS!$D$23,"ATENCION A VICTIMAS POR VIOLENCIA DE GENERO",IF(O231=CURSOS!$D$24,"IGUALDAD DE GENERO EN LA SALUD",IF(O231=CURSOS!$D$25,"BRIGADA DE EMERGENCIA",IF(O231=CURSOS!$D$26,"MANEJO DEL DOLOR Y CUIDADOS PALIATIVOS",IF(O231=CURSOS!$D$27,"TOMA DE MUESTRAS Y LABORATORIO POCT",IF(O231=CURSOS!$D$28,"IMPLANTE SUBDERMICO DE DISPOSITIVO INTRAUTERINO",IF(O231=CURSOS!$D$29,"SALUD MENTAL",IF(O231=CURSOS!$D$30,"PRIMEROS AUXILIOS PSICOLOGICOS",IF(O231=CURSOS!$D$31,"ATENCION A VICTIMAS POR CONFLICTO ARMADO",IF(O231=CURSOS!$D$32,"MANIPULACION DE ALIMENTOS Y BPM",IF(O231=CURSOS!$D$33,"ATENCION A PERSONAS CON DISCAPACIDAD",IF(O231=CURSOS!$D$34,"CUIDADO INTEGRAL DEL PACIENTE ADULTO",IF(O231=CURSOS!$D$35,"MANEJO DEFENSIVO",IF(O231=CURSOS!$D$36,"SOPORTE CARDIOVASCULAR AVANZADO NEONATAL",IF(O231=CURSOS!$D$37,"SEGURIDAD DEL PACIENTE",IF(O231=CURSOS!$D$38,"MANEJO DE RESIDUOS HOSPITALARIOS"))))))))))))))))))))))))))))))))))))</f>
        <v>0</v>
      </c>
      <c r="V231" s="59" t="str">
        <f t="shared" si="11"/>
        <v xml:space="preserve">   </v>
      </c>
      <c r="W231" s="59" t="str">
        <f t="shared" si="12"/>
        <v xml:space="preserve">   </v>
      </c>
      <c r="X231" s="59" t="str">
        <f t="shared" si="13"/>
        <v xml:space="preserve">   --</v>
      </c>
    </row>
    <row r="232" spans="1:24" x14ac:dyDescent="0.2">
      <c r="A232" s="55">
        <v>231</v>
      </c>
      <c r="T232" s="53"/>
      <c r="U232" s="59" t="b">
        <f>IF(O232=CURSOS!$D$3,"DIPLOMADO EN ATENCION PRE-HOSPITALARIA",IF(O232=CURSOS!$D$4,"ACOMPAÑAMIENTO Y MANEJO DEL DUELO",IF(O232=CURSOS!$D$5,"ATENCION A VICTIMAS DE ATAQUE CON AGENTES QUIMICOS ",IF(O232=CURSOS!$D$6,"PRIMEROS AUXILIOS ",IF(O232=CURSOS!$D$7,"DIPLOMADO DE UNIDAD DE CUIDADOS INTENSIVOS (UCI)",IF(O232=CURSOS!$D$8,"MODELO DE ATENCION PARA EVENTOS EMERGENTES EN SALUD MENTAL (CODIGO VERDE)",IF(O232=CURSOS!$D$9,"HUMANIZACION EN EL SERVICIO DE LA SALUD Y BUENAS PRACTICAS EN PACIENTE ",IF(O232=CURSOS!$D$10,"CLINICA DE HERIDAS ",IF(O232=CURSOS!$D$11,"TOMA DE CITOLOGIA CERVICO VAGINAL ",IF(O232=CURSOS!$D$12,"SOPORTE CARDIOVASCULAR AVANZADO (ACLS) ",IF(O232=CURSOS!$D$13,"CAMILLERO ",IF(O232=CURSOS!$D$14,"TOMA DE MUESTRAS Y LABORATORIO ",IF(O232=CURSOS!$D$15,"SOPORTE VITAL BASICO (BLS)",IF(O232=CURSOS!$D$16,"ATENCION A VICTIMAS DE VIOLENCIA SEXUAL ",IF(O232=CURSOS!$D$17,"PROGRAMADO AMPLIADO DE INMUNIZACION (PAI - COVID 19)",IF(O232=CURSOS!$D$18,"ATENCION INTEGRAL EN ENFERMEDADES PREVALENTES EN PRIMERA INFANCIA (AIEPI)",IF(O232=CURSOS!$D$19,"ADMINISTRACION DE MEDICAMENTOS, INYECTOLOGIA  Y CANALIZACION ",IF(O232=CURSOS!$D$20,"OPERADOR DE VEHICULOS DE EMERGENCIA (OVE)",IF(O232=CURSOS!$D$21,"INSTITUCIONES AMIGAS DE LA MUJER Y LA INFANCIA (IAMI)",IF(O232=CURSOS!$D$22,"CUIDADO DEL DONANTE DE ORGANOS",IF(O232=CURSOS!$D$23,"ATENCION A VICTIMAS POR VIOLENCIA DE GENERO",IF(O232=CURSOS!$D$24,"IGUALDAD DE GENERO EN LA SALUD",IF(O232=CURSOS!$D$25,"BRIGADA DE EMERGENCIA",IF(O232=CURSOS!$D$26,"MANEJO DEL DOLOR Y CUIDADOS PALIATIVOS",IF(O232=CURSOS!$D$27,"TOMA DE MUESTRAS Y LABORATORIO POCT",IF(O232=CURSOS!$D$28,"IMPLANTE SUBDERMICO DE DISPOSITIVO INTRAUTERINO",IF(O232=CURSOS!$D$29,"SALUD MENTAL",IF(O232=CURSOS!$D$30,"PRIMEROS AUXILIOS PSICOLOGICOS",IF(O232=CURSOS!$D$31,"ATENCION A VICTIMAS POR CONFLICTO ARMADO",IF(O232=CURSOS!$D$32,"MANIPULACION DE ALIMENTOS Y BPM",IF(O232=CURSOS!$D$33,"ATENCION A PERSONAS CON DISCAPACIDAD",IF(O232=CURSOS!$D$34,"CUIDADO INTEGRAL DEL PACIENTE ADULTO",IF(O232=CURSOS!$D$35,"MANEJO DEFENSIVO",IF(O232=CURSOS!$D$36,"SOPORTE CARDIOVASCULAR AVANZADO NEONATAL",IF(O232=CURSOS!$D$37,"SEGURIDAD DEL PACIENTE",IF(O232=CURSOS!$D$38,"MANEJO DE RESIDUOS HOSPITALARIOS"))))))))))))))))))))))))))))))))))))</f>
        <v>0</v>
      </c>
      <c r="V232" s="59" t="str">
        <f t="shared" si="11"/>
        <v xml:space="preserve">   </v>
      </c>
      <c r="W232" s="59" t="str">
        <f t="shared" si="12"/>
        <v xml:space="preserve">   </v>
      </c>
      <c r="X232" s="59" t="str">
        <f t="shared" si="13"/>
        <v xml:space="preserve">   --</v>
      </c>
    </row>
    <row r="233" spans="1:24" x14ac:dyDescent="0.2">
      <c r="A233" s="55">
        <v>232</v>
      </c>
      <c r="T233" s="53"/>
      <c r="U233" s="59" t="b">
        <f>IF(O233=CURSOS!$D$3,"DIPLOMADO EN ATENCION PRE-HOSPITALARIA",IF(O233=CURSOS!$D$4,"ACOMPAÑAMIENTO Y MANEJO DEL DUELO",IF(O233=CURSOS!$D$5,"ATENCION A VICTIMAS DE ATAQUE CON AGENTES QUIMICOS ",IF(O233=CURSOS!$D$6,"PRIMEROS AUXILIOS ",IF(O233=CURSOS!$D$7,"DIPLOMADO DE UNIDAD DE CUIDADOS INTENSIVOS (UCI)",IF(O233=CURSOS!$D$8,"MODELO DE ATENCION PARA EVENTOS EMERGENTES EN SALUD MENTAL (CODIGO VERDE)",IF(O233=CURSOS!$D$9,"HUMANIZACION EN EL SERVICIO DE LA SALUD Y BUENAS PRACTICAS EN PACIENTE ",IF(O233=CURSOS!$D$10,"CLINICA DE HERIDAS ",IF(O233=CURSOS!$D$11,"TOMA DE CITOLOGIA CERVICO VAGINAL ",IF(O233=CURSOS!$D$12,"SOPORTE CARDIOVASCULAR AVANZADO (ACLS) ",IF(O233=CURSOS!$D$13,"CAMILLERO ",IF(O233=CURSOS!$D$14,"TOMA DE MUESTRAS Y LABORATORIO ",IF(O233=CURSOS!$D$15,"SOPORTE VITAL BASICO (BLS)",IF(O233=CURSOS!$D$16,"ATENCION A VICTIMAS DE VIOLENCIA SEXUAL ",IF(O233=CURSOS!$D$17,"PROGRAMADO AMPLIADO DE INMUNIZACION (PAI - COVID 19)",IF(O233=CURSOS!$D$18,"ATENCION INTEGRAL EN ENFERMEDADES PREVALENTES EN PRIMERA INFANCIA (AIEPI)",IF(O233=CURSOS!$D$19,"ADMINISTRACION DE MEDICAMENTOS, INYECTOLOGIA  Y CANALIZACION ",IF(O233=CURSOS!$D$20,"OPERADOR DE VEHICULOS DE EMERGENCIA (OVE)",IF(O233=CURSOS!$D$21,"INSTITUCIONES AMIGAS DE LA MUJER Y LA INFANCIA (IAMI)",IF(O233=CURSOS!$D$22,"CUIDADO DEL DONANTE DE ORGANOS",IF(O233=CURSOS!$D$23,"ATENCION A VICTIMAS POR VIOLENCIA DE GENERO",IF(O233=CURSOS!$D$24,"IGUALDAD DE GENERO EN LA SALUD",IF(O233=CURSOS!$D$25,"BRIGADA DE EMERGENCIA",IF(O233=CURSOS!$D$26,"MANEJO DEL DOLOR Y CUIDADOS PALIATIVOS",IF(O233=CURSOS!$D$27,"TOMA DE MUESTRAS Y LABORATORIO POCT",IF(O233=CURSOS!$D$28,"IMPLANTE SUBDERMICO DE DISPOSITIVO INTRAUTERINO",IF(O233=CURSOS!$D$29,"SALUD MENTAL",IF(O233=CURSOS!$D$30,"PRIMEROS AUXILIOS PSICOLOGICOS",IF(O233=CURSOS!$D$31,"ATENCION A VICTIMAS POR CONFLICTO ARMADO",IF(O233=CURSOS!$D$32,"MANIPULACION DE ALIMENTOS Y BPM",IF(O233=CURSOS!$D$33,"ATENCION A PERSONAS CON DISCAPACIDAD",IF(O233=CURSOS!$D$34,"CUIDADO INTEGRAL DEL PACIENTE ADULTO",IF(O233=CURSOS!$D$35,"MANEJO DEFENSIVO",IF(O233=CURSOS!$D$36,"SOPORTE CARDIOVASCULAR AVANZADO NEONATAL",IF(O233=CURSOS!$D$37,"SEGURIDAD DEL PACIENTE",IF(O233=CURSOS!$D$38,"MANEJO DE RESIDUOS HOSPITALARIOS"))))))))))))))))))))))))))))))))))))</f>
        <v>0</v>
      </c>
      <c r="V233" s="59" t="str">
        <f t="shared" si="11"/>
        <v xml:space="preserve">   </v>
      </c>
      <c r="W233" s="59" t="str">
        <f t="shared" si="12"/>
        <v xml:space="preserve">   </v>
      </c>
      <c r="X233" s="59" t="str">
        <f t="shared" si="13"/>
        <v xml:space="preserve">   --</v>
      </c>
    </row>
    <row r="234" spans="1:24" x14ac:dyDescent="0.2">
      <c r="A234" s="55">
        <v>233</v>
      </c>
      <c r="T234" s="53"/>
      <c r="U234" s="59" t="b">
        <f>IF(O234=CURSOS!$D$3,"DIPLOMADO EN ATENCION PRE-HOSPITALARIA",IF(O234=CURSOS!$D$4,"ACOMPAÑAMIENTO Y MANEJO DEL DUELO",IF(O234=CURSOS!$D$5,"ATENCION A VICTIMAS DE ATAQUE CON AGENTES QUIMICOS ",IF(O234=CURSOS!$D$6,"PRIMEROS AUXILIOS ",IF(O234=CURSOS!$D$7,"DIPLOMADO DE UNIDAD DE CUIDADOS INTENSIVOS (UCI)",IF(O234=CURSOS!$D$8,"MODELO DE ATENCION PARA EVENTOS EMERGENTES EN SALUD MENTAL (CODIGO VERDE)",IF(O234=CURSOS!$D$9,"HUMANIZACION EN EL SERVICIO DE LA SALUD Y BUENAS PRACTICAS EN PACIENTE ",IF(O234=CURSOS!$D$10,"CLINICA DE HERIDAS ",IF(O234=CURSOS!$D$11,"TOMA DE CITOLOGIA CERVICO VAGINAL ",IF(O234=CURSOS!$D$12,"SOPORTE CARDIOVASCULAR AVANZADO (ACLS) ",IF(O234=CURSOS!$D$13,"CAMILLERO ",IF(O234=CURSOS!$D$14,"TOMA DE MUESTRAS Y LABORATORIO ",IF(O234=CURSOS!$D$15,"SOPORTE VITAL BASICO (BLS)",IF(O234=CURSOS!$D$16,"ATENCION A VICTIMAS DE VIOLENCIA SEXUAL ",IF(O234=CURSOS!$D$17,"PROGRAMADO AMPLIADO DE INMUNIZACION (PAI - COVID 19)",IF(O234=CURSOS!$D$18,"ATENCION INTEGRAL EN ENFERMEDADES PREVALENTES EN PRIMERA INFANCIA (AIEPI)",IF(O234=CURSOS!$D$19,"ADMINISTRACION DE MEDICAMENTOS, INYECTOLOGIA  Y CANALIZACION ",IF(O234=CURSOS!$D$20,"OPERADOR DE VEHICULOS DE EMERGENCIA (OVE)",IF(O234=CURSOS!$D$21,"INSTITUCIONES AMIGAS DE LA MUJER Y LA INFANCIA (IAMI)",IF(O234=CURSOS!$D$22,"CUIDADO DEL DONANTE DE ORGANOS",IF(O234=CURSOS!$D$23,"ATENCION A VICTIMAS POR VIOLENCIA DE GENERO",IF(O234=CURSOS!$D$24,"IGUALDAD DE GENERO EN LA SALUD",IF(O234=CURSOS!$D$25,"BRIGADA DE EMERGENCIA",IF(O234=CURSOS!$D$26,"MANEJO DEL DOLOR Y CUIDADOS PALIATIVOS",IF(O234=CURSOS!$D$27,"TOMA DE MUESTRAS Y LABORATORIO POCT",IF(O234=CURSOS!$D$28,"IMPLANTE SUBDERMICO DE DISPOSITIVO INTRAUTERINO",IF(O234=CURSOS!$D$29,"SALUD MENTAL",IF(O234=CURSOS!$D$30,"PRIMEROS AUXILIOS PSICOLOGICOS",IF(O234=CURSOS!$D$31,"ATENCION A VICTIMAS POR CONFLICTO ARMADO",IF(O234=CURSOS!$D$32,"MANIPULACION DE ALIMENTOS Y BPM",IF(O234=CURSOS!$D$33,"ATENCION A PERSONAS CON DISCAPACIDAD",IF(O234=CURSOS!$D$34,"CUIDADO INTEGRAL DEL PACIENTE ADULTO",IF(O234=CURSOS!$D$35,"MANEJO DEFENSIVO",IF(O234=CURSOS!$D$36,"SOPORTE CARDIOVASCULAR AVANZADO NEONATAL",IF(O234=CURSOS!$D$37,"SEGURIDAD DEL PACIENTE",IF(O234=CURSOS!$D$38,"MANEJO DE RESIDUOS HOSPITALARIOS"))))))))))))))))))))))))))))))))))))</f>
        <v>0</v>
      </c>
      <c r="V234" s="59" t="str">
        <f t="shared" si="11"/>
        <v xml:space="preserve">   </v>
      </c>
      <c r="W234" s="59" t="str">
        <f t="shared" si="12"/>
        <v xml:space="preserve">   </v>
      </c>
      <c r="X234" s="59" t="str">
        <f t="shared" si="13"/>
        <v xml:space="preserve">   --</v>
      </c>
    </row>
    <row r="235" spans="1:24" x14ac:dyDescent="0.2">
      <c r="A235" s="55">
        <v>234</v>
      </c>
      <c r="T235" s="53"/>
      <c r="U235" s="59" t="b">
        <f>IF(O235=CURSOS!$D$3,"DIPLOMADO EN ATENCION PRE-HOSPITALARIA",IF(O235=CURSOS!$D$4,"ACOMPAÑAMIENTO Y MANEJO DEL DUELO",IF(O235=CURSOS!$D$5,"ATENCION A VICTIMAS DE ATAQUE CON AGENTES QUIMICOS ",IF(O235=CURSOS!$D$6,"PRIMEROS AUXILIOS ",IF(O235=CURSOS!$D$7,"DIPLOMADO DE UNIDAD DE CUIDADOS INTENSIVOS (UCI)",IF(O235=CURSOS!$D$8,"MODELO DE ATENCION PARA EVENTOS EMERGENTES EN SALUD MENTAL (CODIGO VERDE)",IF(O235=CURSOS!$D$9,"HUMANIZACION EN EL SERVICIO DE LA SALUD Y BUENAS PRACTICAS EN PACIENTE ",IF(O235=CURSOS!$D$10,"CLINICA DE HERIDAS ",IF(O235=CURSOS!$D$11,"TOMA DE CITOLOGIA CERVICO VAGINAL ",IF(O235=CURSOS!$D$12,"SOPORTE CARDIOVASCULAR AVANZADO (ACLS) ",IF(O235=CURSOS!$D$13,"CAMILLERO ",IF(O235=CURSOS!$D$14,"TOMA DE MUESTRAS Y LABORATORIO ",IF(O235=CURSOS!$D$15,"SOPORTE VITAL BASICO (BLS)",IF(O235=CURSOS!$D$16,"ATENCION A VICTIMAS DE VIOLENCIA SEXUAL ",IF(O235=CURSOS!$D$17,"PROGRAMADO AMPLIADO DE INMUNIZACION (PAI - COVID 19)",IF(O235=CURSOS!$D$18,"ATENCION INTEGRAL EN ENFERMEDADES PREVALENTES EN PRIMERA INFANCIA (AIEPI)",IF(O235=CURSOS!$D$19,"ADMINISTRACION DE MEDICAMENTOS, INYECTOLOGIA  Y CANALIZACION ",IF(O235=CURSOS!$D$20,"OPERADOR DE VEHICULOS DE EMERGENCIA (OVE)",IF(O235=CURSOS!$D$21,"INSTITUCIONES AMIGAS DE LA MUJER Y LA INFANCIA (IAMI)",IF(O235=CURSOS!$D$22,"CUIDADO DEL DONANTE DE ORGANOS",IF(O235=CURSOS!$D$23,"ATENCION A VICTIMAS POR VIOLENCIA DE GENERO",IF(O235=CURSOS!$D$24,"IGUALDAD DE GENERO EN LA SALUD",IF(O235=CURSOS!$D$25,"BRIGADA DE EMERGENCIA",IF(O235=CURSOS!$D$26,"MANEJO DEL DOLOR Y CUIDADOS PALIATIVOS",IF(O235=CURSOS!$D$27,"TOMA DE MUESTRAS Y LABORATORIO POCT",IF(O235=CURSOS!$D$28,"IMPLANTE SUBDERMICO DE DISPOSITIVO INTRAUTERINO",IF(O235=CURSOS!$D$29,"SALUD MENTAL",IF(O235=CURSOS!$D$30,"PRIMEROS AUXILIOS PSICOLOGICOS",IF(O235=CURSOS!$D$31,"ATENCION A VICTIMAS POR CONFLICTO ARMADO",IF(O235=CURSOS!$D$32,"MANIPULACION DE ALIMENTOS Y BPM",IF(O235=CURSOS!$D$33,"ATENCION A PERSONAS CON DISCAPACIDAD",IF(O235=CURSOS!$D$34,"CUIDADO INTEGRAL DEL PACIENTE ADULTO",IF(O235=CURSOS!$D$35,"MANEJO DEFENSIVO",IF(O235=CURSOS!$D$36,"SOPORTE CARDIOVASCULAR AVANZADO NEONATAL",IF(O235=CURSOS!$D$37,"SEGURIDAD DEL PACIENTE",IF(O235=CURSOS!$D$38,"MANEJO DE RESIDUOS HOSPITALARIOS"))))))))))))))))))))))))))))))))))))</f>
        <v>0</v>
      </c>
      <c r="V235" s="59" t="str">
        <f t="shared" si="11"/>
        <v xml:space="preserve">   </v>
      </c>
      <c r="W235" s="59" t="str">
        <f t="shared" si="12"/>
        <v xml:space="preserve">   </v>
      </c>
      <c r="X235" s="59" t="str">
        <f t="shared" si="13"/>
        <v xml:space="preserve">   --</v>
      </c>
    </row>
    <row r="236" spans="1:24" x14ac:dyDescent="0.2">
      <c r="A236" s="55">
        <v>235</v>
      </c>
      <c r="I236" s="73"/>
      <c r="P236" s="78"/>
      <c r="T236" s="53"/>
      <c r="U236" s="59" t="b">
        <f>IF(O236=CURSOS!$D$3,"DIPLOMADO EN ATENCION PRE-HOSPITALARIA",IF(O236=CURSOS!$D$4,"ACOMPAÑAMIENTO Y MANEJO DEL DUELO",IF(O236=CURSOS!$D$5,"ATENCION A VICTIMAS DE ATAQUE CON AGENTES QUIMICOS ",IF(O236=CURSOS!$D$6,"PRIMEROS AUXILIOS ",IF(O236=CURSOS!$D$7,"DIPLOMADO DE UNIDAD DE CUIDADOS INTENSIVOS (UCI)",IF(O236=CURSOS!$D$8,"MODELO DE ATENCION PARA EVENTOS EMERGENTES EN SALUD MENTAL (CODIGO VERDE)",IF(O236=CURSOS!$D$9,"HUMANIZACION EN EL SERVICIO DE LA SALUD Y BUENAS PRACTICAS EN PACIENTE ",IF(O236=CURSOS!$D$10,"CLINICA DE HERIDAS ",IF(O236=CURSOS!$D$11,"TOMA DE CITOLOGIA CERVICO VAGINAL ",IF(O236=CURSOS!$D$12,"SOPORTE CARDIOVASCULAR AVANZADO (ACLS) ",IF(O236=CURSOS!$D$13,"CAMILLERO ",IF(O236=CURSOS!$D$14,"TOMA DE MUESTRAS Y LABORATORIO ",IF(O236=CURSOS!$D$15,"SOPORTE VITAL BASICO (BLS)",IF(O236=CURSOS!$D$16,"ATENCION A VICTIMAS DE VIOLENCIA SEXUAL ",IF(O236=CURSOS!$D$17,"PROGRAMADO AMPLIADO DE INMUNIZACION (PAI - COVID 19)",IF(O236=CURSOS!$D$18,"ATENCION INTEGRAL EN ENFERMEDADES PREVALENTES EN PRIMERA INFANCIA (AIEPI)",IF(O236=CURSOS!$D$19,"ADMINISTRACION DE MEDICAMENTOS, INYECTOLOGIA  Y CANALIZACION ",IF(O236=CURSOS!$D$20,"OPERADOR DE VEHICULOS DE EMERGENCIA (OVE)",IF(O236=CURSOS!$D$21,"INSTITUCIONES AMIGAS DE LA MUJER Y LA INFANCIA (IAMI)",IF(O236=CURSOS!$D$22,"CUIDADO DEL DONANTE DE ORGANOS",IF(O236=CURSOS!$D$23,"ATENCION A VICTIMAS POR VIOLENCIA DE GENERO",IF(O236=CURSOS!$D$24,"IGUALDAD DE GENERO EN LA SALUD",IF(O236=CURSOS!$D$25,"BRIGADA DE EMERGENCIA",IF(O236=CURSOS!$D$26,"MANEJO DEL DOLOR Y CUIDADOS PALIATIVOS",IF(O236=CURSOS!$D$27,"TOMA DE MUESTRAS Y LABORATORIO POCT",IF(O236=CURSOS!$D$28,"IMPLANTE SUBDERMICO DE DISPOSITIVO INTRAUTERINO",IF(O236=CURSOS!$D$29,"SALUD MENTAL",IF(O236=CURSOS!$D$30,"PRIMEROS AUXILIOS PSICOLOGICOS",IF(O236=CURSOS!$D$31,"ATENCION A VICTIMAS POR CONFLICTO ARMADO",IF(O236=CURSOS!$D$32,"MANIPULACION DE ALIMENTOS Y BPM",IF(O236=CURSOS!$D$33,"ATENCION A PERSONAS CON DISCAPACIDAD",IF(O236=CURSOS!$D$34,"CUIDADO INTEGRAL DEL PACIENTE ADULTO",IF(O236=CURSOS!$D$35,"MANEJO DEFENSIVO",IF(O236=CURSOS!$D$36,"SOPORTE CARDIOVASCULAR AVANZADO NEONATAL",IF(O236=CURSOS!$D$37,"SEGURIDAD DEL PACIENTE",IF(O236=CURSOS!$D$38,"MANEJO DE RESIDUOS HOSPITALARIOS"))))))))))))))))))))))))))))))))))))</f>
        <v>0</v>
      </c>
      <c r="V236" s="59" t="str">
        <f t="shared" si="11"/>
        <v xml:space="preserve">   </v>
      </c>
      <c r="W236" s="59" t="str">
        <f t="shared" si="12"/>
        <v xml:space="preserve">   </v>
      </c>
      <c r="X236" s="59" t="str">
        <f t="shared" si="13"/>
        <v xml:space="preserve">   --</v>
      </c>
    </row>
    <row r="237" spans="1:24" x14ac:dyDescent="0.2">
      <c r="A237" s="55">
        <v>236</v>
      </c>
      <c r="I237" s="73"/>
      <c r="T237" s="53"/>
      <c r="U237" s="59" t="b">
        <f>IF(O237=CURSOS!$D$3,"DIPLOMADO EN ATENCION PRE-HOSPITALARIA",IF(O237=CURSOS!$D$4,"ACOMPAÑAMIENTO Y MANEJO DEL DUELO",IF(O237=CURSOS!$D$5,"ATENCION A VICTIMAS DE ATAQUE CON AGENTES QUIMICOS ",IF(O237=CURSOS!$D$6,"PRIMEROS AUXILIOS ",IF(O237=CURSOS!$D$7,"DIPLOMADO DE UNIDAD DE CUIDADOS INTENSIVOS (UCI)",IF(O237=CURSOS!$D$8,"MODELO DE ATENCION PARA EVENTOS EMERGENTES EN SALUD MENTAL (CODIGO VERDE)",IF(O237=CURSOS!$D$9,"HUMANIZACION EN EL SERVICIO DE LA SALUD Y BUENAS PRACTICAS EN PACIENTE ",IF(O237=CURSOS!$D$10,"CLINICA DE HERIDAS ",IF(O237=CURSOS!$D$11,"TOMA DE CITOLOGIA CERVICO VAGINAL ",IF(O237=CURSOS!$D$12,"SOPORTE CARDIOVASCULAR AVANZADO (ACLS) ",IF(O237=CURSOS!$D$13,"CAMILLERO ",IF(O237=CURSOS!$D$14,"TOMA DE MUESTRAS Y LABORATORIO ",IF(O237=CURSOS!$D$15,"SOPORTE VITAL BASICO (BLS)",IF(O237=CURSOS!$D$16,"ATENCION A VICTIMAS DE VIOLENCIA SEXUAL ",IF(O237=CURSOS!$D$17,"PROGRAMADO AMPLIADO DE INMUNIZACION (PAI - COVID 19)",IF(O237=CURSOS!$D$18,"ATENCION INTEGRAL EN ENFERMEDADES PREVALENTES EN PRIMERA INFANCIA (AIEPI)",IF(O237=CURSOS!$D$19,"ADMINISTRACION DE MEDICAMENTOS, INYECTOLOGIA  Y CANALIZACION ",IF(O237=CURSOS!$D$20,"OPERADOR DE VEHICULOS DE EMERGENCIA (OVE)",IF(O237=CURSOS!$D$21,"INSTITUCIONES AMIGAS DE LA MUJER Y LA INFANCIA (IAMI)",IF(O237=CURSOS!$D$22,"CUIDADO DEL DONANTE DE ORGANOS",IF(O237=CURSOS!$D$23,"ATENCION A VICTIMAS POR VIOLENCIA DE GENERO",IF(O237=CURSOS!$D$24,"IGUALDAD DE GENERO EN LA SALUD",IF(O237=CURSOS!$D$25,"BRIGADA DE EMERGENCIA",IF(O237=CURSOS!$D$26,"MANEJO DEL DOLOR Y CUIDADOS PALIATIVOS",IF(O237=CURSOS!$D$27,"TOMA DE MUESTRAS Y LABORATORIO POCT",IF(O237=CURSOS!$D$28,"IMPLANTE SUBDERMICO DE DISPOSITIVO INTRAUTERINO",IF(O237=CURSOS!$D$29,"SALUD MENTAL",IF(O237=CURSOS!$D$30,"PRIMEROS AUXILIOS PSICOLOGICOS",IF(O237=CURSOS!$D$31,"ATENCION A VICTIMAS POR CONFLICTO ARMADO",IF(O237=CURSOS!$D$32,"MANIPULACION DE ALIMENTOS Y BPM",IF(O237=CURSOS!$D$33,"ATENCION A PERSONAS CON DISCAPACIDAD",IF(O237=CURSOS!$D$34,"CUIDADO INTEGRAL DEL PACIENTE ADULTO",IF(O237=CURSOS!$D$35,"MANEJO DEFENSIVO",IF(O237=CURSOS!$D$36,"SOPORTE CARDIOVASCULAR AVANZADO NEONATAL",IF(O237=CURSOS!$D$37,"SEGURIDAD DEL PACIENTE",IF(O237=CURSOS!$D$38,"MANEJO DE RESIDUOS HOSPITALARIOS"))))))))))))))))))))))))))))))))))))</f>
        <v>0</v>
      </c>
      <c r="V237" s="59" t="str">
        <f t="shared" si="11"/>
        <v xml:space="preserve">   </v>
      </c>
      <c r="W237" s="59" t="str">
        <f t="shared" si="12"/>
        <v xml:space="preserve">   </v>
      </c>
      <c r="X237" s="59" t="str">
        <f t="shared" si="13"/>
        <v xml:space="preserve">   --</v>
      </c>
    </row>
    <row r="238" spans="1:24" x14ac:dyDescent="0.2">
      <c r="A238" s="55">
        <v>237</v>
      </c>
      <c r="I238" s="73"/>
      <c r="T238" s="53"/>
      <c r="U238" s="59" t="b">
        <f>IF(O238=CURSOS!$D$3,"DIPLOMADO EN ATENCION PRE-HOSPITALARIA",IF(O238=CURSOS!$D$4,"ACOMPAÑAMIENTO Y MANEJO DEL DUELO",IF(O238=CURSOS!$D$5,"ATENCION A VICTIMAS DE ATAQUE CON AGENTES QUIMICOS ",IF(O238=CURSOS!$D$6,"PRIMEROS AUXILIOS ",IF(O238=CURSOS!$D$7,"DIPLOMADO DE UNIDAD DE CUIDADOS INTENSIVOS (UCI)",IF(O238=CURSOS!$D$8,"MODELO DE ATENCION PARA EVENTOS EMERGENTES EN SALUD MENTAL (CODIGO VERDE)",IF(O238=CURSOS!$D$9,"HUMANIZACION EN EL SERVICIO DE LA SALUD Y BUENAS PRACTICAS EN PACIENTE ",IF(O238=CURSOS!$D$10,"CLINICA DE HERIDAS ",IF(O238=CURSOS!$D$11,"TOMA DE CITOLOGIA CERVICO VAGINAL ",IF(O238=CURSOS!$D$12,"SOPORTE CARDIOVASCULAR AVANZADO (ACLS) ",IF(O238=CURSOS!$D$13,"CAMILLERO ",IF(O238=CURSOS!$D$14,"TOMA DE MUESTRAS Y LABORATORIO ",IF(O238=CURSOS!$D$15,"SOPORTE VITAL BASICO (BLS)",IF(O238=CURSOS!$D$16,"ATENCION A VICTIMAS DE VIOLENCIA SEXUAL ",IF(O238=CURSOS!$D$17,"PROGRAMADO AMPLIADO DE INMUNIZACION (PAI - COVID 19)",IF(O238=CURSOS!$D$18,"ATENCION INTEGRAL EN ENFERMEDADES PREVALENTES EN PRIMERA INFANCIA (AIEPI)",IF(O238=CURSOS!$D$19,"ADMINISTRACION DE MEDICAMENTOS, INYECTOLOGIA  Y CANALIZACION ",IF(O238=CURSOS!$D$20,"OPERADOR DE VEHICULOS DE EMERGENCIA (OVE)",IF(O238=CURSOS!$D$21,"INSTITUCIONES AMIGAS DE LA MUJER Y LA INFANCIA (IAMI)",IF(O238=CURSOS!$D$22,"CUIDADO DEL DONANTE DE ORGANOS",IF(O238=CURSOS!$D$23,"ATENCION A VICTIMAS POR VIOLENCIA DE GENERO",IF(O238=CURSOS!$D$24,"IGUALDAD DE GENERO EN LA SALUD",IF(O238=CURSOS!$D$25,"BRIGADA DE EMERGENCIA",IF(O238=CURSOS!$D$26,"MANEJO DEL DOLOR Y CUIDADOS PALIATIVOS",IF(O238=CURSOS!$D$27,"TOMA DE MUESTRAS Y LABORATORIO POCT",IF(O238=CURSOS!$D$28,"IMPLANTE SUBDERMICO DE DISPOSITIVO INTRAUTERINO",IF(O238=CURSOS!$D$29,"SALUD MENTAL",IF(O238=CURSOS!$D$30,"PRIMEROS AUXILIOS PSICOLOGICOS",IF(O238=CURSOS!$D$31,"ATENCION A VICTIMAS POR CONFLICTO ARMADO",IF(O238=CURSOS!$D$32,"MANIPULACION DE ALIMENTOS Y BPM",IF(O238=CURSOS!$D$33,"ATENCION A PERSONAS CON DISCAPACIDAD",IF(O238=CURSOS!$D$34,"CUIDADO INTEGRAL DEL PACIENTE ADULTO",IF(O238=CURSOS!$D$35,"MANEJO DEFENSIVO",IF(O238=CURSOS!$D$36,"SOPORTE CARDIOVASCULAR AVANZADO NEONATAL",IF(O238=CURSOS!$D$37,"SEGURIDAD DEL PACIENTE",IF(O238=CURSOS!$D$38,"MANEJO DE RESIDUOS HOSPITALARIOS"))))))))))))))))))))))))))))))))))))</f>
        <v>0</v>
      </c>
      <c r="V238" s="59" t="str">
        <f t="shared" si="11"/>
        <v xml:space="preserve">   </v>
      </c>
      <c r="W238" s="59" t="str">
        <f t="shared" si="12"/>
        <v xml:space="preserve">   </v>
      </c>
      <c r="X238" s="59" t="str">
        <f t="shared" si="13"/>
        <v xml:space="preserve">   --</v>
      </c>
    </row>
    <row r="239" spans="1:24" x14ac:dyDescent="0.2">
      <c r="A239" s="55">
        <v>238</v>
      </c>
      <c r="I239" s="73"/>
      <c r="T239" s="53"/>
      <c r="U239" s="59" t="b">
        <f>IF(O239=CURSOS!$D$3,"DIPLOMADO EN ATENCION PRE-HOSPITALARIA",IF(O239=CURSOS!$D$4,"ACOMPAÑAMIENTO Y MANEJO DEL DUELO",IF(O239=CURSOS!$D$5,"ATENCION A VICTIMAS DE ATAQUE CON AGENTES QUIMICOS ",IF(O239=CURSOS!$D$6,"PRIMEROS AUXILIOS ",IF(O239=CURSOS!$D$7,"DIPLOMADO DE UNIDAD DE CUIDADOS INTENSIVOS (UCI)",IF(O239=CURSOS!$D$8,"MODELO DE ATENCION PARA EVENTOS EMERGENTES EN SALUD MENTAL (CODIGO VERDE)",IF(O239=CURSOS!$D$9,"HUMANIZACION EN EL SERVICIO DE LA SALUD Y BUENAS PRACTICAS EN PACIENTE ",IF(O239=CURSOS!$D$10,"CLINICA DE HERIDAS ",IF(O239=CURSOS!$D$11,"TOMA DE CITOLOGIA CERVICO VAGINAL ",IF(O239=CURSOS!$D$12,"SOPORTE CARDIOVASCULAR AVANZADO (ACLS) ",IF(O239=CURSOS!$D$13,"CAMILLERO ",IF(O239=CURSOS!$D$14,"TOMA DE MUESTRAS Y LABORATORIO ",IF(O239=CURSOS!$D$15,"SOPORTE VITAL BASICO (BLS)",IF(O239=CURSOS!$D$16,"ATENCION A VICTIMAS DE VIOLENCIA SEXUAL ",IF(O239=CURSOS!$D$17,"PROGRAMADO AMPLIADO DE INMUNIZACION (PAI - COVID 19)",IF(O239=CURSOS!$D$18,"ATENCION INTEGRAL EN ENFERMEDADES PREVALENTES EN PRIMERA INFANCIA (AIEPI)",IF(O239=CURSOS!$D$19,"ADMINISTRACION DE MEDICAMENTOS, INYECTOLOGIA  Y CANALIZACION ",IF(O239=CURSOS!$D$20,"OPERADOR DE VEHICULOS DE EMERGENCIA (OVE)",IF(O239=CURSOS!$D$21,"INSTITUCIONES AMIGAS DE LA MUJER Y LA INFANCIA (IAMI)",IF(O239=CURSOS!$D$22,"CUIDADO DEL DONANTE DE ORGANOS",IF(O239=CURSOS!$D$23,"ATENCION A VICTIMAS POR VIOLENCIA DE GENERO",IF(O239=CURSOS!$D$24,"IGUALDAD DE GENERO EN LA SALUD",IF(O239=CURSOS!$D$25,"BRIGADA DE EMERGENCIA",IF(O239=CURSOS!$D$26,"MANEJO DEL DOLOR Y CUIDADOS PALIATIVOS",IF(O239=CURSOS!$D$27,"TOMA DE MUESTRAS Y LABORATORIO POCT",IF(O239=CURSOS!$D$28,"IMPLANTE SUBDERMICO DE DISPOSITIVO INTRAUTERINO",IF(O239=CURSOS!$D$29,"SALUD MENTAL",IF(O239=CURSOS!$D$30,"PRIMEROS AUXILIOS PSICOLOGICOS",IF(O239=CURSOS!$D$31,"ATENCION A VICTIMAS POR CONFLICTO ARMADO",IF(O239=CURSOS!$D$32,"MANIPULACION DE ALIMENTOS Y BPM",IF(O239=CURSOS!$D$33,"ATENCION A PERSONAS CON DISCAPACIDAD",IF(O239=CURSOS!$D$34,"CUIDADO INTEGRAL DEL PACIENTE ADULTO",IF(O239=CURSOS!$D$35,"MANEJO DEFENSIVO",IF(O239=CURSOS!$D$36,"SOPORTE CARDIOVASCULAR AVANZADO NEONATAL",IF(O239=CURSOS!$D$37,"SEGURIDAD DEL PACIENTE",IF(O239=CURSOS!$D$38,"MANEJO DE RESIDUOS HOSPITALARIOS"))))))))))))))))))))))))))))))))))))</f>
        <v>0</v>
      </c>
      <c r="V239" s="59" t="str">
        <f t="shared" si="11"/>
        <v xml:space="preserve">   </v>
      </c>
      <c r="W239" s="59" t="str">
        <f t="shared" si="12"/>
        <v xml:space="preserve">   </v>
      </c>
      <c r="X239" s="59" t="str">
        <f t="shared" si="13"/>
        <v xml:space="preserve">   --</v>
      </c>
    </row>
    <row r="240" spans="1:24" x14ac:dyDescent="0.2">
      <c r="A240" s="55">
        <v>239</v>
      </c>
      <c r="I240" s="73"/>
      <c r="T240" s="53"/>
      <c r="U240" s="59" t="b">
        <f>IF(O240=CURSOS!$D$3,"DIPLOMADO EN ATENCION PRE-HOSPITALARIA",IF(O240=CURSOS!$D$4,"ACOMPAÑAMIENTO Y MANEJO DEL DUELO",IF(O240=CURSOS!$D$5,"ATENCION A VICTIMAS DE ATAQUE CON AGENTES QUIMICOS ",IF(O240=CURSOS!$D$6,"PRIMEROS AUXILIOS ",IF(O240=CURSOS!$D$7,"DIPLOMADO DE UNIDAD DE CUIDADOS INTENSIVOS (UCI)",IF(O240=CURSOS!$D$8,"MODELO DE ATENCION PARA EVENTOS EMERGENTES EN SALUD MENTAL (CODIGO VERDE)",IF(O240=CURSOS!$D$9,"HUMANIZACION EN EL SERVICIO DE LA SALUD Y BUENAS PRACTICAS EN PACIENTE ",IF(O240=CURSOS!$D$10,"CLINICA DE HERIDAS ",IF(O240=CURSOS!$D$11,"TOMA DE CITOLOGIA CERVICO VAGINAL ",IF(O240=CURSOS!$D$12,"SOPORTE CARDIOVASCULAR AVANZADO (ACLS) ",IF(O240=CURSOS!$D$13,"CAMILLERO ",IF(O240=CURSOS!$D$14,"TOMA DE MUESTRAS Y LABORATORIO ",IF(O240=CURSOS!$D$15,"SOPORTE VITAL BASICO (BLS)",IF(O240=CURSOS!$D$16,"ATENCION A VICTIMAS DE VIOLENCIA SEXUAL ",IF(O240=CURSOS!$D$17,"PROGRAMADO AMPLIADO DE INMUNIZACION (PAI - COVID 19)",IF(O240=CURSOS!$D$18,"ATENCION INTEGRAL EN ENFERMEDADES PREVALENTES EN PRIMERA INFANCIA (AIEPI)",IF(O240=CURSOS!$D$19,"ADMINISTRACION DE MEDICAMENTOS, INYECTOLOGIA  Y CANALIZACION ",IF(O240=CURSOS!$D$20,"OPERADOR DE VEHICULOS DE EMERGENCIA (OVE)",IF(O240=CURSOS!$D$21,"INSTITUCIONES AMIGAS DE LA MUJER Y LA INFANCIA (IAMI)",IF(O240=CURSOS!$D$22,"CUIDADO DEL DONANTE DE ORGANOS",IF(O240=CURSOS!$D$23,"ATENCION A VICTIMAS POR VIOLENCIA DE GENERO",IF(O240=CURSOS!$D$24,"IGUALDAD DE GENERO EN LA SALUD",IF(O240=CURSOS!$D$25,"BRIGADA DE EMERGENCIA",IF(O240=CURSOS!$D$26,"MANEJO DEL DOLOR Y CUIDADOS PALIATIVOS",IF(O240=CURSOS!$D$27,"TOMA DE MUESTRAS Y LABORATORIO POCT",IF(O240=CURSOS!$D$28,"IMPLANTE SUBDERMICO DE DISPOSITIVO INTRAUTERINO",IF(O240=CURSOS!$D$29,"SALUD MENTAL",IF(O240=CURSOS!$D$30,"PRIMEROS AUXILIOS PSICOLOGICOS",IF(O240=CURSOS!$D$31,"ATENCION A VICTIMAS POR CONFLICTO ARMADO",IF(O240=CURSOS!$D$32,"MANIPULACION DE ALIMENTOS Y BPM",IF(O240=CURSOS!$D$33,"ATENCION A PERSONAS CON DISCAPACIDAD",IF(O240=CURSOS!$D$34,"CUIDADO INTEGRAL DEL PACIENTE ADULTO",IF(O240=CURSOS!$D$35,"MANEJO DEFENSIVO",IF(O240=CURSOS!$D$36,"SOPORTE CARDIOVASCULAR AVANZADO NEONATAL",IF(O240=CURSOS!$D$37,"SEGURIDAD DEL PACIENTE",IF(O240=CURSOS!$D$38,"MANEJO DE RESIDUOS HOSPITALARIOS"))))))))))))))))))))))))))))))))))))</f>
        <v>0</v>
      </c>
      <c r="V240" s="59" t="str">
        <f t="shared" si="11"/>
        <v xml:space="preserve">   </v>
      </c>
      <c r="W240" s="59" t="str">
        <f t="shared" si="12"/>
        <v xml:space="preserve">   </v>
      </c>
      <c r="X240" s="59" t="str">
        <f t="shared" si="13"/>
        <v xml:space="preserve">   --</v>
      </c>
    </row>
    <row r="241" spans="1:24" x14ac:dyDescent="0.2">
      <c r="A241" s="55">
        <v>240</v>
      </c>
      <c r="I241" s="73"/>
      <c r="T241" s="53"/>
      <c r="U241" s="59" t="b">
        <f>IF(O241=CURSOS!$D$3,"DIPLOMADO EN ATENCION PRE-HOSPITALARIA",IF(O241=CURSOS!$D$4,"ACOMPAÑAMIENTO Y MANEJO DEL DUELO",IF(O241=CURSOS!$D$5,"ATENCION A VICTIMAS DE ATAQUE CON AGENTES QUIMICOS ",IF(O241=CURSOS!$D$6,"PRIMEROS AUXILIOS ",IF(O241=CURSOS!$D$7,"DIPLOMADO DE UNIDAD DE CUIDADOS INTENSIVOS (UCI)",IF(O241=CURSOS!$D$8,"MODELO DE ATENCION PARA EVENTOS EMERGENTES EN SALUD MENTAL (CODIGO VERDE)",IF(O241=CURSOS!$D$9,"HUMANIZACION EN EL SERVICIO DE LA SALUD Y BUENAS PRACTICAS EN PACIENTE ",IF(O241=CURSOS!$D$10,"CLINICA DE HERIDAS ",IF(O241=CURSOS!$D$11,"TOMA DE CITOLOGIA CERVICO VAGINAL ",IF(O241=CURSOS!$D$12,"SOPORTE CARDIOVASCULAR AVANZADO (ACLS) ",IF(O241=CURSOS!$D$13,"CAMILLERO ",IF(O241=CURSOS!$D$14,"TOMA DE MUESTRAS Y LABORATORIO ",IF(O241=CURSOS!$D$15,"SOPORTE VITAL BASICO (BLS)",IF(O241=CURSOS!$D$16,"ATENCION A VICTIMAS DE VIOLENCIA SEXUAL ",IF(O241=CURSOS!$D$17,"PROGRAMADO AMPLIADO DE INMUNIZACION (PAI - COVID 19)",IF(O241=CURSOS!$D$18,"ATENCION INTEGRAL EN ENFERMEDADES PREVALENTES EN PRIMERA INFANCIA (AIEPI)",IF(O241=CURSOS!$D$19,"ADMINISTRACION DE MEDICAMENTOS, INYECTOLOGIA  Y CANALIZACION ",IF(O241=CURSOS!$D$20,"OPERADOR DE VEHICULOS DE EMERGENCIA (OVE)",IF(O241=CURSOS!$D$21,"INSTITUCIONES AMIGAS DE LA MUJER Y LA INFANCIA (IAMI)",IF(O241=CURSOS!$D$22,"CUIDADO DEL DONANTE DE ORGANOS",IF(O241=CURSOS!$D$23,"ATENCION A VICTIMAS POR VIOLENCIA DE GENERO",IF(O241=CURSOS!$D$24,"IGUALDAD DE GENERO EN LA SALUD",IF(O241=CURSOS!$D$25,"BRIGADA DE EMERGENCIA",IF(O241=CURSOS!$D$26,"MANEJO DEL DOLOR Y CUIDADOS PALIATIVOS",IF(O241=CURSOS!$D$27,"TOMA DE MUESTRAS Y LABORATORIO POCT",IF(O241=CURSOS!$D$28,"IMPLANTE SUBDERMICO DE DISPOSITIVO INTRAUTERINO",IF(O241=CURSOS!$D$29,"SALUD MENTAL",IF(O241=CURSOS!$D$30,"PRIMEROS AUXILIOS PSICOLOGICOS",IF(O241=CURSOS!$D$31,"ATENCION A VICTIMAS POR CONFLICTO ARMADO",IF(O241=CURSOS!$D$32,"MANIPULACION DE ALIMENTOS Y BPM",IF(O241=CURSOS!$D$33,"ATENCION A PERSONAS CON DISCAPACIDAD",IF(O241=CURSOS!$D$34,"CUIDADO INTEGRAL DEL PACIENTE ADULTO",IF(O241=CURSOS!$D$35,"MANEJO DEFENSIVO",IF(O241=CURSOS!$D$36,"SOPORTE CARDIOVASCULAR AVANZADO NEONATAL",IF(O241=CURSOS!$D$37,"SEGURIDAD DEL PACIENTE",IF(O241=CURSOS!$D$38,"MANEJO DE RESIDUOS HOSPITALARIOS"))))))))))))))))))))))))))))))))))))</f>
        <v>0</v>
      </c>
      <c r="V241" s="59" t="str">
        <f t="shared" si="11"/>
        <v xml:space="preserve">   </v>
      </c>
      <c r="W241" s="59" t="str">
        <f t="shared" si="12"/>
        <v xml:space="preserve">   </v>
      </c>
      <c r="X241" s="59" t="str">
        <f t="shared" si="13"/>
        <v xml:space="preserve">   --</v>
      </c>
    </row>
    <row r="242" spans="1:24" x14ac:dyDescent="0.2">
      <c r="A242" s="55">
        <v>241</v>
      </c>
      <c r="I242" s="73"/>
      <c r="T242" s="53"/>
      <c r="U242" s="59" t="b">
        <f>IF(O242=CURSOS!$D$3,"DIPLOMADO EN ATENCION PRE-HOSPITALARIA",IF(O242=CURSOS!$D$4,"ACOMPAÑAMIENTO Y MANEJO DEL DUELO",IF(O242=CURSOS!$D$5,"ATENCION A VICTIMAS DE ATAQUE CON AGENTES QUIMICOS ",IF(O242=CURSOS!$D$6,"PRIMEROS AUXILIOS ",IF(O242=CURSOS!$D$7,"DIPLOMADO DE UNIDAD DE CUIDADOS INTENSIVOS (UCI)",IF(O242=CURSOS!$D$8,"MODELO DE ATENCION PARA EVENTOS EMERGENTES EN SALUD MENTAL (CODIGO VERDE)",IF(O242=CURSOS!$D$9,"HUMANIZACION EN EL SERVICIO DE LA SALUD Y BUENAS PRACTICAS EN PACIENTE ",IF(O242=CURSOS!$D$10,"CLINICA DE HERIDAS ",IF(O242=CURSOS!$D$11,"TOMA DE CITOLOGIA CERVICO VAGINAL ",IF(O242=CURSOS!$D$12,"SOPORTE CARDIOVASCULAR AVANZADO (ACLS) ",IF(O242=CURSOS!$D$13,"CAMILLERO ",IF(O242=CURSOS!$D$14,"TOMA DE MUESTRAS Y LABORATORIO ",IF(O242=CURSOS!$D$15,"SOPORTE VITAL BASICO (BLS)",IF(O242=CURSOS!$D$16,"ATENCION A VICTIMAS DE VIOLENCIA SEXUAL ",IF(O242=CURSOS!$D$17,"PROGRAMADO AMPLIADO DE INMUNIZACION (PAI - COVID 19)",IF(O242=CURSOS!$D$18,"ATENCION INTEGRAL EN ENFERMEDADES PREVALENTES EN PRIMERA INFANCIA (AIEPI)",IF(O242=CURSOS!$D$19,"ADMINISTRACION DE MEDICAMENTOS, INYECTOLOGIA  Y CANALIZACION ",IF(O242=CURSOS!$D$20,"OPERADOR DE VEHICULOS DE EMERGENCIA (OVE)",IF(O242=CURSOS!$D$21,"INSTITUCIONES AMIGAS DE LA MUJER Y LA INFANCIA (IAMI)",IF(O242=CURSOS!$D$22,"CUIDADO DEL DONANTE DE ORGANOS",IF(O242=CURSOS!$D$23,"ATENCION A VICTIMAS POR VIOLENCIA DE GENERO",IF(O242=CURSOS!$D$24,"IGUALDAD DE GENERO EN LA SALUD",IF(O242=CURSOS!$D$25,"BRIGADA DE EMERGENCIA",IF(O242=CURSOS!$D$26,"MANEJO DEL DOLOR Y CUIDADOS PALIATIVOS",IF(O242=CURSOS!$D$27,"TOMA DE MUESTRAS Y LABORATORIO POCT",IF(O242=CURSOS!$D$28,"IMPLANTE SUBDERMICO DE DISPOSITIVO INTRAUTERINO",IF(O242=CURSOS!$D$29,"SALUD MENTAL",IF(O242=CURSOS!$D$30,"PRIMEROS AUXILIOS PSICOLOGICOS",IF(O242=CURSOS!$D$31,"ATENCION A VICTIMAS POR CONFLICTO ARMADO",IF(O242=CURSOS!$D$32,"MANIPULACION DE ALIMENTOS Y BPM",IF(O242=CURSOS!$D$33,"ATENCION A PERSONAS CON DISCAPACIDAD",IF(O242=CURSOS!$D$34,"CUIDADO INTEGRAL DEL PACIENTE ADULTO",IF(O242=CURSOS!$D$35,"MANEJO DEFENSIVO",IF(O242=CURSOS!$D$36,"SOPORTE CARDIOVASCULAR AVANZADO NEONATAL",IF(O242=CURSOS!$D$37,"SEGURIDAD DEL PACIENTE",IF(O242=CURSOS!$D$38,"MANEJO DE RESIDUOS HOSPITALARIOS"))))))))))))))))))))))))))))))))))))</f>
        <v>0</v>
      </c>
      <c r="V242" s="59" t="str">
        <f t="shared" si="11"/>
        <v xml:space="preserve">   </v>
      </c>
      <c r="W242" s="59" t="str">
        <f t="shared" si="12"/>
        <v xml:space="preserve">   </v>
      </c>
      <c r="X242" s="59" t="str">
        <f t="shared" si="13"/>
        <v xml:space="preserve">   --</v>
      </c>
    </row>
    <row r="243" spans="1:24" x14ac:dyDescent="0.2">
      <c r="A243" s="55">
        <v>242</v>
      </c>
      <c r="I243" s="73"/>
      <c r="T243" s="53"/>
      <c r="U243" s="59" t="b">
        <f>IF(O243=CURSOS!$D$3,"DIPLOMADO EN ATENCION PRE-HOSPITALARIA",IF(O243=CURSOS!$D$4,"ACOMPAÑAMIENTO Y MANEJO DEL DUELO",IF(O243=CURSOS!$D$5,"ATENCION A VICTIMAS DE ATAQUE CON AGENTES QUIMICOS ",IF(O243=CURSOS!$D$6,"PRIMEROS AUXILIOS ",IF(O243=CURSOS!$D$7,"DIPLOMADO DE UNIDAD DE CUIDADOS INTENSIVOS (UCI)",IF(O243=CURSOS!$D$8,"MODELO DE ATENCION PARA EVENTOS EMERGENTES EN SALUD MENTAL (CODIGO VERDE)",IF(O243=CURSOS!$D$9,"HUMANIZACION EN EL SERVICIO DE LA SALUD Y BUENAS PRACTICAS EN PACIENTE ",IF(O243=CURSOS!$D$10,"CLINICA DE HERIDAS ",IF(O243=CURSOS!$D$11,"TOMA DE CITOLOGIA CERVICO VAGINAL ",IF(O243=CURSOS!$D$12,"SOPORTE CARDIOVASCULAR AVANZADO (ACLS) ",IF(O243=CURSOS!$D$13,"CAMILLERO ",IF(O243=CURSOS!$D$14,"TOMA DE MUESTRAS Y LABORATORIO ",IF(O243=CURSOS!$D$15,"SOPORTE VITAL BASICO (BLS)",IF(O243=CURSOS!$D$16,"ATENCION A VICTIMAS DE VIOLENCIA SEXUAL ",IF(O243=CURSOS!$D$17,"PROGRAMADO AMPLIADO DE INMUNIZACION (PAI - COVID 19)",IF(O243=CURSOS!$D$18,"ATENCION INTEGRAL EN ENFERMEDADES PREVALENTES EN PRIMERA INFANCIA (AIEPI)",IF(O243=CURSOS!$D$19,"ADMINISTRACION DE MEDICAMENTOS, INYECTOLOGIA  Y CANALIZACION ",IF(O243=CURSOS!$D$20,"OPERADOR DE VEHICULOS DE EMERGENCIA (OVE)",IF(O243=CURSOS!$D$21,"INSTITUCIONES AMIGAS DE LA MUJER Y LA INFANCIA (IAMI)",IF(O243=CURSOS!$D$22,"CUIDADO DEL DONANTE DE ORGANOS",IF(O243=CURSOS!$D$23,"ATENCION A VICTIMAS POR VIOLENCIA DE GENERO",IF(O243=CURSOS!$D$24,"IGUALDAD DE GENERO EN LA SALUD",IF(O243=CURSOS!$D$25,"BRIGADA DE EMERGENCIA",IF(O243=CURSOS!$D$26,"MANEJO DEL DOLOR Y CUIDADOS PALIATIVOS",IF(O243=CURSOS!$D$27,"TOMA DE MUESTRAS Y LABORATORIO POCT",IF(O243=CURSOS!$D$28,"IMPLANTE SUBDERMICO DE DISPOSITIVO INTRAUTERINO",IF(O243=CURSOS!$D$29,"SALUD MENTAL",IF(O243=CURSOS!$D$30,"PRIMEROS AUXILIOS PSICOLOGICOS",IF(O243=CURSOS!$D$31,"ATENCION A VICTIMAS POR CONFLICTO ARMADO",IF(O243=CURSOS!$D$32,"MANIPULACION DE ALIMENTOS Y BPM",IF(O243=CURSOS!$D$33,"ATENCION A PERSONAS CON DISCAPACIDAD",IF(O243=CURSOS!$D$34,"CUIDADO INTEGRAL DEL PACIENTE ADULTO",IF(O243=CURSOS!$D$35,"MANEJO DEFENSIVO",IF(O243=CURSOS!$D$36,"SOPORTE CARDIOVASCULAR AVANZADO NEONATAL",IF(O243=CURSOS!$D$37,"SEGURIDAD DEL PACIENTE",IF(O243=CURSOS!$D$38,"MANEJO DE RESIDUOS HOSPITALARIOS"))))))))))))))))))))))))))))))))))))</f>
        <v>0</v>
      </c>
      <c r="V243" s="59" t="str">
        <f t="shared" si="11"/>
        <v xml:space="preserve">   </v>
      </c>
      <c r="W243" s="59" t="str">
        <f t="shared" si="12"/>
        <v xml:space="preserve">   </v>
      </c>
      <c r="X243" s="59" t="str">
        <f t="shared" si="13"/>
        <v xml:space="preserve">   --</v>
      </c>
    </row>
    <row r="244" spans="1:24" x14ac:dyDescent="0.2">
      <c r="A244" s="55">
        <v>243</v>
      </c>
      <c r="I244" s="73"/>
      <c r="T244" s="53"/>
      <c r="U244" s="59" t="b">
        <f>IF(O244=CURSOS!$D$3,"DIPLOMADO EN ATENCION PRE-HOSPITALARIA",IF(O244=CURSOS!$D$4,"ACOMPAÑAMIENTO Y MANEJO DEL DUELO",IF(O244=CURSOS!$D$5,"ATENCION A VICTIMAS DE ATAQUE CON AGENTES QUIMICOS ",IF(O244=CURSOS!$D$6,"PRIMEROS AUXILIOS ",IF(O244=CURSOS!$D$7,"DIPLOMADO DE UNIDAD DE CUIDADOS INTENSIVOS (UCI)",IF(O244=CURSOS!$D$8,"MODELO DE ATENCION PARA EVENTOS EMERGENTES EN SALUD MENTAL (CODIGO VERDE)",IF(O244=CURSOS!$D$9,"HUMANIZACION EN EL SERVICIO DE LA SALUD Y BUENAS PRACTICAS EN PACIENTE ",IF(O244=CURSOS!$D$10,"CLINICA DE HERIDAS ",IF(O244=CURSOS!$D$11,"TOMA DE CITOLOGIA CERVICO VAGINAL ",IF(O244=CURSOS!$D$12,"SOPORTE CARDIOVASCULAR AVANZADO (ACLS) ",IF(O244=CURSOS!$D$13,"CAMILLERO ",IF(O244=CURSOS!$D$14,"TOMA DE MUESTRAS Y LABORATORIO ",IF(O244=CURSOS!$D$15,"SOPORTE VITAL BASICO (BLS)",IF(O244=CURSOS!$D$16,"ATENCION A VICTIMAS DE VIOLENCIA SEXUAL ",IF(O244=CURSOS!$D$17,"PROGRAMADO AMPLIADO DE INMUNIZACION (PAI - COVID 19)",IF(O244=CURSOS!$D$18,"ATENCION INTEGRAL EN ENFERMEDADES PREVALENTES EN PRIMERA INFANCIA (AIEPI)",IF(O244=CURSOS!$D$19,"ADMINISTRACION DE MEDICAMENTOS, INYECTOLOGIA  Y CANALIZACION ",IF(O244=CURSOS!$D$20,"OPERADOR DE VEHICULOS DE EMERGENCIA (OVE)",IF(O244=CURSOS!$D$21,"INSTITUCIONES AMIGAS DE LA MUJER Y LA INFANCIA (IAMI)",IF(O244=CURSOS!$D$22,"CUIDADO DEL DONANTE DE ORGANOS",IF(O244=CURSOS!$D$23,"ATENCION A VICTIMAS POR VIOLENCIA DE GENERO",IF(O244=CURSOS!$D$24,"IGUALDAD DE GENERO EN LA SALUD",IF(O244=CURSOS!$D$25,"BRIGADA DE EMERGENCIA",IF(O244=CURSOS!$D$26,"MANEJO DEL DOLOR Y CUIDADOS PALIATIVOS",IF(O244=CURSOS!$D$27,"TOMA DE MUESTRAS Y LABORATORIO POCT",IF(O244=CURSOS!$D$28,"IMPLANTE SUBDERMICO DE DISPOSITIVO INTRAUTERINO",IF(O244=CURSOS!$D$29,"SALUD MENTAL",IF(O244=CURSOS!$D$30,"PRIMEROS AUXILIOS PSICOLOGICOS",IF(O244=CURSOS!$D$31,"ATENCION A VICTIMAS POR CONFLICTO ARMADO",IF(O244=CURSOS!$D$32,"MANIPULACION DE ALIMENTOS Y BPM",IF(O244=CURSOS!$D$33,"ATENCION A PERSONAS CON DISCAPACIDAD",IF(O244=CURSOS!$D$34,"CUIDADO INTEGRAL DEL PACIENTE ADULTO",IF(O244=CURSOS!$D$35,"MANEJO DEFENSIVO",IF(O244=CURSOS!$D$36,"SOPORTE CARDIOVASCULAR AVANZADO NEONATAL",IF(O244=CURSOS!$D$37,"SEGURIDAD DEL PACIENTE",IF(O244=CURSOS!$D$38,"MANEJO DE RESIDUOS HOSPITALARIOS"))))))))))))))))))))))))))))))))))))</f>
        <v>0</v>
      </c>
      <c r="V244" s="59" t="str">
        <f t="shared" si="11"/>
        <v xml:space="preserve">   </v>
      </c>
      <c r="W244" s="59" t="str">
        <f t="shared" si="12"/>
        <v xml:space="preserve">   </v>
      </c>
      <c r="X244" s="59" t="str">
        <f t="shared" si="13"/>
        <v xml:space="preserve">   --</v>
      </c>
    </row>
    <row r="245" spans="1:24" x14ac:dyDescent="0.2">
      <c r="A245" s="55">
        <v>244</v>
      </c>
      <c r="I245" s="73"/>
      <c r="T245" s="53"/>
      <c r="U245" s="59" t="b">
        <f>IF(O245=CURSOS!$D$3,"DIPLOMADO EN ATENCION PRE-HOSPITALARIA",IF(O245=CURSOS!$D$4,"ACOMPAÑAMIENTO Y MANEJO DEL DUELO",IF(O245=CURSOS!$D$5,"ATENCION A VICTIMAS DE ATAQUE CON AGENTES QUIMICOS ",IF(O245=CURSOS!$D$6,"PRIMEROS AUXILIOS ",IF(O245=CURSOS!$D$7,"DIPLOMADO DE UNIDAD DE CUIDADOS INTENSIVOS (UCI)",IF(O245=CURSOS!$D$8,"MODELO DE ATENCION PARA EVENTOS EMERGENTES EN SALUD MENTAL (CODIGO VERDE)",IF(O245=CURSOS!$D$9,"HUMANIZACION EN EL SERVICIO DE LA SALUD Y BUENAS PRACTICAS EN PACIENTE ",IF(O245=CURSOS!$D$10,"CLINICA DE HERIDAS ",IF(O245=CURSOS!$D$11,"TOMA DE CITOLOGIA CERVICO VAGINAL ",IF(O245=CURSOS!$D$12,"SOPORTE CARDIOVASCULAR AVANZADO (ACLS) ",IF(O245=CURSOS!$D$13,"CAMILLERO ",IF(O245=CURSOS!$D$14,"TOMA DE MUESTRAS Y LABORATORIO ",IF(O245=CURSOS!$D$15,"SOPORTE VITAL BASICO (BLS)",IF(O245=CURSOS!$D$16,"ATENCION A VICTIMAS DE VIOLENCIA SEXUAL ",IF(O245=CURSOS!$D$17,"PROGRAMADO AMPLIADO DE INMUNIZACION (PAI - COVID 19)",IF(O245=CURSOS!$D$18,"ATENCION INTEGRAL EN ENFERMEDADES PREVALENTES EN PRIMERA INFANCIA (AIEPI)",IF(O245=CURSOS!$D$19,"ADMINISTRACION DE MEDICAMENTOS, INYECTOLOGIA  Y CANALIZACION ",IF(O245=CURSOS!$D$20,"OPERADOR DE VEHICULOS DE EMERGENCIA (OVE)",IF(O245=CURSOS!$D$21,"INSTITUCIONES AMIGAS DE LA MUJER Y LA INFANCIA (IAMI)",IF(O245=CURSOS!$D$22,"CUIDADO DEL DONANTE DE ORGANOS",IF(O245=CURSOS!$D$23,"ATENCION A VICTIMAS POR VIOLENCIA DE GENERO",IF(O245=CURSOS!$D$24,"IGUALDAD DE GENERO EN LA SALUD",IF(O245=CURSOS!$D$25,"BRIGADA DE EMERGENCIA",IF(O245=CURSOS!$D$26,"MANEJO DEL DOLOR Y CUIDADOS PALIATIVOS",IF(O245=CURSOS!$D$27,"TOMA DE MUESTRAS Y LABORATORIO POCT",IF(O245=CURSOS!$D$28,"IMPLANTE SUBDERMICO DE DISPOSITIVO INTRAUTERINO",IF(O245=CURSOS!$D$29,"SALUD MENTAL",IF(O245=CURSOS!$D$30,"PRIMEROS AUXILIOS PSICOLOGICOS",IF(O245=CURSOS!$D$31,"ATENCION A VICTIMAS POR CONFLICTO ARMADO",IF(O245=CURSOS!$D$32,"MANIPULACION DE ALIMENTOS Y BPM",IF(O245=CURSOS!$D$33,"ATENCION A PERSONAS CON DISCAPACIDAD",IF(O245=CURSOS!$D$34,"CUIDADO INTEGRAL DEL PACIENTE ADULTO",IF(O245=CURSOS!$D$35,"MANEJO DEFENSIVO",IF(O245=CURSOS!$D$36,"SOPORTE CARDIOVASCULAR AVANZADO NEONATAL",IF(O245=CURSOS!$D$37,"SEGURIDAD DEL PACIENTE",IF(O245=CURSOS!$D$38,"MANEJO DE RESIDUOS HOSPITALARIOS"))))))))))))))))))))))))))))))))))))</f>
        <v>0</v>
      </c>
      <c r="V245" s="59" t="str">
        <f t="shared" si="11"/>
        <v xml:space="preserve">   </v>
      </c>
      <c r="W245" s="59" t="str">
        <f t="shared" si="12"/>
        <v xml:space="preserve">   </v>
      </c>
      <c r="X245" s="59" t="str">
        <f t="shared" si="13"/>
        <v xml:space="preserve">   --</v>
      </c>
    </row>
    <row r="246" spans="1:24" x14ac:dyDescent="0.2">
      <c r="A246" s="55">
        <v>245</v>
      </c>
      <c r="I246" s="73"/>
      <c r="T246" s="53"/>
      <c r="U246" s="59" t="b">
        <f>IF(O246=CURSOS!$D$3,"DIPLOMADO EN ATENCION PRE-HOSPITALARIA",IF(O246=CURSOS!$D$4,"ACOMPAÑAMIENTO Y MANEJO DEL DUELO",IF(O246=CURSOS!$D$5,"ATENCION A VICTIMAS DE ATAQUE CON AGENTES QUIMICOS ",IF(O246=CURSOS!$D$6,"PRIMEROS AUXILIOS ",IF(O246=CURSOS!$D$7,"DIPLOMADO DE UNIDAD DE CUIDADOS INTENSIVOS (UCI)",IF(O246=CURSOS!$D$8,"MODELO DE ATENCION PARA EVENTOS EMERGENTES EN SALUD MENTAL (CODIGO VERDE)",IF(O246=CURSOS!$D$9,"HUMANIZACION EN EL SERVICIO DE LA SALUD Y BUENAS PRACTICAS EN PACIENTE ",IF(O246=CURSOS!$D$10,"CLINICA DE HERIDAS ",IF(O246=CURSOS!$D$11,"TOMA DE CITOLOGIA CERVICO VAGINAL ",IF(O246=CURSOS!$D$12,"SOPORTE CARDIOVASCULAR AVANZADO (ACLS) ",IF(O246=CURSOS!$D$13,"CAMILLERO ",IF(O246=CURSOS!$D$14,"TOMA DE MUESTRAS Y LABORATORIO ",IF(O246=CURSOS!$D$15,"SOPORTE VITAL BASICO (BLS)",IF(O246=CURSOS!$D$16,"ATENCION A VICTIMAS DE VIOLENCIA SEXUAL ",IF(O246=CURSOS!$D$17,"PROGRAMADO AMPLIADO DE INMUNIZACION (PAI - COVID 19)",IF(O246=CURSOS!$D$18,"ATENCION INTEGRAL EN ENFERMEDADES PREVALENTES EN PRIMERA INFANCIA (AIEPI)",IF(O246=CURSOS!$D$19,"ADMINISTRACION DE MEDICAMENTOS, INYECTOLOGIA  Y CANALIZACION ",IF(O246=CURSOS!$D$20,"OPERADOR DE VEHICULOS DE EMERGENCIA (OVE)",IF(O246=CURSOS!$D$21,"INSTITUCIONES AMIGAS DE LA MUJER Y LA INFANCIA (IAMI)",IF(O246=CURSOS!$D$22,"CUIDADO DEL DONANTE DE ORGANOS",IF(O246=CURSOS!$D$23,"ATENCION A VICTIMAS POR VIOLENCIA DE GENERO",IF(O246=CURSOS!$D$24,"IGUALDAD DE GENERO EN LA SALUD",IF(O246=CURSOS!$D$25,"BRIGADA DE EMERGENCIA",IF(O246=CURSOS!$D$26,"MANEJO DEL DOLOR Y CUIDADOS PALIATIVOS",IF(O246=CURSOS!$D$27,"TOMA DE MUESTRAS Y LABORATORIO POCT",IF(O246=CURSOS!$D$28,"IMPLANTE SUBDERMICO DE DISPOSITIVO INTRAUTERINO",IF(O246=CURSOS!$D$29,"SALUD MENTAL",IF(O246=CURSOS!$D$30,"PRIMEROS AUXILIOS PSICOLOGICOS",IF(O246=CURSOS!$D$31,"ATENCION A VICTIMAS POR CONFLICTO ARMADO",IF(O246=CURSOS!$D$32,"MANIPULACION DE ALIMENTOS Y BPM",IF(O246=CURSOS!$D$33,"ATENCION A PERSONAS CON DISCAPACIDAD",IF(O246=CURSOS!$D$34,"CUIDADO INTEGRAL DEL PACIENTE ADULTO",IF(O246=CURSOS!$D$35,"MANEJO DEFENSIVO",IF(O246=CURSOS!$D$36,"SOPORTE CARDIOVASCULAR AVANZADO NEONATAL",IF(O246=CURSOS!$D$37,"SEGURIDAD DEL PACIENTE",IF(O246=CURSOS!$D$38,"MANEJO DE RESIDUOS HOSPITALARIOS"))))))))))))))))))))))))))))))))))))</f>
        <v>0</v>
      </c>
      <c r="V246" s="59" t="str">
        <f t="shared" si="11"/>
        <v xml:space="preserve">   </v>
      </c>
      <c r="W246" s="59" t="str">
        <f t="shared" si="12"/>
        <v xml:space="preserve">   </v>
      </c>
      <c r="X246" s="59" t="str">
        <f t="shared" si="13"/>
        <v xml:space="preserve">   --</v>
      </c>
    </row>
    <row r="247" spans="1:24" x14ac:dyDescent="0.2">
      <c r="A247" s="55">
        <v>246</v>
      </c>
      <c r="I247" s="73"/>
      <c r="T247" s="53"/>
      <c r="U247" s="59" t="b">
        <f>IF(O247=CURSOS!$D$3,"DIPLOMADO EN ATENCION PRE-HOSPITALARIA",IF(O247=CURSOS!$D$4,"ACOMPAÑAMIENTO Y MANEJO DEL DUELO",IF(O247=CURSOS!$D$5,"ATENCION A VICTIMAS DE ATAQUE CON AGENTES QUIMICOS ",IF(O247=CURSOS!$D$6,"PRIMEROS AUXILIOS ",IF(O247=CURSOS!$D$7,"DIPLOMADO DE UNIDAD DE CUIDADOS INTENSIVOS (UCI)",IF(O247=CURSOS!$D$8,"MODELO DE ATENCION PARA EVENTOS EMERGENTES EN SALUD MENTAL (CODIGO VERDE)",IF(O247=CURSOS!$D$9,"HUMANIZACION EN EL SERVICIO DE LA SALUD Y BUENAS PRACTICAS EN PACIENTE ",IF(O247=CURSOS!$D$10,"CLINICA DE HERIDAS ",IF(O247=CURSOS!$D$11,"TOMA DE CITOLOGIA CERVICO VAGINAL ",IF(O247=CURSOS!$D$12,"SOPORTE CARDIOVASCULAR AVANZADO (ACLS) ",IF(O247=CURSOS!$D$13,"CAMILLERO ",IF(O247=CURSOS!$D$14,"TOMA DE MUESTRAS Y LABORATORIO ",IF(O247=CURSOS!$D$15,"SOPORTE VITAL BASICO (BLS)",IF(O247=CURSOS!$D$16,"ATENCION A VICTIMAS DE VIOLENCIA SEXUAL ",IF(O247=CURSOS!$D$17,"PROGRAMADO AMPLIADO DE INMUNIZACION (PAI - COVID 19)",IF(O247=CURSOS!$D$18,"ATENCION INTEGRAL EN ENFERMEDADES PREVALENTES EN PRIMERA INFANCIA (AIEPI)",IF(O247=CURSOS!$D$19,"ADMINISTRACION DE MEDICAMENTOS, INYECTOLOGIA  Y CANALIZACION ",IF(O247=CURSOS!$D$20,"OPERADOR DE VEHICULOS DE EMERGENCIA (OVE)",IF(O247=CURSOS!$D$21,"INSTITUCIONES AMIGAS DE LA MUJER Y LA INFANCIA (IAMI)",IF(O247=CURSOS!$D$22,"CUIDADO DEL DONANTE DE ORGANOS",IF(O247=CURSOS!$D$23,"ATENCION A VICTIMAS POR VIOLENCIA DE GENERO",IF(O247=CURSOS!$D$24,"IGUALDAD DE GENERO EN LA SALUD",IF(O247=CURSOS!$D$25,"BRIGADA DE EMERGENCIA",IF(O247=CURSOS!$D$26,"MANEJO DEL DOLOR Y CUIDADOS PALIATIVOS",IF(O247=CURSOS!$D$27,"TOMA DE MUESTRAS Y LABORATORIO POCT",IF(O247=CURSOS!$D$28,"IMPLANTE SUBDERMICO DE DISPOSITIVO INTRAUTERINO",IF(O247=CURSOS!$D$29,"SALUD MENTAL",IF(O247=CURSOS!$D$30,"PRIMEROS AUXILIOS PSICOLOGICOS",IF(O247=CURSOS!$D$31,"ATENCION A VICTIMAS POR CONFLICTO ARMADO",IF(O247=CURSOS!$D$32,"MANIPULACION DE ALIMENTOS Y BPM",IF(O247=CURSOS!$D$33,"ATENCION A PERSONAS CON DISCAPACIDAD",IF(O247=CURSOS!$D$34,"CUIDADO INTEGRAL DEL PACIENTE ADULTO",IF(O247=CURSOS!$D$35,"MANEJO DEFENSIVO",IF(O247=CURSOS!$D$36,"SOPORTE CARDIOVASCULAR AVANZADO NEONATAL",IF(O247=CURSOS!$D$37,"SEGURIDAD DEL PACIENTE",IF(O247=CURSOS!$D$38,"MANEJO DE RESIDUOS HOSPITALARIOS"))))))))))))))))))))))))))))))))))))</f>
        <v>0</v>
      </c>
      <c r="V247" s="59" t="str">
        <f t="shared" si="11"/>
        <v xml:space="preserve">   </v>
      </c>
      <c r="W247" s="59" t="str">
        <f t="shared" si="12"/>
        <v xml:space="preserve">   </v>
      </c>
      <c r="X247" s="59" t="str">
        <f t="shared" si="13"/>
        <v xml:space="preserve">   --</v>
      </c>
    </row>
    <row r="248" spans="1:24" x14ac:dyDescent="0.2">
      <c r="A248" s="55">
        <v>247</v>
      </c>
      <c r="I248" s="73"/>
      <c r="T248" s="53"/>
      <c r="U248" s="59" t="b">
        <f>IF(O248=CURSOS!$D$3,"DIPLOMADO EN ATENCION PRE-HOSPITALARIA",IF(O248=CURSOS!$D$4,"ACOMPAÑAMIENTO Y MANEJO DEL DUELO",IF(O248=CURSOS!$D$5,"ATENCION A VICTIMAS DE ATAQUE CON AGENTES QUIMICOS ",IF(O248=CURSOS!$D$6,"PRIMEROS AUXILIOS ",IF(O248=CURSOS!$D$7,"DIPLOMADO DE UNIDAD DE CUIDADOS INTENSIVOS (UCI)",IF(O248=CURSOS!$D$8,"MODELO DE ATENCION PARA EVENTOS EMERGENTES EN SALUD MENTAL (CODIGO VERDE)",IF(O248=CURSOS!$D$9,"HUMANIZACION EN EL SERVICIO DE LA SALUD Y BUENAS PRACTICAS EN PACIENTE ",IF(O248=CURSOS!$D$10,"CLINICA DE HERIDAS ",IF(O248=CURSOS!$D$11,"TOMA DE CITOLOGIA CERVICO VAGINAL ",IF(O248=CURSOS!$D$12,"SOPORTE CARDIOVASCULAR AVANZADO (ACLS) ",IF(O248=CURSOS!$D$13,"CAMILLERO ",IF(O248=CURSOS!$D$14,"TOMA DE MUESTRAS Y LABORATORIO ",IF(O248=CURSOS!$D$15,"SOPORTE VITAL BASICO (BLS)",IF(O248=CURSOS!$D$16,"ATENCION A VICTIMAS DE VIOLENCIA SEXUAL ",IF(O248=CURSOS!$D$17,"PROGRAMADO AMPLIADO DE INMUNIZACION (PAI - COVID 19)",IF(O248=CURSOS!$D$18,"ATENCION INTEGRAL EN ENFERMEDADES PREVALENTES EN PRIMERA INFANCIA (AIEPI)",IF(O248=CURSOS!$D$19,"ADMINISTRACION DE MEDICAMENTOS, INYECTOLOGIA  Y CANALIZACION ",IF(O248=CURSOS!$D$20,"OPERADOR DE VEHICULOS DE EMERGENCIA (OVE)",IF(O248=CURSOS!$D$21,"INSTITUCIONES AMIGAS DE LA MUJER Y LA INFANCIA (IAMI)",IF(O248=CURSOS!$D$22,"CUIDADO DEL DONANTE DE ORGANOS",IF(O248=CURSOS!$D$23,"ATENCION A VICTIMAS POR VIOLENCIA DE GENERO",IF(O248=CURSOS!$D$24,"IGUALDAD DE GENERO EN LA SALUD",IF(O248=CURSOS!$D$25,"BRIGADA DE EMERGENCIA",IF(O248=CURSOS!$D$26,"MANEJO DEL DOLOR Y CUIDADOS PALIATIVOS",IF(O248=CURSOS!$D$27,"TOMA DE MUESTRAS Y LABORATORIO POCT",IF(O248=CURSOS!$D$28,"IMPLANTE SUBDERMICO DE DISPOSITIVO INTRAUTERINO",IF(O248=CURSOS!$D$29,"SALUD MENTAL",IF(O248=CURSOS!$D$30,"PRIMEROS AUXILIOS PSICOLOGICOS",IF(O248=CURSOS!$D$31,"ATENCION A VICTIMAS POR CONFLICTO ARMADO",IF(O248=CURSOS!$D$32,"MANIPULACION DE ALIMENTOS Y BPM",IF(O248=CURSOS!$D$33,"ATENCION A PERSONAS CON DISCAPACIDAD",IF(O248=CURSOS!$D$34,"CUIDADO INTEGRAL DEL PACIENTE ADULTO",IF(O248=CURSOS!$D$35,"MANEJO DEFENSIVO",IF(O248=CURSOS!$D$36,"SOPORTE CARDIOVASCULAR AVANZADO NEONATAL",IF(O248=CURSOS!$D$37,"SEGURIDAD DEL PACIENTE",IF(O248=CURSOS!$D$38,"MANEJO DE RESIDUOS HOSPITALARIOS"))))))))))))))))))))))))))))))))))))</f>
        <v>0</v>
      </c>
      <c r="V248" s="59" t="str">
        <f t="shared" si="11"/>
        <v xml:space="preserve">   </v>
      </c>
      <c r="W248" s="59" t="str">
        <f t="shared" si="12"/>
        <v xml:space="preserve">   </v>
      </c>
      <c r="X248" s="59" t="str">
        <f t="shared" si="13"/>
        <v xml:space="preserve">   --</v>
      </c>
    </row>
    <row r="249" spans="1:24" x14ac:dyDescent="0.2">
      <c r="A249" s="55">
        <v>248</v>
      </c>
      <c r="U249" s="59" t="b">
        <f>IF(O249=CURSOS!$D$3,"DIPLOMADO EN ATENCION PRE-HOSPITALARIA",IF(O249=CURSOS!$D$4,"ACOMPAÑAMIENTO Y MANEJO DEL DUELO",IF(O249=CURSOS!$D$5,"ATENCION A VICTIMAS DE ATAQUE CON AGENTES QUIMICOS ",IF(O249=CURSOS!$D$6,"PRIMEROS AUXILIOS ",IF(O249=CURSOS!$D$7,"DIPLOMADO DE UNIDAD DE CUIDADOS INTENSIVOS (UCI)",IF(O249=CURSOS!$D$8,"MODELO DE ATENCION PARA EVENTOS EMERGENTES EN SALUD MENTAL (CODIGO VERDE)",IF(O249=CURSOS!$D$9,"HUMANIZACION EN EL SERVICIO DE LA SALUD Y BUENAS PRACTICAS EN PACIENTE ",IF(O249=CURSOS!$D$10,"CLINICA DE HERIDAS ",IF(O249=CURSOS!$D$11,"TOMA DE CITOLOGIA CERVICO VAGINAL ",IF(O249=CURSOS!$D$12,"SOPORTE CARDIOVASCULAR AVANZADO (ACLS) ",IF(O249=CURSOS!$D$13,"CAMILLERO ",IF(O249=CURSOS!$D$14,"TOMA DE MUESTRAS Y LABORATORIO ",IF(O249=CURSOS!$D$15,"SOPORTE VITAL BASICO (BLS)",IF(O249=CURSOS!$D$16,"ATENCION A VICTIMAS DE VIOLENCIA SEXUAL ",IF(O249=CURSOS!$D$17,"PROGRAMADO AMPLIADO DE INMUNIZACION (PAI - COVID 19)",IF(O249=CURSOS!$D$18,"ATENCION INTEGRAL EN ENFERMEDADES PREVALENTES EN PRIMERA INFANCIA (AIEPI)",IF(O249=CURSOS!$D$19,"ADMINISTRACION DE MEDICAMENTOS, INYECTOLOGIA  Y CANALIZACION ",IF(O249=CURSOS!$D$20,"OPERADOR DE VEHICULOS DE EMERGENCIA (OVE)",IF(O249=CURSOS!$D$21,"INSTITUCIONES AMIGAS DE LA MUJER Y LA INFANCIA (IAMI)",IF(O249=CURSOS!$D$22,"CUIDADO DEL DONANTE DE ORGANOS",IF(O249=CURSOS!$D$23,"ATENCION A VICTIMAS POR VIOLENCIA DE GENERO",IF(O249=CURSOS!$D$24,"IGUALDAD DE GENERO EN LA SALUD",IF(O249=CURSOS!$D$25,"BRIGADA DE EMERGENCIA",IF(O249=CURSOS!$D$26,"MANEJO DEL DOLOR Y CUIDADOS PALIATIVOS",IF(O249=CURSOS!$D$27,"TOMA DE MUESTRAS Y LABORATORIO POCT",IF(O249=CURSOS!$D$28,"IMPLANTE SUBDERMICO DE DISPOSITIVO INTRAUTERINO",IF(O249=CURSOS!$D$29,"SALUD MENTAL",IF(O249=CURSOS!$D$30,"PRIMEROS AUXILIOS PSICOLOGICOS",IF(O249=CURSOS!$D$31,"ATENCION A VICTIMAS POR CONFLICTO ARMADO",IF(O249=CURSOS!$D$32,"MANIPULACION DE ALIMENTOS Y BPM",IF(O249=CURSOS!$D$33,"ATENCION A PERSONAS CON DISCAPACIDAD",IF(O249=CURSOS!$D$34,"CUIDADO INTEGRAL DEL PACIENTE ADULTO",IF(O249=CURSOS!$D$35,"MANEJO DEFENSIVO",IF(O249=CURSOS!$D$36,"SOPORTE CARDIOVASCULAR AVANZADO NEONATAL",IF(O249=CURSOS!$D$37,"SEGURIDAD DEL PACIENTE",IF(O249=CURSOS!$D$38,"MANEJO DE RESIDUOS HOSPITALARIOS"))))))))))))))))))))))))))))))))))))</f>
        <v>0</v>
      </c>
      <c r="V249" s="59" t="str">
        <f t="shared" si="11"/>
        <v xml:space="preserve">   </v>
      </c>
      <c r="W249" s="59" t="str">
        <f t="shared" si="12"/>
        <v xml:space="preserve">   </v>
      </c>
      <c r="X249" s="59" t="str">
        <f t="shared" si="13"/>
        <v xml:space="preserve">   --</v>
      </c>
    </row>
  </sheetData>
  <phoneticPr fontId="7" type="noConversion"/>
  <hyperlinks>
    <hyperlink ref="T5" r:id="rId1" xr:uid="{00000000-0004-0000-0000-000000000000}"/>
    <hyperlink ref="T6" r:id="rId2" xr:uid="{00000000-0004-0000-0000-000001000000}"/>
    <hyperlink ref="T7" r:id="rId3" xr:uid="{00000000-0004-0000-0000-000002000000}"/>
    <hyperlink ref="T4" r:id="rId4" xr:uid="{00000000-0004-0000-0000-000003000000}"/>
    <hyperlink ref="R9" r:id="rId5" xr:uid="{00000000-0004-0000-0000-000004000000}"/>
    <hyperlink ref="T16" r:id="rId6" xr:uid="{00000000-0004-0000-0000-000005000000}"/>
    <hyperlink ref="R17" r:id="rId7" xr:uid="{00000000-0004-0000-0000-000006000000}"/>
    <hyperlink ref="R18" r:id="rId8" xr:uid="{00000000-0004-0000-0000-000007000000}"/>
    <hyperlink ref="R19" r:id="rId9" xr:uid="{00000000-0004-0000-0000-000008000000}"/>
    <hyperlink ref="R20" r:id="rId10" xr:uid="{00000000-0004-0000-0000-000009000000}"/>
    <hyperlink ref="R21" r:id="rId11" xr:uid="{00000000-0004-0000-0000-00000A000000}"/>
    <hyperlink ref="R22" r:id="rId12" xr:uid="{00000000-0004-0000-0000-00000B000000}"/>
    <hyperlink ref="T22" r:id="rId13" xr:uid="{00000000-0004-0000-0000-00000C000000}"/>
    <hyperlink ref="R23" r:id="rId14" xr:uid="{00000000-0004-0000-0000-00000D000000}"/>
    <hyperlink ref="T52" r:id="rId15" xr:uid="{00000000-0004-0000-0000-00000E000000}"/>
    <hyperlink ref="R61" r:id="rId16" xr:uid="{00000000-0004-0000-0000-00000F000000}"/>
    <hyperlink ref="R62" r:id="rId17" xr:uid="{00000000-0004-0000-0000-000010000000}"/>
    <hyperlink ref="R74" r:id="rId18" xr:uid="{00000000-0004-0000-0000-000011000000}"/>
    <hyperlink ref="R75" r:id="rId19" xr:uid="{00000000-0004-0000-0000-000012000000}"/>
    <hyperlink ref="R76" r:id="rId20" xr:uid="{00000000-0004-0000-0000-000013000000}"/>
    <hyperlink ref="R77" r:id="rId21" xr:uid="{00000000-0004-0000-0000-000014000000}"/>
    <hyperlink ref="R78" r:id="rId22" xr:uid="{00000000-0004-0000-0000-000015000000}"/>
    <hyperlink ref="R79" r:id="rId23" xr:uid="{00000000-0004-0000-0000-000016000000}"/>
    <hyperlink ref="R80" r:id="rId24" xr:uid="{00000000-0004-0000-0000-000017000000}"/>
    <hyperlink ref="R85" r:id="rId25" xr:uid="{00000000-0004-0000-0000-000018000000}"/>
    <hyperlink ref="R86" r:id="rId26" xr:uid="{00000000-0004-0000-0000-000019000000}"/>
    <hyperlink ref="R87" r:id="rId27" xr:uid="{00000000-0004-0000-0000-00001A000000}"/>
    <hyperlink ref="R88" r:id="rId28" xr:uid="{00000000-0004-0000-0000-00001B000000}"/>
    <hyperlink ref="T92" r:id="rId29" xr:uid="{00000000-0004-0000-0000-00001C000000}"/>
    <hyperlink ref="R107" r:id="rId30" xr:uid="{D902EB56-DB89-4CBD-99AD-62593FE4A9C7}"/>
    <hyperlink ref="R108" r:id="rId31" xr:uid="{9499E510-E219-4DDA-9218-588E7AA68922}"/>
  </hyperlinks>
  <pageMargins left="0.7" right="0.7" top="0.75" bottom="0.75" header="0.3" footer="0.3"/>
  <pageSetup paperSize="9" scale="12" orientation="portrait" r:id="rId3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C1:E38"/>
  <sheetViews>
    <sheetView topLeftCell="B1" zoomScale="85" zoomScaleNormal="85" workbookViewId="0">
      <selection activeCell="D23" sqref="D23"/>
    </sheetView>
  </sheetViews>
  <sheetFormatPr baseColWidth="10" defaultRowHeight="15" x14ac:dyDescent="0.2"/>
  <cols>
    <col min="3" max="3" width="10.77734375" style="1" customWidth="1"/>
    <col min="4" max="4" width="36.33203125" customWidth="1"/>
    <col min="5" max="5" width="107.77734375" customWidth="1"/>
  </cols>
  <sheetData>
    <row r="1" spans="3:5" ht="15.75" thickBot="1" x14ac:dyDescent="0.25"/>
    <row r="2" spans="3:5" ht="16.5" thickBot="1" x14ac:dyDescent="0.3">
      <c r="C2" s="41" t="s">
        <v>20</v>
      </c>
      <c r="D2" s="41" t="s">
        <v>11</v>
      </c>
      <c r="E2" s="42" t="s">
        <v>15</v>
      </c>
    </row>
    <row r="3" spans="3:5" x14ac:dyDescent="0.2">
      <c r="C3" s="26">
        <v>1</v>
      </c>
      <c r="D3" s="27" t="s">
        <v>21</v>
      </c>
      <c r="E3" s="28" t="s">
        <v>22</v>
      </c>
    </row>
    <row r="4" spans="3:5" x14ac:dyDescent="0.2">
      <c r="C4" s="29">
        <v>2</v>
      </c>
      <c r="D4" s="30" t="s">
        <v>23</v>
      </c>
      <c r="E4" s="31" t="s">
        <v>24</v>
      </c>
    </row>
    <row r="5" spans="3:5" x14ac:dyDescent="0.2">
      <c r="C5" s="32">
        <v>3</v>
      </c>
      <c r="D5" s="30" t="s">
        <v>25</v>
      </c>
      <c r="E5" s="31" t="s">
        <v>26</v>
      </c>
    </row>
    <row r="6" spans="3:5" x14ac:dyDescent="0.2">
      <c r="C6" s="29">
        <v>4</v>
      </c>
      <c r="D6" s="30" t="s">
        <v>27</v>
      </c>
      <c r="E6" s="31" t="s">
        <v>28</v>
      </c>
    </row>
    <row r="7" spans="3:5" x14ac:dyDescent="0.2">
      <c r="C7" s="32">
        <v>5</v>
      </c>
      <c r="D7" s="30" t="s">
        <v>29</v>
      </c>
      <c r="E7" s="31" t="s">
        <v>30</v>
      </c>
    </row>
    <row r="8" spans="3:5" x14ac:dyDescent="0.2">
      <c r="C8" s="29">
        <v>6</v>
      </c>
      <c r="D8" s="30" t="s">
        <v>31</v>
      </c>
      <c r="E8" s="31" t="s">
        <v>32</v>
      </c>
    </row>
    <row r="9" spans="3:5" x14ac:dyDescent="0.2">
      <c r="C9" s="32">
        <v>7</v>
      </c>
      <c r="D9" s="30" t="s">
        <v>33</v>
      </c>
      <c r="E9" s="31" t="s">
        <v>90</v>
      </c>
    </row>
    <row r="10" spans="3:5" x14ac:dyDescent="0.2">
      <c r="C10" s="29">
        <v>8</v>
      </c>
      <c r="D10" s="30" t="s">
        <v>34</v>
      </c>
      <c r="E10" s="31" t="s">
        <v>35</v>
      </c>
    </row>
    <row r="11" spans="3:5" x14ac:dyDescent="0.2">
      <c r="C11" s="32">
        <v>9</v>
      </c>
      <c r="D11" s="33" t="s">
        <v>36</v>
      </c>
      <c r="E11" s="31" t="s">
        <v>37</v>
      </c>
    </row>
    <row r="12" spans="3:5" x14ac:dyDescent="0.2">
      <c r="C12" s="29">
        <v>10</v>
      </c>
      <c r="D12" s="34" t="s">
        <v>38</v>
      </c>
      <c r="E12" s="31" t="s">
        <v>91</v>
      </c>
    </row>
    <row r="13" spans="3:5" x14ac:dyDescent="0.2">
      <c r="C13" s="32">
        <v>11</v>
      </c>
      <c r="D13" s="34" t="s">
        <v>39</v>
      </c>
      <c r="E13" s="31" t="s">
        <v>40</v>
      </c>
    </row>
    <row r="14" spans="3:5" x14ac:dyDescent="0.2">
      <c r="C14" s="29">
        <v>12</v>
      </c>
      <c r="D14" s="34" t="s">
        <v>41</v>
      </c>
      <c r="E14" s="31" t="s">
        <v>187</v>
      </c>
    </row>
    <row r="15" spans="3:5" x14ac:dyDescent="0.2">
      <c r="C15" s="32">
        <v>13</v>
      </c>
      <c r="D15" s="34" t="s">
        <v>19</v>
      </c>
      <c r="E15" s="31" t="s">
        <v>42</v>
      </c>
    </row>
    <row r="16" spans="3:5" x14ac:dyDescent="0.2">
      <c r="C16" s="29">
        <v>14</v>
      </c>
      <c r="D16" s="34" t="s">
        <v>43</v>
      </c>
      <c r="E16" s="31" t="s">
        <v>44</v>
      </c>
    </row>
    <row r="17" spans="3:5" x14ac:dyDescent="0.2">
      <c r="C17" s="32">
        <v>15</v>
      </c>
      <c r="D17" s="34" t="s">
        <v>77</v>
      </c>
      <c r="E17" s="31" t="s">
        <v>45</v>
      </c>
    </row>
    <row r="18" spans="3:5" x14ac:dyDescent="0.2">
      <c r="C18" s="29">
        <v>16</v>
      </c>
      <c r="D18" s="34" t="s">
        <v>46</v>
      </c>
      <c r="E18" s="31" t="s">
        <v>47</v>
      </c>
    </row>
    <row r="19" spans="3:5" x14ac:dyDescent="0.2">
      <c r="C19" s="32">
        <v>17</v>
      </c>
      <c r="D19" s="34" t="s">
        <v>48</v>
      </c>
      <c r="E19" s="31" t="s">
        <v>80</v>
      </c>
    </row>
    <row r="20" spans="3:5" x14ac:dyDescent="0.2">
      <c r="C20" s="29">
        <v>18</v>
      </c>
      <c r="D20" s="34" t="s">
        <v>49</v>
      </c>
      <c r="E20" s="31" t="s">
        <v>50</v>
      </c>
    </row>
    <row r="21" spans="3:5" x14ac:dyDescent="0.2">
      <c r="C21" s="32">
        <v>19</v>
      </c>
      <c r="D21" s="34" t="s">
        <v>51</v>
      </c>
      <c r="E21" s="35" t="s">
        <v>52</v>
      </c>
    </row>
    <row r="22" spans="3:5" x14ac:dyDescent="0.2">
      <c r="C22" s="29">
        <v>20</v>
      </c>
      <c r="D22" s="34" t="s">
        <v>53</v>
      </c>
      <c r="E22" s="35" t="s">
        <v>54</v>
      </c>
    </row>
    <row r="23" spans="3:5" x14ac:dyDescent="0.2">
      <c r="C23" s="32">
        <v>21</v>
      </c>
      <c r="D23" s="34" t="s">
        <v>55</v>
      </c>
      <c r="E23" s="35" t="s">
        <v>56</v>
      </c>
    </row>
    <row r="24" spans="3:5" x14ac:dyDescent="0.2">
      <c r="C24" s="29">
        <v>22</v>
      </c>
      <c r="D24" s="34" t="s">
        <v>57</v>
      </c>
      <c r="E24" s="36" t="s">
        <v>58</v>
      </c>
    </row>
    <row r="25" spans="3:5" x14ac:dyDescent="0.2">
      <c r="C25" s="37">
        <v>23</v>
      </c>
      <c r="D25" s="34" t="s">
        <v>59</v>
      </c>
      <c r="E25" s="31" t="s">
        <v>60</v>
      </c>
    </row>
    <row r="26" spans="3:5" x14ac:dyDescent="0.2">
      <c r="C26" s="37">
        <v>24</v>
      </c>
      <c r="D26" s="34" t="s">
        <v>61</v>
      </c>
      <c r="E26" s="35" t="s">
        <v>62</v>
      </c>
    </row>
    <row r="27" spans="3:5" x14ac:dyDescent="0.2">
      <c r="C27" s="37">
        <v>25</v>
      </c>
      <c r="D27" s="34" t="s">
        <v>63</v>
      </c>
      <c r="E27" s="31" t="s">
        <v>92</v>
      </c>
    </row>
    <row r="28" spans="3:5" x14ac:dyDescent="0.2">
      <c r="C28" s="37">
        <v>26</v>
      </c>
      <c r="D28" s="34" t="s">
        <v>64</v>
      </c>
      <c r="E28" s="31" t="s">
        <v>93</v>
      </c>
    </row>
    <row r="29" spans="3:5" x14ac:dyDescent="0.2">
      <c r="C29" s="37">
        <v>27</v>
      </c>
      <c r="D29" s="34" t="s">
        <v>65</v>
      </c>
      <c r="E29" s="31" t="s">
        <v>65</v>
      </c>
    </row>
    <row r="30" spans="3:5" x14ac:dyDescent="0.2">
      <c r="C30" s="37">
        <v>28</v>
      </c>
      <c r="D30" s="34" t="s">
        <v>66</v>
      </c>
      <c r="E30" s="31" t="s">
        <v>67</v>
      </c>
    </row>
    <row r="31" spans="3:5" x14ac:dyDescent="0.2">
      <c r="C31" s="37">
        <v>29</v>
      </c>
      <c r="D31" s="34" t="s">
        <v>68</v>
      </c>
      <c r="E31" s="31" t="s">
        <v>69</v>
      </c>
    </row>
    <row r="32" spans="3:5" x14ac:dyDescent="0.2">
      <c r="C32" s="37">
        <v>30</v>
      </c>
      <c r="D32" s="34" t="s">
        <v>78</v>
      </c>
      <c r="E32" s="31" t="s">
        <v>79</v>
      </c>
    </row>
    <row r="33" spans="3:5" x14ac:dyDescent="0.2">
      <c r="C33" s="37">
        <v>31</v>
      </c>
      <c r="D33" s="34" t="s">
        <v>82</v>
      </c>
      <c r="E33" s="31" t="s">
        <v>81</v>
      </c>
    </row>
    <row r="34" spans="3:5" x14ac:dyDescent="0.2">
      <c r="C34" s="37">
        <v>32</v>
      </c>
      <c r="D34" s="34" t="s">
        <v>83</v>
      </c>
      <c r="E34" s="31" t="s">
        <v>84</v>
      </c>
    </row>
    <row r="35" spans="3:5" x14ac:dyDescent="0.2">
      <c r="C35" s="37">
        <v>33</v>
      </c>
      <c r="D35" s="34" t="s">
        <v>87</v>
      </c>
      <c r="E35" s="31" t="s">
        <v>87</v>
      </c>
    </row>
    <row r="36" spans="3:5" x14ac:dyDescent="0.2">
      <c r="C36" s="37">
        <v>34</v>
      </c>
      <c r="D36" s="34" t="s">
        <v>88</v>
      </c>
      <c r="E36" s="31" t="s">
        <v>89</v>
      </c>
    </row>
    <row r="37" spans="3:5" x14ac:dyDescent="0.2">
      <c r="C37" s="37">
        <v>35</v>
      </c>
      <c r="D37" s="34" t="s">
        <v>95</v>
      </c>
      <c r="E37" s="31" t="s">
        <v>94</v>
      </c>
    </row>
    <row r="38" spans="3:5" ht="15.75" thickBot="1" x14ac:dyDescent="0.25">
      <c r="C38" s="38">
        <v>36</v>
      </c>
      <c r="D38" s="39" t="s">
        <v>216</v>
      </c>
      <c r="E38" s="40" t="s">
        <v>228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H355"/>
  <sheetViews>
    <sheetView topLeftCell="A140" zoomScale="55" zoomScaleNormal="55" workbookViewId="0">
      <selection activeCell="E146" sqref="E146"/>
    </sheetView>
  </sheetViews>
  <sheetFormatPr baseColWidth="10" defaultRowHeight="15" customHeight="1" x14ac:dyDescent="0.2"/>
  <cols>
    <col min="1" max="1" width="39.33203125" customWidth="1"/>
    <col min="2" max="2" width="84.21875" customWidth="1"/>
    <col min="3" max="3" width="16.21875" customWidth="1"/>
    <col min="4" max="4" width="100.21875" customWidth="1"/>
    <col min="5" max="5" width="24.88671875" customWidth="1"/>
    <col min="6" max="6" width="38.21875" customWidth="1"/>
    <col min="7" max="7" width="11.21875" customWidth="1"/>
    <col min="8" max="8" width="35.109375" customWidth="1"/>
  </cols>
  <sheetData>
    <row r="1" spans="6:8" ht="16.5" thickBot="1" x14ac:dyDescent="0.3">
      <c r="F1" s="8"/>
      <c r="G1" s="11" t="s">
        <v>20</v>
      </c>
      <c r="H1" s="9" t="s">
        <v>11</v>
      </c>
    </row>
    <row r="2" spans="6:8" x14ac:dyDescent="0.2">
      <c r="G2" s="2">
        <v>1</v>
      </c>
      <c r="H2" s="19" t="s">
        <v>21</v>
      </c>
    </row>
    <row r="3" spans="6:8" ht="15" customHeight="1" x14ac:dyDescent="0.2">
      <c r="G3" s="3">
        <v>2</v>
      </c>
      <c r="H3" s="6" t="s">
        <v>23</v>
      </c>
    </row>
    <row r="4" spans="6:8" ht="15" customHeight="1" x14ac:dyDescent="0.2">
      <c r="G4" s="5">
        <v>3</v>
      </c>
      <c r="H4" s="6" t="s">
        <v>25</v>
      </c>
    </row>
    <row r="5" spans="6:8" ht="15" customHeight="1" x14ac:dyDescent="0.2">
      <c r="G5" s="3">
        <v>4</v>
      </c>
      <c r="H5" s="6" t="s">
        <v>27</v>
      </c>
    </row>
    <row r="6" spans="6:8" ht="15" customHeight="1" x14ac:dyDescent="0.2">
      <c r="G6" s="5">
        <v>5</v>
      </c>
      <c r="H6" s="6" t="s">
        <v>29</v>
      </c>
    </row>
    <row r="7" spans="6:8" ht="15" customHeight="1" x14ac:dyDescent="0.2">
      <c r="G7" s="3">
        <v>6</v>
      </c>
      <c r="H7" s="6" t="s">
        <v>31</v>
      </c>
    </row>
    <row r="8" spans="6:8" ht="15" customHeight="1" x14ac:dyDescent="0.2">
      <c r="G8" s="5">
        <v>7</v>
      </c>
      <c r="H8" s="6" t="s">
        <v>33</v>
      </c>
    </row>
    <row r="9" spans="6:8" ht="15" customHeight="1" x14ac:dyDescent="0.2">
      <c r="G9" s="3">
        <v>8</v>
      </c>
      <c r="H9" s="6" t="s">
        <v>34</v>
      </c>
    </row>
    <row r="10" spans="6:8" ht="15" customHeight="1" x14ac:dyDescent="0.2">
      <c r="G10" s="5">
        <v>9</v>
      </c>
      <c r="H10" s="7" t="s">
        <v>36</v>
      </c>
    </row>
    <row r="11" spans="6:8" ht="15" customHeight="1" x14ac:dyDescent="0.2">
      <c r="G11" s="3">
        <v>10</v>
      </c>
      <c r="H11" s="4" t="s">
        <v>38</v>
      </c>
    </row>
    <row r="12" spans="6:8" ht="15" customHeight="1" x14ac:dyDescent="0.2">
      <c r="G12" s="5">
        <v>11</v>
      </c>
      <c r="H12" s="4" t="s">
        <v>39</v>
      </c>
    </row>
    <row r="13" spans="6:8" ht="15" customHeight="1" x14ac:dyDescent="0.2">
      <c r="G13" s="3">
        <v>12</v>
      </c>
      <c r="H13" s="4" t="s">
        <v>41</v>
      </c>
    </row>
    <row r="14" spans="6:8" ht="15" customHeight="1" x14ac:dyDescent="0.2">
      <c r="G14" s="5">
        <v>13</v>
      </c>
      <c r="H14" s="4" t="s">
        <v>19</v>
      </c>
    </row>
    <row r="15" spans="6:8" ht="15" customHeight="1" x14ac:dyDescent="0.2">
      <c r="G15" s="3">
        <v>14</v>
      </c>
      <c r="H15" s="4" t="s">
        <v>43</v>
      </c>
    </row>
    <row r="16" spans="6:8" ht="15" customHeight="1" x14ac:dyDescent="0.2">
      <c r="G16" s="5">
        <v>15</v>
      </c>
      <c r="H16" s="4" t="s">
        <v>77</v>
      </c>
    </row>
    <row r="17" spans="4:8" ht="15" customHeight="1" x14ac:dyDescent="0.2">
      <c r="G17" s="3">
        <v>16</v>
      </c>
      <c r="H17" s="4" t="s">
        <v>46</v>
      </c>
    </row>
    <row r="18" spans="4:8" ht="15" customHeight="1" x14ac:dyDescent="0.2">
      <c r="G18" s="5">
        <v>17</v>
      </c>
      <c r="H18" s="4" t="s">
        <v>48</v>
      </c>
    </row>
    <row r="19" spans="4:8" ht="15" customHeight="1" x14ac:dyDescent="0.2">
      <c r="G19" s="3">
        <v>18</v>
      </c>
      <c r="H19" s="4" t="s">
        <v>49</v>
      </c>
    </row>
    <row r="20" spans="4:8" ht="15" customHeight="1" x14ac:dyDescent="0.2">
      <c r="G20" s="5">
        <v>19</v>
      </c>
      <c r="H20" s="4" t="s">
        <v>51</v>
      </c>
    </row>
    <row r="21" spans="4:8" ht="15" customHeight="1" x14ac:dyDescent="0.2">
      <c r="G21" s="3">
        <v>20</v>
      </c>
      <c r="H21" s="4" t="s">
        <v>53</v>
      </c>
    </row>
    <row r="22" spans="4:8" ht="15" customHeight="1" x14ac:dyDescent="0.2">
      <c r="G22" s="5">
        <v>21</v>
      </c>
      <c r="H22" s="4" t="s">
        <v>55</v>
      </c>
    </row>
    <row r="23" spans="4:8" ht="15" customHeight="1" x14ac:dyDescent="0.2">
      <c r="G23" s="3">
        <v>22</v>
      </c>
      <c r="H23" s="4" t="s">
        <v>57</v>
      </c>
    </row>
    <row r="24" spans="4:8" ht="15" customHeight="1" x14ac:dyDescent="0.2">
      <c r="G24" s="20">
        <v>23</v>
      </c>
      <c r="H24" s="4" t="s">
        <v>59</v>
      </c>
    </row>
    <row r="25" spans="4:8" ht="15" customHeight="1" x14ac:dyDescent="0.2">
      <c r="G25" s="20">
        <v>24</v>
      </c>
      <c r="H25" s="4" t="s">
        <v>61</v>
      </c>
    </row>
    <row r="26" spans="4:8" ht="15" customHeight="1" x14ac:dyDescent="0.2">
      <c r="G26" s="20">
        <v>25</v>
      </c>
      <c r="H26" s="4" t="s">
        <v>63</v>
      </c>
    </row>
    <row r="27" spans="4:8" ht="15" customHeight="1" x14ac:dyDescent="0.2">
      <c r="G27" s="20">
        <v>26</v>
      </c>
      <c r="H27" s="4" t="s">
        <v>64</v>
      </c>
    </row>
    <row r="28" spans="4:8" ht="15" customHeight="1" x14ac:dyDescent="0.2">
      <c r="G28" s="20">
        <v>27</v>
      </c>
      <c r="H28" s="4" t="s">
        <v>65</v>
      </c>
    </row>
    <row r="29" spans="4:8" ht="15" customHeight="1" x14ac:dyDescent="0.2">
      <c r="G29" s="20">
        <v>28</v>
      </c>
      <c r="H29" s="4" t="s">
        <v>66</v>
      </c>
    </row>
    <row r="30" spans="4:8" ht="15" customHeight="1" x14ac:dyDescent="0.2">
      <c r="G30" s="20">
        <v>29</v>
      </c>
      <c r="H30" s="4" t="s">
        <v>68</v>
      </c>
    </row>
    <row r="31" spans="4:8" ht="15" customHeight="1" x14ac:dyDescent="0.2">
      <c r="G31" s="20">
        <v>30</v>
      </c>
      <c r="H31" s="4" t="s">
        <v>78</v>
      </c>
    </row>
    <row r="32" spans="4:8" ht="15" customHeight="1" x14ac:dyDescent="0.25">
      <c r="D32" s="8" t="s">
        <v>229</v>
      </c>
      <c r="G32" s="20">
        <v>31</v>
      </c>
      <c r="H32" s="4" t="s">
        <v>82</v>
      </c>
    </row>
    <row r="33" spans="1:8" x14ac:dyDescent="0.2">
      <c r="G33" s="20">
        <v>32</v>
      </c>
      <c r="H33" s="4" t="s">
        <v>83</v>
      </c>
    </row>
    <row r="34" spans="1:8" x14ac:dyDescent="0.2">
      <c r="G34" s="20">
        <v>33</v>
      </c>
      <c r="H34" s="4" t="s">
        <v>87</v>
      </c>
    </row>
    <row r="35" spans="1:8" x14ac:dyDescent="0.2">
      <c r="G35" s="20">
        <v>34</v>
      </c>
      <c r="H35" s="4" t="s">
        <v>88</v>
      </c>
    </row>
    <row r="36" spans="1:8" ht="15.75" thickBot="1" x14ac:dyDescent="0.25">
      <c r="G36" s="18">
        <v>35</v>
      </c>
      <c r="H36" s="21" t="s">
        <v>95</v>
      </c>
    </row>
    <row r="37" spans="1:8" ht="15.75" thickBot="1" x14ac:dyDescent="0.25">
      <c r="G37" s="43">
        <v>36</v>
      </c>
      <c r="H37" s="44" t="s">
        <v>216</v>
      </c>
    </row>
    <row r="38" spans="1:8" ht="59.25" customHeight="1" thickBot="1" x14ac:dyDescent="0.25">
      <c r="A38" s="12" t="s">
        <v>11</v>
      </c>
      <c r="B38" s="13" t="s">
        <v>74</v>
      </c>
      <c r="C38" s="13" t="s">
        <v>75</v>
      </c>
      <c r="D38" s="13" t="s">
        <v>76</v>
      </c>
      <c r="E38" s="14"/>
    </row>
    <row r="39" spans="1:8" ht="122.25" customHeight="1" x14ac:dyDescent="0.25">
      <c r="A39" s="25" t="str">
        <f>INSCRITOS!O2</f>
        <v>ACLS</v>
      </c>
      <c r="B39" s="8" t="str">
        <f>IF(A39=$H$19,"https://centrodecapacitaciondelsur.com/o-v-e-",IF(A39=$H$2,"https://centrodecapacitaciondelsur.com/aph-",IF(A39=$H$3,"https://centrodecapacitaciondelsur.com/manejo-del-duelo-",IF(A39=$H$4,"https://centrodecapacitaciondelsur.com/victimas-por-agentes-quimicos-",IF(A39=$H$5,"https://centrodecapacitaciondelsur.com/primeros-auxilios-",IF(A39=$H$6,"https://centrodecapacitaciondelsur.com/uci-",IF(A39=$H$8,"https://centrodecapacitaciondelsur.com/humanizacion-",IF(A39=$H$11,"https://centrodecapacitaciondelsur.com/soporte-cardiovascular-avanzado-",IF(A39=$H$12,"https://centrodecapacitaciondelsur.com/camillero-",IF(A39=$H$13,"https://centrodecapacitaciondelsur.com/toma-de-muestras-y-lab-clinico-",IF(A39=$H$14,"https://centrodecapacitaciondelsur.com/soporte-basico-de-vida-",IF(A39=$H$15,"https://centrodecapacitaciondelsur.com/violencia-sexual-",IF(A39=$H$17,"https://centrodecapacitaciondelsur.com/aiepi-",IF(A39=$H$18,"https://centrodecapacitaciondelsur.com/adm-medicamentos-canalizacion-inyectologia-",IF(A39=$H$25,"https://centrodecapacitaciondelsur.com/manejo-del-dolor-y-cuidados-paliativos-",IF(A39=$H$26,"https://centrodecapacitaciondelsur.com/toma-de-muestras-y-lab-clinico-poct-",IF(A39=$H$27,"https://centrodecapacitaciondelsur.com/implante-subdermico-",IF(A39=$H$21,"https://centrodecapacitaciondelsur.com/donante-de-organos-",IF(A39=$H$30,"https://centrodecapacitaciondelsur.com/atencion-a-victimas-del-conflicto-armado-",IF(A39=$H$20,"https://centrodecapacitaciondelsur.com/iami-",IF(A39=$H$22,"https://centrodecapacitaciondelsur.com/violencia-de-genero-",IF(A39=$H$23,"https://centrodecapacitaciondelsur.com/igualdad-de-genero-",IF(A39=$H$16,"https://centrodecapacitaciondelsur.com/pai-",IF(A39=$H$31,"https://centrodecapacitaciondelsur.com/manipulacion-de-alimentos-",IF(A39=$H$32,"https://centrodecapacitaciondelsur.com/atencion-a-personas-con-discapacidad-",IF(A39=$H$33,"https://centrodecapacitaciondelsur.com/atencion-al-adulto-mayor-",IF(A39=$H$34,"https://centrodecapacitaciondelsur.com/manejo-defensivo-",IF(A39=$H$35,"https://centrodecapacitaciondelsur.com/soporte-basico-neonatal-",IF(A39=$H$36,"https://centrodecapacitaciondelsur.com/seguridad-del-paciente-",IF(A39=$H$37,"https://centrodecapacitaciondelsur.com/manejo-de-residuos-hospitalarios-",IF(A39=$H$10,"https://centrodecapacitaciondelsur.com/toma-de-citologia-")))))))))))))))))))))))))))))))</f>
        <v>https://centrodecapacitaciondelsur.com/soporte-cardiovascular-avanzado-</v>
      </c>
      <c r="C39" s="10">
        <f>INSCRITOS!B2</f>
        <v>1085337318</v>
      </c>
      <c r="D39" t="str">
        <f>CONCATENATE(B39,C39,"/")</f>
        <v>https://centrodecapacitaciondelsur.com/soporte-cardiovascular-avanzado-1085337318/</v>
      </c>
    </row>
    <row r="40" spans="1:8" ht="127.5" customHeight="1" x14ac:dyDescent="0.25">
      <c r="A40" s="25" t="str">
        <f>INSCRITOS!O3</f>
        <v>DUELO</v>
      </c>
      <c r="B40" s="8" t="str">
        <f t="shared" ref="B40:B103" si="0">IF(A40=$H$19,"https://centrodecapacitaciondelsur.com/o-v-e-",IF(A40=$H$2,"https://centrodecapacitaciondelsur.com/aph-",IF(A40=$H$3,"https://centrodecapacitaciondelsur.com/manejo-del-duelo-",IF(A40=$H$4,"https://centrodecapacitaciondelsur.com/victimas-por-agentes-quimicos-",IF(A40=$H$5,"https://centrodecapacitaciondelsur.com/primeros-auxilios-",IF(A40=$H$6,"https://centrodecapacitaciondelsur.com/uci-",IF(A40=$H$8,"https://centrodecapacitaciondelsur.com/humanizacion-",IF(A40=$H$11,"https://centrodecapacitaciondelsur.com/soporte-cardiovascular-avanzado-",IF(A40=$H$12,"https://centrodecapacitaciondelsur.com/camillero-",IF(A40=$H$13,"https://centrodecapacitaciondelsur.com/toma-de-muestras-y-lab-clinico-",IF(A40=$H$14,"https://centrodecapacitaciondelsur.com/soporte-basico-de-vida-",IF(A40=$H$15,"https://centrodecapacitaciondelsur.com/violencia-sexual-",IF(A40=$H$17,"https://centrodecapacitaciondelsur.com/aiepi-",IF(A40=$H$18,"https://centrodecapacitaciondelsur.com/adm-medicamentos-canalizacion-inyectologia-",IF(A40=$H$25,"https://centrodecapacitaciondelsur.com/manejo-del-dolor-y-cuidados-paliativos-",IF(A40=$H$26,"https://centrodecapacitaciondelsur.com/toma-de-muestras-y-lab-clinico-poct-",IF(A40=$H$27,"https://centrodecapacitaciondelsur.com/implante-subdermico-",IF(A40=$H$21,"https://centrodecapacitaciondelsur.com/donante-de-organos-",IF(A40=$H$30,"https://centrodecapacitaciondelsur.com/atencion-a-victimas-del-conflicto-armado-",IF(A40=$H$20,"https://centrodecapacitaciondelsur.com/iami-",IF(A40=$H$22,"https://centrodecapacitaciondelsur.com/violencia-de-genero-",IF(A40=$H$23,"https://centrodecapacitaciondelsur.com/igualdad-de-genero-",IF(A40=$H$16,"https://centrodecapacitaciondelsur.com/pai-",IF(A40=$H$31,"https://centrodecapacitaciondelsur.com/manipulacion-de-alimentos-",IF(A40=$H$32,"https://centrodecapacitaciondelsur.com/atencion-a-personas-con-discapacidad-",IF(A40=$H$33,"https://centrodecapacitaciondelsur.com/atencion-al-adulto-mayor-",IF(A40=$H$34,"https://centrodecapacitaciondelsur.com/manejo-defensivo-",IF(A40=$H$35,"https://centrodecapacitaciondelsur.com/soporte-basico-neonatal-",IF(A40=$H$36,"https://centrodecapacitaciondelsur.com/seguridad-del-paciente-",IF(A40=$H$37,"https://centrodecapacitaciondelsur.com/manejo-de-residuos-hospitalarios-",IF(A40=$H$10,"https://centrodecapacitaciondelsur.com/toma-de-citologia-")))))))))))))))))))))))))))))))</f>
        <v>https://centrodecapacitaciondelsur.com/manejo-del-duelo-</v>
      </c>
      <c r="C40" s="10">
        <f>INSCRITOS!B3</f>
        <v>1004598632</v>
      </c>
      <c r="D40" t="str">
        <f t="shared" ref="D40:D103" si="1">CONCATENATE(B40,C40,"/")</f>
        <v>https://centrodecapacitaciondelsur.com/manejo-del-duelo-1004598632/</v>
      </c>
    </row>
    <row r="41" spans="1:8" ht="122.25" customHeight="1" x14ac:dyDescent="0.25">
      <c r="A41" s="25" t="str">
        <f>INSCRITOS!O4</f>
        <v>BLS</v>
      </c>
      <c r="B41" s="8" t="str">
        <f t="shared" si="0"/>
        <v>https://centrodecapacitaciondelsur.com/soporte-basico-de-vida-</v>
      </c>
      <c r="C41" s="10">
        <f>INSCRITOS!B4</f>
        <v>1085256367</v>
      </c>
      <c r="D41" t="str">
        <f t="shared" si="1"/>
        <v>https://centrodecapacitaciondelsur.com/soporte-basico-de-vida-1085256367/</v>
      </c>
    </row>
    <row r="42" spans="1:8" ht="122.25" customHeight="1" x14ac:dyDescent="0.25">
      <c r="A42" s="25" t="str">
        <f>INSCRITOS!O5</f>
        <v>QUIMICOS</v>
      </c>
      <c r="B42" s="8" t="str">
        <f t="shared" si="0"/>
        <v>https://centrodecapacitaciondelsur.com/victimas-por-agentes-quimicos-</v>
      </c>
      <c r="C42" s="10">
        <f>INSCRITOS!B5</f>
        <v>1085256367</v>
      </c>
      <c r="D42" t="str">
        <f t="shared" si="1"/>
        <v>https://centrodecapacitaciondelsur.com/victimas-por-agentes-quimicos-1085256367/</v>
      </c>
    </row>
    <row r="43" spans="1:8" ht="122.25" customHeight="1" x14ac:dyDescent="0.25">
      <c r="A43" s="25" t="str">
        <f>INSCRITOS!O6</f>
        <v>DUELO</v>
      </c>
      <c r="B43" s="8" t="str">
        <f t="shared" si="0"/>
        <v>https://centrodecapacitaciondelsur.com/manejo-del-duelo-</v>
      </c>
      <c r="C43" s="10">
        <f>INSCRITOS!B6</f>
        <v>1085256367</v>
      </c>
      <c r="D43" t="str">
        <f t="shared" si="1"/>
        <v>https://centrodecapacitaciondelsur.com/manejo-del-duelo-1085256367/</v>
      </c>
    </row>
    <row r="44" spans="1:8" ht="122.25" customHeight="1" x14ac:dyDescent="0.25">
      <c r="A44" s="25" t="str">
        <f>INSCRITOS!O7</f>
        <v>VIOLENCIA SEXUAL</v>
      </c>
      <c r="B44" s="8" t="str">
        <f t="shared" si="0"/>
        <v>https://centrodecapacitaciondelsur.com/violencia-sexual-</v>
      </c>
      <c r="C44" s="10">
        <f>INSCRITOS!B7</f>
        <v>1085256367</v>
      </c>
      <c r="D44" t="str">
        <f t="shared" si="1"/>
        <v>https://centrodecapacitaciondelsur.com/violencia-sexual-1085256367/</v>
      </c>
    </row>
    <row r="45" spans="1:8" ht="122.25" customHeight="1" x14ac:dyDescent="0.25">
      <c r="A45" s="25" t="str">
        <f>INSCRITOS!O8</f>
        <v>BLS</v>
      </c>
      <c r="B45" s="8" t="str">
        <f t="shared" si="0"/>
        <v>https://centrodecapacitaciondelsur.com/soporte-basico-de-vida-</v>
      </c>
      <c r="C45" s="10">
        <f>INSCRITOS!B8</f>
        <v>1085337318</v>
      </c>
      <c r="D45" t="str">
        <f t="shared" si="1"/>
        <v>https://centrodecapacitaciondelsur.com/soporte-basico-de-vida-1085337318/</v>
      </c>
    </row>
    <row r="46" spans="1:8" ht="122.25" customHeight="1" x14ac:dyDescent="0.25">
      <c r="A46" s="25" t="str">
        <f>INSCRITOS!O9</f>
        <v>ACLS</v>
      </c>
      <c r="B46" s="8" t="str">
        <f t="shared" si="0"/>
        <v>https://centrodecapacitaciondelsur.com/soporte-cardiovascular-avanzado-</v>
      </c>
      <c r="C46" s="10">
        <f>INSCRITOS!B9</f>
        <v>1087643244</v>
      </c>
      <c r="D46" t="str">
        <f t="shared" si="1"/>
        <v>https://centrodecapacitaciondelsur.com/soporte-cardiovascular-avanzado-1087643244/</v>
      </c>
    </row>
    <row r="47" spans="1:8" ht="122.25" customHeight="1" x14ac:dyDescent="0.25">
      <c r="A47" s="25" t="str">
        <f>INSCRITOS!O10</f>
        <v>BLS</v>
      </c>
      <c r="B47" s="8" t="str">
        <f t="shared" si="0"/>
        <v>https://centrodecapacitaciondelsur.com/soporte-basico-de-vida-</v>
      </c>
      <c r="C47" s="10">
        <f>INSCRITOS!B10</f>
        <v>1085325336</v>
      </c>
      <c r="D47" t="str">
        <f t="shared" si="1"/>
        <v>https://centrodecapacitaciondelsur.com/soporte-basico-de-vida-1085325336/</v>
      </c>
    </row>
    <row r="48" spans="1:8" ht="122.25" customHeight="1" x14ac:dyDescent="0.25">
      <c r="A48" s="25" t="str">
        <f>INSCRITOS!O11</f>
        <v>ACLS</v>
      </c>
      <c r="B48" s="8" t="str">
        <f t="shared" si="0"/>
        <v>https://centrodecapacitaciondelsur.com/soporte-cardiovascular-avanzado-</v>
      </c>
      <c r="C48" s="10">
        <f>INSCRITOS!B11</f>
        <v>1193271937</v>
      </c>
      <c r="D48" t="str">
        <f t="shared" si="1"/>
        <v>https://centrodecapacitaciondelsur.com/soporte-cardiovascular-avanzado-1193271937/</v>
      </c>
    </row>
    <row r="49" spans="1:4" ht="122.25" customHeight="1" x14ac:dyDescent="0.25">
      <c r="A49" s="25" t="str">
        <f>INSCRITOS!O12</f>
        <v>BLS</v>
      </c>
      <c r="B49" s="8" t="str">
        <f t="shared" si="0"/>
        <v>https://centrodecapacitaciondelsur.com/soporte-basico-de-vida-</v>
      </c>
      <c r="C49" s="10">
        <f>INSCRITOS!B12</f>
        <v>1193271937</v>
      </c>
      <c r="D49" t="str">
        <f t="shared" si="1"/>
        <v>https://centrodecapacitaciondelsur.com/soporte-basico-de-vida-1193271937/</v>
      </c>
    </row>
    <row r="50" spans="1:4" ht="122.25" customHeight="1" x14ac:dyDescent="0.25">
      <c r="A50" s="25" t="str">
        <f>INSCRITOS!O13</f>
        <v>VIOLENCIA SEXUAL</v>
      </c>
      <c r="B50" s="8" t="str">
        <f t="shared" si="0"/>
        <v>https://centrodecapacitaciondelsur.com/violencia-sexual-</v>
      </c>
      <c r="C50" s="10">
        <f>INSCRITOS!B13</f>
        <v>1193271937</v>
      </c>
      <c r="D50" t="str">
        <f t="shared" si="1"/>
        <v>https://centrodecapacitaciondelsur.com/violencia-sexual-1193271937/</v>
      </c>
    </row>
    <row r="51" spans="1:4" ht="122.25" customHeight="1" x14ac:dyDescent="0.25">
      <c r="A51" s="25" t="str">
        <f>INSCRITOS!O14</f>
        <v>DUELO</v>
      </c>
      <c r="B51" s="8" t="str">
        <f t="shared" si="0"/>
        <v>https://centrodecapacitaciondelsur.com/manejo-del-duelo-</v>
      </c>
      <c r="C51" s="10">
        <f>INSCRITOS!B14</f>
        <v>1193271937</v>
      </c>
      <c r="D51" t="str">
        <f t="shared" si="1"/>
        <v>https://centrodecapacitaciondelsur.com/manejo-del-duelo-1193271937/</v>
      </c>
    </row>
    <row r="52" spans="1:4" ht="122.25" customHeight="1" x14ac:dyDescent="0.25">
      <c r="A52" s="25" t="str">
        <f>INSCRITOS!O15</f>
        <v>PALIATIVOS</v>
      </c>
      <c r="B52" s="8" t="str">
        <f t="shared" si="0"/>
        <v>https://centrodecapacitaciondelsur.com/manejo-del-dolor-y-cuidados-paliativos-</v>
      </c>
      <c r="C52" s="10">
        <f>INSCRITOS!B15</f>
        <v>1193271937</v>
      </c>
      <c r="D52" t="str">
        <f t="shared" si="1"/>
        <v>https://centrodecapacitaciondelsur.com/manejo-del-dolor-y-cuidados-paliativos-1193271937/</v>
      </c>
    </row>
    <row r="53" spans="1:4" ht="122.25" customHeight="1" x14ac:dyDescent="0.25">
      <c r="A53" s="25" t="str">
        <f>INSCRITOS!O16</f>
        <v>QUIMICOS</v>
      </c>
      <c r="B53" s="8" t="str">
        <f t="shared" si="0"/>
        <v>https://centrodecapacitaciondelsur.com/victimas-por-agentes-quimicos-</v>
      </c>
      <c r="C53" s="10">
        <f>INSCRITOS!B16</f>
        <v>1193271937</v>
      </c>
      <c r="D53" t="str">
        <f t="shared" si="1"/>
        <v>https://centrodecapacitaciondelsur.com/victimas-por-agentes-quimicos-1193271937/</v>
      </c>
    </row>
    <row r="54" spans="1:4" ht="122.25" customHeight="1" x14ac:dyDescent="0.25">
      <c r="A54" s="25" t="e">
        <f>INSCRITOS!#REF!</f>
        <v>#REF!</v>
      </c>
      <c r="B54" s="8" t="e">
        <f t="shared" si="0"/>
        <v>#REF!</v>
      </c>
      <c r="C54" s="10" t="e">
        <f>INSCRITOS!#REF!</f>
        <v>#REF!</v>
      </c>
      <c r="D54" t="e">
        <f t="shared" si="1"/>
        <v>#REF!</v>
      </c>
    </row>
    <row r="55" spans="1:4" ht="122.25" customHeight="1" x14ac:dyDescent="0.25">
      <c r="A55" s="25" t="str">
        <f>INSCRITOS!O17</f>
        <v>ACLS</v>
      </c>
      <c r="B55" s="8" t="str">
        <f t="shared" si="0"/>
        <v>https://centrodecapacitaciondelsur.com/soporte-cardiovascular-avanzado-</v>
      </c>
      <c r="C55" s="10">
        <f>INSCRITOS!B17</f>
        <v>3708683</v>
      </c>
      <c r="D55" t="str">
        <f t="shared" si="1"/>
        <v>https://centrodecapacitaciondelsur.com/soporte-cardiovascular-avanzado-3708683/</v>
      </c>
    </row>
    <row r="56" spans="1:4" ht="122.25" customHeight="1" x14ac:dyDescent="0.25">
      <c r="A56" s="25" t="str">
        <f>INSCRITOS!O18</f>
        <v>BLS</v>
      </c>
      <c r="B56" s="8" t="str">
        <f t="shared" si="0"/>
        <v>https://centrodecapacitaciondelsur.com/soporte-basico-de-vida-</v>
      </c>
      <c r="C56" s="10">
        <f>INSCRITOS!B18</f>
        <v>3708683</v>
      </c>
      <c r="D56" t="str">
        <f t="shared" si="1"/>
        <v>https://centrodecapacitaciondelsur.com/soporte-basico-de-vida-3708683/</v>
      </c>
    </row>
    <row r="57" spans="1:4" ht="122.25" customHeight="1" x14ac:dyDescent="0.25">
      <c r="A57" s="25" t="str">
        <f>INSCRITOS!O19</f>
        <v>VIOLENCIA SEXUAL</v>
      </c>
      <c r="B57" s="8" t="str">
        <f t="shared" si="0"/>
        <v>https://centrodecapacitaciondelsur.com/violencia-sexual-</v>
      </c>
      <c r="C57" s="10">
        <f>INSCRITOS!B19</f>
        <v>3708683</v>
      </c>
      <c r="D57" t="str">
        <f t="shared" si="1"/>
        <v>https://centrodecapacitaciondelsur.com/violencia-sexual-3708683/</v>
      </c>
    </row>
    <row r="58" spans="1:4" ht="122.25" customHeight="1" x14ac:dyDescent="0.25">
      <c r="A58" s="25" t="str">
        <f>INSCRITOS!O20</f>
        <v>QUIMICOS</v>
      </c>
      <c r="B58" s="8" t="str">
        <f t="shared" si="0"/>
        <v>https://centrodecapacitaciondelsur.com/victimas-por-agentes-quimicos-</v>
      </c>
      <c r="C58" s="10">
        <f>INSCRITOS!B20</f>
        <v>3708683</v>
      </c>
      <c r="D58" t="str">
        <f t="shared" si="1"/>
        <v>https://centrodecapacitaciondelsur.com/victimas-por-agentes-quimicos-3708683/</v>
      </c>
    </row>
    <row r="59" spans="1:4" ht="122.25" customHeight="1" x14ac:dyDescent="0.25">
      <c r="A59" s="25" t="str">
        <f>INSCRITOS!O21</f>
        <v>HUMANIZACION</v>
      </c>
      <c r="B59" s="8" t="str">
        <f t="shared" si="0"/>
        <v>https://centrodecapacitaciondelsur.com/humanizacion-</v>
      </c>
      <c r="C59" s="10">
        <f>INSCRITOS!B21</f>
        <v>3708683</v>
      </c>
      <c r="D59" t="str">
        <f t="shared" si="1"/>
        <v>https://centrodecapacitaciondelsur.com/humanizacion-3708683/</v>
      </c>
    </row>
    <row r="60" spans="1:4" ht="122.25" customHeight="1" x14ac:dyDescent="0.25">
      <c r="A60" s="25" t="str">
        <f>INSCRITOS!O22</f>
        <v>DUELO</v>
      </c>
      <c r="B60" s="8" t="str">
        <f t="shared" si="0"/>
        <v>https://centrodecapacitaciondelsur.com/manejo-del-duelo-</v>
      </c>
      <c r="C60" s="10">
        <f>INSCRITOS!B22</f>
        <v>3708683</v>
      </c>
      <c r="D60" t="str">
        <f t="shared" si="1"/>
        <v>https://centrodecapacitaciondelsur.com/manejo-del-duelo-3708683/</v>
      </c>
    </row>
    <row r="61" spans="1:4" ht="122.25" customHeight="1" x14ac:dyDescent="0.25">
      <c r="A61" s="25" t="str">
        <f>INSCRITOS!O23</f>
        <v>ACLS</v>
      </c>
      <c r="B61" s="8" t="str">
        <f t="shared" si="0"/>
        <v>https://centrodecapacitaciondelsur.com/soporte-cardiovascular-avanzado-</v>
      </c>
      <c r="C61" s="10">
        <f>INSCRITOS!B23</f>
        <v>1085257782</v>
      </c>
      <c r="D61" t="str">
        <f t="shared" si="1"/>
        <v>https://centrodecapacitaciondelsur.com/soporte-cardiovascular-avanzado-1085257782/</v>
      </c>
    </row>
    <row r="62" spans="1:4" ht="122.25" customHeight="1" x14ac:dyDescent="0.25">
      <c r="A62" s="25" t="str">
        <f>INSCRITOS!O24</f>
        <v>BLS</v>
      </c>
      <c r="B62" s="8" t="str">
        <f t="shared" si="0"/>
        <v>https://centrodecapacitaciondelsur.com/soporte-basico-de-vida-</v>
      </c>
      <c r="C62" s="10">
        <f>INSCRITOS!B24</f>
        <v>1233188280</v>
      </c>
      <c r="D62" t="str">
        <f t="shared" si="1"/>
        <v>https://centrodecapacitaciondelsur.com/soporte-basico-de-vida-1233188280/</v>
      </c>
    </row>
    <row r="63" spans="1:4" ht="122.25" customHeight="1" x14ac:dyDescent="0.25">
      <c r="A63" s="25" t="str">
        <f>INSCRITOS!O25</f>
        <v>BLS</v>
      </c>
      <c r="B63" s="8" t="str">
        <f t="shared" si="0"/>
        <v>https://centrodecapacitaciondelsur.com/soporte-basico-de-vida-</v>
      </c>
      <c r="C63" s="10">
        <f>INSCRITOS!B25</f>
        <v>37085403</v>
      </c>
      <c r="D63" t="str">
        <f t="shared" si="1"/>
        <v>https://centrodecapacitaciondelsur.com/soporte-basico-de-vida-37085403/</v>
      </c>
    </row>
    <row r="64" spans="1:4" ht="122.25" customHeight="1" x14ac:dyDescent="0.25">
      <c r="A64" s="25" t="str">
        <f>INSCRITOS!O26</f>
        <v>VIOLENCIA SEXUAL</v>
      </c>
      <c r="B64" s="8" t="str">
        <f t="shared" si="0"/>
        <v>https://centrodecapacitaciondelsur.com/violencia-sexual-</v>
      </c>
      <c r="C64" s="10">
        <f>INSCRITOS!B26</f>
        <v>1086139687</v>
      </c>
      <c r="D64" t="str">
        <f t="shared" si="1"/>
        <v>https://centrodecapacitaciondelsur.com/violencia-sexual-1086139687/</v>
      </c>
    </row>
    <row r="65" spans="1:4" ht="122.25" customHeight="1" x14ac:dyDescent="0.25">
      <c r="A65" s="25" t="str">
        <f>INSCRITOS!O27</f>
        <v>BLS</v>
      </c>
      <c r="B65" s="8" t="str">
        <f t="shared" si="0"/>
        <v>https://centrodecapacitaciondelsur.com/soporte-basico-de-vida-</v>
      </c>
      <c r="C65" s="10">
        <f>INSCRITOS!B27</f>
        <v>1004201109</v>
      </c>
      <c r="D65" t="str">
        <f t="shared" si="1"/>
        <v>https://centrodecapacitaciondelsur.com/soporte-basico-de-vida-1004201109/</v>
      </c>
    </row>
    <row r="66" spans="1:4" ht="122.25" customHeight="1" x14ac:dyDescent="0.25">
      <c r="A66" s="25" t="str">
        <f>INSCRITOS!O28</f>
        <v>VIOLENCIA SEXUAL</v>
      </c>
      <c r="B66" s="8" t="str">
        <f t="shared" si="0"/>
        <v>https://centrodecapacitaciondelsur.com/violencia-sexual-</v>
      </c>
      <c r="C66" s="10">
        <f>INSCRITOS!B28</f>
        <v>1004201109</v>
      </c>
      <c r="D66" t="str">
        <f t="shared" si="1"/>
        <v>https://centrodecapacitaciondelsur.com/violencia-sexual-1004201109/</v>
      </c>
    </row>
    <row r="67" spans="1:4" ht="122.25" customHeight="1" x14ac:dyDescent="0.25">
      <c r="A67" s="25" t="str">
        <f>INSCRITOS!O29</f>
        <v>ADMON DE MEDICAMENTOS</v>
      </c>
      <c r="B67" s="8" t="str">
        <f t="shared" si="0"/>
        <v>https://centrodecapacitaciondelsur.com/adm-medicamentos-canalizacion-inyectologia-</v>
      </c>
      <c r="C67" s="10">
        <f>INSCRITOS!B29</f>
        <v>1004201109</v>
      </c>
      <c r="D67" t="str">
        <f t="shared" si="1"/>
        <v>https://centrodecapacitaciondelsur.com/adm-medicamentos-canalizacion-inyectologia-1004201109/</v>
      </c>
    </row>
    <row r="68" spans="1:4" ht="122.25" customHeight="1" x14ac:dyDescent="0.25">
      <c r="A68" s="25" t="str">
        <f>INSCRITOS!O30</f>
        <v>HUMANIZACION</v>
      </c>
      <c r="B68" s="8" t="str">
        <f t="shared" si="0"/>
        <v>https://centrodecapacitaciondelsur.com/humanizacion-</v>
      </c>
      <c r="C68" s="10">
        <f>INSCRITOS!B30</f>
        <v>59686960</v>
      </c>
      <c r="D68" t="str">
        <f t="shared" si="1"/>
        <v>https://centrodecapacitaciondelsur.com/humanizacion-59686960/</v>
      </c>
    </row>
    <row r="69" spans="1:4" ht="122.25" customHeight="1" x14ac:dyDescent="0.25">
      <c r="A69" s="25" t="str">
        <f>INSCRITOS!O31</f>
        <v>VIOLENCIA SEXUAL</v>
      </c>
      <c r="B69" s="8" t="str">
        <f t="shared" si="0"/>
        <v>https://centrodecapacitaciondelsur.com/violencia-sexual-</v>
      </c>
      <c r="C69" s="10">
        <f>INSCRITOS!B31</f>
        <v>59686960</v>
      </c>
      <c r="D69" t="str">
        <f t="shared" si="1"/>
        <v>https://centrodecapacitaciondelsur.com/violencia-sexual-59686960/</v>
      </c>
    </row>
    <row r="70" spans="1:4" ht="122.25" customHeight="1" x14ac:dyDescent="0.25">
      <c r="A70" s="25" t="str">
        <f>INSCRITOS!O32</f>
        <v>CONFLICTO ARMADO</v>
      </c>
      <c r="B70" s="8" t="str">
        <f t="shared" si="0"/>
        <v>https://centrodecapacitaciondelsur.com/atencion-a-victimas-del-conflicto-armado-</v>
      </c>
      <c r="C70" s="10">
        <f>INSCRITOS!B32</f>
        <v>59686960</v>
      </c>
      <c r="D70" t="str">
        <f t="shared" si="1"/>
        <v>https://centrodecapacitaciondelsur.com/atencion-a-victimas-del-conflicto-armado-59686960/</v>
      </c>
    </row>
    <row r="71" spans="1:4" ht="122.25" customHeight="1" x14ac:dyDescent="0.25">
      <c r="A71" s="25" t="str">
        <f>INSCRITOS!O33</f>
        <v>VIOLENCIA SEXUAL</v>
      </c>
      <c r="B71" s="8" t="str">
        <f t="shared" si="0"/>
        <v>https://centrodecapacitaciondelsur.com/violencia-sexual-</v>
      </c>
      <c r="C71" s="10">
        <f>INSCRITOS!B33</f>
        <v>1233188280</v>
      </c>
      <c r="D71" t="str">
        <f t="shared" si="1"/>
        <v>https://centrodecapacitaciondelsur.com/violencia-sexual-1233188280/</v>
      </c>
    </row>
    <row r="72" spans="1:4" ht="122.25" customHeight="1" x14ac:dyDescent="0.25">
      <c r="A72" s="25" t="str">
        <f>INSCRITOS!O34</f>
        <v>BLS</v>
      </c>
      <c r="B72" s="8" t="str">
        <f t="shared" si="0"/>
        <v>https://centrodecapacitaciondelsur.com/soporte-basico-de-vida-</v>
      </c>
      <c r="C72" s="10">
        <f>INSCRITOS!B34</f>
        <v>36952780</v>
      </c>
      <c r="D72" t="str">
        <f t="shared" si="1"/>
        <v>https://centrodecapacitaciondelsur.com/soporte-basico-de-vida-36952780/</v>
      </c>
    </row>
    <row r="73" spans="1:4" ht="122.25" customHeight="1" x14ac:dyDescent="0.25">
      <c r="A73" s="25" t="str">
        <f>INSCRITOS!O35</f>
        <v>HUMANIZACION</v>
      </c>
      <c r="B73" s="8" t="str">
        <f t="shared" si="0"/>
        <v>https://centrodecapacitaciondelsur.com/humanizacion-</v>
      </c>
      <c r="C73" s="10">
        <f>INSCRITOS!B35</f>
        <v>1118282444</v>
      </c>
      <c r="D73" t="str">
        <f t="shared" si="1"/>
        <v>https://centrodecapacitaciondelsur.com/humanizacion-1118282444/</v>
      </c>
    </row>
    <row r="74" spans="1:4" ht="122.25" customHeight="1" x14ac:dyDescent="0.25">
      <c r="A74" s="25" t="str">
        <f>INSCRITOS!O36</f>
        <v>VIOLENCIA SEXUAL</v>
      </c>
      <c r="B74" s="8" t="str">
        <f t="shared" si="0"/>
        <v>https://centrodecapacitaciondelsur.com/violencia-sexual-</v>
      </c>
      <c r="C74" s="10">
        <f>INSCRITOS!B36</f>
        <v>1118282444</v>
      </c>
      <c r="D74" t="str">
        <f t="shared" si="1"/>
        <v>https://centrodecapacitaciondelsur.com/violencia-sexual-1118282444/</v>
      </c>
    </row>
    <row r="75" spans="1:4" ht="122.25" customHeight="1" x14ac:dyDescent="0.25">
      <c r="A75" s="25" t="str">
        <f>INSCRITOS!O37</f>
        <v>TOMA DE MUESTRAS</v>
      </c>
      <c r="B75" s="8" t="str">
        <f t="shared" si="0"/>
        <v>https://centrodecapacitaciondelsur.com/toma-de-muestras-y-lab-clinico-</v>
      </c>
      <c r="C75" s="10">
        <f>INSCRITOS!B37</f>
        <v>1118282444</v>
      </c>
      <c r="D75" t="str">
        <f t="shared" si="1"/>
        <v>https://centrodecapacitaciondelsur.com/toma-de-muestras-y-lab-clinico-1118282444/</v>
      </c>
    </row>
    <row r="76" spans="1:4" ht="122.25" customHeight="1" x14ac:dyDescent="0.25">
      <c r="A76" s="25" t="str">
        <f>INSCRITOS!O38</f>
        <v>POCT</v>
      </c>
      <c r="B76" s="8" t="str">
        <f t="shared" si="0"/>
        <v>https://centrodecapacitaciondelsur.com/toma-de-muestras-y-lab-clinico-poct-</v>
      </c>
      <c r="C76" s="10">
        <f>INSCRITOS!B38</f>
        <v>1118282444</v>
      </c>
      <c r="D76" t="str">
        <f t="shared" si="1"/>
        <v>https://centrodecapacitaciondelsur.com/toma-de-muestras-y-lab-clinico-poct-1118282444/</v>
      </c>
    </row>
    <row r="77" spans="1:4" ht="122.25" customHeight="1" x14ac:dyDescent="0.25">
      <c r="A77" s="25" t="str">
        <f>INSCRITOS!O39</f>
        <v>PALIATIVOS</v>
      </c>
      <c r="B77" s="8" t="str">
        <f t="shared" si="0"/>
        <v>https://centrodecapacitaciondelsur.com/manejo-del-dolor-y-cuidados-paliativos-</v>
      </c>
      <c r="C77" s="10">
        <f>INSCRITOS!B39</f>
        <v>1118282444</v>
      </c>
      <c r="D77" t="str">
        <f t="shared" si="1"/>
        <v>https://centrodecapacitaciondelsur.com/manejo-del-dolor-y-cuidados-paliativos-1118282444/</v>
      </c>
    </row>
    <row r="78" spans="1:4" ht="122.25" customHeight="1" x14ac:dyDescent="0.25">
      <c r="A78" s="25" t="str">
        <f>INSCRITOS!O40</f>
        <v>DUELO</v>
      </c>
      <c r="B78" s="8" t="str">
        <f t="shared" si="0"/>
        <v>https://centrodecapacitaciondelsur.com/manejo-del-duelo-</v>
      </c>
      <c r="C78" s="10">
        <f>INSCRITOS!B40</f>
        <v>1118282444</v>
      </c>
      <c r="D78" t="str">
        <f t="shared" si="1"/>
        <v>https://centrodecapacitaciondelsur.com/manejo-del-duelo-1118282444/</v>
      </c>
    </row>
    <row r="79" spans="1:4" ht="122.25" customHeight="1" x14ac:dyDescent="0.25">
      <c r="A79" s="25" t="str">
        <f>INSCRITOS!O41</f>
        <v>QUIMICOS</v>
      </c>
      <c r="B79" s="8" t="str">
        <f t="shared" si="0"/>
        <v>https://centrodecapacitaciondelsur.com/victimas-por-agentes-quimicos-</v>
      </c>
      <c r="C79" s="10">
        <f>INSCRITOS!B41</f>
        <v>1118282444</v>
      </c>
      <c r="D79" t="str">
        <f t="shared" si="1"/>
        <v>https://centrodecapacitaciondelsur.com/victimas-por-agentes-quimicos-1118282444/</v>
      </c>
    </row>
    <row r="80" spans="1:4" ht="122.25" customHeight="1" x14ac:dyDescent="0.25">
      <c r="A80" s="25" t="str">
        <f>INSCRITOS!O42</f>
        <v>CONFLICTO ARMADO</v>
      </c>
      <c r="B80" s="8" t="str">
        <f t="shared" si="0"/>
        <v>https://centrodecapacitaciondelsur.com/atencion-a-victimas-del-conflicto-armado-</v>
      </c>
      <c r="C80" s="10">
        <f>INSCRITOS!B42</f>
        <v>1118282444</v>
      </c>
      <c r="D80" t="str">
        <f t="shared" si="1"/>
        <v>https://centrodecapacitaciondelsur.com/atencion-a-victimas-del-conflicto-armado-1118282444/</v>
      </c>
    </row>
    <row r="81" spans="1:4" ht="122.25" customHeight="1" x14ac:dyDescent="0.25">
      <c r="A81" s="25" t="str">
        <f>INSCRITOS!O43</f>
        <v>BLS</v>
      </c>
      <c r="B81" s="8" t="str">
        <f t="shared" si="0"/>
        <v>https://centrodecapacitaciondelsur.com/soporte-basico-de-vida-</v>
      </c>
      <c r="C81" s="10">
        <f>INSCRITOS!B43</f>
        <v>1118282444</v>
      </c>
      <c r="D81" t="str">
        <f t="shared" si="1"/>
        <v>https://centrodecapacitaciondelsur.com/soporte-basico-de-vida-1118282444/</v>
      </c>
    </row>
    <row r="82" spans="1:4" ht="122.25" customHeight="1" x14ac:dyDescent="0.25">
      <c r="A82" s="25" t="str">
        <f>INSCRITOS!O44</f>
        <v>VIOLENCIA SEXUAL</v>
      </c>
      <c r="B82" s="8" t="str">
        <f t="shared" si="0"/>
        <v>https://centrodecapacitaciondelsur.com/violencia-sexual-</v>
      </c>
      <c r="C82" s="10">
        <f>INSCRITOS!B44</f>
        <v>1004192006</v>
      </c>
      <c r="D82" t="str">
        <f t="shared" si="1"/>
        <v>https://centrodecapacitaciondelsur.com/violencia-sexual-1004192006/</v>
      </c>
    </row>
    <row r="83" spans="1:4" ht="122.25" customHeight="1" x14ac:dyDescent="0.25">
      <c r="A83" s="25" t="str">
        <f>INSCRITOS!O45</f>
        <v>VIOLENCIA SEXUAL</v>
      </c>
      <c r="B83" s="8" t="str">
        <f t="shared" si="0"/>
        <v>https://centrodecapacitaciondelsur.com/violencia-sexual-</v>
      </c>
      <c r="C83" s="10">
        <f>INSCRITOS!B45</f>
        <v>1085290587</v>
      </c>
      <c r="D83" t="str">
        <f t="shared" si="1"/>
        <v>https://centrodecapacitaciondelsur.com/violencia-sexual-1085290587/</v>
      </c>
    </row>
    <row r="84" spans="1:4" ht="122.25" customHeight="1" x14ac:dyDescent="0.25">
      <c r="A84" s="25" t="str">
        <f>INSCRITOS!O46</f>
        <v>BLS</v>
      </c>
      <c r="B84" s="8" t="str">
        <f t="shared" si="0"/>
        <v>https://centrodecapacitaciondelsur.com/soporte-basico-de-vida-</v>
      </c>
      <c r="C84" s="10">
        <f>INSCRITOS!B46</f>
        <v>1089459350</v>
      </c>
      <c r="D84" t="str">
        <f t="shared" si="1"/>
        <v>https://centrodecapacitaciondelsur.com/soporte-basico-de-vida-1089459350/</v>
      </c>
    </row>
    <row r="85" spans="1:4" ht="122.25" customHeight="1" x14ac:dyDescent="0.25">
      <c r="A85" s="25" t="str">
        <f>INSCRITOS!O47</f>
        <v>PACIENTE CON DISCAPACIDAD</v>
      </c>
      <c r="B85" s="8" t="b">
        <f t="shared" si="0"/>
        <v>0</v>
      </c>
      <c r="C85" s="10">
        <f>INSCRITOS!B47</f>
        <v>1085279362</v>
      </c>
      <c r="D85" t="str">
        <f t="shared" si="1"/>
        <v>FALSO1085279362/</v>
      </c>
    </row>
    <row r="86" spans="1:4" ht="122.25" customHeight="1" x14ac:dyDescent="0.25">
      <c r="A86" s="25" t="str">
        <f>INSCRITOS!O48</f>
        <v>ADMON DE MEDICAMENTOS</v>
      </c>
      <c r="B86" s="8" t="str">
        <f t="shared" si="0"/>
        <v>https://centrodecapacitaciondelsur.com/adm-medicamentos-canalizacion-inyectologia-</v>
      </c>
      <c r="C86" s="10">
        <f>INSCRITOS!B48</f>
        <v>1085295345</v>
      </c>
      <c r="D86" t="str">
        <f t="shared" si="1"/>
        <v>https://centrodecapacitaciondelsur.com/adm-medicamentos-canalizacion-inyectologia-1085295345/</v>
      </c>
    </row>
    <row r="87" spans="1:4" ht="122.25" customHeight="1" x14ac:dyDescent="0.25">
      <c r="A87" s="25" t="str">
        <f>INSCRITOS!O49</f>
        <v>TOMA DE MUESTRAS</v>
      </c>
      <c r="B87" s="8" t="str">
        <f t="shared" si="0"/>
        <v>https://centrodecapacitaciondelsur.com/toma-de-muestras-y-lab-clinico-</v>
      </c>
      <c r="C87" s="10">
        <f>INSCRITOS!B49</f>
        <v>1085295345</v>
      </c>
      <c r="D87" t="str">
        <f t="shared" si="1"/>
        <v>https://centrodecapacitaciondelsur.com/toma-de-muestras-y-lab-clinico-1085295345/</v>
      </c>
    </row>
    <row r="88" spans="1:4" ht="122.25" customHeight="1" x14ac:dyDescent="0.25">
      <c r="A88" s="25" t="str">
        <f>INSCRITOS!O50</f>
        <v>BLS</v>
      </c>
      <c r="B88" s="8" t="str">
        <f t="shared" si="0"/>
        <v>https://centrodecapacitaciondelsur.com/soporte-basico-de-vida-</v>
      </c>
      <c r="C88" s="10">
        <f>INSCRITOS!B50</f>
        <v>1004192006</v>
      </c>
      <c r="D88" t="str">
        <f t="shared" si="1"/>
        <v>https://centrodecapacitaciondelsur.com/soporte-basico-de-vida-1004192006/</v>
      </c>
    </row>
    <row r="89" spans="1:4" ht="122.25" customHeight="1" x14ac:dyDescent="0.25">
      <c r="A89" s="25" t="str">
        <f>INSCRITOS!O51</f>
        <v>BLS</v>
      </c>
      <c r="B89" s="8" t="str">
        <f t="shared" si="0"/>
        <v>https://centrodecapacitaciondelsur.com/soporte-basico-de-vida-</v>
      </c>
      <c r="C89" s="10">
        <f>INSCRITOS!B51</f>
        <v>1085290587</v>
      </c>
      <c r="D89" t="str">
        <f t="shared" si="1"/>
        <v>https://centrodecapacitaciondelsur.com/soporte-basico-de-vida-1085290587/</v>
      </c>
    </row>
    <row r="90" spans="1:4" ht="122.25" customHeight="1" x14ac:dyDescent="0.25">
      <c r="A90" s="25" t="str">
        <f>INSCRITOS!O52</f>
        <v>RESIDUOS</v>
      </c>
      <c r="B90" s="8" t="str">
        <f t="shared" si="0"/>
        <v>https://centrodecapacitaciondelsur.com/manejo-de-residuos-hospitalarios-</v>
      </c>
      <c r="C90" s="10">
        <f>INSCRITOS!B52</f>
        <v>1080045349</v>
      </c>
      <c r="D90" t="str">
        <f t="shared" si="1"/>
        <v>https://centrodecapacitaciondelsur.com/manejo-de-residuos-hospitalarios-1080045349/</v>
      </c>
    </row>
    <row r="91" spans="1:4" ht="122.25" customHeight="1" x14ac:dyDescent="0.25">
      <c r="A91" s="25" t="str">
        <f>INSCRITOS!O53</f>
        <v>RESIDUOS</v>
      </c>
      <c r="B91" s="8" t="str">
        <f t="shared" si="0"/>
        <v>https://centrodecapacitaciondelsur.com/manejo-de-residuos-hospitalarios-</v>
      </c>
      <c r="C91" s="10">
        <f>INSCRITOS!B53</f>
        <v>1085336189</v>
      </c>
      <c r="D91" t="str">
        <f t="shared" si="1"/>
        <v>https://centrodecapacitaciondelsur.com/manejo-de-residuos-hospitalarios-1085336189/</v>
      </c>
    </row>
    <row r="92" spans="1:4" ht="122.25" customHeight="1" x14ac:dyDescent="0.25">
      <c r="A92" s="25" t="str">
        <f>INSCRITOS!O54</f>
        <v>RESIDUOS</v>
      </c>
      <c r="B92" s="8" t="str">
        <f t="shared" si="0"/>
        <v>https://centrodecapacitaciondelsur.com/manejo-de-residuos-hospitalarios-</v>
      </c>
      <c r="C92" s="10">
        <f>INSCRITOS!B54</f>
        <v>36750166</v>
      </c>
      <c r="D92" t="str">
        <f t="shared" si="1"/>
        <v>https://centrodecapacitaciondelsur.com/manejo-de-residuos-hospitalarios-36750166/</v>
      </c>
    </row>
    <row r="93" spans="1:4" ht="122.25" customHeight="1" x14ac:dyDescent="0.25">
      <c r="A93" s="25" t="str">
        <f>INSCRITOS!O55</f>
        <v>RESIDUOS</v>
      </c>
      <c r="B93" s="8" t="str">
        <f t="shared" si="0"/>
        <v>https://centrodecapacitaciondelsur.com/manejo-de-residuos-hospitalarios-</v>
      </c>
      <c r="C93" s="10">
        <f>INSCRITOS!B55</f>
        <v>1085248753</v>
      </c>
      <c r="D93" t="str">
        <f t="shared" si="1"/>
        <v>https://centrodecapacitaciondelsur.com/manejo-de-residuos-hospitalarios-1085248753/</v>
      </c>
    </row>
    <row r="94" spans="1:4" ht="122.25" customHeight="1" x14ac:dyDescent="0.25">
      <c r="A94" s="25" t="str">
        <f>INSCRITOS!O56</f>
        <v>POCT</v>
      </c>
      <c r="B94" s="8" t="str">
        <f t="shared" si="0"/>
        <v>https://centrodecapacitaciondelsur.com/toma-de-muestras-y-lab-clinico-poct-</v>
      </c>
      <c r="C94" s="10">
        <f>INSCRITOS!B56</f>
        <v>1085337964</v>
      </c>
      <c r="D94" t="str">
        <f t="shared" si="1"/>
        <v>https://centrodecapacitaciondelsur.com/toma-de-muestras-y-lab-clinico-poct-1085337964/</v>
      </c>
    </row>
    <row r="95" spans="1:4" ht="122.25" customHeight="1" x14ac:dyDescent="0.25">
      <c r="A95" s="25" t="str">
        <f>INSCRITOS!O57</f>
        <v>ACLS</v>
      </c>
      <c r="B95" s="8" t="str">
        <f t="shared" si="0"/>
        <v>https://centrodecapacitaciondelsur.com/soporte-cardiovascular-avanzado-</v>
      </c>
      <c r="C95" s="10">
        <f>INSCRITOS!B57</f>
        <v>36998014</v>
      </c>
      <c r="D95" t="str">
        <f t="shared" si="1"/>
        <v>https://centrodecapacitaciondelsur.com/soporte-cardiovascular-avanzado-36998014/</v>
      </c>
    </row>
    <row r="96" spans="1:4" ht="122.25" customHeight="1" x14ac:dyDescent="0.25">
      <c r="A96" s="25" t="str">
        <f>INSCRITOS!O58</f>
        <v>QUIMICOS</v>
      </c>
      <c r="B96" s="8" t="str">
        <f t="shared" si="0"/>
        <v>https://centrodecapacitaciondelsur.com/victimas-por-agentes-quimicos-</v>
      </c>
      <c r="C96" s="10">
        <f>INSCRITOS!B58</f>
        <v>1085245508</v>
      </c>
      <c r="D96" t="str">
        <f t="shared" si="1"/>
        <v>https://centrodecapacitaciondelsur.com/victimas-por-agentes-quimicos-1085245508/</v>
      </c>
    </row>
    <row r="97" spans="1:4" ht="122.25" customHeight="1" x14ac:dyDescent="0.25">
      <c r="A97" s="25" t="str">
        <f>INSCRITOS!O59</f>
        <v>VIOLENCIA SEXUAL</v>
      </c>
      <c r="B97" s="8" t="str">
        <f t="shared" si="0"/>
        <v>https://centrodecapacitaciondelsur.com/violencia-sexual-</v>
      </c>
      <c r="C97" s="10">
        <f>INSCRITOS!B59</f>
        <v>1085245508</v>
      </c>
      <c r="D97" t="str">
        <f t="shared" si="1"/>
        <v>https://centrodecapacitaciondelsur.com/violencia-sexual-1085245508/</v>
      </c>
    </row>
    <row r="98" spans="1:4" ht="122.25" customHeight="1" x14ac:dyDescent="0.25">
      <c r="A98" s="25" t="str">
        <f>INSCRITOS!O60</f>
        <v>POCT</v>
      </c>
      <c r="B98" s="8" t="str">
        <f t="shared" si="0"/>
        <v>https://centrodecapacitaciondelsur.com/toma-de-muestras-y-lab-clinico-poct-</v>
      </c>
      <c r="C98" s="10">
        <f>INSCRITOS!B60</f>
        <v>1127577221</v>
      </c>
      <c r="D98" t="str">
        <f t="shared" si="1"/>
        <v>https://centrodecapacitaciondelsur.com/toma-de-muestras-y-lab-clinico-poct-1127577221/</v>
      </c>
    </row>
    <row r="99" spans="1:4" ht="122.25" customHeight="1" x14ac:dyDescent="0.25">
      <c r="A99" s="25" t="str">
        <f>INSCRITOS!O61</f>
        <v>QUIMICOS</v>
      </c>
      <c r="B99" s="8" t="str">
        <f t="shared" si="0"/>
        <v>https://centrodecapacitaciondelsur.com/victimas-por-agentes-quimicos-</v>
      </c>
      <c r="C99" s="10">
        <f>INSCRITOS!B61</f>
        <v>1234192018</v>
      </c>
      <c r="D99" t="str">
        <f t="shared" si="1"/>
        <v>https://centrodecapacitaciondelsur.com/victimas-por-agentes-quimicos-1234192018/</v>
      </c>
    </row>
    <row r="100" spans="1:4" ht="122.25" customHeight="1" x14ac:dyDescent="0.25">
      <c r="A100" s="25" t="str">
        <f>INSCRITOS!O62</f>
        <v>DUELO</v>
      </c>
      <c r="B100" s="8" t="str">
        <f t="shared" si="0"/>
        <v>https://centrodecapacitaciondelsur.com/manejo-del-duelo-</v>
      </c>
      <c r="C100" s="10">
        <f>INSCRITOS!B62</f>
        <v>1234192018</v>
      </c>
      <c r="D100" t="str">
        <f t="shared" si="1"/>
        <v>https://centrodecapacitaciondelsur.com/manejo-del-duelo-1234192018/</v>
      </c>
    </row>
    <row r="101" spans="1:4" ht="122.25" customHeight="1" x14ac:dyDescent="0.25">
      <c r="A101" s="25" t="str">
        <f>INSCRITOS!O63</f>
        <v>VIOLENCIA SEXUAL</v>
      </c>
      <c r="B101" s="8" t="str">
        <f t="shared" si="0"/>
        <v>https://centrodecapacitaciondelsur.com/violencia-sexual-</v>
      </c>
      <c r="C101" s="10">
        <f>INSCRITOS!B63</f>
        <v>1085635358</v>
      </c>
      <c r="D101" t="str">
        <f t="shared" si="1"/>
        <v>https://centrodecapacitaciondelsur.com/violencia-sexual-1085635358/</v>
      </c>
    </row>
    <row r="102" spans="1:4" ht="122.25" customHeight="1" x14ac:dyDescent="0.25">
      <c r="A102" s="25" t="str">
        <f>INSCRITOS!O64</f>
        <v>PRIMEROS AUXILIOS</v>
      </c>
      <c r="B102" s="8" t="str">
        <f t="shared" si="0"/>
        <v>https://centrodecapacitaciondelsur.com/primeros-auxilios-</v>
      </c>
      <c r="C102" s="10">
        <f>INSCRITOS!B64</f>
        <v>98400086</v>
      </c>
      <c r="D102" t="str">
        <f t="shared" si="1"/>
        <v>https://centrodecapacitaciondelsur.com/primeros-auxilios-98400086/</v>
      </c>
    </row>
    <row r="103" spans="1:4" ht="122.25" customHeight="1" x14ac:dyDescent="0.25">
      <c r="A103" s="25" t="str">
        <f>INSCRITOS!O65</f>
        <v>VIOLENCIA SEXUAL</v>
      </c>
      <c r="B103" s="8" t="str">
        <f t="shared" si="0"/>
        <v>https://centrodecapacitaciondelsur.com/violencia-sexual-</v>
      </c>
      <c r="C103" s="10">
        <f>INSCRITOS!B65</f>
        <v>1018505684</v>
      </c>
      <c r="D103" t="str">
        <f t="shared" si="1"/>
        <v>https://centrodecapacitaciondelsur.com/violencia-sexual-1018505684/</v>
      </c>
    </row>
    <row r="104" spans="1:4" ht="122.25" customHeight="1" x14ac:dyDescent="0.25">
      <c r="A104" s="25" t="str">
        <f>INSCRITOS!O66</f>
        <v>DUELO</v>
      </c>
      <c r="B104" s="8" t="str">
        <f t="shared" ref="B104:B167" si="2">IF(A104=$H$19,"https://centrodecapacitaciondelsur.com/o-v-e-",IF(A104=$H$2,"https://centrodecapacitaciondelsur.com/aph-",IF(A104=$H$3,"https://centrodecapacitaciondelsur.com/manejo-del-duelo-",IF(A104=$H$4,"https://centrodecapacitaciondelsur.com/victimas-por-agentes-quimicos-",IF(A104=$H$5,"https://centrodecapacitaciondelsur.com/primeros-auxilios-",IF(A104=$H$6,"https://centrodecapacitaciondelsur.com/uci-",IF(A104=$H$8,"https://centrodecapacitaciondelsur.com/humanizacion-",IF(A104=$H$11,"https://centrodecapacitaciondelsur.com/soporte-cardiovascular-avanzado-",IF(A104=$H$12,"https://centrodecapacitaciondelsur.com/camillero-",IF(A104=$H$13,"https://centrodecapacitaciondelsur.com/toma-de-muestras-y-lab-clinico-",IF(A104=$H$14,"https://centrodecapacitaciondelsur.com/soporte-basico-de-vida-",IF(A104=$H$15,"https://centrodecapacitaciondelsur.com/violencia-sexual-",IF(A104=$H$17,"https://centrodecapacitaciondelsur.com/aiepi-",IF(A104=$H$18,"https://centrodecapacitaciondelsur.com/adm-medicamentos-canalizacion-inyectologia-",IF(A104=$H$25,"https://centrodecapacitaciondelsur.com/manejo-del-dolor-y-cuidados-paliativos-",IF(A104=$H$26,"https://centrodecapacitaciondelsur.com/toma-de-muestras-y-lab-clinico-poct-",IF(A104=$H$27,"https://centrodecapacitaciondelsur.com/implante-subdermico-",IF(A104=$H$21,"https://centrodecapacitaciondelsur.com/donante-de-organos-",IF(A104=$H$30,"https://centrodecapacitaciondelsur.com/atencion-a-victimas-del-conflicto-armado-",IF(A104=$H$20,"https://centrodecapacitaciondelsur.com/iami-",IF(A104=$H$22,"https://centrodecapacitaciondelsur.com/violencia-de-genero-",IF(A104=$H$23,"https://centrodecapacitaciondelsur.com/igualdad-de-genero-",IF(A104=$H$16,"https://centrodecapacitaciondelsur.com/pai-",IF(A104=$H$31,"https://centrodecapacitaciondelsur.com/manipulacion-de-alimentos-",IF(A104=$H$32,"https://centrodecapacitaciondelsur.com/atencion-a-personas-con-discapacidad-",IF(A104=$H$33,"https://centrodecapacitaciondelsur.com/atencion-al-adulto-mayor-",IF(A104=$H$34,"https://centrodecapacitaciondelsur.com/manejo-defensivo-",IF(A104=$H$35,"https://centrodecapacitaciondelsur.com/soporte-basico-neonatal-",IF(A104=$H$36,"https://centrodecapacitaciondelsur.com/seguridad-del-paciente-",IF(A104=$H$37,"https://centrodecapacitaciondelsur.com/manejo-de-residuos-hospitalarios-",IF(A104=$H$10,"https://centrodecapacitaciondelsur.com/toma-de-citologia-")))))))))))))))))))))))))))))))</f>
        <v>https://centrodecapacitaciondelsur.com/manejo-del-duelo-</v>
      </c>
      <c r="C104" s="10">
        <f>INSCRITOS!B66</f>
        <v>1018505684</v>
      </c>
      <c r="D104" t="str">
        <f t="shared" ref="D104:D167" si="3">CONCATENATE(B104,C104,"/")</f>
        <v>https://centrodecapacitaciondelsur.com/manejo-del-duelo-1018505684/</v>
      </c>
    </row>
    <row r="105" spans="1:4" ht="122.25" customHeight="1" x14ac:dyDescent="0.25">
      <c r="A105" s="25" t="str">
        <f>INSCRITOS!O67</f>
        <v>HUMANIZACION</v>
      </c>
      <c r="B105" s="8" t="str">
        <f t="shared" si="2"/>
        <v>https://centrodecapacitaciondelsur.com/humanizacion-</v>
      </c>
      <c r="C105" s="10">
        <f>INSCRITOS!B67</f>
        <v>1131085871</v>
      </c>
      <c r="D105" t="str">
        <f t="shared" si="3"/>
        <v>https://centrodecapacitaciondelsur.com/humanizacion-1131085871/</v>
      </c>
    </row>
    <row r="106" spans="1:4" ht="122.25" customHeight="1" x14ac:dyDescent="0.25">
      <c r="A106" s="25" t="str">
        <f>INSCRITOS!O68</f>
        <v>PALIATIVOS</v>
      </c>
      <c r="B106" s="8" t="str">
        <f t="shared" si="2"/>
        <v>https://centrodecapacitaciondelsur.com/manejo-del-dolor-y-cuidados-paliativos-</v>
      </c>
      <c r="C106" s="10">
        <f>INSCRITOS!B68</f>
        <v>1193383314</v>
      </c>
      <c r="D106" t="str">
        <f t="shared" si="3"/>
        <v>https://centrodecapacitaciondelsur.com/manejo-del-dolor-y-cuidados-paliativos-1193383314/</v>
      </c>
    </row>
    <row r="107" spans="1:4" ht="122.25" customHeight="1" x14ac:dyDescent="0.25">
      <c r="A107" s="25" t="str">
        <f>INSCRITOS!O69</f>
        <v>QUIMICOS</v>
      </c>
      <c r="B107" s="8" t="str">
        <f t="shared" si="2"/>
        <v>https://centrodecapacitaciondelsur.com/victimas-por-agentes-quimicos-</v>
      </c>
      <c r="C107" s="10">
        <f>INSCRITOS!B69</f>
        <v>1004201109</v>
      </c>
      <c r="D107" t="str">
        <f t="shared" si="3"/>
        <v>https://centrodecapacitaciondelsur.com/victimas-por-agentes-quimicos-1004201109/</v>
      </c>
    </row>
    <row r="108" spans="1:4" ht="122.25" customHeight="1" x14ac:dyDescent="0.25">
      <c r="A108" s="25" t="str">
        <f>INSCRITOS!O70</f>
        <v>BLS</v>
      </c>
      <c r="B108" s="8" t="str">
        <f t="shared" si="2"/>
        <v>https://centrodecapacitaciondelsur.com/soporte-basico-de-vida-</v>
      </c>
      <c r="C108" s="10">
        <f>INSCRITOS!B70</f>
        <v>1085927751</v>
      </c>
      <c r="D108" t="str">
        <f t="shared" si="3"/>
        <v>https://centrodecapacitaciondelsur.com/soporte-basico-de-vida-1085927751/</v>
      </c>
    </row>
    <row r="109" spans="1:4" ht="122.25" customHeight="1" x14ac:dyDescent="0.25">
      <c r="A109" s="25" t="str">
        <f>INSCRITOS!O71</f>
        <v>ACLS</v>
      </c>
      <c r="B109" s="8" t="str">
        <f t="shared" si="2"/>
        <v>https://centrodecapacitaciondelsur.com/soporte-cardiovascular-avanzado-</v>
      </c>
      <c r="C109" s="10">
        <f>INSCRITOS!B71</f>
        <v>1085261400</v>
      </c>
      <c r="D109" t="str">
        <f t="shared" si="3"/>
        <v>https://centrodecapacitaciondelsur.com/soporte-cardiovascular-avanzado-1085261400/</v>
      </c>
    </row>
    <row r="110" spans="1:4" ht="122.25" customHeight="1" x14ac:dyDescent="0.25">
      <c r="A110" s="25" t="str">
        <f>INSCRITOS!O72</f>
        <v>BLS</v>
      </c>
      <c r="B110" s="8" t="str">
        <f t="shared" si="2"/>
        <v>https://centrodecapacitaciondelsur.com/soporte-basico-de-vida-</v>
      </c>
      <c r="C110" s="10">
        <f>INSCRITOS!B72</f>
        <v>1085261400</v>
      </c>
      <c r="D110" t="str">
        <f t="shared" si="3"/>
        <v>https://centrodecapacitaciondelsur.com/soporte-basico-de-vida-1085261400/</v>
      </c>
    </row>
    <row r="111" spans="1:4" ht="122.25" customHeight="1" x14ac:dyDescent="0.25">
      <c r="A111" s="25" t="str">
        <f>INSCRITOS!O73</f>
        <v>VIOLENCIA SEXUAL</v>
      </c>
      <c r="B111" s="8" t="str">
        <f t="shared" si="2"/>
        <v>https://centrodecapacitaciondelsur.com/violencia-sexual-</v>
      </c>
      <c r="C111" s="10">
        <f>INSCRITOS!B73</f>
        <v>1085261400</v>
      </c>
      <c r="D111" t="str">
        <f t="shared" si="3"/>
        <v>https://centrodecapacitaciondelsur.com/violencia-sexual-1085261400/</v>
      </c>
    </row>
    <row r="112" spans="1:4" ht="122.25" customHeight="1" x14ac:dyDescent="0.25">
      <c r="A112" s="25" t="str">
        <f>INSCRITOS!O74</f>
        <v>AIEPI</v>
      </c>
      <c r="B112" s="8" t="str">
        <f t="shared" si="2"/>
        <v>https://centrodecapacitaciondelsur.com/aiepi-</v>
      </c>
      <c r="C112" s="10">
        <f>INSCRITOS!B74</f>
        <v>87455395</v>
      </c>
      <c r="D112" t="str">
        <f t="shared" si="3"/>
        <v>https://centrodecapacitaciondelsur.com/aiepi-87455395/</v>
      </c>
    </row>
    <row r="113" spans="1:4" ht="122.25" customHeight="1" x14ac:dyDescent="0.25">
      <c r="A113" s="25" t="str">
        <f>INSCRITOS!O75</f>
        <v>ACLS</v>
      </c>
      <c r="B113" s="8" t="str">
        <f t="shared" si="2"/>
        <v>https://centrodecapacitaciondelsur.com/soporte-cardiovascular-avanzado-</v>
      </c>
      <c r="C113" s="10">
        <f>INSCRITOS!B75</f>
        <v>1085282306</v>
      </c>
      <c r="D113" t="str">
        <f t="shared" si="3"/>
        <v>https://centrodecapacitaciondelsur.com/soporte-cardiovascular-avanzado-1085282306/</v>
      </c>
    </row>
    <row r="114" spans="1:4" ht="122.25" customHeight="1" x14ac:dyDescent="0.25">
      <c r="A114" s="25" t="str">
        <f>INSCRITOS!O76</f>
        <v>BLS</v>
      </c>
      <c r="B114" s="8" t="str">
        <f t="shared" si="2"/>
        <v>https://centrodecapacitaciondelsur.com/soporte-basico-de-vida-</v>
      </c>
      <c r="C114" s="10">
        <f>INSCRITOS!B76</f>
        <v>1085282306</v>
      </c>
      <c r="D114" t="str">
        <f t="shared" si="3"/>
        <v>https://centrodecapacitaciondelsur.com/soporte-basico-de-vida-1085282306/</v>
      </c>
    </row>
    <row r="115" spans="1:4" ht="122.25" customHeight="1" x14ac:dyDescent="0.25">
      <c r="A115" s="25" t="str">
        <f>INSCRITOS!O77</f>
        <v>HUMANIZACION</v>
      </c>
      <c r="B115" s="8" t="str">
        <f t="shared" si="2"/>
        <v>https://centrodecapacitaciondelsur.com/humanizacion-</v>
      </c>
      <c r="C115" s="10">
        <f>INSCRITOS!B77</f>
        <v>1085282306</v>
      </c>
      <c r="D115" t="str">
        <f t="shared" si="3"/>
        <v>https://centrodecapacitaciondelsur.com/humanizacion-1085282306/</v>
      </c>
    </row>
    <row r="116" spans="1:4" ht="122.25" customHeight="1" x14ac:dyDescent="0.25">
      <c r="A116" s="25" t="str">
        <f>INSCRITOS!O78</f>
        <v>PALIATIVOS</v>
      </c>
      <c r="B116" s="8" t="str">
        <f t="shared" si="2"/>
        <v>https://centrodecapacitaciondelsur.com/manejo-del-dolor-y-cuidados-paliativos-</v>
      </c>
      <c r="C116" s="10">
        <f>INSCRITOS!B78</f>
        <v>1085282306</v>
      </c>
      <c r="D116" t="str">
        <f t="shared" si="3"/>
        <v>https://centrodecapacitaciondelsur.com/manejo-del-dolor-y-cuidados-paliativos-1085282306/</v>
      </c>
    </row>
    <row r="117" spans="1:4" ht="122.25" customHeight="1" x14ac:dyDescent="0.25">
      <c r="A117" s="25" t="str">
        <f>INSCRITOS!O79</f>
        <v>VIOLENCIA SEXUAL</v>
      </c>
      <c r="B117" s="8" t="str">
        <f t="shared" si="2"/>
        <v>https://centrodecapacitaciondelsur.com/violencia-sexual-</v>
      </c>
      <c r="C117" s="10">
        <f>INSCRITOS!B79</f>
        <v>1085282306</v>
      </c>
      <c r="D117" t="str">
        <f t="shared" si="3"/>
        <v>https://centrodecapacitaciondelsur.com/violencia-sexual-1085282306/</v>
      </c>
    </row>
    <row r="118" spans="1:4" ht="122.25" customHeight="1" x14ac:dyDescent="0.25">
      <c r="A118" s="25" t="str">
        <f>INSCRITOS!O80</f>
        <v>QUIMICOS</v>
      </c>
      <c r="B118" s="8" t="str">
        <f t="shared" si="2"/>
        <v>https://centrodecapacitaciondelsur.com/victimas-por-agentes-quimicos-</v>
      </c>
      <c r="C118" s="10">
        <f>INSCRITOS!B80</f>
        <v>1085282306</v>
      </c>
      <c r="D118" t="str">
        <f t="shared" si="3"/>
        <v>https://centrodecapacitaciondelsur.com/victimas-por-agentes-quimicos-1085282306/</v>
      </c>
    </row>
    <row r="119" spans="1:4" ht="122.25" customHeight="1" x14ac:dyDescent="0.25">
      <c r="A119" s="25" t="str">
        <f>INSCRITOS!O81</f>
        <v>HUMANIZACION</v>
      </c>
      <c r="B119" s="8" t="str">
        <f t="shared" si="2"/>
        <v>https://centrodecapacitaciondelsur.com/humanizacion-</v>
      </c>
      <c r="C119" s="10">
        <f>INSCRITOS!B81</f>
        <v>1086498144</v>
      </c>
      <c r="D119" t="str">
        <f t="shared" si="3"/>
        <v>https://centrodecapacitaciondelsur.com/humanizacion-1086498144/</v>
      </c>
    </row>
    <row r="120" spans="1:4" ht="122.25" customHeight="1" x14ac:dyDescent="0.25">
      <c r="A120" s="25" t="str">
        <f>INSCRITOS!O82</f>
        <v>DUELO</v>
      </c>
      <c r="B120" s="8" t="str">
        <f t="shared" si="2"/>
        <v>https://centrodecapacitaciondelsur.com/manejo-del-duelo-</v>
      </c>
      <c r="C120" s="10">
        <f>INSCRITOS!B82</f>
        <v>1086498144</v>
      </c>
      <c r="D120" t="str">
        <f t="shared" si="3"/>
        <v>https://centrodecapacitaciondelsur.com/manejo-del-duelo-1086498144/</v>
      </c>
    </row>
    <row r="121" spans="1:4" ht="122.25" customHeight="1" x14ac:dyDescent="0.25">
      <c r="A121" s="25" t="str">
        <f>INSCRITOS!O83</f>
        <v>QUIMICOS</v>
      </c>
      <c r="B121" s="8" t="str">
        <f t="shared" si="2"/>
        <v>https://centrodecapacitaciondelsur.com/victimas-por-agentes-quimicos-</v>
      </c>
      <c r="C121" s="10">
        <f>INSCRITOS!B83</f>
        <v>1086498144</v>
      </c>
      <c r="D121" t="str">
        <f t="shared" si="3"/>
        <v>https://centrodecapacitaciondelsur.com/victimas-por-agentes-quimicos-1086498144/</v>
      </c>
    </row>
    <row r="122" spans="1:4" ht="122.25" customHeight="1" x14ac:dyDescent="0.25">
      <c r="A122" s="25" t="str">
        <f>INSCRITOS!O84</f>
        <v>VIOLENCIA SEXUAL</v>
      </c>
      <c r="B122" s="8" t="str">
        <f t="shared" si="2"/>
        <v>https://centrodecapacitaciondelsur.com/violencia-sexual-</v>
      </c>
      <c r="C122" s="10">
        <f>INSCRITOS!B84</f>
        <v>1086498144</v>
      </c>
      <c r="D122" t="str">
        <f t="shared" si="3"/>
        <v>https://centrodecapacitaciondelsur.com/violencia-sexual-1086498144/</v>
      </c>
    </row>
    <row r="123" spans="1:4" ht="122.25" customHeight="1" x14ac:dyDescent="0.25">
      <c r="A123" s="25" t="str">
        <f>INSCRITOS!O85</f>
        <v>DUELO</v>
      </c>
      <c r="B123" s="8" t="str">
        <f t="shared" si="2"/>
        <v>https://centrodecapacitaciondelsur.com/manejo-del-duelo-</v>
      </c>
      <c r="C123" s="10">
        <f>INSCRITOS!B85</f>
        <v>1107078954</v>
      </c>
      <c r="D123" t="str">
        <f t="shared" si="3"/>
        <v>https://centrodecapacitaciondelsur.com/manejo-del-duelo-1107078954/</v>
      </c>
    </row>
    <row r="124" spans="1:4" ht="122.25" customHeight="1" x14ac:dyDescent="0.25">
      <c r="A124" s="25" t="str">
        <f>INSCRITOS!O86</f>
        <v>ACLS</v>
      </c>
      <c r="B124" s="8" t="str">
        <f t="shared" si="2"/>
        <v>https://centrodecapacitaciondelsur.com/soporte-cardiovascular-avanzado-</v>
      </c>
      <c r="C124" s="10">
        <f>INSCRITOS!B86</f>
        <v>13039891</v>
      </c>
      <c r="D124" t="str">
        <f t="shared" si="3"/>
        <v>https://centrodecapacitaciondelsur.com/soporte-cardiovascular-avanzado-13039891/</v>
      </c>
    </row>
    <row r="125" spans="1:4" ht="122.25" customHeight="1" x14ac:dyDescent="0.25">
      <c r="A125" s="25" t="str">
        <f>INSCRITOS!O87</f>
        <v>BLS</v>
      </c>
      <c r="B125" s="8" t="str">
        <f t="shared" si="2"/>
        <v>https://centrodecapacitaciondelsur.com/soporte-basico-de-vida-</v>
      </c>
      <c r="C125" s="10">
        <f>INSCRITOS!B87</f>
        <v>13039891</v>
      </c>
      <c r="D125" t="str">
        <f t="shared" si="3"/>
        <v>https://centrodecapacitaciondelsur.com/soporte-basico-de-vida-13039891/</v>
      </c>
    </row>
    <row r="126" spans="1:4" ht="122.25" customHeight="1" x14ac:dyDescent="0.25">
      <c r="A126" s="25" t="str">
        <f>INSCRITOS!O88</f>
        <v>VIOLENCIA SEXUAL</v>
      </c>
      <c r="B126" s="8" t="str">
        <f t="shared" si="2"/>
        <v>https://centrodecapacitaciondelsur.com/violencia-sexual-</v>
      </c>
      <c r="C126" s="10">
        <f>INSCRITOS!B88</f>
        <v>1234192018</v>
      </c>
      <c r="D126" t="str">
        <f t="shared" si="3"/>
        <v>https://centrodecapacitaciondelsur.com/violencia-sexual-1234192018/</v>
      </c>
    </row>
    <row r="127" spans="1:4" ht="122.25" customHeight="1" x14ac:dyDescent="0.25">
      <c r="A127" s="25" t="str">
        <f>INSCRITOS!O89</f>
        <v>BLS</v>
      </c>
      <c r="B127" s="8" t="str">
        <f t="shared" si="2"/>
        <v>https://centrodecapacitaciondelsur.com/soporte-basico-de-vida-</v>
      </c>
      <c r="C127" s="10">
        <f>INSCRITOS!B89</f>
        <v>1086107680</v>
      </c>
      <c r="D127" t="str">
        <f t="shared" si="3"/>
        <v>https://centrodecapacitaciondelsur.com/soporte-basico-de-vida-1086107680/</v>
      </c>
    </row>
    <row r="128" spans="1:4" ht="122.25" customHeight="1" x14ac:dyDescent="0.25">
      <c r="A128" s="25" t="str">
        <f>INSCRITOS!O90</f>
        <v>TOMA DE MUESTRAS</v>
      </c>
      <c r="B128" s="8" t="str">
        <f t="shared" si="2"/>
        <v>https://centrodecapacitaciondelsur.com/toma-de-muestras-y-lab-clinico-</v>
      </c>
      <c r="C128" s="10">
        <f>INSCRITOS!B90</f>
        <v>1088736445</v>
      </c>
      <c r="D128" t="str">
        <f t="shared" si="3"/>
        <v>https://centrodecapacitaciondelsur.com/toma-de-muestras-y-lab-clinico-1088736445/</v>
      </c>
    </row>
    <row r="129" spans="1:4" ht="122.25" customHeight="1" x14ac:dyDescent="0.25">
      <c r="A129" s="25" t="str">
        <f>INSCRITOS!O91</f>
        <v>HUMANIZACION</v>
      </c>
      <c r="B129" s="8" t="str">
        <f t="shared" si="2"/>
        <v>https://centrodecapacitaciondelsur.com/humanizacion-</v>
      </c>
      <c r="C129" s="10">
        <f>INSCRITOS!B91</f>
        <v>1085338527</v>
      </c>
      <c r="D129" t="str">
        <f t="shared" si="3"/>
        <v>https://centrodecapacitaciondelsur.com/humanizacion-1085338527/</v>
      </c>
    </row>
    <row r="130" spans="1:4" ht="122.25" customHeight="1" x14ac:dyDescent="0.25">
      <c r="A130" s="25" t="str">
        <f>INSCRITOS!O92</f>
        <v>BLS</v>
      </c>
      <c r="B130" s="8" t="str">
        <f t="shared" si="2"/>
        <v>https://centrodecapacitaciondelsur.com/soporte-basico-de-vida-</v>
      </c>
      <c r="C130" s="10">
        <f>INSCRITOS!B92</f>
        <v>1085336189</v>
      </c>
      <c r="D130" t="str">
        <f t="shared" si="3"/>
        <v>https://centrodecapacitaciondelsur.com/soporte-basico-de-vida-1085336189/</v>
      </c>
    </row>
    <row r="131" spans="1:4" ht="122.25" customHeight="1" x14ac:dyDescent="0.25">
      <c r="A131" s="25" t="str">
        <f>INSCRITOS!O93</f>
        <v>VIOLENCIA SEXUAL</v>
      </c>
      <c r="B131" s="8" t="str">
        <f t="shared" si="2"/>
        <v>https://centrodecapacitaciondelsur.com/violencia-sexual-</v>
      </c>
      <c r="C131" s="10">
        <f>INSCRITOS!B93</f>
        <v>1085253400</v>
      </c>
      <c r="D131" t="str">
        <f t="shared" si="3"/>
        <v>https://centrodecapacitaciondelsur.com/violencia-sexual-1085253400/</v>
      </c>
    </row>
    <row r="132" spans="1:4" ht="122.25" customHeight="1" x14ac:dyDescent="0.25">
      <c r="A132" s="25" t="str">
        <f>INSCRITOS!O94</f>
        <v>BLS</v>
      </c>
      <c r="B132" s="8" t="str">
        <f t="shared" si="2"/>
        <v>https://centrodecapacitaciondelsur.com/soporte-basico-de-vida-</v>
      </c>
      <c r="C132" s="10">
        <f>INSCRITOS!B94</f>
        <v>1085311607</v>
      </c>
      <c r="D132" t="str">
        <f t="shared" si="3"/>
        <v>https://centrodecapacitaciondelsur.com/soporte-basico-de-vida-1085311607/</v>
      </c>
    </row>
    <row r="133" spans="1:4" ht="122.25" customHeight="1" x14ac:dyDescent="0.25">
      <c r="A133" s="25" t="str">
        <f>INSCRITOS!O95</f>
        <v>VIOLENCIA SEXUAL</v>
      </c>
      <c r="B133" s="8" t="str">
        <f t="shared" si="2"/>
        <v>https://centrodecapacitaciondelsur.com/violencia-sexual-</v>
      </c>
      <c r="C133" s="10">
        <f>INSCRITOS!B95</f>
        <v>1088736947</v>
      </c>
      <c r="D133" t="str">
        <f t="shared" si="3"/>
        <v>https://centrodecapacitaciondelsur.com/violencia-sexual-1088736947/</v>
      </c>
    </row>
    <row r="134" spans="1:4" ht="122.25" customHeight="1" x14ac:dyDescent="0.25">
      <c r="A134" s="25" t="str">
        <f>INSCRITOS!O96</f>
        <v>QUIMICOS</v>
      </c>
      <c r="B134" s="8" t="str">
        <f t="shared" si="2"/>
        <v>https://centrodecapacitaciondelsur.com/victimas-por-agentes-quimicos-</v>
      </c>
      <c r="C134" s="10">
        <f>INSCRITOS!B96</f>
        <v>1088736947</v>
      </c>
      <c r="D134" t="str">
        <f t="shared" si="3"/>
        <v>https://centrodecapacitaciondelsur.com/victimas-por-agentes-quimicos-1088736947/</v>
      </c>
    </row>
    <row r="135" spans="1:4" ht="122.25" customHeight="1" x14ac:dyDescent="0.25">
      <c r="A135" s="25" t="str">
        <f>INSCRITOS!O97</f>
        <v>VIOLENCIA SEXUAL</v>
      </c>
      <c r="B135" s="8" t="str">
        <f t="shared" si="2"/>
        <v>https://centrodecapacitaciondelsur.com/violencia-sexual-</v>
      </c>
      <c r="C135" s="10">
        <f>INSCRITOS!B97</f>
        <v>1004216783</v>
      </c>
      <c r="D135" t="str">
        <f t="shared" si="3"/>
        <v>https://centrodecapacitaciondelsur.com/violencia-sexual-1004216783/</v>
      </c>
    </row>
    <row r="136" spans="1:4" ht="122.25" customHeight="1" x14ac:dyDescent="0.25">
      <c r="A136" s="25" t="str">
        <f>INSCRITOS!O98</f>
        <v>DUELO</v>
      </c>
      <c r="B136" s="8" t="str">
        <f t="shared" si="2"/>
        <v>https://centrodecapacitaciondelsur.com/manejo-del-duelo-</v>
      </c>
      <c r="C136" s="10">
        <f>INSCRITOS!B98</f>
        <v>1004216783</v>
      </c>
      <c r="D136" t="str">
        <f t="shared" si="3"/>
        <v>https://centrodecapacitaciondelsur.com/manejo-del-duelo-1004216783/</v>
      </c>
    </row>
    <row r="137" spans="1:4" ht="122.25" customHeight="1" x14ac:dyDescent="0.25">
      <c r="A137" s="25" t="str">
        <f>INSCRITOS!O99</f>
        <v>HUMANIZACION</v>
      </c>
      <c r="B137" s="8" t="str">
        <f t="shared" si="2"/>
        <v>https://centrodecapacitaciondelsur.com/humanizacion-</v>
      </c>
      <c r="C137" s="10">
        <f>INSCRITOS!B99</f>
        <v>1004216783</v>
      </c>
      <c r="D137" t="str">
        <f t="shared" si="3"/>
        <v>https://centrodecapacitaciondelsur.com/humanizacion-1004216783/</v>
      </c>
    </row>
    <row r="138" spans="1:4" ht="122.25" customHeight="1" x14ac:dyDescent="0.25">
      <c r="A138" s="25" t="str">
        <f>INSCRITOS!O100</f>
        <v>CONFLICTO ARMADO</v>
      </c>
      <c r="B138" s="8" t="str">
        <f t="shared" si="2"/>
        <v>https://centrodecapacitaciondelsur.com/atencion-a-victimas-del-conflicto-armado-</v>
      </c>
      <c r="C138" s="10">
        <f>INSCRITOS!B100</f>
        <v>1004216783</v>
      </c>
      <c r="D138" t="str">
        <f t="shared" si="3"/>
        <v>https://centrodecapacitaciondelsur.com/atencion-a-victimas-del-conflicto-armado-1004216783/</v>
      </c>
    </row>
    <row r="139" spans="1:4" ht="122.25" customHeight="1" x14ac:dyDescent="0.25">
      <c r="A139" s="25" t="str">
        <f>INSCRITOS!O101</f>
        <v>VIOLENCIA SEXUAL</v>
      </c>
      <c r="B139" s="8" t="str">
        <f t="shared" si="2"/>
        <v>https://centrodecapacitaciondelsur.com/violencia-sexual-</v>
      </c>
      <c r="C139" s="10">
        <f>INSCRITOS!B101</f>
        <v>4613483</v>
      </c>
      <c r="D139" t="str">
        <f t="shared" si="3"/>
        <v>https://centrodecapacitaciondelsur.com/violencia-sexual-4613483/</v>
      </c>
    </row>
    <row r="140" spans="1:4" ht="122.25" customHeight="1" x14ac:dyDescent="0.25">
      <c r="A140" s="25" t="str">
        <f>INSCRITOS!O102</f>
        <v>DUELO</v>
      </c>
      <c r="B140" s="8" t="str">
        <f t="shared" si="2"/>
        <v>https://centrodecapacitaciondelsur.com/manejo-del-duelo-</v>
      </c>
      <c r="C140" s="10">
        <f>INSCRITOS!B102</f>
        <v>1087113948</v>
      </c>
      <c r="D140" t="str">
        <f t="shared" si="3"/>
        <v>https://centrodecapacitaciondelsur.com/manejo-del-duelo-1087113948/</v>
      </c>
    </row>
    <row r="141" spans="1:4" ht="122.25" customHeight="1" x14ac:dyDescent="0.25">
      <c r="A141" s="25" t="str">
        <f>INSCRITOS!O103</f>
        <v>VIOLENCIA SEXUAL</v>
      </c>
      <c r="B141" s="8" t="str">
        <f t="shared" si="2"/>
        <v>https://centrodecapacitaciondelsur.com/violencia-sexual-</v>
      </c>
      <c r="C141" s="10">
        <f>INSCRITOS!B103</f>
        <v>1087113948</v>
      </c>
      <c r="D141" t="str">
        <f t="shared" si="3"/>
        <v>https://centrodecapacitaciondelsur.com/violencia-sexual-1087113948/</v>
      </c>
    </row>
    <row r="142" spans="1:4" ht="122.25" customHeight="1" x14ac:dyDescent="0.25">
      <c r="A142" s="25" t="str">
        <f>INSCRITOS!O104</f>
        <v>QUIMICOS</v>
      </c>
      <c r="B142" s="8" t="str">
        <f t="shared" si="2"/>
        <v>https://centrodecapacitaciondelsur.com/victimas-por-agentes-quimicos-</v>
      </c>
      <c r="C142" s="10">
        <f>INSCRITOS!B104</f>
        <v>1087113948</v>
      </c>
      <c r="D142" t="str">
        <f t="shared" si="3"/>
        <v>https://centrodecapacitaciondelsur.com/victimas-por-agentes-quimicos-1087113948/</v>
      </c>
    </row>
    <row r="143" spans="1:4" ht="122.25" customHeight="1" x14ac:dyDescent="0.25">
      <c r="A143" s="25" t="str">
        <f>INSCRITOS!O105</f>
        <v>CITOLOGIA</v>
      </c>
      <c r="B143" s="8" t="str">
        <f t="shared" si="2"/>
        <v>https://centrodecapacitaciondelsur.com/toma-de-citologia-</v>
      </c>
      <c r="C143" s="10">
        <f>INSCRITOS!B105</f>
        <v>1087113948</v>
      </c>
      <c r="D143" t="str">
        <f t="shared" si="3"/>
        <v>https://centrodecapacitaciondelsur.com/toma-de-citologia-1087113948/</v>
      </c>
    </row>
    <row r="144" spans="1:4" ht="122.25" customHeight="1" x14ac:dyDescent="0.25">
      <c r="A144" s="25" t="str">
        <f>INSCRITOS!O106</f>
        <v>BLS</v>
      </c>
      <c r="B144" s="8" t="str">
        <f t="shared" si="2"/>
        <v>https://centrodecapacitaciondelsur.com/soporte-basico-de-vida-</v>
      </c>
      <c r="C144" s="10">
        <f>INSCRITOS!B106</f>
        <v>1087113948</v>
      </c>
      <c r="D144" t="str">
        <f t="shared" si="3"/>
        <v>https://centrodecapacitaciondelsur.com/soporte-basico-de-vida-1087113948/</v>
      </c>
    </row>
    <row r="145" spans="1:4" ht="122.25" customHeight="1" x14ac:dyDescent="0.25">
      <c r="A145" s="25" t="str">
        <f>INSCRITOS!O107</f>
        <v>VIOLENCIA SEXUAL</v>
      </c>
      <c r="B145" s="8" t="str">
        <f t="shared" si="2"/>
        <v>https://centrodecapacitaciondelsur.com/violencia-sexual-</v>
      </c>
      <c r="C145" s="10">
        <f>INSCRITOS!B107</f>
        <v>1085304694</v>
      </c>
      <c r="D145" t="str">
        <f t="shared" si="3"/>
        <v>https://centrodecapacitaciondelsur.com/violencia-sexual-1085304694/</v>
      </c>
    </row>
    <row r="146" spans="1:4" ht="122.25" customHeight="1" x14ac:dyDescent="0.25">
      <c r="A146" s="25" t="str">
        <f>INSCRITOS!O108</f>
        <v>ACLS</v>
      </c>
      <c r="B146" s="8" t="str">
        <f t="shared" si="2"/>
        <v>https://centrodecapacitaciondelsur.com/soporte-cardiovascular-avanzado-</v>
      </c>
      <c r="C146" s="10">
        <f>INSCRITOS!B108</f>
        <v>1085339117</v>
      </c>
      <c r="D146" t="str">
        <f t="shared" si="3"/>
        <v>https://centrodecapacitaciondelsur.com/soporte-cardiovascular-avanzado-1085339117/</v>
      </c>
    </row>
    <row r="147" spans="1:4" ht="122.25" customHeight="1" x14ac:dyDescent="0.25">
      <c r="A147" s="25">
        <f>INSCRITOS!O109</f>
        <v>0</v>
      </c>
      <c r="B147" s="8" t="b">
        <f t="shared" si="2"/>
        <v>0</v>
      </c>
      <c r="C147" s="10">
        <f>[1]INSCRITOS!B2</f>
        <v>1089485138</v>
      </c>
      <c r="D147" t="str">
        <f t="shared" si="3"/>
        <v>FALSO1089485138/</v>
      </c>
    </row>
    <row r="148" spans="1:4" ht="122.25" customHeight="1" x14ac:dyDescent="0.25">
      <c r="A148" s="25">
        <f>INSCRITOS!O110</f>
        <v>0</v>
      </c>
      <c r="B148" s="8" t="b">
        <f t="shared" si="2"/>
        <v>0</v>
      </c>
      <c r="C148" s="10">
        <f>INSCRITOS!B110</f>
        <v>0</v>
      </c>
      <c r="D148" t="str">
        <f t="shared" si="3"/>
        <v>FALSO0/</v>
      </c>
    </row>
    <row r="149" spans="1:4" ht="122.25" customHeight="1" x14ac:dyDescent="0.25">
      <c r="A149" s="25">
        <f>INSCRITOS!O111</f>
        <v>0</v>
      </c>
      <c r="B149" s="8" t="b">
        <f t="shared" si="2"/>
        <v>0</v>
      </c>
      <c r="C149" s="10">
        <f>INSCRITOS!B111</f>
        <v>0</v>
      </c>
      <c r="D149" t="str">
        <f t="shared" si="3"/>
        <v>FALSO0/</v>
      </c>
    </row>
    <row r="150" spans="1:4" ht="122.25" customHeight="1" x14ac:dyDescent="0.25">
      <c r="A150" s="25">
        <f>INSCRITOS!O112</f>
        <v>0</v>
      </c>
      <c r="B150" s="8" t="b">
        <f t="shared" si="2"/>
        <v>0</v>
      </c>
      <c r="C150" s="10">
        <f>INSCRITOS!B112</f>
        <v>0</v>
      </c>
      <c r="D150" t="str">
        <f t="shared" si="3"/>
        <v>FALSO0/</v>
      </c>
    </row>
    <row r="151" spans="1:4" ht="122.25" customHeight="1" x14ac:dyDescent="0.25">
      <c r="A151" s="25">
        <f>INSCRITOS!O113</f>
        <v>0</v>
      </c>
      <c r="B151" s="8" t="b">
        <f t="shared" si="2"/>
        <v>0</v>
      </c>
      <c r="C151" s="10">
        <f>INSCRITOS!B113</f>
        <v>0</v>
      </c>
      <c r="D151" t="str">
        <f t="shared" si="3"/>
        <v>FALSO0/</v>
      </c>
    </row>
    <row r="152" spans="1:4" ht="122.25" customHeight="1" x14ac:dyDescent="0.25">
      <c r="A152" s="25">
        <f>INSCRITOS!O114</f>
        <v>0</v>
      </c>
      <c r="B152" s="8" t="b">
        <f t="shared" si="2"/>
        <v>0</v>
      </c>
      <c r="C152" s="10">
        <f>INSCRITOS!B114</f>
        <v>0</v>
      </c>
      <c r="D152" t="str">
        <f t="shared" si="3"/>
        <v>FALSO0/</v>
      </c>
    </row>
    <row r="153" spans="1:4" ht="122.25" customHeight="1" x14ac:dyDescent="0.25">
      <c r="A153" s="25">
        <f>INSCRITOS!O115</f>
        <v>0</v>
      </c>
      <c r="B153" s="8" t="b">
        <f t="shared" si="2"/>
        <v>0</v>
      </c>
      <c r="C153" s="10">
        <f>INSCRITOS!B115</f>
        <v>0</v>
      </c>
      <c r="D153" t="str">
        <f t="shared" si="3"/>
        <v>FALSO0/</v>
      </c>
    </row>
    <row r="154" spans="1:4" ht="122.25" customHeight="1" x14ac:dyDescent="0.25">
      <c r="A154" s="25">
        <f>INSCRITOS!O116</f>
        <v>0</v>
      </c>
      <c r="B154" s="8" t="b">
        <f t="shared" si="2"/>
        <v>0</v>
      </c>
      <c r="C154" s="10">
        <f>INSCRITOS!B116</f>
        <v>0</v>
      </c>
      <c r="D154" t="str">
        <f t="shared" si="3"/>
        <v>FALSO0/</v>
      </c>
    </row>
    <row r="155" spans="1:4" ht="122.25" customHeight="1" x14ac:dyDescent="0.25">
      <c r="A155" s="25">
        <f>INSCRITOS!O117</f>
        <v>0</v>
      </c>
      <c r="B155" s="8" t="b">
        <f t="shared" si="2"/>
        <v>0</v>
      </c>
      <c r="C155" s="10">
        <f>INSCRITOS!B117</f>
        <v>0</v>
      </c>
      <c r="D155" t="str">
        <f t="shared" si="3"/>
        <v>FALSO0/</v>
      </c>
    </row>
    <row r="156" spans="1:4" ht="122.25" customHeight="1" x14ac:dyDescent="0.25">
      <c r="A156" s="25">
        <f>INSCRITOS!O118</f>
        <v>0</v>
      </c>
      <c r="B156" s="8" t="b">
        <f t="shared" si="2"/>
        <v>0</v>
      </c>
      <c r="C156" s="10">
        <f>INSCRITOS!B118</f>
        <v>0</v>
      </c>
      <c r="D156" t="str">
        <f t="shared" si="3"/>
        <v>FALSO0/</v>
      </c>
    </row>
    <row r="157" spans="1:4" ht="122.25" customHeight="1" x14ac:dyDescent="0.25">
      <c r="A157" s="25">
        <f>INSCRITOS!O119</f>
        <v>0</v>
      </c>
      <c r="B157" s="8" t="b">
        <f t="shared" si="2"/>
        <v>0</v>
      </c>
      <c r="C157" s="10">
        <f>INSCRITOS!B119</f>
        <v>0</v>
      </c>
      <c r="D157" t="str">
        <f t="shared" si="3"/>
        <v>FALSO0/</v>
      </c>
    </row>
    <row r="158" spans="1:4" ht="122.25" customHeight="1" x14ac:dyDescent="0.25">
      <c r="A158" s="25">
        <f>INSCRITOS!O120</f>
        <v>0</v>
      </c>
      <c r="B158" s="8" t="b">
        <f t="shared" si="2"/>
        <v>0</v>
      </c>
      <c r="C158" s="10">
        <f>INSCRITOS!B120</f>
        <v>0</v>
      </c>
      <c r="D158" t="str">
        <f t="shared" si="3"/>
        <v>FALSO0/</v>
      </c>
    </row>
    <row r="159" spans="1:4" ht="122.25" customHeight="1" x14ac:dyDescent="0.25">
      <c r="A159" s="25">
        <f>INSCRITOS!O121</f>
        <v>0</v>
      </c>
      <c r="B159" s="8" t="b">
        <f t="shared" si="2"/>
        <v>0</v>
      </c>
      <c r="C159" s="10">
        <f>INSCRITOS!B121</f>
        <v>0</v>
      </c>
      <c r="D159" t="str">
        <f t="shared" si="3"/>
        <v>FALSO0/</v>
      </c>
    </row>
    <row r="160" spans="1:4" ht="122.25" customHeight="1" x14ac:dyDescent="0.25">
      <c r="A160" s="25">
        <f>INSCRITOS!O122</f>
        <v>0</v>
      </c>
      <c r="B160" s="8" t="b">
        <f t="shared" si="2"/>
        <v>0</v>
      </c>
      <c r="C160" s="10">
        <f>INSCRITOS!B122</f>
        <v>0</v>
      </c>
      <c r="D160" t="str">
        <f t="shared" si="3"/>
        <v>FALSO0/</v>
      </c>
    </row>
    <row r="161" spans="1:4" ht="122.25" customHeight="1" x14ac:dyDescent="0.25">
      <c r="A161" s="25">
        <f>INSCRITOS!O123</f>
        <v>0</v>
      </c>
      <c r="B161" s="8" t="b">
        <f t="shared" si="2"/>
        <v>0</v>
      </c>
      <c r="C161" s="10">
        <f>INSCRITOS!B123</f>
        <v>0</v>
      </c>
      <c r="D161" t="str">
        <f t="shared" si="3"/>
        <v>FALSO0/</v>
      </c>
    </row>
    <row r="162" spans="1:4" ht="122.25" customHeight="1" x14ac:dyDescent="0.25">
      <c r="A162" s="25">
        <f>INSCRITOS!O124</f>
        <v>0</v>
      </c>
      <c r="B162" s="8" t="b">
        <f t="shared" si="2"/>
        <v>0</v>
      </c>
      <c r="C162" s="10">
        <f>INSCRITOS!B124</f>
        <v>0</v>
      </c>
      <c r="D162" t="str">
        <f t="shared" si="3"/>
        <v>FALSO0/</v>
      </c>
    </row>
    <row r="163" spans="1:4" ht="122.25" customHeight="1" x14ac:dyDescent="0.25">
      <c r="A163" s="25">
        <f>INSCRITOS!O125</f>
        <v>0</v>
      </c>
      <c r="B163" s="8" t="b">
        <f t="shared" si="2"/>
        <v>0</v>
      </c>
      <c r="C163" s="10">
        <f>INSCRITOS!B125</f>
        <v>0</v>
      </c>
      <c r="D163" t="str">
        <f t="shared" si="3"/>
        <v>FALSO0/</v>
      </c>
    </row>
    <row r="164" spans="1:4" ht="122.25" customHeight="1" x14ac:dyDescent="0.25">
      <c r="A164" s="25">
        <f>INSCRITOS!O126</f>
        <v>0</v>
      </c>
      <c r="B164" s="8" t="b">
        <f t="shared" si="2"/>
        <v>0</v>
      </c>
      <c r="C164" s="10">
        <f>INSCRITOS!B126</f>
        <v>0</v>
      </c>
      <c r="D164" t="str">
        <f t="shared" si="3"/>
        <v>FALSO0/</v>
      </c>
    </row>
    <row r="165" spans="1:4" ht="122.25" customHeight="1" x14ac:dyDescent="0.25">
      <c r="A165" s="25">
        <f>INSCRITOS!O127</f>
        <v>0</v>
      </c>
      <c r="B165" s="8" t="b">
        <f t="shared" si="2"/>
        <v>0</v>
      </c>
      <c r="C165" s="10">
        <f>INSCRITOS!B127</f>
        <v>0</v>
      </c>
      <c r="D165" t="str">
        <f t="shared" si="3"/>
        <v>FALSO0/</v>
      </c>
    </row>
    <row r="166" spans="1:4" ht="122.25" customHeight="1" x14ac:dyDescent="0.25">
      <c r="A166" s="25">
        <f>INSCRITOS!O128</f>
        <v>0</v>
      </c>
      <c r="B166" s="8" t="b">
        <f t="shared" si="2"/>
        <v>0</v>
      </c>
      <c r="C166" s="10">
        <f>INSCRITOS!B128</f>
        <v>0</v>
      </c>
      <c r="D166" t="str">
        <f t="shared" si="3"/>
        <v>FALSO0/</v>
      </c>
    </row>
    <row r="167" spans="1:4" ht="122.25" customHeight="1" x14ac:dyDescent="0.25">
      <c r="A167" s="25">
        <f>INSCRITOS!O129</f>
        <v>0</v>
      </c>
      <c r="B167" s="8" t="b">
        <f t="shared" si="2"/>
        <v>0</v>
      </c>
      <c r="C167" s="10">
        <f>INSCRITOS!B129</f>
        <v>0</v>
      </c>
      <c r="D167" t="str">
        <f t="shared" si="3"/>
        <v>FALSO0/</v>
      </c>
    </row>
    <row r="168" spans="1:4" ht="122.25" customHeight="1" x14ac:dyDescent="0.25">
      <c r="A168" s="25">
        <f>INSCRITOS!O130</f>
        <v>0</v>
      </c>
      <c r="B168" s="8" t="b">
        <f t="shared" ref="B168:B231" si="4">IF(A168=$H$19,"https://centrodecapacitaciondelsur.com/o-v-e-",IF(A168=$H$2,"https://centrodecapacitaciondelsur.com/aph-",IF(A168=$H$3,"https://centrodecapacitaciondelsur.com/manejo-del-duelo-",IF(A168=$H$4,"https://centrodecapacitaciondelsur.com/victimas-por-agentes-quimicos-",IF(A168=$H$5,"https://centrodecapacitaciondelsur.com/primeros-auxilios-",IF(A168=$H$6,"https://centrodecapacitaciondelsur.com/uci-",IF(A168=$H$8,"https://centrodecapacitaciondelsur.com/humanizacion-",IF(A168=$H$11,"https://centrodecapacitaciondelsur.com/soporte-cardiovascular-avanzado-",IF(A168=$H$12,"https://centrodecapacitaciondelsur.com/camillero-",IF(A168=$H$13,"https://centrodecapacitaciondelsur.com/toma-de-muestras-y-lab-clinico-",IF(A168=$H$14,"https://centrodecapacitaciondelsur.com/soporte-basico-de-vida-",IF(A168=$H$15,"https://centrodecapacitaciondelsur.com/violencia-sexual-",IF(A168=$H$17,"https://centrodecapacitaciondelsur.com/aiepi-",IF(A168=$H$18,"https://centrodecapacitaciondelsur.com/adm-medicamentos-canalizacion-inyectologia-",IF(A168=$H$25,"https://centrodecapacitaciondelsur.com/manejo-del-dolor-y-cuidados-paliativos-",IF(A168=$H$26,"https://centrodecapacitaciondelsur.com/toma-de-muestras-y-lab-clinico-poct-",IF(A168=$H$27,"https://centrodecapacitaciondelsur.com/implante-subdermico-",IF(A168=$H$21,"https://centrodecapacitaciondelsur.com/donante-de-organos-",IF(A168=$H$30,"https://centrodecapacitaciondelsur.com/atencion-a-victimas-del-conflicto-armado-",IF(A168=$H$20,"https://centrodecapacitaciondelsur.com/iami-",IF(A168=$H$22,"https://centrodecapacitaciondelsur.com/violencia-de-genero-",IF(A168=$H$23,"https://centrodecapacitaciondelsur.com/igualdad-de-genero-",IF(A168=$H$16,"https://centrodecapacitaciondelsur.com/pai-",IF(A168=$H$31,"https://centrodecapacitaciondelsur.com/manipulacion-de-alimentos-",IF(A168=$H$32,"https://centrodecapacitaciondelsur.com/atencion-a-personas-con-discapacidad-",IF(A168=$H$33,"https://centrodecapacitaciondelsur.com/atencion-al-adulto-mayor-",IF(A168=$H$34,"https://centrodecapacitaciondelsur.com/manejo-defensivo-",IF(A168=$H$35,"https://centrodecapacitaciondelsur.com/soporte-basico-neonatal-",IF(A168=$H$36,"https://centrodecapacitaciondelsur.com/seguridad-del-paciente-",IF(A168=$H$37,"https://centrodecapacitaciondelsur.com/manejo-de-residuos-hospitalarios-",IF(A168=$H$10,"https://centrodecapacitaciondelsur.com/toma-de-citologia-")))))))))))))))))))))))))))))))</f>
        <v>0</v>
      </c>
      <c r="C168" s="10">
        <f>INSCRITOS!B130</f>
        <v>0</v>
      </c>
      <c r="D168" t="str">
        <f t="shared" ref="D168:D231" si="5">CONCATENATE(B168,C168,"/")</f>
        <v>FALSO0/</v>
      </c>
    </row>
    <row r="169" spans="1:4" ht="122.25" customHeight="1" x14ac:dyDescent="0.25">
      <c r="A169" s="25">
        <f>INSCRITOS!O131</f>
        <v>0</v>
      </c>
      <c r="B169" s="8" t="b">
        <f t="shared" si="4"/>
        <v>0</v>
      </c>
      <c r="C169" s="10">
        <f>INSCRITOS!B131</f>
        <v>0</v>
      </c>
      <c r="D169" t="str">
        <f t="shared" si="5"/>
        <v>FALSO0/</v>
      </c>
    </row>
    <row r="170" spans="1:4" ht="122.25" customHeight="1" x14ac:dyDescent="0.25">
      <c r="A170" s="25">
        <f>INSCRITOS!O132</f>
        <v>0</v>
      </c>
      <c r="B170" s="8" t="b">
        <f t="shared" si="4"/>
        <v>0</v>
      </c>
      <c r="C170" s="10">
        <f>INSCRITOS!B132</f>
        <v>0</v>
      </c>
      <c r="D170" t="str">
        <f t="shared" si="5"/>
        <v>FALSO0/</v>
      </c>
    </row>
    <row r="171" spans="1:4" ht="122.25" customHeight="1" x14ac:dyDescent="0.25">
      <c r="A171" s="25">
        <f>INSCRITOS!O133</f>
        <v>0</v>
      </c>
      <c r="B171" s="8" t="b">
        <f t="shared" si="4"/>
        <v>0</v>
      </c>
      <c r="C171" s="10">
        <f>INSCRITOS!B133</f>
        <v>0</v>
      </c>
      <c r="D171" t="str">
        <f t="shared" si="5"/>
        <v>FALSO0/</v>
      </c>
    </row>
    <row r="172" spans="1:4" ht="122.25" customHeight="1" x14ac:dyDescent="0.25">
      <c r="A172" s="25">
        <f>INSCRITOS!O134</f>
        <v>0</v>
      </c>
      <c r="B172" s="8" t="b">
        <f t="shared" si="4"/>
        <v>0</v>
      </c>
      <c r="C172" s="10">
        <f>INSCRITOS!B134</f>
        <v>0</v>
      </c>
      <c r="D172" t="str">
        <f t="shared" si="5"/>
        <v>FALSO0/</v>
      </c>
    </row>
    <row r="173" spans="1:4" ht="122.25" customHeight="1" x14ac:dyDescent="0.25">
      <c r="A173" s="25">
        <f>INSCRITOS!O135</f>
        <v>0</v>
      </c>
      <c r="B173" s="8" t="b">
        <f t="shared" si="4"/>
        <v>0</v>
      </c>
      <c r="C173" s="10">
        <f>INSCRITOS!B135</f>
        <v>0</v>
      </c>
      <c r="D173" t="str">
        <f t="shared" si="5"/>
        <v>FALSO0/</v>
      </c>
    </row>
    <row r="174" spans="1:4" ht="122.25" customHeight="1" x14ac:dyDescent="0.25">
      <c r="A174" s="25">
        <f>INSCRITOS!O136</f>
        <v>0</v>
      </c>
      <c r="B174" s="8" t="b">
        <f t="shared" si="4"/>
        <v>0</v>
      </c>
      <c r="C174" s="10">
        <f>INSCRITOS!B136</f>
        <v>0</v>
      </c>
      <c r="D174" t="str">
        <f t="shared" si="5"/>
        <v>FALSO0/</v>
      </c>
    </row>
    <row r="175" spans="1:4" ht="122.25" customHeight="1" x14ac:dyDescent="0.25">
      <c r="A175" s="25">
        <f>INSCRITOS!O137</f>
        <v>0</v>
      </c>
      <c r="B175" s="8" t="b">
        <f t="shared" si="4"/>
        <v>0</v>
      </c>
      <c r="C175" s="10">
        <f>INSCRITOS!B137</f>
        <v>0</v>
      </c>
      <c r="D175" t="str">
        <f t="shared" si="5"/>
        <v>FALSO0/</v>
      </c>
    </row>
    <row r="176" spans="1:4" ht="122.25" customHeight="1" x14ac:dyDescent="0.25">
      <c r="A176" s="25">
        <f>INSCRITOS!O138</f>
        <v>0</v>
      </c>
      <c r="B176" s="8" t="b">
        <f t="shared" si="4"/>
        <v>0</v>
      </c>
      <c r="C176" s="10">
        <f>INSCRITOS!B138</f>
        <v>0</v>
      </c>
      <c r="D176" t="str">
        <f t="shared" si="5"/>
        <v>FALSO0/</v>
      </c>
    </row>
    <row r="177" spans="1:4" ht="122.25" customHeight="1" x14ac:dyDescent="0.25">
      <c r="A177" s="25">
        <f>INSCRITOS!O139</f>
        <v>0</v>
      </c>
      <c r="B177" s="8" t="b">
        <f t="shared" si="4"/>
        <v>0</v>
      </c>
      <c r="C177" s="10">
        <f>INSCRITOS!B139</f>
        <v>0</v>
      </c>
      <c r="D177" t="str">
        <f t="shared" si="5"/>
        <v>FALSO0/</v>
      </c>
    </row>
    <row r="178" spans="1:4" ht="122.25" customHeight="1" x14ac:dyDescent="0.25">
      <c r="A178" s="25">
        <f>INSCRITOS!O140</f>
        <v>0</v>
      </c>
      <c r="B178" s="8" t="b">
        <f t="shared" si="4"/>
        <v>0</v>
      </c>
      <c r="C178" s="10">
        <f>INSCRITOS!B140</f>
        <v>0</v>
      </c>
      <c r="D178" t="str">
        <f t="shared" si="5"/>
        <v>FALSO0/</v>
      </c>
    </row>
    <row r="179" spans="1:4" ht="122.25" customHeight="1" x14ac:dyDescent="0.25">
      <c r="A179" s="25">
        <f>INSCRITOS!O141</f>
        <v>0</v>
      </c>
      <c r="B179" s="8" t="b">
        <f t="shared" si="4"/>
        <v>0</v>
      </c>
      <c r="C179" s="10">
        <f>INSCRITOS!B141</f>
        <v>0</v>
      </c>
      <c r="D179" t="str">
        <f t="shared" si="5"/>
        <v>FALSO0/</v>
      </c>
    </row>
    <row r="180" spans="1:4" ht="122.25" customHeight="1" x14ac:dyDescent="0.25">
      <c r="A180" s="25">
        <f>INSCRITOS!O142</f>
        <v>0</v>
      </c>
      <c r="B180" s="8" t="b">
        <f t="shared" si="4"/>
        <v>0</v>
      </c>
      <c r="C180" s="10">
        <f>INSCRITOS!B142</f>
        <v>0</v>
      </c>
      <c r="D180" t="str">
        <f t="shared" si="5"/>
        <v>FALSO0/</v>
      </c>
    </row>
    <row r="181" spans="1:4" ht="122.25" customHeight="1" x14ac:dyDescent="0.25">
      <c r="A181" s="25">
        <f>INSCRITOS!O143</f>
        <v>0</v>
      </c>
      <c r="B181" s="8" t="b">
        <f t="shared" si="4"/>
        <v>0</v>
      </c>
      <c r="C181" s="10">
        <f>INSCRITOS!B143</f>
        <v>0</v>
      </c>
      <c r="D181" t="str">
        <f t="shared" si="5"/>
        <v>FALSO0/</v>
      </c>
    </row>
    <row r="182" spans="1:4" ht="122.25" customHeight="1" x14ac:dyDescent="0.25">
      <c r="A182" s="25">
        <f>INSCRITOS!O144</f>
        <v>0</v>
      </c>
      <c r="B182" s="8" t="b">
        <f t="shared" si="4"/>
        <v>0</v>
      </c>
      <c r="C182" s="10">
        <f>INSCRITOS!B144</f>
        <v>0</v>
      </c>
      <c r="D182" t="str">
        <f t="shared" si="5"/>
        <v>FALSO0/</v>
      </c>
    </row>
    <row r="183" spans="1:4" ht="122.25" customHeight="1" x14ac:dyDescent="0.25">
      <c r="A183" s="25">
        <f>INSCRITOS!O145</f>
        <v>0</v>
      </c>
      <c r="B183" s="8" t="b">
        <f t="shared" si="4"/>
        <v>0</v>
      </c>
      <c r="C183" s="10">
        <f>INSCRITOS!B145</f>
        <v>0</v>
      </c>
      <c r="D183" t="str">
        <f t="shared" si="5"/>
        <v>FALSO0/</v>
      </c>
    </row>
    <row r="184" spans="1:4" ht="122.25" customHeight="1" x14ac:dyDescent="0.25">
      <c r="A184" s="25">
        <f>INSCRITOS!O146</f>
        <v>0</v>
      </c>
      <c r="B184" s="8" t="b">
        <f t="shared" si="4"/>
        <v>0</v>
      </c>
      <c r="C184" s="10">
        <f>INSCRITOS!B146</f>
        <v>0</v>
      </c>
      <c r="D184" t="str">
        <f t="shared" si="5"/>
        <v>FALSO0/</v>
      </c>
    </row>
    <row r="185" spans="1:4" ht="122.25" customHeight="1" x14ac:dyDescent="0.25">
      <c r="A185" s="25">
        <f>INSCRITOS!O147</f>
        <v>0</v>
      </c>
      <c r="B185" s="8" t="b">
        <f t="shared" si="4"/>
        <v>0</v>
      </c>
      <c r="C185" s="10">
        <f>INSCRITOS!B147</f>
        <v>0</v>
      </c>
      <c r="D185" t="str">
        <f t="shared" si="5"/>
        <v>FALSO0/</v>
      </c>
    </row>
    <row r="186" spans="1:4" ht="122.25" customHeight="1" x14ac:dyDescent="0.25">
      <c r="A186" s="25">
        <f>INSCRITOS!O148</f>
        <v>0</v>
      </c>
      <c r="B186" s="8" t="b">
        <f t="shared" si="4"/>
        <v>0</v>
      </c>
      <c r="C186" s="10">
        <f>INSCRITOS!B148</f>
        <v>0</v>
      </c>
      <c r="D186" t="str">
        <f t="shared" si="5"/>
        <v>FALSO0/</v>
      </c>
    </row>
    <row r="187" spans="1:4" ht="122.25" customHeight="1" x14ac:dyDescent="0.25">
      <c r="A187" s="25">
        <f>INSCRITOS!O149</f>
        <v>0</v>
      </c>
      <c r="B187" s="8" t="b">
        <f t="shared" si="4"/>
        <v>0</v>
      </c>
      <c r="C187" s="10">
        <f>INSCRITOS!B149</f>
        <v>0</v>
      </c>
      <c r="D187" t="str">
        <f t="shared" si="5"/>
        <v>FALSO0/</v>
      </c>
    </row>
    <row r="188" spans="1:4" ht="122.25" customHeight="1" x14ac:dyDescent="0.25">
      <c r="A188" s="25">
        <f>INSCRITOS!O150</f>
        <v>0</v>
      </c>
      <c r="B188" s="8" t="b">
        <f t="shared" si="4"/>
        <v>0</v>
      </c>
      <c r="C188" s="10">
        <f>INSCRITOS!B150</f>
        <v>0</v>
      </c>
      <c r="D188" t="str">
        <f t="shared" si="5"/>
        <v>FALSO0/</v>
      </c>
    </row>
    <row r="189" spans="1:4" ht="122.25" customHeight="1" x14ac:dyDescent="0.25">
      <c r="A189" s="25">
        <f>INSCRITOS!O151</f>
        <v>0</v>
      </c>
      <c r="B189" s="8" t="b">
        <f t="shared" si="4"/>
        <v>0</v>
      </c>
      <c r="C189" s="10">
        <f>INSCRITOS!B151</f>
        <v>0</v>
      </c>
      <c r="D189" t="str">
        <f t="shared" si="5"/>
        <v>FALSO0/</v>
      </c>
    </row>
    <row r="190" spans="1:4" ht="122.25" customHeight="1" x14ac:dyDescent="0.25">
      <c r="A190" s="25">
        <f>INSCRITOS!O152</f>
        <v>0</v>
      </c>
      <c r="B190" s="8" t="b">
        <f t="shared" si="4"/>
        <v>0</v>
      </c>
      <c r="C190" s="10">
        <f>INSCRITOS!B152</f>
        <v>0</v>
      </c>
      <c r="D190" t="str">
        <f t="shared" si="5"/>
        <v>FALSO0/</v>
      </c>
    </row>
    <row r="191" spans="1:4" ht="122.25" customHeight="1" x14ac:dyDescent="0.25">
      <c r="A191" s="25">
        <f>INSCRITOS!O153</f>
        <v>0</v>
      </c>
      <c r="B191" s="8" t="b">
        <f t="shared" si="4"/>
        <v>0</v>
      </c>
      <c r="C191" s="10">
        <f>INSCRITOS!B153</f>
        <v>0</v>
      </c>
      <c r="D191" t="str">
        <f t="shared" si="5"/>
        <v>FALSO0/</v>
      </c>
    </row>
    <row r="192" spans="1:4" ht="122.25" customHeight="1" x14ac:dyDescent="0.25">
      <c r="A192" s="25">
        <f>INSCRITOS!O154</f>
        <v>0</v>
      </c>
      <c r="B192" s="8" t="b">
        <f t="shared" si="4"/>
        <v>0</v>
      </c>
      <c r="C192" s="10">
        <f>INSCRITOS!B154</f>
        <v>0</v>
      </c>
      <c r="D192" t="str">
        <f t="shared" si="5"/>
        <v>FALSO0/</v>
      </c>
    </row>
    <row r="193" spans="1:4" ht="122.25" customHeight="1" x14ac:dyDescent="0.25">
      <c r="A193" s="25">
        <f>INSCRITOS!O155</f>
        <v>0</v>
      </c>
      <c r="B193" s="8" t="b">
        <f t="shared" si="4"/>
        <v>0</v>
      </c>
      <c r="C193" s="10">
        <f>INSCRITOS!B155</f>
        <v>0</v>
      </c>
      <c r="D193" t="str">
        <f t="shared" si="5"/>
        <v>FALSO0/</v>
      </c>
    </row>
    <row r="194" spans="1:4" ht="122.25" customHeight="1" x14ac:dyDescent="0.25">
      <c r="A194" s="25">
        <f>INSCRITOS!O156</f>
        <v>0</v>
      </c>
      <c r="B194" s="8" t="b">
        <f t="shared" si="4"/>
        <v>0</v>
      </c>
      <c r="C194" s="10">
        <f>INSCRITOS!B156</f>
        <v>0</v>
      </c>
      <c r="D194" t="str">
        <f t="shared" si="5"/>
        <v>FALSO0/</v>
      </c>
    </row>
    <row r="195" spans="1:4" ht="122.25" customHeight="1" x14ac:dyDescent="0.25">
      <c r="A195" s="25">
        <f>INSCRITOS!O157</f>
        <v>0</v>
      </c>
      <c r="B195" s="8" t="b">
        <f t="shared" si="4"/>
        <v>0</v>
      </c>
      <c r="C195" s="10">
        <f>INSCRITOS!B157</f>
        <v>0</v>
      </c>
      <c r="D195" t="str">
        <f t="shared" si="5"/>
        <v>FALSO0/</v>
      </c>
    </row>
    <row r="196" spans="1:4" ht="122.25" customHeight="1" x14ac:dyDescent="0.25">
      <c r="A196" s="25">
        <f>INSCRITOS!O158</f>
        <v>0</v>
      </c>
      <c r="B196" s="8" t="b">
        <f t="shared" si="4"/>
        <v>0</v>
      </c>
      <c r="C196" s="10">
        <f>INSCRITOS!B158</f>
        <v>0</v>
      </c>
      <c r="D196" t="str">
        <f t="shared" si="5"/>
        <v>FALSO0/</v>
      </c>
    </row>
    <row r="197" spans="1:4" ht="122.25" customHeight="1" x14ac:dyDescent="0.25">
      <c r="A197" s="25">
        <f>INSCRITOS!O159</f>
        <v>0</v>
      </c>
      <c r="B197" s="8" t="b">
        <f t="shared" si="4"/>
        <v>0</v>
      </c>
      <c r="C197" s="10">
        <f>INSCRITOS!B159</f>
        <v>0</v>
      </c>
      <c r="D197" t="str">
        <f t="shared" si="5"/>
        <v>FALSO0/</v>
      </c>
    </row>
    <row r="198" spans="1:4" ht="122.25" customHeight="1" x14ac:dyDescent="0.25">
      <c r="A198" s="25">
        <f>INSCRITOS!O160</f>
        <v>0</v>
      </c>
      <c r="B198" s="8" t="b">
        <f t="shared" si="4"/>
        <v>0</v>
      </c>
      <c r="C198" s="10">
        <f>INSCRITOS!B160</f>
        <v>0</v>
      </c>
      <c r="D198" t="str">
        <f t="shared" si="5"/>
        <v>FALSO0/</v>
      </c>
    </row>
    <row r="199" spans="1:4" ht="122.25" customHeight="1" x14ac:dyDescent="0.25">
      <c r="A199" s="25">
        <f>INSCRITOS!O161</f>
        <v>0</v>
      </c>
      <c r="B199" s="8" t="b">
        <f t="shared" si="4"/>
        <v>0</v>
      </c>
      <c r="C199" s="10">
        <f>INSCRITOS!B161</f>
        <v>0</v>
      </c>
      <c r="D199" t="str">
        <f t="shared" si="5"/>
        <v>FALSO0/</v>
      </c>
    </row>
    <row r="200" spans="1:4" ht="122.25" customHeight="1" x14ac:dyDescent="0.25">
      <c r="A200" s="25">
        <f>INSCRITOS!O162</f>
        <v>0</v>
      </c>
      <c r="B200" s="8" t="b">
        <f t="shared" si="4"/>
        <v>0</v>
      </c>
      <c r="C200" s="10">
        <f>INSCRITOS!B162</f>
        <v>0</v>
      </c>
      <c r="D200" t="str">
        <f t="shared" si="5"/>
        <v>FALSO0/</v>
      </c>
    </row>
    <row r="201" spans="1:4" ht="122.25" customHeight="1" x14ac:dyDescent="0.25">
      <c r="A201" s="25">
        <f>INSCRITOS!O163</f>
        <v>0</v>
      </c>
      <c r="B201" s="8" t="b">
        <f t="shared" si="4"/>
        <v>0</v>
      </c>
      <c r="C201" s="10">
        <f>INSCRITOS!B163</f>
        <v>0</v>
      </c>
      <c r="D201" t="str">
        <f t="shared" si="5"/>
        <v>FALSO0/</v>
      </c>
    </row>
    <row r="202" spans="1:4" ht="122.25" customHeight="1" x14ac:dyDescent="0.25">
      <c r="A202" s="25">
        <f>INSCRITOS!O164</f>
        <v>0</v>
      </c>
      <c r="B202" s="8" t="b">
        <f t="shared" si="4"/>
        <v>0</v>
      </c>
      <c r="C202" s="10">
        <f>INSCRITOS!B164</f>
        <v>0</v>
      </c>
      <c r="D202" t="str">
        <f t="shared" si="5"/>
        <v>FALSO0/</v>
      </c>
    </row>
    <row r="203" spans="1:4" ht="122.25" customHeight="1" x14ac:dyDescent="0.25">
      <c r="A203" s="25">
        <f>INSCRITOS!O165</f>
        <v>0</v>
      </c>
      <c r="B203" s="8" t="b">
        <f t="shared" si="4"/>
        <v>0</v>
      </c>
      <c r="C203" s="10">
        <f>INSCRITOS!B165</f>
        <v>0</v>
      </c>
      <c r="D203" t="str">
        <f t="shared" si="5"/>
        <v>FALSO0/</v>
      </c>
    </row>
    <row r="204" spans="1:4" ht="122.25" customHeight="1" x14ac:dyDescent="0.25">
      <c r="A204" s="25">
        <f>INSCRITOS!O166</f>
        <v>0</v>
      </c>
      <c r="B204" s="8" t="b">
        <f t="shared" si="4"/>
        <v>0</v>
      </c>
      <c r="C204" s="10">
        <f>INSCRITOS!B166</f>
        <v>0</v>
      </c>
      <c r="D204" t="str">
        <f t="shared" si="5"/>
        <v>FALSO0/</v>
      </c>
    </row>
    <row r="205" spans="1:4" ht="122.25" customHeight="1" x14ac:dyDescent="0.25">
      <c r="A205" s="25">
        <f>INSCRITOS!O167</f>
        <v>0</v>
      </c>
      <c r="B205" s="8" t="b">
        <f t="shared" si="4"/>
        <v>0</v>
      </c>
      <c r="C205" s="10">
        <f>INSCRITOS!B167</f>
        <v>0</v>
      </c>
      <c r="D205" t="str">
        <f t="shared" si="5"/>
        <v>FALSO0/</v>
      </c>
    </row>
    <row r="206" spans="1:4" ht="122.25" customHeight="1" x14ac:dyDescent="0.25">
      <c r="A206" s="25">
        <f>INSCRITOS!O168</f>
        <v>0</v>
      </c>
      <c r="B206" s="8" t="b">
        <f t="shared" si="4"/>
        <v>0</v>
      </c>
      <c r="C206" s="10">
        <f>INSCRITOS!B168</f>
        <v>0</v>
      </c>
      <c r="D206" t="str">
        <f t="shared" si="5"/>
        <v>FALSO0/</v>
      </c>
    </row>
    <row r="207" spans="1:4" ht="122.25" customHeight="1" x14ac:dyDescent="0.25">
      <c r="A207" s="25">
        <f>INSCRITOS!O169</f>
        <v>0</v>
      </c>
      <c r="B207" s="8" t="b">
        <f t="shared" si="4"/>
        <v>0</v>
      </c>
      <c r="C207" s="10">
        <f>INSCRITOS!B169</f>
        <v>0</v>
      </c>
      <c r="D207" t="str">
        <f t="shared" si="5"/>
        <v>FALSO0/</v>
      </c>
    </row>
    <row r="208" spans="1:4" ht="122.25" customHeight="1" x14ac:dyDescent="0.25">
      <c r="A208" s="25">
        <f>INSCRITOS!O170</f>
        <v>0</v>
      </c>
      <c r="B208" s="8" t="b">
        <f t="shared" si="4"/>
        <v>0</v>
      </c>
      <c r="C208" s="10">
        <f>INSCRITOS!B170</f>
        <v>0</v>
      </c>
      <c r="D208" t="str">
        <f t="shared" si="5"/>
        <v>FALSO0/</v>
      </c>
    </row>
    <row r="209" spans="1:4" ht="122.25" customHeight="1" x14ac:dyDescent="0.25">
      <c r="A209" s="25">
        <f>INSCRITOS!O171</f>
        <v>0</v>
      </c>
      <c r="B209" s="8" t="b">
        <f t="shared" si="4"/>
        <v>0</v>
      </c>
      <c r="C209" s="10">
        <f>INSCRITOS!B171</f>
        <v>0</v>
      </c>
      <c r="D209" t="str">
        <f t="shared" si="5"/>
        <v>FALSO0/</v>
      </c>
    </row>
    <row r="210" spans="1:4" ht="122.25" customHeight="1" x14ac:dyDescent="0.25">
      <c r="A210" s="25">
        <f>INSCRITOS!O172</f>
        <v>0</v>
      </c>
      <c r="B210" s="8" t="b">
        <f t="shared" si="4"/>
        <v>0</v>
      </c>
      <c r="C210" s="10">
        <f>INSCRITOS!B172</f>
        <v>0</v>
      </c>
      <c r="D210" t="str">
        <f t="shared" si="5"/>
        <v>FALSO0/</v>
      </c>
    </row>
    <row r="211" spans="1:4" ht="122.25" customHeight="1" x14ac:dyDescent="0.25">
      <c r="A211" s="25">
        <f>INSCRITOS!O173</f>
        <v>0</v>
      </c>
      <c r="B211" s="8" t="b">
        <f t="shared" si="4"/>
        <v>0</v>
      </c>
      <c r="C211" s="10">
        <f>INSCRITOS!B173</f>
        <v>0</v>
      </c>
      <c r="D211" t="str">
        <f t="shared" si="5"/>
        <v>FALSO0/</v>
      </c>
    </row>
    <row r="212" spans="1:4" ht="122.25" customHeight="1" x14ac:dyDescent="0.25">
      <c r="A212" s="25">
        <f>INSCRITOS!O174</f>
        <v>0</v>
      </c>
      <c r="B212" s="8" t="b">
        <f t="shared" si="4"/>
        <v>0</v>
      </c>
      <c r="C212" s="10">
        <f>INSCRITOS!B174</f>
        <v>0</v>
      </c>
      <c r="D212" t="str">
        <f t="shared" si="5"/>
        <v>FALSO0/</v>
      </c>
    </row>
    <row r="213" spans="1:4" ht="122.25" customHeight="1" x14ac:dyDescent="0.25">
      <c r="A213" s="25">
        <f>INSCRITOS!O175</f>
        <v>0</v>
      </c>
      <c r="B213" s="8" t="b">
        <f t="shared" si="4"/>
        <v>0</v>
      </c>
      <c r="C213" s="10">
        <f>INSCRITOS!B175</f>
        <v>0</v>
      </c>
      <c r="D213" t="str">
        <f t="shared" si="5"/>
        <v>FALSO0/</v>
      </c>
    </row>
    <row r="214" spans="1:4" ht="122.25" customHeight="1" x14ac:dyDescent="0.25">
      <c r="A214" s="25">
        <f>INSCRITOS!O176</f>
        <v>0</v>
      </c>
      <c r="B214" s="8" t="b">
        <f t="shared" si="4"/>
        <v>0</v>
      </c>
      <c r="C214" s="10">
        <f>INSCRITOS!B176</f>
        <v>0</v>
      </c>
      <c r="D214" t="str">
        <f t="shared" si="5"/>
        <v>FALSO0/</v>
      </c>
    </row>
    <row r="215" spans="1:4" ht="122.25" customHeight="1" x14ac:dyDescent="0.25">
      <c r="A215" s="25">
        <f>INSCRITOS!O177</f>
        <v>0</v>
      </c>
      <c r="B215" s="8" t="b">
        <f t="shared" si="4"/>
        <v>0</v>
      </c>
      <c r="C215" s="10">
        <f>INSCRITOS!B177</f>
        <v>0</v>
      </c>
      <c r="D215" t="str">
        <f t="shared" si="5"/>
        <v>FALSO0/</v>
      </c>
    </row>
    <row r="216" spans="1:4" ht="122.25" customHeight="1" x14ac:dyDescent="0.25">
      <c r="A216" s="25">
        <f>INSCRITOS!O178</f>
        <v>0</v>
      </c>
      <c r="B216" s="8" t="b">
        <f t="shared" si="4"/>
        <v>0</v>
      </c>
      <c r="C216" s="10">
        <f>INSCRITOS!B178</f>
        <v>0</v>
      </c>
      <c r="D216" t="str">
        <f t="shared" si="5"/>
        <v>FALSO0/</v>
      </c>
    </row>
    <row r="217" spans="1:4" ht="122.25" customHeight="1" x14ac:dyDescent="0.25">
      <c r="A217" s="25">
        <f>INSCRITOS!O179</f>
        <v>0</v>
      </c>
      <c r="B217" s="8" t="b">
        <f t="shared" si="4"/>
        <v>0</v>
      </c>
      <c r="C217" s="10">
        <f>INSCRITOS!B179</f>
        <v>0</v>
      </c>
      <c r="D217" t="str">
        <f t="shared" si="5"/>
        <v>FALSO0/</v>
      </c>
    </row>
    <row r="218" spans="1:4" ht="122.25" customHeight="1" x14ac:dyDescent="0.25">
      <c r="A218" s="25">
        <f>INSCRITOS!O180</f>
        <v>0</v>
      </c>
      <c r="B218" s="8" t="b">
        <f t="shared" si="4"/>
        <v>0</v>
      </c>
      <c r="C218" s="10">
        <f>INSCRITOS!B180</f>
        <v>0</v>
      </c>
      <c r="D218" t="str">
        <f t="shared" si="5"/>
        <v>FALSO0/</v>
      </c>
    </row>
    <row r="219" spans="1:4" ht="122.25" customHeight="1" x14ac:dyDescent="0.25">
      <c r="A219" s="25">
        <f>INSCRITOS!O181</f>
        <v>0</v>
      </c>
      <c r="B219" s="8" t="b">
        <f t="shared" si="4"/>
        <v>0</v>
      </c>
      <c r="C219" s="10">
        <f>INSCRITOS!B181</f>
        <v>0</v>
      </c>
      <c r="D219" t="str">
        <f t="shared" si="5"/>
        <v>FALSO0/</v>
      </c>
    </row>
    <row r="220" spans="1:4" ht="122.25" customHeight="1" x14ac:dyDescent="0.25">
      <c r="A220" s="25">
        <f>INSCRITOS!O182</f>
        <v>0</v>
      </c>
      <c r="B220" s="8" t="b">
        <f t="shared" si="4"/>
        <v>0</v>
      </c>
      <c r="C220" s="10">
        <f>INSCRITOS!B182</f>
        <v>0</v>
      </c>
      <c r="D220" t="str">
        <f t="shared" si="5"/>
        <v>FALSO0/</v>
      </c>
    </row>
    <row r="221" spans="1:4" ht="122.25" customHeight="1" x14ac:dyDescent="0.25">
      <c r="A221" s="25">
        <f>INSCRITOS!O183</f>
        <v>0</v>
      </c>
      <c r="B221" s="8" t="b">
        <f t="shared" si="4"/>
        <v>0</v>
      </c>
      <c r="C221" s="10">
        <f>INSCRITOS!B183</f>
        <v>0</v>
      </c>
      <c r="D221" t="str">
        <f t="shared" si="5"/>
        <v>FALSO0/</v>
      </c>
    </row>
    <row r="222" spans="1:4" ht="122.25" customHeight="1" x14ac:dyDescent="0.25">
      <c r="A222" s="25">
        <f>INSCRITOS!O184</f>
        <v>0</v>
      </c>
      <c r="B222" s="8" t="b">
        <f t="shared" si="4"/>
        <v>0</v>
      </c>
      <c r="C222" s="10">
        <f>INSCRITOS!B184</f>
        <v>0</v>
      </c>
      <c r="D222" t="str">
        <f t="shared" si="5"/>
        <v>FALSO0/</v>
      </c>
    </row>
    <row r="223" spans="1:4" ht="122.25" customHeight="1" x14ac:dyDescent="0.25">
      <c r="A223" s="25">
        <f>INSCRITOS!O185</f>
        <v>0</v>
      </c>
      <c r="B223" s="8" t="b">
        <f t="shared" si="4"/>
        <v>0</v>
      </c>
      <c r="C223" s="10">
        <f>INSCRITOS!B185</f>
        <v>0</v>
      </c>
      <c r="D223" t="str">
        <f t="shared" si="5"/>
        <v>FALSO0/</v>
      </c>
    </row>
    <row r="224" spans="1:4" ht="122.25" customHeight="1" x14ac:dyDescent="0.25">
      <c r="A224" s="25">
        <f>INSCRITOS!O186</f>
        <v>0</v>
      </c>
      <c r="B224" s="8" t="b">
        <f t="shared" si="4"/>
        <v>0</v>
      </c>
      <c r="C224" s="10">
        <f>INSCRITOS!B186</f>
        <v>0</v>
      </c>
      <c r="D224" t="str">
        <f t="shared" si="5"/>
        <v>FALSO0/</v>
      </c>
    </row>
    <row r="225" spans="1:4" ht="122.25" customHeight="1" x14ac:dyDescent="0.25">
      <c r="A225" s="25">
        <f>INSCRITOS!O187</f>
        <v>0</v>
      </c>
      <c r="B225" s="8" t="b">
        <f t="shared" si="4"/>
        <v>0</v>
      </c>
      <c r="C225" s="10">
        <f>INSCRITOS!B187</f>
        <v>0</v>
      </c>
      <c r="D225" t="str">
        <f t="shared" si="5"/>
        <v>FALSO0/</v>
      </c>
    </row>
    <row r="226" spans="1:4" ht="122.25" customHeight="1" x14ac:dyDescent="0.25">
      <c r="A226" s="25">
        <f>INSCRITOS!O188</f>
        <v>0</v>
      </c>
      <c r="B226" s="8" t="b">
        <f t="shared" si="4"/>
        <v>0</v>
      </c>
      <c r="C226" s="10">
        <f>INSCRITOS!B188</f>
        <v>0</v>
      </c>
      <c r="D226" t="str">
        <f t="shared" si="5"/>
        <v>FALSO0/</v>
      </c>
    </row>
    <row r="227" spans="1:4" ht="122.25" customHeight="1" x14ac:dyDescent="0.25">
      <c r="A227" s="25">
        <f>INSCRITOS!O189</f>
        <v>0</v>
      </c>
      <c r="B227" s="8" t="b">
        <f t="shared" si="4"/>
        <v>0</v>
      </c>
      <c r="C227" s="10">
        <f>INSCRITOS!B189</f>
        <v>0</v>
      </c>
      <c r="D227" t="str">
        <f t="shared" si="5"/>
        <v>FALSO0/</v>
      </c>
    </row>
    <row r="228" spans="1:4" ht="122.25" customHeight="1" x14ac:dyDescent="0.25">
      <c r="A228" s="25">
        <f>INSCRITOS!O190</f>
        <v>0</v>
      </c>
      <c r="B228" s="8" t="b">
        <f t="shared" si="4"/>
        <v>0</v>
      </c>
      <c r="C228" s="10">
        <f>INSCRITOS!B190</f>
        <v>0</v>
      </c>
      <c r="D228" t="str">
        <f t="shared" si="5"/>
        <v>FALSO0/</v>
      </c>
    </row>
    <row r="229" spans="1:4" ht="122.25" customHeight="1" x14ac:dyDescent="0.25">
      <c r="A229" s="25">
        <f>INSCRITOS!O191</f>
        <v>0</v>
      </c>
      <c r="B229" s="8" t="b">
        <f t="shared" si="4"/>
        <v>0</v>
      </c>
      <c r="C229" s="10">
        <f>INSCRITOS!B191</f>
        <v>0</v>
      </c>
      <c r="D229" t="str">
        <f t="shared" si="5"/>
        <v>FALSO0/</v>
      </c>
    </row>
    <row r="230" spans="1:4" ht="122.25" customHeight="1" x14ac:dyDescent="0.25">
      <c r="A230" s="25">
        <f>INSCRITOS!O192</f>
        <v>0</v>
      </c>
      <c r="B230" s="8" t="b">
        <f t="shared" si="4"/>
        <v>0</v>
      </c>
      <c r="C230" s="10">
        <f>INSCRITOS!B192</f>
        <v>0</v>
      </c>
      <c r="D230" t="str">
        <f t="shared" si="5"/>
        <v>FALSO0/</v>
      </c>
    </row>
    <row r="231" spans="1:4" ht="122.25" customHeight="1" x14ac:dyDescent="0.25">
      <c r="A231" s="25">
        <f>INSCRITOS!O193</f>
        <v>0</v>
      </c>
      <c r="B231" s="8" t="b">
        <f t="shared" si="4"/>
        <v>0</v>
      </c>
      <c r="C231" s="10">
        <f>INSCRITOS!B193</f>
        <v>0</v>
      </c>
      <c r="D231" t="str">
        <f t="shared" si="5"/>
        <v>FALSO0/</v>
      </c>
    </row>
    <row r="232" spans="1:4" ht="122.25" customHeight="1" x14ac:dyDescent="0.25">
      <c r="A232" s="25">
        <f>INSCRITOS!O194</f>
        <v>0</v>
      </c>
      <c r="B232" s="8" t="b">
        <f t="shared" ref="B232:B295" si="6">IF(A232=$H$19,"https://centrodecapacitaciondelsur.com/o-v-e-",IF(A232=$H$2,"https://centrodecapacitaciondelsur.com/aph-",IF(A232=$H$3,"https://centrodecapacitaciondelsur.com/manejo-del-duelo-",IF(A232=$H$4,"https://centrodecapacitaciondelsur.com/victimas-por-agentes-quimicos-",IF(A232=$H$5,"https://centrodecapacitaciondelsur.com/primeros-auxilios-",IF(A232=$H$6,"https://centrodecapacitaciondelsur.com/uci-",IF(A232=$H$8,"https://centrodecapacitaciondelsur.com/humanizacion-",IF(A232=$H$11,"https://centrodecapacitaciondelsur.com/soporte-cardiovascular-avanzado-",IF(A232=$H$12,"https://centrodecapacitaciondelsur.com/camillero-",IF(A232=$H$13,"https://centrodecapacitaciondelsur.com/toma-de-muestras-y-lab-clinico-",IF(A232=$H$14,"https://centrodecapacitaciondelsur.com/soporte-basico-de-vida-",IF(A232=$H$15,"https://centrodecapacitaciondelsur.com/violencia-sexual-",IF(A232=$H$17,"https://centrodecapacitaciondelsur.com/aiepi-",IF(A232=$H$18,"https://centrodecapacitaciondelsur.com/adm-medicamentos-canalizacion-inyectologia-",IF(A232=$H$25,"https://centrodecapacitaciondelsur.com/manejo-del-dolor-y-cuidados-paliativos-",IF(A232=$H$26,"https://centrodecapacitaciondelsur.com/toma-de-muestras-y-lab-clinico-poct-",IF(A232=$H$27,"https://centrodecapacitaciondelsur.com/implante-subdermico-",IF(A232=$H$21,"https://centrodecapacitaciondelsur.com/donante-de-organos-",IF(A232=$H$30,"https://centrodecapacitaciondelsur.com/atencion-a-victimas-del-conflicto-armado-",IF(A232=$H$20,"https://centrodecapacitaciondelsur.com/iami-",IF(A232=$H$22,"https://centrodecapacitaciondelsur.com/violencia-de-genero-",IF(A232=$H$23,"https://centrodecapacitaciondelsur.com/igualdad-de-genero-",IF(A232=$H$16,"https://centrodecapacitaciondelsur.com/pai-",IF(A232=$H$31,"https://centrodecapacitaciondelsur.com/manipulacion-de-alimentos-",IF(A232=$H$32,"https://centrodecapacitaciondelsur.com/atencion-a-personas-con-discapacidad-",IF(A232=$H$33,"https://centrodecapacitaciondelsur.com/atencion-al-adulto-mayor-",IF(A232=$H$34,"https://centrodecapacitaciondelsur.com/manejo-defensivo-",IF(A232=$H$35,"https://centrodecapacitaciondelsur.com/soporte-basico-neonatal-",IF(A232=$H$36,"https://centrodecapacitaciondelsur.com/seguridad-del-paciente-",IF(A232=$H$37,"https://centrodecapacitaciondelsur.com/manejo-de-residuos-hospitalarios-",IF(A232=$H$10,"https://centrodecapacitaciondelsur.com/toma-de-citologia-")))))))))))))))))))))))))))))))</f>
        <v>0</v>
      </c>
      <c r="C232" s="10">
        <f>INSCRITOS!B194</f>
        <v>0</v>
      </c>
      <c r="D232" t="str">
        <f t="shared" ref="D232:D295" si="7">CONCATENATE(B232,C232,"/")</f>
        <v>FALSO0/</v>
      </c>
    </row>
    <row r="233" spans="1:4" ht="122.25" customHeight="1" x14ac:dyDescent="0.25">
      <c r="A233" s="25">
        <f>INSCRITOS!O195</f>
        <v>0</v>
      </c>
      <c r="B233" s="8" t="b">
        <f t="shared" si="6"/>
        <v>0</v>
      </c>
      <c r="C233" s="10">
        <f>INSCRITOS!B195</f>
        <v>0</v>
      </c>
      <c r="D233" t="str">
        <f t="shared" si="7"/>
        <v>FALSO0/</v>
      </c>
    </row>
    <row r="234" spans="1:4" ht="122.25" customHeight="1" x14ac:dyDescent="0.25">
      <c r="A234" s="25">
        <f>INSCRITOS!O196</f>
        <v>0</v>
      </c>
      <c r="B234" s="8" t="b">
        <f t="shared" si="6"/>
        <v>0</v>
      </c>
      <c r="C234" s="10">
        <f>INSCRITOS!B196</f>
        <v>0</v>
      </c>
      <c r="D234" t="str">
        <f t="shared" si="7"/>
        <v>FALSO0/</v>
      </c>
    </row>
    <row r="235" spans="1:4" ht="122.25" customHeight="1" x14ac:dyDescent="0.25">
      <c r="A235" s="25">
        <f>INSCRITOS!O197</f>
        <v>0</v>
      </c>
      <c r="B235" s="8" t="b">
        <f t="shared" si="6"/>
        <v>0</v>
      </c>
      <c r="C235" s="10">
        <f>INSCRITOS!B197</f>
        <v>0</v>
      </c>
      <c r="D235" t="str">
        <f t="shared" si="7"/>
        <v>FALSO0/</v>
      </c>
    </row>
    <row r="236" spans="1:4" ht="122.25" customHeight="1" x14ac:dyDescent="0.25">
      <c r="A236" s="25">
        <f>INSCRITOS!O198</f>
        <v>0</v>
      </c>
      <c r="B236" s="8" t="b">
        <f t="shared" si="6"/>
        <v>0</v>
      </c>
      <c r="C236" s="10">
        <f>INSCRITOS!B198</f>
        <v>0</v>
      </c>
      <c r="D236" t="str">
        <f t="shared" si="7"/>
        <v>FALSO0/</v>
      </c>
    </row>
    <row r="237" spans="1:4" ht="122.25" customHeight="1" x14ac:dyDescent="0.25">
      <c r="A237" s="25">
        <f>INSCRITOS!O199</f>
        <v>0</v>
      </c>
      <c r="B237" s="8" t="b">
        <f t="shared" si="6"/>
        <v>0</v>
      </c>
      <c r="C237" s="10">
        <f>INSCRITOS!B199</f>
        <v>0</v>
      </c>
      <c r="D237" t="str">
        <f t="shared" si="7"/>
        <v>FALSO0/</v>
      </c>
    </row>
    <row r="238" spans="1:4" ht="122.25" customHeight="1" x14ac:dyDescent="0.25">
      <c r="A238" s="25">
        <f>INSCRITOS!O200</f>
        <v>0</v>
      </c>
      <c r="B238" s="8" t="b">
        <f t="shared" si="6"/>
        <v>0</v>
      </c>
      <c r="C238" s="10">
        <f>INSCRITOS!B200</f>
        <v>0</v>
      </c>
      <c r="D238" t="str">
        <f t="shared" si="7"/>
        <v>FALSO0/</v>
      </c>
    </row>
    <row r="239" spans="1:4" ht="122.25" customHeight="1" x14ac:dyDescent="0.25">
      <c r="A239" s="25">
        <f>INSCRITOS!O201</f>
        <v>0</v>
      </c>
      <c r="B239" s="8" t="b">
        <f t="shared" si="6"/>
        <v>0</v>
      </c>
      <c r="C239" s="10">
        <f>INSCRITOS!B201</f>
        <v>0</v>
      </c>
      <c r="D239" t="str">
        <f t="shared" si="7"/>
        <v>FALSO0/</v>
      </c>
    </row>
    <row r="240" spans="1:4" ht="122.25" customHeight="1" x14ac:dyDescent="0.25">
      <c r="A240" s="25">
        <f>INSCRITOS!O202</f>
        <v>0</v>
      </c>
      <c r="B240" s="8" t="b">
        <f t="shared" si="6"/>
        <v>0</v>
      </c>
      <c r="C240" s="10">
        <f>INSCRITOS!B202</f>
        <v>0</v>
      </c>
      <c r="D240" t="str">
        <f t="shared" si="7"/>
        <v>FALSO0/</v>
      </c>
    </row>
    <row r="241" spans="1:4" ht="122.25" customHeight="1" x14ac:dyDescent="0.25">
      <c r="A241" s="25">
        <f>INSCRITOS!O203</f>
        <v>0</v>
      </c>
      <c r="B241" s="8" t="b">
        <f t="shared" si="6"/>
        <v>0</v>
      </c>
      <c r="C241" s="10">
        <f>INSCRITOS!B203</f>
        <v>0</v>
      </c>
      <c r="D241" t="str">
        <f t="shared" si="7"/>
        <v>FALSO0/</v>
      </c>
    </row>
    <row r="242" spans="1:4" ht="122.25" customHeight="1" x14ac:dyDescent="0.25">
      <c r="A242" s="25">
        <f>INSCRITOS!O204</f>
        <v>0</v>
      </c>
      <c r="B242" s="8" t="b">
        <f t="shared" si="6"/>
        <v>0</v>
      </c>
      <c r="C242" s="10">
        <f>INSCRITOS!B204</f>
        <v>0</v>
      </c>
      <c r="D242" t="str">
        <f t="shared" si="7"/>
        <v>FALSO0/</v>
      </c>
    </row>
    <row r="243" spans="1:4" ht="122.25" customHeight="1" x14ac:dyDescent="0.25">
      <c r="A243" s="25">
        <f>INSCRITOS!O205</f>
        <v>0</v>
      </c>
      <c r="B243" s="8" t="b">
        <f t="shared" si="6"/>
        <v>0</v>
      </c>
      <c r="C243" s="10">
        <f>INSCRITOS!B205</f>
        <v>0</v>
      </c>
      <c r="D243" t="str">
        <f t="shared" si="7"/>
        <v>FALSO0/</v>
      </c>
    </row>
    <row r="244" spans="1:4" ht="122.25" customHeight="1" x14ac:dyDescent="0.25">
      <c r="A244" s="25">
        <f>INSCRITOS!O206</f>
        <v>0</v>
      </c>
      <c r="B244" s="8" t="b">
        <f t="shared" si="6"/>
        <v>0</v>
      </c>
      <c r="C244" s="10">
        <f>INSCRITOS!B206</f>
        <v>0</v>
      </c>
      <c r="D244" t="str">
        <f t="shared" si="7"/>
        <v>FALSO0/</v>
      </c>
    </row>
    <row r="245" spans="1:4" ht="122.25" customHeight="1" x14ac:dyDescent="0.25">
      <c r="A245" s="25">
        <f>INSCRITOS!O207</f>
        <v>0</v>
      </c>
      <c r="B245" s="8" t="b">
        <f t="shared" si="6"/>
        <v>0</v>
      </c>
      <c r="C245" s="10">
        <f>INSCRITOS!B207</f>
        <v>0</v>
      </c>
      <c r="D245" t="str">
        <f t="shared" si="7"/>
        <v>FALSO0/</v>
      </c>
    </row>
    <row r="246" spans="1:4" ht="122.25" customHeight="1" x14ac:dyDescent="0.25">
      <c r="A246" s="25">
        <f>INSCRITOS!O208</f>
        <v>0</v>
      </c>
      <c r="B246" s="8" t="b">
        <f t="shared" si="6"/>
        <v>0</v>
      </c>
      <c r="C246" s="10">
        <f>INSCRITOS!B208</f>
        <v>0</v>
      </c>
      <c r="D246" t="str">
        <f t="shared" si="7"/>
        <v>FALSO0/</v>
      </c>
    </row>
    <row r="247" spans="1:4" ht="122.25" customHeight="1" x14ac:dyDescent="0.25">
      <c r="A247" s="25">
        <f>INSCRITOS!O209</f>
        <v>0</v>
      </c>
      <c r="B247" s="8" t="b">
        <f t="shared" si="6"/>
        <v>0</v>
      </c>
      <c r="C247" s="10">
        <f>INSCRITOS!B209</f>
        <v>0</v>
      </c>
      <c r="D247" t="str">
        <f t="shared" si="7"/>
        <v>FALSO0/</v>
      </c>
    </row>
    <row r="248" spans="1:4" ht="122.25" customHeight="1" x14ac:dyDescent="0.25">
      <c r="A248" s="25">
        <f>INSCRITOS!O210</f>
        <v>0</v>
      </c>
      <c r="B248" s="8" t="b">
        <f t="shared" si="6"/>
        <v>0</v>
      </c>
      <c r="C248" s="10">
        <f>INSCRITOS!B210</f>
        <v>0</v>
      </c>
      <c r="D248" t="str">
        <f t="shared" si="7"/>
        <v>FALSO0/</v>
      </c>
    </row>
    <row r="249" spans="1:4" ht="122.25" customHeight="1" x14ac:dyDescent="0.25">
      <c r="A249" s="25">
        <f>INSCRITOS!O211</f>
        <v>0</v>
      </c>
      <c r="B249" s="8" t="b">
        <f t="shared" si="6"/>
        <v>0</v>
      </c>
      <c r="C249" s="10">
        <f>INSCRITOS!B211</f>
        <v>0</v>
      </c>
      <c r="D249" t="str">
        <f t="shared" si="7"/>
        <v>FALSO0/</v>
      </c>
    </row>
    <row r="250" spans="1:4" ht="122.25" customHeight="1" x14ac:dyDescent="0.25">
      <c r="A250" s="25">
        <f>INSCRITOS!O212</f>
        <v>0</v>
      </c>
      <c r="B250" s="8" t="b">
        <f t="shared" si="6"/>
        <v>0</v>
      </c>
      <c r="C250" s="10">
        <f>INSCRITOS!B212</f>
        <v>0</v>
      </c>
      <c r="D250" t="str">
        <f t="shared" si="7"/>
        <v>FALSO0/</v>
      </c>
    </row>
    <row r="251" spans="1:4" ht="122.25" customHeight="1" x14ac:dyDescent="0.25">
      <c r="A251" s="25">
        <f>INSCRITOS!O213</f>
        <v>0</v>
      </c>
      <c r="B251" s="8" t="b">
        <f t="shared" si="6"/>
        <v>0</v>
      </c>
      <c r="C251" s="10">
        <f>INSCRITOS!B213</f>
        <v>0</v>
      </c>
      <c r="D251" t="str">
        <f t="shared" si="7"/>
        <v>FALSO0/</v>
      </c>
    </row>
    <row r="252" spans="1:4" ht="122.25" customHeight="1" x14ac:dyDescent="0.25">
      <c r="A252" s="25">
        <f>INSCRITOS!O214</f>
        <v>0</v>
      </c>
      <c r="B252" s="8" t="b">
        <f t="shared" si="6"/>
        <v>0</v>
      </c>
      <c r="C252" s="10">
        <f>INSCRITOS!B214</f>
        <v>0</v>
      </c>
      <c r="D252" t="str">
        <f t="shared" si="7"/>
        <v>FALSO0/</v>
      </c>
    </row>
    <row r="253" spans="1:4" ht="122.25" customHeight="1" x14ac:dyDescent="0.25">
      <c r="A253" s="25">
        <f>INSCRITOS!O215</f>
        <v>0</v>
      </c>
      <c r="B253" s="8" t="b">
        <f t="shared" si="6"/>
        <v>0</v>
      </c>
      <c r="C253" s="10">
        <f>INSCRITOS!B215</f>
        <v>0</v>
      </c>
      <c r="D253" t="str">
        <f t="shared" si="7"/>
        <v>FALSO0/</v>
      </c>
    </row>
    <row r="254" spans="1:4" ht="122.25" customHeight="1" x14ac:dyDescent="0.25">
      <c r="A254" s="25">
        <f>INSCRITOS!O216</f>
        <v>0</v>
      </c>
      <c r="B254" s="8" t="b">
        <f t="shared" si="6"/>
        <v>0</v>
      </c>
      <c r="C254" s="10">
        <f>INSCRITOS!B216</f>
        <v>0</v>
      </c>
      <c r="D254" t="str">
        <f t="shared" si="7"/>
        <v>FALSO0/</v>
      </c>
    </row>
    <row r="255" spans="1:4" ht="122.25" customHeight="1" x14ac:dyDescent="0.25">
      <c r="A255" s="25">
        <f>INSCRITOS!O217</f>
        <v>0</v>
      </c>
      <c r="B255" s="8" t="b">
        <f t="shared" si="6"/>
        <v>0</v>
      </c>
      <c r="C255" s="10">
        <f>INSCRITOS!B217</f>
        <v>0</v>
      </c>
      <c r="D255" t="str">
        <f t="shared" si="7"/>
        <v>FALSO0/</v>
      </c>
    </row>
    <row r="256" spans="1:4" ht="122.25" customHeight="1" x14ac:dyDescent="0.25">
      <c r="A256" s="25">
        <f>INSCRITOS!O218</f>
        <v>0</v>
      </c>
      <c r="B256" s="8" t="b">
        <f t="shared" si="6"/>
        <v>0</v>
      </c>
      <c r="C256" s="10">
        <f>INSCRITOS!B218</f>
        <v>0</v>
      </c>
      <c r="D256" t="str">
        <f t="shared" si="7"/>
        <v>FALSO0/</v>
      </c>
    </row>
    <row r="257" spans="1:4" ht="122.25" customHeight="1" x14ac:dyDescent="0.25">
      <c r="A257" s="25">
        <f>INSCRITOS!O219</f>
        <v>0</v>
      </c>
      <c r="B257" s="8" t="b">
        <f t="shared" si="6"/>
        <v>0</v>
      </c>
      <c r="C257" s="10">
        <f>INSCRITOS!B219</f>
        <v>0</v>
      </c>
      <c r="D257" t="str">
        <f t="shared" si="7"/>
        <v>FALSO0/</v>
      </c>
    </row>
    <row r="258" spans="1:4" ht="122.25" customHeight="1" x14ac:dyDescent="0.25">
      <c r="A258" s="25">
        <f>INSCRITOS!O220</f>
        <v>0</v>
      </c>
      <c r="B258" s="8" t="b">
        <f t="shared" si="6"/>
        <v>0</v>
      </c>
      <c r="C258" s="10">
        <f>INSCRITOS!B220</f>
        <v>0</v>
      </c>
      <c r="D258" t="str">
        <f t="shared" si="7"/>
        <v>FALSO0/</v>
      </c>
    </row>
    <row r="259" spans="1:4" ht="122.25" customHeight="1" x14ac:dyDescent="0.25">
      <c r="A259" s="25">
        <f>INSCRITOS!O221</f>
        <v>0</v>
      </c>
      <c r="B259" s="8" t="b">
        <f t="shared" si="6"/>
        <v>0</v>
      </c>
      <c r="C259" s="10">
        <f>INSCRITOS!B221</f>
        <v>0</v>
      </c>
      <c r="D259" t="str">
        <f t="shared" si="7"/>
        <v>FALSO0/</v>
      </c>
    </row>
    <row r="260" spans="1:4" ht="122.25" customHeight="1" x14ac:dyDescent="0.25">
      <c r="A260" s="25">
        <f>INSCRITOS!O222</f>
        <v>0</v>
      </c>
      <c r="B260" s="8" t="b">
        <f t="shared" si="6"/>
        <v>0</v>
      </c>
      <c r="C260" s="10">
        <f>INSCRITOS!B222</f>
        <v>0</v>
      </c>
      <c r="D260" t="str">
        <f t="shared" si="7"/>
        <v>FALSO0/</v>
      </c>
    </row>
    <row r="261" spans="1:4" ht="122.25" customHeight="1" x14ac:dyDescent="0.25">
      <c r="A261" s="25">
        <f>INSCRITOS!O223</f>
        <v>0</v>
      </c>
      <c r="B261" s="8" t="b">
        <f t="shared" si="6"/>
        <v>0</v>
      </c>
      <c r="C261" s="10">
        <f>INSCRITOS!B223</f>
        <v>0</v>
      </c>
      <c r="D261" t="str">
        <f t="shared" si="7"/>
        <v>FALSO0/</v>
      </c>
    </row>
    <row r="262" spans="1:4" ht="122.25" customHeight="1" x14ac:dyDescent="0.25">
      <c r="A262" s="25">
        <f>INSCRITOS!O224</f>
        <v>0</v>
      </c>
      <c r="B262" s="8" t="b">
        <f t="shared" si="6"/>
        <v>0</v>
      </c>
      <c r="C262" s="10">
        <f>INSCRITOS!B224</f>
        <v>0</v>
      </c>
      <c r="D262" t="str">
        <f t="shared" si="7"/>
        <v>FALSO0/</v>
      </c>
    </row>
    <row r="263" spans="1:4" ht="122.25" customHeight="1" x14ac:dyDescent="0.25">
      <c r="A263" s="25">
        <f>INSCRITOS!O225</f>
        <v>0</v>
      </c>
      <c r="B263" s="8" t="b">
        <f t="shared" si="6"/>
        <v>0</v>
      </c>
      <c r="C263" s="10">
        <f>INSCRITOS!B225</f>
        <v>0</v>
      </c>
      <c r="D263" t="str">
        <f t="shared" si="7"/>
        <v>FALSO0/</v>
      </c>
    </row>
    <row r="264" spans="1:4" ht="122.25" customHeight="1" x14ac:dyDescent="0.25">
      <c r="A264" s="25">
        <f>INSCRITOS!O226</f>
        <v>0</v>
      </c>
      <c r="B264" s="8" t="b">
        <f t="shared" si="6"/>
        <v>0</v>
      </c>
      <c r="C264" s="10">
        <f>INSCRITOS!B226</f>
        <v>0</v>
      </c>
      <c r="D264" t="str">
        <f t="shared" si="7"/>
        <v>FALSO0/</v>
      </c>
    </row>
    <row r="265" spans="1:4" ht="122.25" customHeight="1" x14ac:dyDescent="0.25">
      <c r="A265" s="25">
        <f>INSCRITOS!O227</f>
        <v>0</v>
      </c>
      <c r="B265" s="8" t="b">
        <f t="shared" si="6"/>
        <v>0</v>
      </c>
      <c r="C265" s="10">
        <f>INSCRITOS!B227</f>
        <v>0</v>
      </c>
      <c r="D265" t="str">
        <f t="shared" si="7"/>
        <v>FALSO0/</v>
      </c>
    </row>
    <row r="266" spans="1:4" ht="122.25" customHeight="1" x14ac:dyDescent="0.25">
      <c r="A266" s="25">
        <f>INSCRITOS!O228</f>
        <v>0</v>
      </c>
      <c r="B266" s="8" t="b">
        <f t="shared" si="6"/>
        <v>0</v>
      </c>
      <c r="C266" s="10">
        <f>INSCRITOS!B228</f>
        <v>0</v>
      </c>
      <c r="D266" t="str">
        <f t="shared" si="7"/>
        <v>FALSO0/</v>
      </c>
    </row>
    <row r="267" spans="1:4" ht="122.25" customHeight="1" x14ac:dyDescent="0.25">
      <c r="A267" s="25">
        <f>INSCRITOS!O229</f>
        <v>0</v>
      </c>
      <c r="B267" s="8" t="b">
        <f t="shared" si="6"/>
        <v>0</v>
      </c>
      <c r="C267" s="10">
        <f>INSCRITOS!B229</f>
        <v>0</v>
      </c>
      <c r="D267" t="str">
        <f t="shared" si="7"/>
        <v>FALSO0/</v>
      </c>
    </row>
    <row r="268" spans="1:4" ht="122.25" customHeight="1" x14ac:dyDescent="0.25">
      <c r="A268" s="25">
        <f>INSCRITOS!O230</f>
        <v>0</v>
      </c>
      <c r="B268" s="8" t="b">
        <f t="shared" si="6"/>
        <v>0</v>
      </c>
      <c r="C268" s="10">
        <f>INSCRITOS!B230</f>
        <v>0</v>
      </c>
      <c r="D268" t="str">
        <f t="shared" si="7"/>
        <v>FALSO0/</v>
      </c>
    </row>
    <row r="269" spans="1:4" ht="122.25" customHeight="1" x14ac:dyDescent="0.25">
      <c r="A269" s="25">
        <f>INSCRITOS!O231</f>
        <v>0</v>
      </c>
      <c r="B269" s="8" t="b">
        <f t="shared" si="6"/>
        <v>0</v>
      </c>
      <c r="C269" s="10">
        <f>INSCRITOS!B231</f>
        <v>0</v>
      </c>
      <c r="D269" t="str">
        <f t="shared" si="7"/>
        <v>FALSO0/</v>
      </c>
    </row>
    <row r="270" spans="1:4" ht="122.25" customHeight="1" x14ac:dyDescent="0.25">
      <c r="A270" s="25">
        <f>INSCRITOS!O232</f>
        <v>0</v>
      </c>
      <c r="B270" s="8" t="b">
        <f t="shared" si="6"/>
        <v>0</v>
      </c>
      <c r="C270" s="10">
        <f>INSCRITOS!B232</f>
        <v>0</v>
      </c>
      <c r="D270" t="str">
        <f t="shared" si="7"/>
        <v>FALSO0/</v>
      </c>
    </row>
    <row r="271" spans="1:4" ht="122.25" customHeight="1" x14ac:dyDescent="0.25">
      <c r="A271" s="25">
        <f>INSCRITOS!O233</f>
        <v>0</v>
      </c>
      <c r="B271" s="8" t="b">
        <f t="shared" si="6"/>
        <v>0</v>
      </c>
      <c r="C271" s="10">
        <f>INSCRITOS!B233</f>
        <v>0</v>
      </c>
      <c r="D271" t="str">
        <f t="shared" si="7"/>
        <v>FALSO0/</v>
      </c>
    </row>
    <row r="272" spans="1:4" ht="122.25" customHeight="1" x14ac:dyDescent="0.25">
      <c r="A272" s="25">
        <f>INSCRITOS!O234</f>
        <v>0</v>
      </c>
      <c r="B272" s="8" t="b">
        <f t="shared" si="6"/>
        <v>0</v>
      </c>
      <c r="C272" s="10">
        <f>INSCRITOS!B234</f>
        <v>0</v>
      </c>
      <c r="D272" t="str">
        <f t="shared" si="7"/>
        <v>FALSO0/</v>
      </c>
    </row>
    <row r="273" spans="1:4" ht="122.25" customHeight="1" x14ac:dyDescent="0.25">
      <c r="A273" s="25">
        <f>INSCRITOS!O235</f>
        <v>0</v>
      </c>
      <c r="B273" s="8" t="b">
        <f t="shared" si="6"/>
        <v>0</v>
      </c>
      <c r="C273" s="10">
        <f>INSCRITOS!B235</f>
        <v>0</v>
      </c>
      <c r="D273" t="str">
        <f t="shared" si="7"/>
        <v>FALSO0/</v>
      </c>
    </row>
    <row r="274" spans="1:4" ht="122.25" customHeight="1" x14ac:dyDescent="0.25">
      <c r="A274" s="25">
        <f>INSCRITOS!O236</f>
        <v>0</v>
      </c>
      <c r="B274" s="8" t="b">
        <f t="shared" si="6"/>
        <v>0</v>
      </c>
      <c r="C274" s="10">
        <f>INSCRITOS!B236</f>
        <v>0</v>
      </c>
      <c r="D274" t="str">
        <f t="shared" si="7"/>
        <v>FALSO0/</v>
      </c>
    </row>
    <row r="275" spans="1:4" ht="122.25" customHeight="1" x14ac:dyDescent="0.25">
      <c r="A275" s="25">
        <f>INSCRITOS!O237</f>
        <v>0</v>
      </c>
      <c r="B275" s="8" t="b">
        <f t="shared" si="6"/>
        <v>0</v>
      </c>
      <c r="C275" s="10">
        <f>INSCRITOS!B237</f>
        <v>0</v>
      </c>
      <c r="D275" t="str">
        <f t="shared" si="7"/>
        <v>FALSO0/</v>
      </c>
    </row>
    <row r="276" spans="1:4" ht="122.25" customHeight="1" x14ac:dyDescent="0.25">
      <c r="A276" s="25">
        <f>INSCRITOS!O238</f>
        <v>0</v>
      </c>
      <c r="B276" s="8" t="b">
        <f t="shared" si="6"/>
        <v>0</v>
      </c>
      <c r="C276" s="10">
        <f>INSCRITOS!B238</f>
        <v>0</v>
      </c>
      <c r="D276" t="str">
        <f t="shared" si="7"/>
        <v>FALSO0/</v>
      </c>
    </row>
    <row r="277" spans="1:4" ht="122.25" customHeight="1" x14ac:dyDescent="0.25">
      <c r="A277" s="25">
        <f>INSCRITOS!O239</f>
        <v>0</v>
      </c>
      <c r="B277" s="8" t="b">
        <f t="shared" si="6"/>
        <v>0</v>
      </c>
      <c r="C277" s="10">
        <f>INSCRITOS!B239</f>
        <v>0</v>
      </c>
      <c r="D277" t="str">
        <f t="shared" si="7"/>
        <v>FALSO0/</v>
      </c>
    </row>
    <row r="278" spans="1:4" ht="122.25" customHeight="1" x14ac:dyDescent="0.25">
      <c r="A278" s="25">
        <f>INSCRITOS!O240</f>
        <v>0</v>
      </c>
      <c r="B278" s="8" t="b">
        <f t="shared" si="6"/>
        <v>0</v>
      </c>
      <c r="C278" s="10">
        <f>INSCRITOS!B240</f>
        <v>0</v>
      </c>
      <c r="D278" t="str">
        <f t="shared" si="7"/>
        <v>FALSO0/</v>
      </c>
    </row>
    <row r="279" spans="1:4" ht="122.25" customHeight="1" x14ac:dyDescent="0.25">
      <c r="A279" s="25">
        <f>INSCRITOS!O241</f>
        <v>0</v>
      </c>
      <c r="B279" s="8" t="b">
        <f t="shared" si="6"/>
        <v>0</v>
      </c>
      <c r="C279" s="10">
        <f>INSCRITOS!B241</f>
        <v>0</v>
      </c>
      <c r="D279" t="str">
        <f t="shared" si="7"/>
        <v>FALSO0/</v>
      </c>
    </row>
    <row r="280" spans="1:4" ht="122.25" customHeight="1" x14ac:dyDescent="0.25">
      <c r="A280" s="25">
        <f>INSCRITOS!O242</f>
        <v>0</v>
      </c>
      <c r="B280" s="8" t="b">
        <f t="shared" si="6"/>
        <v>0</v>
      </c>
      <c r="C280" s="10">
        <f>INSCRITOS!B242</f>
        <v>0</v>
      </c>
      <c r="D280" t="str">
        <f t="shared" si="7"/>
        <v>FALSO0/</v>
      </c>
    </row>
    <row r="281" spans="1:4" ht="122.25" customHeight="1" x14ac:dyDescent="0.25">
      <c r="A281" s="25">
        <f>INSCRITOS!O243</f>
        <v>0</v>
      </c>
      <c r="B281" s="8" t="b">
        <f t="shared" si="6"/>
        <v>0</v>
      </c>
      <c r="C281" s="10">
        <f>INSCRITOS!B243</f>
        <v>0</v>
      </c>
      <c r="D281" t="str">
        <f t="shared" si="7"/>
        <v>FALSO0/</v>
      </c>
    </row>
    <row r="282" spans="1:4" ht="122.25" customHeight="1" x14ac:dyDescent="0.25">
      <c r="A282" s="25">
        <f>INSCRITOS!O244</f>
        <v>0</v>
      </c>
      <c r="B282" s="8" t="b">
        <f t="shared" si="6"/>
        <v>0</v>
      </c>
      <c r="C282" s="10">
        <f>INSCRITOS!B244</f>
        <v>0</v>
      </c>
      <c r="D282" t="str">
        <f t="shared" si="7"/>
        <v>FALSO0/</v>
      </c>
    </row>
    <row r="283" spans="1:4" ht="122.25" customHeight="1" x14ac:dyDescent="0.25">
      <c r="A283" s="25">
        <f>INSCRITOS!O245</f>
        <v>0</v>
      </c>
      <c r="B283" s="8" t="b">
        <f t="shared" si="6"/>
        <v>0</v>
      </c>
      <c r="C283" s="10">
        <f>INSCRITOS!B245</f>
        <v>0</v>
      </c>
      <c r="D283" t="str">
        <f t="shared" si="7"/>
        <v>FALSO0/</v>
      </c>
    </row>
    <row r="284" spans="1:4" ht="122.25" customHeight="1" x14ac:dyDescent="0.25">
      <c r="A284" s="25">
        <f>INSCRITOS!O246</f>
        <v>0</v>
      </c>
      <c r="B284" s="8" t="b">
        <f t="shared" si="6"/>
        <v>0</v>
      </c>
      <c r="C284" s="10">
        <f>INSCRITOS!B246</f>
        <v>0</v>
      </c>
      <c r="D284" t="str">
        <f t="shared" si="7"/>
        <v>FALSO0/</v>
      </c>
    </row>
    <row r="285" spans="1:4" ht="122.25" customHeight="1" x14ac:dyDescent="0.25">
      <c r="A285" s="25">
        <f>INSCRITOS!O247</f>
        <v>0</v>
      </c>
      <c r="B285" s="8" t="b">
        <f t="shared" si="6"/>
        <v>0</v>
      </c>
      <c r="C285" s="10">
        <f>INSCRITOS!B247</f>
        <v>0</v>
      </c>
      <c r="D285" t="str">
        <f t="shared" si="7"/>
        <v>FALSO0/</v>
      </c>
    </row>
    <row r="286" spans="1:4" ht="122.25" customHeight="1" x14ac:dyDescent="0.25">
      <c r="A286" s="25">
        <f>INSCRITOS!O248</f>
        <v>0</v>
      </c>
      <c r="B286" s="8" t="b">
        <f t="shared" si="6"/>
        <v>0</v>
      </c>
      <c r="C286" s="10">
        <f>INSCRITOS!B248</f>
        <v>0</v>
      </c>
      <c r="D286" t="str">
        <f t="shared" si="7"/>
        <v>FALSO0/</v>
      </c>
    </row>
    <row r="287" spans="1:4" ht="122.25" customHeight="1" x14ac:dyDescent="0.25">
      <c r="A287" s="25">
        <f>INSCRITOS!O249</f>
        <v>0</v>
      </c>
      <c r="B287" s="8" t="b">
        <f t="shared" si="6"/>
        <v>0</v>
      </c>
      <c r="C287" s="10">
        <f>INSCRITOS!B249</f>
        <v>0</v>
      </c>
      <c r="D287" t="str">
        <f t="shared" si="7"/>
        <v>FALSO0/</v>
      </c>
    </row>
    <row r="288" spans="1:4" ht="122.25" customHeight="1" x14ac:dyDescent="0.25">
      <c r="A288" s="25">
        <f>INSCRITOS!O250</f>
        <v>0</v>
      </c>
      <c r="B288" s="8" t="b">
        <f t="shared" si="6"/>
        <v>0</v>
      </c>
      <c r="C288" s="10">
        <f>INSCRITOS!B250</f>
        <v>0</v>
      </c>
      <c r="D288" t="str">
        <f t="shared" si="7"/>
        <v>FALSO0/</v>
      </c>
    </row>
    <row r="289" spans="1:4" ht="122.25" customHeight="1" x14ac:dyDescent="0.25">
      <c r="A289" s="25">
        <f>INSCRITOS!O251</f>
        <v>0</v>
      </c>
      <c r="B289" s="8" t="b">
        <f t="shared" si="6"/>
        <v>0</v>
      </c>
      <c r="C289" s="10">
        <f>INSCRITOS!B251</f>
        <v>0</v>
      </c>
      <c r="D289" t="str">
        <f t="shared" si="7"/>
        <v>FALSO0/</v>
      </c>
    </row>
    <row r="290" spans="1:4" ht="122.25" customHeight="1" x14ac:dyDescent="0.25">
      <c r="A290" s="25">
        <f>INSCRITOS!O252</f>
        <v>0</v>
      </c>
      <c r="B290" s="8" t="b">
        <f t="shared" si="6"/>
        <v>0</v>
      </c>
      <c r="C290" s="10">
        <f>INSCRITOS!B252</f>
        <v>0</v>
      </c>
      <c r="D290" t="str">
        <f t="shared" si="7"/>
        <v>FALSO0/</v>
      </c>
    </row>
    <row r="291" spans="1:4" ht="122.25" customHeight="1" x14ac:dyDescent="0.25">
      <c r="A291" s="25">
        <f>INSCRITOS!O253</f>
        <v>0</v>
      </c>
      <c r="B291" s="8" t="b">
        <f t="shared" si="6"/>
        <v>0</v>
      </c>
      <c r="C291" s="10">
        <f>INSCRITOS!B253</f>
        <v>0</v>
      </c>
      <c r="D291" t="str">
        <f t="shared" si="7"/>
        <v>FALSO0/</v>
      </c>
    </row>
    <row r="292" spans="1:4" ht="122.25" customHeight="1" x14ac:dyDescent="0.25">
      <c r="A292" s="25">
        <f>INSCRITOS!O254</f>
        <v>0</v>
      </c>
      <c r="B292" s="8" t="b">
        <f t="shared" si="6"/>
        <v>0</v>
      </c>
      <c r="C292" s="10">
        <f>INSCRITOS!B254</f>
        <v>0</v>
      </c>
      <c r="D292" t="str">
        <f t="shared" si="7"/>
        <v>FALSO0/</v>
      </c>
    </row>
    <row r="293" spans="1:4" ht="122.25" customHeight="1" x14ac:dyDescent="0.25">
      <c r="A293" s="25">
        <f>INSCRITOS!O255</f>
        <v>0</v>
      </c>
      <c r="B293" s="8" t="b">
        <f t="shared" si="6"/>
        <v>0</v>
      </c>
      <c r="C293" s="10">
        <f>INSCRITOS!B255</f>
        <v>0</v>
      </c>
      <c r="D293" t="str">
        <f t="shared" si="7"/>
        <v>FALSO0/</v>
      </c>
    </row>
    <row r="294" spans="1:4" ht="122.25" customHeight="1" x14ac:dyDescent="0.25">
      <c r="A294" s="25">
        <f>INSCRITOS!O256</f>
        <v>0</v>
      </c>
      <c r="B294" s="8" t="b">
        <f t="shared" si="6"/>
        <v>0</v>
      </c>
      <c r="C294" s="10">
        <f>INSCRITOS!B256</f>
        <v>0</v>
      </c>
      <c r="D294" t="str">
        <f t="shared" si="7"/>
        <v>FALSO0/</v>
      </c>
    </row>
    <row r="295" spans="1:4" ht="122.25" customHeight="1" x14ac:dyDescent="0.25">
      <c r="A295" s="25">
        <f>INSCRITOS!O257</f>
        <v>0</v>
      </c>
      <c r="B295" s="8" t="b">
        <f t="shared" si="6"/>
        <v>0</v>
      </c>
      <c r="C295" s="10">
        <f>INSCRITOS!B257</f>
        <v>0</v>
      </c>
      <c r="D295" t="str">
        <f t="shared" si="7"/>
        <v>FALSO0/</v>
      </c>
    </row>
    <row r="296" spans="1:4" ht="122.25" customHeight="1" x14ac:dyDescent="0.25">
      <c r="A296" s="25">
        <f>INSCRITOS!O258</f>
        <v>0</v>
      </c>
      <c r="B296" s="8" t="b">
        <f t="shared" ref="B296:B355" si="8">IF(A296=$H$19,"https://centrodecapacitaciondelsur.com/o-v-e-",IF(A296=$H$2,"https://centrodecapacitaciondelsur.com/aph-",IF(A296=$H$3,"https://centrodecapacitaciondelsur.com/manejo-del-duelo-",IF(A296=$H$4,"https://centrodecapacitaciondelsur.com/victimas-por-agentes-quimicos-",IF(A296=$H$5,"https://centrodecapacitaciondelsur.com/primeros-auxilios-",IF(A296=$H$6,"https://centrodecapacitaciondelsur.com/uci-",IF(A296=$H$8,"https://centrodecapacitaciondelsur.com/humanizacion-",IF(A296=$H$11,"https://centrodecapacitaciondelsur.com/soporte-cardiovascular-avanzado-",IF(A296=$H$12,"https://centrodecapacitaciondelsur.com/camillero-",IF(A296=$H$13,"https://centrodecapacitaciondelsur.com/toma-de-muestras-y-lab-clinico-",IF(A296=$H$14,"https://centrodecapacitaciondelsur.com/soporte-basico-de-vida-",IF(A296=$H$15,"https://centrodecapacitaciondelsur.com/violencia-sexual-",IF(A296=$H$17,"https://centrodecapacitaciondelsur.com/aiepi-",IF(A296=$H$18,"https://centrodecapacitaciondelsur.com/adm-medicamentos-canalizacion-inyectologia-",IF(A296=$H$25,"https://centrodecapacitaciondelsur.com/manejo-del-dolor-y-cuidados-paliativos-",IF(A296=$H$26,"https://centrodecapacitaciondelsur.com/toma-de-muestras-y-lab-clinico-poct-",IF(A296=$H$27,"https://centrodecapacitaciondelsur.com/implante-subdermico-",IF(A296=$H$21,"https://centrodecapacitaciondelsur.com/donante-de-organos-",IF(A296=$H$30,"https://centrodecapacitaciondelsur.com/atencion-a-victimas-del-conflicto-armado-",IF(A296=$H$20,"https://centrodecapacitaciondelsur.com/iami-",IF(A296=$H$22,"https://centrodecapacitaciondelsur.com/violencia-de-genero-",IF(A296=$H$23,"https://centrodecapacitaciondelsur.com/igualdad-de-genero-",IF(A296=$H$16,"https://centrodecapacitaciondelsur.com/pai-",IF(A296=$H$31,"https://centrodecapacitaciondelsur.com/manipulacion-de-alimentos-",IF(A296=$H$32,"https://centrodecapacitaciondelsur.com/atencion-a-personas-con-discapacidad-",IF(A296=$H$33,"https://centrodecapacitaciondelsur.com/atencion-al-adulto-mayor-",IF(A296=$H$34,"https://centrodecapacitaciondelsur.com/manejo-defensivo-",IF(A296=$H$35,"https://centrodecapacitaciondelsur.com/soporte-basico-neonatal-",IF(A296=$H$36,"https://centrodecapacitaciondelsur.com/seguridad-del-paciente-",IF(A296=$H$37,"https://centrodecapacitaciondelsur.com/manejo-de-residuos-hospitalarios-",IF(A296=$H$10,"https://centrodecapacitaciondelsur.com/toma-de-citologia-")))))))))))))))))))))))))))))))</f>
        <v>0</v>
      </c>
      <c r="C296" s="10">
        <f>INSCRITOS!B258</f>
        <v>0</v>
      </c>
      <c r="D296" t="str">
        <f t="shared" ref="D296:D355" si="9">CONCATENATE(B296,C296,"/")</f>
        <v>FALSO0/</v>
      </c>
    </row>
    <row r="297" spans="1:4" ht="122.25" customHeight="1" x14ac:dyDescent="0.25">
      <c r="A297" s="25">
        <f>INSCRITOS!O259</f>
        <v>0</v>
      </c>
      <c r="B297" s="8" t="b">
        <f t="shared" si="8"/>
        <v>0</v>
      </c>
      <c r="C297" s="10">
        <f>INSCRITOS!B259</f>
        <v>0</v>
      </c>
      <c r="D297" t="str">
        <f t="shared" si="9"/>
        <v>FALSO0/</v>
      </c>
    </row>
    <row r="298" spans="1:4" ht="122.25" customHeight="1" x14ac:dyDescent="0.25">
      <c r="A298" s="25">
        <f>INSCRITOS!O260</f>
        <v>0</v>
      </c>
      <c r="B298" s="8" t="b">
        <f t="shared" si="8"/>
        <v>0</v>
      </c>
      <c r="C298" s="10">
        <f>INSCRITOS!B260</f>
        <v>0</v>
      </c>
      <c r="D298" t="str">
        <f t="shared" si="9"/>
        <v>FALSO0/</v>
      </c>
    </row>
    <row r="299" spans="1:4" ht="122.25" customHeight="1" x14ac:dyDescent="0.25">
      <c r="A299" s="25">
        <f>INSCRITOS!O261</f>
        <v>0</v>
      </c>
      <c r="B299" s="8" t="b">
        <f t="shared" si="8"/>
        <v>0</v>
      </c>
      <c r="C299" s="10">
        <f>INSCRITOS!B261</f>
        <v>0</v>
      </c>
      <c r="D299" t="str">
        <f t="shared" si="9"/>
        <v>FALSO0/</v>
      </c>
    </row>
    <row r="300" spans="1:4" ht="122.25" customHeight="1" x14ac:dyDescent="0.25">
      <c r="A300" s="25">
        <f>INSCRITOS!O262</f>
        <v>0</v>
      </c>
      <c r="B300" s="8" t="b">
        <f t="shared" si="8"/>
        <v>0</v>
      </c>
      <c r="C300" s="10">
        <f>INSCRITOS!B262</f>
        <v>0</v>
      </c>
      <c r="D300" t="str">
        <f t="shared" si="9"/>
        <v>FALSO0/</v>
      </c>
    </row>
    <row r="301" spans="1:4" ht="122.25" customHeight="1" x14ac:dyDescent="0.25">
      <c r="A301" s="25">
        <f>INSCRITOS!O263</f>
        <v>0</v>
      </c>
      <c r="B301" s="8" t="b">
        <f t="shared" si="8"/>
        <v>0</v>
      </c>
      <c r="C301" s="10">
        <f>INSCRITOS!B263</f>
        <v>0</v>
      </c>
      <c r="D301" t="str">
        <f t="shared" si="9"/>
        <v>FALSO0/</v>
      </c>
    </row>
    <row r="302" spans="1:4" ht="122.25" customHeight="1" x14ac:dyDescent="0.25">
      <c r="A302" s="25">
        <f>INSCRITOS!O264</f>
        <v>0</v>
      </c>
      <c r="B302" s="8" t="b">
        <f t="shared" si="8"/>
        <v>0</v>
      </c>
      <c r="C302" s="10">
        <f>INSCRITOS!B264</f>
        <v>0</v>
      </c>
      <c r="D302" t="str">
        <f t="shared" si="9"/>
        <v>FALSO0/</v>
      </c>
    </row>
    <row r="303" spans="1:4" ht="122.25" customHeight="1" x14ac:dyDescent="0.25">
      <c r="A303" s="25">
        <f>INSCRITOS!O265</f>
        <v>0</v>
      </c>
      <c r="B303" s="8" t="b">
        <f t="shared" si="8"/>
        <v>0</v>
      </c>
      <c r="C303" s="10">
        <f>INSCRITOS!B265</f>
        <v>0</v>
      </c>
      <c r="D303" t="str">
        <f t="shared" si="9"/>
        <v>FALSO0/</v>
      </c>
    </row>
    <row r="304" spans="1:4" ht="122.25" customHeight="1" x14ac:dyDescent="0.25">
      <c r="A304" s="25">
        <f>INSCRITOS!O266</f>
        <v>0</v>
      </c>
      <c r="B304" s="8" t="b">
        <f t="shared" si="8"/>
        <v>0</v>
      </c>
      <c r="C304" s="10">
        <f>INSCRITOS!B266</f>
        <v>0</v>
      </c>
      <c r="D304" t="str">
        <f t="shared" si="9"/>
        <v>FALSO0/</v>
      </c>
    </row>
    <row r="305" spans="1:4" ht="122.25" customHeight="1" x14ac:dyDescent="0.25">
      <c r="A305" s="25">
        <f>INSCRITOS!O267</f>
        <v>0</v>
      </c>
      <c r="B305" s="8" t="b">
        <f t="shared" si="8"/>
        <v>0</v>
      </c>
      <c r="C305" s="10">
        <f>INSCRITOS!B267</f>
        <v>0</v>
      </c>
      <c r="D305" t="str">
        <f t="shared" si="9"/>
        <v>FALSO0/</v>
      </c>
    </row>
    <row r="306" spans="1:4" ht="122.25" customHeight="1" x14ac:dyDescent="0.25">
      <c r="A306" s="25">
        <f>INSCRITOS!O268</f>
        <v>0</v>
      </c>
      <c r="B306" s="8" t="b">
        <f t="shared" si="8"/>
        <v>0</v>
      </c>
      <c r="C306" s="10">
        <f>INSCRITOS!B268</f>
        <v>0</v>
      </c>
      <c r="D306" t="str">
        <f t="shared" si="9"/>
        <v>FALSO0/</v>
      </c>
    </row>
    <row r="307" spans="1:4" ht="122.25" customHeight="1" x14ac:dyDescent="0.25">
      <c r="A307" s="25">
        <f>INSCRITOS!O269</f>
        <v>0</v>
      </c>
      <c r="B307" s="8" t="b">
        <f t="shared" si="8"/>
        <v>0</v>
      </c>
      <c r="C307" s="10">
        <f>INSCRITOS!B269</f>
        <v>0</v>
      </c>
      <c r="D307" t="str">
        <f t="shared" si="9"/>
        <v>FALSO0/</v>
      </c>
    </row>
    <row r="308" spans="1:4" ht="122.25" customHeight="1" x14ac:dyDescent="0.25">
      <c r="A308" s="25">
        <f>INSCRITOS!O270</f>
        <v>0</v>
      </c>
      <c r="B308" s="8" t="b">
        <f t="shared" si="8"/>
        <v>0</v>
      </c>
      <c r="C308" s="10">
        <f>INSCRITOS!B270</f>
        <v>0</v>
      </c>
      <c r="D308" t="str">
        <f t="shared" si="9"/>
        <v>FALSO0/</v>
      </c>
    </row>
    <row r="309" spans="1:4" ht="122.25" customHeight="1" x14ac:dyDescent="0.25">
      <c r="A309" s="25">
        <f>INSCRITOS!O271</f>
        <v>0</v>
      </c>
      <c r="B309" s="8" t="b">
        <f t="shared" si="8"/>
        <v>0</v>
      </c>
      <c r="C309" s="10">
        <f>INSCRITOS!B271</f>
        <v>0</v>
      </c>
      <c r="D309" t="str">
        <f t="shared" si="9"/>
        <v>FALSO0/</v>
      </c>
    </row>
    <row r="310" spans="1:4" ht="122.25" customHeight="1" x14ac:dyDescent="0.25">
      <c r="A310" s="25">
        <f>INSCRITOS!O272</f>
        <v>0</v>
      </c>
      <c r="B310" s="8" t="b">
        <f t="shared" si="8"/>
        <v>0</v>
      </c>
      <c r="C310" s="10">
        <f>INSCRITOS!B272</f>
        <v>0</v>
      </c>
      <c r="D310" t="str">
        <f t="shared" si="9"/>
        <v>FALSO0/</v>
      </c>
    </row>
    <row r="311" spans="1:4" ht="122.25" customHeight="1" x14ac:dyDescent="0.25">
      <c r="A311" s="25">
        <f>INSCRITOS!O273</f>
        <v>0</v>
      </c>
      <c r="B311" s="8" t="b">
        <f t="shared" si="8"/>
        <v>0</v>
      </c>
      <c r="C311" s="10">
        <f>INSCRITOS!B273</f>
        <v>0</v>
      </c>
      <c r="D311" t="str">
        <f t="shared" si="9"/>
        <v>FALSO0/</v>
      </c>
    </row>
    <row r="312" spans="1:4" ht="122.25" customHeight="1" x14ac:dyDescent="0.25">
      <c r="A312" s="25">
        <f>INSCRITOS!O274</f>
        <v>0</v>
      </c>
      <c r="B312" s="8" t="b">
        <f t="shared" si="8"/>
        <v>0</v>
      </c>
      <c r="C312" s="10">
        <f>INSCRITOS!B274</f>
        <v>0</v>
      </c>
      <c r="D312" t="str">
        <f t="shared" si="9"/>
        <v>FALSO0/</v>
      </c>
    </row>
    <row r="313" spans="1:4" ht="122.25" customHeight="1" x14ac:dyDescent="0.25">
      <c r="A313" s="25">
        <f>INSCRITOS!O275</f>
        <v>0</v>
      </c>
      <c r="B313" s="8" t="b">
        <f t="shared" si="8"/>
        <v>0</v>
      </c>
      <c r="C313" s="10">
        <f>INSCRITOS!B275</f>
        <v>0</v>
      </c>
      <c r="D313" t="str">
        <f t="shared" si="9"/>
        <v>FALSO0/</v>
      </c>
    </row>
    <row r="314" spans="1:4" ht="122.25" customHeight="1" x14ac:dyDescent="0.25">
      <c r="A314" s="25">
        <f>INSCRITOS!O276</f>
        <v>0</v>
      </c>
      <c r="B314" s="8" t="b">
        <f t="shared" si="8"/>
        <v>0</v>
      </c>
      <c r="C314" s="10">
        <f>INSCRITOS!B276</f>
        <v>0</v>
      </c>
      <c r="D314" t="str">
        <f t="shared" si="9"/>
        <v>FALSO0/</v>
      </c>
    </row>
    <row r="315" spans="1:4" ht="122.25" customHeight="1" x14ac:dyDescent="0.25">
      <c r="A315" s="25">
        <f>INSCRITOS!O277</f>
        <v>0</v>
      </c>
      <c r="B315" s="8" t="b">
        <f t="shared" si="8"/>
        <v>0</v>
      </c>
      <c r="C315" s="10">
        <f>INSCRITOS!B277</f>
        <v>0</v>
      </c>
      <c r="D315" t="str">
        <f t="shared" si="9"/>
        <v>FALSO0/</v>
      </c>
    </row>
    <row r="316" spans="1:4" ht="122.25" customHeight="1" x14ac:dyDescent="0.25">
      <c r="A316" s="25">
        <f>INSCRITOS!O278</f>
        <v>0</v>
      </c>
      <c r="B316" s="8" t="b">
        <f t="shared" si="8"/>
        <v>0</v>
      </c>
      <c r="C316" s="10">
        <f>INSCRITOS!B278</f>
        <v>0</v>
      </c>
      <c r="D316" t="str">
        <f t="shared" si="9"/>
        <v>FALSO0/</v>
      </c>
    </row>
    <row r="317" spans="1:4" ht="122.25" customHeight="1" x14ac:dyDescent="0.25">
      <c r="A317" s="25">
        <f>INSCRITOS!O279</f>
        <v>0</v>
      </c>
      <c r="B317" s="8" t="b">
        <f t="shared" si="8"/>
        <v>0</v>
      </c>
      <c r="C317" s="10">
        <f>INSCRITOS!B279</f>
        <v>0</v>
      </c>
      <c r="D317" t="str">
        <f t="shared" si="9"/>
        <v>FALSO0/</v>
      </c>
    </row>
    <row r="318" spans="1:4" ht="122.25" customHeight="1" x14ac:dyDescent="0.25">
      <c r="A318" s="25">
        <f>INSCRITOS!O280</f>
        <v>0</v>
      </c>
      <c r="B318" s="8" t="b">
        <f t="shared" si="8"/>
        <v>0</v>
      </c>
      <c r="C318" s="10">
        <f>INSCRITOS!B280</f>
        <v>0</v>
      </c>
      <c r="D318" t="str">
        <f t="shared" si="9"/>
        <v>FALSO0/</v>
      </c>
    </row>
    <row r="319" spans="1:4" ht="122.25" customHeight="1" x14ac:dyDescent="0.25">
      <c r="A319" s="25">
        <f>INSCRITOS!O281</f>
        <v>0</v>
      </c>
      <c r="B319" s="8" t="b">
        <f t="shared" si="8"/>
        <v>0</v>
      </c>
      <c r="C319" s="10">
        <f>INSCRITOS!B281</f>
        <v>0</v>
      </c>
      <c r="D319" t="str">
        <f t="shared" si="9"/>
        <v>FALSO0/</v>
      </c>
    </row>
    <row r="320" spans="1:4" ht="122.25" customHeight="1" x14ac:dyDescent="0.25">
      <c r="A320" s="25">
        <f>INSCRITOS!O282</f>
        <v>0</v>
      </c>
      <c r="B320" s="8" t="b">
        <f t="shared" si="8"/>
        <v>0</v>
      </c>
      <c r="C320" s="10">
        <f>INSCRITOS!B282</f>
        <v>0</v>
      </c>
      <c r="D320" t="str">
        <f t="shared" si="9"/>
        <v>FALSO0/</v>
      </c>
    </row>
    <row r="321" spans="1:4" ht="122.25" customHeight="1" x14ac:dyDescent="0.25">
      <c r="A321" s="25">
        <f>INSCRITOS!O283</f>
        <v>0</v>
      </c>
      <c r="B321" s="8" t="b">
        <f t="shared" si="8"/>
        <v>0</v>
      </c>
      <c r="C321" s="10">
        <f>INSCRITOS!B283</f>
        <v>0</v>
      </c>
      <c r="D321" t="str">
        <f t="shared" si="9"/>
        <v>FALSO0/</v>
      </c>
    </row>
    <row r="322" spans="1:4" ht="122.25" customHeight="1" x14ac:dyDescent="0.25">
      <c r="A322" s="25">
        <f>INSCRITOS!O284</f>
        <v>0</v>
      </c>
      <c r="B322" s="8" t="b">
        <f t="shared" si="8"/>
        <v>0</v>
      </c>
      <c r="C322" s="10">
        <f>INSCRITOS!B284</f>
        <v>0</v>
      </c>
      <c r="D322" t="str">
        <f t="shared" si="9"/>
        <v>FALSO0/</v>
      </c>
    </row>
    <row r="323" spans="1:4" ht="122.25" customHeight="1" x14ac:dyDescent="0.25">
      <c r="A323" s="25">
        <f>INSCRITOS!O285</f>
        <v>0</v>
      </c>
      <c r="B323" s="8" t="b">
        <f t="shared" si="8"/>
        <v>0</v>
      </c>
      <c r="C323" s="10">
        <f>INSCRITOS!B285</f>
        <v>0</v>
      </c>
      <c r="D323" t="str">
        <f t="shared" si="9"/>
        <v>FALSO0/</v>
      </c>
    </row>
    <row r="324" spans="1:4" ht="122.25" customHeight="1" x14ac:dyDescent="0.25">
      <c r="A324" s="25">
        <f>INSCRITOS!O286</f>
        <v>0</v>
      </c>
      <c r="B324" s="8" t="b">
        <f t="shared" si="8"/>
        <v>0</v>
      </c>
      <c r="C324" s="10">
        <f>INSCRITOS!B286</f>
        <v>0</v>
      </c>
      <c r="D324" t="str">
        <f t="shared" si="9"/>
        <v>FALSO0/</v>
      </c>
    </row>
    <row r="325" spans="1:4" ht="122.25" customHeight="1" x14ac:dyDescent="0.25">
      <c r="A325" s="25">
        <f>INSCRITOS!O287</f>
        <v>0</v>
      </c>
      <c r="B325" s="8" t="b">
        <f t="shared" si="8"/>
        <v>0</v>
      </c>
      <c r="C325" s="10">
        <f>INSCRITOS!B287</f>
        <v>0</v>
      </c>
      <c r="D325" t="str">
        <f t="shared" si="9"/>
        <v>FALSO0/</v>
      </c>
    </row>
    <row r="326" spans="1:4" ht="122.25" customHeight="1" x14ac:dyDescent="0.25">
      <c r="A326" s="25">
        <f>INSCRITOS!O288</f>
        <v>0</v>
      </c>
      <c r="B326" s="8" t="b">
        <f t="shared" si="8"/>
        <v>0</v>
      </c>
      <c r="C326" s="10">
        <f>INSCRITOS!B288</f>
        <v>0</v>
      </c>
      <c r="D326" t="str">
        <f t="shared" si="9"/>
        <v>FALSO0/</v>
      </c>
    </row>
    <row r="327" spans="1:4" ht="122.25" customHeight="1" x14ac:dyDescent="0.25">
      <c r="A327" s="25">
        <f>INSCRITOS!O289</f>
        <v>0</v>
      </c>
      <c r="B327" s="8" t="b">
        <f t="shared" si="8"/>
        <v>0</v>
      </c>
      <c r="C327" s="10">
        <f>INSCRITOS!B289</f>
        <v>0</v>
      </c>
      <c r="D327" t="str">
        <f t="shared" si="9"/>
        <v>FALSO0/</v>
      </c>
    </row>
    <row r="328" spans="1:4" ht="122.25" customHeight="1" x14ac:dyDescent="0.25">
      <c r="A328" s="25">
        <f>INSCRITOS!O290</f>
        <v>0</v>
      </c>
      <c r="B328" s="8" t="b">
        <f t="shared" si="8"/>
        <v>0</v>
      </c>
      <c r="C328" s="10">
        <f>INSCRITOS!B290</f>
        <v>0</v>
      </c>
      <c r="D328" t="str">
        <f t="shared" si="9"/>
        <v>FALSO0/</v>
      </c>
    </row>
    <row r="329" spans="1:4" ht="122.25" customHeight="1" x14ac:dyDescent="0.25">
      <c r="A329" s="25">
        <f>INSCRITOS!O291</f>
        <v>0</v>
      </c>
      <c r="B329" s="8" t="b">
        <f t="shared" si="8"/>
        <v>0</v>
      </c>
      <c r="C329" s="10">
        <f>INSCRITOS!B291</f>
        <v>0</v>
      </c>
      <c r="D329" t="str">
        <f t="shared" si="9"/>
        <v>FALSO0/</v>
      </c>
    </row>
    <row r="330" spans="1:4" ht="122.25" customHeight="1" x14ac:dyDescent="0.25">
      <c r="A330" s="25">
        <f>INSCRITOS!O292</f>
        <v>0</v>
      </c>
      <c r="B330" s="8" t="b">
        <f t="shared" si="8"/>
        <v>0</v>
      </c>
      <c r="C330" s="10">
        <f>INSCRITOS!B292</f>
        <v>0</v>
      </c>
      <c r="D330" t="str">
        <f t="shared" si="9"/>
        <v>FALSO0/</v>
      </c>
    </row>
    <row r="331" spans="1:4" ht="122.25" customHeight="1" x14ac:dyDescent="0.25">
      <c r="A331" s="25">
        <f>INSCRITOS!O293</f>
        <v>0</v>
      </c>
      <c r="B331" s="8" t="b">
        <f t="shared" si="8"/>
        <v>0</v>
      </c>
      <c r="C331" s="10">
        <f>INSCRITOS!B293</f>
        <v>0</v>
      </c>
      <c r="D331" t="str">
        <f t="shared" si="9"/>
        <v>FALSO0/</v>
      </c>
    </row>
    <row r="332" spans="1:4" ht="122.25" customHeight="1" x14ac:dyDescent="0.25">
      <c r="A332" s="25">
        <f>INSCRITOS!O294</f>
        <v>0</v>
      </c>
      <c r="B332" s="8" t="b">
        <f t="shared" si="8"/>
        <v>0</v>
      </c>
      <c r="C332" s="10">
        <f>INSCRITOS!B294</f>
        <v>0</v>
      </c>
      <c r="D332" t="str">
        <f t="shared" si="9"/>
        <v>FALSO0/</v>
      </c>
    </row>
    <row r="333" spans="1:4" ht="122.25" customHeight="1" x14ac:dyDescent="0.25">
      <c r="A333" s="25">
        <f>INSCRITOS!O295</f>
        <v>0</v>
      </c>
      <c r="B333" s="8" t="b">
        <f t="shared" si="8"/>
        <v>0</v>
      </c>
      <c r="C333" s="10">
        <f>INSCRITOS!B295</f>
        <v>0</v>
      </c>
      <c r="D333" t="str">
        <f t="shared" si="9"/>
        <v>FALSO0/</v>
      </c>
    </row>
    <row r="334" spans="1:4" ht="122.25" customHeight="1" x14ac:dyDescent="0.25">
      <c r="A334" s="25">
        <f>INSCRITOS!O296</f>
        <v>0</v>
      </c>
      <c r="B334" s="8" t="b">
        <f t="shared" si="8"/>
        <v>0</v>
      </c>
      <c r="C334" s="10">
        <f>INSCRITOS!B296</f>
        <v>0</v>
      </c>
      <c r="D334" t="str">
        <f t="shared" si="9"/>
        <v>FALSO0/</v>
      </c>
    </row>
    <row r="335" spans="1:4" ht="122.25" customHeight="1" x14ac:dyDescent="0.25">
      <c r="A335" s="25">
        <f>INSCRITOS!O297</f>
        <v>0</v>
      </c>
      <c r="B335" s="8" t="b">
        <f t="shared" si="8"/>
        <v>0</v>
      </c>
      <c r="C335" s="10">
        <f>INSCRITOS!B297</f>
        <v>0</v>
      </c>
      <c r="D335" t="str">
        <f t="shared" si="9"/>
        <v>FALSO0/</v>
      </c>
    </row>
    <row r="336" spans="1:4" ht="122.25" customHeight="1" x14ac:dyDescent="0.25">
      <c r="A336" s="25">
        <f>INSCRITOS!O298</f>
        <v>0</v>
      </c>
      <c r="B336" s="8" t="b">
        <f t="shared" si="8"/>
        <v>0</v>
      </c>
      <c r="C336" s="10">
        <f>INSCRITOS!B298</f>
        <v>0</v>
      </c>
      <c r="D336" t="str">
        <f t="shared" si="9"/>
        <v>FALSO0/</v>
      </c>
    </row>
    <row r="337" spans="1:4" ht="122.25" customHeight="1" x14ac:dyDescent="0.25">
      <c r="A337" s="25">
        <f>INSCRITOS!O299</f>
        <v>0</v>
      </c>
      <c r="B337" s="8" t="b">
        <f t="shared" si="8"/>
        <v>0</v>
      </c>
      <c r="C337" s="10">
        <f>INSCRITOS!B299</f>
        <v>0</v>
      </c>
      <c r="D337" t="str">
        <f t="shared" si="9"/>
        <v>FALSO0/</v>
      </c>
    </row>
    <row r="338" spans="1:4" ht="122.25" customHeight="1" x14ac:dyDescent="0.25">
      <c r="A338" s="25">
        <f>INSCRITOS!O300</f>
        <v>0</v>
      </c>
      <c r="B338" s="8" t="b">
        <f t="shared" si="8"/>
        <v>0</v>
      </c>
      <c r="C338" s="10">
        <f>INSCRITOS!B300</f>
        <v>0</v>
      </c>
      <c r="D338" t="str">
        <f t="shared" si="9"/>
        <v>FALSO0/</v>
      </c>
    </row>
    <row r="339" spans="1:4" ht="122.25" customHeight="1" x14ac:dyDescent="0.25">
      <c r="A339" s="25">
        <f>INSCRITOS!O301</f>
        <v>0</v>
      </c>
      <c r="B339" s="8" t="b">
        <f t="shared" si="8"/>
        <v>0</v>
      </c>
      <c r="C339" s="10">
        <f>INSCRITOS!B301</f>
        <v>0</v>
      </c>
      <c r="D339" t="str">
        <f t="shared" si="9"/>
        <v>FALSO0/</v>
      </c>
    </row>
    <row r="340" spans="1:4" ht="122.25" customHeight="1" x14ac:dyDescent="0.25">
      <c r="A340" s="25">
        <f>INSCRITOS!O302</f>
        <v>0</v>
      </c>
      <c r="B340" s="8" t="b">
        <f t="shared" si="8"/>
        <v>0</v>
      </c>
      <c r="C340" s="10">
        <f>INSCRITOS!B302</f>
        <v>0</v>
      </c>
      <c r="D340" t="str">
        <f t="shared" si="9"/>
        <v>FALSO0/</v>
      </c>
    </row>
    <row r="341" spans="1:4" ht="122.25" customHeight="1" x14ac:dyDescent="0.25">
      <c r="A341" s="25">
        <f>INSCRITOS!O303</f>
        <v>0</v>
      </c>
      <c r="B341" s="8" t="b">
        <f t="shared" si="8"/>
        <v>0</v>
      </c>
      <c r="C341" s="10">
        <f>INSCRITOS!B303</f>
        <v>0</v>
      </c>
      <c r="D341" t="str">
        <f t="shared" si="9"/>
        <v>FALSO0/</v>
      </c>
    </row>
    <row r="342" spans="1:4" ht="122.25" customHeight="1" x14ac:dyDescent="0.25">
      <c r="A342" s="25">
        <f>INSCRITOS!O304</f>
        <v>0</v>
      </c>
      <c r="B342" s="8" t="b">
        <f t="shared" si="8"/>
        <v>0</v>
      </c>
      <c r="C342" s="10">
        <f>INSCRITOS!B304</f>
        <v>0</v>
      </c>
      <c r="D342" t="str">
        <f t="shared" si="9"/>
        <v>FALSO0/</v>
      </c>
    </row>
    <row r="343" spans="1:4" ht="122.25" customHeight="1" x14ac:dyDescent="0.25">
      <c r="A343" s="25">
        <f>INSCRITOS!O305</f>
        <v>0</v>
      </c>
      <c r="B343" s="8" t="b">
        <f t="shared" si="8"/>
        <v>0</v>
      </c>
      <c r="C343" s="10">
        <f>INSCRITOS!B305</f>
        <v>0</v>
      </c>
      <c r="D343" t="str">
        <f t="shared" si="9"/>
        <v>FALSO0/</v>
      </c>
    </row>
    <row r="344" spans="1:4" ht="122.25" customHeight="1" x14ac:dyDescent="0.25">
      <c r="A344" s="25">
        <f>INSCRITOS!O306</f>
        <v>0</v>
      </c>
      <c r="B344" s="8" t="b">
        <f t="shared" si="8"/>
        <v>0</v>
      </c>
      <c r="C344" s="10">
        <f>INSCRITOS!B306</f>
        <v>0</v>
      </c>
      <c r="D344" t="str">
        <f t="shared" si="9"/>
        <v>FALSO0/</v>
      </c>
    </row>
    <row r="345" spans="1:4" ht="122.25" customHeight="1" x14ac:dyDescent="0.25">
      <c r="A345" s="25">
        <f>INSCRITOS!O307</f>
        <v>0</v>
      </c>
      <c r="B345" s="8" t="b">
        <f t="shared" si="8"/>
        <v>0</v>
      </c>
      <c r="C345" s="10">
        <f>INSCRITOS!B307</f>
        <v>0</v>
      </c>
      <c r="D345" t="str">
        <f t="shared" si="9"/>
        <v>FALSO0/</v>
      </c>
    </row>
    <row r="346" spans="1:4" ht="122.25" customHeight="1" x14ac:dyDescent="0.25">
      <c r="A346" s="25">
        <f>INSCRITOS!O308</f>
        <v>0</v>
      </c>
      <c r="B346" s="8" t="b">
        <f t="shared" si="8"/>
        <v>0</v>
      </c>
      <c r="C346" s="10">
        <f>INSCRITOS!B308</f>
        <v>0</v>
      </c>
      <c r="D346" t="str">
        <f t="shared" si="9"/>
        <v>FALSO0/</v>
      </c>
    </row>
    <row r="347" spans="1:4" ht="122.25" customHeight="1" x14ac:dyDescent="0.25">
      <c r="A347" s="25">
        <f>INSCRITOS!O309</f>
        <v>0</v>
      </c>
      <c r="B347" s="8" t="b">
        <f t="shared" si="8"/>
        <v>0</v>
      </c>
      <c r="C347" s="10">
        <f>INSCRITOS!B309</f>
        <v>0</v>
      </c>
      <c r="D347" t="str">
        <f t="shared" si="9"/>
        <v>FALSO0/</v>
      </c>
    </row>
    <row r="348" spans="1:4" ht="122.25" customHeight="1" x14ac:dyDescent="0.25">
      <c r="A348" s="25">
        <f>INSCRITOS!O310</f>
        <v>0</v>
      </c>
      <c r="B348" s="8" t="b">
        <f t="shared" si="8"/>
        <v>0</v>
      </c>
      <c r="C348" s="10">
        <f>INSCRITOS!B310</f>
        <v>0</v>
      </c>
      <c r="D348" t="str">
        <f t="shared" si="9"/>
        <v>FALSO0/</v>
      </c>
    </row>
    <row r="349" spans="1:4" ht="122.25" customHeight="1" x14ac:dyDescent="0.25">
      <c r="A349" s="25">
        <f>INSCRITOS!O311</f>
        <v>0</v>
      </c>
      <c r="B349" s="8" t="b">
        <f t="shared" si="8"/>
        <v>0</v>
      </c>
      <c r="C349" s="10">
        <f>INSCRITOS!B311</f>
        <v>0</v>
      </c>
      <c r="D349" t="str">
        <f t="shared" si="9"/>
        <v>FALSO0/</v>
      </c>
    </row>
    <row r="350" spans="1:4" ht="122.25" customHeight="1" x14ac:dyDescent="0.25">
      <c r="A350" s="25">
        <f>INSCRITOS!O312</f>
        <v>0</v>
      </c>
      <c r="B350" s="8" t="b">
        <f t="shared" si="8"/>
        <v>0</v>
      </c>
      <c r="C350" s="10">
        <f>INSCRITOS!B312</f>
        <v>0</v>
      </c>
      <c r="D350" t="str">
        <f t="shared" si="9"/>
        <v>FALSO0/</v>
      </c>
    </row>
    <row r="351" spans="1:4" ht="122.25" customHeight="1" x14ac:dyDescent="0.25">
      <c r="A351" s="25">
        <f>INSCRITOS!O313</f>
        <v>0</v>
      </c>
      <c r="B351" s="8" t="b">
        <f t="shared" si="8"/>
        <v>0</v>
      </c>
      <c r="C351" s="10">
        <f>INSCRITOS!B313</f>
        <v>0</v>
      </c>
      <c r="D351" t="str">
        <f t="shared" si="9"/>
        <v>FALSO0/</v>
      </c>
    </row>
    <row r="352" spans="1:4" ht="122.25" customHeight="1" x14ac:dyDescent="0.25">
      <c r="A352" s="25">
        <f>INSCRITOS!O314</f>
        <v>0</v>
      </c>
      <c r="B352" s="8" t="b">
        <f t="shared" si="8"/>
        <v>0</v>
      </c>
      <c r="C352" s="10">
        <f>INSCRITOS!B314</f>
        <v>0</v>
      </c>
      <c r="D352" t="str">
        <f t="shared" si="9"/>
        <v>FALSO0/</v>
      </c>
    </row>
    <row r="353" spans="1:4" ht="122.25" customHeight="1" x14ac:dyDescent="0.25">
      <c r="A353" s="25">
        <f>INSCRITOS!O315</f>
        <v>0</v>
      </c>
      <c r="B353" s="8" t="b">
        <f t="shared" si="8"/>
        <v>0</v>
      </c>
      <c r="C353" s="10">
        <f>INSCRITOS!B315</f>
        <v>0</v>
      </c>
      <c r="D353" t="str">
        <f t="shared" si="9"/>
        <v>FALSO0/</v>
      </c>
    </row>
    <row r="354" spans="1:4" ht="122.25" customHeight="1" x14ac:dyDescent="0.25">
      <c r="A354" s="25">
        <f>INSCRITOS!O316</f>
        <v>0</v>
      </c>
      <c r="B354" s="8" t="b">
        <f t="shared" si="8"/>
        <v>0</v>
      </c>
      <c r="C354" s="10">
        <f>INSCRITOS!B316</f>
        <v>0</v>
      </c>
      <c r="D354" t="str">
        <f t="shared" si="9"/>
        <v>FALSO0/</v>
      </c>
    </row>
    <row r="355" spans="1:4" ht="122.25" customHeight="1" x14ac:dyDescent="0.25">
      <c r="A355" s="25">
        <f>INSCRITOS!O317</f>
        <v>0</v>
      </c>
      <c r="B355" s="8" t="b">
        <f t="shared" si="8"/>
        <v>0</v>
      </c>
      <c r="C355" s="10">
        <f>INSCRITOS!B317</f>
        <v>0</v>
      </c>
      <c r="D355" t="str">
        <f t="shared" si="9"/>
        <v>FALSO0/</v>
      </c>
    </row>
  </sheetData>
  <hyperlinks>
    <hyperlink ref="B39" r:id="rId1" display="https://centrodecapacitaciondelsur.com/soporte-basico-de-vida-" xr:uid="{00000000-0004-0000-0200-000000000000}"/>
    <hyperlink ref="D32" r:id="rId2" xr:uid="{00000000-0004-0000-0200-000001000000}"/>
    <hyperlink ref="B40:B355" r:id="rId3" display="https://centrodecapacitaciondelsur.com/soporte-basico-de-vida-" xr:uid="{5992913C-3151-4E3E-846A-E3D1C9F916A7}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INSCRITOS</vt:lpstr>
      <vt:lpstr>CURSOS</vt:lpstr>
      <vt:lpstr>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Hugo Cabrera</cp:lastModifiedBy>
  <cp:lastPrinted>2023-10-09T20:56:18Z</cp:lastPrinted>
  <dcterms:created xsi:type="dcterms:W3CDTF">2023-09-02T16:45:54Z</dcterms:created>
  <dcterms:modified xsi:type="dcterms:W3CDTF">2025-04-02T04:01:01Z</dcterms:modified>
</cp:coreProperties>
</file>