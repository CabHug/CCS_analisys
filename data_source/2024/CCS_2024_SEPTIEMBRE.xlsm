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DESKTOP-EGV7T27\ccs\CCS\2.Certificado\2024\9.SEPTIEMBRE\"/>
    </mc:Choice>
  </mc:AlternateContent>
  <xr:revisionPtr revIDLastSave="0" documentId="13_ncr:1_{07500248-1D95-4591-8A2C-09E6CFB2AEFA}" xr6:coauthVersionLast="47" xr6:coauthVersionMax="47" xr10:uidLastSave="{00000000-0000-0000-0000-000000000000}"/>
  <bookViews>
    <workbookView xWindow="-120" yWindow="-120" windowWidth="21840" windowHeight="13140" tabRatio="574" activeTab="1" xr2:uid="{00000000-000D-0000-FFFF-FFFF00000000}"/>
  </bookViews>
  <sheets>
    <sheet name="INSCRITOS" sheetId="1" r:id="rId1"/>
    <sheet name="TUQUERRES" sheetId="8" r:id="rId2"/>
    <sheet name="CURSOS" sheetId="2" r:id="rId3"/>
    <sheet name="LINK" sheetId="7" r:id="rId4"/>
  </sheets>
  <functionGroups builtInGroupCount="19"/>
  <definedNames>
    <definedName name="_xlnm._FilterDatabase" localSheetId="0" hidden="1">INSCRITOS!$A$1:$X$197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8" i="1" l="1"/>
  <c r="V78" i="1"/>
  <c r="W78" i="1" s="1"/>
  <c r="X78" i="1" l="1"/>
  <c r="U195" i="1"/>
  <c r="V195" i="1"/>
  <c r="W195" i="1" s="1"/>
  <c r="U196" i="1"/>
  <c r="V196" i="1"/>
  <c r="W196" i="1" s="1"/>
  <c r="U197" i="1"/>
  <c r="V197" i="1"/>
  <c r="W197" i="1" s="1"/>
  <c r="J12" i="8"/>
  <c r="A40" i="7"/>
  <c r="B40" i="7" s="1"/>
  <c r="C40" i="7"/>
  <c r="A41" i="7"/>
  <c r="B41" i="7" s="1"/>
  <c r="C41" i="7"/>
  <c r="A42" i="7"/>
  <c r="B42" i="7" s="1"/>
  <c r="C42" i="7"/>
  <c r="A43" i="7"/>
  <c r="B43" i="7" s="1"/>
  <c r="C43" i="7"/>
  <c r="A44" i="7"/>
  <c r="B44" i="7" s="1"/>
  <c r="C44" i="7"/>
  <c r="A45" i="7"/>
  <c r="B45" i="7" s="1"/>
  <c r="C45" i="7"/>
  <c r="A46" i="7"/>
  <c r="B46" i="7" s="1"/>
  <c r="C46" i="7"/>
  <c r="A47" i="7"/>
  <c r="B47" i="7" s="1"/>
  <c r="C47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C55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C61" i="7"/>
  <c r="A62" i="7"/>
  <c r="B62" i="7" s="1"/>
  <c r="C62" i="7"/>
  <c r="A63" i="7"/>
  <c r="B63" i="7" s="1"/>
  <c r="C63" i="7"/>
  <c r="A64" i="7"/>
  <c r="B64" i="7" s="1"/>
  <c r="C64" i="7"/>
  <c r="A65" i="7"/>
  <c r="B65" i="7" s="1"/>
  <c r="C65" i="7"/>
  <c r="A66" i="7"/>
  <c r="B66" i="7" s="1"/>
  <c r="C66" i="7"/>
  <c r="A67" i="7"/>
  <c r="B67" i="7" s="1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A74" i="7"/>
  <c r="B74" i="7" s="1"/>
  <c r="C74" i="7"/>
  <c r="A75" i="7"/>
  <c r="B75" i="7" s="1"/>
  <c r="C75" i="7"/>
  <c r="A76" i="7"/>
  <c r="B76" i="7" s="1"/>
  <c r="C76" i="7"/>
  <c r="A77" i="7"/>
  <c r="B77" i="7" s="1"/>
  <c r="C77" i="7"/>
  <c r="A78" i="7"/>
  <c r="B78" i="7" s="1"/>
  <c r="C78" i="7"/>
  <c r="A79" i="7"/>
  <c r="B79" i="7" s="1"/>
  <c r="C79" i="7"/>
  <c r="A80" i="7"/>
  <c r="B80" i="7" s="1"/>
  <c r="C80" i="7"/>
  <c r="A81" i="7"/>
  <c r="B81" i="7" s="1"/>
  <c r="C81" i="7"/>
  <c r="A82" i="7"/>
  <c r="B82" i="7" s="1"/>
  <c r="C82" i="7"/>
  <c r="A83" i="7"/>
  <c r="B83" i="7" s="1"/>
  <c r="C83" i="7"/>
  <c r="A84" i="7"/>
  <c r="B84" i="7" s="1"/>
  <c r="C84" i="7"/>
  <c r="A85" i="7"/>
  <c r="B85" i="7" s="1"/>
  <c r="C85" i="7"/>
  <c r="A86" i="7"/>
  <c r="B86" i="7" s="1"/>
  <c r="C86" i="7"/>
  <c r="A87" i="7"/>
  <c r="B87" i="7" s="1"/>
  <c r="C87" i="7"/>
  <c r="A88" i="7"/>
  <c r="B88" i="7" s="1"/>
  <c r="C88" i="7"/>
  <c r="A89" i="7"/>
  <c r="B89" i="7" s="1"/>
  <c r="C89" i="7"/>
  <c r="A90" i="7"/>
  <c r="B90" i="7" s="1"/>
  <c r="C90" i="7"/>
  <c r="A91" i="7"/>
  <c r="B91" i="7" s="1"/>
  <c r="C91" i="7"/>
  <c r="A92" i="7"/>
  <c r="B92" i="7" s="1"/>
  <c r="C92" i="7"/>
  <c r="A93" i="7"/>
  <c r="B93" i="7" s="1"/>
  <c r="C93" i="7"/>
  <c r="A94" i="7"/>
  <c r="B94" i="7" s="1"/>
  <c r="C94" i="7"/>
  <c r="A95" i="7"/>
  <c r="B95" i="7" s="1"/>
  <c r="C95" i="7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 s="1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C123" i="7"/>
  <c r="A124" i="7"/>
  <c r="B124" i="7" s="1"/>
  <c r="C124" i="7"/>
  <c r="A125" i="7"/>
  <c r="B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C135" i="7"/>
  <c r="A136" i="7"/>
  <c r="B136" i="7" s="1"/>
  <c r="C136" i="7"/>
  <c r="A137" i="7"/>
  <c r="B137" i="7" s="1"/>
  <c r="C137" i="7"/>
  <c r="A138" i="7"/>
  <c r="B138" i="7" s="1"/>
  <c r="C138" i="7"/>
  <c r="A139" i="7"/>
  <c r="B139" i="7" s="1"/>
  <c r="C139" i="7"/>
  <c r="A140" i="7"/>
  <c r="B140" i="7" s="1"/>
  <c r="C140" i="7"/>
  <c r="A141" i="7"/>
  <c r="B141" i="7" s="1"/>
  <c r="C141" i="7"/>
  <c r="A142" i="7"/>
  <c r="B142" i="7" s="1"/>
  <c r="C142" i="7"/>
  <c r="A143" i="7"/>
  <c r="B143" i="7" s="1"/>
  <c r="C143" i="7"/>
  <c r="A144" i="7"/>
  <c r="B144" i="7" s="1"/>
  <c r="C144" i="7"/>
  <c r="A145" i="7"/>
  <c r="B145" i="7" s="1"/>
  <c r="C145" i="7"/>
  <c r="A146" i="7"/>
  <c r="B146" i="7" s="1"/>
  <c r="C146" i="7"/>
  <c r="A147" i="7"/>
  <c r="B147" i="7" s="1"/>
  <c r="C147" i="7"/>
  <c r="A148" i="7"/>
  <c r="B148" i="7" s="1"/>
  <c r="C148" i="7"/>
  <c r="A149" i="7"/>
  <c r="B149" i="7" s="1"/>
  <c r="C149" i="7"/>
  <c r="A150" i="7"/>
  <c r="B150" i="7" s="1"/>
  <c r="C150" i="7"/>
  <c r="A151" i="7"/>
  <c r="B151" i="7" s="1"/>
  <c r="C151" i="7"/>
  <c r="A152" i="7"/>
  <c r="B152" i="7" s="1"/>
  <c r="C152" i="7"/>
  <c r="A153" i="7"/>
  <c r="B153" i="7" s="1"/>
  <c r="C153" i="7"/>
  <c r="A154" i="7"/>
  <c r="B154" i="7" s="1"/>
  <c r="C154" i="7"/>
  <c r="A155" i="7"/>
  <c r="B155" i="7" s="1"/>
  <c r="C155" i="7"/>
  <c r="A156" i="7"/>
  <c r="B156" i="7" s="1"/>
  <c r="C156" i="7"/>
  <c r="A157" i="7"/>
  <c r="B157" i="7" s="1"/>
  <c r="C157" i="7"/>
  <c r="A158" i="7"/>
  <c r="B158" i="7" s="1"/>
  <c r="C158" i="7"/>
  <c r="A159" i="7"/>
  <c r="B159" i="7" s="1"/>
  <c r="C159" i="7"/>
  <c r="A160" i="7"/>
  <c r="B160" i="7" s="1"/>
  <c r="C160" i="7"/>
  <c r="A161" i="7"/>
  <c r="B161" i="7" s="1"/>
  <c r="C161" i="7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3" i="7"/>
  <c r="B173" i="7" s="1"/>
  <c r="C173" i="7"/>
  <c r="A174" i="7"/>
  <c r="B174" i="7" s="1"/>
  <c r="C174" i="7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B179" i="7" s="1"/>
  <c r="C179" i="7"/>
  <c r="A180" i="7"/>
  <c r="B180" i="7" s="1"/>
  <c r="C180" i="7"/>
  <c r="A181" i="7"/>
  <c r="B181" i="7" s="1"/>
  <c r="C181" i="7"/>
  <c r="A182" i="7"/>
  <c r="B182" i="7" s="1"/>
  <c r="C182" i="7"/>
  <c r="A183" i="7"/>
  <c r="B183" i="7" s="1"/>
  <c r="C183" i="7"/>
  <c r="A184" i="7"/>
  <c r="B184" i="7" s="1"/>
  <c r="C184" i="7"/>
  <c r="A185" i="7"/>
  <c r="B185" i="7" s="1"/>
  <c r="C185" i="7"/>
  <c r="A186" i="7"/>
  <c r="B186" i="7" s="1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C226" i="7"/>
  <c r="A227" i="7"/>
  <c r="B227" i="7" s="1"/>
  <c r="C227" i="7"/>
  <c r="A228" i="7"/>
  <c r="B228" i="7" s="1"/>
  <c r="C228" i="7"/>
  <c r="A229" i="7"/>
  <c r="B229" i="7" s="1"/>
  <c r="C229" i="7"/>
  <c r="A230" i="7"/>
  <c r="B230" i="7" s="1"/>
  <c r="C230" i="7"/>
  <c r="A231" i="7"/>
  <c r="B231" i="7" s="1"/>
  <c r="C231" i="7"/>
  <c r="A232" i="7"/>
  <c r="B232" i="7" s="1"/>
  <c r="C232" i="7"/>
  <c r="A233" i="7"/>
  <c r="B233" i="7" s="1"/>
  <c r="C233" i="7"/>
  <c r="A234" i="7"/>
  <c r="B234" i="7" s="1"/>
  <c r="D234" i="7" s="1"/>
  <c r="C234" i="7"/>
  <c r="A235" i="7"/>
  <c r="B235" i="7" s="1"/>
  <c r="C235" i="7"/>
  <c r="A236" i="7"/>
  <c r="B236" i="7" s="1"/>
  <c r="D236" i="7" s="1"/>
  <c r="C236" i="7"/>
  <c r="A237" i="7"/>
  <c r="B237" i="7" s="1"/>
  <c r="C237" i="7"/>
  <c r="A238" i="7"/>
  <c r="B238" i="7" s="1"/>
  <c r="C238" i="7"/>
  <c r="A239" i="7"/>
  <c r="B239" i="7"/>
  <c r="D239" i="7" s="1"/>
  <c r="C239" i="7"/>
  <c r="A240" i="7"/>
  <c r="B240" i="7" s="1"/>
  <c r="D240" i="7" s="1"/>
  <c r="C240" i="7"/>
  <c r="A241" i="7"/>
  <c r="B241" i="7" s="1"/>
  <c r="D241" i="7" s="1"/>
  <c r="C241" i="7"/>
  <c r="A242" i="7"/>
  <c r="B242" i="7" s="1"/>
  <c r="C242" i="7"/>
  <c r="A243" i="7"/>
  <c r="B243" i="7" s="1"/>
  <c r="D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D247" i="7" s="1"/>
  <c r="C247" i="7"/>
  <c r="A248" i="7"/>
  <c r="B248" i="7" s="1"/>
  <c r="D248" i="7" s="1"/>
  <c r="C248" i="7"/>
  <c r="A249" i="7"/>
  <c r="B249" i="7" s="1"/>
  <c r="D249" i="7" s="1"/>
  <c r="C249" i="7"/>
  <c r="A250" i="7"/>
  <c r="B250" i="7" s="1"/>
  <c r="D250" i="7" s="1"/>
  <c r="C250" i="7"/>
  <c r="A251" i="7"/>
  <c r="B251" i="7" s="1"/>
  <c r="C251" i="7"/>
  <c r="A252" i="7"/>
  <c r="B252" i="7" s="1"/>
  <c r="D252" i="7" s="1"/>
  <c r="C252" i="7"/>
  <c r="A253" i="7"/>
  <c r="B253" i="7" s="1"/>
  <c r="C253" i="7"/>
  <c r="A254" i="7"/>
  <c r="B254" i="7" s="1"/>
  <c r="C254" i="7"/>
  <c r="A255" i="7"/>
  <c r="B255" i="7"/>
  <c r="D255" i="7" s="1"/>
  <c r="C255" i="7"/>
  <c r="A256" i="7"/>
  <c r="B256" i="7" s="1"/>
  <c r="D256" i="7" s="1"/>
  <c r="C256" i="7"/>
  <c r="A257" i="7"/>
  <c r="B257" i="7" s="1"/>
  <c r="D257" i="7" s="1"/>
  <c r="C257" i="7"/>
  <c r="A258" i="7"/>
  <c r="B258" i="7" s="1"/>
  <c r="C258" i="7"/>
  <c r="A259" i="7"/>
  <c r="B259" i="7" s="1"/>
  <c r="D259" i="7" s="1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D263" i="7" s="1"/>
  <c r="C263" i="7"/>
  <c r="A264" i="7"/>
  <c r="B264" i="7" s="1"/>
  <c r="D264" i="7" s="1"/>
  <c r="C264" i="7"/>
  <c r="A265" i="7"/>
  <c r="B265" i="7"/>
  <c r="C265" i="7"/>
  <c r="A266" i="7"/>
  <c r="B266" i="7" s="1"/>
  <c r="D266" i="7" s="1"/>
  <c r="C266" i="7"/>
  <c r="A267" i="7"/>
  <c r="B267" i="7" s="1"/>
  <c r="C267" i="7"/>
  <c r="A268" i="7"/>
  <c r="B268" i="7" s="1"/>
  <c r="D268" i="7" s="1"/>
  <c r="C268" i="7"/>
  <c r="A269" i="7"/>
  <c r="B269" i="7" s="1"/>
  <c r="C269" i="7"/>
  <c r="A270" i="7"/>
  <c r="B270" i="7" s="1"/>
  <c r="C270" i="7"/>
  <c r="A271" i="7"/>
  <c r="B271" i="7"/>
  <c r="D271" i="7" s="1"/>
  <c r="C271" i="7"/>
  <c r="A272" i="7"/>
  <c r="B272" i="7" s="1"/>
  <c r="C272" i="7"/>
  <c r="A273" i="7"/>
  <c r="B273" i="7" s="1"/>
  <c r="D273" i="7" s="1"/>
  <c r="C273" i="7"/>
  <c r="A274" i="7"/>
  <c r="B274" i="7" s="1"/>
  <c r="C274" i="7"/>
  <c r="A275" i="7"/>
  <c r="B275" i="7" s="1"/>
  <c r="D275" i="7" s="1"/>
  <c r="C275" i="7"/>
  <c r="A276" i="7"/>
  <c r="B276" i="7" s="1"/>
  <c r="C276" i="7"/>
  <c r="A277" i="7"/>
  <c r="B277" i="7" s="1"/>
  <c r="C277" i="7"/>
  <c r="A278" i="7"/>
  <c r="B278" i="7" s="1"/>
  <c r="C278" i="7"/>
  <c r="A279" i="7"/>
  <c r="B279" i="7" s="1"/>
  <c r="D279" i="7" s="1"/>
  <c r="C279" i="7"/>
  <c r="A280" i="7"/>
  <c r="B280" i="7" s="1"/>
  <c r="D280" i="7" s="1"/>
  <c r="C280" i="7"/>
  <c r="A281" i="7"/>
  <c r="B281" i="7"/>
  <c r="C281" i="7"/>
  <c r="A282" i="7"/>
  <c r="B282" i="7" s="1"/>
  <c r="D282" i="7" s="1"/>
  <c r="C282" i="7"/>
  <c r="A283" i="7"/>
  <c r="B283" i="7" s="1"/>
  <c r="C283" i="7"/>
  <c r="A284" i="7"/>
  <c r="B284" i="7" s="1"/>
  <c r="D284" i="7" s="1"/>
  <c r="C284" i="7"/>
  <c r="A285" i="7"/>
  <c r="B285" i="7" s="1"/>
  <c r="C285" i="7"/>
  <c r="A286" i="7"/>
  <c r="B286" i="7" s="1"/>
  <c r="C286" i="7"/>
  <c r="A287" i="7"/>
  <c r="B287" i="7"/>
  <c r="D287" i="7" s="1"/>
  <c r="C287" i="7"/>
  <c r="A288" i="7"/>
  <c r="B288" i="7" s="1"/>
  <c r="C288" i="7"/>
  <c r="A289" i="7"/>
  <c r="B289" i="7" s="1"/>
  <c r="D289" i="7" s="1"/>
  <c r="C289" i="7"/>
  <c r="A290" i="7"/>
  <c r="B290" i="7" s="1"/>
  <c r="C290" i="7"/>
  <c r="A291" i="7"/>
  <c r="B291" i="7" s="1"/>
  <c r="D291" i="7" s="1"/>
  <c r="C291" i="7"/>
  <c r="A292" i="7"/>
  <c r="B292" i="7" s="1"/>
  <c r="C292" i="7"/>
  <c r="A293" i="7"/>
  <c r="B293" i="7" s="1"/>
  <c r="C293" i="7"/>
  <c r="A294" i="7"/>
  <c r="B294" i="7" s="1"/>
  <c r="C294" i="7"/>
  <c r="A295" i="7"/>
  <c r="B295" i="7" s="1"/>
  <c r="D295" i="7" s="1"/>
  <c r="C295" i="7"/>
  <c r="A296" i="7"/>
  <c r="B296" i="7" s="1"/>
  <c r="D296" i="7" s="1"/>
  <c r="C296" i="7"/>
  <c r="A297" i="7"/>
  <c r="B297" i="7"/>
  <c r="C297" i="7"/>
  <c r="A298" i="7"/>
  <c r="B298" i="7" s="1"/>
  <c r="D298" i="7" s="1"/>
  <c r="C298" i="7"/>
  <c r="A299" i="7"/>
  <c r="B299" i="7" s="1"/>
  <c r="C299" i="7"/>
  <c r="A300" i="7"/>
  <c r="B300" i="7" s="1"/>
  <c r="D300" i="7" s="1"/>
  <c r="C300" i="7"/>
  <c r="A301" i="7"/>
  <c r="B301" i="7" s="1"/>
  <c r="C301" i="7"/>
  <c r="A302" i="7"/>
  <c r="B302" i="7" s="1"/>
  <c r="C302" i="7"/>
  <c r="A303" i="7"/>
  <c r="B303" i="7"/>
  <c r="D303" i="7" s="1"/>
  <c r="C303" i="7"/>
  <c r="A304" i="7"/>
  <c r="B304" i="7" s="1"/>
  <c r="C304" i="7"/>
  <c r="A305" i="7"/>
  <c r="B305" i="7" s="1"/>
  <c r="D305" i="7" s="1"/>
  <c r="C305" i="7"/>
  <c r="A306" i="7"/>
  <c r="B306" i="7" s="1"/>
  <c r="C306" i="7"/>
  <c r="A307" i="7"/>
  <c r="B307" i="7" s="1"/>
  <c r="D307" i="7" s="1"/>
  <c r="C307" i="7"/>
  <c r="A308" i="7"/>
  <c r="B308" i="7" s="1"/>
  <c r="C308" i="7"/>
  <c r="A309" i="7"/>
  <c r="B309" i="7" s="1"/>
  <c r="C309" i="7"/>
  <c r="A310" i="7"/>
  <c r="B310" i="7" s="1"/>
  <c r="C310" i="7"/>
  <c r="A311" i="7"/>
  <c r="B311" i="7" s="1"/>
  <c r="D311" i="7" s="1"/>
  <c r="C311" i="7"/>
  <c r="A312" i="7"/>
  <c r="B312" i="7" s="1"/>
  <c r="D312" i="7" s="1"/>
  <c r="C312" i="7"/>
  <c r="A313" i="7"/>
  <c r="B313" i="7"/>
  <c r="C313" i="7"/>
  <c r="A314" i="7"/>
  <c r="B314" i="7" s="1"/>
  <c r="D314" i="7" s="1"/>
  <c r="C314" i="7"/>
  <c r="A315" i="7"/>
  <c r="B315" i="7" s="1"/>
  <c r="C315" i="7"/>
  <c r="A316" i="7"/>
  <c r="B316" i="7" s="1"/>
  <c r="D316" i="7" s="1"/>
  <c r="C316" i="7"/>
  <c r="A317" i="7"/>
  <c r="B317" i="7" s="1"/>
  <c r="C317" i="7"/>
  <c r="A318" i="7"/>
  <c r="B318" i="7" s="1"/>
  <c r="C318" i="7"/>
  <c r="A319" i="7"/>
  <c r="B319" i="7"/>
  <c r="D319" i="7" s="1"/>
  <c r="C319" i="7"/>
  <c r="A320" i="7"/>
  <c r="B320" i="7" s="1"/>
  <c r="C320" i="7"/>
  <c r="A321" i="7"/>
  <c r="B321" i="7" s="1"/>
  <c r="D321" i="7" s="1"/>
  <c r="C321" i="7"/>
  <c r="A322" i="7"/>
  <c r="B322" i="7" s="1"/>
  <c r="C322" i="7"/>
  <c r="A323" i="7"/>
  <c r="B323" i="7" s="1"/>
  <c r="D323" i="7" s="1"/>
  <c r="C323" i="7"/>
  <c r="A324" i="7"/>
  <c r="B324" i="7" s="1"/>
  <c r="C324" i="7"/>
  <c r="A325" i="7"/>
  <c r="B325" i="7" s="1"/>
  <c r="C325" i="7"/>
  <c r="A326" i="7"/>
  <c r="B326" i="7" s="1"/>
  <c r="C326" i="7"/>
  <c r="A327" i="7"/>
  <c r="B327" i="7" s="1"/>
  <c r="D327" i="7" s="1"/>
  <c r="C327" i="7"/>
  <c r="A328" i="7"/>
  <c r="B328" i="7" s="1"/>
  <c r="D328" i="7" s="1"/>
  <c r="C328" i="7"/>
  <c r="A329" i="7"/>
  <c r="B329" i="7"/>
  <c r="C329" i="7"/>
  <c r="A330" i="7"/>
  <c r="B330" i="7" s="1"/>
  <c r="D330" i="7" s="1"/>
  <c r="C330" i="7"/>
  <c r="A331" i="7"/>
  <c r="B331" i="7" s="1"/>
  <c r="C331" i="7"/>
  <c r="A332" i="7"/>
  <c r="B332" i="7" s="1"/>
  <c r="D332" i="7" s="1"/>
  <c r="C332" i="7"/>
  <c r="A333" i="7"/>
  <c r="B333" i="7" s="1"/>
  <c r="C333" i="7"/>
  <c r="A334" i="7"/>
  <c r="B334" i="7" s="1"/>
  <c r="C334" i="7"/>
  <c r="A335" i="7"/>
  <c r="B335" i="7"/>
  <c r="D335" i="7" s="1"/>
  <c r="C335" i="7"/>
  <c r="A336" i="7"/>
  <c r="B336" i="7" s="1"/>
  <c r="C336" i="7"/>
  <c r="A337" i="7"/>
  <c r="B337" i="7" s="1"/>
  <c r="D337" i="7" s="1"/>
  <c r="C337" i="7"/>
  <c r="A338" i="7"/>
  <c r="B338" i="7" s="1"/>
  <c r="C338" i="7"/>
  <c r="A339" i="7"/>
  <c r="B339" i="7" s="1"/>
  <c r="D339" i="7" s="1"/>
  <c r="C339" i="7"/>
  <c r="A340" i="7"/>
  <c r="B340" i="7" s="1"/>
  <c r="C340" i="7"/>
  <c r="A341" i="7"/>
  <c r="B341" i="7" s="1"/>
  <c r="C341" i="7"/>
  <c r="A342" i="7"/>
  <c r="B342" i="7" s="1"/>
  <c r="C342" i="7"/>
  <c r="A343" i="7"/>
  <c r="B343" i="7" s="1"/>
  <c r="D343" i="7" s="1"/>
  <c r="C343" i="7"/>
  <c r="A344" i="7"/>
  <c r="B344" i="7" s="1"/>
  <c r="D344" i="7" s="1"/>
  <c r="C344" i="7"/>
  <c r="A345" i="7"/>
  <c r="B345" i="7"/>
  <c r="C345" i="7"/>
  <c r="A346" i="7"/>
  <c r="B346" i="7" s="1"/>
  <c r="D346" i="7" s="1"/>
  <c r="C346" i="7"/>
  <c r="A347" i="7"/>
  <c r="B347" i="7" s="1"/>
  <c r="C347" i="7"/>
  <c r="A348" i="7"/>
  <c r="B348" i="7" s="1"/>
  <c r="D348" i="7" s="1"/>
  <c r="C348" i="7"/>
  <c r="A349" i="7"/>
  <c r="B349" i="7" s="1"/>
  <c r="C349" i="7"/>
  <c r="A350" i="7"/>
  <c r="B350" i="7" s="1"/>
  <c r="C350" i="7"/>
  <c r="A351" i="7"/>
  <c r="B351" i="7"/>
  <c r="D351" i="7" s="1"/>
  <c r="C351" i="7"/>
  <c r="A352" i="7"/>
  <c r="B352" i="7" s="1"/>
  <c r="C352" i="7"/>
  <c r="A353" i="7"/>
  <c r="B353" i="7" s="1"/>
  <c r="D353" i="7" s="1"/>
  <c r="C353" i="7"/>
  <c r="A354" i="7"/>
  <c r="B354" i="7" s="1"/>
  <c r="C354" i="7"/>
  <c r="A355" i="7"/>
  <c r="B355" i="7" s="1"/>
  <c r="D355" i="7" s="1"/>
  <c r="C355" i="7"/>
  <c r="U169" i="1"/>
  <c r="V169" i="1"/>
  <c r="W169" i="1" s="1"/>
  <c r="U170" i="1"/>
  <c r="V170" i="1"/>
  <c r="W170" i="1" s="1"/>
  <c r="U171" i="1"/>
  <c r="V171" i="1"/>
  <c r="W171" i="1" s="1"/>
  <c r="U172" i="1"/>
  <c r="V172" i="1"/>
  <c r="W172" i="1" s="1"/>
  <c r="U173" i="1"/>
  <c r="V173" i="1"/>
  <c r="W173" i="1" s="1"/>
  <c r="U174" i="1"/>
  <c r="V174" i="1"/>
  <c r="W174" i="1" s="1"/>
  <c r="U175" i="1"/>
  <c r="V175" i="1"/>
  <c r="W175" i="1" s="1"/>
  <c r="U176" i="1"/>
  <c r="V176" i="1"/>
  <c r="W176" i="1" s="1"/>
  <c r="U177" i="1"/>
  <c r="V177" i="1"/>
  <c r="W177" i="1" s="1"/>
  <c r="U178" i="1"/>
  <c r="V178" i="1"/>
  <c r="W178" i="1" s="1"/>
  <c r="U179" i="1"/>
  <c r="V179" i="1"/>
  <c r="W179" i="1" s="1"/>
  <c r="U180" i="1"/>
  <c r="V180" i="1"/>
  <c r="W180" i="1" s="1"/>
  <c r="U181" i="1"/>
  <c r="V181" i="1"/>
  <c r="W181" i="1" s="1"/>
  <c r="U182" i="1"/>
  <c r="V182" i="1"/>
  <c r="W182" i="1" s="1"/>
  <c r="U183" i="1"/>
  <c r="V183" i="1"/>
  <c r="W183" i="1" s="1"/>
  <c r="U184" i="1"/>
  <c r="V184" i="1"/>
  <c r="W184" i="1" s="1"/>
  <c r="U185" i="1"/>
  <c r="V185" i="1"/>
  <c r="W185" i="1" s="1"/>
  <c r="U186" i="1"/>
  <c r="V186" i="1"/>
  <c r="W186" i="1" s="1"/>
  <c r="U187" i="1"/>
  <c r="V187" i="1"/>
  <c r="W187" i="1" s="1"/>
  <c r="U188" i="1"/>
  <c r="V188" i="1"/>
  <c r="W188" i="1" s="1"/>
  <c r="U189" i="1"/>
  <c r="V189" i="1"/>
  <c r="W189" i="1" s="1"/>
  <c r="U190" i="1"/>
  <c r="V190" i="1"/>
  <c r="W190" i="1" s="1"/>
  <c r="U191" i="1"/>
  <c r="V191" i="1"/>
  <c r="W191" i="1" s="1"/>
  <c r="U192" i="1"/>
  <c r="V192" i="1"/>
  <c r="W192" i="1" s="1"/>
  <c r="U193" i="1"/>
  <c r="V193" i="1"/>
  <c r="W193" i="1" s="1"/>
  <c r="U194" i="1"/>
  <c r="V194" i="1"/>
  <c r="W194" i="1" s="1"/>
  <c r="D78" i="7" l="1"/>
  <c r="D74" i="7"/>
  <c r="D66" i="7"/>
  <c r="D58" i="7"/>
  <c r="D46" i="7"/>
  <c r="D42" i="7"/>
  <c r="D143" i="7"/>
  <c r="D141" i="7"/>
  <c r="D135" i="7"/>
  <c r="D220" i="7"/>
  <c r="D210" i="7"/>
  <c r="D208" i="7"/>
  <c r="D178" i="7"/>
  <c r="D174" i="7"/>
  <c r="D113" i="7"/>
  <c r="D111" i="7"/>
  <c r="D101" i="7"/>
  <c r="D139" i="7"/>
  <c r="D137" i="7"/>
  <c r="D212" i="7"/>
  <c r="D206" i="7"/>
  <c r="D190" i="7"/>
  <c r="D186" i="7"/>
  <c r="D182" i="7"/>
  <c r="D115" i="7"/>
  <c r="D354" i="7"/>
  <c r="D347" i="7"/>
  <c r="D345" i="7"/>
  <c r="D340" i="7"/>
  <c r="D338" i="7"/>
  <c r="D331" i="7"/>
  <c r="D329" i="7"/>
  <c r="D324" i="7"/>
  <c r="D322" i="7"/>
  <c r="D315" i="7"/>
  <c r="D313" i="7"/>
  <c r="D308" i="7"/>
  <c r="D306" i="7"/>
  <c r="D299" i="7"/>
  <c r="D297" i="7"/>
  <c r="D292" i="7"/>
  <c r="D290" i="7"/>
  <c r="D283" i="7"/>
  <c r="D281" i="7"/>
  <c r="D276" i="7"/>
  <c r="D274" i="7"/>
  <c r="D267" i="7"/>
  <c r="D265" i="7"/>
  <c r="D260" i="7"/>
  <c r="D258" i="7"/>
  <c r="D251" i="7"/>
  <c r="D244" i="7"/>
  <c r="D242" i="7"/>
  <c r="D235" i="7"/>
  <c r="D158" i="7"/>
  <c r="D156" i="7"/>
  <c r="D154" i="7"/>
  <c r="D152" i="7"/>
  <c r="D148" i="7"/>
  <c r="D142" i="7"/>
  <c r="D138" i="7"/>
  <c r="D134" i="7"/>
  <c r="D67" i="7"/>
  <c r="D65" i="7"/>
  <c r="D63" i="7"/>
  <c r="D59" i="7"/>
  <c r="D57" i="7"/>
  <c r="D55" i="7"/>
  <c r="D53" i="7"/>
  <c r="D51" i="7"/>
  <c r="D47" i="7"/>
  <c r="D45" i="7"/>
  <c r="D41" i="7"/>
  <c r="D352" i="7"/>
  <c r="D336" i="7"/>
  <c r="D320" i="7"/>
  <c r="D304" i="7"/>
  <c r="D288" i="7"/>
  <c r="D272" i="7"/>
  <c r="D213" i="7"/>
  <c r="D211" i="7"/>
  <c r="D207" i="7"/>
  <c r="D124" i="7"/>
  <c r="D112" i="7"/>
  <c r="D100" i="7"/>
  <c r="D131" i="7"/>
  <c r="D228" i="7"/>
  <c r="D165" i="7"/>
  <c r="D147" i="7"/>
  <c r="D128" i="7"/>
  <c r="D126" i="7"/>
  <c r="D89" i="7"/>
  <c r="D350" i="7"/>
  <c r="D342" i="7"/>
  <c r="D334" i="7"/>
  <c r="D326" i="7"/>
  <c r="D318" i="7"/>
  <c r="D310" i="7"/>
  <c r="D302" i="7"/>
  <c r="D294" i="7"/>
  <c r="D286" i="7"/>
  <c r="D278" i="7"/>
  <c r="D270" i="7"/>
  <c r="D262" i="7"/>
  <c r="D254" i="7"/>
  <c r="D246" i="7"/>
  <c r="D238" i="7"/>
  <c r="D199" i="7"/>
  <c r="D164" i="7"/>
  <c r="D129" i="7"/>
  <c r="D123" i="7"/>
  <c r="D119" i="7"/>
  <c r="D94" i="7"/>
  <c r="D92" i="7"/>
  <c r="D90" i="7"/>
  <c r="D82" i="7"/>
  <c r="D80" i="7"/>
  <c r="D333" i="7"/>
  <c r="D317" i="7"/>
  <c r="D309" i="7"/>
  <c r="D285" i="7"/>
  <c r="D277" i="7"/>
  <c r="D253" i="7"/>
  <c r="D237" i="7"/>
  <c r="D166" i="7"/>
  <c r="D162" i="7"/>
  <c r="D140" i="7"/>
  <c r="D136" i="7"/>
  <c r="D114" i="7"/>
  <c r="D102" i="7"/>
  <c r="D98" i="7"/>
  <c r="D64" i="7"/>
  <c r="D44" i="7"/>
  <c r="D40" i="7"/>
  <c r="D349" i="7"/>
  <c r="D341" i="7"/>
  <c r="D325" i="7"/>
  <c r="D301" i="7"/>
  <c r="D293" i="7"/>
  <c r="D269" i="7"/>
  <c r="D261" i="7"/>
  <c r="D245" i="7"/>
  <c r="D189" i="7"/>
  <c r="D185" i="7"/>
  <c r="D181" i="7"/>
  <c r="D173" i="7"/>
  <c r="D151" i="7"/>
  <c r="D71" i="7"/>
  <c r="D184" i="7"/>
  <c r="D180" i="7"/>
  <c r="D176" i="7"/>
  <c r="D150" i="7"/>
  <c r="D127" i="7"/>
  <c r="D120" i="7"/>
  <c r="D187" i="7"/>
  <c r="D175" i="7"/>
  <c r="D160" i="7"/>
  <c r="D130" i="7"/>
  <c r="D96" i="7"/>
  <c r="D218" i="7"/>
  <c r="D219" i="7"/>
  <c r="X196" i="1"/>
  <c r="X197" i="1"/>
  <c r="X195" i="1"/>
  <c r="D233" i="7"/>
  <c r="D229" i="7"/>
  <c r="D227" i="7"/>
  <c r="D226" i="7"/>
  <c r="D221" i="7"/>
  <c r="D232" i="7"/>
  <c r="D222" i="7"/>
  <c r="D216" i="7"/>
  <c r="D202" i="7"/>
  <c r="D198" i="7"/>
  <c r="D194" i="7"/>
  <c r="D171" i="7"/>
  <c r="D167" i="7"/>
  <c r="D163" i="7"/>
  <c r="D132" i="7"/>
  <c r="D122" i="7"/>
  <c r="D108" i="7"/>
  <c r="D104" i="7"/>
  <c r="D97" i="7"/>
  <c r="D87" i="7"/>
  <c r="D83" i="7"/>
  <c r="D79" i="7"/>
  <c r="D73" i="7"/>
  <c r="D62" i="7"/>
  <c r="D231" i="7"/>
  <c r="D215" i="7"/>
  <c r="D205" i="7"/>
  <c r="D201" i="7"/>
  <c r="D197" i="7"/>
  <c r="D170" i="7"/>
  <c r="D159" i="7"/>
  <c r="D146" i="7"/>
  <c r="D118" i="7"/>
  <c r="D107" i="7"/>
  <c r="D103" i="7"/>
  <c r="D99" i="7"/>
  <c r="D86" i="7"/>
  <c r="D75" i="7"/>
  <c r="D61" i="7"/>
  <c r="D230" i="7"/>
  <c r="D224" i="7"/>
  <c r="D214" i="7"/>
  <c r="D200" i="7"/>
  <c r="D196" i="7"/>
  <c r="D192" i="7"/>
  <c r="D169" i="7"/>
  <c r="D155" i="7"/>
  <c r="D145" i="7"/>
  <c r="D110" i="7"/>
  <c r="D106" i="7"/>
  <c r="D95" i="7"/>
  <c r="D85" i="7"/>
  <c r="D81" i="7"/>
  <c r="D223" i="7"/>
  <c r="D203" i="7"/>
  <c r="D191" i="7"/>
  <c r="D183" i="7"/>
  <c r="D168" i="7"/>
  <c r="D161" i="7"/>
  <c r="D144" i="7"/>
  <c r="D133" i="7"/>
  <c r="D116" i="7"/>
  <c r="D109" i="7"/>
  <c r="D105" i="7"/>
  <c r="D91" i="7"/>
  <c r="D88" i="7"/>
  <c r="D84" i="7"/>
  <c r="D77" i="7"/>
  <c r="D70" i="7"/>
  <c r="D225" i="7"/>
  <c r="D217" i="7"/>
  <c r="D209" i="7"/>
  <c r="D193" i="7"/>
  <c r="D177" i="7"/>
  <c r="D153" i="7"/>
  <c r="D121" i="7"/>
  <c r="D72" i="7"/>
  <c r="D69" i="7"/>
  <c r="D54" i="7"/>
  <c r="D43" i="7"/>
  <c r="D195" i="7"/>
  <c r="D179" i="7"/>
  <c r="D149" i="7"/>
  <c r="D117" i="7"/>
  <c r="D56" i="7"/>
  <c r="D49" i="7"/>
  <c r="D204" i="7"/>
  <c r="D188" i="7"/>
  <c r="D172" i="7"/>
  <c r="D157" i="7"/>
  <c r="D125" i="7"/>
  <c r="D93" i="7"/>
  <c r="D52" i="7"/>
  <c r="D76" i="7"/>
  <c r="D68" i="7"/>
  <c r="D60" i="7"/>
  <c r="D48" i="7"/>
  <c r="D50" i="7"/>
  <c r="X194" i="1"/>
  <c r="X192" i="1"/>
  <c r="X190" i="1"/>
  <c r="X188" i="1"/>
  <c r="X186" i="1"/>
  <c r="X184" i="1"/>
  <c r="X182" i="1"/>
  <c r="X180" i="1"/>
  <c r="X178" i="1"/>
  <c r="X176" i="1"/>
  <c r="X174" i="1"/>
  <c r="X172" i="1"/>
  <c r="X170" i="1"/>
  <c r="X193" i="1"/>
  <c r="X191" i="1"/>
  <c r="X189" i="1"/>
  <c r="X187" i="1"/>
  <c r="X185" i="1"/>
  <c r="X183" i="1"/>
  <c r="X181" i="1"/>
  <c r="X179" i="1"/>
  <c r="X177" i="1"/>
  <c r="X175" i="1"/>
  <c r="X173" i="1"/>
  <c r="X171" i="1"/>
  <c r="X169" i="1"/>
  <c r="U135" i="1"/>
  <c r="V135" i="1"/>
  <c r="W135" i="1" s="1"/>
  <c r="X135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2" i="1"/>
  <c r="T3" i="8" l="1"/>
  <c r="U3" i="8"/>
  <c r="V3" i="8" s="1"/>
  <c r="T4" i="8"/>
  <c r="U4" i="8"/>
  <c r="V4" i="8" s="1"/>
  <c r="T5" i="8"/>
  <c r="U5" i="8"/>
  <c r="V5" i="8" s="1"/>
  <c r="T6" i="8"/>
  <c r="U6" i="8"/>
  <c r="V6" i="8" s="1"/>
  <c r="T7" i="8"/>
  <c r="U7" i="8"/>
  <c r="V7" i="8" s="1"/>
  <c r="T8" i="8"/>
  <c r="U8" i="8"/>
  <c r="V8" i="8" s="1"/>
  <c r="T9" i="8"/>
  <c r="U9" i="8"/>
  <c r="V9" i="8" s="1"/>
  <c r="T10" i="8"/>
  <c r="U10" i="8"/>
  <c r="V10" i="8" s="1"/>
  <c r="T11" i="8"/>
  <c r="U11" i="8"/>
  <c r="V11" i="8" s="1"/>
  <c r="U2" i="8"/>
  <c r="W2" i="8" s="1"/>
  <c r="T2" i="8"/>
  <c r="V33" i="1"/>
  <c r="W33" i="1" s="1"/>
  <c r="V34" i="1"/>
  <c r="W34" i="1" s="1"/>
  <c r="V35" i="1"/>
  <c r="W35" i="1" s="1"/>
  <c r="V36" i="1"/>
  <c r="W36" i="1" s="1"/>
  <c r="V37" i="1"/>
  <c r="X37" i="1" s="1"/>
  <c r="V38" i="1"/>
  <c r="W38" i="1" s="1"/>
  <c r="V39" i="1"/>
  <c r="W39" i="1" s="1"/>
  <c r="V40" i="1"/>
  <c r="X40" i="1" s="1"/>
  <c r="W10" i="8" l="1"/>
  <c r="W8" i="8"/>
  <c r="W6" i="8"/>
  <c r="W4" i="8"/>
  <c r="W11" i="8"/>
  <c r="W9" i="8"/>
  <c r="W7" i="8"/>
  <c r="W5" i="8"/>
  <c r="W3" i="8"/>
  <c r="V2" i="8"/>
  <c r="X33" i="1"/>
  <c r="W40" i="1"/>
  <c r="X39" i="1"/>
  <c r="X38" i="1"/>
  <c r="W37" i="1"/>
  <c r="X36" i="1"/>
  <c r="X35" i="1"/>
  <c r="X34" i="1"/>
  <c r="V2" i="1" l="1"/>
  <c r="W2" i="1" s="1"/>
  <c r="V3" i="1"/>
  <c r="W3" i="1" s="1"/>
  <c r="V4" i="1"/>
  <c r="W4" i="1" s="1"/>
  <c r="V5" i="1"/>
  <c r="W5" i="1" s="1"/>
  <c r="X5" i="1" l="1"/>
  <c r="X4" i="1"/>
  <c r="X3" i="1"/>
  <c r="X2" i="1"/>
  <c r="V6" i="1" l="1"/>
  <c r="V7" i="1"/>
  <c r="V8" i="1"/>
  <c r="V9" i="1"/>
  <c r="W9" i="1" s="1"/>
  <c r="V10" i="1"/>
  <c r="W10" i="1" s="1"/>
  <c r="V11" i="1"/>
  <c r="V12" i="1"/>
  <c r="V13" i="1"/>
  <c r="W13" i="1" s="1"/>
  <c r="V14" i="1"/>
  <c r="V15" i="1"/>
  <c r="V16" i="1"/>
  <c r="V17" i="1"/>
  <c r="W17" i="1" s="1"/>
  <c r="V18" i="1"/>
  <c r="W18" i="1" s="1"/>
  <c r="V19" i="1"/>
  <c r="V20" i="1"/>
  <c r="V21" i="1"/>
  <c r="W21" i="1" s="1"/>
  <c r="V22" i="1"/>
  <c r="V23" i="1"/>
  <c r="V24" i="1"/>
  <c r="V25" i="1"/>
  <c r="W25" i="1" s="1"/>
  <c r="V26" i="1"/>
  <c r="W26" i="1" s="1"/>
  <c r="V27" i="1"/>
  <c r="V28" i="1"/>
  <c r="V29" i="1"/>
  <c r="W29" i="1" s="1"/>
  <c r="V30" i="1"/>
  <c r="V31" i="1"/>
  <c r="V32" i="1"/>
  <c r="W32" i="1" s="1"/>
  <c r="V41" i="1"/>
  <c r="V42" i="1"/>
  <c r="V43" i="1"/>
  <c r="W43" i="1" s="1"/>
  <c r="V44" i="1"/>
  <c r="W44" i="1" s="1"/>
  <c r="V45" i="1"/>
  <c r="W45" i="1" s="1"/>
  <c r="V46" i="1"/>
  <c r="V47" i="1"/>
  <c r="V48" i="1"/>
  <c r="W48" i="1" s="1"/>
  <c r="V49" i="1"/>
  <c r="V50" i="1"/>
  <c r="V51" i="1"/>
  <c r="W51" i="1" s="1"/>
  <c r="V52" i="1"/>
  <c r="W52" i="1" s="1"/>
  <c r="V53" i="1"/>
  <c r="W53" i="1" s="1"/>
  <c r="V54" i="1"/>
  <c r="V55" i="1"/>
  <c r="V56" i="1"/>
  <c r="W56" i="1" s="1"/>
  <c r="V57" i="1"/>
  <c r="V58" i="1"/>
  <c r="V59" i="1"/>
  <c r="W59" i="1" s="1"/>
  <c r="V60" i="1"/>
  <c r="W60" i="1" s="1"/>
  <c r="V61" i="1"/>
  <c r="W61" i="1" s="1"/>
  <c r="V62" i="1"/>
  <c r="V63" i="1"/>
  <c r="V64" i="1"/>
  <c r="W64" i="1" s="1"/>
  <c r="V65" i="1"/>
  <c r="V66" i="1"/>
  <c r="V67" i="1"/>
  <c r="V68" i="1"/>
  <c r="W68" i="1" s="1"/>
  <c r="V69" i="1"/>
  <c r="W69" i="1" s="1"/>
  <c r="V70" i="1"/>
  <c r="V71" i="1"/>
  <c r="V72" i="1"/>
  <c r="W72" i="1" s="1"/>
  <c r="V73" i="1"/>
  <c r="V74" i="1"/>
  <c r="V75" i="1"/>
  <c r="V76" i="1"/>
  <c r="W76" i="1" s="1"/>
  <c r="V77" i="1"/>
  <c r="W77" i="1" s="1"/>
  <c r="V79" i="1"/>
  <c r="V80" i="1"/>
  <c r="V81" i="1"/>
  <c r="V82" i="1"/>
  <c r="V83" i="1"/>
  <c r="V84" i="1"/>
  <c r="V85" i="1"/>
  <c r="X85" i="1" s="1"/>
  <c r="V86" i="1"/>
  <c r="V87" i="1"/>
  <c r="V88" i="1"/>
  <c r="V89" i="1"/>
  <c r="X89" i="1" s="1"/>
  <c r="V90" i="1"/>
  <c r="V91" i="1"/>
  <c r="V92" i="1"/>
  <c r="V93" i="1"/>
  <c r="X93" i="1" s="1"/>
  <c r="V94" i="1"/>
  <c r="V95" i="1"/>
  <c r="V96" i="1"/>
  <c r="V97" i="1"/>
  <c r="X97" i="1" s="1"/>
  <c r="V98" i="1"/>
  <c r="V99" i="1"/>
  <c r="V100" i="1"/>
  <c r="V101" i="1"/>
  <c r="X101" i="1" s="1"/>
  <c r="V102" i="1"/>
  <c r="V103" i="1"/>
  <c r="V104" i="1"/>
  <c r="V105" i="1"/>
  <c r="X105" i="1" s="1"/>
  <c r="V106" i="1"/>
  <c r="V107" i="1"/>
  <c r="V108" i="1"/>
  <c r="V109" i="1"/>
  <c r="X109" i="1" s="1"/>
  <c r="V110" i="1"/>
  <c r="V111" i="1"/>
  <c r="V112" i="1"/>
  <c r="V113" i="1"/>
  <c r="X113" i="1" s="1"/>
  <c r="V114" i="1"/>
  <c r="V115" i="1"/>
  <c r="X115" i="1" s="1"/>
  <c r="V116" i="1"/>
  <c r="V117" i="1"/>
  <c r="X117" i="1" s="1"/>
  <c r="V118" i="1"/>
  <c r="V119" i="1"/>
  <c r="X119" i="1" s="1"/>
  <c r="V120" i="1"/>
  <c r="X120" i="1" s="1"/>
  <c r="V121" i="1"/>
  <c r="X121" i="1" s="1"/>
  <c r="V122" i="1"/>
  <c r="V123" i="1"/>
  <c r="X123" i="1" s="1"/>
  <c r="V124" i="1"/>
  <c r="V125" i="1"/>
  <c r="X125" i="1" s="1"/>
  <c r="V126" i="1"/>
  <c r="V127" i="1"/>
  <c r="X127" i="1" s="1"/>
  <c r="V128" i="1"/>
  <c r="X128" i="1" s="1"/>
  <c r="V129" i="1"/>
  <c r="X129" i="1" s="1"/>
  <c r="V130" i="1"/>
  <c r="V131" i="1"/>
  <c r="X131" i="1" s="1"/>
  <c r="V132" i="1"/>
  <c r="X132" i="1" s="1"/>
  <c r="V133" i="1"/>
  <c r="X133" i="1" s="1"/>
  <c r="V134" i="1"/>
  <c r="V136" i="1"/>
  <c r="X136" i="1" s="1"/>
  <c r="V137" i="1"/>
  <c r="V138" i="1"/>
  <c r="X138" i="1" s="1"/>
  <c r="V139" i="1"/>
  <c r="X139" i="1" s="1"/>
  <c r="V140" i="1"/>
  <c r="X140" i="1" s="1"/>
  <c r="V141" i="1"/>
  <c r="V142" i="1"/>
  <c r="X142" i="1" s="1"/>
  <c r="V143" i="1"/>
  <c r="V144" i="1"/>
  <c r="X144" i="1" s="1"/>
  <c r="V145" i="1"/>
  <c r="X145" i="1" s="1"/>
  <c r="V146" i="1"/>
  <c r="X146" i="1" s="1"/>
  <c r="V147" i="1"/>
  <c r="X147" i="1" s="1"/>
  <c r="V148" i="1"/>
  <c r="V149" i="1"/>
  <c r="X149" i="1" s="1"/>
  <c r="V150" i="1"/>
  <c r="V151" i="1"/>
  <c r="X151" i="1" s="1"/>
  <c r="V152" i="1"/>
  <c r="X152" i="1" s="1"/>
  <c r="V153" i="1"/>
  <c r="X153" i="1" s="1"/>
  <c r="V154" i="1"/>
  <c r="X154" i="1" s="1"/>
  <c r="V155" i="1"/>
  <c r="X155" i="1" s="1"/>
  <c r="V156" i="1"/>
  <c r="V157" i="1"/>
  <c r="X157" i="1" s="1"/>
  <c r="V158" i="1"/>
  <c r="V159" i="1"/>
  <c r="X159" i="1" s="1"/>
  <c r="V160" i="1"/>
  <c r="X160" i="1" s="1"/>
  <c r="V161" i="1"/>
  <c r="X161" i="1" s="1"/>
  <c r="V162" i="1"/>
  <c r="X162" i="1" s="1"/>
  <c r="V163" i="1"/>
  <c r="X163" i="1" s="1"/>
  <c r="V164" i="1"/>
  <c r="V165" i="1"/>
  <c r="X165" i="1" s="1"/>
  <c r="V166" i="1"/>
  <c r="X166" i="1" s="1"/>
  <c r="V167" i="1"/>
  <c r="X167" i="1" s="1"/>
  <c r="V168" i="1"/>
  <c r="X168" i="1" s="1"/>
  <c r="W97" i="1" l="1"/>
  <c r="W160" i="1"/>
  <c r="W167" i="1"/>
  <c r="X9" i="1"/>
  <c r="W109" i="1"/>
  <c r="X53" i="1"/>
  <c r="W139" i="1"/>
  <c r="W89" i="1"/>
  <c r="W113" i="1"/>
  <c r="X26" i="1"/>
  <c r="W128" i="1"/>
  <c r="W93" i="1"/>
  <c r="X61" i="1"/>
  <c r="W154" i="1"/>
  <c r="W120" i="1"/>
  <c r="W105" i="1"/>
  <c r="X77" i="1"/>
  <c r="X45" i="1"/>
  <c r="X18" i="1"/>
  <c r="W145" i="1"/>
  <c r="W101" i="1"/>
  <c r="W85" i="1"/>
  <c r="X69" i="1"/>
  <c r="X143" i="1"/>
  <c r="W143" i="1"/>
  <c r="W65" i="1"/>
  <c r="X65" i="1"/>
  <c r="X99" i="1"/>
  <c r="W99" i="1"/>
  <c r="X137" i="1"/>
  <c r="W137" i="1"/>
  <c r="X95" i="1"/>
  <c r="W95" i="1"/>
  <c r="W57" i="1"/>
  <c r="X57" i="1"/>
  <c r="X158" i="1"/>
  <c r="W158" i="1"/>
  <c r="X124" i="1"/>
  <c r="W124" i="1"/>
  <c r="X107" i="1"/>
  <c r="W107" i="1"/>
  <c r="X91" i="1"/>
  <c r="W91" i="1"/>
  <c r="W82" i="1"/>
  <c r="X82" i="1"/>
  <c r="W49" i="1"/>
  <c r="X49" i="1"/>
  <c r="W22" i="1"/>
  <c r="X22" i="1"/>
  <c r="W6" i="1"/>
  <c r="X6" i="1"/>
  <c r="X111" i="1"/>
  <c r="W111" i="1"/>
  <c r="X150" i="1"/>
  <c r="W150" i="1"/>
  <c r="X116" i="1"/>
  <c r="W116" i="1"/>
  <c r="X103" i="1"/>
  <c r="W103" i="1"/>
  <c r="X87" i="1"/>
  <c r="W87" i="1"/>
  <c r="W73" i="1"/>
  <c r="X73" i="1"/>
  <c r="W41" i="1"/>
  <c r="X41" i="1"/>
  <c r="W14" i="1"/>
  <c r="X14" i="1"/>
  <c r="X122" i="1"/>
  <c r="W122" i="1"/>
  <c r="X102" i="1"/>
  <c r="W102" i="1"/>
  <c r="X94" i="1"/>
  <c r="W94" i="1"/>
  <c r="W71" i="1"/>
  <c r="X71" i="1"/>
  <c r="X164" i="1"/>
  <c r="W164" i="1"/>
  <c r="W162" i="1"/>
  <c r="W152" i="1"/>
  <c r="X134" i="1"/>
  <c r="W134" i="1"/>
  <c r="W132" i="1"/>
  <c r="X118" i="1"/>
  <c r="W118" i="1"/>
  <c r="X108" i="1"/>
  <c r="W108" i="1"/>
  <c r="X100" i="1"/>
  <c r="W100" i="1"/>
  <c r="X92" i="1"/>
  <c r="W92" i="1"/>
  <c r="X84" i="1"/>
  <c r="W84" i="1"/>
  <c r="W67" i="1"/>
  <c r="X67" i="1"/>
  <c r="X110" i="1"/>
  <c r="W110" i="1"/>
  <c r="X86" i="1"/>
  <c r="W86" i="1"/>
  <c r="W55" i="1"/>
  <c r="X55" i="1"/>
  <c r="X141" i="1"/>
  <c r="W141" i="1"/>
  <c r="X130" i="1"/>
  <c r="W130" i="1"/>
  <c r="X114" i="1"/>
  <c r="W114" i="1"/>
  <c r="X106" i="1"/>
  <c r="W106" i="1"/>
  <c r="X98" i="1"/>
  <c r="W98" i="1"/>
  <c r="X90" i="1"/>
  <c r="W90" i="1"/>
  <c r="W80" i="1"/>
  <c r="X80" i="1"/>
  <c r="W63" i="1"/>
  <c r="X63" i="1"/>
  <c r="W47" i="1"/>
  <c r="X47" i="1"/>
  <c r="W31" i="1"/>
  <c r="X31" i="1"/>
  <c r="W20" i="1"/>
  <c r="X20" i="1"/>
  <c r="X156" i="1"/>
  <c r="W156" i="1"/>
  <c r="W165" i="1"/>
  <c r="X148" i="1"/>
  <c r="W148" i="1"/>
  <c r="X126" i="1"/>
  <c r="W126" i="1"/>
  <c r="X112" i="1"/>
  <c r="W112" i="1"/>
  <c r="X104" i="1"/>
  <c r="W104" i="1"/>
  <c r="X96" i="1"/>
  <c r="W96" i="1"/>
  <c r="X88" i="1"/>
  <c r="W88" i="1"/>
  <c r="W75" i="1"/>
  <c r="X75" i="1"/>
  <c r="X59" i="1"/>
  <c r="X51" i="1"/>
  <c r="X43" i="1"/>
  <c r="W16" i="1"/>
  <c r="X16" i="1"/>
  <c r="W28" i="1"/>
  <c r="X28" i="1"/>
  <c r="W12" i="1"/>
  <c r="X12" i="1"/>
  <c r="W24" i="1"/>
  <c r="X24" i="1"/>
  <c r="W8" i="1"/>
  <c r="X8" i="1"/>
  <c r="W54" i="1"/>
  <c r="X54" i="1"/>
  <c r="W46" i="1"/>
  <c r="X46" i="1"/>
  <c r="W30" i="1"/>
  <c r="X30" i="1"/>
  <c r="W27" i="1"/>
  <c r="X27" i="1"/>
  <c r="W19" i="1"/>
  <c r="X19" i="1"/>
  <c r="W11" i="1"/>
  <c r="X11" i="1"/>
  <c r="W168" i="1"/>
  <c r="W163" i="1"/>
  <c r="W159" i="1"/>
  <c r="W155" i="1"/>
  <c r="W151" i="1"/>
  <c r="W147" i="1"/>
  <c r="W144" i="1"/>
  <c r="W140" i="1"/>
  <c r="W133" i="1"/>
  <c r="W129" i="1"/>
  <c r="W125" i="1"/>
  <c r="W121" i="1"/>
  <c r="W117" i="1"/>
  <c r="W79" i="1"/>
  <c r="X79" i="1"/>
  <c r="W70" i="1"/>
  <c r="X70" i="1"/>
  <c r="W83" i="1"/>
  <c r="X83" i="1"/>
  <c r="W74" i="1"/>
  <c r="X74" i="1"/>
  <c r="W66" i="1"/>
  <c r="X66" i="1"/>
  <c r="W58" i="1"/>
  <c r="X58" i="1"/>
  <c r="W50" i="1"/>
  <c r="X50" i="1"/>
  <c r="W42" i="1"/>
  <c r="X42" i="1"/>
  <c r="W23" i="1"/>
  <c r="X23" i="1"/>
  <c r="W15" i="1"/>
  <c r="X15" i="1"/>
  <c r="W7" i="1"/>
  <c r="X7" i="1"/>
  <c r="W62" i="1"/>
  <c r="X62" i="1"/>
  <c r="W166" i="1"/>
  <c r="W161" i="1"/>
  <c r="W157" i="1"/>
  <c r="W153" i="1"/>
  <c r="W149" i="1"/>
  <c r="W146" i="1"/>
  <c r="W142" i="1"/>
  <c r="W138" i="1"/>
  <c r="W136" i="1"/>
  <c r="W131" i="1"/>
  <c r="W127" i="1"/>
  <c r="W123" i="1"/>
  <c r="W119" i="1"/>
  <c r="W115" i="1"/>
  <c r="W81" i="1"/>
  <c r="X81" i="1"/>
  <c r="X10" i="1"/>
  <c r="X76" i="1"/>
  <c r="X72" i="1"/>
  <c r="X68" i="1"/>
  <c r="X64" i="1"/>
  <c r="X60" i="1"/>
  <c r="X56" i="1"/>
  <c r="X52" i="1"/>
  <c r="X48" i="1"/>
  <c r="X44" i="1"/>
  <c r="X32" i="1"/>
  <c r="X29" i="1"/>
  <c r="X25" i="1"/>
  <c r="X21" i="1"/>
  <c r="X17" i="1"/>
  <c r="X13" i="1"/>
  <c r="A39" i="7"/>
  <c r="B39" i="7" s="1"/>
  <c r="C39" i="7"/>
  <c r="D39" i="7" l="1"/>
</calcChain>
</file>

<file path=xl/sharedStrings.xml><?xml version="1.0" encoding="utf-8"?>
<sst xmlns="http://schemas.openxmlformats.org/spreadsheetml/2006/main" count="2793" uniqueCount="559">
  <si>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</si>
  <si>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</si>
  <si>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</si>
  <si>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</si>
  <si>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</si>
  <si>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</si>
  <si>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</si>
  <si>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</si>
  <si>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</si>
  <si>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</si>
  <si>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</si>
  <si>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</si>
  <si>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</si>
  <si>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</si>
  <si>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</si>
  <si>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</si>
  <si>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</si>
  <si>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</si>
  <si>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</si>
  <si>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</si>
  <si>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</si>
  <si>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</si>
  <si>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</si>
  <si>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</si>
  <si>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</si>
  <si>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</si>
  <si>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 xml:space="preserve">ATENCION A VICTIMAS DE ATAQUE CON AGENTES QUIMICOS 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</si>
  <si>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</si>
  <si>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</si>
  <si>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</si>
  <si>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</si>
  <si>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</si>
  <si>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</si>
  <si>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</si>
  <si>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</si>
  <si>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</si>
  <si>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</si>
  <si>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</si>
  <si>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</si>
  <si>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</si>
  <si>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</si>
  <si>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</si>
  <si>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</si>
  <si>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</si>
  <si>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 xml:space="preserve">ATENCION A VICTIMAS DE VIOLENCIA SEXUAL </t>
  </si>
  <si>
    <t>PROGRAMADO AMPLIADO DE INMUNIZACION (PAI - COVID 19)</t>
  </si>
  <si>
    <t>AIEPI</t>
  </si>
  <si>
    <t>ATENCION INTEGRAL EN ENFERMEDADES PREVALENTES EN PRIMERA INFANCIA (AIEPI)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</si>
  <si>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</si>
  <si>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</si>
  <si>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</si>
  <si>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</si>
  <si>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</si>
  <si>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</si>
  <si>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</si>
  <si>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</si>
  <si>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ATENCION A VICTIMAS POR 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</si>
  <si>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</si>
  <si>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</si>
  <si>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</si>
  <si>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</si>
  <si>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</si>
  <si>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</si>
  <si>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</si>
  <si>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</si>
  <si>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</si>
  <si>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</si>
  <si>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</si>
  <si>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</si>
  <si>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</si>
  <si>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</si>
  <si>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</si>
  <si>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</si>
  <si>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</si>
  <si>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</si>
  <si>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</si>
  <si>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</si>
  <si>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</si>
  <si>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</si>
  <si>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</si>
  <si>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 xml:space="preserve">ADMINISTRACION DE MEDICAMENTOS, INYECTOLOGIA  Y CANALIZACION </t>
  </si>
  <si>
    <t>ATENCION A PERSONAS CON DISCAPACIDAD</t>
  </si>
  <si>
    <t>DISCAPACIDAD</t>
  </si>
  <si>
    <t>ADULTO MAYOR</t>
  </si>
  <si>
    <t>CUIDADO INTEGRAL DEL PACIENTE ADULTO</t>
  </si>
  <si>
    <t>CAMILO</t>
  </si>
  <si>
    <t>Alejandra</t>
  </si>
  <si>
    <t>MANEJO DEFENSIVO</t>
  </si>
  <si>
    <t>ACLSN</t>
  </si>
  <si>
    <t>SOPORTE CARDIOVASCULAR AVANZADO NEONATAL</t>
  </si>
  <si>
    <t>Delgado</t>
  </si>
  <si>
    <t xml:space="preserve">HUMANIZACION EN EL SERVICIO DE LA SALUD Y BUENAS PRACTICAS EN PACIENTE </t>
  </si>
  <si>
    <t xml:space="preserve">TOMA DE MUESTRAS Y LABORATORIO 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</si>
  <si>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</si>
  <si>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</si>
  <si>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</si>
  <si>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</si>
  <si>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</si>
  <si>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CCS</t>
  </si>
  <si>
    <t>Septiembre</t>
  </si>
  <si>
    <t>Ceron</t>
  </si>
  <si>
    <t>Rodriguez</t>
  </si>
  <si>
    <t>Renzo</t>
  </si>
  <si>
    <t>NEQUI</t>
  </si>
  <si>
    <t>M</t>
  </si>
  <si>
    <t>MEDIC@</t>
  </si>
  <si>
    <t>renzo362@hotmail.com</t>
  </si>
  <si>
    <t>Guancha</t>
  </si>
  <si>
    <t>María</t>
  </si>
  <si>
    <t>YURANI</t>
  </si>
  <si>
    <t>F</t>
  </si>
  <si>
    <t xml:space="preserve">malejaguancha0618@gmail.com </t>
  </si>
  <si>
    <t>Villota</t>
  </si>
  <si>
    <t>Gualguan</t>
  </si>
  <si>
    <t>Jeisson</t>
  </si>
  <si>
    <t>Stiven</t>
  </si>
  <si>
    <t>FISIOTERAPEUTA</t>
  </si>
  <si>
    <t>jeivillota.ft@gmail.com</t>
  </si>
  <si>
    <t>Arteaga</t>
  </si>
  <si>
    <t>Pantoja</t>
  </si>
  <si>
    <t>Liliana</t>
  </si>
  <si>
    <t>Ximena</t>
  </si>
  <si>
    <t>lilianaximena22@gmail.com</t>
  </si>
  <si>
    <t>AUX DE ENFERMERIA</t>
  </si>
  <si>
    <t>Santander</t>
  </si>
  <si>
    <t>Toro</t>
  </si>
  <si>
    <t>Doralba</t>
  </si>
  <si>
    <t>Yaneth</t>
  </si>
  <si>
    <t xml:space="preserve">yanethsantander1980@gmail.com </t>
  </si>
  <si>
    <t>Martínez</t>
  </si>
  <si>
    <t>Castro</t>
  </si>
  <si>
    <t>Diana</t>
  </si>
  <si>
    <t>Patricia</t>
  </si>
  <si>
    <t>patymaetinez22@gmail.com</t>
  </si>
  <si>
    <t>Zambrano</t>
  </si>
  <si>
    <t>Yeraldin</t>
  </si>
  <si>
    <t>Vanessa</t>
  </si>
  <si>
    <t>ceronvanessa33@gmail.com</t>
  </si>
  <si>
    <t>BANCOLOMBIA</t>
  </si>
  <si>
    <t>Villacorte</t>
  </si>
  <si>
    <t>Ortega</t>
  </si>
  <si>
    <t>Jair</t>
  </si>
  <si>
    <t>Fernando</t>
  </si>
  <si>
    <t>NUTRICIONISTA</t>
  </si>
  <si>
    <t>villacorte944@gmail.com</t>
  </si>
  <si>
    <t>Riascos</t>
  </si>
  <si>
    <t>Claudia</t>
  </si>
  <si>
    <t>Milena</t>
  </si>
  <si>
    <t xml:space="preserve">pantojamilena868@gmail.com </t>
  </si>
  <si>
    <t>Figueredo</t>
  </si>
  <si>
    <t>Ladino</t>
  </si>
  <si>
    <t>Carlos</t>
  </si>
  <si>
    <t>Humberto</t>
  </si>
  <si>
    <t>Comandofigue05@hotmail.com</t>
  </si>
  <si>
    <t>Figueroa</t>
  </si>
  <si>
    <t>Francy</t>
  </si>
  <si>
    <t>Cadena</t>
  </si>
  <si>
    <t>Carlosama</t>
  </si>
  <si>
    <t>Dayana</t>
  </si>
  <si>
    <t>Melisa</t>
  </si>
  <si>
    <t xml:space="preserve">d4y4niith4@gmail.com </t>
  </si>
  <si>
    <t>Rosero</t>
  </si>
  <si>
    <t>Benavides</t>
  </si>
  <si>
    <t>Andres</t>
  </si>
  <si>
    <t>carlos-rosero95@hotmail.com</t>
  </si>
  <si>
    <t>Espinosa</t>
  </si>
  <si>
    <t>Burbano</t>
  </si>
  <si>
    <t>Paola</t>
  </si>
  <si>
    <t>Andrea</t>
  </si>
  <si>
    <t>paolaespinosaburbano08@gmail.com</t>
  </si>
  <si>
    <t>Puerres</t>
  </si>
  <si>
    <t>Hidalgo</t>
  </si>
  <si>
    <t>Johana</t>
  </si>
  <si>
    <t>Marcela</t>
  </si>
  <si>
    <t>Instrumentadora Quirúrgica</t>
  </si>
  <si>
    <t xml:space="preserve">johanampuerres@gmail.com </t>
  </si>
  <si>
    <t>Tenorio</t>
  </si>
  <si>
    <t>Guerrero</t>
  </si>
  <si>
    <t>Yuli</t>
  </si>
  <si>
    <t>Mariet</t>
  </si>
  <si>
    <t>SEBASTIAN</t>
  </si>
  <si>
    <t xml:space="preserve">REGENTE DE FARMACIA </t>
  </si>
  <si>
    <t>chocolatemix21@gmail.com</t>
  </si>
  <si>
    <t>Perez</t>
  </si>
  <si>
    <t>Valeria</t>
  </si>
  <si>
    <t>Valentina</t>
  </si>
  <si>
    <t>LUIS PINTA</t>
  </si>
  <si>
    <t>ENFERMERA JEFE</t>
  </si>
  <si>
    <t>Valeriapv0440@gmail.com</t>
  </si>
  <si>
    <t>Jhuliana</t>
  </si>
  <si>
    <t>Cristhina</t>
  </si>
  <si>
    <t>jhulianita98@gmail.com</t>
  </si>
  <si>
    <t>OBSEQUIO</t>
  </si>
  <si>
    <t>Faiber</t>
  </si>
  <si>
    <t>Andrey</t>
  </si>
  <si>
    <t>FRANCISCO</t>
  </si>
  <si>
    <t>López</t>
  </si>
  <si>
    <t>Cerón</t>
  </si>
  <si>
    <t>Yadi</t>
  </si>
  <si>
    <t>Díaz</t>
  </si>
  <si>
    <t>Barrera</t>
  </si>
  <si>
    <t>Vanesa</t>
  </si>
  <si>
    <t>Fernanda</t>
  </si>
  <si>
    <t>vvanefer@gmail.com</t>
  </si>
  <si>
    <t>Jarrin</t>
  </si>
  <si>
    <t>Estrada</t>
  </si>
  <si>
    <t>Luis</t>
  </si>
  <si>
    <t>Alberto</t>
  </si>
  <si>
    <t>laestradab745@gmail.com</t>
  </si>
  <si>
    <t>ODONTOLOGO</t>
  </si>
  <si>
    <t>Rodríguez</t>
  </si>
  <si>
    <t>Araujo</t>
  </si>
  <si>
    <t>Sandra</t>
  </si>
  <si>
    <t>Mabel</t>
  </si>
  <si>
    <t>NICOLAS</t>
  </si>
  <si>
    <t>auxiliar10pypmedfam@gmail.com</t>
  </si>
  <si>
    <t>DAVIPLATA</t>
  </si>
  <si>
    <t>Valencia</t>
  </si>
  <si>
    <t>Ronal</t>
  </si>
  <si>
    <t>Alexander</t>
  </si>
  <si>
    <t>bordadosstijhor@hotmail.com</t>
  </si>
  <si>
    <t>Tecnico profesional en atención prehospitalaria</t>
  </si>
  <si>
    <t>Mora</t>
  </si>
  <si>
    <t>Ruth</t>
  </si>
  <si>
    <t>Marlene</t>
  </si>
  <si>
    <t>ruth-riascos@outlook.es</t>
  </si>
  <si>
    <t>Patiño</t>
  </si>
  <si>
    <t>Yasmin</t>
  </si>
  <si>
    <t>Yasminleja3@gmail.com</t>
  </si>
  <si>
    <t>Adarme</t>
  </si>
  <si>
    <t>Gonzales</t>
  </si>
  <si>
    <t>Argenis</t>
  </si>
  <si>
    <t xml:space="preserve">argenisdarme@gmail.com </t>
  </si>
  <si>
    <t>Canchala</t>
  </si>
  <si>
    <t>Moreno</t>
  </si>
  <si>
    <t>Eliana</t>
  </si>
  <si>
    <t>Jacqueline</t>
  </si>
  <si>
    <t xml:space="preserve">eliana.canchala@gmail.com </t>
  </si>
  <si>
    <t>Cuastumal</t>
  </si>
  <si>
    <t>Reveló</t>
  </si>
  <si>
    <t>Cruz</t>
  </si>
  <si>
    <t>Elena</t>
  </si>
  <si>
    <t>elenacuastumal@gmail.com</t>
  </si>
  <si>
    <t>Calpa</t>
  </si>
  <si>
    <t>Yama</t>
  </si>
  <si>
    <t>Maribel</t>
  </si>
  <si>
    <t>maribelcy1@hotmail.com</t>
  </si>
  <si>
    <t>Revelo</t>
  </si>
  <si>
    <t>Brayan</t>
  </si>
  <si>
    <t>Ernesto</t>
  </si>
  <si>
    <t>Figueroabrayan315@gmail.com</t>
  </si>
  <si>
    <t>Ruano</t>
  </si>
  <si>
    <t>Enriquez</t>
  </si>
  <si>
    <t>Gabriel</t>
  </si>
  <si>
    <t xml:space="preserve">gabo7s3j@gmail.com </t>
  </si>
  <si>
    <t>Tabango</t>
  </si>
  <si>
    <t>Laguna</t>
  </si>
  <si>
    <t>Elizabeth</t>
  </si>
  <si>
    <t>dianatabango@gmail.com</t>
  </si>
  <si>
    <t>Pitacuar</t>
  </si>
  <si>
    <t>Pistala</t>
  </si>
  <si>
    <t>Rosaura</t>
  </si>
  <si>
    <t>rositapitacuar@hotmail.com</t>
  </si>
  <si>
    <t>Marisol</t>
  </si>
  <si>
    <t>Yadira</t>
  </si>
  <si>
    <t>Rivera</t>
  </si>
  <si>
    <t>Ana</t>
  </si>
  <si>
    <t>amy1990rivera@hotmail.com</t>
  </si>
  <si>
    <t>Yépez</t>
  </si>
  <si>
    <t>Leytón</t>
  </si>
  <si>
    <t>ENFERMERA</t>
  </si>
  <si>
    <t>andreayepez1582@gmail.com</t>
  </si>
  <si>
    <t>Ceballos</t>
  </si>
  <si>
    <t>Bayardo</t>
  </si>
  <si>
    <t>Andrés</t>
  </si>
  <si>
    <t>ENFERMERO</t>
  </si>
  <si>
    <t>andresreveloc@outlook.com</t>
  </si>
  <si>
    <t>Tapia</t>
  </si>
  <si>
    <t>Nixon</t>
  </si>
  <si>
    <t>Arley</t>
  </si>
  <si>
    <t>tnixontapiaortt@gmail.com</t>
  </si>
  <si>
    <t>Flórez</t>
  </si>
  <si>
    <t>Victor</t>
  </si>
  <si>
    <t>CIRUJANO</t>
  </si>
  <si>
    <t>dr.ruanoflorez@gmail.com</t>
  </si>
  <si>
    <t>Burgos</t>
  </si>
  <si>
    <t>Flores</t>
  </si>
  <si>
    <t>Edith</t>
  </si>
  <si>
    <t>francyburgos0816@gmail.com</t>
  </si>
  <si>
    <t>Montenegro</t>
  </si>
  <si>
    <t>Edison</t>
  </si>
  <si>
    <t>Dacir</t>
  </si>
  <si>
    <t>edison68368@gmail.com</t>
  </si>
  <si>
    <t>LICENCIADO EN EDUCACION FISICA</t>
  </si>
  <si>
    <t>Belalcazar</t>
  </si>
  <si>
    <t>Anderson</t>
  </si>
  <si>
    <t>Ivan</t>
  </si>
  <si>
    <t>Proedufisico@gmail.com</t>
  </si>
  <si>
    <t>Acosta</t>
  </si>
  <si>
    <t>Yohana</t>
  </si>
  <si>
    <t>Jhoanaloac@gmail.com</t>
  </si>
  <si>
    <t>Enríquez</t>
  </si>
  <si>
    <t>Cabrera</t>
  </si>
  <si>
    <t>Javier</t>
  </si>
  <si>
    <t>Alexánder</t>
  </si>
  <si>
    <t>alex01jav02@gmail.com</t>
  </si>
  <si>
    <t>JEFE DE ENFERMERIA</t>
  </si>
  <si>
    <t>Erazo</t>
  </si>
  <si>
    <t>Jojoa</t>
  </si>
  <si>
    <t>Jenny</t>
  </si>
  <si>
    <t>Lorena</t>
  </si>
  <si>
    <t>jennylorenaerazo@hotmail.com</t>
  </si>
  <si>
    <t>Jurado</t>
  </si>
  <si>
    <t>Guaspud</t>
  </si>
  <si>
    <t>caicedo</t>
  </si>
  <si>
    <t>eraso</t>
  </si>
  <si>
    <t>Zurata</t>
  </si>
  <si>
    <t>Lopez</t>
  </si>
  <si>
    <t>portilla</t>
  </si>
  <si>
    <t>estrada</t>
  </si>
  <si>
    <t>basante</t>
  </si>
  <si>
    <t>bolaños</t>
  </si>
  <si>
    <t>diaz</t>
  </si>
  <si>
    <t>Paredes</t>
  </si>
  <si>
    <t>guerron</t>
  </si>
  <si>
    <t>sanchez</t>
  </si>
  <si>
    <t>cuasquen</t>
  </si>
  <si>
    <t>Hernandez</t>
  </si>
  <si>
    <t>Lasso</t>
  </si>
  <si>
    <t>Arciniegas</t>
  </si>
  <si>
    <t>Maria</t>
  </si>
  <si>
    <t>Jackeline</t>
  </si>
  <si>
    <t>andrea</t>
  </si>
  <si>
    <t>Yuly</t>
  </si>
  <si>
    <t>Araceli</t>
  </si>
  <si>
    <t>claudia</t>
  </si>
  <si>
    <t>Ronel</t>
  </si>
  <si>
    <t>ever</t>
  </si>
  <si>
    <t>adriana</t>
  </si>
  <si>
    <t>marlene</t>
  </si>
  <si>
    <t>del Socorro</t>
  </si>
  <si>
    <t>Jorge</t>
  </si>
  <si>
    <t>Heberto</t>
  </si>
  <si>
    <t>Jesus</t>
  </si>
  <si>
    <t>alejandro</t>
  </si>
  <si>
    <t>Enfermera jefe</t>
  </si>
  <si>
    <t>Medico</t>
  </si>
  <si>
    <t xml:space="preserve">Medico </t>
  </si>
  <si>
    <t>patyjuradocu@gmail.com</t>
  </si>
  <si>
    <t>jackyandre1980@gmail.com</t>
  </si>
  <si>
    <t>yulyz1087@hotmail.com</t>
  </si>
  <si>
    <t>clauds11698@gmail.com</t>
  </si>
  <si>
    <t>repotillae@hotmail.com</t>
  </si>
  <si>
    <t>Paobasanteb95@gmail.com</t>
  </si>
  <si>
    <t>vacunacionipsindigena@gmail.com</t>
  </si>
  <si>
    <t>marleneguerronsan@hotmail.com</t>
  </si>
  <si>
    <t>jorgecuasquen7@gmail.com</t>
  </si>
  <si>
    <t>alejandrolasso666@hotmail.com</t>
  </si>
  <si>
    <t>IPS INDIGENA</t>
  </si>
  <si>
    <t>Yeimy</t>
  </si>
  <si>
    <t>yeimyvillacorte21@gmail.com</t>
  </si>
  <si>
    <t>PROINSALUD</t>
  </si>
  <si>
    <t>Ortiz</t>
  </si>
  <si>
    <t>Meneses</t>
  </si>
  <si>
    <t>Steven</t>
  </si>
  <si>
    <t>Rodrigo</t>
  </si>
  <si>
    <t>Destiven97@gmail.com</t>
  </si>
  <si>
    <t>Rivas</t>
  </si>
  <si>
    <t>Torres</t>
  </si>
  <si>
    <t>Norbey</t>
  </si>
  <si>
    <t>Leonardo</t>
  </si>
  <si>
    <t>INSTRUMENTADOR QUIRURJICO</t>
  </si>
  <si>
    <t>rivas159.nr@gmail.com</t>
  </si>
  <si>
    <t>Cifuentes</t>
  </si>
  <si>
    <t>Greis</t>
  </si>
  <si>
    <t>andrea09_05@hotmail.com</t>
  </si>
  <si>
    <t>Vélez</t>
  </si>
  <si>
    <t>Narváez</t>
  </si>
  <si>
    <t>Evelyn</t>
  </si>
  <si>
    <t>evelynvelez1989@gmail.com</t>
  </si>
  <si>
    <t>haroldchamorro212@gmail.com</t>
  </si>
  <si>
    <t>Chamorro</t>
  </si>
  <si>
    <t>Baez</t>
  </si>
  <si>
    <t>Harold</t>
  </si>
  <si>
    <t>Marino</t>
  </si>
  <si>
    <t>Diela</t>
  </si>
  <si>
    <t>marcelamorarodriguez13@gmail.com</t>
  </si>
  <si>
    <t>Andrade</t>
  </si>
  <si>
    <t>Luisa</t>
  </si>
  <si>
    <t>Alexandra</t>
  </si>
  <si>
    <t>landrademora59@gmail.com</t>
  </si>
  <si>
    <t>Romo</t>
  </si>
  <si>
    <t>Mónica</t>
  </si>
  <si>
    <t>diazromomonicaalejandra@gmail.com</t>
  </si>
  <si>
    <t>Madroñero</t>
  </si>
  <si>
    <t>Pinzon</t>
  </si>
  <si>
    <t>Sara</t>
  </si>
  <si>
    <t>TRIAGE</t>
  </si>
  <si>
    <t>DEA</t>
  </si>
  <si>
    <t>MANEJO Y USO DEL DEA</t>
  </si>
  <si>
    <t>saramadroneropinzon@gmail.com</t>
  </si>
  <si>
    <t>Cardenas</t>
  </si>
  <si>
    <t>Aide</t>
  </si>
  <si>
    <t>Mayerli</t>
  </si>
  <si>
    <t>cardenasmayerly29@gmail.com</t>
  </si>
  <si>
    <t>CAJA</t>
  </si>
  <si>
    <t>PENDIENTE</t>
  </si>
  <si>
    <t>MODALIDAD</t>
  </si>
  <si>
    <t>RENOVACION</t>
  </si>
  <si>
    <t>CAPACITACION</t>
  </si>
  <si>
    <t>Miramag</t>
  </si>
  <si>
    <t>Montanchez</t>
  </si>
  <si>
    <t>Daniela</t>
  </si>
  <si>
    <t>nicolmiramag21@gmail.com</t>
  </si>
  <si>
    <t>malejaguancha0618@gmail.com</t>
  </si>
  <si>
    <t>Parra</t>
  </si>
  <si>
    <t>Gil</t>
  </si>
  <si>
    <t>Julio</t>
  </si>
  <si>
    <t>Eduardo</t>
  </si>
  <si>
    <t>BACTERIOLOGO</t>
  </si>
  <si>
    <t>dj_eduar@hotmail.com</t>
  </si>
  <si>
    <t>Martinez</t>
  </si>
  <si>
    <t>danijurado876@gmail.com</t>
  </si>
  <si>
    <t>Muñoz</t>
  </si>
  <si>
    <t>alexa1270@hotmail.com</t>
  </si>
  <si>
    <t>Del Rosario</t>
  </si>
  <si>
    <t>Bastidas</t>
  </si>
  <si>
    <t>ebastidas155@gmail.com</t>
  </si>
  <si>
    <t>Bolaños</t>
  </si>
  <si>
    <t>Juan</t>
  </si>
  <si>
    <t>David</t>
  </si>
  <si>
    <t>PSICOLOGO</t>
  </si>
  <si>
    <t>Carbojd1@hotmail.com</t>
  </si>
  <si>
    <t xml:space="preserve">ebastidas155@gmail.com </t>
  </si>
  <si>
    <t>Melo</t>
  </si>
  <si>
    <t>Dario</t>
  </si>
  <si>
    <t>BACTEREOLOGO</t>
  </si>
  <si>
    <t xml:space="preserve">dtapiamelo@gmail.com </t>
  </si>
  <si>
    <t>Alvarado</t>
  </si>
  <si>
    <t>Alonso</t>
  </si>
  <si>
    <t>ORTOPEDISTA</t>
  </si>
  <si>
    <t>Ayala</t>
  </si>
  <si>
    <t>Balvina</t>
  </si>
  <si>
    <t xml:space="preserve">dianitaa34@gmail.com </t>
  </si>
  <si>
    <t>Solarte</t>
  </si>
  <si>
    <t>malu19171@hotmail.com</t>
  </si>
  <si>
    <t>Carrillo</t>
  </si>
  <si>
    <t>Solano</t>
  </si>
  <si>
    <t>Deiner</t>
  </si>
  <si>
    <t>Jose</t>
  </si>
  <si>
    <t xml:space="preserve">deiner3011@gmail.com </t>
  </si>
  <si>
    <t>Rojas</t>
  </si>
  <si>
    <t>Camila</t>
  </si>
  <si>
    <t>Elisabeth</t>
  </si>
  <si>
    <t>Yamile</t>
  </si>
  <si>
    <t>elizabethhpantoja@gmail.com</t>
  </si>
  <si>
    <t>Reyes</t>
  </si>
  <si>
    <t>Adriana</t>
  </si>
  <si>
    <t>paromoa.13@hotmail.com</t>
  </si>
  <si>
    <t>Obando</t>
  </si>
  <si>
    <t>Campaña</t>
  </si>
  <si>
    <t>Mauricio</t>
  </si>
  <si>
    <t>Jorgecolombia03@hotmail.com</t>
  </si>
  <si>
    <t>Portilla</t>
  </si>
  <si>
    <t>Chaucanes</t>
  </si>
  <si>
    <t>Jennifer</t>
  </si>
  <si>
    <t>Artursofer3706526@gmail.com</t>
  </si>
  <si>
    <t>Lenis</t>
  </si>
  <si>
    <t>Arledi</t>
  </si>
  <si>
    <t xml:space="preserve">Por confirmar </t>
  </si>
  <si>
    <t xml:space="preserve">Lennisjn@gmail.com </t>
  </si>
  <si>
    <t>SALAZAR</t>
  </si>
  <si>
    <t>MAYERLI</t>
  </si>
  <si>
    <t>DEL CARMEN</t>
  </si>
  <si>
    <t>Vaca</t>
  </si>
  <si>
    <t>Yurany</t>
  </si>
  <si>
    <t>Natalia</t>
  </si>
  <si>
    <t>nataliarodri621@gmail.com</t>
  </si>
  <si>
    <t>Faber</t>
  </si>
  <si>
    <t>Danilo</t>
  </si>
  <si>
    <t>faberc0501@gmail.com</t>
  </si>
  <si>
    <t>Tatiana</t>
  </si>
  <si>
    <t>Brigid</t>
  </si>
  <si>
    <t>erazo1998taty73@gmail.com</t>
  </si>
  <si>
    <t>Sanchez</t>
  </si>
  <si>
    <t>Giselly</t>
  </si>
  <si>
    <t>gisellypantoja903@gmail.com</t>
  </si>
  <si>
    <t>Carolina</t>
  </si>
  <si>
    <t>TRABAJADORA SOCIAL</t>
  </si>
  <si>
    <t>jcguerrero3101@gmail.com</t>
  </si>
  <si>
    <t>Floribet</t>
  </si>
  <si>
    <t>floribeth11@hotmail.com</t>
  </si>
  <si>
    <t>Fuertes</t>
  </si>
  <si>
    <t>Mejia</t>
  </si>
  <si>
    <t xml:space="preserve">fuertesjorge12@gmail.com </t>
  </si>
  <si>
    <t>De la cruz</t>
  </si>
  <si>
    <t>Rafael</t>
  </si>
  <si>
    <t>robertorod0204@gmail.com</t>
  </si>
  <si>
    <t>Giron</t>
  </si>
  <si>
    <t>Lucia</t>
  </si>
  <si>
    <t>dianis-lbg@hotmail.com</t>
  </si>
  <si>
    <t>Ocaña</t>
  </si>
  <si>
    <t>Chavez</t>
  </si>
  <si>
    <t xml:space="preserve">Carol </t>
  </si>
  <si>
    <t>Viviana</t>
  </si>
  <si>
    <t>Arevalo</t>
  </si>
  <si>
    <t>Yurlei</t>
  </si>
  <si>
    <t>Moncayo</t>
  </si>
  <si>
    <t>Del Pilar</t>
  </si>
  <si>
    <t>Nicole</t>
  </si>
  <si>
    <t>Ruiz</t>
  </si>
  <si>
    <t>Yela</t>
  </si>
  <si>
    <t>María Alicia</t>
  </si>
  <si>
    <t>danielary221@gmail.com</t>
  </si>
  <si>
    <t>Árevalo</t>
  </si>
  <si>
    <t>Juajinoy</t>
  </si>
  <si>
    <t>Timaran</t>
  </si>
  <si>
    <t>APOLO´S GYM</t>
  </si>
  <si>
    <t>CARLOSJUAJUNOY@HOTMAIL.COM</t>
  </si>
  <si>
    <t>amjuajinoy@gmail.com</t>
  </si>
  <si>
    <t>Ramos</t>
  </si>
  <si>
    <t>Chañag</t>
  </si>
  <si>
    <t>Gilberto</t>
  </si>
  <si>
    <t>PREPARADOR FISICO</t>
  </si>
  <si>
    <t>brayan1ramos2@gmail.com</t>
  </si>
  <si>
    <t>Pejendino</t>
  </si>
  <si>
    <t>Diego</t>
  </si>
  <si>
    <t>dchanagpejendino@gmail.com</t>
  </si>
  <si>
    <t>Chachinoy</t>
  </si>
  <si>
    <t>Esparza</t>
  </si>
  <si>
    <t>Daissy</t>
  </si>
  <si>
    <t>Anabell</t>
  </si>
  <si>
    <t>RECEPCIONISTA</t>
  </si>
  <si>
    <t>ANABELCH87@GMAIL.COM</t>
  </si>
  <si>
    <t>ESTUDIANTE</t>
  </si>
  <si>
    <t>Amalia</t>
  </si>
  <si>
    <t>Florinda</t>
  </si>
  <si>
    <t>afte1411@gmail.com</t>
  </si>
  <si>
    <t>caja</t>
  </si>
  <si>
    <t>Mafla</t>
  </si>
  <si>
    <t>Leydi</t>
  </si>
  <si>
    <t>maflaleydi34@gmail.com</t>
  </si>
  <si>
    <t>Alvear</t>
  </si>
  <si>
    <t>Graciela</t>
  </si>
  <si>
    <t>claudiaalvear47@gmail.com</t>
  </si>
  <si>
    <t>Cancimance</t>
  </si>
  <si>
    <t>Daira</t>
  </si>
  <si>
    <t>Lilian</t>
  </si>
  <si>
    <t>marianacancimance30@gmail.com</t>
  </si>
  <si>
    <t>https://centrodecapacitaciondelsur.com/primeros-aux-psicologicos-</t>
  </si>
  <si>
    <t>Quiñones</t>
  </si>
  <si>
    <t>Angulo</t>
  </si>
  <si>
    <t>Wanda</t>
  </si>
  <si>
    <t xml:space="preserve">wandae93@hotmail.com </t>
  </si>
  <si>
    <t>CONTADORA</t>
  </si>
  <si>
    <t xml:space="preserve">luciajuajinoy@gmail.com </t>
  </si>
  <si>
    <t>Naspiran</t>
  </si>
  <si>
    <t>Daniel</t>
  </si>
  <si>
    <t>Felipe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</si>
</sst>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u/>
      <sz val="12"/>
      <name val="Arial"/>
      <family val="2"/>
    </font>
    <font>
      <b/>
      <sz val="11"/>
      <color theme="1"/>
      <name val="Arial"/>
      <family val="2"/>
    </font>
    <font>
      <u/>
      <sz val="12"/>
      <color theme="10"/>
      <name val="Arial"/>
      <family val="2"/>
    </font>
    <font>
      <sz val="12"/>
      <color rgb="FF000000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/>
    <xf numFmtId="0" fontId="6" fillId="0" borderId="6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/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3" fillId="2" borderId="1" xfId="0" applyFont="1" applyFill="1" applyBorder="1" applyAlignment="1" applyProtection="1">
      <alignment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164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14" fontId="3" fillId="2" borderId="1" xfId="0" applyNumberFormat="1" applyFont="1" applyFill="1" applyBorder="1" applyAlignment="1" applyProtection="1">
      <alignment vertical="center"/>
      <protection locked="0"/>
    </xf>
    <xf numFmtId="0" fontId="3" fillId="3" borderId="1" xfId="0" applyFont="1" applyFill="1" applyBorder="1" applyAlignment="1">
      <alignment vertical="center"/>
    </xf>
    <xf numFmtId="0" fontId="11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5" fillId="0" borderId="1" xfId="0" applyFont="1" applyFill="1" applyBorder="1"/>
    <xf numFmtId="0" fontId="5" fillId="0" borderId="7" xfId="0" applyFont="1" applyFill="1" applyBorder="1"/>
    <xf numFmtId="0" fontId="0" fillId="0" borderId="6" xfId="0" applyFill="1" applyBorder="1" applyAlignment="1">
      <alignment horizontal="center"/>
    </xf>
    <xf numFmtId="49" fontId="3" fillId="2" borderId="1" xfId="0" applyNumberFormat="1" applyFont="1" applyFill="1" applyBorder="1" applyAlignment="1" applyProtection="1">
      <alignment horizontal="center"/>
      <protection locked="0"/>
    </xf>
    <xf numFmtId="0" fontId="9" fillId="0" borderId="0" xfId="0" applyNumberFormat="1" applyFont="1" applyFill="1" applyBorder="1"/>
    <xf numFmtId="0" fontId="5" fillId="0" borderId="17" xfId="0" applyFont="1" applyFill="1" applyBorder="1"/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Fill="1" applyBorder="1" applyAlignment="1">
      <alignment vertical="center"/>
    </xf>
    <xf numFmtId="1" fontId="9" fillId="2" borderId="1" xfId="0" applyNumberFormat="1" applyFont="1" applyFill="1" applyBorder="1" applyAlignment="1">
      <alignment horizontal="center"/>
    </xf>
    <xf numFmtId="0" fontId="3" fillId="2" borderId="1" xfId="2" applyNumberFormat="1" applyFont="1" applyFill="1" applyBorder="1" applyAlignment="1" applyProtection="1">
      <alignment vertical="center"/>
      <protection locked="0"/>
    </xf>
    <xf numFmtId="0" fontId="9" fillId="2" borderId="1" xfId="0" applyNumberFormat="1" applyFont="1" applyFill="1" applyBorder="1"/>
    <xf numFmtId="0" fontId="9" fillId="2" borderId="1" xfId="0" applyFont="1" applyFill="1" applyBorder="1"/>
    <xf numFmtId="0" fontId="9" fillId="2" borderId="1" xfId="0" applyFont="1" applyFill="1" applyBorder="1" applyAlignment="1">
      <alignment horizontal="center"/>
    </xf>
    <xf numFmtId="14" fontId="9" fillId="2" borderId="1" xfId="0" applyNumberFormat="1" applyFont="1" applyFill="1" applyBorder="1" applyAlignment="1">
      <alignment horizontal="center"/>
    </xf>
    <xf numFmtId="164" fontId="9" fillId="2" borderId="1" xfId="1" applyNumberFormat="1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/>
    <xf numFmtId="0" fontId="9" fillId="2" borderId="1" xfId="3" applyFont="1" applyFill="1" applyBorder="1"/>
    <xf numFmtId="0" fontId="9" fillId="3" borderId="1" xfId="0" applyFont="1" applyFill="1" applyBorder="1"/>
    <xf numFmtId="0" fontId="9" fillId="0" borderId="1" xfId="0" applyNumberFormat="1" applyFont="1" applyFill="1" applyBorder="1"/>
    <xf numFmtId="0" fontId="9" fillId="3" borderId="14" xfId="0" applyFont="1" applyFill="1" applyBorder="1"/>
    <xf numFmtId="14" fontId="9" fillId="2" borderId="1" xfId="0" applyNumberFormat="1" applyFont="1" applyFill="1" applyBorder="1" applyAlignment="1">
      <alignment vertical="center"/>
    </xf>
    <xf numFmtId="0" fontId="3" fillId="3" borderId="14" xfId="0" applyFont="1" applyFill="1" applyBorder="1" applyAlignment="1">
      <alignment vertical="center"/>
    </xf>
    <xf numFmtId="0" fontId="4" fillId="2" borderId="1" xfId="0" applyFont="1" applyFill="1" applyBorder="1"/>
    <xf numFmtId="14" fontId="4" fillId="2" borderId="1" xfId="0" applyNumberFormat="1" applyFont="1" applyFill="1" applyBorder="1"/>
    <xf numFmtId="0" fontId="12" fillId="2" borderId="1" xfId="3" applyFont="1" applyFill="1" applyBorder="1"/>
    <xf numFmtId="0" fontId="4" fillId="2" borderId="1" xfId="0" applyFont="1" applyFill="1" applyBorder="1" applyAlignment="1">
      <alignment horizontal="center"/>
    </xf>
    <xf numFmtId="0" fontId="10" fillId="2" borderId="1" xfId="3" applyFont="1" applyFill="1" applyBorder="1"/>
    <xf numFmtId="0" fontId="9" fillId="2" borderId="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/>
    </xf>
    <xf numFmtId="14" fontId="9" fillId="5" borderId="1" xfId="0" applyNumberFormat="1" applyFont="1" applyFill="1" applyBorder="1"/>
    <xf numFmtId="14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vertic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15" xfId="0" applyFill="1" applyBorder="1" applyAlignment="1">
      <alignment horizontal="center"/>
    </xf>
    <xf numFmtId="0" fontId="9" fillId="2" borderId="1" xfId="0" applyFont="1" applyFill="1" applyBorder="1" applyAlignment="1">
      <alignment horizontal="center" wrapText="1"/>
    </xf>
    <xf numFmtId="164" fontId="9" fillId="2" borderId="1" xfId="1" applyNumberFormat="1" applyFont="1" applyFill="1" applyBorder="1" applyAlignment="1">
      <alignment horizontal="center" wrapText="1"/>
    </xf>
    <xf numFmtId="14" fontId="9" fillId="2" borderId="1" xfId="0" applyNumberFormat="1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wrapText="1"/>
    </xf>
    <xf numFmtId="0" fontId="9" fillId="2" borderId="1" xfId="0" applyFont="1" applyFill="1" applyBorder="1" applyAlignment="1">
      <alignment vertical="center" wrapText="1"/>
    </xf>
    <xf numFmtId="0" fontId="9" fillId="2" borderId="1" xfId="3" applyFont="1" applyFill="1" applyBorder="1" applyAlignment="1">
      <alignment wrapText="1"/>
    </xf>
    <xf numFmtId="14" fontId="9" fillId="2" borderId="1" xfId="0" applyNumberFormat="1" applyFont="1" applyFill="1" applyBorder="1" applyAlignment="1">
      <alignment horizontal="center" vertical="center" wrapText="1"/>
    </xf>
    <xf numFmtId="0" fontId="5" fillId="0" borderId="16" xfId="0" applyFont="1" applyBorder="1"/>
    <xf numFmtId="0" fontId="5" fillId="0" borderId="17" xfId="0" applyFont="1" applyBorder="1"/>
    <xf numFmtId="14" fontId="9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14" fontId="4" fillId="2" borderId="1" xfId="0" applyNumberFormat="1" applyFont="1" applyFill="1" applyBorder="1" applyAlignment="1">
      <alignment horizontal="left"/>
    </xf>
    <xf numFmtId="164" fontId="0" fillId="0" borderId="0" xfId="0" applyNumberFormat="1"/>
    <xf numFmtId="0" fontId="15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/>
    </xf>
    <xf numFmtId="164" fontId="3" fillId="2" borderId="1" xfId="1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9" fillId="6" borderId="1" xfId="1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wrapText="1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2" applyNumberFormat="1" applyFont="1" applyFill="1" applyBorder="1" applyAlignment="1" applyProtection="1">
      <alignment vertical="center"/>
      <protection locked="0"/>
    </xf>
    <xf numFmtId="0" fontId="3" fillId="6" borderId="1" xfId="0" applyFont="1" applyFill="1" applyBorder="1" applyAlignment="1" applyProtection="1">
      <alignment vertical="center"/>
      <protection locked="0"/>
    </xf>
    <xf numFmtId="49" fontId="3" fillId="6" borderId="1" xfId="0" applyNumberFormat="1" applyFont="1" applyFill="1" applyBorder="1" applyAlignment="1" applyProtection="1">
      <alignment horizont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6" borderId="1" xfId="2" applyNumberFormat="1" applyFont="1" applyFill="1" applyBorder="1" applyAlignment="1" applyProtection="1">
      <alignment horizontal="center" vertical="center"/>
      <protection locked="0"/>
    </xf>
    <xf numFmtId="164" fontId="3" fillId="6" borderId="1" xfId="1" applyNumberFormat="1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left" vertical="center"/>
      <protection locked="0"/>
    </xf>
    <xf numFmtId="14" fontId="3" fillId="6" borderId="1" xfId="0" applyNumberFormat="1" applyFont="1" applyFill="1" applyBorder="1" applyAlignment="1" applyProtection="1">
      <alignment vertical="center"/>
      <protection locked="0"/>
    </xf>
    <xf numFmtId="0" fontId="3" fillId="6" borderId="1" xfId="0" applyFont="1" applyFill="1" applyBorder="1" applyAlignment="1">
      <alignment vertical="center"/>
    </xf>
    <xf numFmtId="0" fontId="9" fillId="6" borderId="0" xfId="0" applyNumberFormat="1" applyFont="1" applyFill="1" applyBorder="1" applyAlignment="1">
      <alignment vertical="center"/>
    </xf>
    <xf numFmtId="1" fontId="9" fillId="6" borderId="1" xfId="0" applyNumberFormat="1" applyFont="1" applyFill="1" applyBorder="1" applyAlignment="1">
      <alignment horizontal="center"/>
    </xf>
    <xf numFmtId="0" fontId="9" fillId="6" borderId="1" xfId="0" applyNumberFormat="1" applyFont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horizontal="center"/>
    </xf>
    <xf numFmtId="14" fontId="9" fillId="6" borderId="1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left"/>
    </xf>
    <xf numFmtId="14" fontId="9" fillId="6" borderId="1" xfId="0" applyNumberFormat="1" applyFont="1" applyFill="1" applyBorder="1"/>
    <xf numFmtId="0" fontId="9" fillId="6" borderId="1" xfId="3" applyFont="1" applyFill="1" applyBorder="1"/>
    <xf numFmtId="0" fontId="10" fillId="6" borderId="1" xfId="3" applyFont="1" applyFill="1" applyBorder="1" applyAlignment="1"/>
    <xf numFmtId="0" fontId="9" fillId="6" borderId="0" xfId="0" applyNumberFormat="1" applyFont="1" applyFill="1" applyBorder="1"/>
    <xf numFmtId="164" fontId="9" fillId="6" borderId="1" xfId="1" applyNumberFormat="1" applyFont="1" applyFill="1" applyBorder="1"/>
    <xf numFmtId="0" fontId="9" fillId="6" borderId="1" xfId="0" applyNumberFormat="1" applyFont="1" applyFill="1" applyBorder="1" applyAlignment="1">
      <alignment horizontal="center"/>
    </xf>
    <xf numFmtId="0" fontId="9" fillId="6" borderId="1" xfId="0" applyNumberFormat="1" applyFont="1" applyFill="1" applyBorder="1" applyAlignment="1">
      <alignment horizontal="left"/>
    </xf>
    <xf numFmtId="0" fontId="10" fillId="6" borderId="1" xfId="3" applyFont="1" applyFill="1" applyBorder="1"/>
    <xf numFmtId="14" fontId="9" fillId="6" borderId="1" xfId="0" applyNumberFormat="1" applyFont="1" applyFill="1" applyBorder="1" applyAlignment="1">
      <alignment horizontal="right"/>
    </xf>
    <xf numFmtId="14" fontId="9" fillId="6" borderId="1" xfId="0" applyNumberFormat="1" applyFont="1" applyFill="1" applyBorder="1" applyAlignment="1">
      <alignment horizontal="right" vertical="center"/>
    </xf>
    <xf numFmtId="14" fontId="9" fillId="6" borderId="1" xfId="0" applyNumberFormat="1" applyFont="1" applyFill="1" applyBorder="1" applyAlignment="1">
      <alignment vertical="center"/>
    </xf>
    <xf numFmtId="0" fontId="9" fillId="6" borderId="1" xfId="0" applyFont="1" applyFill="1" applyBorder="1" applyAlignment="1">
      <alignment horizontal="left" vertical="center" wrapText="1"/>
    </xf>
    <xf numFmtId="0" fontId="10" fillId="7" borderId="1" xfId="3" applyFont="1" applyFill="1" applyBorder="1"/>
    <xf numFmtId="0" fontId="9" fillId="6" borderId="1" xfId="0" applyFont="1" applyFill="1" applyBorder="1" applyAlignment="1">
      <alignment vertical="center"/>
    </xf>
    <xf numFmtId="14" fontId="9" fillId="7" borderId="1" xfId="0" applyNumberFormat="1" applyFont="1" applyFill="1" applyBorder="1"/>
    <xf numFmtId="14" fontId="9" fillId="6" borderId="1" xfId="0" applyNumberFormat="1" applyFont="1" applyFill="1" applyBorder="1" applyAlignment="1">
      <alignment horizontal="center" vertical="center"/>
    </xf>
    <xf numFmtId="0" fontId="9" fillId="7" borderId="1" xfId="0" applyFont="1" applyFill="1" applyBorder="1"/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wrapText="1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center" wrapText="1"/>
    </xf>
    <xf numFmtId="14" fontId="9" fillId="6" borderId="1" xfId="0" applyNumberFormat="1" applyFont="1" applyFill="1" applyBorder="1" applyAlignment="1">
      <alignment horizontal="center" vertical="center" wrapText="1"/>
    </xf>
    <xf numFmtId="164" fontId="9" fillId="6" borderId="1" xfId="1" applyNumberFormat="1" applyFont="1" applyFill="1" applyBorder="1" applyAlignment="1">
      <alignment horizontal="center" wrapText="1"/>
    </xf>
    <xf numFmtId="14" fontId="9" fillId="6" borderId="1" xfId="0" applyNumberFormat="1" applyFont="1" applyFill="1" applyBorder="1" applyAlignment="1">
      <alignment wrapText="1"/>
    </xf>
    <xf numFmtId="0" fontId="9" fillId="6" borderId="1" xfId="0" applyFont="1" applyFill="1" applyBorder="1" applyAlignment="1">
      <alignment horizontal="center" vertical="center" wrapText="1"/>
    </xf>
    <xf numFmtId="0" fontId="10" fillId="6" borderId="1" xfId="3" applyFont="1" applyFill="1" applyBorder="1" applyAlignment="1">
      <alignment vertical="center" wrapText="1"/>
    </xf>
    <xf numFmtId="0" fontId="9" fillId="6" borderId="0" xfId="0" applyNumberFormat="1" applyFont="1" applyFill="1" applyBorder="1" applyAlignment="1">
      <alignment wrapText="1"/>
    </xf>
    <xf numFmtId="0" fontId="9" fillId="6" borderId="1" xfId="0" applyFont="1" applyFill="1" applyBorder="1" applyAlignment="1">
      <alignment horizontal="left" wrapText="1"/>
    </xf>
    <xf numFmtId="0" fontId="10" fillId="6" borderId="1" xfId="3" applyFont="1" applyFill="1" applyBorder="1" applyAlignment="1">
      <alignment vertical="center"/>
    </xf>
    <xf numFmtId="0" fontId="14" fillId="6" borderId="1" xfId="3" applyFont="1" applyFill="1" applyBorder="1"/>
    <xf numFmtId="14" fontId="9" fillId="6" borderId="1" xfId="0" applyNumberFormat="1" applyFont="1" applyFill="1" applyBorder="1" applyAlignment="1">
      <alignment horizontal="center" wrapText="1"/>
    </xf>
    <xf numFmtId="0" fontId="9" fillId="6" borderId="0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/>
    </xf>
    <xf numFmtId="164" fontId="9" fillId="6" borderId="0" xfId="1" applyNumberFormat="1" applyFont="1" applyFill="1" applyBorder="1" applyAlignment="1">
      <alignment horizontal="center"/>
    </xf>
    <xf numFmtId="0" fontId="9" fillId="6" borderId="0" xfId="0" applyNumberFormat="1" applyFont="1" applyFill="1" applyBorder="1" applyAlignment="1">
      <alignment horizontal="left"/>
    </xf>
    <xf numFmtId="0" fontId="9" fillId="6" borderId="1" xfId="0" applyNumberFormat="1" applyFont="1" applyFill="1" applyBorder="1" applyAlignment="1">
      <alignment vertical="center"/>
    </xf>
    <xf numFmtId="14" fontId="9" fillId="6" borderId="1" xfId="0" applyNumberFormat="1" applyFont="1" applyFill="1" applyBorder="1" applyAlignment="1">
      <alignment vertical="center" wrapText="1"/>
    </xf>
    <xf numFmtId="0" fontId="9" fillId="6" borderId="1" xfId="3" applyFont="1" applyFill="1" applyBorder="1" applyAlignment="1">
      <alignment wrapText="1"/>
    </xf>
    <xf numFmtId="0" fontId="13" fillId="6" borderId="1" xfId="0" applyFont="1" applyFill="1" applyBorder="1"/>
    <xf numFmtId="14" fontId="13" fillId="6" borderId="1" xfId="0" applyNumberFormat="1" applyFont="1" applyFill="1" applyBorder="1"/>
    <xf numFmtId="0" fontId="12" fillId="6" borderId="1" xfId="3" applyFont="1" applyFill="1" applyBorder="1"/>
    <xf numFmtId="14" fontId="9" fillId="6" borderId="1" xfId="3" applyNumberFormat="1" applyFont="1" applyFill="1" applyBorder="1" applyAlignment="1"/>
    <xf numFmtId="0" fontId="8" fillId="6" borderId="1" xfId="3" applyNumberFormat="1" applyFill="1" applyBorder="1"/>
  </cellXfs>
  <cellStyles count="4">
    <cellStyle name="Hipervínculo" xfId="3" builtinId="8"/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469900</xdr:colOff>
      <xdr:row>2</xdr:row>
      <xdr:rowOff>79375</xdr:rowOff>
    </xdr:to>
    <xdr:grpSp>
      <xdr:nvGrpSpPr>
        <xdr:cNvPr id="12205" name="Grupo 12204">
          <a:extLst>
            <a:ext uri="{FF2B5EF4-FFF2-40B4-BE49-F238E27FC236}">
              <a16:creationId xmlns:a16="http://schemas.microsoft.com/office/drawing/2014/main" id="{00000000-0008-0000-0300-0000AD2F0000}"/>
            </a:ext>
          </a:extLst>
        </xdr:cNvPr>
        <xdr:cNvGrpSpPr/>
      </xdr:nvGrpSpPr>
      <xdr:grpSpPr>
        <a:xfrm>
          <a:off x="0" y="0"/>
          <a:ext cx="469900" cy="477693"/>
          <a:chOff x="0" y="0"/>
          <a:chExt cx="469900" cy="469900"/>
        </a:xfrm>
      </xdr:grpSpPr>
      <xdr:sp macro="" textlink="">
        <xdr:nvSpPr>
          <xdr:cNvPr id="11501" name="$E$171">
            <a:extLst>
              <a:ext uri="{FF2B5EF4-FFF2-40B4-BE49-F238E27FC236}">
                <a16:creationId xmlns:a16="http://schemas.microsoft.com/office/drawing/2014/main" id="{00000000-0008-0000-0300-0000ED2C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2" name="$E$171">
            <a:extLst>
              <a:ext uri="{FF2B5EF4-FFF2-40B4-BE49-F238E27FC236}">
                <a16:creationId xmlns:a16="http://schemas.microsoft.com/office/drawing/2014/main" id="{00000000-0008-0000-0300-0000EE2C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3" name="$E$171">
            <a:extLst>
              <a:ext uri="{FF2B5EF4-FFF2-40B4-BE49-F238E27FC236}">
                <a16:creationId xmlns:a16="http://schemas.microsoft.com/office/drawing/2014/main" id="{00000000-0008-0000-0300-0000EF2C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4" name="$E$171">
            <a:extLst>
              <a:ext uri="{FF2B5EF4-FFF2-40B4-BE49-F238E27FC236}">
                <a16:creationId xmlns:a16="http://schemas.microsoft.com/office/drawing/2014/main" id="{00000000-0008-0000-0300-0000F02C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5" name="$E$171">
            <a:extLst>
              <a:ext uri="{FF2B5EF4-FFF2-40B4-BE49-F238E27FC236}">
                <a16:creationId xmlns:a16="http://schemas.microsoft.com/office/drawing/2014/main" id="{00000000-0008-0000-0300-0000F12C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6" name="$E$171">
            <a:extLst>
              <a:ext uri="{FF2B5EF4-FFF2-40B4-BE49-F238E27FC236}">
                <a16:creationId xmlns:a16="http://schemas.microsoft.com/office/drawing/2014/main" id="{00000000-0008-0000-0300-0000F22C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7" name="$E$171">
            <a:extLst>
              <a:ext uri="{FF2B5EF4-FFF2-40B4-BE49-F238E27FC236}">
                <a16:creationId xmlns:a16="http://schemas.microsoft.com/office/drawing/2014/main" id="{00000000-0008-0000-0300-0000F32C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8" name="$E$171">
            <a:extLst>
              <a:ext uri="{FF2B5EF4-FFF2-40B4-BE49-F238E27FC236}">
                <a16:creationId xmlns:a16="http://schemas.microsoft.com/office/drawing/2014/main" id="{00000000-0008-0000-0300-0000F42C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09" name="$E$171">
            <a:extLst>
              <a:ext uri="{FF2B5EF4-FFF2-40B4-BE49-F238E27FC236}">
                <a16:creationId xmlns:a16="http://schemas.microsoft.com/office/drawing/2014/main" id="{00000000-0008-0000-0300-0000F52C0000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0" name="$E$171">
            <a:extLst>
              <a:ext uri="{FF2B5EF4-FFF2-40B4-BE49-F238E27FC236}">
                <a16:creationId xmlns:a16="http://schemas.microsoft.com/office/drawing/2014/main" id="{00000000-0008-0000-0300-0000F62C00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1" name="$E$171">
            <a:extLst>
              <a:ext uri="{FF2B5EF4-FFF2-40B4-BE49-F238E27FC236}">
                <a16:creationId xmlns:a16="http://schemas.microsoft.com/office/drawing/2014/main" id="{00000000-0008-0000-0300-0000F72C00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2" name="$E$171">
            <a:extLst>
              <a:ext uri="{FF2B5EF4-FFF2-40B4-BE49-F238E27FC236}">
                <a16:creationId xmlns:a16="http://schemas.microsoft.com/office/drawing/2014/main" id="{00000000-0008-0000-0300-0000F82C00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3" name="$E$171">
            <a:extLst>
              <a:ext uri="{FF2B5EF4-FFF2-40B4-BE49-F238E27FC236}">
                <a16:creationId xmlns:a16="http://schemas.microsoft.com/office/drawing/2014/main" id="{00000000-0008-0000-0300-0000F92C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4" name="$E$171">
            <a:extLst>
              <a:ext uri="{FF2B5EF4-FFF2-40B4-BE49-F238E27FC236}">
                <a16:creationId xmlns:a16="http://schemas.microsoft.com/office/drawing/2014/main" id="{00000000-0008-0000-0300-0000FA2C0000}"/>
              </a:ext>
            </a:extLst>
          </xdr:cNvPr>
          <xdr:cNvSpPr/>
        </xdr:nvSpPr>
        <xdr:spPr>
          <a:xfrm>
            <a:off x="2667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5" name="$E$171">
            <a:extLst>
              <a:ext uri="{FF2B5EF4-FFF2-40B4-BE49-F238E27FC236}">
                <a16:creationId xmlns:a16="http://schemas.microsoft.com/office/drawing/2014/main" id="{00000000-0008-0000-0300-0000FB2C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6" name="$E$171">
            <a:extLst>
              <a:ext uri="{FF2B5EF4-FFF2-40B4-BE49-F238E27FC236}">
                <a16:creationId xmlns:a16="http://schemas.microsoft.com/office/drawing/2014/main" id="{00000000-0008-0000-0300-0000FC2C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7" name="$E$171">
            <a:extLst>
              <a:ext uri="{FF2B5EF4-FFF2-40B4-BE49-F238E27FC236}">
                <a16:creationId xmlns:a16="http://schemas.microsoft.com/office/drawing/2014/main" id="{00000000-0008-0000-0300-0000FD2C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8" name="$E$171">
            <a:extLst>
              <a:ext uri="{FF2B5EF4-FFF2-40B4-BE49-F238E27FC236}">
                <a16:creationId xmlns:a16="http://schemas.microsoft.com/office/drawing/2014/main" id="{00000000-0008-0000-0300-0000FE2C0000}"/>
              </a:ext>
            </a:extLst>
          </xdr:cNvPr>
          <xdr:cNvSpPr/>
        </xdr:nvSpPr>
        <xdr:spPr>
          <a:xfrm>
            <a:off x="3810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19" name="$E$171">
            <a:extLst>
              <a:ext uri="{FF2B5EF4-FFF2-40B4-BE49-F238E27FC236}">
                <a16:creationId xmlns:a16="http://schemas.microsoft.com/office/drawing/2014/main" id="{00000000-0008-0000-0300-0000FF2C0000}"/>
              </a:ext>
            </a:extLst>
          </xdr:cNvPr>
          <xdr:cNvSpPr/>
        </xdr:nvSpPr>
        <xdr:spPr>
          <a:xfrm>
            <a:off x="3937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0" name="$E$171">
            <a:extLst>
              <a:ext uri="{FF2B5EF4-FFF2-40B4-BE49-F238E27FC236}">
                <a16:creationId xmlns:a16="http://schemas.microsoft.com/office/drawing/2014/main" id="{00000000-0008-0000-0300-0000002D0000}"/>
              </a:ext>
            </a:extLst>
          </xdr:cNvPr>
          <xdr:cNvSpPr/>
        </xdr:nvSpPr>
        <xdr:spPr>
          <a:xfrm>
            <a:off x="4064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1" name="$E$171">
            <a:extLst>
              <a:ext uri="{FF2B5EF4-FFF2-40B4-BE49-F238E27FC236}">
                <a16:creationId xmlns:a16="http://schemas.microsoft.com/office/drawing/2014/main" id="{00000000-0008-0000-0300-0000012D0000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2" name="$E$171">
            <a:extLst>
              <a:ext uri="{FF2B5EF4-FFF2-40B4-BE49-F238E27FC236}">
                <a16:creationId xmlns:a16="http://schemas.microsoft.com/office/drawing/2014/main" id="{00000000-0008-0000-0300-0000022D0000}"/>
              </a:ext>
            </a:extLst>
          </xdr:cNvPr>
          <xdr:cNvSpPr/>
        </xdr:nvSpPr>
        <xdr:spPr>
          <a:xfrm>
            <a:off x="4318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3" name="$E$171">
            <a:extLst>
              <a:ext uri="{FF2B5EF4-FFF2-40B4-BE49-F238E27FC236}">
                <a16:creationId xmlns:a16="http://schemas.microsoft.com/office/drawing/2014/main" id="{00000000-0008-0000-0300-0000032D0000}"/>
              </a:ext>
            </a:extLst>
          </xdr:cNvPr>
          <xdr:cNvSpPr/>
        </xdr:nvSpPr>
        <xdr:spPr>
          <a:xfrm>
            <a:off x="4445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4" name="$E$171">
            <a:extLst>
              <a:ext uri="{FF2B5EF4-FFF2-40B4-BE49-F238E27FC236}">
                <a16:creationId xmlns:a16="http://schemas.microsoft.com/office/drawing/2014/main" id="{00000000-0008-0000-0300-0000042D0000}"/>
              </a:ext>
            </a:extLst>
          </xdr:cNvPr>
          <xdr:cNvSpPr/>
        </xdr:nvSpPr>
        <xdr:spPr>
          <a:xfrm>
            <a:off x="457200" y="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5" name="$E$171">
            <a:extLst>
              <a:ext uri="{FF2B5EF4-FFF2-40B4-BE49-F238E27FC236}">
                <a16:creationId xmlns:a16="http://schemas.microsoft.com/office/drawing/2014/main" id="{00000000-0008-0000-0300-0000052D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6" name="$E$171">
            <a:extLst>
              <a:ext uri="{FF2B5EF4-FFF2-40B4-BE49-F238E27FC236}">
                <a16:creationId xmlns:a16="http://schemas.microsoft.com/office/drawing/2014/main" id="{00000000-0008-0000-0300-0000062D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7" name="$E$171">
            <a:extLst>
              <a:ext uri="{FF2B5EF4-FFF2-40B4-BE49-F238E27FC236}">
                <a16:creationId xmlns:a16="http://schemas.microsoft.com/office/drawing/2014/main" id="{00000000-0008-0000-0300-0000072D00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8" name="$E$171">
            <a:extLst>
              <a:ext uri="{FF2B5EF4-FFF2-40B4-BE49-F238E27FC236}">
                <a16:creationId xmlns:a16="http://schemas.microsoft.com/office/drawing/2014/main" id="{00000000-0008-0000-0300-0000082D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29" name="$E$171">
            <a:extLst>
              <a:ext uri="{FF2B5EF4-FFF2-40B4-BE49-F238E27FC236}">
                <a16:creationId xmlns:a16="http://schemas.microsoft.com/office/drawing/2014/main" id="{00000000-0008-0000-0300-0000092D00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0" name="$E$171">
            <a:extLst>
              <a:ext uri="{FF2B5EF4-FFF2-40B4-BE49-F238E27FC236}">
                <a16:creationId xmlns:a16="http://schemas.microsoft.com/office/drawing/2014/main" id="{00000000-0008-0000-0300-00000A2D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1" name="$E$171">
            <a:extLst>
              <a:ext uri="{FF2B5EF4-FFF2-40B4-BE49-F238E27FC236}">
                <a16:creationId xmlns:a16="http://schemas.microsoft.com/office/drawing/2014/main" id="{00000000-0008-0000-0300-00000B2D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2" name="$E$171">
            <a:extLst>
              <a:ext uri="{FF2B5EF4-FFF2-40B4-BE49-F238E27FC236}">
                <a16:creationId xmlns:a16="http://schemas.microsoft.com/office/drawing/2014/main" id="{00000000-0008-0000-0300-00000C2D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3" name="$E$171">
            <a:extLst>
              <a:ext uri="{FF2B5EF4-FFF2-40B4-BE49-F238E27FC236}">
                <a16:creationId xmlns:a16="http://schemas.microsoft.com/office/drawing/2014/main" id="{00000000-0008-0000-0300-00000D2D000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4" name="$E$171">
            <a:extLst>
              <a:ext uri="{FF2B5EF4-FFF2-40B4-BE49-F238E27FC236}">
                <a16:creationId xmlns:a16="http://schemas.microsoft.com/office/drawing/2014/main" id="{00000000-0008-0000-0300-00000E2D0000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5" name="$E$171">
            <a:extLst>
              <a:ext uri="{FF2B5EF4-FFF2-40B4-BE49-F238E27FC236}">
                <a16:creationId xmlns:a16="http://schemas.microsoft.com/office/drawing/2014/main" id="{00000000-0008-0000-0300-00000F2D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6" name="$E$171">
            <a:extLst>
              <a:ext uri="{FF2B5EF4-FFF2-40B4-BE49-F238E27FC236}">
                <a16:creationId xmlns:a16="http://schemas.microsoft.com/office/drawing/2014/main" id="{00000000-0008-0000-0300-0000102D0000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7" name="$E$171">
            <a:extLst>
              <a:ext uri="{FF2B5EF4-FFF2-40B4-BE49-F238E27FC236}">
                <a16:creationId xmlns:a16="http://schemas.microsoft.com/office/drawing/2014/main" id="{00000000-0008-0000-0300-0000112D0000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8" name="$E$171">
            <a:extLst>
              <a:ext uri="{FF2B5EF4-FFF2-40B4-BE49-F238E27FC236}">
                <a16:creationId xmlns:a16="http://schemas.microsoft.com/office/drawing/2014/main" id="{00000000-0008-0000-0300-0000122D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39" name="$E$171">
            <a:extLst>
              <a:ext uri="{FF2B5EF4-FFF2-40B4-BE49-F238E27FC236}">
                <a16:creationId xmlns:a16="http://schemas.microsoft.com/office/drawing/2014/main" id="{00000000-0008-0000-0300-0000132D000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0" name="$E$171">
            <a:extLst>
              <a:ext uri="{FF2B5EF4-FFF2-40B4-BE49-F238E27FC236}">
                <a16:creationId xmlns:a16="http://schemas.microsoft.com/office/drawing/2014/main" id="{00000000-0008-0000-0300-0000142D0000}"/>
              </a:ext>
            </a:extLst>
          </xdr:cNvPr>
          <xdr:cNvSpPr/>
        </xdr:nvSpPr>
        <xdr:spPr>
          <a:xfrm>
            <a:off x="457200" y="12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1" name="$E$171">
            <a:extLst>
              <a:ext uri="{FF2B5EF4-FFF2-40B4-BE49-F238E27FC236}">
                <a16:creationId xmlns:a16="http://schemas.microsoft.com/office/drawing/2014/main" id="{00000000-0008-0000-0300-0000152D00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2" name="$E$171">
            <a:extLst>
              <a:ext uri="{FF2B5EF4-FFF2-40B4-BE49-F238E27FC236}">
                <a16:creationId xmlns:a16="http://schemas.microsoft.com/office/drawing/2014/main" id="{00000000-0008-0000-0300-0000162D00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3" name="$E$171">
            <a:extLst>
              <a:ext uri="{FF2B5EF4-FFF2-40B4-BE49-F238E27FC236}">
                <a16:creationId xmlns:a16="http://schemas.microsoft.com/office/drawing/2014/main" id="{00000000-0008-0000-0300-0000172D00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4" name="$E$171">
            <a:extLst>
              <a:ext uri="{FF2B5EF4-FFF2-40B4-BE49-F238E27FC236}">
                <a16:creationId xmlns:a16="http://schemas.microsoft.com/office/drawing/2014/main" id="{00000000-0008-0000-0300-0000182D00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5" name="$E$171">
            <a:extLst>
              <a:ext uri="{FF2B5EF4-FFF2-40B4-BE49-F238E27FC236}">
                <a16:creationId xmlns:a16="http://schemas.microsoft.com/office/drawing/2014/main" id="{00000000-0008-0000-0300-0000192D00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6" name="$E$171">
            <a:extLst>
              <a:ext uri="{FF2B5EF4-FFF2-40B4-BE49-F238E27FC236}">
                <a16:creationId xmlns:a16="http://schemas.microsoft.com/office/drawing/2014/main" id="{00000000-0008-0000-0300-00001A2D00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7" name="$E$171">
            <a:extLst>
              <a:ext uri="{FF2B5EF4-FFF2-40B4-BE49-F238E27FC236}">
                <a16:creationId xmlns:a16="http://schemas.microsoft.com/office/drawing/2014/main" id="{00000000-0008-0000-0300-00001B2D00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8" name="$E$171">
            <a:extLst>
              <a:ext uri="{FF2B5EF4-FFF2-40B4-BE49-F238E27FC236}">
                <a16:creationId xmlns:a16="http://schemas.microsoft.com/office/drawing/2014/main" id="{00000000-0008-0000-0300-00001C2D00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49" name="$E$171">
            <a:extLst>
              <a:ext uri="{FF2B5EF4-FFF2-40B4-BE49-F238E27FC236}">
                <a16:creationId xmlns:a16="http://schemas.microsoft.com/office/drawing/2014/main" id="{00000000-0008-0000-0300-00001D2D00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0" name="$E$171">
            <a:extLst>
              <a:ext uri="{FF2B5EF4-FFF2-40B4-BE49-F238E27FC236}">
                <a16:creationId xmlns:a16="http://schemas.microsoft.com/office/drawing/2014/main" id="{00000000-0008-0000-0300-00001E2D0000}"/>
              </a:ext>
            </a:extLst>
          </xdr:cNvPr>
          <xdr:cNvSpPr/>
        </xdr:nvSpPr>
        <xdr:spPr>
          <a:xfrm>
            <a:off x="1905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1" name="$E$171">
            <a:extLst>
              <a:ext uri="{FF2B5EF4-FFF2-40B4-BE49-F238E27FC236}">
                <a16:creationId xmlns:a16="http://schemas.microsoft.com/office/drawing/2014/main" id="{00000000-0008-0000-0300-00001F2D0000}"/>
              </a:ext>
            </a:extLst>
          </xdr:cNvPr>
          <xdr:cNvSpPr/>
        </xdr:nvSpPr>
        <xdr:spPr>
          <a:xfrm>
            <a:off x="2667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2" name="$E$171">
            <a:extLst>
              <a:ext uri="{FF2B5EF4-FFF2-40B4-BE49-F238E27FC236}">
                <a16:creationId xmlns:a16="http://schemas.microsoft.com/office/drawing/2014/main" id="{00000000-0008-0000-0300-0000202D00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3" name="$E$171">
            <a:extLst>
              <a:ext uri="{FF2B5EF4-FFF2-40B4-BE49-F238E27FC236}">
                <a16:creationId xmlns:a16="http://schemas.microsoft.com/office/drawing/2014/main" id="{00000000-0008-0000-0300-0000212D0000}"/>
              </a:ext>
            </a:extLst>
          </xdr:cNvPr>
          <xdr:cNvSpPr/>
        </xdr:nvSpPr>
        <xdr:spPr>
          <a:xfrm>
            <a:off x="3810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4" name="$E$171">
            <a:extLst>
              <a:ext uri="{FF2B5EF4-FFF2-40B4-BE49-F238E27FC236}">
                <a16:creationId xmlns:a16="http://schemas.microsoft.com/office/drawing/2014/main" id="{00000000-0008-0000-0300-0000222D0000}"/>
              </a:ext>
            </a:extLst>
          </xdr:cNvPr>
          <xdr:cNvSpPr/>
        </xdr:nvSpPr>
        <xdr:spPr>
          <a:xfrm>
            <a:off x="4064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5" name="$E$171">
            <a:extLst>
              <a:ext uri="{FF2B5EF4-FFF2-40B4-BE49-F238E27FC236}">
                <a16:creationId xmlns:a16="http://schemas.microsoft.com/office/drawing/2014/main" id="{00000000-0008-0000-0300-0000232D0000}"/>
              </a:ext>
            </a:extLst>
          </xdr:cNvPr>
          <xdr:cNvSpPr/>
        </xdr:nvSpPr>
        <xdr:spPr>
          <a:xfrm>
            <a:off x="4191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6" name="$E$171">
            <a:extLst>
              <a:ext uri="{FF2B5EF4-FFF2-40B4-BE49-F238E27FC236}">
                <a16:creationId xmlns:a16="http://schemas.microsoft.com/office/drawing/2014/main" id="{00000000-0008-0000-0300-0000242D0000}"/>
              </a:ext>
            </a:extLst>
          </xdr:cNvPr>
          <xdr:cNvSpPr/>
        </xdr:nvSpPr>
        <xdr:spPr>
          <a:xfrm>
            <a:off x="4318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7" name="$E$171">
            <a:extLst>
              <a:ext uri="{FF2B5EF4-FFF2-40B4-BE49-F238E27FC236}">
                <a16:creationId xmlns:a16="http://schemas.microsoft.com/office/drawing/2014/main" id="{00000000-0008-0000-0300-0000252D0000}"/>
              </a:ext>
            </a:extLst>
          </xdr:cNvPr>
          <xdr:cNvSpPr/>
        </xdr:nvSpPr>
        <xdr:spPr>
          <a:xfrm>
            <a:off x="457200" y="25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8" name="$E$171">
            <a:extLst>
              <a:ext uri="{FF2B5EF4-FFF2-40B4-BE49-F238E27FC236}">
                <a16:creationId xmlns:a16="http://schemas.microsoft.com/office/drawing/2014/main" id="{00000000-0008-0000-0300-0000262D00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59" name="$E$171">
            <a:extLst>
              <a:ext uri="{FF2B5EF4-FFF2-40B4-BE49-F238E27FC236}">
                <a16:creationId xmlns:a16="http://schemas.microsoft.com/office/drawing/2014/main" id="{00000000-0008-0000-0300-0000272D00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0" name="$E$171">
            <a:extLst>
              <a:ext uri="{FF2B5EF4-FFF2-40B4-BE49-F238E27FC236}">
                <a16:creationId xmlns:a16="http://schemas.microsoft.com/office/drawing/2014/main" id="{00000000-0008-0000-0300-0000282D00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1" name="$E$171">
            <a:extLst>
              <a:ext uri="{FF2B5EF4-FFF2-40B4-BE49-F238E27FC236}">
                <a16:creationId xmlns:a16="http://schemas.microsoft.com/office/drawing/2014/main" id="{00000000-0008-0000-0300-0000292D00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2" name="$E$171">
            <a:extLst>
              <a:ext uri="{FF2B5EF4-FFF2-40B4-BE49-F238E27FC236}">
                <a16:creationId xmlns:a16="http://schemas.microsoft.com/office/drawing/2014/main" id="{00000000-0008-0000-0300-00002A2D00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3" name="$E$171">
            <a:extLst>
              <a:ext uri="{FF2B5EF4-FFF2-40B4-BE49-F238E27FC236}">
                <a16:creationId xmlns:a16="http://schemas.microsoft.com/office/drawing/2014/main" id="{00000000-0008-0000-0300-00002B2D00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4" name="$E$171">
            <a:extLst>
              <a:ext uri="{FF2B5EF4-FFF2-40B4-BE49-F238E27FC236}">
                <a16:creationId xmlns:a16="http://schemas.microsoft.com/office/drawing/2014/main" id="{00000000-0008-0000-0300-00002C2D00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5" name="$E$171">
            <a:extLst>
              <a:ext uri="{FF2B5EF4-FFF2-40B4-BE49-F238E27FC236}">
                <a16:creationId xmlns:a16="http://schemas.microsoft.com/office/drawing/2014/main" id="{00000000-0008-0000-0300-00002D2D000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6" name="$E$171">
            <a:extLst>
              <a:ext uri="{FF2B5EF4-FFF2-40B4-BE49-F238E27FC236}">
                <a16:creationId xmlns:a16="http://schemas.microsoft.com/office/drawing/2014/main" id="{00000000-0008-0000-0300-00002E2D00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7" name="$E$171">
            <a:extLst>
              <a:ext uri="{FF2B5EF4-FFF2-40B4-BE49-F238E27FC236}">
                <a16:creationId xmlns:a16="http://schemas.microsoft.com/office/drawing/2014/main" id="{00000000-0008-0000-0300-00002F2D0000}"/>
              </a:ext>
            </a:extLst>
          </xdr:cNvPr>
          <xdr:cNvSpPr/>
        </xdr:nvSpPr>
        <xdr:spPr>
          <a:xfrm>
            <a:off x="1905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8" name="$E$171">
            <a:extLst>
              <a:ext uri="{FF2B5EF4-FFF2-40B4-BE49-F238E27FC236}">
                <a16:creationId xmlns:a16="http://schemas.microsoft.com/office/drawing/2014/main" id="{00000000-0008-0000-0300-0000302D00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69" name="$E$171">
            <a:extLst>
              <a:ext uri="{FF2B5EF4-FFF2-40B4-BE49-F238E27FC236}">
                <a16:creationId xmlns:a16="http://schemas.microsoft.com/office/drawing/2014/main" id="{00000000-0008-0000-0300-0000312D00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0" name="$E$171">
            <a:extLst>
              <a:ext uri="{FF2B5EF4-FFF2-40B4-BE49-F238E27FC236}">
                <a16:creationId xmlns:a16="http://schemas.microsoft.com/office/drawing/2014/main" id="{00000000-0008-0000-0300-0000322D00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1" name="$E$171">
            <a:extLst>
              <a:ext uri="{FF2B5EF4-FFF2-40B4-BE49-F238E27FC236}">
                <a16:creationId xmlns:a16="http://schemas.microsoft.com/office/drawing/2014/main" id="{00000000-0008-0000-0300-0000332D00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2" name="$E$171">
            <a:extLst>
              <a:ext uri="{FF2B5EF4-FFF2-40B4-BE49-F238E27FC236}">
                <a16:creationId xmlns:a16="http://schemas.microsoft.com/office/drawing/2014/main" id="{00000000-0008-0000-0300-0000342D0000}"/>
              </a:ext>
            </a:extLst>
          </xdr:cNvPr>
          <xdr:cNvSpPr/>
        </xdr:nvSpPr>
        <xdr:spPr>
          <a:xfrm>
            <a:off x="2921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3" name="$E$171">
            <a:extLst>
              <a:ext uri="{FF2B5EF4-FFF2-40B4-BE49-F238E27FC236}">
                <a16:creationId xmlns:a16="http://schemas.microsoft.com/office/drawing/2014/main" id="{00000000-0008-0000-0300-0000352D00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4" name="$E$171">
            <a:extLst>
              <a:ext uri="{FF2B5EF4-FFF2-40B4-BE49-F238E27FC236}">
                <a16:creationId xmlns:a16="http://schemas.microsoft.com/office/drawing/2014/main" id="{00000000-0008-0000-0300-0000362D00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5" name="$E$171">
            <a:extLst>
              <a:ext uri="{FF2B5EF4-FFF2-40B4-BE49-F238E27FC236}">
                <a16:creationId xmlns:a16="http://schemas.microsoft.com/office/drawing/2014/main" id="{00000000-0008-0000-0300-0000372D00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6" name="$E$171">
            <a:extLst>
              <a:ext uri="{FF2B5EF4-FFF2-40B4-BE49-F238E27FC236}">
                <a16:creationId xmlns:a16="http://schemas.microsoft.com/office/drawing/2014/main" id="{00000000-0008-0000-0300-0000382D0000}"/>
              </a:ext>
            </a:extLst>
          </xdr:cNvPr>
          <xdr:cNvSpPr/>
        </xdr:nvSpPr>
        <xdr:spPr>
          <a:xfrm>
            <a:off x="3429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7" name="$E$171">
            <a:extLst>
              <a:ext uri="{FF2B5EF4-FFF2-40B4-BE49-F238E27FC236}">
                <a16:creationId xmlns:a16="http://schemas.microsoft.com/office/drawing/2014/main" id="{00000000-0008-0000-0300-0000392D00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8" name="$E$171">
            <a:extLst>
              <a:ext uri="{FF2B5EF4-FFF2-40B4-BE49-F238E27FC236}">
                <a16:creationId xmlns:a16="http://schemas.microsoft.com/office/drawing/2014/main" id="{00000000-0008-0000-0300-00003A2D0000}"/>
              </a:ext>
            </a:extLst>
          </xdr:cNvPr>
          <xdr:cNvSpPr/>
        </xdr:nvSpPr>
        <xdr:spPr>
          <a:xfrm>
            <a:off x="3810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79" name="$E$171">
            <a:extLst>
              <a:ext uri="{FF2B5EF4-FFF2-40B4-BE49-F238E27FC236}">
                <a16:creationId xmlns:a16="http://schemas.microsoft.com/office/drawing/2014/main" id="{00000000-0008-0000-0300-00003B2D0000}"/>
              </a:ext>
            </a:extLst>
          </xdr:cNvPr>
          <xdr:cNvSpPr/>
        </xdr:nvSpPr>
        <xdr:spPr>
          <a:xfrm>
            <a:off x="4064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0" name="$E$171">
            <a:extLst>
              <a:ext uri="{FF2B5EF4-FFF2-40B4-BE49-F238E27FC236}">
                <a16:creationId xmlns:a16="http://schemas.microsoft.com/office/drawing/2014/main" id="{00000000-0008-0000-0300-00003C2D0000}"/>
              </a:ext>
            </a:extLst>
          </xdr:cNvPr>
          <xdr:cNvSpPr/>
        </xdr:nvSpPr>
        <xdr:spPr>
          <a:xfrm>
            <a:off x="4191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1" name="$E$171">
            <a:extLst>
              <a:ext uri="{FF2B5EF4-FFF2-40B4-BE49-F238E27FC236}">
                <a16:creationId xmlns:a16="http://schemas.microsoft.com/office/drawing/2014/main" id="{00000000-0008-0000-0300-00003D2D0000}"/>
              </a:ext>
            </a:extLst>
          </xdr:cNvPr>
          <xdr:cNvSpPr/>
        </xdr:nvSpPr>
        <xdr:spPr>
          <a:xfrm>
            <a:off x="4318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2" name="$E$171">
            <a:extLst>
              <a:ext uri="{FF2B5EF4-FFF2-40B4-BE49-F238E27FC236}">
                <a16:creationId xmlns:a16="http://schemas.microsoft.com/office/drawing/2014/main" id="{00000000-0008-0000-0300-00003E2D0000}"/>
              </a:ext>
            </a:extLst>
          </xdr:cNvPr>
          <xdr:cNvSpPr/>
        </xdr:nvSpPr>
        <xdr:spPr>
          <a:xfrm>
            <a:off x="457200" y="38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3" name="$E$171">
            <a:extLst>
              <a:ext uri="{FF2B5EF4-FFF2-40B4-BE49-F238E27FC236}">
                <a16:creationId xmlns:a16="http://schemas.microsoft.com/office/drawing/2014/main" id="{00000000-0008-0000-0300-00003F2D00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4" name="$E$171">
            <a:extLst>
              <a:ext uri="{FF2B5EF4-FFF2-40B4-BE49-F238E27FC236}">
                <a16:creationId xmlns:a16="http://schemas.microsoft.com/office/drawing/2014/main" id="{00000000-0008-0000-0300-0000402D00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5" name="$E$171">
            <a:extLst>
              <a:ext uri="{FF2B5EF4-FFF2-40B4-BE49-F238E27FC236}">
                <a16:creationId xmlns:a16="http://schemas.microsoft.com/office/drawing/2014/main" id="{00000000-0008-0000-0300-0000412D00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6" name="$E$171">
            <a:extLst>
              <a:ext uri="{FF2B5EF4-FFF2-40B4-BE49-F238E27FC236}">
                <a16:creationId xmlns:a16="http://schemas.microsoft.com/office/drawing/2014/main" id="{00000000-0008-0000-0300-0000422D00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7" name="$E$171">
            <a:extLst>
              <a:ext uri="{FF2B5EF4-FFF2-40B4-BE49-F238E27FC236}">
                <a16:creationId xmlns:a16="http://schemas.microsoft.com/office/drawing/2014/main" id="{00000000-0008-0000-0300-0000432D00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8" name="$E$171">
            <a:extLst>
              <a:ext uri="{FF2B5EF4-FFF2-40B4-BE49-F238E27FC236}">
                <a16:creationId xmlns:a16="http://schemas.microsoft.com/office/drawing/2014/main" id="{00000000-0008-0000-0300-0000442D00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89" name="$E$171">
            <a:extLst>
              <a:ext uri="{FF2B5EF4-FFF2-40B4-BE49-F238E27FC236}">
                <a16:creationId xmlns:a16="http://schemas.microsoft.com/office/drawing/2014/main" id="{00000000-0008-0000-0300-0000452D00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0" name="$E$171">
            <a:extLst>
              <a:ext uri="{FF2B5EF4-FFF2-40B4-BE49-F238E27FC236}">
                <a16:creationId xmlns:a16="http://schemas.microsoft.com/office/drawing/2014/main" id="{00000000-0008-0000-0300-0000462D0000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1" name="$E$171">
            <a:extLst>
              <a:ext uri="{FF2B5EF4-FFF2-40B4-BE49-F238E27FC236}">
                <a16:creationId xmlns:a16="http://schemas.microsoft.com/office/drawing/2014/main" id="{00000000-0008-0000-0300-0000472D00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2" name="$E$171">
            <a:extLst>
              <a:ext uri="{FF2B5EF4-FFF2-40B4-BE49-F238E27FC236}">
                <a16:creationId xmlns:a16="http://schemas.microsoft.com/office/drawing/2014/main" id="{00000000-0008-0000-0300-0000482D00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3" name="$E$171">
            <a:extLst>
              <a:ext uri="{FF2B5EF4-FFF2-40B4-BE49-F238E27FC236}">
                <a16:creationId xmlns:a16="http://schemas.microsoft.com/office/drawing/2014/main" id="{00000000-0008-0000-0300-0000492D00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4" name="$E$171">
            <a:extLst>
              <a:ext uri="{FF2B5EF4-FFF2-40B4-BE49-F238E27FC236}">
                <a16:creationId xmlns:a16="http://schemas.microsoft.com/office/drawing/2014/main" id="{00000000-0008-0000-0300-00004A2D00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5" name="$E$171">
            <a:extLst>
              <a:ext uri="{FF2B5EF4-FFF2-40B4-BE49-F238E27FC236}">
                <a16:creationId xmlns:a16="http://schemas.microsoft.com/office/drawing/2014/main" id="{00000000-0008-0000-0300-00004B2D00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6" name="$E$171">
            <a:extLst>
              <a:ext uri="{FF2B5EF4-FFF2-40B4-BE49-F238E27FC236}">
                <a16:creationId xmlns:a16="http://schemas.microsoft.com/office/drawing/2014/main" id="{00000000-0008-0000-0300-00004C2D0000}"/>
              </a:ext>
            </a:extLst>
          </xdr:cNvPr>
          <xdr:cNvSpPr/>
        </xdr:nvSpPr>
        <xdr:spPr>
          <a:xfrm>
            <a:off x="2921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7" name="$E$171">
            <a:extLst>
              <a:ext uri="{FF2B5EF4-FFF2-40B4-BE49-F238E27FC236}">
                <a16:creationId xmlns:a16="http://schemas.microsoft.com/office/drawing/2014/main" id="{00000000-0008-0000-0300-00004D2D00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8" name="$E$171">
            <a:extLst>
              <a:ext uri="{FF2B5EF4-FFF2-40B4-BE49-F238E27FC236}">
                <a16:creationId xmlns:a16="http://schemas.microsoft.com/office/drawing/2014/main" id="{00000000-0008-0000-0300-00004E2D00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599" name="$E$171">
            <a:extLst>
              <a:ext uri="{FF2B5EF4-FFF2-40B4-BE49-F238E27FC236}">
                <a16:creationId xmlns:a16="http://schemas.microsoft.com/office/drawing/2014/main" id="{00000000-0008-0000-0300-00004F2D00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0" name="$E$171">
            <a:extLst>
              <a:ext uri="{FF2B5EF4-FFF2-40B4-BE49-F238E27FC236}">
                <a16:creationId xmlns:a16="http://schemas.microsoft.com/office/drawing/2014/main" id="{00000000-0008-0000-0300-0000502D0000}"/>
              </a:ext>
            </a:extLst>
          </xdr:cNvPr>
          <xdr:cNvSpPr/>
        </xdr:nvSpPr>
        <xdr:spPr>
          <a:xfrm>
            <a:off x="3810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1" name="$E$171">
            <a:extLst>
              <a:ext uri="{FF2B5EF4-FFF2-40B4-BE49-F238E27FC236}">
                <a16:creationId xmlns:a16="http://schemas.microsoft.com/office/drawing/2014/main" id="{00000000-0008-0000-0300-0000512D0000}"/>
              </a:ext>
            </a:extLst>
          </xdr:cNvPr>
          <xdr:cNvSpPr/>
        </xdr:nvSpPr>
        <xdr:spPr>
          <a:xfrm>
            <a:off x="4064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2" name="$E$171">
            <a:extLst>
              <a:ext uri="{FF2B5EF4-FFF2-40B4-BE49-F238E27FC236}">
                <a16:creationId xmlns:a16="http://schemas.microsoft.com/office/drawing/2014/main" id="{00000000-0008-0000-0300-0000522D0000}"/>
              </a:ext>
            </a:extLst>
          </xdr:cNvPr>
          <xdr:cNvSpPr/>
        </xdr:nvSpPr>
        <xdr:spPr>
          <a:xfrm>
            <a:off x="4191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3" name="$E$171">
            <a:extLst>
              <a:ext uri="{FF2B5EF4-FFF2-40B4-BE49-F238E27FC236}">
                <a16:creationId xmlns:a16="http://schemas.microsoft.com/office/drawing/2014/main" id="{00000000-0008-0000-0300-0000532D0000}"/>
              </a:ext>
            </a:extLst>
          </xdr:cNvPr>
          <xdr:cNvSpPr/>
        </xdr:nvSpPr>
        <xdr:spPr>
          <a:xfrm>
            <a:off x="4318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4" name="$E$171">
            <a:extLst>
              <a:ext uri="{FF2B5EF4-FFF2-40B4-BE49-F238E27FC236}">
                <a16:creationId xmlns:a16="http://schemas.microsoft.com/office/drawing/2014/main" id="{00000000-0008-0000-0300-0000542D0000}"/>
              </a:ext>
            </a:extLst>
          </xdr:cNvPr>
          <xdr:cNvSpPr/>
        </xdr:nvSpPr>
        <xdr:spPr>
          <a:xfrm>
            <a:off x="457200" y="50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5" name="$E$171">
            <a:extLst>
              <a:ext uri="{FF2B5EF4-FFF2-40B4-BE49-F238E27FC236}">
                <a16:creationId xmlns:a16="http://schemas.microsoft.com/office/drawing/2014/main" id="{00000000-0008-0000-0300-0000552D00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6" name="$E$171">
            <a:extLst>
              <a:ext uri="{FF2B5EF4-FFF2-40B4-BE49-F238E27FC236}">
                <a16:creationId xmlns:a16="http://schemas.microsoft.com/office/drawing/2014/main" id="{00000000-0008-0000-0300-0000562D00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7" name="$E$171">
            <a:extLst>
              <a:ext uri="{FF2B5EF4-FFF2-40B4-BE49-F238E27FC236}">
                <a16:creationId xmlns:a16="http://schemas.microsoft.com/office/drawing/2014/main" id="{00000000-0008-0000-0300-0000572D00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8" name="$E$171">
            <a:extLst>
              <a:ext uri="{FF2B5EF4-FFF2-40B4-BE49-F238E27FC236}">
                <a16:creationId xmlns:a16="http://schemas.microsoft.com/office/drawing/2014/main" id="{00000000-0008-0000-0300-0000582D000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09" name="$E$171">
            <a:extLst>
              <a:ext uri="{FF2B5EF4-FFF2-40B4-BE49-F238E27FC236}">
                <a16:creationId xmlns:a16="http://schemas.microsoft.com/office/drawing/2014/main" id="{00000000-0008-0000-0300-0000592D00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0" name="$E$171">
            <a:extLst>
              <a:ext uri="{FF2B5EF4-FFF2-40B4-BE49-F238E27FC236}">
                <a16:creationId xmlns:a16="http://schemas.microsoft.com/office/drawing/2014/main" id="{00000000-0008-0000-0300-00005A2D00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1" name="$E$171">
            <a:extLst>
              <a:ext uri="{FF2B5EF4-FFF2-40B4-BE49-F238E27FC236}">
                <a16:creationId xmlns:a16="http://schemas.microsoft.com/office/drawing/2014/main" id="{00000000-0008-0000-0300-00005B2D00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2" name="$E$171">
            <a:extLst>
              <a:ext uri="{FF2B5EF4-FFF2-40B4-BE49-F238E27FC236}">
                <a16:creationId xmlns:a16="http://schemas.microsoft.com/office/drawing/2014/main" id="{00000000-0008-0000-0300-00005C2D00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3" name="$E$171">
            <a:extLst>
              <a:ext uri="{FF2B5EF4-FFF2-40B4-BE49-F238E27FC236}">
                <a16:creationId xmlns:a16="http://schemas.microsoft.com/office/drawing/2014/main" id="{00000000-0008-0000-0300-00005D2D0000}"/>
              </a:ext>
            </a:extLst>
          </xdr:cNvPr>
          <xdr:cNvSpPr/>
        </xdr:nvSpPr>
        <xdr:spPr>
          <a:xfrm>
            <a:off x="3048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4" name="$E$171">
            <a:extLst>
              <a:ext uri="{FF2B5EF4-FFF2-40B4-BE49-F238E27FC236}">
                <a16:creationId xmlns:a16="http://schemas.microsoft.com/office/drawing/2014/main" id="{00000000-0008-0000-0300-00005E2D0000}"/>
              </a:ext>
            </a:extLst>
          </xdr:cNvPr>
          <xdr:cNvSpPr/>
        </xdr:nvSpPr>
        <xdr:spPr>
          <a:xfrm>
            <a:off x="3175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5" name="$E$171">
            <a:extLst>
              <a:ext uri="{FF2B5EF4-FFF2-40B4-BE49-F238E27FC236}">
                <a16:creationId xmlns:a16="http://schemas.microsoft.com/office/drawing/2014/main" id="{00000000-0008-0000-0300-00005F2D0000}"/>
              </a:ext>
            </a:extLst>
          </xdr:cNvPr>
          <xdr:cNvSpPr/>
        </xdr:nvSpPr>
        <xdr:spPr>
          <a:xfrm>
            <a:off x="3429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6" name="$E$171">
            <a:extLst>
              <a:ext uri="{FF2B5EF4-FFF2-40B4-BE49-F238E27FC236}">
                <a16:creationId xmlns:a16="http://schemas.microsoft.com/office/drawing/2014/main" id="{00000000-0008-0000-0300-0000602D0000}"/>
              </a:ext>
            </a:extLst>
          </xdr:cNvPr>
          <xdr:cNvSpPr/>
        </xdr:nvSpPr>
        <xdr:spPr>
          <a:xfrm>
            <a:off x="3810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7" name="$E$171">
            <a:extLst>
              <a:ext uri="{FF2B5EF4-FFF2-40B4-BE49-F238E27FC236}">
                <a16:creationId xmlns:a16="http://schemas.microsoft.com/office/drawing/2014/main" id="{00000000-0008-0000-0300-0000612D0000}"/>
              </a:ext>
            </a:extLst>
          </xdr:cNvPr>
          <xdr:cNvSpPr/>
        </xdr:nvSpPr>
        <xdr:spPr>
          <a:xfrm>
            <a:off x="457200" y="63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8" name="$E$171">
            <a:extLst>
              <a:ext uri="{FF2B5EF4-FFF2-40B4-BE49-F238E27FC236}">
                <a16:creationId xmlns:a16="http://schemas.microsoft.com/office/drawing/2014/main" id="{00000000-0008-0000-0300-0000622D00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19" name="$E$171">
            <a:extLst>
              <a:ext uri="{FF2B5EF4-FFF2-40B4-BE49-F238E27FC236}">
                <a16:creationId xmlns:a16="http://schemas.microsoft.com/office/drawing/2014/main" id="{00000000-0008-0000-0300-0000632D00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0" name="$E$171">
            <a:extLst>
              <a:ext uri="{FF2B5EF4-FFF2-40B4-BE49-F238E27FC236}">
                <a16:creationId xmlns:a16="http://schemas.microsoft.com/office/drawing/2014/main" id="{00000000-0008-0000-0300-0000642D00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1" name="$E$171">
            <a:extLst>
              <a:ext uri="{FF2B5EF4-FFF2-40B4-BE49-F238E27FC236}">
                <a16:creationId xmlns:a16="http://schemas.microsoft.com/office/drawing/2014/main" id="{00000000-0008-0000-0300-0000652D00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2" name="$E$171">
            <a:extLst>
              <a:ext uri="{FF2B5EF4-FFF2-40B4-BE49-F238E27FC236}">
                <a16:creationId xmlns:a16="http://schemas.microsoft.com/office/drawing/2014/main" id="{00000000-0008-0000-0300-0000662D00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3" name="$E$171">
            <a:extLst>
              <a:ext uri="{FF2B5EF4-FFF2-40B4-BE49-F238E27FC236}">
                <a16:creationId xmlns:a16="http://schemas.microsoft.com/office/drawing/2014/main" id="{00000000-0008-0000-0300-0000672D00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4" name="$E$171">
            <a:extLst>
              <a:ext uri="{FF2B5EF4-FFF2-40B4-BE49-F238E27FC236}">
                <a16:creationId xmlns:a16="http://schemas.microsoft.com/office/drawing/2014/main" id="{00000000-0008-0000-0300-0000682D00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5" name="$E$171">
            <a:extLst>
              <a:ext uri="{FF2B5EF4-FFF2-40B4-BE49-F238E27FC236}">
                <a16:creationId xmlns:a16="http://schemas.microsoft.com/office/drawing/2014/main" id="{00000000-0008-0000-0300-0000692D00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6" name="$E$171">
            <a:extLst>
              <a:ext uri="{FF2B5EF4-FFF2-40B4-BE49-F238E27FC236}">
                <a16:creationId xmlns:a16="http://schemas.microsoft.com/office/drawing/2014/main" id="{00000000-0008-0000-0300-00006A2D00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7" name="$E$171">
            <a:extLst>
              <a:ext uri="{FF2B5EF4-FFF2-40B4-BE49-F238E27FC236}">
                <a16:creationId xmlns:a16="http://schemas.microsoft.com/office/drawing/2014/main" id="{00000000-0008-0000-0300-00006B2D00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8" name="$E$171">
            <a:extLst>
              <a:ext uri="{FF2B5EF4-FFF2-40B4-BE49-F238E27FC236}">
                <a16:creationId xmlns:a16="http://schemas.microsoft.com/office/drawing/2014/main" id="{00000000-0008-0000-0300-00006C2D00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29" name="$E$171">
            <a:extLst>
              <a:ext uri="{FF2B5EF4-FFF2-40B4-BE49-F238E27FC236}">
                <a16:creationId xmlns:a16="http://schemas.microsoft.com/office/drawing/2014/main" id="{00000000-0008-0000-0300-00006D2D00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0" name="$E$171">
            <a:extLst>
              <a:ext uri="{FF2B5EF4-FFF2-40B4-BE49-F238E27FC236}">
                <a16:creationId xmlns:a16="http://schemas.microsoft.com/office/drawing/2014/main" id="{00000000-0008-0000-0300-00006E2D00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1" name="$E$171">
            <a:extLst>
              <a:ext uri="{FF2B5EF4-FFF2-40B4-BE49-F238E27FC236}">
                <a16:creationId xmlns:a16="http://schemas.microsoft.com/office/drawing/2014/main" id="{00000000-0008-0000-0300-00006F2D00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2" name="$E$171">
            <a:extLst>
              <a:ext uri="{FF2B5EF4-FFF2-40B4-BE49-F238E27FC236}">
                <a16:creationId xmlns:a16="http://schemas.microsoft.com/office/drawing/2014/main" id="{00000000-0008-0000-0300-0000702D00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3" name="$E$171">
            <a:extLst>
              <a:ext uri="{FF2B5EF4-FFF2-40B4-BE49-F238E27FC236}">
                <a16:creationId xmlns:a16="http://schemas.microsoft.com/office/drawing/2014/main" id="{00000000-0008-0000-0300-0000712D00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4" name="$E$171">
            <a:extLst>
              <a:ext uri="{FF2B5EF4-FFF2-40B4-BE49-F238E27FC236}">
                <a16:creationId xmlns:a16="http://schemas.microsoft.com/office/drawing/2014/main" id="{00000000-0008-0000-0300-0000722D00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5" name="$E$171">
            <a:extLst>
              <a:ext uri="{FF2B5EF4-FFF2-40B4-BE49-F238E27FC236}">
                <a16:creationId xmlns:a16="http://schemas.microsoft.com/office/drawing/2014/main" id="{00000000-0008-0000-0300-0000732D00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6" name="$E$171">
            <a:extLst>
              <a:ext uri="{FF2B5EF4-FFF2-40B4-BE49-F238E27FC236}">
                <a16:creationId xmlns:a16="http://schemas.microsoft.com/office/drawing/2014/main" id="{00000000-0008-0000-0300-0000742D0000}"/>
              </a:ext>
            </a:extLst>
          </xdr:cNvPr>
          <xdr:cNvSpPr/>
        </xdr:nvSpPr>
        <xdr:spPr>
          <a:xfrm>
            <a:off x="3810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7" name="$E$171">
            <a:extLst>
              <a:ext uri="{FF2B5EF4-FFF2-40B4-BE49-F238E27FC236}">
                <a16:creationId xmlns:a16="http://schemas.microsoft.com/office/drawing/2014/main" id="{00000000-0008-0000-0300-0000752D0000}"/>
              </a:ext>
            </a:extLst>
          </xdr:cNvPr>
          <xdr:cNvSpPr/>
        </xdr:nvSpPr>
        <xdr:spPr>
          <a:xfrm>
            <a:off x="3937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8" name="$E$171">
            <a:extLst>
              <a:ext uri="{FF2B5EF4-FFF2-40B4-BE49-F238E27FC236}">
                <a16:creationId xmlns:a16="http://schemas.microsoft.com/office/drawing/2014/main" id="{00000000-0008-0000-0300-0000762D0000}"/>
              </a:ext>
            </a:extLst>
          </xdr:cNvPr>
          <xdr:cNvSpPr/>
        </xdr:nvSpPr>
        <xdr:spPr>
          <a:xfrm>
            <a:off x="4064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39" name="$E$171">
            <a:extLst>
              <a:ext uri="{FF2B5EF4-FFF2-40B4-BE49-F238E27FC236}">
                <a16:creationId xmlns:a16="http://schemas.microsoft.com/office/drawing/2014/main" id="{00000000-0008-0000-0300-0000772D0000}"/>
              </a:ext>
            </a:extLst>
          </xdr:cNvPr>
          <xdr:cNvSpPr/>
        </xdr:nvSpPr>
        <xdr:spPr>
          <a:xfrm>
            <a:off x="4191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0" name="$E$171">
            <a:extLst>
              <a:ext uri="{FF2B5EF4-FFF2-40B4-BE49-F238E27FC236}">
                <a16:creationId xmlns:a16="http://schemas.microsoft.com/office/drawing/2014/main" id="{00000000-0008-0000-0300-0000782D0000}"/>
              </a:ext>
            </a:extLst>
          </xdr:cNvPr>
          <xdr:cNvSpPr/>
        </xdr:nvSpPr>
        <xdr:spPr>
          <a:xfrm>
            <a:off x="4318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1" name="$E$171">
            <a:extLst>
              <a:ext uri="{FF2B5EF4-FFF2-40B4-BE49-F238E27FC236}">
                <a16:creationId xmlns:a16="http://schemas.microsoft.com/office/drawing/2014/main" id="{00000000-0008-0000-0300-0000792D0000}"/>
              </a:ext>
            </a:extLst>
          </xdr:cNvPr>
          <xdr:cNvSpPr/>
        </xdr:nvSpPr>
        <xdr:spPr>
          <a:xfrm>
            <a:off x="4445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2" name="$E$171">
            <a:extLst>
              <a:ext uri="{FF2B5EF4-FFF2-40B4-BE49-F238E27FC236}">
                <a16:creationId xmlns:a16="http://schemas.microsoft.com/office/drawing/2014/main" id="{00000000-0008-0000-0300-00007A2D0000}"/>
              </a:ext>
            </a:extLst>
          </xdr:cNvPr>
          <xdr:cNvSpPr/>
        </xdr:nvSpPr>
        <xdr:spPr>
          <a:xfrm>
            <a:off x="457200" y="76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3" name="$E$171">
            <a:extLst>
              <a:ext uri="{FF2B5EF4-FFF2-40B4-BE49-F238E27FC236}">
                <a16:creationId xmlns:a16="http://schemas.microsoft.com/office/drawing/2014/main" id="{00000000-0008-0000-0300-00007B2D00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4" name="$E$171">
            <a:extLst>
              <a:ext uri="{FF2B5EF4-FFF2-40B4-BE49-F238E27FC236}">
                <a16:creationId xmlns:a16="http://schemas.microsoft.com/office/drawing/2014/main" id="{00000000-0008-0000-0300-00007C2D000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5" name="$E$171">
            <a:extLst>
              <a:ext uri="{FF2B5EF4-FFF2-40B4-BE49-F238E27FC236}">
                <a16:creationId xmlns:a16="http://schemas.microsoft.com/office/drawing/2014/main" id="{00000000-0008-0000-0300-00007D2D00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6" name="$E$171">
            <a:extLst>
              <a:ext uri="{FF2B5EF4-FFF2-40B4-BE49-F238E27FC236}">
                <a16:creationId xmlns:a16="http://schemas.microsoft.com/office/drawing/2014/main" id="{00000000-0008-0000-0300-00007E2D00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7" name="$E$171">
            <a:extLst>
              <a:ext uri="{FF2B5EF4-FFF2-40B4-BE49-F238E27FC236}">
                <a16:creationId xmlns:a16="http://schemas.microsoft.com/office/drawing/2014/main" id="{00000000-0008-0000-0300-00007F2D0000}"/>
              </a:ext>
            </a:extLst>
          </xdr:cNvPr>
          <xdr:cNvSpPr/>
        </xdr:nvSpPr>
        <xdr:spPr>
          <a:xfrm>
            <a:off x="2540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8" name="$E$171">
            <a:extLst>
              <a:ext uri="{FF2B5EF4-FFF2-40B4-BE49-F238E27FC236}">
                <a16:creationId xmlns:a16="http://schemas.microsoft.com/office/drawing/2014/main" id="{00000000-0008-0000-0300-0000802D0000}"/>
              </a:ext>
            </a:extLst>
          </xdr:cNvPr>
          <xdr:cNvSpPr/>
        </xdr:nvSpPr>
        <xdr:spPr>
          <a:xfrm>
            <a:off x="2667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49" name="$E$171">
            <a:extLst>
              <a:ext uri="{FF2B5EF4-FFF2-40B4-BE49-F238E27FC236}">
                <a16:creationId xmlns:a16="http://schemas.microsoft.com/office/drawing/2014/main" id="{00000000-0008-0000-0300-0000812D0000}"/>
              </a:ext>
            </a:extLst>
          </xdr:cNvPr>
          <xdr:cNvSpPr/>
        </xdr:nvSpPr>
        <xdr:spPr>
          <a:xfrm>
            <a:off x="2794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0" name="$E$171">
            <a:extLst>
              <a:ext uri="{FF2B5EF4-FFF2-40B4-BE49-F238E27FC236}">
                <a16:creationId xmlns:a16="http://schemas.microsoft.com/office/drawing/2014/main" id="{00000000-0008-0000-0300-0000822D0000}"/>
              </a:ext>
            </a:extLst>
          </xdr:cNvPr>
          <xdr:cNvSpPr/>
        </xdr:nvSpPr>
        <xdr:spPr>
          <a:xfrm>
            <a:off x="3429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1" name="$E$171">
            <a:extLst>
              <a:ext uri="{FF2B5EF4-FFF2-40B4-BE49-F238E27FC236}">
                <a16:creationId xmlns:a16="http://schemas.microsoft.com/office/drawing/2014/main" id="{00000000-0008-0000-0300-0000832D0000}"/>
              </a:ext>
            </a:extLst>
          </xdr:cNvPr>
          <xdr:cNvSpPr/>
        </xdr:nvSpPr>
        <xdr:spPr>
          <a:xfrm>
            <a:off x="355600" y="88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2" name="$E$171">
            <a:extLst>
              <a:ext uri="{FF2B5EF4-FFF2-40B4-BE49-F238E27FC236}">
                <a16:creationId xmlns:a16="http://schemas.microsoft.com/office/drawing/2014/main" id="{00000000-0008-0000-0300-0000842D00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3" name="$E$171">
            <a:extLst>
              <a:ext uri="{FF2B5EF4-FFF2-40B4-BE49-F238E27FC236}">
                <a16:creationId xmlns:a16="http://schemas.microsoft.com/office/drawing/2014/main" id="{00000000-0008-0000-0300-0000852D000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4" name="$E$171">
            <a:extLst>
              <a:ext uri="{FF2B5EF4-FFF2-40B4-BE49-F238E27FC236}">
                <a16:creationId xmlns:a16="http://schemas.microsoft.com/office/drawing/2014/main" id="{00000000-0008-0000-0300-0000862D0000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5" name="$E$171">
            <a:extLst>
              <a:ext uri="{FF2B5EF4-FFF2-40B4-BE49-F238E27FC236}">
                <a16:creationId xmlns:a16="http://schemas.microsoft.com/office/drawing/2014/main" id="{00000000-0008-0000-0300-0000872D00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6" name="$E$171">
            <a:extLst>
              <a:ext uri="{FF2B5EF4-FFF2-40B4-BE49-F238E27FC236}">
                <a16:creationId xmlns:a16="http://schemas.microsoft.com/office/drawing/2014/main" id="{00000000-0008-0000-0300-0000882D0000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7" name="$E$171">
            <a:extLst>
              <a:ext uri="{FF2B5EF4-FFF2-40B4-BE49-F238E27FC236}">
                <a16:creationId xmlns:a16="http://schemas.microsoft.com/office/drawing/2014/main" id="{00000000-0008-0000-0300-0000892D00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8" name="$E$171">
            <a:extLst>
              <a:ext uri="{FF2B5EF4-FFF2-40B4-BE49-F238E27FC236}">
                <a16:creationId xmlns:a16="http://schemas.microsoft.com/office/drawing/2014/main" id="{00000000-0008-0000-0300-00008A2D0000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59" name="$E$171">
            <a:extLst>
              <a:ext uri="{FF2B5EF4-FFF2-40B4-BE49-F238E27FC236}">
                <a16:creationId xmlns:a16="http://schemas.microsoft.com/office/drawing/2014/main" id="{00000000-0008-0000-0300-00008B2D00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0" name="$E$171">
            <a:extLst>
              <a:ext uri="{FF2B5EF4-FFF2-40B4-BE49-F238E27FC236}">
                <a16:creationId xmlns:a16="http://schemas.microsoft.com/office/drawing/2014/main" id="{00000000-0008-0000-0300-00008C2D00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1" name="$E$171">
            <a:extLst>
              <a:ext uri="{FF2B5EF4-FFF2-40B4-BE49-F238E27FC236}">
                <a16:creationId xmlns:a16="http://schemas.microsoft.com/office/drawing/2014/main" id="{00000000-0008-0000-0300-00008D2D00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2" name="$E$171">
            <a:extLst>
              <a:ext uri="{FF2B5EF4-FFF2-40B4-BE49-F238E27FC236}">
                <a16:creationId xmlns:a16="http://schemas.microsoft.com/office/drawing/2014/main" id="{00000000-0008-0000-0300-00008E2D00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3" name="$E$171">
            <a:extLst>
              <a:ext uri="{FF2B5EF4-FFF2-40B4-BE49-F238E27FC236}">
                <a16:creationId xmlns:a16="http://schemas.microsoft.com/office/drawing/2014/main" id="{00000000-0008-0000-0300-00008F2D000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4" name="$E$171">
            <a:extLst>
              <a:ext uri="{FF2B5EF4-FFF2-40B4-BE49-F238E27FC236}">
                <a16:creationId xmlns:a16="http://schemas.microsoft.com/office/drawing/2014/main" id="{00000000-0008-0000-0300-0000902D00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5" name="$E$171">
            <a:extLst>
              <a:ext uri="{FF2B5EF4-FFF2-40B4-BE49-F238E27FC236}">
                <a16:creationId xmlns:a16="http://schemas.microsoft.com/office/drawing/2014/main" id="{00000000-0008-0000-0300-0000912D00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6" name="$E$171">
            <a:extLst>
              <a:ext uri="{FF2B5EF4-FFF2-40B4-BE49-F238E27FC236}">
                <a16:creationId xmlns:a16="http://schemas.microsoft.com/office/drawing/2014/main" id="{00000000-0008-0000-0300-0000922D00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7" name="$E$171">
            <a:extLst>
              <a:ext uri="{FF2B5EF4-FFF2-40B4-BE49-F238E27FC236}">
                <a16:creationId xmlns:a16="http://schemas.microsoft.com/office/drawing/2014/main" id="{00000000-0008-0000-0300-0000932D00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8" name="$E$171">
            <a:extLst>
              <a:ext uri="{FF2B5EF4-FFF2-40B4-BE49-F238E27FC236}">
                <a16:creationId xmlns:a16="http://schemas.microsoft.com/office/drawing/2014/main" id="{00000000-0008-0000-0300-0000942D0000}"/>
              </a:ext>
            </a:extLst>
          </xdr:cNvPr>
          <xdr:cNvSpPr/>
        </xdr:nvSpPr>
        <xdr:spPr>
          <a:xfrm>
            <a:off x="2794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69" name="$E$171">
            <a:extLst>
              <a:ext uri="{FF2B5EF4-FFF2-40B4-BE49-F238E27FC236}">
                <a16:creationId xmlns:a16="http://schemas.microsoft.com/office/drawing/2014/main" id="{00000000-0008-0000-0300-0000952D00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0" name="$E$171">
            <a:extLst>
              <a:ext uri="{FF2B5EF4-FFF2-40B4-BE49-F238E27FC236}">
                <a16:creationId xmlns:a16="http://schemas.microsoft.com/office/drawing/2014/main" id="{00000000-0008-0000-0300-0000962D0000}"/>
              </a:ext>
            </a:extLst>
          </xdr:cNvPr>
          <xdr:cNvSpPr/>
        </xdr:nvSpPr>
        <xdr:spPr>
          <a:xfrm>
            <a:off x="3048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1" name="$E$171">
            <a:extLst>
              <a:ext uri="{FF2B5EF4-FFF2-40B4-BE49-F238E27FC236}">
                <a16:creationId xmlns:a16="http://schemas.microsoft.com/office/drawing/2014/main" id="{00000000-0008-0000-0300-0000972D0000}"/>
              </a:ext>
            </a:extLst>
          </xdr:cNvPr>
          <xdr:cNvSpPr/>
        </xdr:nvSpPr>
        <xdr:spPr>
          <a:xfrm>
            <a:off x="3175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2" name="$E$171">
            <a:extLst>
              <a:ext uri="{FF2B5EF4-FFF2-40B4-BE49-F238E27FC236}">
                <a16:creationId xmlns:a16="http://schemas.microsoft.com/office/drawing/2014/main" id="{00000000-0008-0000-0300-0000982D0000}"/>
              </a:ext>
            </a:extLst>
          </xdr:cNvPr>
          <xdr:cNvSpPr/>
        </xdr:nvSpPr>
        <xdr:spPr>
          <a:xfrm>
            <a:off x="3683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3" name="$E$171">
            <a:extLst>
              <a:ext uri="{FF2B5EF4-FFF2-40B4-BE49-F238E27FC236}">
                <a16:creationId xmlns:a16="http://schemas.microsoft.com/office/drawing/2014/main" id="{00000000-0008-0000-0300-0000992D0000}"/>
              </a:ext>
            </a:extLst>
          </xdr:cNvPr>
          <xdr:cNvSpPr/>
        </xdr:nvSpPr>
        <xdr:spPr>
          <a:xfrm>
            <a:off x="3937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4" name="$E$171">
            <a:extLst>
              <a:ext uri="{FF2B5EF4-FFF2-40B4-BE49-F238E27FC236}">
                <a16:creationId xmlns:a16="http://schemas.microsoft.com/office/drawing/2014/main" id="{00000000-0008-0000-0300-00009A2D0000}"/>
              </a:ext>
            </a:extLst>
          </xdr:cNvPr>
          <xdr:cNvSpPr/>
        </xdr:nvSpPr>
        <xdr:spPr>
          <a:xfrm>
            <a:off x="4191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5" name="$E$171">
            <a:extLst>
              <a:ext uri="{FF2B5EF4-FFF2-40B4-BE49-F238E27FC236}">
                <a16:creationId xmlns:a16="http://schemas.microsoft.com/office/drawing/2014/main" id="{00000000-0008-0000-0300-00009B2D0000}"/>
              </a:ext>
            </a:extLst>
          </xdr:cNvPr>
          <xdr:cNvSpPr/>
        </xdr:nvSpPr>
        <xdr:spPr>
          <a:xfrm>
            <a:off x="444500" y="101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6" name="$E$171">
            <a:extLst>
              <a:ext uri="{FF2B5EF4-FFF2-40B4-BE49-F238E27FC236}">
                <a16:creationId xmlns:a16="http://schemas.microsoft.com/office/drawing/2014/main" id="{00000000-0008-0000-0300-00009C2D00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7" name="$E$171">
            <a:extLst>
              <a:ext uri="{FF2B5EF4-FFF2-40B4-BE49-F238E27FC236}">
                <a16:creationId xmlns:a16="http://schemas.microsoft.com/office/drawing/2014/main" id="{00000000-0008-0000-0300-00009D2D0000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8" name="$E$171">
            <a:extLst>
              <a:ext uri="{FF2B5EF4-FFF2-40B4-BE49-F238E27FC236}">
                <a16:creationId xmlns:a16="http://schemas.microsoft.com/office/drawing/2014/main" id="{00000000-0008-0000-0300-00009E2D00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79" name="$E$171">
            <a:extLst>
              <a:ext uri="{FF2B5EF4-FFF2-40B4-BE49-F238E27FC236}">
                <a16:creationId xmlns:a16="http://schemas.microsoft.com/office/drawing/2014/main" id="{00000000-0008-0000-0300-00009F2D00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0" name="$E$171">
            <a:extLst>
              <a:ext uri="{FF2B5EF4-FFF2-40B4-BE49-F238E27FC236}">
                <a16:creationId xmlns:a16="http://schemas.microsoft.com/office/drawing/2014/main" id="{00000000-0008-0000-0300-0000A02D00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1" name="$E$171">
            <a:extLst>
              <a:ext uri="{FF2B5EF4-FFF2-40B4-BE49-F238E27FC236}">
                <a16:creationId xmlns:a16="http://schemas.microsoft.com/office/drawing/2014/main" id="{00000000-0008-0000-0300-0000A12D00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2" name="$E$171">
            <a:extLst>
              <a:ext uri="{FF2B5EF4-FFF2-40B4-BE49-F238E27FC236}">
                <a16:creationId xmlns:a16="http://schemas.microsoft.com/office/drawing/2014/main" id="{00000000-0008-0000-0300-0000A22D0000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3" name="$E$171">
            <a:extLst>
              <a:ext uri="{FF2B5EF4-FFF2-40B4-BE49-F238E27FC236}">
                <a16:creationId xmlns:a16="http://schemas.microsoft.com/office/drawing/2014/main" id="{00000000-0008-0000-0300-0000A32D00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4" name="$E$171">
            <a:extLst>
              <a:ext uri="{FF2B5EF4-FFF2-40B4-BE49-F238E27FC236}">
                <a16:creationId xmlns:a16="http://schemas.microsoft.com/office/drawing/2014/main" id="{00000000-0008-0000-0300-0000A42D0000}"/>
              </a:ext>
            </a:extLst>
          </xdr:cNvPr>
          <xdr:cNvSpPr/>
        </xdr:nvSpPr>
        <xdr:spPr>
          <a:xfrm>
            <a:off x="3175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5" name="$E$171">
            <a:extLst>
              <a:ext uri="{FF2B5EF4-FFF2-40B4-BE49-F238E27FC236}">
                <a16:creationId xmlns:a16="http://schemas.microsoft.com/office/drawing/2014/main" id="{00000000-0008-0000-0300-0000A52D0000}"/>
              </a:ext>
            </a:extLst>
          </xdr:cNvPr>
          <xdr:cNvSpPr/>
        </xdr:nvSpPr>
        <xdr:spPr>
          <a:xfrm>
            <a:off x="3556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6" name="$E$171">
            <a:extLst>
              <a:ext uri="{FF2B5EF4-FFF2-40B4-BE49-F238E27FC236}">
                <a16:creationId xmlns:a16="http://schemas.microsoft.com/office/drawing/2014/main" id="{00000000-0008-0000-0300-0000A62D0000}"/>
              </a:ext>
            </a:extLst>
          </xdr:cNvPr>
          <xdr:cNvSpPr/>
        </xdr:nvSpPr>
        <xdr:spPr>
          <a:xfrm>
            <a:off x="3683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7" name="$E$171">
            <a:extLst>
              <a:ext uri="{FF2B5EF4-FFF2-40B4-BE49-F238E27FC236}">
                <a16:creationId xmlns:a16="http://schemas.microsoft.com/office/drawing/2014/main" id="{00000000-0008-0000-0300-0000A72D0000}"/>
              </a:ext>
            </a:extLst>
          </xdr:cNvPr>
          <xdr:cNvSpPr/>
        </xdr:nvSpPr>
        <xdr:spPr>
          <a:xfrm>
            <a:off x="3937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8" name="$E$171">
            <a:extLst>
              <a:ext uri="{FF2B5EF4-FFF2-40B4-BE49-F238E27FC236}">
                <a16:creationId xmlns:a16="http://schemas.microsoft.com/office/drawing/2014/main" id="{00000000-0008-0000-0300-0000A82D0000}"/>
              </a:ext>
            </a:extLst>
          </xdr:cNvPr>
          <xdr:cNvSpPr/>
        </xdr:nvSpPr>
        <xdr:spPr>
          <a:xfrm>
            <a:off x="4191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89" name="$E$171">
            <a:extLst>
              <a:ext uri="{FF2B5EF4-FFF2-40B4-BE49-F238E27FC236}">
                <a16:creationId xmlns:a16="http://schemas.microsoft.com/office/drawing/2014/main" id="{00000000-0008-0000-0300-0000A92D0000}"/>
              </a:ext>
            </a:extLst>
          </xdr:cNvPr>
          <xdr:cNvSpPr/>
        </xdr:nvSpPr>
        <xdr:spPr>
          <a:xfrm>
            <a:off x="4318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0" name="$E$171">
            <a:extLst>
              <a:ext uri="{FF2B5EF4-FFF2-40B4-BE49-F238E27FC236}">
                <a16:creationId xmlns:a16="http://schemas.microsoft.com/office/drawing/2014/main" id="{00000000-0008-0000-0300-0000AA2D0000}"/>
              </a:ext>
            </a:extLst>
          </xdr:cNvPr>
          <xdr:cNvSpPr/>
        </xdr:nvSpPr>
        <xdr:spPr>
          <a:xfrm>
            <a:off x="444500" y="114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1" name="$E$171">
            <a:extLst>
              <a:ext uri="{FF2B5EF4-FFF2-40B4-BE49-F238E27FC236}">
                <a16:creationId xmlns:a16="http://schemas.microsoft.com/office/drawing/2014/main" id="{00000000-0008-0000-0300-0000AB2D000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2" name="$E$171">
            <a:extLst>
              <a:ext uri="{FF2B5EF4-FFF2-40B4-BE49-F238E27FC236}">
                <a16:creationId xmlns:a16="http://schemas.microsoft.com/office/drawing/2014/main" id="{00000000-0008-0000-0300-0000AC2D00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3" name="$E$171">
            <a:extLst>
              <a:ext uri="{FF2B5EF4-FFF2-40B4-BE49-F238E27FC236}">
                <a16:creationId xmlns:a16="http://schemas.microsoft.com/office/drawing/2014/main" id="{00000000-0008-0000-0300-0000AD2D00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4" name="$E$171">
            <a:extLst>
              <a:ext uri="{FF2B5EF4-FFF2-40B4-BE49-F238E27FC236}">
                <a16:creationId xmlns:a16="http://schemas.microsoft.com/office/drawing/2014/main" id="{00000000-0008-0000-0300-0000AE2D000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5" name="$E$171">
            <a:extLst>
              <a:ext uri="{FF2B5EF4-FFF2-40B4-BE49-F238E27FC236}">
                <a16:creationId xmlns:a16="http://schemas.microsoft.com/office/drawing/2014/main" id="{00000000-0008-0000-0300-0000AF2D00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6" name="$E$171">
            <a:extLst>
              <a:ext uri="{FF2B5EF4-FFF2-40B4-BE49-F238E27FC236}">
                <a16:creationId xmlns:a16="http://schemas.microsoft.com/office/drawing/2014/main" id="{00000000-0008-0000-0300-0000B02D00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7" name="$E$171">
            <a:extLst>
              <a:ext uri="{FF2B5EF4-FFF2-40B4-BE49-F238E27FC236}">
                <a16:creationId xmlns:a16="http://schemas.microsoft.com/office/drawing/2014/main" id="{00000000-0008-0000-0300-0000B12D00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8" name="$E$171">
            <a:extLst>
              <a:ext uri="{FF2B5EF4-FFF2-40B4-BE49-F238E27FC236}">
                <a16:creationId xmlns:a16="http://schemas.microsoft.com/office/drawing/2014/main" id="{00000000-0008-0000-0300-0000B22D00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699" name="$E$171">
            <a:extLst>
              <a:ext uri="{FF2B5EF4-FFF2-40B4-BE49-F238E27FC236}">
                <a16:creationId xmlns:a16="http://schemas.microsoft.com/office/drawing/2014/main" id="{00000000-0008-0000-0300-0000B32D00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0" name="$E$171">
            <a:extLst>
              <a:ext uri="{FF2B5EF4-FFF2-40B4-BE49-F238E27FC236}">
                <a16:creationId xmlns:a16="http://schemas.microsoft.com/office/drawing/2014/main" id="{00000000-0008-0000-0300-0000B42D00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1" name="$E$171">
            <a:extLst>
              <a:ext uri="{FF2B5EF4-FFF2-40B4-BE49-F238E27FC236}">
                <a16:creationId xmlns:a16="http://schemas.microsoft.com/office/drawing/2014/main" id="{00000000-0008-0000-0300-0000B52D00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2" name="$E$171">
            <a:extLst>
              <a:ext uri="{FF2B5EF4-FFF2-40B4-BE49-F238E27FC236}">
                <a16:creationId xmlns:a16="http://schemas.microsoft.com/office/drawing/2014/main" id="{00000000-0008-0000-0300-0000B62D00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3" name="$E$171">
            <a:extLst>
              <a:ext uri="{FF2B5EF4-FFF2-40B4-BE49-F238E27FC236}">
                <a16:creationId xmlns:a16="http://schemas.microsoft.com/office/drawing/2014/main" id="{00000000-0008-0000-0300-0000B72D00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4" name="$E$171">
            <a:extLst>
              <a:ext uri="{FF2B5EF4-FFF2-40B4-BE49-F238E27FC236}">
                <a16:creationId xmlns:a16="http://schemas.microsoft.com/office/drawing/2014/main" id="{00000000-0008-0000-0300-0000B82D00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5" name="$E$171">
            <a:extLst>
              <a:ext uri="{FF2B5EF4-FFF2-40B4-BE49-F238E27FC236}">
                <a16:creationId xmlns:a16="http://schemas.microsoft.com/office/drawing/2014/main" id="{00000000-0008-0000-0300-0000B92D00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6" name="$E$171">
            <a:extLst>
              <a:ext uri="{FF2B5EF4-FFF2-40B4-BE49-F238E27FC236}">
                <a16:creationId xmlns:a16="http://schemas.microsoft.com/office/drawing/2014/main" id="{00000000-0008-0000-0300-0000BA2D00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7" name="$E$171">
            <a:extLst>
              <a:ext uri="{FF2B5EF4-FFF2-40B4-BE49-F238E27FC236}">
                <a16:creationId xmlns:a16="http://schemas.microsoft.com/office/drawing/2014/main" id="{00000000-0008-0000-0300-0000BB2D0000}"/>
              </a:ext>
            </a:extLst>
          </xdr:cNvPr>
          <xdr:cNvSpPr/>
        </xdr:nvSpPr>
        <xdr:spPr>
          <a:xfrm>
            <a:off x="3302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8" name="$E$171">
            <a:extLst>
              <a:ext uri="{FF2B5EF4-FFF2-40B4-BE49-F238E27FC236}">
                <a16:creationId xmlns:a16="http://schemas.microsoft.com/office/drawing/2014/main" id="{00000000-0008-0000-0300-0000BC2D0000}"/>
              </a:ext>
            </a:extLst>
          </xdr:cNvPr>
          <xdr:cNvSpPr/>
        </xdr:nvSpPr>
        <xdr:spPr>
          <a:xfrm>
            <a:off x="3429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09" name="$E$171">
            <a:extLst>
              <a:ext uri="{FF2B5EF4-FFF2-40B4-BE49-F238E27FC236}">
                <a16:creationId xmlns:a16="http://schemas.microsoft.com/office/drawing/2014/main" id="{00000000-0008-0000-0300-0000BD2D00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0" name="$E$171">
            <a:extLst>
              <a:ext uri="{FF2B5EF4-FFF2-40B4-BE49-F238E27FC236}">
                <a16:creationId xmlns:a16="http://schemas.microsoft.com/office/drawing/2014/main" id="{00000000-0008-0000-0300-0000BE2D0000}"/>
              </a:ext>
            </a:extLst>
          </xdr:cNvPr>
          <xdr:cNvSpPr/>
        </xdr:nvSpPr>
        <xdr:spPr>
          <a:xfrm>
            <a:off x="3810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1" name="$E$171">
            <a:extLst>
              <a:ext uri="{FF2B5EF4-FFF2-40B4-BE49-F238E27FC236}">
                <a16:creationId xmlns:a16="http://schemas.microsoft.com/office/drawing/2014/main" id="{00000000-0008-0000-0300-0000BF2D0000}"/>
              </a:ext>
            </a:extLst>
          </xdr:cNvPr>
          <xdr:cNvSpPr/>
        </xdr:nvSpPr>
        <xdr:spPr>
          <a:xfrm>
            <a:off x="3937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2" name="$E$171">
            <a:extLst>
              <a:ext uri="{FF2B5EF4-FFF2-40B4-BE49-F238E27FC236}">
                <a16:creationId xmlns:a16="http://schemas.microsoft.com/office/drawing/2014/main" id="{00000000-0008-0000-0300-0000C02D0000}"/>
              </a:ext>
            </a:extLst>
          </xdr:cNvPr>
          <xdr:cNvSpPr/>
        </xdr:nvSpPr>
        <xdr:spPr>
          <a:xfrm>
            <a:off x="4191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3" name="$E$171">
            <a:extLst>
              <a:ext uri="{FF2B5EF4-FFF2-40B4-BE49-F238E27FC236}">
                <a16:creationId xmlns:a16="http://schemas.microsoft.com/office/drawing/2014/main" id="{00000000-0008-0000-0300-0000C12D0000}"/>
              </a:ext>
            </a:extLst>
          </xdr:cNvPr>
          <xdr:cNvSpPr/>
        </xdr:nvSpPr>
        <xdr:spPr>
          <a:xfrm>
            <a:off x="4318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4" name="$E$171">
            <a:extLst>
              <a:ext uri="{FF2B5EF4-FFF2-40B4-BE49-F238E27FC236}">
                <a16:creationId xmlns:a16="http://schemas.microsoft.com/office/drawing/2014/main" id="{00000000-0008-0000-0300-0000C22D0000}"/>
              </a:ext>
            </a:extLst>
          </xdr:cNvPr>
          <xdr:cNvSpPr/>
        </xdr:nvSpPr>
        <xdr:spPr>
          <a:xfrm>
            <a:off x="457200" y="127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5" name="$E$171">
            <a:extLst>
              <a:ext uri="{FF2B5EF4-FFF2-40B4-BE49-F238E27FC236}">
                <a16:creationId xmlns:a16="http://schemas.microsoft.com/office/drawing/2014/main" id="{00000000-0008-0000-0300-0000C32D0000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6" name="$E$171">
            <a:extLst>
              <a:ext uri="{FF2B5EF4-FFF2-40B4-BE49-F238E27FC236}">
                <a16:creationId xmlns:a16="http://schemas.microsoft.com/office/drawing/2014/main" id="{00000000-0008-0000-0300-0000C42D000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7" name="$E$171">
            <a:extLst>
              <a:ext uri="{FF2B5EF4-FFF2-40B4-BE49-F238E27FC236}">
                <a16:creationId xmlns:a16="http://schemas.microsoft.com/office/drawing/2014/main" id="{00000000-0008-0000-0300-0000C52D0000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8" name="$E$171">
            <a:extLst>
              <a:ext uri="{FF2B5EF4-FFF2-40B4-BE49-F238E27FC236}">
                <a16:creationId xmlns:a16="http://schemas.microsoft.com/office/drawing/2014/main" id="{00000000-0008-0000-0300-0000C62D00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19" name="$E$171">
            <a:extLst>
              <a:ext uri="{FF2B5EF4-FFF2-40B4-BE49-F238E27FC236}">
                <a16:creationId xmlns:a16="http://schemas.microsoft.com/office/drawing/2014/main" id="{00000000-0008-0000-0300-0000C72D00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0" name="$E$171">
            <a:extLst>
              <a:ext uri="{FF2B5EF4-FFF2-40B4-BE49-F238E27FC236}">
                <a16:creationId xmlns:a16="http://schemas.microsoft.com/office/drawing/2014/main" id="{00000000-0008-0000-0300-0000C82D00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1" name="$E$171">
            <a:extLst>
              <a:ext uri="{FF2B5EF4-FFF2-40B4-BE49-F238E27FC236}">
                <a16:creationId xmlns:a16="http://schemas.microsoft.com/office/drawing/2014/main" id="{00000000-0008-0000-0300-0000C92D0000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2" name="$E$171">
            <a:extLst>
              <a:ext uri="{FF2B5EF4-FFF2-40B4-BE49-F238E27FC236}">
                <a16:creationId xmlns:a16="http://schemas.microsoft.com/office/drawing/2014/main" id="{00000000-0008-0000-0300-0000CA2D00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3" name="$E$171">
            <a:extLst>
              <a:ext uri="{FF2B5EF4-FFF2-40B4-BE49-F238E27FC236}">
                <a16:creationId xmlns:a16="http://schemas.microsoft.com/office/drawing/2014/main" id="{00000000-0008-0000-0300-0000CB2D0000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4" name="$E$171">
            <a:extLst>
              <a:ext uri="{FF2B5EF4-FFF2-40B4-BE49-F238E27FC236}">
                <a16:creationId xmlns:a16="http://schemas.microsoft.com/office/drawing/2014/main" id="{00000000-0008-0000-0300-0000CC2D00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5" name="$E$171">
            <a:extLst>
              <a:ext uri="{FF2B5EF4-FFF2-40B4-BE49-F238E27FC236}">
                <a16:creationId xmlns:a16="http://schemas.microsoft.com/office/drawing/2014/main" id="{00000000-0008-0000-0300-0000CD2D0000}"/>
              </a:ext>
            </a:extLst>
          </xdr:cNvPr>
          <xdr:cNvSpPr/>
        </xdr:nvSpPr>
        <xdr:spPr>
          <a:xfrm>
            <a:off x="3429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6" name="$E$171">
            <a:extLst>
              <a:ext uri="{FF2B5EF4-FFF2-40B4-BE49-F238E27FC236}">
                <a16:creationId xmlns:a16="http://schemas.microsoft.com/office/drawing/2014/main" id="{00000000-0008-0000-0300-0000CE2D0000}"/>
              </a:ext>
            </a:extLst>
          </xdr:cNvPr>
          <xdr:cNvSpPr/>
        </xdr:nvSpPr>
        <xdr:spPr>
          <a:xfrm>
            <a:off x="3556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7" name="$E$171">
            <a:extLst>
              <a:ext uri="{FF2B5EF4-FFF2-40B4-BE49-F238E27FC236}">
                <a16:creationId xmlns:a16="http://schemas.microsoft.com/office/drawing/2014/main" id="{00000000-0008-0000-0300-0000CF2D0000}"/>
              </a:ext>
            </a:extLst>
          </xdr:cNvPr>
          <xdr:cNvSpPr/>
        </xdr:nvSpPr>
        <xdr:spPr>
          <a:xfrm>
            <a:off x="3810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8" name="$E$171">
            <a:extLst>
              <a:ext uri="{FF2B5EF4-FFF2-40B4-BE49-F238E27FC236}">
                <a16:creationId xmlns:a16="http://schemas.microsoft.com/office/drawing/2014/main" id="{00000000-0008-0000-0300-0000D02D0000}"/>
              </a:ext>
            </a:extLst>
          </xdr:cNvPr>
          <xdr:cNvSpPr/>
        </xdr:nvSpPr>
        <xdr:spPr>
          <a:xfrm>
            <a:off x="4191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29" name="$E$171">
            <a:extLst>
              <a:ext uri="{FF2B5EF4-FFF2-40B4-BE49-F238E27FC236}">
                <a16:creationId xmlns:a16="http://schemas.microsoft.com/office/drawing/2014/main" id="{00000000-0008-0000-0300-0000D12D0000}"/>
              </a:ext>
            </a:extLst>
          </xdr:cNvPr>
          <xdr:cNvSpPr/>
        </xdr:nvSpPr>
        <xdr:spPr>
          <a:xfrm>
            <a:off x="444500" y="139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0" name="$E$171">
            <a:extLst>
              <a:ext uri="{FF2B5EF4-FFF2-40B4-BE49-F238E27FC236}">
                <a16:creationId xmlns:a16="http://schemas.microsoft.com/office/drawing/2014/main" id="{00000000-0008-0000-0300-0000D22D0000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1" name="$E$171">
            <a:extLst>
              <a:ext uri="{FF2B5EF4-FFF2-40B4-BE49-F238E27FC236}">
                <a16:creationId xmlns:a16="http://schemas.microsoft.com/office/drawing/2014/main" id="{00000000-0008-0000-0300-0000D32D00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2" name="$E$171">
            <a:extLst>
              <a:ext uri="{FF2B5EF4-FFF2-40B4-BE49-F238E27FC236}">
                <a16:creationId xmlns:a16="http://schemas.microsoft.com/office/drawing/2014/main" id="{00000000-0008-0000-0300-0000D42D00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3" name="$E$171">
            <a:extLst>
              <a:ext uri="{FF2B5EF4-FFF2-40B4-BE49-F238E27FC236}">
                <a16:creationId xmlns:a16="http://schemas.microsoft.com/office/drawing/2014/main" id="{00000000-0008-0000-0300-0000D52D000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4" name="$E$171">
            <a:extLst>
              <a:ext uri="{FF2B5EF4-FFF2-40B4-BE49-F238E27FC236}">
                <a16:creationId xmlns:a16="http://schemas.microsoft.com/office/drawing/2014/main" id="{00000000-0008-0000-0300-0000D62D00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5" name="$E$171">
            <a:extLst>
              <a:ext uri="{FF2B5EF4-FFF2-40B4-BE49-F238E27FC236}">
                <a16:creationId xmlns:a16="http://schemas.microsoft.com/office/drawing/2014/main" id="{00000000-0008-0000-0300-0000D72D00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6" name="$E$171">
            <a:extLst>
              <a:ext uri="{FF2B5EF4-FFF2-40B4-BE49-F238E27FC236}">
                <a16:creationId xmlns:a16="http://schemas.microsoft.com/office/drawing/2014/main" id="{00000000-0008-0000-0300-0000D82D00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7" name="$E$171">
            <a:extLst>
              <a:ext uri="{FF2B5EF4-FFF2-40B4-BE49-F238E27FC236}">
                <a16:creationId xmlns:a16="http://schemas.microsoft.com/office/drawing/2014/main" id="{00000000-0008-0000-0300-0000D92D00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8" name="$E$171">
            <a:extLst>
              <a:ext uri="{FF2B5EF4-FFF2-40B4-BE49-F238E27FC236}">
                <a16:creationId xmlns:a16="http://schemas.microsoft.com/office/drawing/2014/main" id="{00000000-0008-0000-0300-0000DA2D00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39" name="$E$171">
            <a:extLst>
              <a:ext uri="{FF2B5EF4-FFF2-40B4-BE49-F238E27FC236}">
                <a16:creationId xmlns:a16="http://schemas.microsoft.com/office/drawing/2014/main" id="{00000000-0008-0000-0300-0000DB2D00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0" name="$E$171">
            <a:extLst>
              <a:ext uri="{FF2B5EF4-FFF2-40B4-BE49-F238E27FC236}">
                <a16:creationId xmlns:a16="http://schemas.microsoft.com/office/drawing/2014/main" id="{00000000-0008-0000-0300-0000DC2D0000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1" name="$E$171">
            <a:extLst>
              <a:ext uri="{FF2B5EF4-FFF2-40B4-BE49-F238E27FC236}">
                <a16:creationId xmlns:a16="http://schemas.microsoft.com/office/drawing/2014/main" id="{00000000-0008-0000-0300-0000DD2D00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2" name="$E$171">
            <a:extLst>
              <a:ext uri="{FF2B5EF4-FFF2-40B4-BE49-F238E27FC236}">
                <a16:creationId xmlns:a16="http://schemas.microsoft.com/office/drawing/2014/main" id="{00000000-0008-0000-0300-0000DE2D0000}"/>
              </a:ext>
            </a:extLst>
          </xdr:cNvPr>
          <xdr:cNvSpPr/>
        </xdr:nvSpPr>
        <xdr:spPr>
          <a:xfrm>
            <a:off x="2794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3" name="$E$171">
            <a:extLst>
              <a:ext uri="{FF2B5EF4-FFF2-40B4-BE49-F238E27FC236}">
                <a16:creationId xmlns:a16="http://schemas.microsoft.com/office/drawing/2014/main" id="{00000000-0008-0000-0300-0000DF2D0000}"/>
              </a:ext>
            </a:extLst>
          </xdr:cNvPr>
          <xdr:cNvSpPr/>
        </xdr:nvSpPr>
        <xdr:spPr>
          <a:xfrm>
            <a:off x="3048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4" name="$E$171">
            <a:extLst>
              <a:ext uri="{FF2B5EF4-FFF2-40B4-BE49-F238E27FC236}">
                <a16:creationId xmlns:a16="http://schemas.microsoft.com/office/drawing/2014/main" id="{00000000-0008-0000-0300-0000E02D0000}"/>
              </a:ext>
            </a:extLst>
          </xdr:cNvPr>
          <xdr:cNvSpPr/>
        </xdr:nvSpPr>
        <xdr:spPr>
          <a:xfrm>
            <a:off x="3175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5" name="$E$171">
            <a:extLst>
              <a:ext uri="{FF2B5EF4-FFF2-40B4-BE49-F238E27FC236}">
                <a16:creationId xmlns:a16="http://schemas.microsoft.com/office/drawing/2014/main" id="{00000000-0008-0000-0300-0000E12D0000}"/>
              </a:ext>
            </a:extLst>
          </xdr:cNvPr>
          <xdr:cNvSpPr/>
        </xdr:nvSpPr>
        <xdr:spPr>
          <a:xfrm>
            <a:off x="3302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6" name="$E$171">
            <a:extLst>
              <a:ext uri="{FF2B5EF4-FFF2-40B4-BE49-F238E27FC236}">
                <a16:creationId xmlns:a16="http://schemas.microsoft.com/office/drawing/2014/main" id="{00000000-0008-0000-0300-0000E22D0000}"/>
              </a:ext>
            </a:extLst>
          </xdr:cNvPr>
          <xdr:cNvSpPr/>
        </xdr:nvSpPr>
        <xdr:spPr>
          <a:xfrm>
            <a:off x="3429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7" name="$E$171">
            <a:extLst>
              <a:ext uri="{FF2B5EF4-FFF2-40B4-BE49-F238E27FC236}">
                <a16:creationId xmlns:a16="http://schemas.microsoft.com/office/drawing/2014/main" id="{00000000-0008-0000-0300-0000E32D0000}"/>
              </a:ext>
            </a:extLst>
          </xdr:cNvPr>
          <xdr:cNvSpPr/>
        </xdr:nvSpPr>
        <xdr:spPr>
          <a:xfrm>
            <a:off x="3683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8" name="$E$171">
            <a:extLst>
              <a:ext uri="{FF2B5EF4-FFF2-40B4-BE49-F238E27FC236}">
                <a16:creationId xmlns:a16="http://schemas.microsoft.com/office/drawing/2014/main" id="{00000000-0008-0000-0300-0000E42D0000}"/>
              </a:ext>
            </a:extLst>
          </xdr:cNvPr>
          <xdr:cNvSpPr/>
        </xdr:nvSpPr>
        <xdr:spPr>
          <a:xfrm>
            <a:off x="3810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49" name="$E$171">
            <a:extLst>
              <a:ext uri="{FF2B5EF4-FFF2-40B4-BE49-F238E27FC236}">
                <a16:creationId xmlns:a16="http://schemas.microsoft.com/office/drawing/2014/main" id="{00000000-0008-0000-0300-0000E52D0000}"/>
              </a:ext>
            </a:extLst>
          </xdr:cNvPr>
          <xdr:cNvSpPr/>
        </xdr:nvSpPr>
        <xdr:spPr>
          <a:xfrm>
            <a:off x="4064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0" name="$E$171">
            <a:extLst>
              <a:ext uri="{FF2B5EF4-FFF2-40B4-BE49-F238E27FC236}">
                <a16:creationId xmlns:a16="http://schemas.microsoft.com/office/drawing/2014/main" id="{00000000-0008-0000-0300-0000E62D0000}"/>
              </a:ext>
            </a:extLst>
          </xdr:cNvPr>
          <xdr:cNvSpPr/>
        </xdr:nvSpPr>
        <xdr:spPr>
          <a:xfrm>
            <a:off x="4191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1" name="$E$171">
            <a:extLst>
              <a:ext uri="{FF2B5EF4-FFF2-40B4-BE49-F238E27FC236}">
                <a16:creationId xmlns:a16="http://schemas.microsoft.com/office/drawing/2014/main" id="{00000000-0008-0000-0300-0000E72D0000}"/>
              </a:ext>
            </a:extLst>
          </xdr:cNvPr>
          <xdr:cNvSpPr/>
        </xdr:nvSpPr>
        <xdr:spPr>
          <a:xfrm>
            <a:off x="4318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2" name="$E$171">
            <a:extLst>
              <a:ext uri="{FF2B5EF4-FFF2-40B4-BE49-F238E27FC236}">
                <a16:creationId xmlns:a16="http://schemas.microsoft.com/office/drawing/2014/main" id="{00000000-0008-0000-0300-0000E82D0000}"/>
              </a:ext>
            </a:extLst>
          </xdr:cNvPr>
          <xdr:cNvSpPr/>
        </xdr:nvSpPr>
        <xdr:spPr>
          <a:xfrm>
            <a:off x="457200" y="152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3" name="$E$171">
            <a:extLst>
              <a:ext uri="{FF2B5EF4-FFF2-40B4-BE49-F238E27FC236}">
                <a16:creationId xmlns:a16="http://schemas.microsoft.com/office/drawing/2014/main" id="{00000000-0008-0000-0300-0000E92D00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4" name="$E$171">
            <a:extLst>
              <a:ext uri="{FF2B5EF4-FFF2-40B4-BE49-F238E27FC236}">
                <a16:creationId xmlns:a16="http://schemas.microsoft.com/office/drawing/2014/main" id="{00000000-0008-0000-0300-0000EA2D0000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5" name="$E$171">
            <a:extLst>
              <a:ext uri="{FF2B5EF4-FFF2-40B4-BE49-F238E27FC236}">
                <a16:creationId xmlns:a16="http://schemas.microsoft.com/office/drawing/2014/main" id="{00000000-0008-0000-0300-0000EB2D00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6" name="$E$171">
            <a:extLst>
              <a:ext uri="{FF2B5EF4-FFF2-40B4-BE49-F238E27FC236}">
                <a16:creationId xmlns:a16="http://schemas.microsoft.com/office/drawing/2014/main" id="{00000000-0008-0000-0300-0000EC2D00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7" name="$E$171">
            <a:extLst>
              <a:ext uri="{FF2B5EF4-FFF2-40B4-BE49-F238E27FC236}">
                <a16:creationId xmlns:a16="http://schemas.microsoft.com/office/drawing/2014/main" id="{00000000-0008-0000-0300-0000ED2D00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8" name="$E$171">
            <a:extLst>
              <a:ext uri="{FF2B5EF4-FFF2-40B4-BE49-F238E27FC236}">
                <a16:creationId xmlns:a16="http://schemas.microsoft.com/office/drawing/2014/main" id="{00000000-0008-0000-0300-0000EE2D00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59" name="$E$171">
            <a:extLst>
              <a:ext uri="{FF2B5EF4-FFF2-40B4-BE49-F238E27FC236}">
                <a16:creationId xmlns:a16="http://schemas.microsoft.com/office/drawing/2014/main" id="{00000000-0008-0000-0300-0000EF2D00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0" name="$E$171">
            <a:extLst>
              <a:ext uri="{FF2B5EF4-FFF2-40B4-BE49-F238E27FC236}">
                <a16:creationId xmlns:a16="http://schemas.microsoft.com/office/drawing/2014/main" id="{00000000-0008-0000-0300-0000F02D0000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1" name="$E$171">
            <a:extLst>
              <a:ext uri="{FF2B5EF4-FFF2-40B4-BE49-F238E27FC236}">
                <a16:creationId xmlns:a16="http://schemas.microsoft.com/office/drawing/2014/main" id="{00000000-0008-0000-0300-0000F12D00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2" name="$E$171">
            <a:extLst>
              <a:ext uri="{FF2B5EF4-FFF2-40B4-BE49-F238E27FC236}">
                <a16:creationId xmlns:a16="http://schemas.microsoft.com/office/drawing/2014/main" id="{00000000-0008-0000-0300-0000F22D0000}"/>
              </a:ext>
            </a:extLst>
          </xdr:cNvPr>
          <xdr:cNvSpPr/>
        </xdr:nvSpPr>
        <xdr:spPr>
          <a:xfrm>
            <a:off x="2921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3" name="$E$171">
            <a:extLst>
              <a:ext uri="{FF2B5EF4-FFF2-40B4-BE49-F238E27FC236}">
                <a16:creationId xmlns:a16="http://schemas.microsoft.com/office/drawing/2014/main" id="{00000000-0008-0000-0300-0000F32D0000}"/>
              </a:ext>
            </a:extLst>
          </xdr:cNvPr>
          <xdr:cNvSpPr/>
        </xdr:nvSpPr>
        <xdr:spPr>
          <a:xfrm>
            <a:off x="3556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4" name="$E$171">
            <a:extLst>
              <a:ext uri="{FF2B5EF4-FFF2-40B4-BE49-F238E27FC236}">
                <a16:creationId xmlns:a16="http://schemas.microsoft.com/office/drawing/2014/main" id="{00000000-0008-0000-0300-0000F42D0000}"/>
              </a:ext>
            </a:extLst>
          </xdr:cNvPr>
          <xdr:cNvSpPr/>
        </xdr:nvSpPr>
        <xdr:spPr>
          <a:xfrm>
            <a:off x="3937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5" name="$E$171">
            <a:extLst>
              <a:ext uri="{FF2B5EF4-FFF2-40B4-BE49-F238E27FC236}">
                <a16:creationId xmlns:a16="http://schemas.microsoft.com/office/drawing/2014/main" id="{00000000-0008-0000-0300-0000F52D0000}"/>
              </a:ext>
            </a:extLst>
          </xdr:cNvPr>
          <xdr:cNvSpPr/>
        </xdr:nvSpPr>
        <xdr:spPr>
          <a:xfrm>
            <a:off x="4318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6" name="$E$171">
            <a:extLst>
              <a:ext uri="{FF2B5EF4-FFF2-40B4-BE49-F238E27FC236}">
                <a16:creationId xmlns:a16="http://schemas.microsoft.com/office/drawing/2014/main" id="{00000000-0008-0000-0300-0000F62D0000}"/>
              </a:ext>
            </a:extLst>
          </xdr:cNvPr>
          <xdr:cNvSpPr/>
        </xdr:nvSpPr>
        <xdr:spPr>
          <a:xfrm>
            <a:off x="444500" y="165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7" name="$E$171">
            <a:extLst>
              <a:ext uri="{FF2B5EF4-FFF2-40B4-BE49-F238E27FC236}">
                <a16:creationId xmlns:a16="http://schemas.microsoft.com/office/drawing/2014/main" id="{00000000-0008-0000-0300-0000F72D00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8" name="$E$171">
            <a:extLst>
              <a:ext uri="{FF2B5EF4-FFF2-40B4-BE49-F238E27FC236}">
                <a16:creationId xmlns:a16="http://schemas.microsoft.com/office/drawing/2014/main" id="{00000000-0008-0000-0300-0000F82D00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69" name="$E$171">
            <a:extLst>
              <a:ext uri="{FF2B5EF4-FFF2-40B4-BE49-F238E27FC236}">
                <a16:creationId xmlns:a16="http://schemas.microsoft.com/office/drawing/2014/main" id="{00000000-0008-0000-0300-0000F92D00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0" name="$E$171">
            <a:extLst>
              <a:ext uri="{FF2B5EF4-FFF2-40B4-BE49-F238E27FC236}">
                <a16:creationId xmlns:a16="http://schemas.microsoft.com/office/drawing/2014/main" id="{00000000-0008-0000-0300-0000FA2D00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1" name="$E$171">
            <a:extLst>
              <a:ext uri="{FF2B5EF4-FFF2-40B4-BE49-F238E27FC236}">
                <a16:creationId xmlns:a16="http://schemas.microsoft.com/office/drawing/2014/main" id="{00000000-0008-0000-0300-0000FB2D0000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2" name="$E$171">
            <a:extLst>
              <a:ext uri="{FF2B5EF4-FFF2-40B4-BE49-F238E27FC236}">
                <a16:creationId xmlns:a16="http://schemas.microsoft.com/office/drawing/2014/main" id="{00000000-0008-0000-0300-0000FC2D00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3" name="$E$171">
            <a:extLst>
              <a:ext uri="{FF2B5EF4-FFF2-40B4-BE49-F238E27FC236}">
                <a16:creationId xmlns:a16="http://schemas.microsoft.com/office/drawing/2014/main" id="{00000000-0008-0000-0300-0000FD2D00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4" name="$E$171">
            <a:extLst>
              <a:ext uri="{FF2B5EF4-FFF2-40B4-BE49-F238E27FC236}">
                <a16:creationId xmlns:a16="http://schemas.microsoft.com/office/drawing/2014/main" id="{00000000-0008-0000-0300-0000FE2D00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5" name="$E$171">
            <a:extLst>
              <a:ext uri="{FF2B5EF4-FFF2-40B4-BE49-F238E27FC236}">
                <a16:creationId xmlns:a16="http://schemas.microsoft.com/office/drawing/2014/main" id="{00000000-0008-0000-0300-0000FF2D00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6" name="$E$171">
            <a:extLst>
              <a:ext uri="{FF2B5EF4-FFF2-40B4-BE49-F238E27FC236}">
                <a16:creationId xmlns:a16="http://schemas.microsoft.com/office/drawing/2014/main" id="{00000000-0008-0000-0300-0000002E00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7" name="$E$171">
            <a:extLst>
              <a:ext uri="{FF2B5EF4-FFF2-40B4-BE49-F238E27FC236}">
                <a16:creationId xmlns:a16="http://schemas.microsoft.com/office/drawing/2014/main" id="{00000000-0008-0000-0300-0000012E00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8" name="$E$171">
            <a:extLst>
              <a:ext uri="{FF2B5EF4-FFF2-40B4-BE49-F238E27FC236}">
                <a16:creationId xmlns:a16="http://schemas.microsoft.com/office/drawing/2014/main" id="{00000000-0008-0000-0300-0000022E00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79" name="$E$171">
            <a:extLst>
              <a:ext uri="{FF2B5EF4-FFF2-40B4-BE49-F238E27FC236}">
                <a16:creationId xmlns:a16="http://schemas.microsoft.com/office/drawing/2014/main" id="{00000000-0008-0000-0300-0000032E0000}"/>
              </a:ext>
            </a:extLst>
          </xdr:cNvPr>
          <xdr:cNvSpPr/>
        </xdr:nvSpPr>
        <xdr:spPr>
          <a:xfrm>
            <a:off x="3048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0" name="$E$171">
            <a:extLst>
              <a:ext uri="{FF2B5EF4-FFF2-40B4-BE49-F238E27FC236}">
                <a16:creationId xmlns:a16="http://schemas.microsoft.com/office/drawing/2014/main" id="{00000000-0008-0000-0300-0000042E0000}"/>
              </a:ext>
            </a:extLst>
          </xdr:cNvPr>
          <xdr:cNvSpPr/>
        </xdr:nvSpPr>
        <xdr:spPr>
          <a:xfrm>
            <a:off x="3175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1" name="$E$171">
            <a:extLst>
              <a:ext uri="{FF2B5EF4-FFF2-40B4-BE49-F238E27FC236}">
                <a16:creationId xmlns:a16="http://schemas.microsoft.com/office/drawing/2014/main" id="{00000000-0008-0000-0300-0000052E00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2" name="$E$171">
            <a:extLst>
              <a:ext uri="{FF2B5EF4-FFF2-40B4-BE49-F238E27FC236}">
                <a16:creationId xmlns:a16="http://schemas.microsoft.com/office/drawing/2014/main" id="{00000000-0008-0000-0300-0000062E0000}"/>
              </a:ext>
            </a:extLst>
          </xdr:cNvPr>
          <xdr:cNvSpPr/>
        </xdr:nvSpPr>
        <xdr:spPr>
          <a:xfrm>
            <a:off x="3810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3" name="$E$171">
            <a:extLst>
              <a:ext uri="{FF2B5EF4-FFF2-40B4-BE49-F238E27FC236}">
                <a16:creationId xmlns:a16="http://schemas.microsoft.com/office/drawing/2014/main" id="{00000000-0008-0000-0300-0000072E0000}"/>
              </a:ext>
            </a:extLst>
          </xdr:cNvPr>
          <xdr:cNvSpPr/>
        </xdr:nvSpPr>
        <xdr:spPr>
          <a:xfrm>
            <a:off x="3937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4" name="$E$171">
            <a:extLst>
              <a:ext uri="{FF2B5EF4-FFF2-40B4-BE49-F238E27FC236}">
                <a16:creationId xmlns:a16="http://schemas.microsoft.com/office/drawing/2014/main" id="{00000000-0008-0000-0300-0000082E0000}"/>
              </a:ext>
            </a:extLst>
          </xdr:cNvPr>
          <xdr:cNvSpPr/>
        </xdr:nvSpPr>
        <xdr:spPr>
          <a:xfrm>
            <a:off x="4064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5" name="$E$171">
            <a:extLst>
              <a:ext uri="{FF2B5EF4-FFF2-40B4-BE49-F238E27FC236}">
                <a16:creationId xmlns:a16="http://schemas.microsoft.com/office/drawing/2014/main" id="{00000000-0008-0000-0300-0000092E0000}"/>
              </a:ext>
            </a:extLst>
          </xdr:cNvPr>
          <xdr:cNvSpPr/>
        </xdr:nvSpPr>
        <xdr:spPr>
          <a:xfrm>
            <a:off x="4318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6" name="$E$171">
            <a:extLst>
              <a:ext uri="{FF2B5EF4-FFF2-40B4-BE49-F238E27FC236}">
                <a16:creationId xmlns:a16="http://schemas.microsoft.com/office/drawing/2014/main" id="{00000000-0008-0000-0300-00000A2E0000}"/>
              </a:ext>
            </a:extLst>
          </xdr:cNvPr>
          <xdr:cNvSpPr/>
        </xdr:nvSpPr>
        <xdr:spPr>
          <a:xfrm>
            <a:off x="4445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7" name="$E$171">
            <a:extLst>
              <a:ext uri="{FF2B5EF4-FFF2-40B4-BE49-F238E27FC236}">
                <a16:creationId xmlns:a16="http://schemas.microsoft.com/office/drawing/2014/main" id="{00000000-0008-0000-0300-00000B2E0000}"/>
              </a:ext>
            </a:extLst>
          </xdr:cNvPr>
          <xdr:cNvSpPr/>
        </xdr:nvSpPr>
        <xdr:spPr>
          <a:xfrm>
            <a:off x="457200" y="177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8" name="$E$171">
            <a:extLst>
              <a:ext uri="{FF2B5EF4-FFF2-40B4-BE49-F238E27FC236}">
                <a16:creationId xmlns:a16="http://schemas.microsoft.com/office/drawing/2014/main" id="{00000000-0008-0000-0300-00000C2E0000}"/>
              </a:ext>
            </a:extLst>
          </xdr:cNvPr>
          <xdr:cNvSpPr/>
        </xdr:nvSpPr>
        <xdr:spPr>
          <a:xfrm>
            <a:off x="127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89" name="$E$171">
            <a:extLst>
              <a:ext uri="{FF2B5EF4-FFF2-40B4-BE49-F238E27FC236}">
                <a16:creationId xmlns:a16="http://schemas.microsoft.com/office/drawing/2014/main" id="{00000000-0008-0000-0300-00000D2E00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0" name="$E$171">
            <a:extLst>
              <a:ext uri="{FF2B5EF4-FFF2-40B4-BE49-F238E27FC236}">
                <a16:creationId xmlns:a16="http://schemas.microsoft.com/office/drawing/2014/main" id="{00000000-0008-0000-0300-00000E2E00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1" name="$E$171">
            <a:extLst>
              <a:ext uri="{FF2B5EF4-FFF2-40B4-BE49-F238E27FC236}">
                <a16:creationId xmlns:a16="http://schemas.microsoft.com/office/drawing/2014/main" id="{00000000-0008-0000-0300-00000F2E00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2" name="$E$171">
            <a:extLst>
              <a:ext uri="{FF2B5EF4-FFF2-40B4-BE49-F238E27FC236}">
                <a16:creationId xmlns:a16="http://schemas.microsoft.com/office/drawing/2014/main" id="{00000000-0008-0000-0300-0000102E00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3" name="$E$171">
            <a:extLst>
              <a:ext uri="{FF2B5EF4-FFF2-40B4-BE49-F238E27FC236}">
                <a16:creationId xmlns:a16="http://schemas.microsoft.com/office/drawing/2014/main" id="{00000000-0008-0000-0300-0000112E00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4" name="$E$171">
            <a:extLst>
              <a:ext uri="{FF2B5EF4-FFF2-40B4-BE49-F238E27FC236}">
                <a16:creationId xmlns:a16="http://schemas.microsoft.com/office/drawing/2014/main" id="{00000000-0008-0000-0300-0000122E00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5" name="$E$171">
            <a:extLst>
              <a:ext uri="{FF2B5EF4-FFF2-40B4-BE49-F238E27FC236}">
                <a16:creationId xmlns:a16="http://schemas.microsoft.com/office/drawing/2014/main" id="{00000000-0008-0000-0300-0000132E00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6" name="$E$171">
            <a:extLst>
              <a:ext uri="{FF2B5EF4-FFF2-40B4-BE49-F238E27FC236}">
                <a16:creationId xmlns:a16="http://schemas.microsoft.com/office/drawing/2014/main" id="{00000000-0008-0000-0300-0000142E00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7" name="$E$171">
            <a:extLst>
              <a:ext uri="{FF2B5EF4-FFF2-40B4-BE49-F238E27FC236}">
                <a16:creationId xmlns:a16="http://schemas.microsoft.com/office/drawing/2014/main" id="{00000000-0008-0000-0300-0000152E0000}"/>
              </a:ext>
            </a:extLst>
          </xdr:cNvPr>
          <xdr:cNvSpPr/>
        </xdr:nvSpPr>
        <xdr:spPr>
          <a:xfrm>
            <a:off x="2794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8" name="$E$171">
            <a:extLst>
              <a:ext uri="{FF2B5EF4-FFF2-40B4-BE49-F238E27FC236}">
                <a16:creationId xmlns:a16="http://schemas.microsoft.com/office/drawing/2014/main" id="{00000000-0008-0000-0300-0000162E00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799" name="$E$171">
            <a:extLst>
              <a:ext uri="{FF2B5EF4-FFF2-40B4-BE49-F238E27FC236}">
                <a16:creationId xmlns:a16="http://schemas.microsoft.com/office/drawing/2014/main" id="{00000000-0008-0000-0300-0000172E00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0" name="$E$171">
            <a:extLst>
              <a:ext uri="{FF2B5EF4-FFF2-40B4-BE49-F238E27FC236}">
                <a16:creationId xmlns:a16="http://schemas.microsoft.com/office/drawing/2014/main" id="{00000000-0008-0000-0300-0000182E0000}"/>
              </a:ext>
            </a:extLst>
          </xdr:cNvPr>
          <xdr:cNvSpPr/>
        </xdr:nvSpPr>
        <xdr:spPr>
          <a:xfrm>
            <a:off x="3556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1" name="$E$171">
            <a:extLst>
              <a:ext uri="{FF2B5EF4-FFF2-40B4-BE49-F238E27FC236}">
                <a16:creationId xmlns:a16="http://schemas.microsoft.com/office/drawing/2014/main" id="{00000000-0008-0000-0300-0000192E0000}"/>
              </a:ext>
            </a:extLst>
          </xdr:cNvPr>
          <xdr:cNvSpPr/>
        </xdr:nvSpPr>
        <xdr:spPr>
          <a:xfrm>
            <a:off x="3683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2" name="$E$171">
            <a:extLst>
              <a:ext uri="{FF2B5EF4-FFF2-40B4-BE49-F238E27FC236}">
                <a16:creationId xmlns:a16="http://schemas.microsoft.com/office/drawing/2014/main" id="{00000000-0008-0000-0300-00001A2E0000}"/>
              </a:ext>
            </a:extLst>
          </xdr:cNvPr>
          <xdr:cNvSpPr/>
        </xdr:nvSpPr>
        <xdr:spPr>
          <a:xfrm>
            <a:off x="3810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3" name="$E$171">
            <a:extLst>
              <a:ext uri="{FF2B5EF4-FFF2-40B4-BE49-F238E27FC236}">
                <a16:creationId xmlns:a16="http://schemas.microsoft.com/office/drawing/2014/main" id="{00000000-0008-0000-0300-00001B2E0000}"/>
              </a:ext>
            </a:extLst>
          </xdr:cNvPr>
          <xdr:cNvSpPr/>
        </xdr:nvSpPr>
        <xdr:spPr>
          <a:xfrm>
            <a:off x="4191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4" name="$E$171">
            <a:extLst>
              <a:ext uri="{FF2B5EF4-FFF2-40B4-BE49-F238E27FC236}">
                <a16:creationId xmlns:a16="http://schemas.microsoft.com/office/drawing/2014/main" id="{00000000-0008-0000-0300-00001C2E0000}"/>
              </a:ext>
            </a:extLst>
          </xdr:cNvPr>
          <xdr:cNvSpPr/>
        </xdr:nvSpPr>
        <xdr:spPr>
          <a:xfrm>
            <a:off x="457200" y="190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5" name="$E$171">
            <a:extLst>
              <a:ext uri="{FF2B5EF4-FFF2-40B4-BE49-F238E27FC236}">
                <a16:creationId xmlns:a16="http://schemas.microsoft.com/office/drawing/2014/main" id="{00000000-0008-0000-0300-00001D2E00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6" name="$E$171">
            <a:extLst>
              <a:ext uri="{FF2B5EF4-FFF2-40B4-BE49-F238E27FC236}">
                <a16:creationId xmlns:a16="http://schemas.microsoft.com/office/drawing/2014/main" id="{00000000-0008-0000-0300-00001E2E00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7" name="$E$171">
            <a:extLst>
              <a:ext uri="{FF2B5EF4-FFF2-40B4-BE49-F238E27FC236}">
                <a16:creationId xmlns:a16="http://schemas.microsoft.com/office/drawing/2014/main" id="{00000000-0008-0000-0300-00001F2E0000}"/>
              </a:ext>
            </a:extLst>
          </xdr:cNvPr>
          <xdr:cNvSpPr/>
        </xdr:nvSpPr>
        <xdr:spPr>
          <a:xfrm>
            <a:off x="889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8" name="$E$171">
            <a:extLst>
              <a:ext uri="{FF2B5EF4-FFF2-40B4-BE49-F238E27FC236}">
                <a16:creationId xmlns:a16="http://schemas.microsoft.com/office/drawing/2014/main" id="{00000000-0008-0000-0300-0000202E0000}"/>
              </a:ext>
            </a:extLst>
          </xdr:cNvPr>
          <xdr:cNvSpPr/>
        </xdr:nvSpPr>
        <xdr:spPr>
          <a:xfrm>
            <a:off x="1016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09" name="$E$171">
            <a:extLst>
              <a:ext uri="{FF2B5EF4-FFF2-40B4-BE49-F238E27FC236}">
                <a16:creationId xmlns:a16="http://schemas.microsoft.com/office/drawing/2014/main" id="{00000000-0008-0000-0300-0000212E0000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0" name="$E$171">
            <a:extLst>
              <a:ext uri="{FF2B5EF4-FFF2-40B4-BE49-F238E27FC236}">
                <a16:creationId xmlns:a16="http://schemas.microsoft.com/office/drawing/2014/main" id="{00000000-0008-0000-0300-0000222E00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1" name="$E$171">
            <a:extLst>
              <a:ext uri="{FF2B5EF4-FFF2-40B4-BE49-F238E27FC236}">
                <a16:creationId xmlns:a16="http://schemas.microsoft.com/office/drawing/2014/main" id="{00000000-0008-0000-0300-0000232E00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2" name="$E$171">
            <a:extLst>
              <a:ext uri="{FF2B5EF4-FFF2-40B4-BE49-F238E27FC236}">
                <a16:creationId xmlns:a16="http://schemas.microsoft.com/office/drawing/2014/main" id="{00000000-0008-0000-0300-0000242E000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3" name="$E$171">
            <a:extLst>
              <a:ext uri="{FF2B5EF4-FFF2-40B4-BE49-F238E27FC236}">
                <a16:creationId xmlns:a16="http://schemas.microsoft.com/office/drawing/2014/main" id="{00000000-0008-0000-0300-0000252E0000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4" name="$E$171">
            <a:extLst>
              <a:ext uri="{FF2B5EF4-FFF2-40B4-BE49-F238E27FC236}">
                <a16:creationId xmlns:a16="http://schemas.microsoft.com/office/drawing/2014/main" id="{00000000-0008-0000-0300-0000262E00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5" name="$E$171">
            <a:extLst>
              <a:ext uri="{FF2B5EF4-FFF2-40B4-BE49-F238E27FC236}">
                <a16:creationId xmlns:a16="http://schemas.microsoft.com/office/drawing/2014/main" id="{00000000-0008-0000-0300-0000272E0000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6" name="$E$171">
            <a:extLst>
              <a:ext uri="{FF2B5EF4-FFF2-40B4-BE49-F238E27FC236}">
                <a16:creationId xmlns:a16="http://schemas.microsoft.com/office/drawing/2014/main" id="{00000000-0008-0000-0300-0000282E00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7" name="$E$171">
            <a:extLst>
              <a:ext uri="{FF2B5EF4-FFF2-40B4-BE49-F238E27FC236}">
                <a16:creationId xmlns:a16="http://schemas.microsoft.com/office/drawing/2014/main" id="{00000000-0008-0000-0300-0000292E0000}"/>
              </a:ext>
            </a:extLst>
          </xdr:cNvPr>
          <xdr:cNvSpPr/>
        </xdr:nvSpPr>
        <xdr:spPr>
          <a:xfrm>
            <a:off x="3048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8" name="$E$171">
            <a:extLst>
              <a:ext uri="{FF2B5EF4-FFF2-40B4-BE49-F238E27FC236}">
                <a16:creationId xmlns:a16="http://schemas.microsoft.com/office/drawing/2014/main" id="{00000000-0008-0000-0300-00002A2E00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19" name="$E$171">
            <a:extLst>
              <a:ext uri="{FF2B5EF4-FFF2-40B4-BE49-F238E27FC236}">
                <a16:creationId xmlns:a16="http://schemas.microsoft.com/office/drawing/2014/main" id="{00000000-0008-0000-0300-00002B2E0000}"/>
              </a:ext>
            </a:extLst>
          </xdr:cNvPr>
          <xdr:cNvSpPr/>
        </xdr:nvSpPr>
        <xdr:spPr>
          <a:xfrm>
            <a:off x="3302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0" name="$E$171">
            <a:extLst>
              <a:ext uri="{FF2B5EF4-FFF2-40B4-BE49-F238E27FC236}">
                <a16:creationId xmlns:a16="http://schemas.microsoft.com/office/drawing/2014/main" id="{00000000-0008-0000-0300-00002C2E00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1" name="$E$171">
            <a:extLst>
              <a:ext uri="{FF2B5EF4-FFF2-40B4-BE49-F238E27FC236}">
                <a16:creationId xmlns:a16="http://schemas.microsoft.com/office/drawing/2014/main" id="{00000000-0008-0000-0300-00002D2E0000}"/>
              </a:ext>
            </a:extLst>
          </xdr:cNvPr>
          <xdr:cNvSpPr/>
        </xdr:nvSpPr>
        <xdr:spPr>
          <a:xfrm>
            <a:off x="3683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2" name="$E$171">
            <a:extLst>
              <a:ext uri="{FF2B5EF4-FFF2-40B4-BE49-F238E27FC236}">
                <a16:creationId xmlns:a16="http://schemas.microsoft.com/office/drawing/2014/main" id="{00000000-0008-0000-0300-00002E2E0000}"/>
              </a:ext>
            </a:extLst>
          </xdr:cNvPr>
          <xdr:cNvSpPr/>
        </xdr:nvSpPr>
        <xdr:spPr>
          <a:xfrm>
            <a:off x="3810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3" name="$E$171">
            <a:extLst>
              <a:ext uri="{FF2B5EF4-FFF2-40B4-BE49-F238E27FC236}">
                <a16:creationId xmlns:a16="http://schemas.microsoft.com/office/drawing/2014/main" id="{00000000-0008-0000-0300-00002F2E0000}"/>
              </a:ext>
            </a:extLst>
          </xdr:cNvPr>
          <xdr:cNvSpPr/>
        </xdr:nvSpPr>
        <xdr:spPr>
          <a:xfrm>
            <a:off x="4064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4" name="$E$171">
            <a:extLst>
              <a:ext uri="{FF2B5EF4-FFF2-40B4-BE49-F238E27FC236}">
                <a16:creationId xmlns:a16="http://schemas.microsoft.com/office/drawing/2014/main" id="{00000000-0008-0000-0300-0000302E0000}"/>
              </a:ext>
            </a:extLst>
          </xdr:cNvPr>
          <xdr:cNvSpPr/>
        </xdr:nvSpPr>
        <xdr:spPr>
          <a:xfrm>
            <a:off x="4191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5" name="$E$171">
            <a:extLst>
              <a:ext uri="{FF2B5EF4-FFF2-40B4-BE49-F238E27FC236}">
                <a16:creationId xmlns:a16="http://schemas.microsoft.com/office/drawing/2014/main" id="{00000000-0008-0000-0300-0000312E0000}"/>
              </a:ext>
            </a:extLst>
          </xdr:cNvPr>
          <xdr:cNvSpPr/>
        </xdr:nvSpPr>
        <xdr:spPr>
          <a:xfrm>
            <a:off x="4318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6" name="$E$171">
            <a:extLst>
              <a:ext uri="{FF2B5EF4-FFF2-40B4-BE49-F238E27FC236}">
                <a16:creationId xmlns:a16="http://schemas.microsoft.com/office/drawing/2014/main" id="{00000000-0008-0000-0300-0000322E0000}"/>
              </a:ext>
            </a:extLst>
          </xdr:cNvPr>
          <xdr:cNvSpPr/>
        </xdr:nvSpPr>
        <xdr:spPr>
          <a:xfrm>
            <a:off x="457200" y="203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7" name="$E$171">
            <a:extLst>
              <a:ext uri="{FF2B5EF4-FFF2-40B4-BE49-F238E27FC236}">
                <a16:creationId xmlns:a16="http://schemas.microsoft.com/office/drawing/2014/main" id="{00000000-0008-0000-0300-0000332E00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8" name="$E$171">
            <a:extLst>
              <a:ext uri="{FF2B5EF4-FFF2-40B4-BE49-F238E27FC236}">
                <a16:creationId xmlns:a16="http://schemas.microsoft.com/office/drawing/2014/main" id="{00000000-0008-0000-0300-0000342E00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29" name="$E$171">
            <a:extLst>
              <a:ext uri="{FF2B5EF4-FFF2-40B4-BE49-F238E27FC236}">
                <a16:creationId xmlns:a16="http://schemas.microsoft.com/office/drawing/2014/main" id="{00000000-0008-0000-0300-0000352E00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0" name="$E$171">
            <a:extLst>
              <a:ext uri="{FF2B5EF4-FFF2-40B4-BE49-F238E27FC236}">
                <a16:creationId xmlns:a16="http://schemas.microsoft.com/office/drawing/2014/main" id="{00000000-0008-0000-0300-0000362E00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1" name="$E$171">
            <a:extLst>
              <a:ext uri="{FF2B5EF4-FFF2-40B4-BE49-F238E27FC236}">
                <a16:creationId xmlns:a16="http://schemas.microsoft.com/office/drawing/2014/main" id="{00000000-0008-0000-0300-0000372E00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2" name="$E$171">
            <a:extLst>
              <a:ext uri="{FF2B5EF4-FFF2-40B4-BE49-F238E27FC236}">
                <a16:creationId xmlns:a16="http://schemas.microsoft.com/office/drawing/2014/main" id="{00000000-0008-0000-0300-0000382E00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3" name="$E$171">
            <a:extLst>
              <a:ext uri="{FF2B5EF4-FFF2-40B4-BE49-F238E27FC236}">
                <a16:creationId xmlns:a16="http://schemas.microsoft.com/office/drawing/2014/main" id="{00000000-0008-0000-0300-0000392E00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4" name="$E$171">
            <a:extLst>
              <a:ext uri="{FF2B5EF4-FFF2-40B4-BE49-F238E27FC236}">
                <a16:creationId xmlns:a16="http://schemas.microsoft.com/office/drawing/2014/main" id="{00000000-0008-0000-0300-00003A2E0000}"/>
              </a:ext>
            </a:extLst>
          </xdr:cNvPr>
          <xdr:cNvSpPr/>
        </xdr:nvSpPr>
        <xdr:spPr>
          <a:xfrm>
            <a:off x="2921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5" name="$E$171">
            <a:extLst>
              <a:ext uri="{FF2B5EF4-FFF2-40B4-BE49-F238E27FC236}">
                <a16:creationId xmlns:a16="http://schemas.microsoft.com/office/drawing/2014/main" id="{00000000-0008-0000-0300-00003B2E00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6" name="$E$171">
            <a:extLst>
              <a:ext uri="{FF2B5EF4-FFF2-40B4-BE49-F238E27FC236}">
                <a16:creationId xmlns:a16="http://schemas.microsoft.com/office/drawing/2014/main" id="{00000000-0008-0000-0300-00003C2E00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7" name="$E$171">
            <a:extLst>
              <a:ext uri="{FF2B5EF4-FFF2-40B4-BE49-F238E27FC236}">
                <a16:creationId xmlns:a16="http://schemas.microsoft.com/office/drawing/2014/main" id="{00000000-0008-0000-0300-00003D2E0000}"/>
              </a:ext>
            </a:extLst>
          </xdr:cNvPr>
          <xdr:cNvSpPr/>
        </xdr:nvSpPr>
        <xdr:spPr>
          <a:xfrm>
            <a:off x="3937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8" name="$E$171">
            <a:extLst>
              <a:ext uri="{FF2B5EF4-FFF2-40B4-BE49-F238E27FC236}">
                <a16:creationId xmlns:a16="http://schemas.microsoft.com/office/drawing/2014/main" id="{00000000-0008-0000-0300-00003E2E0000}"/>
              </a:ext>
            </a:extLst>
          </xdr:cNvPr>
          <xdr:cNvSpPr/>
        </xdr:nvSpPr>
        <xdr:spPr>
          <a:xfrm>
            <a:off x="4318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39" name="$E$171">
            <a:extLst>
              <a:ext uri="{FF2B5EF4-FFF2-40B4-BE49-F238E27FC236}">
                <a16:creationId xmlns:a16="http://schemas.microsoft.com/office/drawing/2014/main" id="{00000000-0008-0000-0300-00003F2E0000}"/>
              </a:ext>
            </a:extLst>
          </xdr:cNvPr>
          <xdr:cNvSpPr/>
        </xdr:nvSpPr>
        <xdr:spPr>
          <a:xfrm>
            <a:off x="444500" y="215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0" name="$E$171">
            <a:extLst>
              <a:ext uri="{FF2B5EF4-FFF2-40B4-BE49-F238E27FC236}">
                <a16:creationId xmlns:a16="http://schemas.microsoft.com/office/drawing/2014/main" id="{00000000-0008-0000-0300-0000402E00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1" name="$E$171">
            <a:extLst>
              <a:ext uri="{FF2B5EF4-FFF2-40B4-BE49-F238E27FC236}">
                <a16:creationId xmlns:a16="http://schemas.microsoft.com/office/drawing/2014/main" id="{00000000-0008-0000-0300-0000412E0000}"/>
              </a:ext>
            </a:extLst>
          </xdr:cNvPr>
          <xdr:cNvSpPr/>
        </xdr:nvSpPr>
        <xdr:spPr>
          <a:xfrm>
            <a:off x="127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2" name="$E$171">
            <a:extLst>
              <a:ext uri="{FF2B5EF4-FFF2-40B4-BE49-F238E27FC236}">
                <a16:creationId xmlns:a16="http://schemas.microsoft.com/office/drawing/2014/main" id="{00000000-0008-0000-0300-0000422E00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3" name="$E$171">
            <a:extLst>
              <a:ext uri="{FF2B5EF4-FFF2-40B4-BE49-F238E27FC236}">
                <a16:creationId xmlns:a16="http://schemas.microsoft.com/office/drawing/2014/main" id="{00000000-0008-0000-0300-0000432E00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4" name="$E$171">
            <a:extLst>
              <a:ext uri="{FF2B5EF4-FFF2-40B4-BE49-F238E27FC236}">
                <a16:creationId xmlns:a16="http://schemas.microsoft.com/office/drawing/2014/main" id="{00000000-0008-0000-0300-0000442E00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5" name="$E$171">
            <a:extLst>
              <a:ext uri="{FF2B5EF4-FFF2-40B4-BE49-F238E27FC236}">
                <a16:creationId xmlns:a16="http://schemas.microsoft.com/office/drawing/2014/main" id="{00000000-0008-0000-0300-0000452E0000}"/>
              </a:ext>
            </a:extLst>
          </xdr:cNvPr>
          <xdr:cNvSpPr/>
        </xdr:nvSpPr>
        <xdr:spPr>
          <a:xfrm>
            <a:off x="889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6" name="$E$171">
            <a:extLst>
              <a:ext uri="{FF2B5EF4-FFF2-40B4-BE49-F238E27FC236}">
                <a16:creationId xmlns:a16="http://schemas.microsoft.com/office/drawing/2014/main" id="{00000000-0008-0000-0300-0000462E000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7" name="$E$171">
            <a:extLst>
              <a:ext uri="{FF2B5EF4-FFF2-40B4-BE49-F238E27FC236}">
                <a16:creationId xmlns:a16="http://schemas.microsoft.com/office/drawing/2014/main" id="{00000000-0008-0000-0300-0000472E00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8" name="$E$171">
            <a:extLst>
              <a:ext uri="{FF2B5EF4-FFF2-40B4-BE49-F238E27FC236}">
                <a16:creationId xmlns:a16="http://schemas.microsoft.com/office/drawing/2014/main" id="{00000000-0008-0000-0300-0000482E0000}"/>
              </a:ext>
            </a:extLst>
          </xdr:cNvPr>
          <xdr:cNvSpPr/>
        </xdr:nvSpPr>
        <xdr:spPr>
          <a:xfrm>
            <a:off x="1270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49" name="$E$171">
            <a:extLst>
              <a:ext uri="{FF2B5EF4-FFF2-40B4-BE49-F238E27FC236}">
                <a16:creationId xmlns:a16="http://schemas.microsoft.com/office/drawing/2014/main" id="{00000000-0008-0000-0300-0000492E00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0" name="$E$171">
            <a:extLst>
              <a:ext uri="{FF2B5EF4-FFF2-40B4-BE49-F238E27FC236}">
                <a16:creationId xmlns:a16="http://schemas.microsoft.com/office/drawing/2014/main" id="{00000000-0008-0000-0300-00004A2E0000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1" name="$E$171">
            <a:extLst>
              <a:ext uri="{FF2B5EF4-FFF2-40B4-BE49-F238E27FC236}">
                <a16:creationId xmlns:a16="http://schemas.microsoft.com/office/drawing/2014/main" id="{00000000-0008-0000-0300-00004B2E00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2" name="$E$171">
            <a:extLst>
              <a:ext uri="{FF2B5EF4-FFF2-40B4-BE49-F238E27FC236}">
                <a16:creationId xmlns:a16="http://schemas.microsoft.com/office/drawing/2014/main" id="{00000000-0008-0000-0300-00004C2E00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3" name="$E$171">
            <a:extLst>
              <a:ext uri="{FF2B5EF4-FFF2-40B4-BE49-F238E27FC236}">
                <a16:creationId xmlns:a16="http://schemas.microsoft.com/office/drawing/2014/main" id="{00000000-0008-0000-0300-00004D2E00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4" name="$E$171">
            <a:extLst>
              <a:ext uri="{FF2B5EF4-FFF2-40B4-BE49-F238E27FC236}">
                <a16:creationId xmlns:a16="http://schemas.microsoft.com/office/drawing/2014/main" id="{00000000-0008-0000-0300-00004E2E00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5" name="$E$171">
            <a:extLst>
              <a:ext uri="{FF2B5EF4-FFF2-40B4-BE49-F238E27FC236}">
                <a16:creationId xmlns:a16="http://schemas.microsoft.com/office/drawing/2014/main" id="{00000000-0008-0000-0300-00004F2E0000}"/>
              </a:ext>
            </a:extLst>
          </xdr:cNvPr>
          <xdr:cNvSpPr/>
        </xdr:nvSpPr>
        <xdr:spPr>
          <a:xfrm>
            <a:off x="3429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6" name="$E$171">
            <a:extLst>
              <a:ext uri="{FF2B5EF4-FFF2-40B4-BE49-F238E27FC236}">
                <a16:creationId xmlns:a16="http://schemas.microsoft.com/office/drawing/2014/main" id="{00000000-0008-0000-0300-0000502E0000}"/>
              </a:ext>
            </a:extLst>
          </xdr:cNvPr>
          <xdr:cNvSpPr/>
        </xdr:nvSpPr>
        <xdr:spPr>
          <a:xfrm>
            <a:off x="3810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7" name="$E$171">
            <a:extLst>
              <a:ext uri="{FF2B5EF4-FFF2-40B4-BE49-F238E27FC236}">
                <a16:creationId xmlns:a16="http://schemas.microsoft.com/office/drawing/2014/main" id="{00000000-0008-0000-0300-0000512E0000}"/>
              </a:ext>
            </a:extLst>
          </xdr:cNvPr>
          <xdr:cNvSpPr/>
        </xdr:nvSpPr>
        <xdr:spPr>
          <a:xfrm>
            <a:off x="3937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8" name="$E$171">
            <a:extLst>
              <a:ext uri="{FF2B5EF4-FFF2-40B4-BE49-F238E27FC236}">
                <a16:creationId xmlns:a16="http://schemas.microsoft.com/office/drawing/2014/main" id="{00000000-0008-0000-0300-0000522E0000}"/>
              </a:ext>
            </a:extLst>
          </xdr:cNvPr>
          <xdr:cNvSpPr/>
        </xdr:nvSpPr>
        <xdr:spPr>
          <a:xfrm>
            <a:off x="4318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59" name="$E$171">
            <a:extLst>
              <a:ext uri="{FF2B5EF4-FFF2-40B4-BE49-F238E27FC236}">
                <a16:creationId xmlns:a16="http://schemas.microsoft.com/office/drawing/2014/main" id="{00000000-0008-0000-0300-0000532E0000}"/>
              </a:ext>
            </a:extLst>
          </xdr:cNvPr>
          <xdr:cNvSpPr/>
        </xdr:nvSpPr>
        <xdr:spPr>
          <a:xfrm>
            <a:off x="4445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0" name="$E$171">
            <a:extLst>
              <a:ext uri="{FF2B5EF4-FFF2-40B4-BE49-F238E27FC236}">
                <a16:creationId xmlns:a16="http://schemas.microsoft.com/office/drawing/2014/main" id="{00000000-0008-0000-0300-0000542E0000}"/>
              </a:ext>
            </a:extLst>
          </xdr:cNvPr>
          <xdr:cNvSpPr/>
        </xdr:nvSpPr>
        <xdr:spPr>
          <a:xfrm>
            <a:off x="457200" y="228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1" name="$E$171">
            <a:extLst>
              <a:ext uri="{FF2B5EF4-FFF2-40B4-BE49-F238E27FC236}">
                <a16:creationId xmlns:a16="http://schemas.microsoft.com/office/drawing/2014/main" id="{00000000-0008-0000-0300-0000552E00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2" name="$E$171">
            <a:extLst>
              <a:ext uri="{FF2B5EF4-FFF2-40B4-BE49-F238E27FC236}">
                <a16:creationId xmlns:a16="http://schemas.microsoft.com/office/drawing/2014/main" id="{00000000-0008-0000-0300-0000562E00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3" name="$E$171">
            <a:extLst>
              <a:ext uri="{FF2B5EF4-FFF2-40B4-BE49-F238E27FC236}">
                <a16:creationId xmlns:a16="http://schemas.microsoft.com/office/drawing/2014/main" id="{00000000-0008-0000-0300-0000572E00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4" name="$E$171">
            <a:extLst>
              <a:ext uri="{FF2B5EF4-FFF2-40B4-BE49-F238E27FC236}">
                <a16:creationId xmlns:a16="http://schemas.microsoft.com/office/drawing/2014/main" id="{00000000-0008-0000-0300-0000582E00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5" name="$E$171">
            <a:extLst>
              <a:ext uri="{FF2B5EF4-FFF2-40B4-BE49-F238E27FC236}">
                <a16:creationId xmlns:a16="http://schemas.microsoft.com/office/drawing/2014/main" id="{00000000-0008-0000-0300-0000592E00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6" name="$E$171">
            <a:extLst>
              <a:ext uri="{FF2B5EF4-FFF2-40B4-BE49-F238E27FC236}">
                <a16:creationId xmlns:a16="http://schemas.microsoft.com/office/drawing/2014/main" id="{00000000-0008-0000-0300-00005A2E00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7" name="$E$171">
            <a:extLst>
              <a:ext uri="{FF2B5EF4-FFF2-40B4-BE49-F238E27FC236}">
                <a16:creationId xmlns:a16="http://schemas.microsoft.com/office/drawing/2014/main" id="{00000000-0008-0000-0300-00005B2E00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8" name="$E$171">
            <a:extLst>
              <a:ext uri="{FF2B5EF4-FFF2-40B4-BE49-F238E27FC236}">
                <a16:creationId xmlns:a16="http://schemas.microsoft.com/office/drawing/2014/main" id="{00000000-0008-0000-0300-00005C2E00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69" name="$E$171">
            <a:extLst>
              <a:ext uri="{FF2B5EF4-FFF2-40B4-BE49-F238E27FC236}">
                <a16:creationId xmlns:a16="http://schemas.microsoft.com/office/drawing/2014/main" id="{00000000-0008-0000-0300-00005D2E00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0" name="$E$171">
            <a:extLst>
              <a:ext uri="{FF2B5EF4-FFF2-40B4-BE49-F238E27FC236}">
                <a16:creationId xmlns:a16="http://schemas.microsoft.com/office/drawing/2014/main" id="{00000000-0008-0000-0300-00005E2E0000}"/>
              </a:ext>
            </a:extLst>
          </xdr:cNvPr>
          <xdr:cNvSpPr/>
        </xdr:nvSpPr>
        <xdr:spPr>
          <a:xfrm>
            <a:off x="2667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1" name="$E$171">
            <a:extLst>
              <a:ext uri="{FF2B5EF4-FFF2-40B4-BE49-F238E27FC236}">
                <a16:creationId xmlns:a16="http://schemas.microsoft.com/office/drawing/2014/main" id="{00000000-0008-0000-0300-00005F2E00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2" name="$E$171">
            <a:extLst>
              <a:ext uri="{FF2B5EF4-FFF2-40B4-BE49-F238E27FC236}">
                <a16:creationId xmlns:a16="http://schemas.microsoft.com/office/drawing/2014/main" id="{00000000-0008-0000-0300-0000602E0000}"/>
              </a:ext>
            </a:extLst>
          </xdr:cNvPr>
          <xdr:cNvSpPr/>
        </xdr:nvSpPr>
        <xdr:spPr>
          <a:xfrm>
            <a:off x="3556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3" name="$E$171">
            <a:extLst>
              <a:ext uri="{FF2B5EF4-FFF2-40B4-BE49-F238E27FC236}">
                <a16:creationId xmlns:a16="http://schemas.microsoft.com/office/drawing/2014/main" id="{00000000-0008-0000-0300-0000612E0000}"/>
              </a:ext>
            </a:extLst>
          </xdr:cNvPr>
          <xdr:cNvSpPr/>
        </xdr:nvSpPr>
        <xdr:spPr>
          <a:xfrm>
            <a:off x="3683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4" name="$E$171">
            <a:extLst>
              <a:ext uri="{FF2B5EF4-FFF2-40B4-BE49-F238E27FC236}">
                <a16:creationId xmlns:a16="http://schemas.microsoft.com/office/drawing/2014/main" id="{00000000-0008-0000-0300-0000622E0000}"/>
              </a:ext>
            </a:extLst>
          </xdr:cNvPr>
          <xdr:cNvSpPr/>
        </xdr:nvSpPr>
        <xdr:spPr>
          <a:xfrm>
            <a:off x="3937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5" name="$E$171">
            <a:extLst>
              <a:ext uri="{FF2B5EF4-FFF2-40B4-BE49-F238E27FC236}">
                <a16:creationId xmlns:a16="http://schemas.microsoft.com/office/drawing/2014/main" id="{00000000-0008-0000-0300-0000632E0000}"/>
              </a:ext>
            </a:extLst>
          </xdr:cNvPr>
          <xdr:cNvSpPr/>
        </xdr:nvSpPr>
        <xdr:spPr>
          <a:xfrm>
            <a:off x="457200" y="241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6" name="$E$171">
            <a:extLst>
              <a:ext uri="{FF2B5EF4-FFF2-40B4-BE49-F238E27FC236}">
                <a16:creationId xmlns:a16="http://schemas.microsoft.com/office/drawing/2014/main" id="{00000000-0008-0000-0300-0000642E00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7" name="$E$171">
            <a:extLst>
              <a:ext uri="{FF2B5EF4-FFF2-40B4-BE49-F238E27FC236}">
                <a16:creationId xmlns:a16="http://schemas.microsoft.com/office/drawing/2014/main" id="{00000000-0008-0000-0300-0000652E00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8" name="$E$171">
            <a:extLst>
              <a:ext uri="{FF2B5EF4-FFF2-40B4-BE49-F238E27FC236}">
                <a16:creationId xmlns:a16="http://schemas.microsoft.com/office/drawing/2014/main" id="{00000000-0008-0000-0300-0000662E00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79" name="$E$171">
            <a:extLst>
              <a:ext uri="{FF2B5EF4-FFF2-40B4-BE49-F238E27FC236}">
                <a16:creationId xmlns:a16="http://schemas.microsoft.com/office/drawing/2014/main" id="{00000000-0008-0000-0300-0000672E00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0" name="$E$171">
            <a:extLst>
              <a:ext uri="{FF2B5EF4-FFF2-40B4-BE49-F238E27FC236}">
                <a16:creationId xmlns:a16="http://schemas.microsoft.com/office/drawing/2014/main" id="{00000000-0008-0000-0300-0000682E0000}"/>
              </a:ext>
            </a:extLst>
          </xdr:cNvPr>
          <xdr:cNvSpPr/>
        </xdr:nvSpPr>
        <xdr:spPr>
          <a:xfrm>
            <a:off x="889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1" name="$E$171">
            <a:extLst>
              <a:ext uri="{FF2B5EF4-FFF2-40B4-BE49-F238E27FC236}">
                <a16:creationId xmlns:a16="http://schemas.microsoft.com/office/drawing/2014/main" id="{00000000-0008-0000-0300-0000692E00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2" name="$E$171">
            <a:extLst>
              <a:ext uri="{FF2B5EF4-FFF2-40B4-BE49-F238E27FC236}">
                <a16:creationId xmlns:a16="http://schemas.microsoft.com/office/drawing/2014/main" id="{00000000-0008-0000-0300-00006A2E0000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3" name="$E$171">
            <a:extLst>
              <a:ext uri="{FF2B5EF4-FFF2-40B4-BE49-F238E27FC236}">
                <a16:creationId xmlns:a16="http://schemas.microsoft.com/office/drawing/2014/main" id="{00000000-0008-0000-0300-00006B2E00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4" name="$E$171">
            <a:extLst>
              <a:ext uri="{FF2B5EF4-FFF2-40B4-BE49-F238E27FC236}">
                <a16:creationId xmlns:a16="http://schemas.microsoft.com/office/drawing/2014/main" id="{00000000-0008-0000-0300-00006C2E0000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5" name="$E$171">
            <a:extLst>
              <a:ext uri="{FF2B5EF4-FFF2-40B4-BE49-F238E27FC236}">
                <a16:creationId xmlns:a16="http://schemas.microsoft.com/office/drawing/2014/main" id="{00000000-0008-0000-0300-00006D2E00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6" name="$E$171">
            <a:extLst>
              <a:ext uri="{FF2B5EF4-FFF2-40B4-BE49-F238E27FC236}">
                <a16:creationId xmlns:a16="http://schemas.microsoft.com/office/drawing/2014/main" id="{00000000-0008-0000-0300-00006E2E00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7" name="$E$171">
            <a:extLst>
              <a:ext uri="{FF2B5EF4-FFF2-40B4-BE49-F238E27FC236}">
                <a16:creationId xmlns:a16="http://schemas.microsoft.com/office/drawing/2014/main" id="{00000000-0008-0000-0300-00006F2E00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8" name="$E$171">
            <a:extLst>
              <a:ext uri="{FF2B5EF4-FFF2-40B4-BE49-F238E27FC236}">
                <a16:creationId xmlns:a16="http://schemas.microsoft.com/office/drawing/2014/main" id="{00000000-0008-0000-0300-0000702E00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89" name="$E$171">
            <a:extLst>
              <a:ext uri="{FF2B5EF4-FFF2-40B4-BE49-F238E27FC236}">
                <a16:creationId xmlns:a16="http://schemas.microsoft.com/office/drawing/2014/main" id="{00000000-0008-0000-0300-0000712E00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0" name="$E$171">
            <a:extLst>
              <a:ext uri="{FF2B5EF4-FFF2-40B4-BE49-F238E27FC236}">
                <a16:creationId xmlns:a16="http://schemas.microsoft.com/office/drawing/2014/main" id="{00000000-0008-0000-0300-0000722E0000}"/>
              </a:ext>
            </a:extLst>
          </xdr:cNvPr>
          <xdr:cNvSpPr/>
        </xdr:nvSpPr>
        <xdr:spPr>
          <a:xfrm>
            <a:off x="3302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1" name="$E$171">
            <a:extLst>
              <a:ext uri="{FF2B5EF4-FFF2-40B4-BE49-F238E27FC236}">
                <a16:creationId xmlns:a16="http://schemas.microsoft.com/office/drawing/2014/main" id="{00000000-0008-0000-0300-0000732E0000}"/>
              </a:ext>
            </a:extLst>
          </xdr:cNvPr>
          <xdr:cNvSpPr/>
        </xdr:nvSpPr>
        <xdr:spPr>
          <a:xfrm>
            <a:off x="3683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2" name="$E$171">
            <a:extLst>
              <a:ext uri="{FF2B5EF4-FFF2-40B4-BE49-F238E27FC236}">
                <a16:creationId xmlns:a16="http://schemas.microsoft.com/office/drawing/2014/main" id="{00000000-0008-0000-0300-0000742E0000}"/>
              </a:ext>
            </a:extLst>
          </xdr:cNvPr>
          <xdr:cNvSpPr/>
        </xdr:nvSpPr>
        <xdr:spPr>
          <a:xfrm>
            <a:off x="3810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3" name="$E$171">
            <a:extLst>
              <a:ext uri="{FF2B5EF4-FFF2-40B4-BE49-F238E27FC236}">
                <a16:creationId xmlns:a16="http://schemas.microsoft.com/office/drawing/2014/main" id="{00000000-0008-0000-0300-0000752E0000}"/>
              </a:ext>
            </a:extLst>
          </xdr:cNvPr>
          <xdr:cNvSpPr/>
        </xdr:nvSpPr>
        <xdr:spPr>
          <a:xfrm>
            <a:off x="4064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4" name="$E$171">
            <a:extLst>
              <a:ext uri="{FF2B5EF4-FFF2-40B4-BE49-F238E27FC236}">
                <a16:creationId xmlns:a16="http://schemas.microsoft.com/office/drawing/2014/main" id="{00000000-0008-0000-0300-0000762E0000}"/>
              </a:ext>
            </a:extLst>
          </xdr:cNvPr>
          <xdr:cNvSpPr/>
        </xdr:nvSpPr>
        <xdr:spPr>
          <a:xfrm>
            <a:off x="4191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5" name="$E$171">
            <a:extLst>
              <a:ext uri="{FF2B5EF4-FFF2-40B4-BE49-F238E27FC236}">
                <a16:creationId xmlns:a16="http://schemas.microsoft.com/office/drawing/2014/main" id="{00000000-0008-0000-0300-0000772E0000}"/>
              </a:ext>
            </a:extLst>
          </xdr:cNvPr>
          <xdr:cNvSpPr/>
        </xdr:nvSpPr>
        <xdr:spPr>
          <a:xfrm>
            <a:off x="4318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6" name="$E$171">
            <a:extLst>
              <a:ext uri="{FF2B5EF4-FFF2-40B4-BE49-F238E27FC236}">
                <a16:creationId xmlns:a16="http://schemas.microsoft.com/office/drawing/2014/main" id="{00000000-0008-0000-0300-0000782E0000}"/>
              </a:ext>
            </a:extLst>
          </xdr:cNvPr>
          <xdr:cNvSpPr/>
        </xdr:nvSpPr>
        <xdr:spPr>
          <a:xfrm>
            <a:off x="4445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7" name="$E$171">
            <a:extLst>
              <a:ext uri="{FF2B5EF4-FFF2-40B4-BE49-F238E27FC236}">
                <a16:creationId xmlns:a16="http://schemas.microsoft.com/office/drawing/2014/main" id="{00000000-0008-0000-0300-0000792E0000}"/>
              </a:ext>
            </a:extLst>
          </xdr:cNvPr>
          <xdr:cNvSpPr/>
        </xdr:nvSpPr>
        <xdr:spPr>
          <a:xfrm>
            <a:off x="457200" y="254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8" name="$E$171">
            <a:extLst>
              <a:ext uri="{FF2B5EF4-FFF2-40B4-BE49-F238E27FC236}">
                <a16:creationId xmlns:a16="http://schemas.microsoft.com/office/drawing/2014/main" id="{00000000-0008-0000-0300-00007A2E0000}"/>
              </a:ext>
            </a:extLst>
          </xdr:cNvPr>
          <xdr:cNvSpPr/>
        </xdr:nvSpPr>
        <xdr:spPr>
          <a:xfrm>
            <a:off x="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899" name="$E$171">
            <a:extLst>
              <a:ext uri="{FF2B5EF4-FFF2-40B4-BE49-F238E27FC236}">
                <a16:creationId xmlns:a16="http://schemas.microsoft.com/office/drawing/2014/main" id="{00000000-0008-0000-0300-00007B2E0000}"/>
              </a:ext>
            </a:extLst>
          </xdr:cNvPr>
          <xdr:cNvSpPr/>
        </xdr:nvSpPr>
        <xdr:spPr>
          <a:xfrm>
            <a:off x="127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0" name="$E$171">
            <a:extLst>
              <a:ext uri="{FF2B5EF4-FFF2-40B4-BE49-F238E27FC236}">
                <a16:creationId xmlns:a16="http://schemas.microsoft.com/office/drawing/2014/main" id="{00000000-0008-0000-0300-00007C2E0000}"/>
              </a:ext>
            </a:extLst>
          </xdr:cNvPr>
          <xdr:cNvSpPr/>
        </xdr:nvSpPr>
        <xdr:spPr>
          <a:xfrm>
            <a:off x="254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1" name="$E$171">
            <a:extLst>
              <a:ext uri="{FF2B5EF4-FFF2-40B4-BE49-F238E27FC236}">
                <a16:creationId xmlns:a16="http://schemas.microsoft.com/office/drawing/2014/main" id="{00000000-0008-0000-0300-00007D2E0000}"/>
              </a:ext>
            </a:extLst>
          </xdr:cNvPr>
          <xdr:cNvSpPr/>
        </xdr:nvSpPr>
        <xdr:spPr>
          <a:xfrm>
            <a:off x="381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2" name="$E$171">
            <a:extLst>
              <a:ext uri="{FF2B5EF4-FFF2-40B4-BE49-F238E27FC236}">
                <a16:creationId xmlns:a16="http://schemas.microsoft.com/office/drawing/2014/main" id="{00000000-0008-0000-0300-00007E2E0000}"/>
              </a:ext>
            </a:extLst>
          </xdr:cNvPr>
          <xdr:cNvSpPr/>
        </xdr:nvSpPr>
        <xdr:spPr>
          <a:xfrm>
            <a:off x="508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3" name="$E$171">
            <a:extLst>
              <a:ext uri="{FF2B5EF4-FFF2-40B4-BE49-F238E27FC236}">
                <a16:creationId xmlns:a16="http://schemas.microsoft.com/office/drawing/2014/main" id="{00000000-0008-0000-0300-00007F2E00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4" name="$E$171">
            <a:extLst>
              <a:ext uri="{FF2B5EF4-FFF2-40B4-BE49-F238E27FC236}">
                <a16:creationId xmlns:a16="http://schemas.microsoft.com/office/drawing/2014/main" id="{00000000-0008-0000-0300-0000802E00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5" name="$E$171">
            <a:extLst>
              <a:ext uri="{FF2B5EF4-FFF2-40B4-BE49-F238E27FC236}">
                <a16:creationId xmlns:a16="http://schemas.microsoft.com/office/drawing/2014/main" id="{00000000-0008-0000-0300-0000812E0000}"/>
              </a:ext>
            </a:extLst>
          </xdr:cNvPr>
          <xdr:cNvSpPr/>
        </xdr:nvSpPr>
        <xdr:spPr>
          <a:xfrm>
            <a:off x="1524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6" name="$E$171">
            <a:extLst>
              <a:ext uri="{FF2B5EF4-FFF2-40B4-BE49-F238E27FC236}">
                <a16:creationId xmlns:a16="http://schemas.microsoft.com/office/drawing/2014/main" id="{00000000-0008-0000-0300-0000822E0000}"/>
              </a:ext>
            </a:extLst>
          </xdr:cNvPr>
          <xdr:cNvSpPr/>
        </xdr:nvSpPr>
        <xdr:spPr>
          <a:xfrm>
            <a:off x="1651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7" name="$E$171">
            <a:extLst>
              <a:ext uri="{FF2B5EF4-FFF2-40B4-BE49-F238E27FC236}">
                <a16:creationId xmlns:a16="http://schemas.microsoft.com/office/drawing/2014/main" id="{00000000-0008-0000-0300-0000832E00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8" name="$E$171">
            <a:extLst>
              <a:ext uri="{FF2B5EF4-FFF2-40B4-BE49-F238E27FC236}">
                <a16:creationId xmlns:a16="http://schemas.microsoft.com/office/drawing/2014/main" id="{00000000-0008-0000-0300-0000842E0000}"/>
              </a:ext>
            </a:extLst>
          </xdr:cNvPr>
          <xdr:cNvSpPr/>
        </xdr:nvSpPr>
        <xdr:spPr>
          <a:xfrm>
            <a:off x="2159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09" name="$E$171">
            <a:extLst>
              <a:ext uri="{FF2B5EF4-FFF2-40B4-BE49-F238E27FC236}">
                <a16:creationId xmlns:a16="http://schemas.microsoft.com/office/drawing/2014/main" id="{00000000-0008-0000-0300-0000852E00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0" name="$E$171">
            <a:extLst>
              <a:ext uri="{FF2B5EF4-FFF2-40B4-BE49-F238E27FC236}">
                <a16:creationId xmlns:a16="http://schemas.microsoft.com/office/drawing/2014/main" id="{00000000-0008-0000-0300-0000862E00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1" name="$E$171">
            <a:extLst>
              <a:ext uri="{FF2B5EF4-FFF2-40B4-BE49-F238E27FC236}">
                <a16:creationId xmlns:a16="http://schemas.microsoft.com/office/drawing/2014/main" id="{00000000-0008-0000-0300-0000872E00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2" name="$E$171">
            <a:extLst>
              <a:ext uri="{FF2B5EF4-FFF2-40B4-BE49-F238E27FC236}">
                <a16:creationId xmlns:a16="http://schemas.microsoft.com/office/drawing/2014/main" id="{00000000-0008-0000-0300-0000882E0000}"/>
              </a:ext>
            </a:extLst>
          </xdr:cNvPr>
          <xdr:cNvSpPr/>
        </xdr:nvSpPr>
        <xdr:spPr>
          <a:xfrm>
            <a:off x="2921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3" name="$E$171">
            <a:extLst>
              <a:ext uri="{FF2B5EF4-FFF2-40B4-BE49-F238E27FC236}">
                <a16:creationId xmlns:a16="http://schemas.microsoft.com/office/drawing/2014/main" id="{00000000-0008-0000-0300-0000892E00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4" name="$E$171">
            <a:extLst>
              <a:ext uri="{FF2B5EF4-FFF2-40B4-BE49-F238E27FC236}">
                <a16:creationId xmlns:a16="http://schemas.microsoft.com/office/drawing/2014/main" id="{00000000-0008-0000-0300-00008A2E0000}"/>
              </a:ext>
            </a:extLst>
          </xdr:cNvPr>
          <xdr:cNvSpPr/>
        </xdr:nvSpPr>
        <xdr:spPr>
          <a:xfrm>
            <a:off x="3175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5" name="$E$171">
            <a:extLst>
              <a:ext uri="{FF2B5EF4-FFF2-40B4-BE49-F238E27FC236}">
                <a16:creationId xmlns:a16="http://schemas.microsoft.com/office/drawing/2014/main" id="{00000000-0008-0000-0300-00008B2E00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6" name="$E$171">
            <a:extLst>
              <a:ext uri="{FF2B5EF4-FFF2-40B4-BE49-F238E27FC236}">
                <a16:creationId xmlns:a16="http://schemas.microsoft.com/office/drawing/2014/main" id="{00000000-0008-0000-0300-00008C2E0000}"/>
              </a:ext>
            </a:extLst>
          </xdr:cNvPr>
          <xdr:cNvSpPr/>
        </xdr:nvSpPr>
        <xdr:spPr>
          <a:xfrm>
            <a:off x="3937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7" name="$E$171">
            <a:extLst>
              <a:ext uri="{FF2B5EF4-FFF2-40B4-BE49-F238E27FC236}">
                <a16:creationId xmlns:a16="http://schemas.microsoft.com/office/drawing/2014/main" id="{00000000-0008-0000-0300-00008D2E0000}"/>
              </a:ext>
            </a:extLst>
          </xdr:cNvPr>
          <xdr:cNvSpPr/>
        </xdr:nvSpPr>
        <xdr:spPr>
          <a:xfrm>
            <a:off x="4191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8" name="$E$171">
            <a:extLst>
              <a:ext uri="{FF2B5EF4-FFF2-40B4-BE49-F238E27FC236}">
                <a16:creationId xmlns:a16="http://schemas.microsoft.com/office/drawing/2014/main" id="{00000000-0008-0000-0300-00008E2E0000}"/>
              </a:ext>
            </a:extLst>
          </xdr:cNvPr>
          <xdr:cNvSpPr/>
        </xdr:nvSpPr>
        <xdr:spPr>
          <a:xfrm>
            <a:off x="444500" y="266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19" name="$E$171">
            <a:extLst>
              <a:ext uri="{FF2B5EF4-FFF2-40B4-BE49-F238E27FC236}">
                <a16:creationId xmlns:a16="http://schemas.microsoft.com/office/drawing/2014/main" id="{00000000-0008-0000-0300-00008F2E00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0" name="$E$171">
            <a:extLst>
              <a:ext uri="{FF2B5EF4-FFF2-40B4-BE49-F238E27FC236}">
                <a16:creationId xmlns:a16="http://schemas.microsoft.com/office/drawing/2014/main" id="{00000000-0008-0000-0300-0000902E00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1" name="$E$171">
            <a:extLst>
              <a:ext uri="{FF2B5EF4-FFF2-40B4-BE49-F238E27FC236}">
                <a16:creationId xmlns:a16="http://schemas.microsoft.com/office/drawing/2014/main" id="{00000000-0008-0000-0300-0000912E00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2" name="$E$171">
            <a:extLst>
              <a:ext uri="{FF2B5EF4-FFF2-40B4-BE49-F238E27FC236}">
                <a16:creationId xmlns:a16="http://schemas.microsoft.com/office/drawing/2014/main" id="{00000000-0008-0000-0300-0000922E00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3" name="$E$171">
            <a:extLst>
              <a:ext uri="{FF2B5EF4-FFF2-40B4-BE49-F238E27FC236}">
                <a16:creationId xmlns:a16="http://schemas.microsoft.com/office/drawing/2014/main" id="{00000000-0008-0000-0300-0000932E0000}"/>
              </a:ext>
            </a:extLst>
          </xdr:cNvPr>
          <xdr:cNvSpPr/>
        </xdr:nvSpPr>
        <xdr:spPr>
          <a:xfrm>
            <a:off x="1143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4" name="$E$171">
            <a:extLst>
              <a:ext uri="{FF2B5EF4-FFF2-40B4-BE49-F238E27FC236}">
                <a16:creationId xmlns:a16="http://schemas.microsoft.com/office/drawing/2014/main" id="{00000000-0008-0000-0300-0000942E00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5" name="$E$171">
            <a:extLst>
              <a:ext uri="{FF2B5EF4-FFF2-40B4-BE49-F238E27FC236}">
                <a16:creationId xmlns:a16="http://schemas.microsoft.com/office/drawing/2014/main" id="{00000000-0008-0000-0300-0000952E0000}"/>
              </a:ext>
            </a:extLst>
          </xdr:cNvPr>
          <xdr:cNvSpPr/>
        </xdr:nvSpPr>
        <xdr:spPr>
          <a:xfrm>
            <a:off x="1651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6" name="$E$171">
            <a:extLst>
              <a:ext uri="{FF2B5EF4-FFF2-40B4-BE49-F238E27FC236}">
                <a16:creationId xmlns:a16="http://schemas.microsoft.com/office/drawing/2014/main" id="{00000000-0008-0000-0300-0000962E0000}"/>
              </a:ext>
            </a:extLst>
          </xdr:cNvPr>
          <xdr:cNvSpPr/>
        </xdr:nvSpPr>
        <xdr:spPr>
          <a:xfrm>
            <a:off x="1778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7" name="$E$171">
            <a:extLst>
              <a:ext uri="{FF2B5EF4-FFF2-40B4-BE49-F238E27FC236}">
                <a16:creationId xmlns:a16="http://schemas.microsoft.com/office/drawing/2014/main" id="{00000000-0008-0000-0300-0000972E00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8" name="$E$171">
            <a:extLst>
              <a:ext uri="{FF2B5EF4-FFF2-40B4-BE49-F238E27FC236}">
                <a16:creationId xmlns:a16="http://schemas.microsoft.com/office/drawing/2014/main" id="{00000000-0008-0000-0300-0000982E0000}"/>
              </a:ext>
            </a:extLst>
          </xdr:cNvPr>
          <xdr:cNvSpPr/>
        </xdr:nvSpPr>
        <xdr:spPr>
          <a:xfrm>
            <a:off x="2286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29" name="$E$171">
            <a:extLst>
              <a:ext uri="{FF2B5EF4-FFF2-40B4-BE49-F238E27FC236}">
                <a16:creationId xmlns:a16="http://schemas.microsoft.com/office/drawing/2014/main" id="{00000000-0008-0000-0300-0000992E00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0" name="$E$171">
            <a:extLst>
              <a:ext uri="{FF2B5EF4-FFF2-40B4-BE49-F238E27FC236}">
                <a16:creationId xmlns:a16="http://schemas.microsoft.com/office/drawing/2014/main" id="{00000000-0008-0000-0300-00009A2E0000}"/>
              </a:ext>
            </a:extLst>
          </xdr:cNvPr>
          <xdr:cNvSpPr/>
        </xdr:nvSpPr>
        <xdr:spPr>
          <a:xfrm>
            <a:off x="2667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1" name="$E$171">
            <a:extLst>
              <a:ext uri="{FF2B5EF4-FFF2-40B4-BE49-F238E27FC236}">
                <a16:creationId xmlns:a16="http://schemas.microsoft.com/office/drawing/2014/main" id="{00000000-0008-0000-0300-00009B2E00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2" name="$E$171">
            <a:extLst>
              <a:ext uri="{FF2B5EF4-FFF2-40B4-BE49-F238E27FC236}">
                <a16:creationId xmlns:a16="http://schemas.microsoft.com/office/drawing/2014/main" id="{00000000-0008-0000-0300-00009C2E0000}"/>
              </a:ext>
            </a:extLst>
          </xdr:cNvPr>
          <xdr:cNvSpPr/>
        </xdr:nvSpPr>
        <xdr:spPr>
          <a:xfrm>
            <a:off x="3302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3" name="$E$171">
            <a:extLst>
              <a:ext uri="{FF2B5EF4-FFF2-40B4-BE49-F238E27FC236}">
                <a16:creationId xmlns:a16="http://schemas.microsoft.com/office/drawing/2014/main" id="{00000000-0008-0000-0300-00009D2E0000}"/>
              </a:ext>
            </a:extLst>
          </xdr:cNvPr>
          <xdr:cNvSpPr/>
        </xdr:nvSpPr>
        <xdr:spPr>
          <a:xfrm>
            <a:off x="3429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4" name="$E$171">
            <a:extLst>
              <a:ext uri="{FF2B5EF4-FFF2-40B4-BE49-F238E27FC236}">
                <a16:creationId xmlns:a16="http://schemas.microsoft.com/office/drawing/2014/main" id="{00000000-0008-0000-0300-00009E2E0000}"/>
              </a:ext>
            </a:extLst>
          </xdr:cNvPr>
          <xdr:cNvSpPr/>
        </xdr:nvSpPr>
        <xdr:spPr>
          <a:xfrm>
            <a:off x="3556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5" name="$E$171">
            <a:extLst>
              <a:ext uri="{FF2B5EF4-FFF2-40B4-BE49-F238E27FC236}">
                <a16:creationId xmlns:a16="http://schemas.microsoft.com/office/drawing/2014/main" id="{00000000-0008-0000-0300-00009F2E0000}"/>
              </a:ext>
            </a:extLst>
          </xdr:cNvPr>
          <xdr:cNvSpPr/>
        </xdr:nvSpPr>
        <xdr:spPr>
          <a:xfrm>
            <a:off x="4318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6" name="$E$171">
            <a:extLst>
              <a:ext uri="{FF2B5EF4-FFF2-40B4-BE49-F238E27FC236}">
                <a16:creationId xmlns:a16="http://schemas.microsoft.com/office/drawing/2014/main" id="{00000000-0008-0000-0300-0000A02E0000}"/>
              </a:ext>
            </a:extLst>
          </xdr:cNvPr>
          <xdr:cNvSpPr/>
        </xdr:nvSpPr>
        <xdr:spPr>
          <a:xfrm>
            <a:off x="4445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7" name="$E$171">
            <a:extLst>
              <a:ext uri="{FF2B5EF4-FFF2-40B4-BE49-F238E27FC236}">
                <a16:creationId xmlns:a16="http://schemas.microsoft.com/office/drawing/2014/main" id="{00000000-0008-0000-0300-0000A12E0000}"/>
              </a:ext>
            </a:extLst>
          </xdr:cNvPr>
          <xdr:cNvSpPr/>
        </xdr:nvSpPr>
        <xdr:spPr>
          <a:xfrm>
            <a:off x="457200" y="279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8" name="$E$171">
            <a:extLst>
              <a:ext uri="{FF2B5EF4-FFF2-40B4-BE49-F238E27FC236}">
                <a16:creationId xmlns:a16="http://schemas.microsoft.com/office/drawing/2014/main" id="{00000000-0008-0000-0300-0000A22E0000}"/>
              </a:ext>
            </a:extLst>
          </xdr:cNvPr>
          <xdr:cNvSpPr/>
        </xdr:nvSpPr>
        <xdr:spPr>
          <a:xfrm>
            <a:off x="127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39" name="$E$171">
            <a:extLst>
              <a:ext uri="{FF2B5EF4-FFF2-40B4-BE49-F238E27FC236}">
                <a16:creationId xmlns:a16="http://schemas.microsoft.com/office/drawing/2014/main" id="{00000000-0008-0000-0300-0000A32E00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0" name="$E$171">
            <a:extLst>
              <a:ext uri="{FF2B5EF4-FFF2-40B4-BE49-F238E27FC236}">
                <a16:creationId xmlns:a16="http://schemas.microsoft.com/office/drawing/2014/main" id="{00000000-0008-0000-0300-0000A42E0000}"/>
              </a:ext>
            </a:extLst>
          </xdr:cNvPr>
          <xdr:cNvSpPr/>
        </xdr:nvSpPr>
        <xdr:spPr>
          <a:xfrm>
            <a:off x="1143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1" name="$E$171">
            <a:extLst>
              <a:ext uri="{FF2B5EF4-FFF2-40B4-BE49-F238E27FC236}">
                <a16:creationId xmlns:a16="http://schemas.microsoft.com/office/drawing/2014/main" id="{00000000-0008-0000-0300-0000A52E00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2" name="$E$171">
            <a:extLst>
              <a:ext uri="{FF2B5EF4-FFF2-40B4-BE49-F238E27FC236}">
                <a16:creationId xmlns:a16="http://schemas.microsoft.com/office/drawing/2014/main" id="{00000000-0008-0000-0300-0000A62E0000}"/>
              </a:ext>
            </a:extLst>
          </xdr:cNvPr>
          <xdr:cNvSpPr/>
        </xdr:nvSpPr>
        <xdr:spPr>
          <a:xfrm>
            <a:off x="1651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3" name="$E$171">
            <a:extLst>
              <a:ext uri="{FF2B5EF4-FFF2-40B4-BE49-F238E27FC236}">
                <a16:creationId xmlns:a16="http://schemas.microsoft.com/office/drawing/2014/main" id="{00000000-0008-0000-0300-0000A72E0000}"/>
              </a:ext>
            </a:extLst>
          </xdr:cNvPr>
          <xdr:cNvSpPr/>
        </xdr:nvSpPr>
        <xdr:spPr>
          <a:xfrm>
            <a:off x="1905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4" name="$E$171">
            <a:extLst>
              <a:ext uri="{FF2B5EF4-FFF2-40B4-BE49-F238E27FC236}">
                <a16:creationId xmlns:a16="http://schemas.microsoft.com/office/drawing/2014/main" id="{00000000-0008-0000-0300-0000A82E0000}"/>
              </a:ext>
            </a:extLst>
          </xdr:cNvPr>
          <xdr:cNvSpPr/>
        </xdr:nvSpPr>
        <xdr:spPr>
          <a:xfrm>
            <a:off x="2667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5" name="$E$171">
            <a:extLst>
              <a:ext uri="{FF2B5EF4-FFF2-40B4-BE49-F238E27FC236}">
                <a16:creationId xmlns:a16="http://schemas.microsoft.com/office/drawing/2014/main" id="{00000000-0008-0000-0300-0000A92E0000}"/>
              </a:ext>
            </a:extLst>
          </xdr:cNvPr>
          <xdr:cNvSpPr/>
        </xdr:nvSpPr>
        <xdr:spPr>
          <a:xfrm>
            <a:off x="2794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6" name="$E$171">
            <a:extLst>
              <a:ext uri="{FF2B5EF4-FFF2-40B4-BE49-F238E27FC236}">
                <a16:creationId xmlns:a16="http://schemas.microsoft.com/office/drawing/2014/main" id="{00000000-0008-0000-0300-0000AA2E0000}"/>
              </a:ext>
            </a:extLst>
          </xdr:cNvPr>
          <xdr:cNvSpPr/>
        </xdr:nvSpPr>
        <xdr:spPr>
          <a:xfrm>
            <a:off x="2921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7" name="$E$171">
            <a:extLst>
              <a:ext uri="{FF2B5EF4-FFF2-40B4-BE49-F238E27FC236}">
                <a16:creationId xmlns:a16="http://schemas.microsoft.com/office/drawing/2014/main" id="{00000000-0008-0000-0300-0000AB2E0000}"/>
              </a:ext>
            </a:extLst>
          </xdr:cNvPr>
          <xdr:cNvSpPr/>
        </xdr:nvSpPr>
        <xdr:spPr>
          <a:xfrm>
            <a:off x="3302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8" name="$E$171">
            <a:extLst>
              <a:ext uri="{FF2B5EF4-FFF2-40B4-BE49-F238E27FC236}">
                <a16:creationId xmlns:a16="http://schemas.microsoft.com/office/drawing/2014/main" id="{00000000-0008-0000-0300-0000AC2E0000}"/>
              </a:ext>
            </a:extLst>
          </xdr:cNvPr>
          <xdr:cNvSpPr/>
        </xdr:nvSpPr>
        <xdr:spPr>
          <a:xfrm>
            <a:off x="3556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49" name="$E$171">
            <a:extLst>
              <a:ext uri="{FF2B5EF4-FFF2-40B4-BE49-F238E27FC236}">
                <a16:creationId xmlns:a16="http://schemas.microsoft.com/office/drawing/2014/main" id="{00000000-0008-0000-0300-0000AD2E0000}"/>
              </a:ext>
            </a:extLst>
          </xdr:cNvPr>
          <xdr:cNvSpPr/>
        </xdr:nvSpPr>
        <xdr:spPr>
          <a:xfrm>
            <a:off x="3683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0" name="$E$171">
            <a:extLst>
              <a:ext uri="{FF2B5EF4-FFF2-40B4-BE49-F238E27FC236}">
                <a16:creationId xmlns:a16="http://schemas.microsoft.com/office/drawing/2014/main" id="{00000000-0008-0000-0300-0000AE2E0000}"/>
              </a:ext>
            </a:extLst>
          </xdr:cNvPr>
          <xdr:cNvSpPr/>
        </xdr:nvSpPr>
        <xdr:spPr>
          <a:xfrm>
            <a:off x="3810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1" name="$E$171">
            <a:extLst>
              <a:ext uri="{FF2B5EF4-FFF2-40B4-BE49-F238E27FC236}">
                <a16:creationId xmlns:a16="http://schemas.microsoft.com/office/drawing/2014/main" id="{00000000-0008-0000-0300-0000AF2E0000}"/>
              </a:ext>
            </a:extLst>
          </xdr:cNvPr>
          <xdr:cNvSpPr/>
        </xdr:nvSpPr>
        <xdr:spPr>
          <a:xfrm>
            <a:off x="3937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2" name="$E$171">
            <a:extLst>
              <a:ext uri="{FF2B5EF4-FFF2-40B4-BE49-F238E27FC236}">
                <a16:creationId xmlns:a16="http://schemas.microsoft.com/office/drawing/2014/main" id="{00000000-0008-0000-0300-0000B02E0000}"/>
              </a:ext>
            </a:extLst>
          </xdr:cNvPr>
          <xdr:cNvSpPr/>
        </xdr:nvSpPr>
        <xdr:spPr>
          <a:xfrm>
            <a:off x="457200" y="292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3" name="$E$171">
            <a:extLst>
              <a:ext uri="{FF2B5EF4-FFF2-40B4-BE49-F238E27FC236}">
                <a16:creationId xmlns:a16="http://schemas.microsoft.com/office/drawing/2014/main" id="{00000000-0008-0000-0300-0000B12E00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4" name="$E$171">
            <a:extLst>
              <a:ext uri="{FF2B5EF4-FFF2-40B4-BE49-F238E27FC236}">
                <a16:creationId xmlns:a16="http://schemas.microsoft.com/office/drawing/2014/main" id="{00000000-0008-0000-0300-0000B22E0000}"/>
              </a:ext>
            </a:extLst>
          </xdr:cNvPr>
          <xdr:cNvSpPr/>
        </xdr:nvSpPr>
        <xdr:spPr>
          <a:xfrm>
            <a:off x="127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5" name="$E$171">
            <a:extLst>
              <a:ext uri="{FF2B5EF4-FFF2-40B4-BE49-F238E27FC236}">
                <a16:creationId xmlns:a16="http://schemas.microsoft.com/office/drawing/2014/main" id="{00000000-0008-0000-0300-0000B32E00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6" name="$E$171">
            <a:extLst>
              <a:ext uri="{FF2B5EF4-FFF2-40B4-BE49-F238E27FC236}">
                <a16:creationId xmlns:a16="http://schemas.microsoft.com/office/drawing/2014/main" id="{00000000-0008-0000-0300-0000B42E0000}"/>
              </a:ext>
            </a:extLst>
          </xdr:cNvPr>
          <xdr:cNvSpPr/>
        </xdr:nvSpPr>
        <xdr:spPr>
          <a:xfrm>
            <a:off x="635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7" name="$E$171">
            <a:extLst>
              <a:ext uri="{FF2B5EF4-FFF2-40B4-BE49-F238E27FC236}">
                <a16:creationId xmlns:a16="http://schemas.microsoft.com/office/drawing/2014/main" id="{00000000-0008-0000-0300-0000B52E00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8" name="$E$171">
            <a:extLst>
              <a:ext uri="{FF2B5EF4-FFF2-40B4-BE49-F238E27FC236}">
                <a16:creationId xmlns:a16="http://schemas.microsoft.com/office/drawing/2014/main" id="{00000000-0008-0000-0300-0000B62E00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59" name="$E$171">
            <a:extLst>
              <a:ext uri="{FF2B5EF4-FFF2-40B4-BE49-F238E27FC236}">
                <a16:creationId xmlns:a16="http://schemas.microsoft.com/office/drawing/2014/main" id="{00000000-0008-0000-0300-0000B72E0000}"/>
              </a:ext>
            </a:extLst>
          </xdr:cNvPr>
          <xdr:cNvSpPr/>
        </xdr:nvSpPr>
        <xdr:spPr>
          <a:xfrm>
            <a:off x="1524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0" name="$E$171">
            <a:extLst>
              <a:ext uri="{FF2B5EF4-FFF2-40B4-BE49-F238E27FC236}">
                <a16:creationId xmlns:a16="http://schemas.microsoft.com/office/drawing/2014/main" id="{00000000-0008-0000-0300-0000B82E0000}"/>
              </a:ext>
            </a:extLst>
          </xdr:cNvPr>
          <xdr:cNvSpPr/>
        </xdr:nvSpPr>
        <xdr:spPr>
          <a:xfrm>
            <a:off x="1778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1" name="$E$171">
            <a:extLst>
              <a:ext uri="{FF2B5EF4-FFF2-40B4-BE49-F238E27FC236}">
                <a16:creationId xmlns:a16="http://schemas.microsoft.com/office/drawing/2014/main" id="{00000000-0008-0000-0300-0000B92E0000}"/>
              </a:ext>
            </a:extLst>
          </xdr:cNvPr>
          <xdr:cNvSpPr/>
        </xdr:nvSpPr>
        <xdr:spPr>
          <a:xfrm>
            <a:off x="2032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2" name="$E$171">
            <a:extLst>
              <a:ext uri="{FF2B5EF4-FFF2-40B4-BE49-F238E27FC236}">
                <a16:creationId xmlns:a16="http://schemas.microsoft.com/office/drawing/2014/main" id="{00000000-0008-0000-0300-0000BA2E00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3" name="$E$171">
            <a:extLst>
              <a:ext uri="{FF2B5EF4-FFF2-40B4-BE49-F238E27FC236}">
                <a16:creationId xmlns:a16="http://schemas.microsoft.com/office/drawing/2014/main" id="{00000000-0008-0000-0300-0000BB2E00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4" name="$E$171">
            <a:extLst>
              <a:ext uri="{FF2B5EF4-FFF2-40B4-BE49-F238E27FC236}">
                <a16:creationId xmlns:a16="http://schemas.microsoft.com/office/drawing/2014/main" id="{00000000-0008-0000-0300-0000BC2E00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5" name="$E$171">
            <a:extLst>
              <a:ext uri="{FF2B5EF4-FFF2-40B4-BE49-F238E27FC236}">
                <a16:creationId xmlns:a16="http://schemas.microsoft.com/office/drawing/2014/main" id="{00000000-0008-0000-0300-0000BD2E00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6" name="$E$171">
            <a:extLst>
              <a:ext uri="{FF2B5EF4-FFF2-40B4-BE49-F238E27FC236}">
                <a16:creationId xmlns:a16="http://schemas.microsoft.com/office/drawing/2014/main" id="{00000000-0008-0000-0300-0000BE2E0000}"/>
              </a:ext>
            </a:extLst>
          </xdr:cNvPr>
          <xdr:cNvSpPr/>
        </xdr:nvSpPr>
        <xdr:spPr>
          <a:xfrm>
            <a:off x="3175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7" name="$E$171">
            <a:extLst>
              <a:ext uri="{FF2B5EF4-FFF2-40B4-BE49-F238E27FC236}">
                <a16:creationId xmlns:a16="http://schemas.microsoft.com/office/drawing/2014/main" id="{00000000-0008-0000-0300-0000BF2E0000}"/>
              </a:ext>
            </a:extLst>
          </xdr:cNvPr>
          <xdr:cNvSpPr/>
        </xdr:nvSpPr>
        <xdr:spPr>
          <a:xfrm>
            <a:off x="3683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8" name="$E$171">
            <a:extLst>
              <a:ext uri="{FF2B5EF4-FFF2-40B4-BE49-F238E27FC236}">
                <a16:creationId xmlns:a16="http://schemas.microsoft.com/office/drawing/2014/main" id="{00000000-0008-0000-0300-0000C02E0000}"/>
              </a:ext>
            </a:extLst>
          </xdr:cNvPr>
          <xdr:cNvSpPr/>
        </xdr:nvSpPr>
        <xdr:spPr>
          <a:xfrm>
            <a:off x="3810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69" name="$E$171">
            <a:extLst>
              <a:ext uri="{FF2B5EF4-FFF2-40B4-BE49-F238E27FC236}">
                <a16:creationId xmlns:a16="http://schemas.microsoft.com/office/drawing/2014/main" id="{00000000-0008-0000-0300-0000C12E0000}"/>
              </a:ext>
            </a:extLst>
          </xdr:cNvPr>
          <xdr:cNvSpPr/>
        </xdr:nvSpPr>
        <xdr:spPr>
          <a:xfrm>
            <a:off x="4064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0" name="$E$171">
            <a:extLst>
              <a:ext uri="{FF2B5EF4-FFF2-40B4-BE49-F238E27FC236}">
                <a16:creationId xmlns:a16="http://schemas.microsoft.com/office/drawing/2014/main" id="{00000000-0008-0000-0300-0000C22E0000}"/>
              </a:ext>
            </a:extLst>
          </xdr:cNvPr>
          <xdr:cNvSpPr/>
        </xdr:nvSpPr>
        <xdr:spPr>
          <a:xfrm>
            <a:off x="4191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1" name="$E$171">
            <a:extLst>
              <a:ext uri="{FF2B5EF4-FFF2-40B4-BE49-F238E27FC236}">
                <a16:creationId xmlns:a16="http://schemas.microsoft.com/office/drawing/2014/main" id="{00000000-0008-0000-0300-0000C32E0000}"/>
              </a:ext>
            </a:extLst>
          </xdr:cNvPr>
          <xdr:cNvSpPr/>
        </xdr:nvSpPr>
        <xdr:spPr>
          <a:xfrm>
            <a:off x="4318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2" name="$E$171">
            <a:extLst>
              <a:ext uri="{FF2B5EF4-FFF2-40B4-BE49-F238E27FC236}">
                <a16:creationId xmlns:a16="http://schemas.microsoft.com/office/drawing/2014/main" id="{00000000-0008-0000-0300-0000C42E0000}"/>
              </a:ext>
            </a:extLst>
          </xdr:cNvPr>
          <xdr:cNvSpPr/>
        </xdr:nvSpPr>
        <xdr:spPr>
          <a:xfrm>
            <a:off x="4445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3" name="$E$171">
            <a:extLst>
              <a:ext uri="{FF2B5EF4-FFF2-40B4-BE49-F238E27FC236}">
                <a16:creationId xmlns:a16="http://schemas.microsoft.com/office/drawing/2014/main" id="{00000000-0008-0000-0300-0000C52E0000}"/>
              </a:ext>
            </a:extLst>
          </xdr:cNvPr>
          <xdr:cNvSpPr/>
        </xdr:nvSpPr>
        <xdr:spPr>
          <a:xfrm>
            <a:off x="457200" y="304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4" name="$E$171">
            <a:extLst>
              <a:ext uri="{FF2B5EF4-FFF2-40B4-BE49-F238E27FC236}">
                <a16:creationId xmlns:a16="http://schemas.microsoft.com/office/drawing/2014/main" id="{00000000-0008-0000-0300-0000C62E00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5" name="$E$171">
            <a:extLst>
              <a:ext uri="{FF2B5EF4-FFF2-40B4-BE49-F238E27FC236}">
                <a16:creationId xmlns:a16="http://schemas.microsoft.com/office/drawing/2014/main" id="{00000000-0008-0000-0300-0000C72E00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6" name="$E$171">
            <a:extLst>
              <a:ext uri="{FF2B5EF4-FFF2-40B4-BE49-F238E27FC236}">
                <a16:creationId xmlns:a16="http://schemas.microsoft.com/office/drawing/2014/main" id="{00000000-0008-0000-0300-0000C82E00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7" name="$E$171">
            <a:extLst>
              <a:ext uri="{FF2B5EF4-FFF2-40B4-BE49-F238E27FC236}">
                <a16:creationId xmlns:a16="http://schemas.microsoft.com/office/drawing/2014/main" id="{00000000-0008-0000-0300-0000C92E0000}"/>
              </a:ext>
            </a:extLst>
          </xdr:cNvPr>
          <xdr:cNvSpPr/>
        </xdr:nvSpPr>
        <xdr:spPr>
          <a:xfrm>
            <a:off x="635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8" name="$E$171">
            <a:extLst>
              <a:ext uri="{FF2B5EF4-FFF2-40B4-BE49-F238E27FC236}">
                <a16:creationId xmlns:a16="http://schemas.microsoft.com/office/drawing/2014/main" id="{00000000-0008-0000-0300-0000CA2E0000}"/>
              </a:ext>
            </a:extLst>
          </xdr:cNvPr>
          <xdr:cNvSpPr/>
        </xdr:nvSpPr>
        <xdr:spPr>
          <a:xfrm>
            <a:off x="1143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79" name="$E$171">
            <a:extLst>
              <a:ext uri="{FF2B5EF4-FFF2-40B4-BE49-F238E27FC236}">
                <a16:creationId xmlns:a16="http://schemas.microsoft.com/office/drawing/2014/main" id="{00000000-0008-0000-0300-0000CB2E00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0" name="$E$171">
            <a:extLst>
              <a:ext uri="{FF2B5EF4-FFF2-40B4-BE49-F238E27FC236}">
                <a16:creationId xmlns:a16="http://schemas.microsoft.com/office/drawing/2014/main" id="{00000000-0008-0000-0300-0000CC2E00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1" name="$E$171">
            <a:extLst>
              <a:ext uri="{FF2B5EF4-FFF2-40B4-BE49-F238E27FC236}">
                <a16:creationId xmlns:a16="http://schemas.microsoft.com/office/drawing/2014/main" id="{00000000-0008-0000-0300-0000CD2E0000}"/>
              </a:ext>
            </a:extLst>
          </xdr:cNvPr>
          <xdr:cNvSpPr/>
        </xdr:nvSpPr>
        <xdr:spPr>
          <a:xfrm>
            <a:off x="2794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2" name="$E$171">
            <a:extLst>
              <a:ext uri="{FF2B5EF4-FFF2-40B4-BE49-F238E27FC236}">
                <a16:creationId xmlns:a16="http://schemas.microsoft.com/office/drawing/2014/main" id="{00000000-0008-0000-0300-0000CE2E0000}"/>
              </a:ext>
            </a:extLst>
          </xdr:cNvPr>
          <xdr:cNvSpPr/>
        </xdr:nvSpPr>
        <xdr:spPr>
          <a:xfrm>
            <a:off x="2921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3" name="$E$171">
            <a:extLst>
              <a:ext uri="{FF2B5EF4-FFF2-40B4-BE49-F238E27FC236}">
                <a16:creationId xmlns:a16="http://schemas.microsoft.com/office/drawing/2014/main" id="{00000000-0008-0000-0300-0000CF2E00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4" name="$E$171">
            <a:extLst>
              <a:ext uri="{FF2B5EF4-FFF2-40B4-BE49-F238E27FC236}">
                <a16:creationId xmlns:a16="http://schemas.microsoft.com/office/drawing/2014/main" id="{00000000-0008-0000-0300-0000D02E0000}"/>
              </a:ext>
            </a:extLst>
          </xdr:cNvPr>
          <xdr:cNvSpPr/>
        </xdr:nvSpPr>
        <xdr:spPr>
          <a:xfrm>
            <a:off x="3556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5" name="$E$171">
            <a:extLst>
              <a:ext uri="{FF2B5EF4-FFF2-40B4-BE49-F238E27FC236}">
                <a16:creationId xmlns:a16="http://schemas.microsoft.com/office/drawing/2014/main" id="{00000000-0008-0000-0300-0000D12E0000}"/>
              </a:ext>
            </a:extLst>
          </xdr:cNvPr>
          <xdr:cNvSpPr/>
        </xdr:nvSpPr>
        <xdr:spPr>
          <a:xfrm>
            <a:off x="3683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6" name="$E$171">
            <a:extLst>
              <a:ext uri="{FF2B5EF4-FFF2-40B4-BE49-F238E27FC236}">
                <a16:creationId xmlns:a16="http://schemas.microsoft.com/office/drawing/2014/main" id="{00000000-0008-0000-0300-0000D22E0000}"/>
              </a:ext>
            </a:extLst>
          </xdr:cNvPr>
          <xdr:cNvSpPr/>
        </xdr:nvSpPr>
        <xdr:spPr>
          <a:xfrm>
            <a:off x="3937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7" name="$E$171">
            <a:extLst>
              <a:ext uri="{FF2B5EF4-FFF2-40B4-BE49-F238E27FC236}">
                <a16:creationId xmlns:a16="http://schemas.microsoft.com/office/drawing/2014/main" id="{00000000-0008-0000-0300-0000D32E0000}"/>
              </a:ext>
            </a:extLst>
          </xdr:cNvPr>
          <xdr:cNvSpPr/>
        </xdr:nvSpPr>
        <xdr:spPr>
          <a:xfrm>
            <a:off x="444500" y="317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8" name="$E$171">
            <a:extLst>
              <a:ext uri="{FF2B5EF4-FFF2-40B4-BE49-F238E27FC236}">
                <a16:creationId xmlns:a16="http://schemas.microsoft.com/office/drawing/2014/main" id="{00000000-0008-0000-0300-0000D42E00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89" name="$E$171">
            <a:extLst>
              <a:ext uri="{FF2B5EF4-FFF2-40B4-BE49-F238E27FC236}">
                <a16:creationId xmlns:a16="http://schemas.microsoft.com/office/drawing/2014/main" id="{00000000-0008-0000-0300-0000D52E00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0" name="$E$171">
            <a:extLst>
              <a:ext uri="{FF2B5EF4-FFF2-40B4-BE49-F238E27FC236}">
                <a16:creationId xmlns:a16="http://schemas.microsoft.com/office/drawing/2014/main" id="{00000000-0008-0000-0300-0000D62E00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1" name="$E$171">
            <a:extLst>
              <a:ext uri="{FF2B5EF4-FFF2-40B4-BE49-F238E27FC236}">
                <a16:creationId xmlns:a16="http://schemas.microsoft.com/office/drawing/2014/main" id="{00000000-0008-0000-0300-0000D72E0000}"/>
              </a:ext>
            </a:extLst>
          </xdr:cNvPr>
          <xdr:cNvSpPr/>
        </xdr:nvSpPr>
        <xdr:spPr>
          <a:xfrm>
            <a:off x="635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2" name="$E$171">
            <a:extLst>
              <a:ext uri="{FF2B5EF4-FFF2-40B4-BE49-F238E27FC236}">
                <a16:creationId xmlns:a16="http://schemas.microsoft.com/office/drawing/2014/main" id="{00000000-0008-0000-0300-0000D82E00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3" name="$E$171">
            <a:extLst>
              <a:ext uri="{FF2B5EF4-FFF2-40B4-BE49-F238E27FC236}">
                <a16:creationId xmlns:a16="http://schemas.microsoft.com/office/drawing/2014/main" id="{00000000-0008-0000-0300-0000D92E0000}"/>
              </a:ext>
            </a:extLst>
          </xdr:cNvPr>
          <xdr:cNvSpPr/>
        </xdr:nvSpPr>
        <xdr:spPr>
          <a:xfrm>
            <a:off x="1143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4" name="$E$171">
            <a:extLst>
              <a:ext uri="{FF2B5EF4-FFF2-40B4-BE49-F238E27FC236}">
                <a16:creationId xmlns:a16="http://schemas.microsoft.com/office/drawing/2014/main" id="{00000000-0008-0000-0300-0000DA2E00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5" name="$E$171">
            <a:extLst>
              <a:ext uri="{FF2B5EF4-FFF2-40B4-BE49-F238E27FC236}">
                <a16:creationId xmlns:a16="http://schemas.microsoft.com/office/drawing/2014/main" id="{00000000-0008-0000-0300-0000DB2E00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6" name="$E$171">
            <a:extLst>
              <a:ext uri="{FF2B5EF4-FFF2-40B4-BE49-F238E27FC236}">
                <a16:creationId xmlns:a16="http://schemas.microsoft.com/office/drawing/2014/main" id="{00000000-0008-0000-0300-0000DC2E00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7" name="$E$171">
            <a:extLst>
              <a:ext uri="{FF2B5EF4-FFF2-40B4-BE49-F238E27FC236}">
                <a16:creationId xmlns:a16="http://schemas.microsoft.com/office/drawing/2014/main" id="{00000000-0008-0000-0300-0000DD2E00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8" name="$E$171">
            <a:extLst>
              <a:ext uri="{FF2B5EF4-FFF2-40B4-BE49-F238E27FC236}">
                <a16:creationId xmlns:a16="http://schemas.microsoft.com/office/drawing/2014/main" id="{00000000-0008-0000-0300-0000DE2E00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999" name="$E$171">
            <a:extLst>
              <a:ext uri="{FF2B5EF4-FFF2-40B4-BE49-F238E27FC236}">
                <a16:creationId xmlns:a16="http://schemas.microsoft.com/office/drawing/2014/main" id="{00000000-0008-0000-0300-0000DF2E00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0" name="$E$171">
            <a:extLst>
              <a:ext uri="{FF2B5EF4-FFF2-40B4-BE49-F238E27FC236}">
                <a16:creationId xmlns:a16="http://schemas.microsoft.com/office/drawing/2014/main" id="{00000000-0008-0000-0300-0000E02E0000}"/>
              </a:ext>
            </a:extLst>
          </xdr:cNvPr>
          <xdr:cNvSpPr/>
        </xdr:nvSpPr>
        <xdr:spPr>
          <a:xfrm>
            <a:off x="3048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1" name="$E$171">
            <a:extLst>
              <a:ext uri="{FF2B5EF4-FFF2-40B4-BE49-F238E27FC236}">
                <a16:creationId xmlns:a16="http://schemas.microsoft.com/office/drawing/2014/main" id="{00000000-0008-0000-0300-0000E12E00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2" name="$E$171">
            <a:extLst>
              <a:ext uri="{FF2B5EF4-FFF2-40B4-BE49-F238E27FC236}">
                <a16:creationId xmlns:a16="http://schemas.microsoft.com/office/drawing/2014/main" id="{00000000-0008-0000-0300-0000E22E00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3" name="$E$171">
            <a:extLst>
              <a:ext uri="{FF2B5EF4-FFF2-40B4-BE49-F238E27FC236}">
                <a16:creationId xmlns:a16="http://schemas.microsoft.com/office/drawing/2014/main" id="{00000000-0008-0000-0300-0000E32E0000}"/>
              </a:ext>
            </a:extLst>
          </xdr:cNvPr>
          <xdr:cNvSpPr/>
        </xdr:nvSpPr>
        <xdr:spPr>
          <a:xfrm>
            <a:off x="3429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4" name="$E$171">
            <a:extLst>
              <a:ext uri="{FF2B5EF4-FFF2-40B4-BE49-F238E27FC236}">
                <a16:creationId xmlns:a16="http://schemas.microsoft.com/office/drawing/2014/main" id="{00000000-0008-0000-0300-0000E42E00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5" name="$E$171">
            <a:extLst>
              <a:ext uri="{FF2B5EF4-FFF2-40B4-BE49-F238E27FC236}">
                <a16:creationId xmlns:a16="http://schemas.microsoft.com/office/drawing/2014/main" id="{00000000-0008-0000-0300-0000E52E0000}"/>
              </a:ext>
            </a:extLst>
          </xdr:cNvPr>
          <xdr:cNvSpPr/>
        </xdr:nvSpPr>
        <xdr:spPr>
          <a:xfrm>
            <a:off x="3683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6" name="$E$171">
            <a:extLst>
              <a:ext uri="{FF2B5EF4-FFF2-40B4-BE49-F238E27FC236}">
                <a16:creationId xmlns:a16="http://schemas.microsoft.com/office/drawing/2014/main" id="{00000000-0008-0000-0300-0000E62E0000}"/>
              </a:ext>
            </a:extLst>
          </xdr:cNvPr>
          <xdr:cNvSpPr/>
        </xdr:nvSpPr>
        <xdr:spPr>
          <a:xfrm>
            <a:off x="3810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7" name="$E$171">
            <a:extLst>
              <a:ext uri="{FF2B5EF4-FFF2-40B4-BE49-F238E27FC236}">
                <a16:creationId xmlns:a16="http://schemas.microsoft.com/office/drawing/2014/main" id="{00000000-0008-0000-0300-0000E72E0000}"/>
              </a:ext>
            </a:extLst>
          </xdr:cNvPr>
          <xdr:cNvSpPr/>
        </xdr:nvSpPr>
        <xdr:spPr>
          <a:xfrm>
            <a:off x="3937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8" name="$E$171">
            <a:extLst>
              <a:ext uri="{FF2B5EF4-FFF2-40B4-BE49-F238E27FC236}">
                <a16:creationId xmlns:a16="http://schemas.microsoft.com/office/drawing/2014/main" id="{00000000-0008-0000-0300-0000E82E0000}"/>
              </a:ext>
            </a:extLst>
          </xdr:cNvPr>
          <xdr:cNvSpPr/>
        </xdr:nvSpPr>
        <xdr:spPr>
          <a:xfrm>
            <a:off x="4064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09" name="$E$171">
            <a:extLst>
              <a:ext uri="{FF2B5EF4-FFF2-40B4-BE49-F238E27FC236}">
                <a16:creationId xmlns:a16="http://schemas.microsoft.com/office/drawing/2014/main" id="{00000000-0008-0000-0300-0000E92E0000}"/>
              </a:ext>
            </a:extLst>
          </xdr:cNvPr>
          <xdr:cNvSpPr/>
        </xdr:nvSpPr>
        <xdr:spPr>
          <a:xfrm>
            <a:off x="4445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0" name="$E$171">
            <a:extLst>
              <a:ext uri="{FF2B5EF4-FFF2-40B4-BE49-F238E27FC236}">
                <a16:creationId xmlns:a16="http://schemas.microsoft.com/office/drawing/2014/main" id="{00000000-0008-0000-0300-0000EA2E0000}"/>
              </a:ext>
            </a:extLst>
          </xdr:cNvPr>
          <xdr:cNvSpPr/>
        </xdr:nvSpPr>
        <xdr:spPr>
          <a:xfrm>
            <a:off x="457200" y="330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1" name="$E$171">
            <a:extLst>
              <a:ext uri="{FF2B5EF4-FFF2-40B4-BE49-F238E27FC236}">
                <a16:creationId xmlns:a16="http://schemas.microsoft.com/office/drawing/2014/main" id="{00000000-0008-0000-0300-0000EB2E00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2" name="$E$171">
            <a:extLst>
              <a:ext uri="{FF2B5EF4-FFF2-40B4-BE49-F238E27FC236}">
                <a16:creationId xmlns:a16="http://schemas.microsoft.com/office/drawing/2014/main" id="{00000000-0008-0000-0300-0000EC2E0000}"/>
              </a:ext>
            </a:extLst>
          </xdr:cNvPr>
          <xdr:cNvSpPr/>
        </xdr:nvSpPr>
        <xdr:spPr>
          <a:xfrm>
            <a:off x="635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3" name="$E$171">
            <a:extLst>
              <a:ext uri="{FF2B5EF4-FFF2-40B4-BE49-F238E27FC236}">
                <a16:creationId xmlns:a16="http://schemas.microsoft.com/office/drawing/2014/main" id="{00000000-0008-0000-0300-0000ED2E0000}"/>
              </a:ext>
            </a:extLst>
          </xdr:cNvPr>
          <xdr:cNvSpPr/>
        </xdr:nvSpPr>
        <xdr:spPr>
          <a:xfrm>
            <a:off x="889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4" name="$E$171">
            <a:extLst>
              <a:ext uri="{FF2B5EF4-FFF2-40B4-BE49-F238E27FC236}">
                <a16:creationId xmlns:a16="http://schemas.microsoft.com/office/drawing/2014/main" id="{00000000-0008-0000-0300-0000EE2E0000}"/>
              </a:ext>
            </a:extLst>
          </xdr:cNvPr>
          <xdr:cNvSpPr/>
        </xdr:nvSpPr>
        <xdr:spPr>
          <a:xfrm>
            <a:off x="1016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5" name="$E$171">
            <a:extLst>
              <a:ext uri="{FF2B5EF4-FFF2-40B4-BE49-F238E27FC236}">
                <a16:creationId xmlns:a16="http://schemas.microsoft.com/office/drawing/2014/main" id="{00000000-0008-0000-0300-0000EF2E0000}"/>
              </a:ext>
            </a:extLst>
          </xdr:cNvPr>
          <xdr:cNvSpPr/>
        </xdr:nvSpPr>
        <xdr:spPr>
          <a:xfrm>
            <a:off x="1143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6" name="$E$171">
            <a:extLst>
              <a:ext uri="{FF2B5EF4-FFF2-40B4-BE49-F238E27FC236}">
                <a16:creationId xmlns:a16="http://schemas.microsoft.com/office/drawing/2014/main" id="{00000000-0008-0000-0300-0000F02E00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7" name="$E$171">
            <a:extLst>
              <a:ext uri="{FF2B5EF4-FFF2-40B4-BE49-F238E27FC236}">
                <a16:creationId xmlns:a16="http://schemas.microsoft.com/office/drawing/2014/main" id="{00000000-0008-0000-0300-0000F12E0000}"/>
              </a:ext>
            </a:extLst>
          </xdr:cNvPr>
          <xdr:cNvSpPr/>
        </xdr:nvSpPr>
        <xdr:spPr>
          <a:xfrm>
            <a:off x="1397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8" name="$E$171">
            <a:extLst>
              <a:ext uri="{FF2B5EF4-FFF2-40B4-BE49-F238E27FC236}">
                <a16:creationId xmlns:a16="http://schemas.microsoft.com/office/drawing/2014/main" id="{00000000-0008-0000-0300-0000F22E00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19" name="$E$171">
            <a:extLst>
              <a:ext uri="{FF2B5EF4-FFF2-40B4-BE49-F238E27FC236}">
                <a16:creationId xmlns:a16="http://schemas.microsoft.com/office/drawing/2014/main" id="{00000000-0008-0000-0300-0000F32E00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0" name="$E$171">
            <a:extLst>
              <a:ext uri="{FF2B5EF4-FFF2-40B4-BE49-F238E27FC236}">
                <a16:creationId xmlns:a16="http://schemas.microsoft.com/office/drawing/2014/main" id="{00000000-0008-0000-0300-0000F42E0000}"/>
              </a:ext>
            </a:extLst>
          </xdr:cNvPr>
          <xdr:cNvSpPr/>
        </xdr:nvSpPr>
        <xdr:spPr>
          <a:xfrm>
            <a:off x="2286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1" name="$E$171">
            <a:extLst>
              <a:ext uri="{FF2B5EF4-FFF2-40B4-BE49-F238E27FC236}">
                <a16:creationId xmlns:a16="http://schemas.microsoft.com/office/drawing/2014/main" id="{00000000-0008-0000-0300-0000F52E00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2" name="$E$171">
            <a:extLst>
              <a:ext uri="{FF2B5EF4-FFF2-40B4-BE49-F238E27FC236}">
                <a16:creationId xmlns:a16="http://schemas.microsoft.com/office/drawing/2014/main" id="{00000000-0008-0000-0300-0000F62E0000}"/>
              </a:ext>
            </a:extLst>
          </xdr:cNvPr>
          <xdr:cNvSpPr/>
        </xdr:nvSpPr>
        <xdr:spPr>
          <a:xfrm>
            <a:off x="2667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3" name="$E$171">
            <a:extLst>
              <a:ext uri="{FF2B5EF4-FFF2-40B4-BE49-F238E27FC236}">
                <a16:creationId xmlns:a16="http://schemas.microsoft.com/office/drawing/2014/main" id="{00000000-0008-0000-0300-0000F72E00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4" name="$E$171">
            <a:extLst>
              <a:ext uri="{FF2B5EF4-FFF2-40B4-BE49-F238E27FC236}">
                <a16:creationId xmlns:a16="http://schemas.microsoft.com/office/drawing/2014/main" id="{00000000-0008-0000-0300-0000F82E0000}"/>
              </a:ext>
            </a:extLst>
          </xdr:cNvPr>
          <xdr:cNvSpPr/>
        </xdr:nvSpPr>
        <xdr:spPr>
          <a:xfrm>
            <a:off x="2921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5" name="$E$171">
            <a:extLst>
              <a:ext uri="{FF2B5EF4-FFF2-40B4-BE49-F238E27FC236}">
                <a16:creationId xmlns:a16="http://schemas.microsoft.com/office/drawing/2014/main" id="{00000000-0008-0000-0300-0000F92E0000}"/>
              </a:ext>
            </a:extLst>
          </xdr:cNvPr>
          <xdr:cNvSpPr/>
        </xdr:nvSpPr>
        <xdr:spPr>
          <a:xfrm>
            <a:off x="3048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6" name="$E$171">
            <a:extLst>
              <a:ext uri="{FF2B5EF4-FFF2-40B4-BE49-F238E27FC236}">
                <a16:creationId xmlns:a16="http://schemas.microsoft.com/office/drawing/2014/main" id="{00000000-0008-0000-0300-0000FA2E00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7" name="$E$171">
            <a:extLst>
              <a:ext uri="{FF2B5EF4-FFF2-40B4-BE49-F238E27FC236}">
                <a16:creationId xmlns:a16="http://schemas.microsoft.com/office/drawing/2014/main" id="{00000000-0008-0000-0300-0000FB2E00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8" name="$E$171">
            <a:extLst>
              <a:ext uri="{FF2B5EF4-FFF2-40B4-BE49-F238E27FC236}">
                <a16:creationId xmlns:a16="http://schemas.microsoft.com/office/drawing/2014/main" id="{00000000-0008-0000-0300-0000FC2E0000}"/>
              </a:ext>
            </a:extLst>
          </xdr:cNvPr>
          <xdr:cNvSpPr/>
        </xdr:nvSpPr>
        <xdr:spPr>
          <a:xfrm>
            <a:off x="3810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29" name="$E$171">
            <a:extLst>
              <a:ext uri="{FF2B5EF4-FFF2-40B4-BE49-F238E27FC236}">
                <a16:creationId xmlns:a16="http://schemas.microsoft.com/office/drawing/2014/main" id="{00000000-0008-0000-0300-0000FD2E0000}"/>
              </a:ext>
            </a:extLst>
          </xdr:cNvPr>
          <xdr:cNvSpPr/>
        </xdr:nvSpPr>
        <xdr:spPr>
          <a:xfrm>
            <a:off x="3937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0" name="$E$171">
            <a:extLst>
              <a:ext uri="{FF2B5EF4-FFF2-40B4-BE49-F238E27FC236}">
                <a16:creationId xmlns:a16="http://schemas.microsoft.com/office/drawing/2014/main" id="{00000000-0008-0000-0300-0000FE2E0000}"/>
              </a:ext>
            </a:extLst>
          </xdr:cNvPr>
          <xdr:cNvSpPr/>
        </xdr:nvSpPr>
        <xdr:spPr>
          <a:xfrm>
            <a:off x="4064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1" name="$E$171">
            <a:extLst>
              <a:ext uri="{FF2B5EF4-FFF2-40B4-BE49-F238E27FC236}">
                <a16:creationId xmlns:a16="http://schemas.microsoft.com/office/drawing/2014/main" id="{00000000-0008-0000-0300-0000FF2E0000}"/>
              </a:ext>
            </a:extLst>
          </xdr:cNvPr>
          <xdr:cNvSpPr/>
        </xdr:nvSpPr>
        <xdr:spPr>
          <a:xfrm>
            <a:off x="457200" y="3429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2" name="$E$171">
            <a:extLst>
              <a:ext uri="{FF2B5EF4-FFF2-40B4-BE49-F238E27FC236}">
                <a16:creationId xmlns:a16="http://schemas.microsoft.com/office/drawing/2014/main" id="{00000000-0008-0000-0300-0000002F00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3" name="$E$171">
            <a:extLst>
              <a:ext uri="{FF2B5EF4-FFF2-40B4-BE49-F238E27FC236}">
                <a16:creationId xmlns:a16="http://schemas.microsoft.com/office/drawing/2014/main" id="{00000000-0008-0000-0300-0000012F00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4" name="$E$171">
            <a:extLst>
              <a:ext uri="{FF2B5EF4-FFF2-40B4-BE49-F238E27FC236}">
                <a16:creationId xmlns:a16="http://schemas.microsoft.com/office/drawing/2014/main" id="{00000000-0008-0000-0300-0000022F00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5" name="$E$171">
            <a:extLst>
              <a:ext uri="{FF2B5EF4-FFF2-40B4-BE49-F238E27FC236}">
                <a16:creationId xmlns:a16="http://schemas.microsoft.com/office/drawing/2014/main" id="{00000000-0008-0000-0300-0000032F0000}"/>
              </a:ext>
            </a:extLst>
          </xdr:cNvPr>
          <xdr:cNvSpPr/>
        </xdr:nvSpPr>
        <xdr:spPr>
          <a:xfrm>
            <a:off x="889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6" name="$E$171">
            <a:extLst>
              <a:ext uri="{FF2B5EF4-FFF2-40B4-BE49-F238E27FC236}">
                <a16:creationId xmlns:a16="http://schemas.microsoft.com/office/drawing/2014/main" id="{00000000-0008-0000-0300-0000042F00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7" name="$E$171">
            <a:extLst>
              <a:ext uri="{FF2B5EF4-FFF2-40B4-BE49-F238E27FC236}">
                <a16:creationId xmlns:a16="http://schemas.microsoft.com/office/drawing/2014/main" id="{00000000-0008-0000-0300-0000052F00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8" name="$E$171">
            <a:extLst>
              <a:ext uri="{FF2B5EF4-FFF2-40B4-BE49-F238E27FC236}">
                <a16:creationId xmlns:a16="http://schemas.microsoft.com/office/drawing/2014/main" id="{00000000-0008-0000-0300-0000062F00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39" name="$E$171">
            <a:extLst>
              <a:ext uri="{FF2B5EF4-FFF2-40B4-BE49-F238E27FC236}">
                <a16:creationId xmlns:a16="http://schemas.microsoft.com/office/drawing/2014/main" id="{00000000-0008-0000-0300-0000072F0000}"/>
              </a:ext>
            </a:extLst>
          </xdr:cNvPr>
          <xdr:cNvSpPr/>
        </xdr:nvSpPr>
        <xdr:spPr>
          <a:xfrm>
            <a:off x="1905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0" name="$E$171">
            <a:extLst>
              <a:ext uri="{FF2B5EF4-FFF2-40B4-BE49-F238E27FC236}">
                <a16:creationId xmlns:a16="http://schemas.microsoft.com/office/drawing/2014/main" id="{00000000-0008-0000-0300-0000082F0000}"/>
              </a:ext>
            </a:extLst>
          </xdr:cNvPr>
          <xdr:cNvSpPr/>
        </xdr:nvSpPr>
        <xdr:spPr>
          <a:xfrm>
            <a:off x="2032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1" name="$E$171">
            <a:extLst>
              <a:ext uri="{FF2B5EF4-FFF2-40B4-BE49-F238E27FC236}">
                <a16:creationId xmlns:a16="http://schemas.microsoft.com/office/drawing/2014/main" id="{00000000-0008-0000-0300-0000092F00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2" name="$E$171">
            <a:extLst>
              <a:ext uri="{FF2B5EF4-FFF2-40B4-BE49-F238E27FC236}">
                <a16:creationId xmlns:a16="http://schemas.microsoft.com/office/drawing/2014/main" id="{00000000-0008-0000-0300-00000A2F0000}"/>
              </a:ext>
            </a:extLst>
          </xdr:cNvPr>
          <xdr:cNvSpPr/>
        </xdr:nvSpPr>
        <xdr:spPr>
          <a:xfrm>
            <a:off x="2921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3" name="$E$171">
            <a:extLst>
              <a:ext uri="{FF2B5EF4-FFF2-40B4-BE49-F238E27FC236}">
                <a16:creationId xmlns:a16="http://schemas.microsoft.com/office/drawing/2014/main" id="{00000000-0008-0000-0300-00000B2F00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4" name="$E$171">
            <a:extLst>
              <a:ext uri="{FF2B5EF4-FFF2-40B4-BE49-F238E27FC236}">
                <a16:creationId xmlns:a16="http://schemas.microsoft.com/office/drawing/2014/main" id="{00000000-0008-0000-0300-00000C2F00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5" name="$E$171">
            <a:extLst>
              <a:ext uri="{FF2B5EF4-FFF2-40B4-BE49-F238E27FC236}">
                <a16:creationId xmlns:a16="http://schemas.microsoft.com/office/drawing/2014/main" id="{00000000-0008-0000-0300-00000D2F0000}"/>
              </a:ext>
            </a:extLst>
          </xdr:cNvPr>
          <xdr:cNvSpPr/>
        </xdr:nvSpPr>
        <xdr:spPr>
          <a:xfrm>
            <a:off x="3302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6" name="$E$171">
            <a:extLst>
              <a:ext uri="{FF2B5EF4-FFF2-40B4-BE49-F238E27FC236}">
                <a16:creationId xmlns:a16="http://schemas.microsoft.com/office/drawing/2014/main" id="{00000000-0008-0000-0300-00000E2F0000}"/>
              </a:ext>
            </a:extLst>
          </xdr:cNvPr>
          <xdr:cNvSpPr/>
        </xdr:nvSpPr>
        <xdr:spPr>
          <a:xfrm>
            <a:off x="3556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7" name="$E$171">
            <a:extLst>
              <a:ext uri="{FF2B5EF4-FFF2-40B4-BE49-F238E27FC236}">
                <a16:creationId xmlns:a16="http://schemas.microsoft.com/office/drawing/2014/main" id="{00000000-0008-0000-0300-00000F2F0000}"/>
              </a:ext>
            </a:extLst>
          </xdr:cNvPr>
          <xdr:cNvSpPr/>
        </xdr:nvSpPr>
        <xdr:spPr>
          <a:xfrm>
            <a:off x="3683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8" name="$E$171">
            <a:extLst>
              <a:ext uri="{FF2B5EF4-FFF2-40B4-BE49-F238E27FC236}">
                <a16:creationId xmlns:a16="http://schemas.microsoft.com/office/drawing/2014/main" id="{00000000-0008-0000-0300-0000102F0000}"/>
              </a:ext>
            </a:extLst>
          </xdr:cNvPr>
          <xdr:cNvSpPr/>
        </xdr:nvSpPr>
        <xdr:spPr>
          <a:xfrm>
            <a:off x="3810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49" name="$E$171">
            <a:extLst>
              <a:ext uri="{FF2B5EF4-FFF2-40B4-BE49-F238E27FC236}">
                <a16:creationId xmlns:a16="http://schemas.microsoft.com/office/drawing/2014/main" id="{00000000-0008-0000-0300-0000112F0000}"/>
              </a:ext>
            </a:extLst>
          </xdr:cNvPr>
          <xdr:cNvSpPr/>
        </xdr:nvSpPr>
        <xdr:spPr>
          <a:xfrm>
            <a:off x="3937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0" name="$E$171">
            <a:extLst>
              <a:ext uri="{FF2B5EF4-FFF2-40B4-BE49-F238E27FC236}">
                <a16:creationId xmlns:a16="http://schemas.microsoft.com/office/drawing/2014/main" id="{00000000-0008-0000-0300-0000122F0000}"/>
              </a:ext>
            </a:extLst>
          </xdr:cNvPr>
          <xdr:cNvSpPr/>
        </xdr:nvSpPr>
        <xdr:spPr>
          <a:xfrm>
            <a:off x="4064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1" name="$E$171">
            <a:extLst>
              <a:ext uri="{FF2B5EF4-FFF2-40B4-BE49-F238E27FC236}">
                <a16:creationId xmlns:a16="http://schemas.microsoft.com/office/drawing/2014/main" id="{00000000-0008-0000-0300-0000132F0000}"/>
              </a:ext>
            </a:extLst>
          </xdr:cNvPr>
          <xdr:cNvSpPr/>
        </xdr:nvSpPr>
        <xdr:spPr>
          <a:xfrm>
            <a:off x="4191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2" name="$E$171">
            <a:extLst>
              <a:ext uri="{FF2B5EF4-FFF2-40B4-BE49-F238E27FC236}">
                <a16:creationId xmlns:a16="http://schemas.microsoft.com/office/drawing/2014/main" id="{00000000-0008-0000-0300-0000142F0000}"/>
              </a:ext>
            </a:extLst>
          </xdr:cNvPr>
          <xdr:cNvSpPr/>
        </xdr:nvSpPr>
        <xdr:spPr>
          <a:xfrm>
            <a:off x="431800" y="3556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3" name="$E$171">
            <a:extLst>
              <a:ext uri="{FF2B5EF4-FFF2-40B4-BE49-F238E27FC236}">
                <a16:creationId xmlns:a16="http://schemas.microsoft.com/office/drawing/2014/main" id="{00000000-0008-0000-0300-0000152F0000}"/>
              </a:ext>
            </a:extLst>
          </xdr:cNvPr>
          <xdr:cNvSpPr/>
        </xdr:nvSpPr>
        <xdr:spPr>
          <a:xfrm>
            <a:off x="1016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4" name="$E$171">
            <a:extLst>
              <a:ext uri="{FF2B5EF4-FFF2-40B4-BE49-F238E27FC236}">
                <a16:creationId xmlns:a16="http://schemas.microsoft.com/office/drawing/2014/main" id="{00000000-0008-0000-0300-0000162F0000}"/>
              </a:ext>
            </a:extLst>
          </xdr:cNvPr>
          <xdr:cNvSpPr/>
        </xdr:nvSpPr>
        <xdr:spPr>
          <a:xfrm>
            <a:off x="1524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5" name="$E$171">
            <a:extLst>
              <a:ext uri="{FF2B5EF4-FFF2-40B4-BE49-F238E27FC236}">
                <a16:creationId xmlns:a16="http://schemas.microsoft.com/office/drawing/2014/main" id="{00000000-0008-0000-0300-0000172F0000}"/>
              </a:ext>
            </a:extLst>
          </xdr:cNvPr>
          <xdr:cNvSpPr/>
        </xdr:nvSpPr>
        <xdr:spPr>
          <a:xfrm>
            <a:off x="1651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6" name="$E$171">
            <a:extLst>
              <a:ext uri="{FF2B5EF4-FFF2-40B4-BE49-F238E27FC236}">
                <a16:creationId xmlns:a16="http://schemas.microsoft.com/office/drawing/2014/main" id="{00000000-0008-0000-0300-0000182F0000}"/>
              </a:ext>
            </a:extLst>
          </xdr:cNvPr>
          <xdr:cNvSpPr/>
        </xdr:nvSpPr>
        <xdr:spPr>
          <a:xfrm>
            <a:off x="1778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7" name="$E$171">
            <a:extLst>
              <a:ext uri="{FF2B5EF4-FFF2-40B4-BE49-F238E27FC236}">
                <a16:creationId xmlns:a16="http://schemas.microsoft.com/office/drawing/2014/main" id="{00000000-0008-0000-0300-0000192F0000}"/>
              </a:ext>
            </a:extLst>
          </xdr:cNvPr>
          <xdr:cNvSpPr/>
        </xdr:nvSpPr>
        <xdr:spPr>
          <a:xfrm>
            <a:off x="2159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8" name="$E$171">
            <a:extLst>
              <a:ext uri="{FF2B5EF4-FFF2-40B4-BE49-F238E27FC236}">
                <a16:creationId xmlns:a16="http://schemas.microsoft.com/office/drawing/2014/main" id="{00000000-0008-0000-0300-00001A2F0000}"/>
              </a:ext>
            </a:extLst>
          </xdr:cNvPr>
          <xdr:cNvSpPr/>
        </xdr:nvSpPr>
        <xdr:spPr>
          <a:xfrm>
            <a:off x="2286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59" name="$E$171">
            <a:extLst>
              <a:ext uri="{FF2B5EF4-FFF2-40B4-BE49-F238E27FC236}">
                <a16:creationId xmlns:a16="http://schemas.microsoft.com/office/drawing/2014/main" id="{00000000-0008-0000-0300-00001B2F0000}"/>
              </a:ext>
            </a:extLst>
          </xdr:cNvPr>
          <xdr:cNvSpPr/>
        </xdr:nvSpPr>
        <xdr:spPr>
          <a:xfrm>
            <a:off x="2413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0" name="$E$171">
            <a:extLst>
              <a:ext uri="{FF2B5EF4-FFF2-40B4-BE49-F238E27FC236}">
                <a16:creationId xmlns:a16="http://schemas.microsoft.com/office/drawing/2014/main" id="{00000000-0008-0000-0300-00001C2F0000}"/>
              </a:ext>
            </a:extLst>
          </xdr:cNvPr>
          <xdr:cNvSpPr/>
        </xdr:nvSpPr>
        <xdr:spPr>
          <a:xfrm>
            <a:off x="2540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1" name="$E$171">
            <a:extLst>
              <a:ext uri="{FF2B5EF4-FFF2-40B4-BE49-F238E27FC236}">
                <a16:creationId xmlns:a16="http://schemas.microsoft.com/office/drawing/2014/main" id="{00000000-0008-0000-0300-00001D2F0000}"/>
              </a:ext>
            </a:extLst>
          </xdr:cNvPr>
          <xdr:cNvSpPr/>
        </xdr:nvSpPr>
        <xdr:spPr>
          <a:xfrm>
            <a:off x="2921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2" name="$E$171">
            <a:extLst>
              <a:ext uri="{FF2B5EF4-FFF2-40B4-BE49-F238E27FC236}">
                <a16:creationId xmlns:a16="http://schemas.microsoft.com/office/drawing/2014/main" id="{00000000-0008-0000-0300-00001E2F0000}"/>
              </a:ext>
            </a:extLst>
          </xdr:cNvPr>
          <xdr:cNvSpPr/>
        </xdr:nvSpPr>
        <xdr:spPr>
          <a:xfrm>
            <a:off x="3175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3" name="$E$171">
            <a:extLst>
              <a:ext uri="{FF2B5EF4-FFF2-40B4-BE49-F238E27FC236}">
                <a16:creationId xmlns:a16="http://schemas.microsoft.com/office/drawing/2014/main" id="{00000000-0008-0000-0300-00001F2F0000}"/>
              </a:ext>
            </a:extLst>
          </xdr:cNvPr>
          <xdr:cNvSpPr/>
        </xdr:nvSpPr>
        <xdr:spPr>
          <a:xfrm>
            <a:off x="3429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4" name="$E$171">
            <a:extLst>
              <a:ext uri="{FF2B5EF4-FFF2-40B4-BE49-F238E27FC236}">
                <a16:creationId xmlns:a16="http://schemas.microsoft.com/office/drawing/2014/main" id="{00000000-0008-0000-0300-0000202F0000}"/>
              </a:ext>
            </a:extLst>
          </xdr:cNvPr>
          <xdr:cNvSpPr/>
        </xdr:nvSpPr>
        <xdr:spPr>
          <a:xfrm>
            <a:off x="3556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5" name="$E$171">
            <a:extLst>
              <a:ext uri="{FF2B5EF4-FFF2-40B4-BE49-F238E27FC236}">
                <a16:creationId xmlns:a16="http://schemas.microsoft.com/office/drawing/2014/main" id="{00000000-0008-0000-0300-0000212F0000}"/>
              </a:ext>
            </a:extLst>
          </xdr:cNvPr>
          <xdr:cNvSpPr/>
        </xdr:nvSpPr>
        <xdr:spPr>
          <a:xfrm>
            <a:off x="4064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6" name="$E$171">
            <a:extLst>
              <a:ext uri="{FF2B5EF4-FFF2-40B4-BE49-F238E27FC236}">
                <a16:creationId xmlns:a16="http://schemas.microsoft.com/office/drawing/2014/main" id="{00000000-0008-0000-0300-0000222F0000}"/>
              </a:ext>
            </a:extLst>
          </xdr:cNvPr>
          <xdr:cNvSpPr/>
        </xdr:nvSpPr>
        <xdr:spPr>
          <a:xfrm>
            <a:off x="431800" y="3683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7" name="$E$171">
            <a:extLst>
              <a:ext uri="{FF2B5EF4-FFF2-40B4-BE49-F238E27FC236}">
                <a16:creationId xmlns:a16="http://schemas.microsoft.com/office/drawing/2014/main" id="{00000000-0008-0000-0300-0000232F0000}"/>
              </a:ext>
            </a:extLst>
          </xdr:cNvPr>
          <xdr:cNvSpPr/>
        </xdr:nvSpPr>
        <xdr:spPr>
          <a:xfrm>
            <a:off x="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8" name="$E$171">
            <a:extLst>
              <a:ext uri="{FF2B5EF4-FFF2-40B4-BE49-F238E27FC236}">
                <a16:creationId xmlns:a16="http://schemas.microsoft.com/office/drawing/2014/main" id="{00000000-0008-0000-0300-0000242F0000}"/>
              </a:ext>
            </a:extLst>
          </xdr:cNvPr>
          <xdr:cNvSpPr/>
        </xdr:nvSpPr>
        <xdr:spPr>
          <a:xfrm>
            <a:off x="127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69" name="$E$171">
            <a:extLst>
              <a:ext uri="{FF2B5EF4-FFF2-40B4-BE49-F238E27FC236}">
                <a16:creationId xmlns:a16="http://schemas.microsoft.com/office/drawing/2014/main" id="{00000000-0008-0000-0300-0000252F0000}"/>
              </a:ext>
            </a:extLst>
          </xdr:cNvPr>
          <xdr:cNvSpPr/>
        </xdr:nvSpPr>
        <xdr:spPr>
          <a:xfrm>
            <a:off x="254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0" name="$E$171">
            <a:extLst>
              <a:ext uri="{FF2B5EF4-FFF2-40B4-BE49-F238E27FC236}">
                <a16:creationId xmlns:a16="http://schemas.microsoft.com/office/drawing/2014/main" id="{00000000-0008-0000-0300-0000262F0000}"/>
              </a:ext>
            </a:extLst>
          </xdr:cNvPr>
          <xdr:cNvSpPr/>
        </xdr:nvSpPr>
        <xdr:spPr>
          <a:xfrm>
            <a:off x="381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1" name="$E$171">
            <a:extLst>
              <a:ext uri="{FF2B5EF4-FFF2-40B4-BE49-F238E27FC236}">
                <a16:creationId xmlns:a16="http://schemas.microsoft.com/office/drawing/2014/main" id="{00000000-0008-0000-0300-0000272F0000}"/>
              </a:ext>
            </a:extLst>
          </xdr:cNvPr>
          <xdr:cNvSpPr/>
        </xdr:nvSpPr>
        <xdr:spPr>
          <a:xfrm>
            <a:off x="508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2" name="$E$171">
            <a:extLst>
              <a:ext uri="{FF2B5EF4-FFF2-40B4-BE49-F238E27FC236}">
                <a16:creationId xmlns:a16="http://schemas.microsoft.com/office/drawing/2014/main" id="{00000000-0008-0000-0300-0000282F0000}"/>
              </a:ext>
            </a:extLst>
          </xdr:cNvPr>
          <xdr:cNvSpPr/>
        </xdr:nvSpPr>
        <xdr:spPr>
          <a:xfrm>
            <a:off x="635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3" name="$E$171">
            <a:extLst>
              <a:ext uri="{FF2B5EF4-FFF2-40B4-BE49-F238E27FC236}">
                <a16:creationId xmlns:a16="http://schemas.microsoft.com/office/drawing/2014/main" id="{00000000-0008-0000-0300-0000292F0000}"/>
              </a:ext>
            </a:extLst>
          </xdr:cNvPr>
          <xdr:cNvSpPr/>
        </xdr:nvSpPr>
        <xdr:spPr>
          <a:xfrm>
            <a:off x="762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4" name="$E$171">
            <a:extLst>
              <a:ext uri="{FF2B5EF4-FFF2-40B4-BE49-F238E27FC236}">
                <a16:creationId xmlns:a16="http://schemas.microsoft.com/office/drawing/2014/main" id="{00000000-0008-0000-0300-00002A2F0000}"/>
              </a:ext>
            </a:extLst>
          </xdr:cNvPr>
          <xdr:cNvSpPr/>
        </xdr:nvSpPr>
        <xdr:spPr>
          <a:xfrm>
            <a:off x="1016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5" name="$E$171">
            <a:extLst>
              <a:ext uri="{FF2B5EF4-FFF2-40B4-BE49-F238E27FC236}">
                <a16:creationId xmlns:a16="http://schemas.microsoft.com/office/drawing/2014/main" id="{00000000-0008-0000-0300-00002B2F0000}"/>
              </a:ext>
            </a:extLst>
          </xdr:cNvPr>
          <xdr:cNvSpPr/>
        </xdr:nvSpPr>
        <xdr:spPr>
          <a:xfrm>
            <a:off x="1651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6" name="$E$171">
            <a:extLst>
              <a:ext uri="{FF2B5EF4-FFF2-40B4-BE49-F238E27FC236}">
                <a16:creationId xmlns:a16="http://schemas.microsoft.com/office/drawing/2014/main" id="{00000000-0008-0000-0300-00002C2F0000}"/>
              </a:ext>
            </a:extLst>
          </xdr:cNvPr>
          <xdr:cNvSpPr/>
        </xdr:nvSpPr>
        <xdr:spPr>
          <a:xfrm>
            <a:off x="1778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7" name="$E$171">
            <a:extLst>
              <a:ext uri="{FF2B5EF4-FFF2-40B4-BE49-F238E27FC236}">
                <a16:creationId xmlns:a16="http://schemas.microsoft.com/office/drawing/2014/main" id="{00000000-0008-0000-0300-00002D2F0000}"/>
              </a:ext>
            </a:extLst>
          </xdr:cNvPr>
          <xdr:cNvSpPr/>
        </xdr:nvSpPr>
        <xdr:spPr>
          <a:xfrm>
            <a:off x="1905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8" name="$E$171">
            <a:extLst>
              <a:ext uri="{FF2B5EF4-FFF2-40B4-BE49-F238E27FC236}">
                <a16:creationId xmlns:a16="http://schemas.microsoft.com/office/drawing/2014/main" id="{00000000-0008-0000-0300-00002E2F0000}"/>
              </a:ext>
            </a:extLst>
          </xdr:cNvPr>
          <xdr:cNvSpPr/>
        </xdr:nvSpPr>
        <xdr:spPr>
          <a:xfrm>
            <a:off x="2032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79" name="$E$171">
            <a:extLst>
              <a:ext uri="{FF2B5EF4-FFF2-40B4-BE49-F238E27FC236}">
                <a16:creationId xmlns:a16="http://schemas.microsoft.com/office/drawing/2014/main" id="{00000000-0008-0000-0300-00002F2F0000}"/>
              </a:ext>
            </a:extLst>
          </xdr:cNvPr>
          <xdr:cNvSpPr/>
        </xdr:nvSpPr>
        <xdr:spPr>
          <a:xfrm>
            <a:off x="2159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0" name="$E$171">
            <a:extLst>
              <a:ext uri="{FF2B5EF4-FFF2-40B4-BE49-F238E27FC236}">
                <a16:creationId xmlns:a16="http://schemas.microsoft.com/office/drawing/2014/main" id="{00000000-0008-0000-0300-0000302F0000}"/>
              </a:ext>
            </a:extLst>
          </xdr:cNvPr>
          <xdr:cNvSpPr/>
        </xdr:nvSpPr>
        <xdr:spPr>
          <a:xfrm>
            <a:off x="2540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1" name="$E$171">
            <a:extLst>
              <a:ext uri="{FF2B5EF4-FFF2-40B4-BE49-F238E27FC236}">
                <a16:creationId xmlns:a16="http://schemas.microsoft.com/office/drawing/2014/main" id="{00000000-0008-0000-0300-0000312F0000}"/>
              </a:ext>
            </a:extLst>
          </xdr:cNvPr>
          <xdr:cNvSpPr/>
        </xdr:nvSpPr>
        <xdr:spPr>
          <a:xfrm>
            <a:off x="2667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2" name="$E$171">
            <a:extLst>
              <a:ext uri="{FF2B5EF4-FFF2-40B4-BE49-F238E27FC236}">
                <a16:creationId xmlns:a16="http://schemas.microsoft.com/office/drawing/2014/main" id="{00000000-0008-0000-0300-0000322F0000}"/>
              </a:ext>
            </a:extLst>
          </xdr:cNvPr>
          <xdr:cNvSpPr/>
        </xdr:nvSpPr>
        <xdr:spPr>
          <a:xfrm>
            <a:off x="2794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3" name="$E$171">
            <a:extLst>
              <a:ext uri="{FF2B5EF4-FFF2-40B4-BE49-F238E27FC236}">
                <a16:creationId xmlns:a16="http://schemas.microsoft.com/office/drawing/2014/main" id="{00000000-0008-0000-0300-0000332F0000}"/>
              </a:ext>
            </a:extLst>
          </xdr:cNvPr>
          <xdr:cNvSpPr/>
        </xdr:nvSpPr>
        <xdr:spPr>
          <a:xfrm>
            <a:off x="3302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4" name="$E$171">
            <a:extLst>
              <a:ext uri="{FF2B5EF4-FFF2-40B4-BE49-F238E27FC236}">
                <a16:creationId xmlns:a16="http://schemas.microsoft.com/office/drawing/2014/main" id="{00000000-0008-0000-0300-0000342F0000}"/>
              </a:ext>
            </a:extLst>
          </xdr:cNvPr>
          <xdr:cNvSpPr/>
        </xdr:nvSpPr>
        <xdr:spPr>
          <a:xfrm>
            <a:off x="3556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5" name="$E$171">
            <a:extLst>
              <a:ext uri="{FF2B5EF4-FFF2-40B4-BE49-F238E27FC236}">
                <a16:creationId xmlns:a16="http://schemas.microsoft.com/office/drawing/2014/main" id="{00000000-0008-0000-0300-0000352F0000}"/>
              </a:ext>
            </a:extLst>
          </xdr:cNvPr>
          <xdr:cNvSpPr/>
        </xdr:nvSpPr>
        <xdr:spPr>
          <a:xfrm>
            <a:off x="3810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6" name="$E$171">
            <a:extLst>
              <a:ext uri="{FF2B5EF4-FFF2-40B4-BE49-F238E27FC236}">
                <a16:creationId xmlns:a16="http://schemas.microsoft.com/office/drawing/2014/main" id="{00000000-0008-0000-0300-0000362F0000}"/>
              </a:ext>
            </a:extLst>
          </xdr:cNvPr>
          <xdr:cNvSpPr/>
        </xdr:nvSpPr>
        <xdr:spPr>
          <a:xfrm>
            <a:off x="4064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7" name="$E$171">
            <a:extLst>
              <a:ext uri="{FF2B5EF4-FFF2-40B4-BE49-F238E27FC236}">
                <a16:creationId xmlns:a16="http://schemas.microsoft.com/office/drawing/2014/main" id="{00000000-0008-0000-0300-0000372F0000}"/>
              </a:ext>
            </a:extLst>
          </xdr:cNvPr>
          <xdr:cNvSpPr/>
        </xdr:nvSpPr>
        <xdr:spPr>
          <a:xfrm>
            <a:off x="4191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8" name="$E$171">
            <a:extLst>
              <a:ext uri="{FF2B5EF4-FFF2-40B4-BE49-F238E27FC236}">
                <a16:creationId xmlns:a16="http://schemas.microsoft.com/office/drawing/2014/main" id="{00000000-0008-0000-0300-0000382F0000}"/>
              </a:ext>
            </a:extLst>
          </xdr:cNvPr>
          <xdr:cNvSpPr/>
        </xdr:nvSpPr>
        <xdr:spPr>
          <a:xfrm>
            <a:off x="4318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89" name="$E$171">
            <a:extLst>
              <a:ext uri="{FF2B5EF4-FFF2-40B4-BE49-F238E27FC236}">
                <a16:creationId xmlns:a16="http://schemas.microsoft.com/office/drawing/2014/main" id="{00000000-0008-0000-0300-0000392F0000}"/>
              </a:ext>
            </a:extLst>
          </xdr:cNvPr>
          <xdr:cNvSpPr/>
        </xdr:nvSpPr>
        <xdr:spPr>
          <a:xfrm>
            <a:off x="4445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0" name="$E$171">
            <a:extLst>
              <a:ext uri="{FF2B5EF4-FFF2-40B4-BE49-F238E27FC236}">
                <a16:creationId xmlns:a16="http://schemas.microsoft.com/office/drawing/2014/main" id="{00000000-0008-0000-0300-00003A2F0000}"/>
              </a:ext>
            </a:extLst>
          </xdr:cNvPr>
          <xdr:cNvSpPr/>
        </xdr:nvSpPr>
        <xdr:spPr>
          <a:xfrm>
            <a:off x="457200" y="3810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1" name="$E$171">
            <a:extLst>
              <a:ext uri="{FF2B5EF4-FFF2-40B4-BE49-F238E27FC236}">
                <a16:creationId xmlns:a16="http://schemas.microsoft.com/office/drawing/2014/main" id="{00000000-0008-0000-0300-00003B2F0000}"/>
              </a:ext>
            </a:extLst>
          </xdr:cNvPr>
          <xdr:cNvSpPr/>
        </xdr:nvSpPr>
        <xdr:spPr>
          <a:xfrm>
            <a:off x="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2" name="$E$171">
            <a:extLst>
              <a:ext uri="{FF2B5EF4-FFF2-40B4-BE49-F238E27FC236}">
                <a16:creationId xmlns:a16="http://schemas.microsoft.com/office/drawing/2014/main" id="{00000000-0008-0000-0300-00003C2F0000}"/>
              </a:ext>
            </a:extLst>
          </xdr:cNvPr>
          <xdr:cNvSpPr/>
        </xdr:nvSpPr>
        <xdr:spPr>
          <a:xfrm>
            <a:off x="762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3" name="$E$171">
            <a:extLst>
              <a:ext uri="{FF2B5EF4-FFF2-40B4-BE49-F238E27FC236}">
                <a16:creationId xmlns:a16="http://schemas.microsoft.com/office/drawing/2014/main" id="{00000000-0008-0000-0300-00003D2F0000}"/>
              </a:ext>
            </a:extLst>
          </xdr:cNvPr>
          <xdr:cNvSpPr/>
        </xdr:nvSpPr>
        <xdr:spPr>
          <a:xfrm>
            <a:off x="1143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4" name="$E$171">
            <a:extLst>
              <a:ext uri="{FF2B5EF4-FFF2-40B4-BE49-F238E27FC236}">
                <a16:creationId xmlns:a16="http://schemas.microsoft.com/office/drawing/2014/main" id="{00000000-0008-0000-0300-00003E2F0000}"/>
              </a:ext>
            </a:extLst>
          </xdr:cNvPr>
          <xdr:cNvSpPr/>
        </xdr:nvSpPr>
        <xdr:spPr>
          <a:xfrm>
            <a:off x="1270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5" name="$E$171">
            <a:extLst>
              <a:ext uri="{FF2B5EF4-FFF2-40B4-BE49-F238E27FC236}">
                <a16:creationId xmlns:a16="http://schemas.microsoft.com/office/drawing/2014/main" id="{00000000-0008-0000-0300-00003F2F0000}"/>
              </a:ext>
            </a:extLst>
          </xdr:cNvPr>
          <xdr:cNvSpPr/>
        </xdr:nvSpPr>
        <xdr:spPr>
          <a:xfrm>
            <a:off x="1524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6" name="$E$171">
            <a:extLst>
              <a:ext uri="{FF2B5EF4-FFF2-40B4-BE49-F238E27FC236}">
                <a16:creationId xmlns:a16="http://schemas.microsoft.com/office/drawing/2014/main" id="{00000000-0008-0000-0300-0000402F0000}"/>
              </a:ext>
            </a:extLst>
          </xdr:cNvPr>
          <xdr:cNvSpPr/>
        </xdr:nvSpPr>
        <xdr:spPr>
          <a:xfrm>
            <a:off x="1651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7" name="$E$171">
            <a:extLst>
              <a:ext uri="{FF2B5EF4-FFF2-40B4-BE49-F238E27FC236}">
                <a16:creationId xmlns:a16="http://schemas.microsoft.com/office/drawing/2014/main" id="{00000000-0008-0000-0300-0000412F0000}"/>
              </a:ext>
            </a:extLst>
          </xdr:cNvPr>
          <xdr:cNvSpPr/>
        </xdr:nvSpPr>
        <xdr:spPr>
          <a:xfrm>
            <a:off x="1905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8" name="$E$171">
            <a:extLst>
              <a:ext uri="{FF2B5EF4-FFF2-40B4-BE49-F238E27FC236}">
                <a16:creationId xmlns:a16="http://schemas.microsoft.com/office/drawing/2014/main" id="{00000000-0008-0000-0300-0000422F0000}"/>
              </a:ext>
            </a:extLst>
          </xdr:cNvPr>
          <xdr:cNvSpPr/>
        </xdr:nvSpPr>
        <xdr:spPr>
          <a:xfrm>
            <a:off x="2667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099" name="$E$171">
            <a:extLst>
              <a:ext uri="{FF2B5EF4-FFF2-40B4-BE49-F238E27FC236}">
                <a16:creationId xmlns:a16="http://schemas.microsoft.com/office/drawing/2014/main" id="{00000000-0008-0000-0300-0000432F0000}"/>
              </a:ext>
            </a:extLst>
          </xdr:cNvPr>
          <xdr:cNvSpPr/>
        </xdr:nvSpPr>
        <xdr:spPr>
          <a:xfrm>
            <a:off x="2794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0" name="$E$171">
            <a:extLst>
              <a:ext uri="{FF2B5EF4-FFF2-40B4-BE49-F238E27FC236}">
                <a16:creationId xmlns:a16="http://schemas.microsoft.com/office/drawing/2014/main" id="{00000000-0008-0000-0300-0000442F0000}"/>
              </a:ext>
            </a:extLst>
          </xdr:cNvPr>
          <xdr:cNvSpPr/>
        </xdr:nvSpPr>
        <xdr:spPr>
          <a:xfrm>
            <a:off x="3302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1" name="$E$171">
            <a:extLst>
              <a:ext uri="{FF2B5EF4-FFF2-40B4-BE49-F238E27FC236}">
                <a16:creationId xmlns:a16="http://schemas.microsoft.com/office/drawing/2014/main" id="{00000000-0008-0000-0300-0000452F0000}"/>
              </a:ext>
            </a:extLst>
          </xdr:cNvPr>
          <xdr:cNvSpPr/>
        </xdr:nvSpPr>
        <xdr:spPr>
          <a:xfrm>
            <a:off x="3556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2" name="$E$171">
            <a:extLst>
              <a:ext uri="{FF2B5EF4-FFF2-40B4-BE49-F238E27FC236}">
                <a16:creationId xmlns:a16="http://schemas.microsoft.com/office/drawing/2014/main" id="{00000000-0008-0000-0300-0000462F0000}"/>
              </a:ext>
            </a:extLst>
          </xdr:cNvPr>
          <xdr:cNvSpPr/>
        </xdr:nvSpPr>
        <xdr:spPr>
          <a:xfrm>
            <a:off x="4064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3" name="$E$171">
            <a:extLst>
              <a:ext uri="{FF2B5EF4-FFF2-40B4-BE49-F238E27FC236}">
                <a16:creationId xmlns:a16="http://schemas.microsoft.com/office/drawing/2014/main" id="{00000000-0008-0000-0300-0000472F0000}"/>
              </a:ext>
            </a:extLst>
          </xdr:cNvPr>
          <xdr:cNvSpPr/>
        </xdr:nvSpPr>
        <xdr:spPr>
          <a:xfrm>
            <a:off x="4445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4" name="$E$171">
            <a:extLst>
              <a:ext uri="{FF2B5EF4-FFF2-40B4-BE49-F238E27FC236}">
                <a16:creationId xmlns:a16="http://schemas.microsoft.com/office/drawing/2014/main" id="{00000000-0008-0000-0300-0000482F0000}"/>
              </a:ext>
            </a:extLst>
          </xdr:cNvPr>
          <xdr:cNvSpPr/>
        </xdr:nvSpPr>
        <xdr:spPr>
          <a:xfrm>
            <a:off x="457200" y="3937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5" name="$E$171">
            <a:extLst>
              <a:ext uri="{FF2B5EF4-FFF2-40B4-BE49-F238E27FC236}">
                <a16:creationId xmlns:a16="http://schemas.microsoft.com/office/drawing/2014/main" id="{00000000-0008-0000-0300-0000492F0000}"/>
              </a:ext>
            </a:extLst>
          </xdr:cNvPr>
          <xdr:cNvSpPr/>
        </xdr:nvSpPr>
        <xdr:spPr>
          <a:xfrm>
            <a:off x="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6" name="$E$171">
            <a:extLst>
              <a:ext uri="{FF2B5EF4-FFF2-40B4-BE49-F238E27FC236}">
                <a16:creationId xmlns:a16="http://schemas.microsoft.com/office/drawing/2014/main" id="{00000000-0008-0000-0300-00004A2F0000}"/>
              </a:ext>
            </a:extLst>
          </xdr:cNvPr>
          <xdr:cNvSpPr/>
        </xdr:nvSpPr>
        <xdr:spPr>
          <a:xfrm>
            <a:off x="254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7" name="$E$171">
            <a:extLst>
              <a:ext uri="{FF2B5EF4-FFF2-40B4-BE49-F238E27FC236}">
                <a16:creationId xmlns:a16="http://schemas.microsoft.com/office/drawing/2014/main" id="{00000000-0008-0000-0300-00004B2F0000}"/>
              </a:ext>
            </a:extLst>
          </xdr:cNvPr>
          <xdr:cNvSpPr/>
        </xdr:nvSpPr>
        <xdr:spPr>
          <a:xfrm>
            <a:off x="381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8" name="$E$171">
            <a:extLst>
              <a:ext uri="{FF2B5EF4-FFF2-40B4-BE49-F238E27FC236}">
                <a16:creationId xmlns:a16="http://schemas.microsoft.com/office/drawing/2014/main" id="{00000000-0008-0000-0300-00004C2F0000}"/>
              </a:ext>
            </a:extLst>
          </xdr:cNvPr>
          <xdr:cNvSpPr/>
        </xdr:nvSpPr>
        <xdr:spPr>
          <a:xfrm>
            <a:off x="508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09" name="$E$171">
            <a:extLst>
              <a:ext uri="{FF2B5EF4-FFF2-40B4-BE49-F238E27FC236}">
                <a16:creationId xmlns:a16="http://schemas.microsoft.com/office/drawing/2014/main" id="{00000000-0008-0000-0300-00004D2F0000}"/>
              </a:ext>
            </a:extLst>
          </xdr:cNvPr>
          <xdr:cNvSpPr/>
        </xdr:nvSpPr>
        <xdr:spPr>
          <a:xfrm>
            <a:off x="762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0" name="$E$171">
            <a:extLst>
              <a:ext uri="{FF2B5EF4-FFF2-40B4-BE49-F238E27FC236}">
                <a16:creationId xmlns:a16="http://schemas.microsoft.com/office/drawing/2014/main" id="{00000000-0008-0000-0300-00004E2F0000}"/>
              </a:ext>
            </a:extLst>
          </xdr:cNvPr>
          <xdr:cNvSpPr/>
        </xdr:nvSpPr>
        <xdr:spPr>
          <a:xfrm>
            <a:off x="1016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1" name="$E$171">
            <a:extLst>
              <a:ext uri="{FF2B5EF4-FFF2-40B4-BE49-F238E27FC236}">
                <a16:creationId xmlns:a16="http://schemas.microsoft.com/office/drawing/2014/main" id="{00000000-0008-0000-0300-00004F2F0000}"/>
              </a:ext>
            </a:extLst>
          </xdr:cNvPr>
          <xdr:cNvSpPr/>
        </xdr:nvSpPr>
        <xdr:spPr>
          <a:xfrm>
            <a:off x="1143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2" name="$E$171">
            <a:extLst>
              <a:ext uri="{FF2B5EF4-FFF2-40B4-BE49-F238E27FC236}">
                <a16:creationId xmlns:a16="http://schemas.microsoft.com/office/drawing/2014/main" id="{00000000-0008-0000-0300-0000502F0000}"/>
              </a:ext>
            </a:extLst>
          </xdr:cNvPr>
          <xdr:cNvSpPr/>
        </xdr:nvSpPr>
        <xdr:spPr>
          <a:xfrm>
            <a:off x="1524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3" name="$E$171">
            <a:extLst>
              <a:ext uri="{FF2B5EF4-FFF2-40B4-BE49-F238E27FC236}">
                <a16:creationId xmlns:a16="http://schemas.microsoft.com/office/drawing/2014/main" id="{00000000-0008-0000-0300-0000512F0000}"/>
              </a:ext>
            </a:extLst>
          </xdr:cNvPr>
          <xdr:cNvSpPr/>
        </xdr:nvSpPr>
        <xdr:spPr>
          <a:xfrm>
            <a:off x="1778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4" name="$E$171">
            <a:extLst>
              <a:ext uri="{FF2B5EF4-FFF2-40B4-BE49-F238E27FC236}">
                <a16:creationId xmlns:a16="http://schemas.microsoft.com/office/drawing/2014/main" id="{00000000-0008-0000-0300-0000522F0000}"/>
              </a:ext>
            </a:extLst>
          </xdr:cNvPr>
          <xdr:cNvSpPr/>
        </xdr:nvSpPr>
        <xdr:spPr>
          <a:xfrm>
            <a:off x="1905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5" name="$E$171">
            <a:extLst>
              <a:ext uri="{FF2B5EF4-FFF2-40B4-BE49-F238E27FC236}">
                <a16:creationId xmlns:a16="http://schemas.microsoft.com/office/drawing/2014/main" id="{00000000-0008-0000-0300-0000532F0000}"/>
              </a:ext>
            </a:extLst>
          </xdr:cNvPr>
          <xdr:cNvSpPr/>
        </xdr:nvSpPr>
        <xdr:spPr>
          <a:xfrm>
            <a:off x="2032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6" name="$E$171">
            <a:extLst>
              <a:ext uri="{FF2B5EF4-FFF2-40B4-BE49-F238E27FC236}">
                <a16:creationId xmlns:a16="http://schemas.microsoft.com/office/drawing/2014/main" id="{00000000-0008-0000-0300-0000542F0000}"/>
              </a:ext>
            </a:extLst>
          </xdr:cNvPr>
          <xdr:cNvSpPr/>
        </xdr:nvSpPr>
        <xdr:spPr>
          <a:xfrm>
            <a:off x="2159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7" name="$E$171">
            <a:extLst>
              <a:ext uri="{FF2B5EF4-FFF2-40B4-BE49-F238E27FC236}">
                <a16:creationId xmlns:a16="http://schemas.microsoft.com/office/drawing/2014/main" id="{00000000-0008-0000-0300-0000552F0000}"/>
              </a:ext>
            </a:extLst>
          </xdr:cNvPr>
          <xdr:cNvSpPr/>
        </xdr:nvSpPr>
        <xdr:spPr>
          <a:xfrm>
            <a:off x="2413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8" name="$E$171">
            <a:extLst>
              <a:ext uri="{FF2B5EF4-FFF2-40B4-BE49-F238E27FC236}">
                <a16:creationId xmlns:a16="http://schemas.microsoft.com/office/drawing/2014/main" id="{00000000-0008-0000-0300-0000562F0000}"/>
              </a:ext>
            </a:extLst>
          </xdr:cNvPr>
          <xdr:cNvSpPr/>
        </xdr:nvSpPr>
        <xdr:spPr>
          <a:xfrm>
            <a:off x="2794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19" name="$E$171">
            <a:extLst>
              <a:ext uri="{FF2B5EF4-FFF2-40B4-BE49-F238E27FC236}">
                <a16:creationId xmlns:a16="http://schemas.microsoft.com/office/drawing/2014/main" id="{00000000-0008-0000-0300-0000572F0000}"/>
              </a:ext>
            </a:extLst>
          </xdr:cNvPr>
          <xdr:cNvSpPr/>
        </xdr:nvSpPr>
        <xdr:spPr>
          <a:xfrm>
            <a:off x="3048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0" name="$E$171">
            <a:extLst>
              <a:ext uri="{FF2B5EF4-FFF2-40B4-BE49-F238E27FC236}">
                <a16:creationId xmlns:a16="http://schemas.microsoft.com/office/drawing/2014/main" id="{00000000-0008-0000-0300-0000582F0000}"/>
              </a:ext>
            </a:extLst>
          </xdr:cNvPr>
          <xdr:cNvSpPr/>
        </xdr:nvSpPr>
        <xdr:spPr>
          <a:xfrm>
            <a:off x="3175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1" name="$E$171">
            <a:extLst>
              <a:ext uri="{FF2B5EF4-FFF2-40B4-BE49-F238E27FC236}">
                <a16:creationId xmlns:a16="http://schemas.microsoft.com/office/drawing/2014/main" id="{00000000-0008-0000-0300-0000592F0000}"/>
              </a:ext>
            </a:extLst>
          </xdr:cNvPr>
          <xdr:cNvSpPr/>
        </xdr:nvSpPr>
        <xdr:spPr>
          <a:xfrm>
            <a:off x="3302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2" name="$E$171">
            <a:extLst>
              <a:ext uri="{FF2B5EF4-FFF2-40B4-BE49-F238E27FC236}">
                <a16:creationId xmlns:a16="http://schemas.microsoft.com/office/drawing/2014/main" id="{00000000-0008-0000-0300-00005A2F0000}"/>
              </a:ext>
            </a:extLst>
          </xdr:cNvPr>
          <xdr:cNvSpPr/>
        </xdr:nvSpPr>
        <xdr:spPr>
          <a:xfrm>
            <a:off x="3429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3" name="$E$171">
            <a:extLst>
              <a:ext uri="{FF2B5EF4-FFF2-40B4-BE49-F238E27FC236}">
                <a16:creationId xmlns:a16="http://schemas.microsoft.com/office/drawing/2014/main" id="{00000000-0008-0000-0300-00005B2F0000}"/>
              </a:ext>
            </a:extLst>
          </xdr:cNvPr>
          <xdr:cNvSpPr/>
        </xdr:nvSpPr>
        <xdr:spPr>
          <a:xfrm>
            <a:off x="3556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4" name="$E$171">
            <a:extLst>
              <a:ext uri="{FF2B5EF4-FFF2-40B4-BE49-F238E27FC236}">
                <a16:creationId xmlns:a16="http://schemas.microsoft.com/office/drawing/2014/main" id="{00000000-0008-0000-0300-00005C2F0000}"/>
              </a:ext>
            </a:extLst>
          </xdr:cNvPr>
          <xdr:cNvSpPr/>
        </xdr:nvSpPr>
        <xdr:spPr>
          <a:xfrm>
            <a:off x="3683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5" name="$E$171">
            <a:extLst>
              <a:ext uri="{FF2B5EF4-FFF2-40B4-BE49-F238E27FC236}">
                <a16:creationId xmlns:a16="http://schemas.microsoft.com/office/drawing/2014/main" id="{00000000-0008-0000-0300-00005D2F0000}"/>
              </a:ext>
            </a:extLst>
          </xdr:cNvPr>
          <xdr:cNvSpPr/>
        </xdr:nvSpPr>
        <xdr:spPr>
          <a:xfrm>
            <a:off x="3810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6" name="$E$171">
            <a:extLst>
              <a:ext uri="{FF2B5EF4-FFF2-40B4-BE49-F238E27FC236}">
                <a16:creationId xmlns:a16="http://schemas.microsoft.com/office/drawing/2014/main" id="{00000000-0008-0000-0300-00005E2F0000}"/>
              </a:ext>
            </a:extLst>
          </xdr:cNvPr>
          <xdr:cNvSpPr/>
        </xdr:nvSpPr>
        <xdr:spPr>
          <a:xfrm>
            <a:off x="3937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7" name="$E$171">
            <a:extLst>
              <a:ext uri="{FF2B5EF4-FFF2-40B4-BE49-F238E27FC236}">
                <a16:creationId xmlns:a16="http://schemas.microsoft.com/office/drawing/2014/main" id="{00000000-0008-0000-0300-00005F2F0000}"/>
              </a:ext>
            </a:extLst>
          </xdr:cNvPr>
          <xdr:cNvSpPr/>
        </xdr:nvSpPr>
        <xdr:spPr>
          <a:xfrm>
            <a:off x="4064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8" name="$E$171">
            <a:extLst>
              <a:ext uri="{FF2B5EF4-FFF2-40B4-BE49-F238E27FC236}">
                <a16:creationId xmlns:a16="http://schemas.microsoft.com/office/drawing/2014/main" id="{00000000-0008-0000-0300-0000602F0000}"/>
              </a:ext>
            </a:extLst>
          </xdr:cNvPr>
          <xdr:cNvSpPr/>
        </xdr:nvSpPr>
        <xdr:spPr>
          <a:xfrm>
            <a:off x="431800" y="4064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29" name="$E$171">
            <a:extLst>
              <a:ext uri="{FF2B5EF4-FFF2-40B4-BE49-F238E27FC236}">
                <a16:creationId xmlns:a16="http://schemas.microsoft.com/office/drawing/2014/main" id="{00000000-0008-0000-0300-0000612F0000}"/>
              </a:ext>
            </a:extLst>
          </xdr:cNvPr>
          <xdr:cNvSpPr/>
        </xdr:nvSpPr>
        <xdr:spPr>
          <a:xfrm>
            <a:off x="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0" name="$E$171">
            <a:extLst>
              <a:ext uri="{FF2B5EF4-FFF2-40B4-BE49-F238E27FC236}">
                <a16:creationId xmlns:a16="http://schemas.microsoft.com/office/drawing/2014/main" id="{00000000-0008-0000-0300-0000622F0000}"/>
              </a:ext>
            </a:extLst>
          </xdr:cNvPr>
          <xdr:cNvSpPr/>
        </xdr:nvSpPr>
        <xdr:spPr>
          <a:xfrm>
            <a:off x="254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1" name="$E$171">
            <a:extLst>
              <a:ext uri="{FF2B5EF4-FFF2-40B4-BE49-F238E27FC236}">
                <a16:creationId xmlns:a16="http://schemas.microsoft.com/office/drawing/2014/main" id="{00000000-0008-0000-0300-0000632F0000}"/>
              </a:ext>
            </a:extLst>
          </xdr:cNvPr>
          <xdr:cNvSpPr/>
        </xdr:nvSpPr>
        <xdr:spPr>
          <a:xfrm>
            <a:off x="381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2" name="$E$171">
            <a:extLst>
              <a:ext uri="{FF2B5EF4-FFF2-40B4-BE49-F238E27FC236}">
                <a16:creationId xmlns:a16="http://schemas.microsoft.com/office/drawing/2014/main" id="{00000000-0008-0000-0300-0000642F0000}"/>
              </a:ext>
            </a:extLst>
          </xdr:cNvPr>
          <xdr:cNvSpPr/>
        </xdr:nvSpPr>
        <xdr:spPr>
          <a:xfrm>
            <a:off x="508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3" name="$E$171">
            <a:extLst>
              <a:ext uri="{FF2B5EF4-FFF2-40B4-BE49-F238E27FC236}">
                <a16:creationId xmlns:a16="http://schemas.microsoft.com/office/drawing/2014/main" id="{00000000-0008-0000-0300-0000652F0000}"/>
              </a:ext>
            </a:extLst>
          </xdr:cNvPr>
          <xdr:cNvSpPr/>
        </xdr:nvSpPr>
        <xdr:spPr>
          <a:xfrm>
            <a:off x="762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4" name="$E$171">
            <a:extLst>
              <a:ext uri="{FF2B5EF4-FFF2-40B4-BE49-F238E27FC236}">
                <a16:creationId xmlns:a16="http://schemas.microsoft.com/office/drawing/2014/main" id="{00000000-0008-0000-0300-0000662F0000}"/>
              </a:ext>
            </a:extLst>
          </xdr:cNvPr>
          <xdr:cNvSpPr/>
        </xdr:nvSpPr>
        <xdr:spPr>
          <a:xfrm>
            <a:off x="1016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5" name="$E$171">
            <a:extLst>
              <a:ext uri="{FF2B5EF4-FFF2-40B4-BE49-F238E27FC236}">
                <a16:creationId xmlns:a16="http://schemas.microsoft.com/office/drawing/2014/main" id="{00000000-0008-0000-0300-0000672F0000}"/>
              </a:ext>
            </a:extLst>
          </xdr:cNvPr>
          <xdr:cNvSpPr/>
        </xdr:nvSpPr>
        <xdr:spPr>
          <a:xfrm>
            <a:off x="2413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6" name="$E$171">
            <a:extLst>
              <a:ext uri="{FF2B5EF4-FFF2-40B4-BE49-F238E27FC236}">
                <a16:creationId xmlns:a16="http://schemas.microsoft.com/office/drawing/2014/main" id="{00000000-0008-0000-0300-0000682F0000}"/>
              </a:ext>
            </a:extLst>
          </xdr:cNvPr>
          <xdr:cNvSpPr/>
        </xdr:nvSpPr>
        <xdr:spPr>
          <a:xfrm>
            <a:off x="2540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7" name="$E$171">
            <a:extLst>
              <a:ext uri="{FF2B5EF4-FFF2-40B4-BE49-F238E27FC236}">
                <a16:creationId xmlns:a16="http://schemas.microsoft.com/office/drawing/2014/main" id="{00000000-0008-0000-0300-0000692F0000}"/>
              </a:ext>
            </a:extLst>
          </xdr:cNvPr>
          <xdr:cNvSpPr/>
        </xdr:nvSpPr>
        <xdr:spPr>
          <a:xfrm>
            <a:off x="2667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8" name="$E$171">
            <a:extLst>
              <a:ext uri="{FF2B5EF4-FFF2-40B4-BE49-F238E27FC236}">
                <a16:creationId xmlns:a16="http://schemas.microsoft.com/office/drawing/2014/main" id="{00000000-0008-0000-0300-00006A2F0000}"/>
              </a:ext>
            </a:extLst>
          </xdr:cNvPr>
          <xdr:cNvSpPr/>
        </xdr:nvSpPr>
        <xdr:spPr>
          <a:xfrm>
            <a:off x="2921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39" name="$E$171">
            <a:extLst>
              <a:ext uri="{FF2B5EF4-FFF2-40B4-BE49-F238E27FC236}">
                <a16:creationId xmlns:a16="http://schemas.microsoft.com/office/drawing/2014/main" id="{00000000-0008-0000-0300-00006B2F0000}"/>
              </a:ext>
            </a:extLst>
          </xdr:cNvPr>
          <xdr:cNvSpPr/>
        </xdr:nvSpPr>
        <xdr:spPr>
          <a:xfrm>
            <a:off x="3556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0" name="$E$171">
            <a:extLst>
              <a:ext uri="{FF2B5EF4-FFF2-40B4-BE49-F238E27FC236}">
                <a16:creationId xmlns:a16="http://schemas.microsoft.com/office/drawing/2014/main" id="{00000000-0008-0000-0300-00006C2F0000}"/>
              </a:ext>
            </a:extLst>
          </xdr:cNvPr>
          <xdr:cNvSpPr/>
        </xdr:nvSpPr>
        <xdr:spPr>
          <a:xfrm>
            <a:off x="3683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1" name="$E$171">
            <a:extLst>
              <a:ext uri="{FF2B5EF4-FFF2-40B4-BE49-F238E27FC236}">
                <a16:creationId xmlns:a16="http://schemas.microsoft.com/office/drawing/2014/main" id="{00000000-0008-0000-0300-00006D2F0000}"/>
              </a:ext>
            </a:extLst>
          </xdr:cNvPr>
          <xdr:cNvSpPr/>
        </xdr:nvSpPr>
        <xdr:spPr>
          <a:xfrm>
            <a:off x="3810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2" name="$E$171">
            <a:extLst>
              <a:ext uri="{FF2B5EF4-FFF2-40B4-BE49-F238E27FC236}">
                <a16:creationId xmlns:a16="http://schemas.microsoft.com/office/drawing/2014/main" id="{00000000-0008-0000-0300-00006E2F0000}"/>
              </a:ext>
            </a:extLst>
          </xdr:cNvPr>
          <xdr:cNvSpPr/>
        </xdr:nvSpPr>
        <xdr:spPr>
          <a:xfrm>
            <a:off x="4064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3" name="$E$171">
            <a:extLst>
              <a:ext uri="{FF2B5EF4-FFF2-40B4-BE49-F238E27FC236}">
                <a16:creationId xmlns:a16="http://schemas.microsoft.com/office/drawing/2014/main" id="{00000000-0008-0000-0300-00006F2F0000}"/>
              </a:ext>
            </a:extLst>
          </xdr:cNvPr>
          <xdr:cNvSpPr/>
        </xdr:nvSpPr>
        <xdr:spPr>
          <a:xfrm>
            <a:off x="4445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4" name="$E$171">
            <a:extLst>
              <a:ext uri="{FF2B5EF4-FFF2-40B4-BE49-F238E27FC236}">
                <a16:creationId xmlns:a16="http://schemas.microsoft.com/office/drawing/2014/main" id="{00000000-0008-0000-0300-0000702F0000}"/>
              </a:ext>
            </a:extLst>
          </xdr:cNvPr>
          <xdr:cNvSpPr/>
        </xdr:nvSpPr>
        <xdr:spPr>
          <a:xfrm>
            <a:off x="457200" y="4191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5" name="$E$171">
            <a:extLst>
              <a:ext uri="{FF2B5EF4-FFF2-40B4-BE49-F238E27FC236}">
                <a16:creationId xmlns:a16="http://schemas.microsoft.com/office/drawing/2014/main" id="{00000000-0008-0000-0300-0000712F0000}"/>
              </a:ext>
            </a:extLst>
          </xdr:cNvPr>
          <xdr:cNvSpPr/>
        </xdr:nvSpPr>
        <xdr:spPr>
          <a:xfrm>
            <a:off x="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6" name="$E$171">
            <a:extLst>
              <a:ext uri="{FF2B5EF4-FFF2-40B4-BE49-F238E27FC236}">
                <a16:creationId xmlns:a16="http://schemas.microsoft.com/office/drawing/2014/main" id="{00000000-0008-0000-0300-0000722F0000}"/>
              </a:ext>
            </a:extLst>
          </xdr:cNvPr>
          <xdr:cNvSpPr/>
        </xdr:nvSpPr>
        <xdr:spPr>
          <a:xfrm>
            <a:off x="254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7" name="$E$171">
            <a:extLst>
              <a:ext uri="{FF2B5EF4-FFF2-40B4-BE49-F238E27FC236}">
                <a16:creationId xmlns:a16="http://schemas.microsoft.com/office/drawing/2014/main" id="{00000000-0008-0000-0300-0000732F0000}"/>
              </a:ext>
            </a:extLst>
          </xdr:cNvPr>
          <xdr:cNvSpPr/>
        </xdr:nvSpPr>
        <xdr:spPr>
          <a:xfrm>
            <a:off x="381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8" name="$E$171">
            <a:extLst>
              <a:ext uri="{FF2B5EF4-FFF2-40B4-BE49-F238E27FC236}">
                <a16:creationId xmlns:a16="http://schemas.microsoft.com/office/drawing/2014/main" id="{00000000-0008-0000-0300-0000742F0000}"/>
              </a:ext>
            </a:extLst>
          </xdr:cNvPr>
          <xdr:cNvSpPr/>
        </xdr:nvSpPr>
        <xdr:spPr>
          <a:xfrm>
            <a:off x="508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49" name="$E$171">
            <a:extLst>
              <a:ext uri="{FF2B5EF4-FFF2-40B4-BE49-F238E27FC236}">
                <a16:creationId xmlns:a16="http://schemas.microsoft.com/office/drawing/2014/main" id="{00000000-0008-0000-0300-0000752F0000}"/>
              </a:ext>
            </a:extLst>
          </xdr:cNvPr>
          <xdr:cNvSpPr/>
        </xdr:nvSpPr>
        <xdr:spPr>
          <a:xfrm>
            <a:off x="762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0" name="$E$171">
            <a:extLst>
              <a:ext uri="{FF2B5EF4-FFF2-40B4-BE49-F238E27FC236}">
                <a16:creationId xmlns:a16="http://schemas.microsoft.com/office/drawing/2014/main" id="{00000000-0008-0000-0300-0000762F0000}"/>
              </a:ext>
            </a:extLst>
          </xdr:cNvPr>
          <xdr:cNvSpPr/>
        </xdr:nvSpPr>
        <xdr:spPr>
          <a:xfrm>
            <a:off x="1016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1" name="$E$171">
            <a:extLst>
              <a:ext uri="{FF2B5EF4-FFF2-40B4-BE49-F238E27FC236}">
                <a16:creationId xmlns:a16="http://schemas.microsoft.com/office/drawing/2014/main" id="{00000000-0008-0000-0300-0000772F0000}"/>
              </a:ext>
            </a:extLst>
          </xdr:cNvPr>
          <xdr:cNvSpPr/>
        </xdr:nvSpPr>
        <xdr:spPr>
          <a:xfrm>
            <a:off x="1143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2" name="$E$171">
            <a:extLst>
              <a:ext uri="{FF2B5EF4-FFF2-40B4-BE49-F238E27FC236}">
                <a16:creationId xmlns:a16="http://schemas.microsoft.com/office/drawing/2014/main" id="{00000000-0008-0000-0300-0000782F0000}"/>
              </a:ext>
            </a:extLst>
          </xdr:cNvPr>
          <xdr:cNvSpPr/>
        </xdr:nvSpPr>
        <xdr:spPr>
          <a:xfrm>
            <a:off x="1397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3" name="$E$171">
            <a:extLst>
              <a:ext uri="{FF2B5EF4-FFF2-40B4-BE49-F238E27FC236}">
                <a16:creationId xmlns:a16="http://schemas.microsoft.com/office/drawing/2014/main" id="{00000000-0008-0000-0300-0000792F0000}"/>
              </a:ext>
            </a:extLst>
          </xdr:cNvPr>
          <xdr:cNvSpPr/>
        </xdr:nvSpPr>
        <xdr:spPr>
          <a:xfrm>
            <a:off x="1524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4" name="$E$171">
            <a:extLst>
              <a:ext uri="{FF2B5EF4-FFF2-40B4-BE49-F238E27FC236}">
                <a16:creationId xmlns:a16="http://schemas.microsoft.com/office/drawing/2014/main" id="{00000000-0008-0000-0300-00007A2F0000}"/>
              </a:ext>
            </a:extLst>
          </xdr:cNvPr>
          <xdr:cNvSpPr/>
        </xdr:nvSpPr>
        <xdr:spPr>
          <a:xfrm>
            <a:off x="1905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5" name="$E$171">
            <a:extLst>
              <a:ext uri="{FF2B5EF4-FFF2-40B4-BE49-F238E27FC236}">
                <a16:creationId xmlns:a16="http://schemas.microsoft.com/office/drawing/2014/main" id="{00000000-0008-0000-0300-00007B2F0000}"/>
              </a:ext>
            </a:extLst>
          </xdr:cNvPr>
          <xdr:cNvSpPr/>
        </xdr:nvSpPr>
        <xdr:spPr>
          <a:xfrm>
            <a:off x="2032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6" name="$E$171">
            <a:extLst>
              <a:ext uri="{FF2B5EF4-FFF2-40B4-BE49-F238E27FC236}">
                <a16:creationId xmlns:a16="http://schemas.microsoft.com/office/drawing/2014/main" id="{00000000-0008-0000-0300-00007C2F0000}"/>
              </a:ext>
            </a:extLst>
          </xdr:cNvPr>
          <xdr:cNvSpPr/>
        </xdr:nvSpPr>
        <xdr:spPr>
          <a:xfrm>
            <a:off x="2159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7" name="$E$171">
            <a:extLst>
              <a:ext uri="{FF2B5EF4-FFF2-40B4-BE49-F238E27FC236}">
                <a16:creationId xmlns:a16="http://schemas.microsoft.com/office/drawing/2014/main" id="{00000000-0008-0000-0300-00007D2F0000}"/>
              </a:ext>
            </a:extLst>
          </xdr:cNvPr>
          <xdr:cNvSpPr/>
        </xdr:nvSpPr>
        <xdr:spPr>
          <a:xfrm>
            <a:off x="2286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8" name="$E$171">
            <a:extLst>
              <a:ext uri="{FF2B5EF4-FFF2-40B4-BE49-F238E27FC236}">
                <a16:creationId xmlns:a16="http://schemas.microsoft.com/office/drawing/2014/main" id="{00000000-0008-0000-0300-00007E2F0000}"/>
              </a:ext>
            </a:extLst>
          </xdr:cNvPr>
          <xdr:cNvSpPr/>
        </xdr:nvSpPr>
        <xdr:spPr>
          <a:xfrm>
            <a:off x="2540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59" name="$E$171">
            <a:extLst>
              <a:ext uri="{FF2B5EF4-FFF2-40B4-BE49-F238E27FC236}">
                <a16:creationId xmlns:a16="http://schemas.microsoft.com/office/drawing/2014/main" id="{00000000-0008-0000-0300-00007F2F0000}"/>
              </a:ext>
            </a:extLst>
          </xdr:cNvPr>
          <xdr:cNvSpPr/>
        </xdr:nvSpPr>
        <xdr:spPr>
          <a:xfrm>
            <a:off x="3048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0" name="$E$171">
            <a:extLst>
              <a:ext uri="{FF2B5EF4-FFF2-40B4-BE49-F238E27FC236}">
                <a16:creationId xmlns:a16="http://schemas.microsoft.com/office/drawing/2014/main" id="{00000000-0008-0000-0300-0000802F0000}"/>
              </a:ext>
            </a:extLst>
          </xdr:cNvPr>
          <xdr:cNvSpPr/>
        </xdr:nvSpPr>
        <xdr:spPr>
          <a:xfrm>
            <a:off x="3429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1" name="$E$171">
            <a:extLst>
              <a:ext uri="{FF2B5EF4-FFF2-40B4-BE49-F238E27FC236}">
                <a16:creationId xmlns:a16="http://schemas.microsoft.com/office/drawing/2014/main" id="{00000000-0008-0000-0300-0000812F0000}"/>
              </a:ext>
            </a:extLst>
          </xdr:cNvPr>
          <xdr:cNvSpPr/>
        </xdr:nvSpPr>
        <xdr:spPr>
          <a:xfrm>
            <a:off x="3937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2" name="$E$171">
            <a:extLst>
              <a:ext uri="{FF2B5EF4-FFF2-40B4-BE49-F238E27FC236}">
                <a16:creationId xmlns:a16="http://schemas.microsoft.com/office/drawing/2014/main" id="{00000000-0008-0000-0300-0000822F0000}"/>
              </a:ext>
            </a:extLst>
          </xdr:cNvPr>
          <xdr:cNvSpPr/>
        </xdr:nvSpPr>
        <xdr:spPr>
          <a:xfrm>
            <a:off x="4191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3" name="$E$171">
            <a:extLst>
              <a:ext uri="{FF2B5EF4-FFF2-40B4-BE49-F238E27FC236}">
                <a16:creationId xmlns:a16="http://schemas.microsoft.com/office/drawing/2014/main" id="{00000000-0008-0000-0300-0000832F0000}"/>
              </a:ext>
            </a:extLst>
          </xdr:cNvPr>
          <xdr:cNvSpPr/>
        </xdr:nvSpPr>
        <xdr:spPr>
          <a:xfrm>
            <a:off x="4445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4" name="$E$171">
            <a:extLst>
              <a:ext uri="{FF2B5EF4-FFF2-40B4-BE49-F238E27FC236}">
                <a16:creationId xmlns:a16="http://schemas.microsoft.com/office/drawing/2014/main" id="{00000000-0008-0000-0300-0000842F0000}"/>
              </a:ext>
            </a:extLst>
          </xdr:cNvPr>
          <xdr:cNvSpPr/>
        </xdr:nvSpPr>
        <xdr:spPr>
          <a:xfrm>
            <a:off x="457200" y="4318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5" name="$E$171">
            <a:extLst>
              <a:ext uri="{FF2B5EF4-FFF2-40B4-BE49-F238E27FC236}">
                <a16:creationId xmlns:a16="http://schemas.microsoft.com/office/drawing/2014/main" id="{00000000-0008-0000-0300-0000852F0000}"/>
              </a:ext>
            </a:extLst>
          </xdr:cNvPr>
          <xdr:cNvSpPr/>
        </xdr:nvSpPr>
        <xdr:spPr>
          <a:xfrm>
            <a:off x="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6" name="$E$171">
            <a:extLst>
              <a:ext uri="{FF2B5EF4-FFF2-40B4-BE49-F238E27FC236}">
                <a16:creationId xmlns:a16="http://schemas.microsoft.com/office/drawing/2014/main" id="{00000000-0008-0000-0300-0000862F0000}"/>
              </a:ext>
            </a:extLst>
          </xdr:cNvPr>
          <xdr:cNvSpPr/>
        </xdr:nvSpPr>
        <xdr:spPr>
          <a:xfrm>
            <a:off x="762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7" name="$E$171">
            <a:extLst>
              <a:ext uri="{FF2B5EF4-FFF2-40B4-BE49-F238E27FC236}">
                <a16:creationId xmlns:a16="http://schemas.microsoft.com/office/drawing/2014/main" id="{00000000-0008-0000-0300-0000872F0000}"/>
              </a:ext>
            </a:extLst>
          </xdr:cNvPr>
          <xdr:cNvSpPr/>
        </xdr:nvSpPr>
        <xdr:spPr>
          <a:xfrm>
            <a:off x="1016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8" name="$E$171">
            <a:extLst>
              <a:ext uri="{FF2B5EF4-FFF2-40B4-BE49-F238E27FC236}">
                <a16:creationId xmlns:a16="http://schemas.microsoft.com/office/drawing/2014/main" id="{00000000-0008-0000-0300-0000882F0000}"/>
              </a:ext>
            </a:extLst>
          </xdr:cNvPr>
          <xdr:cNvSpPr/>
        </xdr:nvSpPr>
        <xdr:spPr>
          <a:xfrm>
            <a:off x="1143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69" name="$E$171">
            <a:extLst>
              <a:ext uri="{FF2B5EF4-FFF2-40B4-BE49-F238E27FC236}">
                <a16:creationId xmlns:a16="http://schemas.microsoft.com/office/drawing/2014/main" id="{00000000-0008-0000-0300-0000892F0000}"/>
              </a:ext>
            </a:extLst>
          </xdr:cNvPr>
          <xdr:cNvSpPr/>
        </xdr:nvSpPr>
        <xdr:spPr>
          <a:xfrm>
            <a:off x="1397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0" name="$E$171">
            <a:extLst>
              <a:ext uri="{FF2B5EF4-FFF2-40B4-BE49-F238E27FC236}">
                <a16:creationId xmlns:a16="http://schemas.microsoft.com/office/drawing/2014/main" id="{00000000-0008-0000-0300-00008A2F0000}"/>
              </a:ext>
            </a:extLst>
          </xdr:cNvPr>
          <xdr:cNvSpPr/>
        </xdr:nvSpPr>
        <xdr:spPr>
          <a:xfrm>
            <a:off x="1778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1" name="$E$171">
            <a:extLst>
              <a:ext uri="{FF2B5EF4-FFF2-40B4-BE49-F238E27FC236}">
                <a16:creationId xmlns:a16="http://schemas.microsoft.com/office/drawing/2014/main" id="{00000000-0008-0000-0300-00008B2F0000}"/>
              </a:ext>
            </a:extLst>
          </xdr:cNvPr>
          <xdr:cNvSpPr/>
        </xdr:nvSpPr>
        <xdr:spPr>
          <a:xfrm>
            <a:off x="1905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2" name="$E$171">
            <a:extLst>
              <a:ext uri="{FF2B5EF4-FFF2-40B4-BE49-F238E27FC236}">
                <a16:creationId xmlns:a16="http://schemas.microsoft.com/office/drawing/2014/main" id="{00000000-0008-0000-0300-00008C2F0000}"/>
              </a:ext>
            </a:extLst>
          </xdr:cNvPr>
          <xdr:cNvSpPr/>
        </xdr:nvSpPr>
        <xdr:spPr>
          <a:xfrm>
            <a:off x="2032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3" name="$E$171">
            <a:extLst>
              <a:ext uri="{FF2B5EF4-FFF2-40B4-BE49-F238E27FC236}">
                <a16:creationId xmlns:a16="http://schemas.microsoft.com/office/drawing/2014/main" id="{00000000-0008-0000-0300-00008D2F0000}"/>
              </a:ext>
            </a:extLst>
          </xdr:cNvPr>
          <xdr:cNvSpPr/>
        </xdr:nvSpPr>
        <xdr:spPr>
          <a:xfrm>
            <a:off x="2540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4" name="$E$171">
            <a:extLst>
              <a:ext uri="{FF2B5EF4-FFF2-40B4-BE49-F238E27FC236}">
                <a16:creationId xmlns:a16="http://schemas.microsoft.com/office/drawing/2014/main" id="{00000000-0008-0000-0300-00008E2F0000}"/>
              </a:ext>
            </a:extLst>
          </xdr:cNvPr>
          <xdr:cNvSpPr/>
        </xdr:nvSpPr>
        <xdr:spPr>
          <a:xfrm>
            <a:off x="2667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5" name="$E$171">
            <a:extLst>
              <a:ext uri="{FF2B5EF4-FFF2-40B4-BE49-F238E27FC236}">
                <a16:creationId xmlns:a16="http://schemas.microsoft.com/office/drawing/2014/main" id="{00000000-0008-0000-0300-00008F2F0000}"/>
              </a:ext>
            </a:extLst>
          </xdr:cNvPr>
          <xdr:cNvSpPr/>
        </xdr:nvSpPr>
        <xdr:spPr>
          <a:xfrm>
            <a:off x="2794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6" name="$E$171">
            <a:extLst>
              <a:ext uri="{FF2B5EF4-FFF2-40B4-BE49-F238E27FC236}">
                <a16:creationId xmlns:a16="http://schemas.microsoft.com/office/drawing/2014/main" id="{00000000-0008-0000-0300-0000902F0000}"/>
              </a:ext>
            </a:extLst>
          </xdr:cNvPr>
          <xdr:cNvSpPr/>
        </xdr:nvSpPr>
        <xdr:spPr>
          <a:xfrm>
            <a:off x="2921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7" name="$E$171">
            <a:extLst>
              <a:ext uri="{FF2B5EF4-FFF2-40B4-BE49-F238E27FC236}">
                <a16:creationId xmlns:a16="http://schemas.microsoft.com/office/drawing/2014/main" id="{00000000-0008-0000-0300-0000912F0000}"/>
              </a:ext>
            </a:extLst>
          </xdr:cNvPr>
          <xdr:cNvSpPr/>
        </xdr:nvSpPr>
        <xdr:spPr>
          <a:xfrm>
            <a:off x="3302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8" name="$E$171">
            <a:extLst>
              <a:ext uri="{FF2B5EF4-FFF2-40B4-BE49-F238E27FC236}">
                <a16:creationId xmlns:a16="http://schemas.microsoft.com/office/drawing/2014/main" id="{00000000-0008-0000-0300-0000922F0000}"/>
              </a:ext>
            </a:extLst>
          </xdr:cNvPr>
          <xdr:cNvSpPr/>
        </xdr:nvSpPr>
        <xdr:spPr>
          <a:xfrm>
            <a:off x="3429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79" name="$E$171">
            <a:extLst>
              <a:ext uri="{FF2B5EF4-FFF2-40B4-BE49-F238E27FC236}">
                <a16:creationId xmlns:a16="http://schemas.microsoft.com/office/drawing/2014/main" id="{00000000-0008-0000-0300-0000932F0000}"/>
              </a:ext>
            </a:extLst>
          </xdr:cNvPr>
          <xdr:cNvSpPr/>
        </xdr:nvSpPr>
        <xdr:spPr>
          <a:xfrm>
            <a:off x="3556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0" name="$E$171">
            <a:extLst>
              <a:ext uri="{FF2B5EF4-FFF2-40B4-BE49-F238E27FC236}">
                <a16:creationId xmlns:a16="http://schemas.microsoft.com/office/drawing/2014/main" id="{00000000-0008-0000-0300-0000942F0000}"/>
              </a:ext>
            </a:extLst>
          </xdr:cNvPr>
          <xdr:cNvSpPr/>
        </xdr:nvSpPr>
        <xdr:spPr>
          <a:xfrm>
            <a:off x="3810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1" name="$E$171">
            <a:extLst>
              <a:ext uri="{FF2B5EF4-FFF2-40B4-BE49-F238E27FC236}">
                <a16:creationId xmlns:a16="http://schemas.microsoft.com/office/drawing/2014/main" id="{00000000-0008-0000-0300-0000952F0000}"/>
              </a:ext>
            </a:extLst>
          </xdr:cNvPr>
          <xdr:cNvSpPr/>
        </xdr:nvSpPr>
        <xdr:spPr>
          <a:xfrm>
            <a:off x="4064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2" name="$E$171">
            <a:extLst>
              <a:ext uri="{FF2B5EF4-FFF2-40B4-BE49-F238E27FC236}">
                <a16:creationId xmlns:a16="http://schemas.microsoft.com/office/drawing/2014/main" id="{00000000-0008-0000-0300-0000962F0000}"/>
              </a:ext>
            </a:extLst>
          </xdr:cNvPr>
          <xdr:cNvSpPr/>
        </xdr:nvSpPr>
        <xdr:spPr>
          <a:xfrm>
            <a:off x="457200" y="4445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3" name="$E$171">
            <a:extLst>
              <a:ext uri="{FF2B5EF4-FFF2-40B4-BE49-F238E27FC236}">
                <a16:creationId xmlns:a16="http://schemas.microsoft.com/office/drawing/2014/main" id="{00000000-0008-0000-0300-0000972F0000}"/>
              </a:ext>
            </a:extLst>
          </xdr:cNvPr>
          <xdr:cNvSpPr/>
        </xdr:nvSpPr>
        <xdr:spPr>
          <a:xfrm>
            <a:off x="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4" name="$E$171">
            <a:extLst>
              <a:ext uri="{FF2B5EF4-FFF2-40B4-BE49-F238E27FC236}">
                <a16:creationId xmlns:a16="http://schemas.microsoft.com/office/drawing/2014/main" id="{00000000-0008-0000-0300-0000982F0000}"/>
              </a:ext>
            </a:extLst>
          </xdr:cNvPr>
          <xdr:cNvSpPr/>
        </xdr:nvSpPr>
        <xdr:spPr>
          <a:xfrm>
            <a:off x="127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5" name="$E$171">
            <a:extLst>
              <a:ext uri="{FF2B5EF4-FFF2-40B4-BE49-F238E27FC236}">
                <a16:creationId xmlns:a16="http://schemas.microsoft.com/office/drawing/2014/main" id="{00000000-0008-0000-0300-0000992F0000}"/>
              </a:ext>
            </a:extLst>
          </xdr:cNvPr>
          <xdr:cNvSpPr/>
        </xdr:nvSpPr>
        <xdr:spPr>
          <a:xfrm>
            <a:off x="254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6" name="$E$171">
            <a:extLst>
              <a:ext uri="{FF2B5EF4-FFF2-40B4-BE49-F238E27FC236}">
                <a16:creationId xmlns:a16="http://schemas.microsoft.com/office/drawing/2014/main" id="{00000000-0008-0000-0300-00009A2F0000}"/>
              </a:ext>
            </a:extLst>
          </xdr:cNvPr>
          <xdr:cNvSpPr/>
        </xdr:nvSpPr>
        <xdr:spPr>
          <a:xfrm>
            <a:off x="381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7" name="$E$171">
            <a:extLst>
              <a:ext uri="{FF2B5EF4-FFF2-40B4-BE49-F238E27FC236}">
                <a16:creationId xmlns:a16="http://schemas.microsoft.com/office/drawing/2014/main" id="{00000000-0008-0000-0300-00009B2F0000}"/>
              </a:ext>
            </a:extLst>
          </xdr:cNvPr>
          <xdr:cNvSpPr/>
        </xdr:nvSpPr>
        <xdr:spPr>
          <a:xfrm>
            <a:off x="508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8" name="$E$171">
            <a:extLst>
              <a:ext uri="{FF2B5EF4-FFF2-40B4-BE49-F238E27FC236}">
                <a16:creationId xmlns:a16="http://schemas.microsoft.com/office/drawing/2014/main" id="{00000000-0008-0000-0300-00009C2F0000}"/>
              </a:ext>
            </a:extLst>
          </xdr:cNvPr>
          <xdr:cNvSpPr/>
        </xdr:nvSpPr>
        <xdr:spPr>
          <a:xfrm>
            <a:off x="635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89" name="$E$171">
            <a:extLst>
              <a:ext uri="{FF2B5EF4-FFF2-40B4-BE49-F238E27FC236}">
                <a16:creationId xmlns:a16="http://schemas.microsoft.com/office/drawing/2014/main" id="{00000000-0008-0000-0300-00009D2F0000}"/>
              </a:ext>
            </a:extLst>
          </xdr:cNvPr>
          <xdr:cNvSpPr/>
        </xdr:nvSpPr>
        <xdr:spPr>
          <a:xfrm>
            <a:off x="762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0" name="$E$171">
            <a:extLst>
              <a:ext uri="{FF2B5EF4-FFF2-40B4-BE49-F238E27FC236}">
                <a16:creationId xmlns:a16="http://schemas.microsoft.com/office/drawing/2014/main" id="{00000000-0008-0000-0300-00009E2F0000}"/>
              </a:ext>
            </a:extLst>
          </xdr:cNvPr>
          <xdr:cNvSpPr/>
        </xdr:nvSpPr>
        <xdr:spPr>
          <a:xfrm>
            <a:off x="1016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1" name="$E$171">
            <a:extLst>
              <a:ext uri="{FF2B5EF4-FFF2-40B4-BE49-F238E27FC236}">
                <a16:creationId xmlns:a16="http://schemas.microsoft.com/office/drawing/2014/main" id="{00000000-0008-0000-0300-00009F2F0000}"/>
              </a:ext>
            </a:extLst>
          </xdr:cNvPr>
          <xdr:cNvSpPr/>
        </xdr:nvSpPr>
        <xdr:spPr>
          <a:xfrm>
            <a:off x="1397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2" name="$E$171">
            <a:extLst>
              <a:ext uri="{FF2B5EF4-FFF2-40B4-BE49-F238E27FC236}">
                <a16:creationId xmlns:a16="http://schemas.microsoft.com/office/drawing/2014/main" id="{00000000-0008-0000-0300-0000A02F0000}"/>
              </a:ext>
            </a:extLst>
          </xdr:cNvPr>
          <xdr:cNvSpPr/>
        </xdr:nvSpPr>
        <xdr:spPr>
          <a:xfrm>
            <a:off x="2159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3" name="$E$171">
            <a:extLst>
              <a:ext uri="{FF2B5EF4-FFF2-40B4-BE49-F238E27FC236}">
                <a16:creationId xmlns:a16="http://schemas.microsoft.com/office/drawing/2014/main" id="{00000000-0008-0000-0300-0000A12F0000}"/>
              </a:ext>
            </a:extLst>
          </xdr:cNvPr>
          <xdr:cNvSpPr/>
        </xdr:nvSpPr>
        <xdr:spPr>
          <a:xfrm>
            <a:off x="2286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4" name="$E$171">
            <a:extLst>
              <a:ext uri="{FF2B5EF4-FFF2-40B4-BE49-F238E27FC236}">
                <a16:creationId xmlns:a16="http://schemas.microsoft.com/office/drawing/2014/main" id="{00000000-0008-0000-0300-0000A22F0000}"/>
              </a:ext>
            </a:extLst>
          </xdr:cNvPr>
          <xdr:cNvSpPr/>
        </xdr:nvSpPr>
        <xdr:spPr>
          <a:xfrm>
            <a:off x="2540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5" name="$E$171">
            <a:extLst>
              <a:ext uri="{FF2B5EF4-FFF2-40B4-BE49-F238E27FC236}">
                <a16:creationId xmlns:a16="http://schemas.microsoft.com/office/drawing/2014/main" id="{00000000-0008-0000-0300-0000A32F0000}"/>
              </a:ext>
            </a:extLst>
          </xdr:cNvPr>
          <xdr:cNvSpPr/>
        </xdr:nvSpPr>
        <xdr:spPr>
          <a:xfrm>
            <a:off x="2794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6" name="$E$171">
            <a:extLst>
              <a:ext uri="{FF2B5EF4-FFF2-40B4-BE49-F238E27FC236}">
                <a16:creationId xmlns:a16="http://schemas.microsoft.com/office/drawing/2014/main" id="{00000000-0008-0000-0300-0000A42F0000}"/>
              </a:ext>
            </a:extLst>
          </xdr:cNvPr>
          <xdr:cNvSpPr/>
        </xdr:nvSpPr>
        <xdr:spPr>
          <a:xfrm>
            <a:off x="2921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7" name="$E$171">
            <a:extLst>
              <a:ext uri="{FF2B5EF4-FFF2-40B4-BE49-F238E27FC236}">
                <a16:creationId xmlns:a16="http://schemas.microsoft.com/office/drawing/2014/main" id="{00000000-0008-0000-0300-0000A52F0000}"/>
              </a:ext>
            </a:extLst>
          </xdr:cNvPr>
          <xdr:cNvSpPr/>
        </xdr:nvSpPr>
        <xdr:spPr>
          <a:xfrm>
            <a:off x="3048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8" name="$E$171">
            <a:extLst>
              <a:ext uri="{FF2B5EF4-FFF2-40B4-BE49-F238E27FC236}">
                <a16:creationId xmlns:a16="http://schemas.microsoft.com/office/drawing/2014/main" id="{00000000-0008-0000-0300-0000A62F0000}"/>
              </a:ext>
            </a:extLst>
          </xdr:cNvPr>
          <xdr:cNvSpPr/>
        </xdr:nvSpPr>
        <xdr:spPr>
          <a:xfrm>
            <a:off x="3175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199" name="$E$171">
            <a:extLst>
              <a:ext uri="{FF2B5EF4-FFF2-40B4-BE49-F238E27FC236}">
                <a16:creationId xmlns:a16="http://schemas.microsoft.com/office/drawing/2014/main" id="{00000000-0008-0000-0300-0000A72F0000}"/>
              </a:ext>
            </a:extLst>
          </xdr:cNvPr>
          <xdr:cNvSpPr/>
        </xdr:nvSpPr>
        <xdr:spPr>
          <a:xfrm>
            <a:off x="3302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00" name="$E$171">
            <a:extLst>
              <a:ext uri="{FF2B5EF4-FFF2-40B4-BE49-F238E27FC236}">
                <a16:creationId xmlns:a16="http://schemas.microsoft.com/office/drawing/2014/main" id="{00000000-0008-0000-0300-0000A82F0000}"/>
              </a:ext>
            </a:extLst>
          </xdr:cNvPr>
          <xdr:cNvSpPr/>
        </xdr:nvSpPr>
        <xdr:spPr>
          <a:xfrm>
            <a:off x="3683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01" name="$E$171">
            <a:extLst>
              <a:ext uri="{FF2B5EF4-FFF2-40B4-BE49-F238E27FC236}">
                <a16:creationId xmlns:a16="http://schemas.microsoft.com/office/drawing/2014/main" id="{00000000-0008-0000-0300-0000A92F0000}"/>
              </a:ext>
            </a:extLst>
          </xdr:cNvPr>
          <xdr:cNvSpPr/>
        </xdr:nvSpPr>
        <xdr:spPr>
          <a:xfrm>
            <a:off x="3810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02" name="$E$171">
            <a:extLst>
              <a:ext uri="{FF2B5EF4-FFF2-40B4-BE49-F238E27FC236}">
                <a16:creationId xmlns:a16="http://schemas.microsoft.com/office/drawing/2014/main" id="{00000000-0008-0000-0300-0000AA2F0000}"/>
              </a:ext>
            </a:extLst>
          </xdr:cNvPr>
          <xdr:cNvSpPr/>
        </xdr:nvSpPr>
        <xdr:spPr>
          <a:xfrm>
            <a:off x="4318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03" name="$E$171">
            <a:extLst>
              <a:ext uri="{FF2B5EF4-FFF2-40B4-BE49-F238E27FC236}">
                <a16:creationId xmlns:a16="http://schemas.microsoft.com/office/drawing/2014/main" id="{00000000-0008-0000-0300-0000AB2F0000}"/>
              </a:ext>
            </a:extLst>
          </xdr:cNvPr>
          <xdr:cNvSpPr/>
        </xdr:nvSpPr>
        <xdr:spPr>
          <a:xfrm>
            <a:off x="4445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2204" name="$E$171">
            <a:extLst>
              <a:ext uri="{FF2B5EF4-FFF2-40B4-BE49-F238E27FC236}">
                <a16:creationId xmlns:a16="http://schemas.microsoft.com/office/drawing/2014/main" id="{00000000-0008-0000-0300-0000AC2F0000}"/>
              </a:ext>
            </a:extLst>
          </xdr:cNvPr>
          <xdr:cNvSpPr/>
        </xdr:nvSpPr>
        <xdr:spPr>
          <a:xfrm>
            <a:off x="457200" y="457200"/>
            <a:ext cx="12700" cy="12700"/>
          </a:xfrm>
          <a:prstGeom prst="rect">
            <a:avLst/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EDIC@" TargetMode="External"/><Relationship Id="rId13" Type="http://schemas.openxmlformats.org/officeDocument/2006/relationships/hyperlink" Target="mailto:MEDIC@" TargetMode="External"/><Relationship Id="rId18" Type="http://schemas.openxmlformats.org/officeDocument/2006/relationships/hyperlink" Target="mailto:MEDIC@" TargetMode="External"/><Relationship Id="rId26" Type="http://schemas.openxmlformats.org/officeDocument/2006/relationships/hyperlink" Target="mailto:MEDIC@" TargetMode="External"/><Relationship Id="rId3" Type="http://schemas.openxmlformats.org/officeDocument/2006/relationships/hyperlink" Target="mailto:MEDIC@" TargetMode="External"/><Relationship Id="rId21" Type="http://schemas.openxmlformats.org/officeDocument/2006/relationships/hyperlink" Target="mailto:amjuajinoy@gmail.com" TargetMode="External"/><Relationship Id="rId7" Type="http://schemas.openxmlformats.org/officeDocument/2006/relationships/hyperlink" Target="mailto:MEDIC@" TargetMode="External"/><Relationship Id="rId12" Type="http://schemas.openxmlformats.org/officeDocument/2006/relationships/hyperlink" Target="mailto:MEDIC@" TargetMode="External"/><Relationship Id="rId17" Type="http://schemas.openxmlformats.org/officeDocument/2006/relationships/hyperlink" Target="mailto:MEDIC@" TargetMode="External"/><Relationship Id="rId25" Type="http://schemas.openxmlformats.org/officeDocument/2006/relationships/hyperlink" Target="mailto:afte1411@gmail.com" TargetMode="External"/><Relationship Id="rId2" Type="http://schemas.openxmlformats.org/officeDocument/2006/relationships/hyperlink" Target="mailto:MEDIC@" TargetMode="External"/><Relationship Id="rId16" Type="http://schemas.openxmlformats.org/officeDocument/2006/relationships/hyperlink" Target="mailto:MEDIC@" TargetMode="External"/><Relationship Id="rId20" Type="http://schemas.openxmlformats.org/officeDocument/2006/relationships/hyperlink" Target="mailto:CARLOSJUAJUNOY@HOTMAIL.COM" TargetMode="External"/><Relationship Id="rId29" Type="http://schemas.openxmlformats.org/officeDocument/2006/relationships/hyperlink" Target="mailto:MEDIC@" TargetMode="External"/><Relationship Id="rId1" Type="http://schemas.openxmlformats.org/officeDocument/2006/relationships/hyperlink" Target="mailto:MEDIC@" TargetMode="External"/><Relationship Id="rId6" Type="http://schemas.openxmlformats.org/officeDocument/2006/relationships/hyperlink" Target="mailto:argenisdarme@gmail.com" TargetMode="External"/><Relationship Id="rId11" Type="http://schemas.openxmlformats.org/officeDocument/2006/relationships/hyperlink" Target="mailto:MEDIC@" TargetMode="External"/><Relationship Id="rId24" Type="http://schemas.openxmlformats.org/officeDocument/2006/relationships/hyperlink" Target="mailto:ANABELCH87@GMAIL.COM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mailto:chocolatemix21@gmail.com" TargetMode="External"/><Relationship Id="rId15" Type="http://schemas.openxmlformats.org/officeDocument/2006/relationships/hyperlink" Target="mailto:Artursofer3706526@gmail.com" TargetMode="External"/><Relationship Id="rId23" Type="http://schemas.openxmlformats.org/officeDocument/2006/relationships/hyperlink" Target="mailto:dchanagpejendino@gmail.com" TargetMode="External"/><Relationship Id="rId28" Type="http://schemas.openxmlformats.org/officeDocument/2006/relationships/hyperlink" Target="mailto:MEDIC@" TargetMode="External"/><Relationship Id="rId10" Type="http://schemas.openxmlformats.org/officeDocument/2006/relationships/hyperlink" Target="mailto:MEDIC@" TargetMode="External"/><Relationship Id="rId19" Type="http://schemas.openxmlformats.org/officeDocument/2006/relationships/hyperlink" Target="mailto:MEDIC@" TargetMode="External"/><Relationship Id="rId31" Type="http://schemas.openxmlformats.org/officeDocument/2006/relationships/hyperlink" Target="mailto:MEDIC@" TargetMode="External"/><Relationship Id="rId4" Type="http://schemas.openxmlformats.org/officeDocument/2006/relationships/hyperlink" Target="mailto:chocolatemix21@gmail.com" TargetMode="External"/><Relationship Id="rId9" Type="http://schemas.openxmlformats.org/officeDocument/2006/relationships/hyperlink" Target="mailto:MEDIC@" TargetMode="External"/><Relationship Id="rId14" Type="http://schemas.openxmlformats.org/officeDocument/2006/relationships/hyperlink" Target="mailto:MEDIC@" TargetMode="External"/><Relationship Id="rId22" Type="http://schemas.openxmlformats.org/officeDocument/2006/relationships/hyperlink" Target="mailto:brayan1ramos2@gmail.com" TargetMode="External"/><Relationship Id="rId27" Type="http://schemas.openxmlformats.org/officeDocument/2006/relationships/hyperlink" Target="mailto:MEDIC@" TargetMode="External"/><Relationship Id="rId30" Type="http://schemas.openxmlformats.org/officeDocument/2006/relationships/hyperlink" Target="mailto:MEDIC@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marleneguerronsan@hotmail.com" TargetMode="External"/><Relationship Id="rId3" Type="http://schemas.openxmlformats.org/officeDocument/2006/relationships/hyperlink" Target="mailto:yulyz1087@hotmail.com" TargetMode="External"/><Relationship Id="rId7" Type="http://schemas.openxmlformats.org/officeDocument/2006/relationships/hyperlink" Target="mailto:vacunacionipsindigena@gmail.com" TargetMode="External"/><Relationship Id="rId2" Type="http://schemas.openxmlformats.org/officeDocument/2006/relationships/hyperlink" Target="mailto:jackyandre1980@gmail.com" TargetMode="External"/><Relationship Id="rId1" Type="http://schemas.openxmlformats.org/officeDocument/2006/relationships/hyperlink" Target="mailto:patyjuradocu@gmail.com" TargetMode="External"/><Relationship Id="rId6" Type="http://schemas.openxmlformats.org/officeDocument/2006/relationships/hyperlink" Target="mailto:Paobasanteb95@gmail.co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mailto:repotillae@hotmail.com" TargetMode="External"/><Relationship Id="rId10" Type="http://schemas.openxmlformats.org/officeDocument/2006/relationships/hyperlink" Target="mailto:alejandrolasso666@hotmail.com" TargetMode="External"/><Relationship Id="rId4" Type="http://schemas.openxmlformats.org/officeDocument/2006/relationships/hyperlink" Target="mailto:clauds11698@gmail.com" TargetMode="External"/><Relationship Id="rId9" Type="http://schemas.openxmlformats.org/officeDocument/2006/relationships/hyperlink" Target="mailto:jorgecuasquen7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99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226" Type="http://schemas.openxmlformats.org/officeDocument/2006/relationships/hyperlink" Target="https://centrodecapacitaciondelsur.com/soporte-basico-de-vida-" TargetMode="External"/><Relationship Id="rId268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37" Type="http://schemas.openxmlformats.org/officeDocument/2006/relationships/hyperlink" Target="https://centrodecapacitaciondelsur.com/soporte-basico-de-vida-" TargetMode="External"/><Relationship Id="rId279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290" Type="http://schemas.openxmlformats.org/officeDocument/2006/relationships/hyperlink" Target="https://centrodecapacitaciondelsur.com/soporte-basico-de-vida-" TargetMode="External"/><Relationship Id="rId304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206" Type="http://schemas.openxmlformats.org/officeDocument/2006/relationships/hyperlink" Target="https://centrodecapacitaciondelsur.com/soporte-basico-de-vida-" TargetMode="External"/><Relationship Id="rId248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315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217" Type="http://schemas.openxmlformats.org/officeDocument/2006/relationships/hyperlink" Target="https://centrodecapacitaciondelsur.com/soporte-basico-de-vida-" TargetMode="External"/><Relationship Id="rId259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270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228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260" Type="http://schemas.openxmlformats.org/officeDocument/2006/relationships/hyperlink" Target="https://centrodecapacitaciondelsur.com/soporte-basico-de-vida-" TargetMode="External"/><Relationship Id="rId281" Type="http://schemas.openxmlformats.org/officeDocument/2006/relationships/hyperlink" Target="https://centrodecapacitaciondelsur.com/soporte-basico-de-vida-" TargetMode="External"/><Relationship Id="rId316" Type="http://schemas.openxmlformats.org/officeDocument/2006/relationships/hyperlink" Target="https://centrodecapacitaciondelsur.com/soporte-basico-de-vida-" TargetMode="External"/><Relationship Id="rId34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18" Type="http://schemas.openxmlformats.org/officeDocument/2006/relationships/hyperlink" Target="https://centrodecapacitaciondelsur.com/soporte-basico-de-vida-" TargetMode="External"/><Relationship Id="rId239" Type="http://schemas.openxmlformats.org/officeDocument/2006/relationships/hyperlink" Target="https://centrodecapacitaciondelsur.com/soporte-basico-de-vida-" TargetMode="External"/><Relationship Id="rId250" Type="http://schemas.openxmlformats.org/officeDocument/2006/relationships/hyperlink" Target="https://centrodecapacitaciondelsur.com/soporte-basico-de-vida-" TargetMode="External"/><Relationship Id="rId271" Type="http://schemas.openxmlformats.org/officeDocument/2006/relationships/hyperlink" Target="https://centrodecapacitaciondelsur.com/soporte-basico-de-vida-" TargetMode="External"/><Relationship Id="rId292" Type="http://schemas.openxmlformats.org/officeDocument/2006/relationships/hyperlink" Target="https://centrodecapacitaciondelsur.com/soporte-basico-de-vida-" TargetMode="External"/><Relationship Id="rId306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hyperlink" Target="https://centrodecapacitaciondelsur.com/soporte-basico-de-vida-" TargetMode="External"/><Relationship Id="rId208" Type="http://schemas.openxmlformats.org/officeDocument/2006/relationships/hyperlink" Target="https://centrodecapacitaciondelsur.com/soporte-basico-de-vida-" TargetMode="External"/><Relationship Id="rId229" Type="http://schemas.openxmlformats.org/officeDocument/2006/relationships/hyperlink" Target="https://centrodecapacitaciondelsur.com/soporte-basico-de-vida-" TargetMode="External"/><Relationship Id="rId240" Type="http://schemas.openxmlformats.org/officeDocument/2006/relationships/hyperlink" Target="https://centrodecapacitaciondelsur.com/soporte-basico-de-vida-" TargetMode="External"/><Relationship Id="rId261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282" Type="http://schemas.openxmlformats.org/officeDocument/2006/relationships/hyperlink" Target="https://centrodecapacitaciondelsur.com/soporte-basico-de-vida-" TargetMode="External"/><Relationship Id="rId317" Type="http://schemas.openxmlformats.org/officeDocument/2006/relationships/printerSettings" Target="../printerSettings/printerSettings4.bin"/><Relationship Id="rId8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219" Type="http://schemas.openxmlformats.org/officeDocument/2006/relationships/hyperlink" Target="https://centrodecapacitaciondelsur.com/soporte-basico-de-vida-" TargetMode="External"/><Relationship Id="rId230" Type="http://schemas.openxmlformats.org/officeDocument/2006/relationships/hyperlink" Target="https://centrodecapacitaciondelsur.com/soporte-basico-de-vida-" TargetMode="External"/><Relationship Id="rId251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272" Type="http://schemas.openxmlformats.org/officeDocument/2006/relationships/hyperlink" Target="https://centrodecapacitaciondelsur.com/soporte-basico-de-vida-" TargetMode="External"/><Relationship Id="rId293" Type="http://schemas.openxmlformats.org/officeDocument/2006/relationships/hyperlink" Target="https://centrodecapacitaciondelsur.com/soporte-basico-de-vida-" TargetMode="External"/><Relationship Id="rId307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95" Type="http://schemas.openxmlformats.org/officeDocument/2006/relationships/hyperlink" Target="https://centrodecapacitaciondelsur.com/soporte-basico-de-vida-" TargetMode="External"/><Relationship Id="rId209" Type="http://schemas.openxmlformats.org/officeDocument/2006/relationships/hyperlink" Target="https://centrodecapacitaciondelsur.com/soporte-basico-de-vida-" TargetMode="External"/><Relationship Id="rId220" Type="http://schemas.openxmlformats.org/officeDocument/2006/relationships/hyperlink" Target="https://centrodecapacitaciondelsur.com/soporte-basico-de-vida-" TargetMode="External"/><Relationship Id="rId241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262" Type="http://schemas.openxmlformats.org/officeDocument/2006/relationships/hyperlink" Target="https://centrodecapacitaciondelsur.com/soporte-basico-de-vida-" TargetMode="External"/><Relationship Id="rId283" Type="http://schemas.openxmlformats.org/officeDocument/2006/relationships/hyperlink" Target="https://centrodecapacitaciondelsur.com/soporte-basico-de-vida-" TargetMode="External"/><Relationship Id="rId318" Type="http://schemas.openxmlformats.org/officeDocument/2006/relationships/drawing" Target="../drawings/drawing1.xml"/><Relationship Id="rId78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21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231" Type="http://schemas.openxmlformats.org/officeDocument/2006/relationships/hyperlink" Target="https://centrodecapacitaciondelsur.com/soporte-basico-de-vida-" TargetMode="External"/><Relationship Id="rId252" Type="http://schemas.openxmlformats.org/officeDocument/2006/relationships/hyperlink" Target="https://centrodecapacitaciondelsur.com/soporte-basico-de-vida-" TargetMode="External"/><Relationship Id="rId273" Type="http://schemas.openxmlformats.org/officeDocument/2006/relationships/hyperlink" Target="https://centrodecapacitaciondelsur.com/soporte-basico-de-vida-" TargetMode="External"/><Relationship Id="rId294" Type="http://schemas.openxmlformats.org/officeDocument/2006/relationships/hyperlink" Target="https://centrodecapacitaciondelsur.com/soporte-basico-de-vida-" TargetMode="External"/><Relationship Id="rId308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96" Type="http://schemas.openxmlformats.org/officeDocument/2006/relationships/hyperlink" Target="https://centrodecapacitaciondelsur.com/soporte-basico-de-vida-" TargetMode="External"/><Relationship Id="rId200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221" Type="http://schemas.openxmlformats.org/officeDocument/2006/relationships/hyperlink" Target="https://centrodecapacitaciondelsur.com/soporte-basico-de-vida-" TargetMode="External"/><Relationship Id="rId242" Type="http://schemas.openxmlformats.org/officeDocument/2006/relationships/hyperlink" Target="https://centrodecapacitaciondelsur.com/soporte-basico-de-vida-" TargetMode="External"/><Relationship Id="rId263" Type="http://schemas.openxmlformats.org/officeDocument/2006/relationships/hyperlink" Target="https://centrodecapacitaciondelsur.com/soporte-basico-de-vida-" TargetMode="External"/><Relationship Id="rId284" Type="http://schemas.openxmlformats.org/officeDocument/2006/relationships/hyperlink" Target="https://centrodecapacitaciondelsur.com/soporte-basico-de-vida-" TargetMode="Externa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11" Type="http://schemas.openxmlformats.org/officeDocument/2006/relationships/hyperlink" Target="https://centrodecapacitaciondelsur.com/soporte-basico-de-vida-" TargetMode="External"/><Relationship Id="rId232" Type="http://schemas.openxmlformats.org/officeDocument/2006/relationships/hyperlink" Target="https://centrodecapacitaciondelsur.com/soporte-basico-de-vida-" TargetMode="External"/><Relationship Id="rId253" Type="http://schemas.openxmlformats.org/officeDocument/2006/relationships/hyperlink" Target="https://centrodecapacitaciondelsur.com/soporte-basico-de-vida-" TargetMode="External"/><Relationship Id="rId274" Type="http://schemas.openxmlformats.org/officeDocument/2006/relationships/hyperlink" Target="https://centrodecapacitaciondelsur.com/soporte-basico-de-vida-" TargetMode="External"/><Relationship Id="rId295" Type="http://schemas.openxmlformats.org/officeDocument/2006/relationships/hyperlink" Target="https://centrodecapacitaciondelsur.com/soporte-basico-de-vida-" TargetMode="External"/><Relationship Id="rId309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97" Type="http://schemas.openxmlformats.org/officeDocument/2006/relationships/hyperlink" Target="https://centrodecapacitaciondelsur.com/soporte-basico-de-vida-" TargetMode="External"/><Relationship Id="rId201" Type="http://schemas.openxmlformats.org/officeDocument/2006/relationships/hyperlink" Target="https://centrodecapacitaciondelsur.com/soporte-basico-de-vida-" TargetMode="External"/><Relationship Id="rId222" Type="http://schemas.openxmlformats.org/officeDocument/2006/relationships/hyperlink" Target="https://centrodecapacitaciondelsur.com/soporte-basico-de-vida-" TargetMode="External"/><Relationship Id="rId243" Type="http://schemas.openxmlformats.org/officeDocument/2006/relationships/hyperlink" Target="https://centrodecapacitaciondelsur.com/soporte-basico-de-vida-" TargetMode="External"/><Relationship Id="rId264" Type="http://schemas.openxmlformats.org/officeDocument/2006/relationships/hyperlink" Target="https://centrodecapacitaciondelsur.com/soporte-basico-de-vida-" TargetMode="External"/><Relationship Id="rId285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310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12" Type="http://schemas.openxmlformats.org/officeDocument/2006/relationships/hyperlink" Target="https://centrodecapacitaciondelsur.com/soporte-basico-de-vida-" TargetMode="External"/><Relationship Id="rId233" Type="http://schemas.openxmlformats.org/officeDocument/2006/relationships/hyperlink" Target="https://centrodecapacitaciondelsur.com/soporte-basico-de-vida-" TargetMode="External"/><Relationship Id="rId254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275" Type="http://schemas.openxmlformats.org/officeDocument/2006/relationships/hyperlink" Target="https://centrodecapacitaciondelsur.com/soporte-basico-de-vida-" TargetMode="External"/><Relationship Id="rId296" Type="http://schemas.openxmlformats.org/officeDocument/2006/relationships/hyperlink" Target="https://centrodecapacitaciondelsur.com/soporte-basico-de-vida-" TargetMode="External"/><Relationship Id="rId300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98" Type="http://schemas.openxmlformats.org/officeDocument/2006/relationships/hyperlink" Target="https://centrodecapacitaciondelsur.com/soporte-basico-de-vida-" TargetMode="External"/><Relationship Id="rId202" Type="http://schemas.openxmlformats.org/officeDocument/2006/relationships/hyperlink" Target="https://centrodecapacitaciondelsur.com/soporte-basico-de-vida-" TargetMode="External"/><Relationship Id="rId223" Type="http://schemas.openxmlformats.org/officeDocument/2006/relationships/hyperlink" Target="https://centrodecapacitaciondelsur.com/soporte-basico-de-vida-" TargetMode="External"/><Relationship Id="rId244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265" Type="http://schemas.openxmlformats.org/officeDocument/2006/relationships/hyperlink" Target="https://centrodecapacitaciondelsur.com/soporte-basico-de-vida-" TargetMode="External"/><Relationship Id="rId286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311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13" Type="http://schemas.openxmlformats.org/officeDocument/2006/relationships/hyperlink" Target="https://centrodecapacitaciondelsur.com/soporte-basico-de-vida-" TargetMode="External"/><Relationship Id="rId234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soporte-basico-de-vida-" TargetMode="External"/><Relationship Id="rId29" Type="http://schemas.openxmlformats.org/officeDocument/2006/relationships/hyperlink" Target="https://centrodecapacitaciondelsur.com/soporte-basico-de-vida-" TargetMode="External"/><Relationship Id="rId255" Type="http://schemas.openxmlformats.org/officeDocument/2006/relationships/hyperlink" Target="https://centrodecapacitaciondelsur.com/soporte-basico-de-vida-" TargetMode="External"/><Relationship Id="rId276" Type="http://schemas.openxmlformats.org/officeDocument/2006/relationships/hyperlink" Target="https://centrodecapacitaciondelsur.com/soporte-basico-de-vida-" TargetMode="External"/><Relationship Id="rId297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301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9" Type="http://schemas.openxmlformats.org/officeDocument/2006/relationships/hyperlink" Target="https://centrodecapacitaciondelsur.com/soporte-basico-de-vida-" TargetMode="External"/><Relationship Id="rId203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224" Type="http://schemas.openxmlformats.org/officeDocument/2006/relationships/hyperlink" Target="https://centrodecapacitaciondelsur.com/soporte-basico-de-vida-" TargetMode="External"/><Relationship Id="rId245" Type="http://schemas.openxmlformats.org/officeDocument/2006/relationships/hyperlink" Target="https://centrodecapacitaciondelsur.com/soporte-basico-de-vida-" TargetMode="External"/><Relationship Id="rId266" Type="http://schemas.openxmlformats.org/officeDocument/2006/relationships/hyperlink" Target="https://centrodecapacitaciondelsur.com/soporte-basico-de-vida-" TargetMode="External"/><Relationship Id="rId287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312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14" Type="http://schemas.openxmlformats.org/officeDocument/2006/relationships/hyperlink" Target="https://centrodecapacitaciondelsur.com/soporte-basico-de-vida-" TargetMode="External"/><Relationship Id="rId235" Type="http://schemas.openxmlformats.org/officeDocument/2006/relationships/hyperlink" Target="https://centrodecapacitaciondelsur.com/soporte-basico-de-vida-" TargetMode="External"/><Relationship Id="rId256" Type="http://schemas.openxmlformats.org/officeDocument/2006/relationships/hyperlink" Target="https://centrodecapacitaciondelsur.com/soporte-basico-de-vida-" TargetMode="External"/><Relationship Id="rId277" Type="http://schemas.openxmlformats.org/officeDocument/2006/relationships/hyperlink" Target="https://centrodecapacitaciondelsur.com/soporte-basico-de-vida-" TargetMode="External"/><Relationship Id="rId298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302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204" Type="http://schemas.openxmlformats.org/officeDocument/2006/relationships/hyperlink" Target="https://centrodecapacitaciondelsur.com/soporte-basico-de-vida-" TargetMode="External"/><Relationship Id="rId225" Type="http://schemas.openxmlformats.org/officeDocument/2006/relationships/hyperlink" Target="https://centrodecapacitaciondelsur.com/soporte-basico-de-vida-" TargetMode="External"/><Relationship Id="rId246" Type="http://schemas.openxmlformats.org/officeDocument/2006/relationships/hyperlink" Target="https://centrodecapacitaciondelsur.com/soporte-basico-de-vida-" TargetMode="External"/><Relationship Id="rId267" Type="http://schemas.openxmlformats.org/officeDocument/2006/relationships/hyperlink" Target="https://centrodecapacitaciondelsur.com/soporte-basico-de-vida-" TargetMode="External"/><Relationship Id="rId288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313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15" Type="http://schemas.openxmlformats.org/officeDocument/2006/relationships/hyperlink" Target="https://centrodecapacitaciondelsur.com/soporte-basico-de-vida-" TargetMode="External"/><Relationship Id="rId236" Type="http://schemas.openxmlformats.org/officeDocument/2006/relationships/hyperlink" Target="https://centrodecapacitaciondelsur.com/soporte-basico-de-vida-" TargetMode="External"/><Relationship Id="rId257" Type="http://schemas.openxmlformats.org/officeDocument/2006/relationships/hyperlink" Target="https://centrodecapacitaciondelsur.com/soporte-basico-de-vida-" TargetMode="External"/><Relationship Id="rId278" Type="http://schemas.openxmlformats.org/officeDocument/2006/relationships/hyperlink" Target="https://centrodecapacitaciondelsur.com/soporte-basico-de-vida-" TargetMode="External"/><Relationship Id="rId303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205" Type="http://schemas.openxmlformats.org/officeDocument/2006/relationships/hyperlink" Target="https://centrodecapacitaciondelsur.com/soporte-basico-de-vida-" TargetMode="External"/><Relationship Id="rId247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289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314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216" Type="http://schemas.openxmlformats.org/officeDocument/2006/relationships/hyperlink" Target="https://centrodecapacitaciondelsur.com/soporte-basico-de-vida-" TargetMode="External"/><Relationship Id="rId258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227" Type="http://schemas.openxmlformats.org/officeDocument/2006/relationships/hyperlink" Target="https://centrodecapacitaciondelsur.com/soporte-basico-de-vida-" TargetMode="External"/><Relationship Id="rId269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280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8" Type="http://schemas.openxmlformats.org/officeDocument/2006/relationships/hyperlink" Target="https://centrodecapacitaciondelsur.com/soporte-basico-de-vida-" TargetMode="External"/><Relationship Id="rId291" Type="http://schemas.openxmlformats.org/officeDocument/2006/relationships/hyperlink" Target="https://centrodecapacitaciondelsur.com/soporte-basico-de-vida-" TargetMode="External"/><Relationship Id="rId305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207" Type="http://schemas.openxmlformats.org/officeDocument/2006/relationships/hyperlink" Target="https://centrodecapacitaciondelsur.com/soporte-basico-de-vida-" TargetMode="External"/><Relationship Id="rId249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X197"/>
  <sheetViews>
    <sheetView zoomScale="55" zoomScaleNormal="55" workbookViewId="0">
      <pane xSplit="1" ySplit="1" topLeftCell="B48" activePane="bottomRight" state="frozen"/>
      <selection pane="topRight"/>
      <selection pane="bottomLeft"/>
      <selection pane="bottomRight" activeCell="O118" sqref="D118:O120"/>
    </sheetView>
  </sheetViews>
  <sheetFormatPr baseColWidth="10" defaultRowHeight="15" x14ac:dyDescent="0.2"/>
  <cols>
    <col min="1" max="1" width="5.5703125" style="140" customWidth="1"/>
    <col min="2" max="2" width="45.140625" style="112" bestFit="1" customWidth="1"/>
    <col min="3" max="3" width="29" style="112" bestFit="1" customWidth="1"/>
    <col min="4" max="4" width="31.28515625" style="112" bestFit="1" customWidth="1"/>
    <col min="5" max="5" width="27.42578125" style="112" bestFit="1" customWidth="1"/>
    <col min="6" max="6" width="30" style="112" bestFit="1" customWidth="1"/>
    <col min="7" max="7" width="7.140625" style="140" bestFit="1" customWidth="1"/>
    <col min="8" max="8" width="13.85546875" style="140" bestFit="1" customWidth="1"/>
    <col min="9" max="9" width="20.7109375" style="141" bestFit="1" customWidth="1"/>
    <col min="10" max="10" width="26.140625" style="140" bestFit="1" customWidth="1"/>
    <col min="11" max="11" width="28.7109375" style="142" bestFit="1" customWidth="1"/>
    <col min="12" max="12" width="25.5703125" style="140" bestFit="1" customWidth="1"/>
    <col min="13" max="13" width="16" style="140" bestFit="1" customWidth="1"/>
    <col min="14" max="14" width="23.7109375" style="140" bestFit="1" customWidth="1"/>
    <col min="15" max="15" width="37" style="143" bestFit="1" customWidth="1"/>
    <col min="16" max="16" width="36.5703125" style="112" bestFit="1" customWidth="1"/>
    <col min="17" max="17" width="14.140625" style="140" bestFit="1" customWidth="1"/>
    <col min="18" max="18" width="53.85546875" style="112" bestFit="1" customWidth="1"/>
    <col min="19" max="19" width="16" style="112" bestFit="1" customWidth="1"/>
    <col min="20" max="20" width="44" style="112" bestFit="1" customWidth="1"/>
    <col min="21" max="21" width="111" style="112" bestFit="1" customWidth="1"/>
    <col min="22" max="22" width="55.42578125" style="112" bestFit="1" customWidth="1"/>
    <col min="23" max="23" width="42.28515625" style="112" bestFit="1" customWidth="1"/>
    <col min="24" max="24" width="92.85546875" style="112" bestFit="1" customWidth="1"/>
    <col min="25" max="16384" width="11.42578125" style="112"/>
  </cols>
  <sheetData>
    <row r="1" spans="1:24" s="102" customFormat="1" ht="15.75" x14ac:dyDescent="0.25">
      <c r="A1" s="90" t="s">
        <v>71</v>
      </c>
      <c r="B1" s="91" t="s">
        <v>0</v>
      </c>
      <c r="C1" s="92" t="s">
        <v>1</v>
      </c>
      <c r="D1" s="92" t="s">
        <v>2</v>
      </c>
      <c r="E1" s="92" t="s">
        <v>3</v>
      </c>
      <c r="F1" s="92" t="s">
        <v>4</v>
      </c>
      <c r="G1" s="93" t="s">
        <v>5</v>
      </c>
      <c r="H1" s="94" t="s">
        <v>6</v>
      </c>
      <c r="I1" s="95" t="s">
        <v>407</v>
      </c>
      <c r="J1" s="96" t="s">
        <v>7</v>
      </c>
      <c r="K1" s="97" t="s">
        <v>8</v>
      </c>
      <c r="L1" s="98" t="s">
        <v>9</v>
      </c>
      <c r="M1" s="98" t="s">
        <v>72</v>
      </c>
      <c r="N1" s="98" t="s">
        <v>10</v>
      </c>
      <c r="O1" s="99" t="s">
        <v>11</v>
      </c>
      <c r="P1" s="100" t="s">
        <v>70</v>
      </c>
      <c r="Q1" s="98" t="s">
        <v>12</v>
      </c>
      <c r="R1" s="92" t="s">
        <v>13</v>
      </c>
      <c r="S1" s="92" t="s">
        <v>14</v>
      </c>
      <c r="T1" s="92" t="s">
        <v>73</v>
      </c>
      <c r="U1" s="101" t="s">
        <v>15</v>
      </c>
      <c r="V1" s="101" t="s">
        <v>16</v>
      </c>
      <c r="W1" s="101" t="s">
        <v>17</v>
      </c>
      <c r="X1" s="101" t="s">
        <v>18</v>
      </c>
    </row>
    <row r="2" spans="1:24" x14ac:dyDescent="0.2">
      <c r="A2" s="103">
        <v>1</v>
      </c>
      <c r="B2" s="104">
        <v>1087406261</v>
      </c>
      <c r="C2" s="105" t="s">
        <v>100</v>
      </c>
      <c r="D2" s="105" t="s">
        <v>101</v>
      </c>
      <c r="E2" s="105" t="s">
        <v>102</v>
      </c>
      <c r="F2" s="105"/>
      <c r="G2" s="106">
        <v>2</v>
      </c>
      <c r="H2" s="106" t="s">
        <v>99</v>
      </c>
      <c r="I2" s="106" t="s">
        <v>408</v>
      </c>
      <c r="J2" s="107">
        <v>45537</v>
      </c>
      <c r="K2" s="88">
        <v>40000</v>
      </c>
      <c r="L2" s="107" t="s">
        <v>103</v>
      </c>
      <c r="M2" s="106" t="s">
        <v>85</v>
      </c>
      <c r="N2" s="106" t="s">
        <v>98</v>
      </c>
      <c r="O2" s="108" t="s">
        <v>19</v>
      </c>
      <c r="P2" s="109">
        <v>31445</v>
      </c>
      <c r="Q2" s="106" t="s">
        <v>104</v>
      </c>
      <c r="R2" s="110" t="s">
        <v>105</v>
      </c>
      <c r="S2" s="105">
        <v>3166270241</v>
      </c>
      <c r="T2" s="111" t="s">
        <v>106</v>
      </c>
      <c r="U2" s="105" t="str">
        <f>IF(O2=CURSOS!$D$3,"DIPLOMADO EN ATENCION PRE-HOSPITALARIA",IF(O2=CURSOS!$D$4,"ACOMPAÑAMIENTO Y MANEJO DEL DUELO",IF(O2=CURSOS!$D$5,"ATENCION A VICTIMAS DE ATAQUE CON AGENTES QUIMICOS ",IF(O2=CURSOS!$D$6,"PRIMEROS AUXILIOS ",IF(O2=CURSOS!$D$7,"DIPLOMADO DE UNIDAD DE CUIDADOS INTENSIVOS (UCI)",IF(O2=CURSOS!$D$8,"MODELO DE ATENCION PARA EVENTOS EMERGENTES EN SALUD MENTAL (CODIGO VERDE)",IF(O2=CURSOS!$D$9,"HUMANIZACION EN EL SERVICIO DE LA SALUD Y BUENAS PRACTICAS EN PACIENTE ",IF(O2=CURSOS!$D$10,"CLINICA DE HERIDAS ",IF(O2=CURSOS!$D$11,"TOMA DE CITOLOGIA CERVICO VAGINAL ",IF(O2=CURSOS!$D$12,"SOPORTE CARDIOVASCULAR AVANZADO (ACLS) ",IF(O2=CURSOS!$D$13,"CAMILLERO ",IF(O2=CURSOS!$D$14,"TOMA DE MUESTRAS Y LABORATORIO ",IF(O2=CURSOS!$D$15,"SOPORTE VITAL BASICO (BLS)",IF(O2=CURSOS!$D$16,"ATENCION A VICTIMAS DE VIOLENCIA SEXUAL ",IF(O2=CURSOS!$D$17,"PROGRAMADO AMPLIADO DE INMUNIZACION (PAI - COVID 19)",IF(O2=CURSOS!$D$18,"ATENCION INTEGRAL EN ENFERMEDADES PREVALENTES EN PRIMERA INFANCIA (AIEPI)",IF(O2=CURSOS!$D$19,"ADMINISTRACION DE MEDICAMENTOS, INYECTOLOGIA  Y CANALIZACION ",IF(O2=CURSOS!$D$20,"OPERADOR DE VEHICULOS DE EMERGENCIA (OVE)",IF(O2=CURSOS!$D$21,"INSTITUCIONES AMIGAS DE LA MUJER Y LA INFANCIA (IAMI)",IF(O2=CURSOS!$D$22,"CUIDADO DEL DONANTE DE ORGANOS",IF(O2=CURSOS!$D$23,"ATENCION A VICTIMAS POR VIOLENCIA DE GENERO",IF(O2=CURSOS!$D$24,"IGUALDAD DE GENERO EN LA SALUD",IF(O2=CURSOS!$D$25,"BRIGADA DE EMERGENCIA",IF(O2=CURSOS!$D$26,"MANEJO DEL DOLOR Y CUIDADOS PALIATIVOS",IF(O2=CURSOS!$D$27,"TOMA DE MUESTRAS Y LABORATORIO POCT",IF(O2=CURSOS!$D$28,"IMPLANTE SUBDERMICO DE DISPOSITIVO INTRAUTERINO",IF(O2=CURSOS!$D$29,"SALUD MENTAL",IF(O2=CURSOS!$D$30,"PRIMEROS AUXILIOS PSICOLOGICOS",IF(O2=CURSOS!$D$31,"ATENCION A VICTIMAS POR CONFLICTO ARMADO",IF(O2=CURSOS!$D$32,"MANIPULACION DE ALIMENTOS Y BPM",IF(O2=CURSOS!$D$33,"ATENCION A PERSONAS CON DISCAPACIDAD",IF(O2=CURSOS!$D$34,"CUIDADO INTEGRAL DEL PACIENTE ADULTO",IF(O2=CURSOS!$D$35,"MANEJO DEFENSIVO",IF(O2=CURSOS!$D$36,"SOPORTE CARDIOVASCULAR AVANZADO NEONATAL",IF(O2=CURSOS!$D$37,"SEGURIDAD DEL PACIENTE",IF(O2=CURSOS!$D$38,"MANEJO Y USO DEL DEA",IF(O2=CURSOS!$D$39,"TRIAGE")))))))))))))))))))))))))))))))))))))</f>
        <v>SOPORTE VITAL BASICO (BLS)</v>
      </c>
      <c r="V2" s="105" t="str">
        <f t="shared" ref="V2" si="0">CONCATENATE(E2," ",F2," ",C2," ",D2)</f>
        <v>Renzo  Ceron Rodriguez</v>
      </c>
      <c r="W2" s="105" t="str">
        <f>PROPER(V2)</f>
        <v>Renzo  Ceron Rodriguez</v>
      </c>
      <c r="X2" s="105" t="str">
        <f t="shared" ref="X2" si="1">CONCATENATE(V2,"-",B2,"-",O2)</f>
        <v>Renzo  Ceron Rodriguez-1087406261-BLS</v>
      </c>
    </row>
    <row r="3" spans="1:24" hidden="1" x14ac:dyDescent="0.2">
      <c r="A3" s="103">
        <v>2</v>
      </c>
      <c r="B3" s="104">
        <v>1004543148</v>
      </c>
      <c r="C3" s="105" t="s">
        <v>107</v>
      </c>
      <c r="D3" s="105" t="s">
        <v>90</v>
      </c>
      <c r="E3" s="105" t="s">
        <v>108</v>
      </c>
      <c r="F3" s="105" t="s">
        <v>86</v>
      </c>
      <c r="G3" s="106">
        <v>3</v>
      </c>
      <c r="H3" s="106" t="s">
        <v>99</v>
      </c>
      <c r="I3" s="106" t="s">
        <v>408</v>
      </c>
      <c r="J3" s="107">
        <v>45539</v>
      </c>
      <c r="K3" s="88">
        <v>25000</v>
      </c>
      <c r="L3" s="107" t="s">
        <v>138</v>
      </c>
      <c r="M3" s="106" t="s">
        <v>85</v>
      </c>
      <c r="N3" s="106" t="s">
        <v>109</v>
      </c>
      <c r="O3" s="108" t="s">
        <v>97</v>
      </c>
      <c r="P3" s="109">
        <v>36695</v>
      </c>
      <c r="Q3" s="106" t="s">
        <v>110</v>
      </c>
      <c r="R3" s="110" t="s">
        <v>105</v>
      </c>
      <c r="S3" s="105">
        <v>3104215519</v>
      </c>
      <c r="T3" s="111" t="s">
        <v>111</v>
      </c>
      <c r="U3" s="105" t="str">
        <f>IF(O3=CURSOS!$D$3,"DIPLOMADO EN ATENCION PRE-HOSPITALARIA",IF(O3=CURSOS!$D$4,"ACOMPAÑAMIENTO Y MANEJO DEL DUELO",IF(O3=CURSOS!$D$5,"ATENCION A VICTIMAS DE ATAQUE CON AGENTES QUIMICOS ",IF(O3=CURSOS!$D$6,"PRIMEROS AUXILIOS ",IF(O3=CURSOS!$D$7,"DIPLOMADO DE UNIDAD DE CUIDADOS INTENSIVOS (UCI)",IF(O3=CURSOS!$D$8,"MODELO DE ATENCION PARA EVENTOS EMERGENTES EN SALUD MENTAL (CODIGO VERDE)",IF(O3=CURSOS!$D$9,"HUMANIZACION EN EL SERVICIO DE LA SALUD Y BUENAS PRACTICAS EN PACIENTE ",IF(O3=CURSOS!$D$10,"CLINICA DE HERIDAS ",IF(O3=CURSOS!$D$11,"TOMA DE CITOLOGIA CERVICO VAGINAL ",IF(O3=CURSOS!$D$12,"SOPORTE CARDIOVASCULAR AVANZADO (ACLS) ",IF(O3=CURSOS!$D$13,"CAMILLERO ",IF(O3=CURSOS!$D$14,"TOMA DE MUESTRAS Y LABORATORIO ",IF(O3=CURSOS!$D$15,"SOPORTE VITAL BASICO (BLS)",IF(O3=CURSOS!$D$16,"ATENCION A VICTIMAS DE VIOLENCIA SEXUAL ",IF(O3=CURSOS!$D$17,"PROGRAMADO AMPLIADO DE INMUNIZACION (PAI - COVID 19)",IF(O3=CURSOS!$D$18,"ATENCION INTEGRAL EN ENFERMEDADES PREVALENTES EN PRIMERA INFANCIA (AIEPI)",IF(O3=CURSOS!$D$19,"ADMINISTRACION DE MEDICAMENTOS, INYECTOLOGIA  Y CANALIZACION ",IF(O3=CURSOS!$D$20,"OPERADOR DE VEHICULOS DE EMERGENCIA (OVE)",IF(O3=CURSOS!$D$21,"INSTITUCIONES AMIGAS DE LA MUJER Y LA INFANCIA (IAMI)",IF(O3=CURSOS!$D$22,"CUIDADO DEL DONANTE DE ORGANOS",IF(O3=CURSOS!$D$23,"ATENCION A VICTIMAS POR VIOLENCIA DE GENERO",IF(O3=CURSOS!$D$24,"IGUALDAD DE GENERO EN LA SALUD",IF(O3=CURSOS!$D$25,"BRIGADA DE EMERGENCIA",IF(O3=CURSOS!$D$26,"MANEJO DEL DOLOR Y CUIDADOS PALIATIVOS",IF(O3=CURSOS!$D$27,"TOMA DE MUESTRAS Y LABORATORIO POCT",IF(O3=CURSOS!$D$28,"IMPLANTE SUBDERMICO DE DISPOSITIVO INTRAUTERINO",IF(O3=CURSOS!$D$29,"SALUD MENTAL",IF(O3=CURSOS!$D$30,"PRIMEROS AUXILIOS PSICOLOGICOS",IF(O3=CURSOS!$D$31,"ATENCION A VICTIMAS POR CONFLICTO ARMADO",IF(O3=CURSOS!$D$32,"MANIPULACION DE ALIMENTOS Y BPM",IF(O3=CURSOS!$D$33,"ATENCION A PERSONAS CON DISCAPACIDAD",IF(O3=CURSOS!$D$34,"CUIDADO INTEGRAL DEL PACIENTE ADULTO",IF(O3=CURSOS!$D$35,"MANEJO DEFENSIVO",IF(O3=CURSOS!$D$36,"SOPORTE CARDIOVASCULAR AVANZADO NEONATAL",IF(O3=CURSOS!$D$37,"SEGURIDAD DEL PACIENTE",IF(O3=CURSOS!$D$38,"MANEJO Y USO DEL DEA",IF(O3=CURSOS!$D$39,"TRIAGE")))))))))))))))))))))))))))))))))))))</f>
        <v>SEGURIDAD DEL PACIENTE</v>
      </c>
      <c r="V3" s="105" t="str">
        <f t="shared" ref="V3:V61" si="2">CONCATENATE(E3," ",F3," ",C3," ",D3)</f>
        <v>María Alejandra Guancha Delgado</v>
      </c>
      <c r="W3" s="105" t="str">
        <f t="shared" ref="W3:W61" si="3">+PROPER(V3)</f>
        <v>María Alejandra Guancha Delgado</v>
      </c>
      <c r="X3" s="105" t="str">
        <f t="shared" ref="X3:X61" si="4">CONCATENATE(V3,"-",B3,"-",O3)</f>
        <v>María Alejandra Guancha Delgado-1004543148-PACIENTE</v>
      </c>
    </row>
    <row r="4" spans="1:24" x14ac:dyDescent="0.2">
      <c r="A4" s="103">
        <v>3</v>
      </c>
      <c r="B4" s="104">
        <v>1193383358</v>
      </c>
      <c r="C4" s="105" t="s">
        <v>112</v>
      </c>
      <c r="D4" s="105" t="s">
        <v>113</v>
      </c>
      <c r="E4" s="105" t="s">
        <v>114</v>
      </c>
      <c r="F4" s="105" t="s">
        <v>115</v>
      </c>
      <c r="G4" s="106">
        <v>3</v>
      </c>
      <c r="H4" s="106" t="s">
        <v>99</v>
      </c>
      <c r="I4" s="106" t="s">
        <v>409</v>
      </c>
      <c r="J4" s="107">
        <v>21063</v>
      </c>
      <c r="K4" s="88">
        <v>56000</v>
      </c>
      <c r="L4" s="107" t="s">
        <v>103</v>
      </c>
      <c r="M4" s="106" t="s">
        <v>85</v>
      </c>
      <c r="N4" s="106" t="s">
        <v>98</v>
      </c>
      <c r="O4" s="108" t="s">
        <v>43</v>
      </c>
      <c r="P4" s="109">
        <v>37018</v>
      </c>
      <c r="Q4" s="106" t="s">
        <v>104</v>
      </c>
      <c r="R4" s="110" t="s">
        <v>116</v>
      </c>
      <c r="S4" s="105">
        <v>3182922621</v>
      </c>
      <c r="T4" s="111" t="s">
        <v>117</v>
      </c>
      <c r="U4" s="105" t="str">
        <f>IF(O4=CURSOS!$D$3,"DIPLOMADO EN ATENCION PRE-HOSPITALARIA",IF(O4=CURSOS!$D$4,"ACOMPAÑAMIENTO Y MANEJO DEL DUELO",IF(O4=CURSOS!$D$5,"ATENCION A VICTIMAS DE ATAQUE CON AGENTES QUIMICOS ",IF(O4=CURSOS!$D$6,"PRIMEROS AUXILIOS ",IF(O4=CURSOS!$D$7,"DIPLOMADO DE UNIDAD DE CUIDADOS INTENSIVOS (UCI)",IF(O4=CURSOS!$D$8,"MODELO DE ATENCION PARA EVENTOS EMERGENTES EN SALUD MENTAL (CODIGO VERDE)",IF(O4=CURSOS!$D$9,"HUMANIZACION EN EL SERVICIO DE LA SALUD Y BUENAS PRACTICAS EN PACIENTE ",IF(O4=CURSOS!$D$10,"CLINICA DE HERIDAS ",IF(O4=CURSOS!$D$11,"TOMA DE CITOLOGIA CERVICO VAGINAL ",IF(O4=CURSOS!$D$12,"SOPORTE CARDIOVASCULAR AVANZADO (ACLS) ",IF(O4=CURSOS!$D$13,"CAMILLERO ",IF(O4=CURSOS!$D$14,"TOMA DE MUESTRAS Y LABORATORIO ",IF(O4=CURSOS!$D$15,"SOPORTE VITAL BASICO (BLS)",IF(O4=CURSOS!$D$16,"ATENCION A VICTIMAS DE VIOLENCIA SEXUAL ",IF(O4=CURSOS!$D$17,"PROGRAMADO AMPLIADO DE INMUNIZACION (PAI - COVID 19)",IF(O4=CURSOS!$D$18,"ATENCION INTEGRAL EN ENFERMEDADES PREVALENTES EN PRIMERA INFANCIA (AIEPI)",IF(O4=CURSOS!$D$19,"ADMINISTRACION DE MEDICAMENTOS, INYECTOLOGIA  Y CANALIZACION ",IF(O4=CURSOS!$D$20,"OPERADOR DE VEHICULOS DE EMERGENCIA (OVE)",IF(O4=CURSOS!$D$21,"INSTITUCIONES AMIGAS DE LA MUJER Y LA INFANCIA (IAMI)",IF(O4=CURSOS!$D$22,"CUIDADO DEL DONANTE DE ORGANOS",IF(O4=CURSOS!$D$23,"ATENCION A VICTIMAS POR VIOLENCIA DE GENERO",IF(O4=CURSOS!$D$24,"IGUALDAD DE GENERO EN LA SALUD",IF(O4=CURSOS!$D$25,"BRIGADA DE EMERGENCIA",IF(O4=CURSOS!$D$26,"MANEJO DEL DOLOR Y CUIDADOS PALIATIVOS",IF(O4=CURSOS!$D$27,"TOMA DE MUESTRAS Y LABORATORIO POCT",IF(O4=CURSOS!$D$28,"IMPLANTE SUBDERMICO DE DISPOSITIVO INTRAUTERINO",IF(O4=CURSOS!$D$29,"SALUD MENTAL",IF(O4=CURSOS!$D$30,"PRIMEROS AUXILIOS PSICOLOGICOS",IF(O4=CURSOS!$D$31,"ATENCION A VICTIMAS POR CONFLICTO ARMADO",IF(O4=CURSOS!$D$32,"MANIPULACION DE ALIMENTOS Y BPM",IF(O4=CURSOS!$D$33,"ATENCION A PERSONAS CON DISCAPACIDAD",IF(O4=CURSOS!$D$34,"CUIDADO INTEGRAL DEL PACIENTE ADULTO",IF(O4=CURSOS!$D$35,"MANEJO DEFENSIVO",IF(O4=CURSOS!$D$36,"SOPORTE CARDIOVASCULAR AVANZADO NEONATAL",IF(O4=CURSOS!$D$37,"SEGURIDAD DEL PACIENTE",IF(O4=CURSOS!$D$38,"MANEJO Y USO DEL DEA",IF(O4=CURSOS!$D$39,"TRIAGE")))))))))))))))))))))))))))))))))))))</f>
        <v xml:space="preserve">ATENCION A VICTIMAS DE VIOLENCIA SEXUAL </v>
      </c>
      <c r="V4" s="105" t="str">
        <f t="shared" si="2"/>
        <v>Jeisson Stiven Villota Gualguan</v>
      </c>
      <c r="W4" s="105" t="str">
        <f t="shared" si="3"/>
        <v>Jeisson Stiven Villota Gualguan</v>
      </c>
      <c r="X4" s="105" t="str">
        <f t="shared" si="4"/>
        <v>Jeisson Stiven Villota Gualguan-1193383358-VIOLENCIA SEXUAL</v>
      </c>
    </row>
    <row r="5" spans="1:24" hidden="1" x14ac:dyDescent="0.2">
      <c r="A5" s="103">
        <v>4</v>
      </c>
      <c r="B5" s="105">
        <v>1088734761</v>
      </c>
      <c r="C5" s="105" t="s">
        <v>118</v>
      </c>
      <c r="D5" s="105" t="s">
        <v>119</v>
      </c>
      <c r="E5" s="105" t="s">
        <v>120</v>
      </c>
      <c r="F5" s="105" t="s">
        <v>121</v>
      </c>
      <c r="G5" s="106">
        <v>4</v>
      </c>
      <c r="H5" s="106" t="s">
        <v>99</v>
      </c>
      <c r="I5" s="106" t="s">
        <v>408</v>
      </c>
      <c r="J5" s="107">
        <v>45539</v>
      </c>
      <c r="K5" s="88">
        <v>25000</v>
      </c>
      <c r="L5" s="107" t="s">
        <v>138</v>
      </c>
      <c r="M5" s="106" t="s">
        <v>85</v>
      </c>
      <c r="N5" s="106" t="s">
        <v>109</v>
      </c>
      <c r="O5" s="108" t="s">
        <v>19</v>
      </c>
      <c r="P5" s="109"/>
      <c r="Q5" s="106" t="s">
        <v>110</v>
      </c>
      <c r="R5" s="105" t="s">
        <v>123</v>
      </c>
      <c r="S5" s="105">
        <v>3225292174</v>
      </c>
      <c r="T5" s="111" t="s">
        <v>122</v>
      </c>
      <c r="U5" s="105" t="str">
        <f>IF(O5=CURSOS!$D$3,"DIPLOMADO EN ATENCION PRE-HOSPITALARIA",IF(O5=CURSOS!$D$4,"ACOMPAÑAMIENTO Y MANEJO DEL DUELO",IF(O5=CURSOS!$D$5,"ATENCION A VICTIMAS DE ATAQUE CON AGENTES QUIMICOS ",IF(O5=CURSOS!$D$6,"PRIMEROS AUXILIOS ",IF(O5=CURSOS!$D$7,"DIPLOMADO DE UNIDAD DE CUIDADOS INTENSIVOS (UCI)",IF(O5=CURSOS!$D$8,"MODELO DE ATENCION PARA EVENTOS EMERGENTES EN SALUD MENTAL (CODIGO VERDE)",IF(O5=CURSOS!$D$9,"HUMANIZACION EN EL SERVICIO DE LA SALUD Y BUENAS PRACTICAS EN PACIENTE ",IF(O5=CURSOS!$D$10,"CLINICA DE HERIDAS ",IF(O5=CURSOS!$D$11,"TOMA DE CITOLOGIA CERVICO VAGINAL ",IF(O5=CURSOS!$D$12,"SOPORTE CARDIOVASCULAR AVANZADO (ACLS) ",IF(O5=CURSOS!$D$13,"CAMILLERO ",IF(O5=CURSOS!$D$14,"TOMA DE MUESTRAS Y LABORATORIO ",IF(O5=CURSOS!$D$15,"SOPORTE VITAL BASICO (BLS)",IF(O5=CURSOS!$D$16,"ATENCION A VICTIMAS DE VIOLENCIA SEXUAL ",IF(O5=CURSOS!$D$17,"PROGRAMADO AMPLIADO DE INMUNIZACION (PAI - COVID 19)",IF(O5=CURSOS!$D$18,"ATENCION INTEGRAL EN ENFERMEDADES PREVALENTES EN PRIMERA INFANCIA (AIEPI)",IF(O5=CURSOS!$D$19,"ADMINISTRACION DE MEDICAMENTOS, INYECTOLOGIA  Y CANALIZACION ",IF(O5=CURSOS!$D$20,"OPERADOR DE VEHICULOS DE EMERGENCIA (OVE)",IF(O5=CURSOS!$D$21,"INSTITUCIONES AMIGAS DE LA MUJER Y LA INFANCIA (IAMI)",IF(O5=CURSOS!$D$22,"CUIDADO DEL DONANTE DE ORGANOS",IF(O5=CURSOS!$D$23,"ATENCION A VICTIMAS POR VIOLENCIA DE GENERO",IF(O5=CURSOS!$D$24,"IGUALDAD DE GENERO EN LA SALUD",IF(O5=CURSOS!$D$25,"BRIGADA DE EMERGENCIA",IF(O5=CURSOS!$D$26,"MANEJO DEL DOLOR Y CUIDADOS PALIATIVOS",IF(O5=CURSOS!$D$27,"TOMA DE MUESTRAS Y LABORATORIO POCT",IF(O5=CURSOS!$D$28,"IMPLANTE SUBDERMICO DE DISPOSITIVO INTRAUTERINO",IF(O5=CURSOS!$D$29,"SALUD MENTAL",IF(O5=CURSOS!$D$30,"PRIMEROS AUXILIOS PSICOLOGICOS",IF(O5=CURSOS!$D$31,"ATENCION A VICTIMAS POR CONFLICTO ARMADO",IF(O5=CURSOS!$D$32,"MANIPULACION DE ALIMENTOS Y BPM",IF(O5=CURSOS!$D$33,"ATENCION A PERSONAS CON DISCAPACIDAD",IF(O5=CURSOS!$D$34,"CUIDADO INTEGRAL DEL PACIENTE ADULTO",IF(O5=CURSOS!$D$35,"MANEJO DEFENSIVO",IF(O5=CURSOS!$D$36,"SOPORTE CARDIOVASCULAR AVANZADO NEONATAL",IF(O5=CURSOS!$D$37,"SEGURIDAD DEL PACIENTE",IF(O5=CURSOS!$D$38,"MANEJO Y USO DEL DEA",IF(O5=CURSOS!$D$39,"TRIAGE")))))))))))))))))))))))))))))))))))))</f>
        <v>SOPORTE VITAL BASICO (BLS)</v>
      </c>
      <c r="V5" s="105" t="str">
        <f t="shared" si="2"/>
        <v>Liliana Ximena Arteaga Pantoja</v>
      </c>
      <c r="W5" s="105" t="str">
        <f t="shared" si="3"/>
        <v>Liliana Ximena Arteaga Pantoja</v>
      </c>
      <c r="X5" s="105" t="str">
        <f t="shared" si="4"/>
        <v>Liliana Ximena Arteaga Pantoja-1088734761-BLS</v>
      </c>
    </row>
    <row r="6" spans="1:24" hidden="1" x14ac:dyDescent="0.2">
      <c r="A6" s="103">
        <v>5</v>
      </c>
      <c r="B6" s="105">
        <v>1088734761</v>
      </c>
      <c r="C6" s="105" t="s">
        <v>118</v>
      </c>
      <c r="D6" s="105" t="s">
        <v>119</v>
      </c>
      <c r="E6" s="105" t="s">
        <v>120</v>
      </c>
      <c r="F6" s="105" t="s">
        <v>121</v>
      </c>
      <c r="G6" s="106">
        <v>3</v>
      </c>
      <c r="H6" s="106" t="s">
        <v>99</v>
      </c>
      <c r="I6" s="106" t="s">
        <v>408</v>
      </c>
      <c r="J6" s="107">
        <v>45539</v>
      </c>
      <c r="K6" s="88">
        <v>25000</v>
      </c>
      <c r="L6" s="107" t="s">
        <v>138</v>
      </c>
      <c r="M6" s="106" t="s">
        <v>85</v>
      </c>
      <c r="N6" s="106" t="s">
        <v>109</v>
      </c>
      <c r="O6" s="108" t="s">
        <v>25</v>
      </c>
      <c r="P6" s="109"/>
      <c r="Q6" s="106" t="s">
        <v>110</v>
      </c>
      <c r="R6" s="105" t="s">
        <v>123</v>
      </c>
      <c r="S6" s="105">
        <v>3225292174</v>
      </c>
      <c r="T6" s="111" t="s">
        <v>122</v>
      </c>
      <c r="U6" s="105" t="str">
        <f>IF(O6=CURSOS!$D$3,"DIPLOMADO EN ATENCION PRE-HOSPITALARIA",IF(O6=CURSOS!$D$4,"ACOMPAÑAMIENTO Y MANEJO DEL DUELO",IF(O6=CURSOS!$D$5,"ATENCION A VICTIMAS DE ATAQUE CON AGENTES QUIMICOS ",IF(O6=CURSOS!$D$6,"PRIMEROS AUXILIOS ",IF(O6=CURSOS!$D$7,"DIPLOMADO DE UNIDAD DE CUIDADOS INTENSIVOS (UCI)",IF(O6=CURSOS!$D$8,"MODELO DE ATENCION PARA EVENTOS EMERGENTES EN SALUD MENTAL (CODIGO VERDE)",IF(O6=CURSOS!$D$9,"HUMANIZACION EN EL SERVICIO DE LA SALUD Y BUENAS PRACTICAS EN PACIENTE ",IF(O6=CURSOS!$D$10,"CLINICA DE HERIDAS ",IF(O6=CURSOS!$D$11,"TOMA DE CITOLOGIA CERVICO VAGINAL ",IF(O6=CURSOS!$D$12,"SOPORTE CARDIOVASCULAR AVANZADO (ACLS) ",IF(O6=CURSOS!$D$13,"CAMILLERO ",IF(O6=CURSOS!$D$14,"TOMA DE MUESTRAS Y LABORATORIO ",IF(O6=CURSOS!$D$15,"SOPORTE VITAL BASICO (BLS)",IF(O6=CURSOS!$D$16,"ATENCION A VICTIMAS DE VIOLENCIA SEXUAL ",IF(O6=CURSOS!$D$17,"PROGRAMADO AMPLIADO DE INMUNIZACION (PAI - COVID 19)",IF(O6=CURSOS!$D$18,"ATENCION INTEGRAL EN ENFERMEDADES PREVALENTES EN PRIMERA INFANCIA (AIEPI)",IF(O6=CURSOS!$D$19,"ADMINISTRACION DE MEDICAMENTOS, INYECTOLOGIA  Y CANALIZACION ",IF(O6=CURSOS!$D$20,"OPERADOR DE VEHICULOS DE EMERGENCIA (OVE)",IF(O6=CURSOS!$D$21,"INSTITUCIONES AMIGAS DE LA MUJER Y LA INFANCIA (IAMI)",IF(O6=CURSOS!$D$22,"CUIDADO DEL DONANTE DE ORGANOS",IF(O6=CURSOS!$D$23,"ATENCION A VICTIMAS POR VIOLENCIA DE GENERO",IF(O6=CURSOS!$D$24,"IGUALDAD DE GENERO EN LA SALUD",IF(O6=CURSOS!$D$25,"BRIGADA DE EMERGENCIA",IF(O6=CURSOS!$D$26,"MANEJO DEL DOLOR Y CUIDADOS PALIATIVOS",IF(O6=CURSOS!$D$27,"TOMA DE MUESTRAS Y LABORATORIO POCT",IF(O6=CURSOS!$D$28,"IMPLANTE SUBDERMICO DE DISPOSITIVO INTRAUTERINO",IF(O6=CURSOS!$D$29,"SALUD MENTAL",IF(O6=CURSOS!$D$30,"PRIMEROS AUXILIOS PSICOLOGICOS",IF(O6=CURSOS!$D$31,"ATENCION A VICTIMAS POR CONFLICTO ARMADO",IF(O6=CURSOS!$D$32,"MANIPULACION DE ALIMENTOS Y BPM",IF(O6=CURSOS!$D$33,"ATENCION A PERSONAS CON DISCAPACIDAD",IF(O6=CURSOS!$D$34,"CUIDADO INTEGRAL DEL PACIENTE ADULTO",IF(O6=CURSOS!$D$35,"MANEJO DEFENSIVO",IF(O6=CURSOS!$D$36,"SOPORTE CARDIOVASCULAR AVANZADO NEONATAL",IF(O6=CURSOS!$D$37,"SEGURIDAD DEL PACIENTE",IF(O6=CURSOS!$D$38,"MANEJO Y USO DEL DEA",IF(O6=CURSOS!$D$39,"TRIAGE")))))))))))))))))))))))))))))))))))))</f>
        <v xml:space="preserve">ATENCION A VICTIMAS DE ATAQUE CON AGENTES QUIMICOS </v>
      </c>
      <c r="V6" s="105" t="str">
        <f t="shared" si="2"/>
        <v>Liliana Ximena Arteaga Pantoja</v>
      </c>
      <c r="W6" s="105" t="str">
        <f t="shared" si="3"/>
        <v>Liliana Ximena Arteaga Pantoja</v>
      </c>
      <c r="X6" s="105" t="str">
        <f t="shared" si="4"/>
        <v>Liliana Ximena Arteaga Pantoja-1088734761-QUIMICOS</v>
      </c>
    </row>
    <row r="7" spans="1:24" hidden="1" x14ac:dyDescent="0.2">
      <c r="A7" s="103">
        <v>6</v>
      </c>
      <c r="B7" s="105">
        <v>1088734761</v>
      </c>
      <c r="C7" s="105" t="s">
        <v>118</v>
      </c>
      <c r="D7" s="105" t="s">
        <v>119</v>
      </c>
      <c r="E7" s="105" t="s">
        <v>120</v>
      </c>
      <c r="F7" s="105" t="s">
        <v>121</v>
      </c>
      <c r="G7" s="106">
        <v>3</v>
      </c>
      <c r="H7" s="106" t="s">
        <v>99</v>
      </c>
      <c r="I7" s="106" t="s">
        <v>408</v>
      </c>
      <c r="J7" s="107">
        <v>45539</v>
      </c>
      <c r="K7" s="88">
        <v>25000</v>
      </c>
      <c r="L7" s="107" t="s">
        <v>138</v>
      </c>
      <c r="M7" s="106" t="s">
        <v>85</v>
      </c>
      <c r="N7" s="106" t="s">
        <v>109</v>
      </c>
      <c r="O7" s="108" t="s">
        <v>43</v>
      </c>
      <c r="P7" s="109"/>
      <c r="Q7" s="106" t="s">
        <v>110</v>
      </c>
      <c r="R7" s="105" t="s">
        <v>123</v>
      </c>
      <c r="S7" s="105">
        <v>3225292174</v>
      </c>
      <c r="T7" s="111" t="s">
        <v>122</v>
      </c>
      <c r="U7" s="105" t="str">
        <f>IF(O7=CURSOS!$D$3,"DIPLOMADO EN ATENCION PRE-HOSPITALARIA",IF(O7=CURSOS!$D$4,"ACOMPAÑAMIENTO Y MANEJO DEL DUELO",IF(O7=CURSOS!$D$5,"ATENCION A VICTIMAS DE ATAQUE CON AGENTES QUIMICOS ",IF(O7=CURSOS!$D$6,"PRIMEROS AUXILIOS ",IF(O7=CURSOS!$D$7,"DIPLOMADO DE UNIDAD DE CUIDADOS INTENSIVOS (UCI)",IF(O7=CURSOS!$D$8,"MODELO DE ATENCION PARA EVENTOS EMERGENTES EN SALUD MENTAL (CODIGO VERDE)",IF(O7=CURSOS!$D$9,"HUMANIZACION EN EL SERVICIO DE LA SALUD Y BUENAS PRACTICAS EN PACIENTE ",IF(O7=CURSOS!$D$10,"CLINICA DE HERIDAS ",IF(O7=CURSOS!$D$11,"TOMA DE CITOLOGIA CERVICO VAGINAL ",IF(O7=CURSOS!$D$12,"SOPORTE CARDIOVASCULAR AVANZADO (ACLS) ",IF(O7=CURSOS!$D$13,"CAMILLERO ",IF(O7=CURSOS!$D$14,"TOMA DE MUESTRAS Y LABORATORIO ",IF(O7=CURSOS!$D$15,"SOPORTE VITAL BASICO (BLS)",IF(O7=CURSOS!$D$16,"ATENCION A VICTIMAS DE VIOLENCIA SEXUAL ",IF(O7=CURSOS!$D$17,"PROGRAMADO AMPLIADO DE INMUNIZACION (PAI - COVID 19)",IF(O7=CURSOS!$D$18,"ATENCION INTEGRAL EN ENFERMEDADES PREVALENTES EN PRIMERA INFANCIA (AIEPI)",IF(O7=CURSOS!$D$19,"ADMINISTRACION DE MEDICAMENTOS, INYECTOLOGIA  Y CANALIZACION ",IF(O7=CURSOS!$D$20,"OPERADOR DE VEHICULOS DE EMERGENCIA (OVE)",IF(O7=CURSOS!$D$21,"INSTITUCIONES AMIGAS DE LA MUJER Y LA INFANCIA (IAMI)",IF(O7=CURSOS!$D$22,"CUIDADO DEL DONANTE DE ORGANOS",IF(O7=CURSOS!$D$23,"ATENCION A VICTIMAS POR VIOLENCIA DE GENERO",IF(O7=CURSOS!$D$24,"IGUALDAD DE GENERO EN LA SALUD",IF(O7=CURSOS!$D$25,"BRIGADA DE EMERGENCIA",IF(O7=CURSOS!$D$26,"MANEJO DEL DOLOR Y CUIDADOS PALIATIVOS",IF(O7=CURSOS!$D$27,"TOMA DE MUESTRAS Y LABORATORIO POCT",IF(O7=CURSOS!$D$28,"IMPLANTE SUBDERMICO DE DISPOSITIVO INTRAUTERINO",IF(O7=CURSOS!$D$29,"SALUD MENTAL",IF(O7=CURSOS!$D$30,"PRIMEROS AUXILIOS PSICOLOGICOS",IF(O7=CURSOS!$D$31,"ATENCION A VICTIMAS POR CONFLICTO ARMADO",IF(O7=CURSOS!$D$32,"MANIPULACION DE ALIMENTOS Y BPM",IF(O7=CURSOS!$D$33,"ATENCION A PERSONAS CON DISCAPACIDAD",IF(O7=CURSOS!$D$34,"CUIDADO INTEGRAL DEL PACIENTE ADULTO",IF(O7=CURSOS!$D$35,"MANEJO DEFENSIVO",IF(O7=CURSOS!$D$36,"SOPORTE CARDIOVASCULAR AVANZADO NEONATAL",IF(O7=CURSOS!$D$37,"SEGURIDAD DEL PACIENTE",IF(O7=CURSOS!$D$38,"MANEJO Y USO DEL DEA",IF(O7=CURSOS!$D$39,"TRIAGE")))))))))))))))))))))))))))))))))))))</f>
        <v xml:space="preserve">ATENCION A VICTIMAS DE VIOLENCIA SEXUAL </v>
      </c>
      <c r="V7" s="105" t="str">
        <f t="shared" si="2"/>
        <v>Liliana Ximena Arteaga Pantoja</v>
      </c>
      <c r="W7" s="105" t="str">
        <f t="shared" si="3"/>
        <v>Liliana Ximena Arteaga Pantoja</v>
      </c>
      <c r="X7" s="105" t="str">
        <f t="shared" si="4"/>
        <v>Liliana Ximena Arteaga Pantoja-1088734761-VIOLENCIA SEXUAL</v>
      </c>
    </row>
    <row r="8" spans="1:24" hidden="1" x14ac:dyDescent="0.2">
      <c r="A8" s="103">
        <v>7</v>
      </c>
      <c r="B8" s="105">
        <v>1088734761</v>
      </c>
      <c r="C8" s="105" t="s">
        <v>118</v>
      </c>
      <c r="D8" s="105" t="s">
        <v>119</v>
      </c>
      <c r="E8" s="105" t="s">
        <v>120</v>
      </c>
      <c r="F8" s="105" t="s">
        <v>121</v>
      </c>
      <c r="G8" s="106">
        <v>4</v>
      </c>
      <c r="H8" s="106" t="s">
        <v>99</v>
      </c>
      <c r="I8" s="106" t="s">
        <v>408</v>
      </c>
      <c r="J8" s="107">
        <v>45539</v>
      </c>
      <c r="K8" s="88">
        <v>25000</v>
      </c>
      <c r="L8" s="107" t="s">
        <v>138</v>
      </c>
      <c r="M8" s="106" t="s">
        <v>85</v>
      </c>
      <c r="N8" s="106" t="s">
        <v>109</v>
      </c>
      <c r="O8" s="108" t="s">
        <v>23</v>
      </c>
      <c r="P8" s="109"/>
      <c r="Q8" s="106" t="s">
        <v>110</v>
      </c>
      <c r="R8" s="105" t="s">
        <v>123</v>
      </c>
      <c r="S8" s="105">
        <v>3225292174</v>
      </c>
      <c r="T8" s="111" t="s">
        <v>122</v>
      </c>
      <c r="U8" s="105" t="str">
        <f>IF(O8=CURSOS!$D$3,"DIPLOMADO EN ATENCION PRE-HOSPITALARIA",IF(O8=CURSOS!$D$4,"ACOMPAÑAMIENTO Y MANEJO DEL DUELO",IF(O8=CURSOS!$D$5,"ATENCION A VICTIMAS DE ATAQUE CON AGENTES QUIMICOS ",IF(O8=CURSOS!$D$6,"PRIMEROS AUXILIOS ",IF(O8=CURSOS!$D$7,"DIPLOMADO DE UNIDAD DE CUIDADOS INTENSIVOS (UCI)",IF(O8=CURSOS!$D$8,"MODELO DE ATENCION PARA EVENTOS EMERGENTES EN SALUD MENTAL (CODIGO VERDE)",IF(O8=CURSOS!$D$9,"HUMANIZACION EN EL SERVICIO DE LA SALUD Y BUENAS PRACTICAS EN PACIENTE ",IF(O8=CURSOS!$D$10,"CLINICA DE HERIDAS ",IF(O8=CURSOS!$D$11,"TOMA DE CITOLOGIA CERVICO VAGINAL ",IF(O8=CURSOS!$D$12,"SOPORTE CARDIOVASCULAR AVANZADO (ACLS) ",IF(O8=CURSOS!$D$13,"CAMILLERO ",IF(O8=CURSOS!$D$14,"TOMA DE MUESTRAS Y LABORATORIO ",IF(O8=CURSOS!$D$15,"SOPORTE VITAL BASICO (BLS)",IF(O8=CURSOS!$D$16,"ATENCION A VICTIMAS DE VIOLENCIA SEXUAL ",IF(O8=CURSOS!$D$17,"PROGRAMADO AMPLIADO DE INMUNIZACION (PAI - COVID 19)",IF(O8=CURSOS!$D$18,"ATENCION INTEGRAL EN ENFERMEDADES PREVALENTES EN PRIMERA INFANCIA (AIEPI)",IF(O8=CURSOS!$D$19,"ADMINISTRACION DE MEDICAMENTOS, INYECTOLOGIA  Y CANALIZACION ",IF(O8=CURSOS!$D$20,"OPERADOR DE VEHICULOS DE EMERGENCIA (OVE)",IF(O8=CURSOS!$D$21,"INSTITUCIONES AMIGAS DE LA MUJER Y LA INFANCIA (IAMI)",IF(O8=CURSOS!$D$22,"CUIDADO DEL DONANTE DE ORGANOS",IF(O8=CURSOS!$D$23,"ATENCION A VICTIMAS POR VIOLENCIA DE GENERO",IF(O8=CURSOS!$D$24,"IGUALDAD DE GENERO EN LA SALUD",IF(O8=CURSOS!$D$25,"BRIGADA DE EMERGENCIA",IF(O8=CURSOS!$D$26,"MANEJO DEL DOLOR Y CUIDADOS PALIATIVOS",IF(O8=CURSOS!$D$27,"TOMA DE MUESTRAS Y LABORATORIO POCT",IF(O8=CURSOS!$D$28,"IMPLANTE SUBDERMICO DE DISPOSITIVO INTRAUTERINO",IF(O8=CURSOS!$D$29,"SALUD MENTAL",IF(O8=CURSOS!$D$30,"PRIMEROS AUXILIOS PSICOLOGICOS",IF(O8=CURSOS!$D$31,"ATENCION A VICTIMAS POR CONFLICTO ARMADO",IF(O8=CURSOS!$D$32,"MANIPULACION DE ALIMENTOS Y BPM",IF(O8=CURSOS!$D$33,"ATENCION A PERSONAS CON DISCAPACIDAD",IF(O8=CURSOS!$D$34,"CUIDADO INTEGRAL DEL PACIENTE ADULTO",IF(O8=CURSOS!$D$35,"MANEJO DEFENSIVO",IF(O8=CURSOS!$D$36,"SOPORTE CARDIOVASCULAR AVANZADO NEONATAL",IF(O8=CURSOS!$D$37,"SEGURIDAD DEL PACIENTE",IF(O8=CURSOS!$D$38,"MANEJO Y USO DEL DEA",IF(O8=CURSOS!$D$39,"TRIAGE")))))))))))))))))))))))))))))))))))))</f>
        <v>ACOMPAÑAMIENTO Y MANEJO DEL DUELO</v>
      </c>
      <c r="V8" s="105" t="str">
        <f t="shared" si="2"/>
        <v>Liliana Ximena Arteaga Pantoja</v>
      </c>
      <c r="W8" s="105" t="str">
        <f t="shared" si="3"/>
        <v>Liliana Ximena Arteaga Pantoja</v>
      </c>
      <c r="X8" s="105" t="str">
        <f t="shared" si="4"/>
        <v>Liliana Ximena Arteaga Pantoja-1088734761-DUELO</v>
      </c>
    </row>
    <row r="9" spans="1:24" hidden="1" x14ac:dyDescent="0.2">
      <c r="A9" s="103">
        <v>8</v>
      </c>
      <c r="B9" s="105">
        <v>59796384</v>
      </c>
      <c r="C9" s="105" t="s">
        <v>124</v>
      </c>
      <c r="D9" s="105" t="s">
        <v>125</v>
      </c>
      <c r="E9" s="105" t="s">
        <v>126</v>
      </c>
      <c r="F9" s="105" t="s">
        <v>127</v>
      </c>
      <c r="G9" s="106">
        <v>3</v>
      </c>
      <c r="H9" s="106" t="s">
        <v>99</v>
      </c>
      <c r="I9" s="106" t="s">
        <v>408</v>
      </c>
      <c r="J9" s="107">
        <v>45539</v>
      </c>
      <c r="K9" s="88">
        <v>25000</v>
      </c>
      <c r="L9" s="107" t="s">
        <v>138</v>
      </c>
      <c r="M9" s="106" t="s">
        <v>85</v>
      </c>
      <c r="N9" s="106" t="s">
        <v>109</v>
      </c>
      <c r="O9" s="108" t="s">
        <v>43</v>
      </c>
      <c r="P9" s="109">
        <v>29382</v>
      </c>
      <c r="Q9" s="106" t="s">
        <v>110</v>
      </c>
      <c r="R9" s="105" t="s">
        <v>123</v>
      </c>
      <c r="S9" s="105">
        <v>3136916892</v>
      </c>
      <c r="T9" s="111" t="s">
        <v>128</v>
      </c>
      <c r="U9" s="105" t="str">
        <f>IF(O9=CURSOS!$D$3,"DIPLOMADO EN ATENCION PRE-HOSPITALARIA",IF(O9=CURSOS!$D$4,"ACOMPAÑAMIENTO Y MANEJO DEL DUELO",IF(O9=CURSOS!$D$5,"ATENCION A VICTIMAS DE ATAQUE CON AGENTES QUIMICOS ",IF(O9=CURSOS!$D$6,"PRIMEROS AUXILIOS ",IF(O9=CURSOS!$D$7,"DIPLOMADO DE UNIDAD DE CUIDADOS INTENSIVOS (UCI)",IF(O9=CURSOS!$D$8,"MODELO DE ATENCION PARA EVENTOS EMERGENTES EN SALUD MENTAL (CODIGO VERDE)",IF(O9=CURSOS!$D$9,"HUMANIZACION EN EL SERVICIO DE LA SALUD Y BUENAS PRACTICAS EN PACIENTE ",IF(O9=CURSOS!$D$10,"CLINICA DE HERIDAS ",IF(O9=CURSOS!$D$11,"TOMA DE CITOLOGIA CERVICO VAGINAL ",IF(O9=CURSOS!$D$12,"SOPORTE CARDIOVASCULAR AVANZADO (ACLS) ",IF(O9=CURSOS!$D$13,"CAMILLERO ",IF(O9=CURSOS!$D$14,"TOMA DE MUESTRAS Y LABORATORIO ",IF(O9=CURSOS!$D$15,"SOPORTE VITAL BASICO (BLS)",IF(O9=CURSOS!$D$16,"ATENCION A VICTIMAS DE VIOLENCIA SEXUAL ",IF(O9=CURSOS!$D$17,"PROGRAMADO AMPLIADO DE INMUNIZACION (PAI - COVID 19)",IF(O9=CURSOS!$D$18,"ATENCION INTEGRAL EN ENFERMEDADES PREVALENTES EN PRIMERA INFANCIA (AIEPI)",IF(O9=CURSOS!$D$19,"ADMINISTRACION DE MEDICAMENTOS, INYECTOLOGIA  Y CANALIZACION ",IF(O9=CURSOS!$D$20,"OPERADOR DE VEHICULOS DE EMERGENCIA (OVE)",IF(O9=CURSOS!$D$21,"INSTITUCIONES AMIGAS DE LA MUJER Y LA INFANCIA (IAMI)",IF(O9=CURSOS!$D$22,"CUIDADO DEL DONANTE DE ORGANOS",IF(O9=CURSOS!$D$23,"ATENCION A VICTIMAS POR VIOLENCIA DE GENERO",IF(O9=CURSOS!$D$24,"IGUALDAD DE GENERO EN LA SALUD",IF(O9=CURSOS!$D$25,"BRIGADA DE EMERGENCIA",IF(O9=CURSOS!$D$26,"MANEJO DEL DOLOR Y CUIDADOS PALIATIVOS",IF(O9=CURSOS!$D$27,"TOMA DE MUESTRAS Y LABORATORIO POCT",IF(O9=CURSOS!$D$28,"IMPLANTE SUBDERMICO DE DISPOSITIVO INTRAUTERINO",IF(O9=CURSOS!$D$29,"SALUD MENTAL",IF(O9=CURSOS!$D$30,"PRIMEROS AUXILIOS PSICOLOGICOS",IF(O9=CURSOS!$D$31,"ATENCION A VICTIMAS POR CONFLICTO ARMADO",IF(O9=CURSOS!$D$32,"MANIPULACION DE ALIMENTOS Y BPM",IF(O9=CURSOS!$D$33,"ATENCION A PERSONAS CON DISCAPACIDAD",IF(O9=CURSOS!$D$34,"CUIDADO INTEGRAL DEL PACIENTE ADULTO",IF(O9=CURSOS!$D$35,"MANEJO DEFENSIVO",IF(O9=CURSOS!$D$36,"SOPORTE CARDIOVASCULAR AVANZADO NEONATAL",IF(O9=CURSOS!$D$37,"SEGURIDAD DEL PACIENTE",IF(O9=CURSOS!$D$38,"MANEJO Y USO DEL DEA",IF(O9=CURSOS!$D$39,"TRIAGE")))))))))))))))))))))))))))))))))))))</f>
        <v xml:space="preserve">ATENCION A VICTIMAS DE VIOLENCIA SEXUAL </v>
      </c>
      <c r="V9" s="105" t="str">
        <f t="shared" si="2"/>
        <v>Doralba Yaneth Santander Toro</v>
      </c>
      <c r="W9" s="105" t="str">
        <f t="shared" si="3"/>
        <v>Doralba Yaneth Santander Toro</v>
      </c>
      <c r="X9" s="105" t="str">
        <f t="shared" si="4"/>
        <v>Doralba Yaneth Santander Toro-59796384-VIOLENCIA SEXUAL</v>
      </c>
    </row>
    <row r="10" spans="1:24" hidden="1" x14ac:dyDescent="0.2">
      <c r="A10" s="103">
        <v>9</v>
      </c>
      <c r="B10" s="105">
        <v>59796384</v>
      </c>
      <c r="C10" s="105" t="s">
        <v>124</v>
      </c>
      <c r="D10" s="105" t="s">
        <v>125</v>
      </c>
      <c r="E10" s="105" t="s">
        <v>126</v>
      </c>
      <c r="F10" s="105" t="s">
        <v>127</v>
      </c>
      <c r="G10" s="106">
        <v>3</v>
      </c>
      <c r="H10" s="106" t="s">
        <v>99</v>
      </c>
      <c r="I10" s="106" t="s">
        <v>408</v>
      </c>
      <c r="J10" s="107">
        <v>45539</v>
      </c>
      <c r="K10" s="88">
        <v>25000</v>
      </c>
      <c r="L10" s="107" t="s">
        <v>138</v>
      </c>
      <c r="M10" s="106" t="s">
        <v>85</v>
      </c>
      <c r="N10" s="106" t="s">
        <v>109</v>
      </c>
      <c r="O10" s="108" t="s">
        <v>25</v>
      </c>
      <c r="P10" s="109">
        <v>29382</v>
      </c>
      <c r="Q10" s="106" t="s">
        <v>110</v>
      </c>
      <c r="R10" s="105" t="s">
        <v>123</v>
      </c>
      <c r="S10" s="105">
        <v>3136916892</v>
      </c>
      <c r="T10" s="111" t="s">
        <v>128</v>
      </c>
      <c r="U10" s="105" t="str">
        <f>IF(O10=CURSOS!$D$3,"DIPLOMADO EN ATENCION PRE-HOSPITALARIA",IF(O10=CURSOS!$D$4,"ACOMPAÑAMIENTO Y MANEJO DEL DUELO",IF(O10=CURSOS!$D$5,"ATENCION A VICTIMAS DE ATAQUE CON AGENTES QUIMICOS ",IF(O10=CURSOS!$D$6,"PRIMEROS AUXILIOS ",IF(O10=CURSOS!$D$7,"DIPLOMADO DE UNIDAD DE CUIDADOS INTENSIVOS (UCI)",IF(O10=CURSOS!$D$8,"MODELO DE ATENCION PARA EVENTOS EMERGENTES EN SALUD MENTAL (CODIGO VERDE)",IF(O10=CURSOS!$D$9,"HUMANIZACION EN EL SERVICIO DE LA SALUD Y BUENAS PRACTICAS EN PACIENTE ",IF(O10=CURSOS!$D$10,"CLINICA DE HERIDAS ",IF(O10=CURSOS!$D$11,"TOMA DE CITOLOGIA CERVICO VAGINAL ",IF(O10=CURSOS!$D$12,"SOPORTE CARDIOVASCULAR AVANZADO (ACLS) ",IF(O10=CURSOS!$D$13,"CAMILLERO ",IF(O10=CURSOS!$D$14,"TOMA DE MUESTRAS Y LABORATORIO ",IF(O10=CURSOS!$D$15,"SOPORTE VITAL BASICO (BLS)",IF(O10=CURSOS!$D$16,"ATENCION A VICTIMAS DE VIOLENCIA SEXUAL ",IF(O10=CURSOS!$D$17,"PROGRAMADO AMPLIADO DE INMUNIZACION (PAI - COVID 19)",IF(O10=CURSOS!$D$18,"ATENCION INTEGRAL EN ENFERMEDADES PREVALENTES EN PRIMERA INFANCIA (AIEPI)",IF(O10=CURSOS!$D$19,"ADMINISTRACION DE MEDICAMENTOS, INYECTOLOGIA  Y CANALIZACION ",IF(O10=CURSOS!$D$20,"OPERADOR DE VEHICULOS DE EMERGENCIA (OVE)",IF(O10=CURSOS!$D$21,"INSTITUCIONES AMIGAS DE LA MUJER Y LA INFANCIA (IAMI)",IF(O10=CURSOS!$D$22,"CUIDADO DEL DONANTE DE ORGANOS",IF(O10=CURSOS!$D$23,"ATENCION A VICTIMAS POR VIOLENCIA DE GENERO",IF(O10=CURSOS!$D$24,"IGUALDAD DE GENERO EN LA SALUD",IF(O10=CURSOS!$D$25,"BRIGADA DE EMERGENCIA",IF(O10=CURSOS!$D$26,"MANEJO DEL DOLOR Y CUIDADOS PALIATIVOS",IF(O10=CURSOS!$D$27,"TOMA DE MUESTRAS Y LABORATORIO POCT",IF(O10=CURSOS!$D$28,"IMPLANTE SUBDERMICO DE DISPOSITIVO INTRAUTERINO",IF(O10=CURSOS!$D$29,"SALUD MENTAL",IF(O10=CURSOS!$D$30,"PRIMEROS AUXILIOS PSICOLOGICOS",IF(O10=CURSOS!$D$31,"ATENCION A VICTIMAS POR CONFLICTO ARMADO",IF(O10=CURSOS!$D$32,"MANIPULACION DE ALIMENTOS Y BPM",IF(O10=CURSOS!$D$33,"ATENCION A PERSONAS CON DISCAPACIDAD",IF(O10=CURSOS!$D$34,"CUIDADO INTEGRAL DEL PACIENTE ADULTO",IF(O10=CURSOS!$D$35,"MANEJO DEFENSIVO",IF(O10=CURSOS!$D$36,"SOPORTE CARDIOVASCULAR AVANZADO NEONATAL",IF(O10=CURSOS!$D$37,"SEGURIDAD DEL PACIENTE",IF(O10=CURSOS!$D$38,"MANEJO Y USO DEL DEA",IF(O10=CURSOS!$D$39,"TRIAGE")))))))))))))))))))))))))))))))))))))</f>
        <v xml:space="preserve">ATENCION A VICTIMAS DE ATAQUE CON AGENTES QUIMICOS </v>
      </c>
      <c r="V10" s="105" t="str">
        <f t="shared" si="2"/>
        <v>Doralba Yaneth Santander Toro</v>
      </c>
      <c r="W10" s="105" t="str">
        <f t="shared" si="3"/>
        <v>Doralba Yaneth Santander Toro</v>
      </c>
      <c r="X10" s="105" t="str">
        <f t="shared" si="4"/>
        <v>Doralba Yaneth Santander Toro-59796384-QUIMICOS</v>
      </c>
    </row>
    <row r="11" spans="1:24" hidden="1" x14ac:dyDescent="0.2">
      <c r="A11" s="103">
        <v>10</v>
      </c>
      <c r="B11" s="105">
        <v>59796384</v>
      </c>
      <c r="C11" s="105" t="s">
        <v>124</v>
      </c>
      <c r="D11" s="105" t="s">
        <v>125</v>
      </c>
      <c r="E11" s="105" t="s">
        <v>126</v>
      </c>
      <c r="F11" s="105" t="s">
        <v>127</v>
      </c>
      <c r="G11" s="106">
        <v>4</v>
      </c>
      <c r="H11" s="106" t="s">
        <v>99</v>
      </c>
      <c r="I11" s="106" t="s">
        <v>408</v>
      </c>
      <c r="J11" s="107">
        <v>45539</v>
      </c>
      <c r="K11" s="88">
        <v>25000</v>
      </c>
      <c r="L11" s="107" t="s">
        <v>138</v>
      </c>
      <c r="M11" s="106" t="s">
        <v>85</v>
      </c>
      <c r="N11" s="106" t="s">
        <v>109</v>
      </c>
      <c r="O11" s="108" t="s">
        <v>23</v>
      </c>
      <c r="P11" s="109">
        <v>29382</v>
      </c>
      <c r="Q11" s="106" t="s">
        <v>110</v>
      </c>
      <c r="R11" s="105" t="s">
        <v>123</v>
      </c>
      <c r="S11" s="105">
        <v>3136916892</v>
      </c>
      <c r="T11" s="111" t="s">
        <v>128</v>
      </c>
      <c r="U11" s="105" t="str">
        <f>IF(O11=CURSOS!$D$3,"DIPLOMADO EN ATENCION PRE-HOSPITALARIA",IF(O11=CURSOS!$D$4,"ACOMPAÑAMIENTO Y MANEJO DEL DUELO",IF(O11=CURSOS!$D$5,"ATENCION A VICTIMAS DE ATAQUE CON AGENTES QUIMICOS ",IF(O11=CURSOS!$D$6,"PRIMEROS AUXILIOS ",IF(O11=CURSOS!$D$7,"DIPLOMADO DE UNIDAD DE CUIDADOS INTENSIVOS (UCI)",IF(O11=CURSOS!$D$8,"MODELO DE ATENCION PARA EVENTOS EMERGENTES EN SALUD MENTAL (CODIGO VERDE)",IF(O11=CURSOS!$D$9,"HUMANIZACION EN EL SERVICIO DE LA SALUD Y BUENAS PRACTICAS EN PACIENTE ",IF(O11=CURSOS!$D$10,"CLINICA DE HERIDAS ",IF(O11=CURSOS!$D$11,"TOMA DE CITOLOGIA CERVICO VAGINAL ",IF(O11=CURSOS!$D$12,"SOPORTE CARDIOVASCULAR AVANZADO (ACLS) ",IF(O11=CURSOS!$D$13,"CAMILLERO ",IF(O11=CURSOS!$D$14,"TOMA DE MUESTRAS Y LABORATORIO ",IF(O11=CURSOS!$D$15,"SOPORTE VITAL BASICO (BLS)",IF(O11=CURSOS!$D$16,"ATENCION A VICTIMAS DE VIOLENCIA SEXUAL ",IF(O11=CURSOS!$D$17,"PROGRAMADO AMPLIADO DE INMUNIZACION (PAI - COVID 19)",IF(O11=CURSOS!$D$18,"ATENCION INTEGRAL EN ENFERMEDADES PREVALENTES EN PRIMERA INFANCIA (AIEPI)",IF(O11=CURSOS!$D$19,"ADMINISTRACION DE MEDICAMENTOS, INYECTOLOGIA  Y CANALIZACION ",IF(O11=CURSOS!$D$20,"OPERADOR DE VEHICULOS DE EMERGENCIA (OVE)",IF(O11=CURSOS!$D$21,"INSTITUCIONES AMIGAS DE LA MUJER Y LA INFANCIA (IAMI)",IF(O11=CURSOS!$D$22,"CUIDADO DEL DONANTE DE ORGANOS",IF(O11=CURSOS!$D$23,"ATENCION A VICTIMAS POR VIOLENCIA DE GENERO",IF(O11=CURSOS!$D$24,"IGUALDAD DE GENERO EN LA SALUD",IF(O11=CURSOS!$D$25,"BRIGADA DE EMERGENCIA",IF(O11=CURSOS!$D$26,"MANEJO DEL DOLOR Y CUIDADOS PALIATIVOS",IF(O11=CURSOS!$D$27,"TOMA DE MUESTRAS Y LABORATORIO POCT",IF(O11=CURSOS!$D$28,"IMPLANTE SUBDERMICO DE DISPOSITIVO INTRAUTERINO",IF(O11=CURSOS!$D$29,"SALUD MENTAL",IF(O11=CURSOS!$D$30,"PRIMEROS AUXILIOS PSICOLOGICOS",IF(O11=CURSOS!$D$31,"ATENCION A VICTIMAS POR CONFLICTO ARMADO",IF(O11=CURSOS!$D$32,"MANIPULACION DE ALIMENTOS Y BPM",IF(O11=CURSOS!$D$33,"ATENCION A PERSONAS CON DISCAPACIDAD",IF(O11=CURSOS!$D$34,"CUIDADO INTEGRAL DEL PACIENTE ADULTO",IF(O11=CURSOS!$D$35,"MANEJO DEFENSIVO",IF(O11=CURSOS!$D$36,"SOPORTE CARDIOVASCULAR AVANZADO NEONATAL",IF(O11=CURSOS!$D$37,"SEGURIDAD DEL PACIENTE",IF(O11=CURSOS!$D$38,"MANEJO Y USO DEL DEA",IF(O11=CURSOS!$D$39,"TRIAGE")))))))))))))))))))))))))))))))))))))</f>
        <v>ACOMPAÑAMIENTO Y MANEJO DEL DUELO</v>
      </c>
      <c r="V11" s="105" t="str">
        <f t="shared" si="2"/>
        <v>Doralba Yaneth Santander Toro</v>
      </c>
      <c r="W11" s="105" t="str">
        <f t="shared" si="3"/>
        <v>Doralba Yaneth Santander Toro</v>
      </c>
      <c r="X11" s="105" t="str">
        <f t="shared" si="4"/>
        <v>Doralba Yaneth Santander Toro-59796384-DUELO</v>
      </c>
    </row>
    <row r="12" spans="1:24" hidden="1" x14ac:dyDescent="0.2">
      <c r="A12" s="103">
        <v>11</v>
      </c>
      <c r="B12" s="105">
        <v>59395431</v>
      </c>
      <c r="C12" s="105" t="s">
        <v>129</v>
      </c>
      <c r="D12" s="105" t="s">
        <v>130</v>
      </c>
      <c r="E12" s="105" t="s">
        <v>131</v>
      </c>
      <c r="F12" s="105" t="s">
        <v>132</v>
      </c>
      <c r="G12" s="106">
        <v>2</v>
      </c>
      <c r="H12" s="106" t="s">
        <v>99</v>
      </c>
      <c r="I12" s="106" t="s">
        <v>408</v>
      </c>
      <c r="J12" s="107">
        <v>45539</v>
      </c>
      <c r="K12" s="88">
        <v>25000</v>
      </c>
      <c r="L12" s="107" t="s">
        <v>138</v>
      </c>
      <c r="M12" s="106" t="s">
        <v>85</v>
      </c>
      <c r="N12" s="106" t="s">
        <v>109</v>
      </c>
      <c r="O12" s="108" t="s">
        <v>19</v>
      </c>
      <c r="P12" s="109">
        <v>29801</v>
      </c>
      <c r="Q12" s="106" t="s">
        <v>110</v>
      </c>
      <c r="R12" s="105" t="s">
        <v>123</v>
      </c>
      <c r="S12" s="105">
        <v>3024790108</v>
      </c>
      <c r="T12" s="105" t="s">
        <v>133</v>
      </c>
      <c r="U12" s="105" t="str">
        <f>IF(O12=CURSOS!$D$3,"DIPLOMADO EN ATENCION PRE-HOSPITALARIA",IF(O12=CURSOS!$D$4,"ACOMPAÑAMIENTO Y MANEJO DEL DUELO",IF(O12=CURSOS!$D$5,"ATENCION A VICTIMAS DE ATAQUE CON AGENTES QUIMICOS ",IF(O12=CURSOS!$D$6,"PRIMEROS AUXILIOS ",IF(O12=CURSOS!$D$7,"DIPLOMADO DE UNIDAD DE CUIDADOS INTENSIVOS (UCI)",IF(O12=CURSOS!$D$8,"MODELO DE ATENCION PARA EVENTOS EMERGENTES EN SALUD MENTAL (CODIGO VERDE)",IF(O12=CURSOS!$D$9,"HUMANIZACION EN EL SERVICIO DE LA SALUD Y BUENAS PRACTICAS EN PACIENTE ",IF(O12=CURSOS!$D$10,"CLINICA DE HERIDAS ",IF(O12=CURSOS!$D$11,"TOMA DE CITOLOGIA CERVICO VAGINAL ",IF(O12=CURSOS!$D$12,"SOPORTE CARDIOVASCULAR AVANZADO (ACLS) ",IF(O12=CURSOS!$D$13,"CAMILLERO ",IF(O12=CURSOS!$D$14,"TOMA DE MUESTRAS Y LABORATORIO ",IF(O12=CURSOS!$D$15,"SOPORTE VITAL BASICO (BLS)",IF(O12=CURSOS!$D$16,"ATENCION A VICTIMAS DE VIOLENCIA SEXUAL ",IF(O12=CURSOS!$D$17,"PROGRAMADO AMPLIADO DE INMUNIZACION (PAI - COVID 19)",IF(O12=CURSOS!$D$18,"ATENCION INTEGRAL EN ENFERMEDADES PREVALENTES EN PRIMERA INFANCIA (AIEPI)",IF(O12=CURSOS!$D$19,"ADMINISTRACION DE MEDICAMENTOS, INYECTOLOGIA  Y CANALIZACION ",IF(O12=CURSOS!$D$20,"OPERADOR DE VEHICULOS DE EMERGENCIA (OVE)",IF(O12=CURSOS!$D$21,"INSTITUCIONES AMIGAS DE LA MUJER Y LA INFANCIA (IAMI)",IF(O12=CURSOS!$D$22,"CUIDADO DEL DONANTE DE ORGANOS",IF(O12=CURSOS!$D$23,"ATENCION A VICTIMAS POR VIOLENCIA DE GENERO",IF(O12=CURSOS!$D$24,"IGUALDAD DE GENERO EN LA SALUD",IF(O12=CURSOS!$D$25,"BRIGADA DE EMERGENCIA",IF(O12=CURSOS!$D$26,"MANEJO DEL DOLOR Y CUIDADOS PALIATIVOS",IF(O12=CURSOS!$D$27,"TOMA DE MUESTRAS Y LABORATORIO POCT",IF(O12=CURSOS!$D$28,"IMPLANTE SUBDERMICO DE DISPOSITIVO INTRAUTERINO",IF(O12=CURSOS!$D$29,"SALUD MENTAL",IF(O12=CURSOS!$D$30,"PRIMEROS AUXILIOS PSICOLOGICOS",IF(O12=CURSOS!$D$31,"ATENCION A VICTIMAS POR CONFLICTO ARMADO",IF(O12=CURSOS!$D$32,"MANIPULACION DE ALIMENTOS Y BPM",IF(O12=CURSOS!$D$33,"ATENCION A PERSONAS CON DISCAPACIDAD",IF(O12=CURSOS!$D$34,"CUIDADO INTEGRAL DEL PACIENTE ADULTO",IF(O12=CURSOS!$D$35,"MANEJO DEFENSIVO",IF(O12=CURSOS!$D$36,"SOPORTE CARDIOVASCULAR AVANZADO NEONATAL",IF(O12=CURSOS!$D$37,"SEGURIDAD DEL PACIENTE",IF(O12=CURSOS!$D$38,"MANEJO Y USO DEL DEA",IF(O12=CURSOS!$D$39,"TRIAGE")))))))))))))))))))))))))))))))))))))</f>
        <v>SOPORTE VITAL BASICO (BLS)</v>
      </c>
      <c r="V12" s="105" t="str">
        <f t="shared" si="2"/>
        <v>Diana Patricia Martínez Castro</v>
      </c>
      <c r="W12" s="105" t="str">
        <f t="shared" si="3"/>
        <v>Diana Patricia Martínez Castro</v>
      </c>
      <c r="X12" s="105" t="str">
        <f t="shared" si="4"/>
        <v>Diana Patricia Martínez Castro-59395431-BLS</v>
      </c>
    </row>
    <row r="13" spans="1:24" hidden="1" x14ac:dyDescent="0.2">
      <c r="A13" s="103">
        <v>12</v>
      </c>
      <c r="B13" s="105">
        <v>59395431</v>
      </c>
      <c r="C13" s="105" t="s">
        <v>129</v>
      </c>
      <c r="D13" s="105" t="s">
        <v>130</v>
      </c>
      <c r="E13" s="105" t="s">
        <v>131</v>
      </c>
      <c r="F13" s="105" t="s">
        <v>132</v>
      </c>
      <c r="G13" s="106">
        <v>4</v>
      </c>
      <c r="H13" s="106" t="s">
        <v>99</v>
      </c>
      <c r="I13" s="106" t="s">
        <v>408</v>
      </c>
      <c r="J13" s="107">
        <v>45539</v>
      </c>
      <c r="K13" s="88">
        <v>25000</v>
      </c>
      <c r="L13" s="107" t="s">
        <v>138</v>
      </c>
      <c r="M13" s="106" t="s">
        <v>85</v>
      </c>
      <c r="N13" s="106" t="s">
        <v>109</v>
      </c>
      <c r="O13" s="108" t="s">
        <v>23</v>
      </c>
      <c r="P13" s="109">
        <v>29801</v>
      </c>
      <c r="Q13" s="106" t="s">
        <v>110</v>
      </c>
      <c r="R13" s="105" t="s">
        <v>123</v>
      </c>
      <c r="S13" s="105">
        <v>3024790108</v>
      </c>
      <c r="T13" s="105" t="s">
        <v>133</v>
      </c>
      <c r="U13" s="105" t="str">
        <f>IF(O13=CURSOS!$D$3,"DIPLOMADO EN ATENCION PRE-HOSPITALARIA",IF(O13=CURSOS!$D$4,"ACOMPAÑAMIENTO Y MANEJO DEL DUELO",IF(O13=CURSOS!$D$5,"ATENCION A VICTIMAS DE ATAQUE CON AGENTES QUIMICOS ",IF(O13=CURSOS!$D$6,"PRIMEROS AUXILIOS ",IF(O13=CURSOS!$D$7,"DIPLOMADO DE UNIDAD DE CUIDADOS INTENSIVOS (UCI)",IF(O13=CURSOS!$D$8,"MODELO DE ATENCION PARA EVENTOS EMERGENTES EN SALUD MENTAL (CODIGO VERDE)",IF(O13=CURSOS!$D$9,"HUMANIZACION EN EL SERVICIO DE LA SALUD Y BUENAS PRACTICAS EN PACIENTE ",IF(O13=CURSOS!$D$10,"CLINICA DE HERIDAS ",IF(O13=CURSOS!$D$11,"TOMA DE CITOLOGIA CERVICO VAGINAL ",IF(O13=CURSOS!$D$12,"SOPORTE CARDIOVASCULAR AVANZADO (ACLS) ",IF(O13=CURSOS!$D$13,"CAMILLERO ",IF(O13=CURSOS!$D$14,"TOMA DE MUESTRAS Y LABORATORIO ",IF(O13=CURSOS!$D$15,"SOPORTE VITAL BASICO (BLS)",IF(O13=CURSOS!$D$16,"ATENCION A VICTIMAS DE VIOLENCIA SEXUAL ",IF(O13=CURSOS!$D$17,"PROGRAMADO AMPLIADO DE INMUNIZACION (PAI - COVID 19)",IF(O13=CURSOS!$D$18,"ATENCION INTEGRAL EN ENFERMEDADES PREVALENTES EN PRIMERA INFANCIA (AIEPI)",IF(O13=CURSOS!$D$19,"ADMINISTRACION DE MEDICAMENTOS, INYECTOLOGIA  Y CANALIZACION ",IF(O13=CURSOS!$D$20,"OPERADOR DE VEHICULOS DE EMERGENCIA (OVE)",IF(O13=CURSOS!$D$21,"INSTITUCIONES AMIGAS DE LA MUJER Y LA INFANCIA (IAMI)",IF(O13=CURSOS!$D$22,"CUIDADO DEL DONANTE DE ORGANOS",IF(O13=CURSOS!$D$23,"ATENCION A VICTIMAS POR VIOLENCIA DE GENERO",IF(O13=CURSOS!$D$24,"IGUALDAD DE GENERO EN LA SALUD",IF(O13=CURSOS!$D$25,"BRIGADA DE EMERGENCIA",IF(O13=CURSOS!$D$26,"MANEJO DEL DOLOR Y CUIDADOS PALIATIVOS",IF(O13=CURSOS!$D$27,"TOMA DE MUESTRAS Y LABORATORIO POCT",IF(O13=CURSOS!$D$28,"IMPLANTE SUBDERMICO DE DISPOSITIVO INTRAUTERINO",IF(O13=CURSOS!$D$29,"SALUD MENTAL",IF(O13=CURSOS!$D$30,"PRIMEROS AUXILIOS PSICOLOGICOS",IF(O13=CURSOS!$D$31,"ATENCION A VICTIMAS POR CONFLICTO ARMADO",IF(O13=CURSOS!$D$32,"MANIPULACION DE ALIMENTOS Y BPM",IF(O13=CURSOS!$D$33,"ATENCION A PERSONAS CON DISCAPACIDAD",IF(O13=CURSOS!$D$34,"CUIDADO INTEGRAL DEL PACIENTE ADULTO",IF(O13=CURSOS!$D$35,"MANEJO DEFENSIVO",IF(O13=CURSOS!$D$36,"SOPORTE CARDIOVASCULAR AVANZADO NEONATAL",IF(O13=CURSOS!$D$37,"SEGURIDAD DEL PACIENTE",IF(O13=CURSOS!$D$38,"MANEJO Y USO DEL DEA",IF(O13=CURSOS!$D$39,"TRIAGE")))))))))))))))))))))))))))))))))))))</f>
        <v>ACOMPAÑAMIENTO Y MANEJO DEL DUELO</v>
      </c>
      <c r="V13" s="105" t="str">
        <f t="shared" si="2"/>
        <v>Diana Patricia Martínez Castro</v>
      </c>
      <c r="W13" s="105" t="str">
        <f t="shared" si="3"/>
        <v>Diana Patricia Martínez Castro</v>
      </c>
      <c r="X13" s="105" t="str">
        <f t="shared" si="4"/>
        <v>Diana Patricia Martínez Castro-59395431-DUELO</v>
      </c>
    </row>
    <row r="14" spans="1:24" hidden="1" x14ac:dyDescent="0.2">
      <c r="A14" s="103">
        <v>13</v>
      </c>
      <c r="B14" s="105">
        <v>1088737917</v>
      </c>
      <c r="C14" s="105" t="s">
        <v>134</v>
      </c>
      <c r="D14" s="105" t="s">
        <v>100</v>
      </c>
      <c r="E14" s="105" t="s">
        <v>135</v>
      </c>
      <c r="F14" s="105" t="s">
        <v>136</v>
      </c>
      <c r="G14" s="106">
        <v>2</v>
      </c>
      <c r="H14" s="106" t="s">
        <v>99</v>
      </c>
      <c r="I14" s="106" t="s">
        <v>408</v>
      </c>
      <c r="J14" s="107">
        <v>45539</v>
      </c>
      <c r="K14" s="88">
        <v>25000</v>
      </c>
      <c r="L14" s="107" t="s">
        <v>138</v>
      </c>
      <c r="M14" s="106" t="s">
        <v>85</v>
      </c>
      <c r="N14" s="106" t="s">
        <v>109</v>
      </c>
      <c r="O14" s="108" t="s">
        <v>19</v>
      </c>
      <c r="P14" s="109">
        <v>35529</v>
      </c>
      <c r="Q14" s="106" t="s">
        <v>110</v>
      </c>
      <c r="R14" s="105" t="s">
        <v>123</v>
      </c>
      <c r="S14" s="105">
        <v>3142011766</v>
      </c>
      <c r="T14" s="105" t="s">
        <v>137</v>
      </c>
      <c r="U14" s="105" t="str">
        <f>IF(O14=CURSOS!$D$3,"DIPLOMADO EN ATENCION PRE-HOSPITALARIA",IF(O14=CURSOS!$D$4,"ACOMPAÑAMIENTO Y MANEJO DEL DUELO",IF(O14=CURSOS!$D$5,"ATENCION A VICTIMAS DE ATAQUE CON AGENTES QUIMICOS ",IF(O14=CURSOS!$D$6,"PRIMEROS AUXILIOS ",IF(O14=CURSOS!$D$7,"DIPLOMADO DE UNIDAD DE CUIDADOS INTENSIVOS (UCI)",IF(O14=CURSOS!$D$8,"MODELO DE ATENCION PARA EVENTOS EMERGENTES EN SALUD MENTAL (CODIGO VERDE)",IF(O14=CURSOS!$D$9,"HUMANIZACION EN EL SERVICIO DE LA SALUD Y BUENAS PRACTICAS EN PACIENTE ",IF(O14=CURSOS!$D$10,"CLINICA DE HERIDAS ",IF(O14=CURSOS!$D$11,"TOMA DE CITOLOGIA CERVICO VAGINAL ",IF(O14=CURSOS!$D$12,"SOPORTE CARDIOVASCULAR AVANZADO (ACLS) ",IF(O14=CURSOS!$D$13,"CAMILLERO ",IF(O14=CURSOS!$D$14,"TOMA DE MUESTRAS Y LABORATORIO ",IF(O14=CURSOS!$D$15,"SOPORTE VITAL BASICO (BLS)",IF(O14=CURSOS!$D$16,"ATENCION A VICTIMAS DE VIOLENCIA SEXUAL ",IF(O14=CURSOS!$D$17,"PROGRAMADO AMPLIADO DE INMUNIZACION (PAI - COVID 19)",IF(O14=CURSOS!$D$18,"ATENCION INTEGRAL EN ENFERMEDADES PREVALENTES EN PRIMERA INFANCIA (AIEPI)",IF(O14=CURSOS!$D$19,"ADMINISTRACION DE MEDICAMENTOS, INYECTOLOGIA  Y CANALIZACION ",IF(O14=CURSOS!$D$20,"OPERADOR DE VEHICULOS DE EMERGENCIA (OVE)",IF(O14=CURSOS!$D$21,"INSTITUCIONES AMIGAS DE LA MUJER Y LA INFANCIA (IAMI)",IF(O14=CURSOS!$D$22,"CUIDADO DEL DONANTE DE ORGANOS",IF(O14=CURSOS!$D$23,"ATENCION A VICTIMAS POR VIOLENCIA DE GENERO",IF(O14=CURSOS!$D$24,"IGUALDAD DE GENERO EN LA SALUD",IF(O14=CURSOS!$D$25,"BRIGADA DE EMERGENCIA",IF(O14=CURSOS!$D$26,"MANEJO DEL DOLOR Y CUIDADOS PALIATIVOS",IF(O14=CURSOS!$D$27,"TOMA DE MUESTRAS Y LABORATORIO POCT",IF(O14=CURSOS!$D$28,"IMPLANTE SUBDERMICO DE DISPOSITIVO INTRAUTERINO",IF(O14=CURSOS!$D$29,"SALUD MENTAL",IF(O14=CURSOS!$D$30,"PRIMEROS AUXILIOS PSICOLOGICOS",IF(O14=CURSOS!$D$31,"ATENCION A VICTIMAS POR CONFLICTO ARMADO",IF(O14=CURSOS!$D$32,"MANIPULACION DE ALIMENTOS Y BPM",IF(O14=CURSOS!$D$33,"ATENCION A PERSONAS CON DISCAPACIDAD",IF(O14=CURSOS!$D$34,"CUIDADO INTEGRAL DEL PACIENTE ADULTO",IF(O14=CURSOS!$D$35,"MANEJO DEFENSIVO",IF(O14=CURSOS!$D$36,"SOPORTE CARDIOVASCULAR AVANZADO NEONATAL",IF(O14=CURSOS!$D$37,"SEGURIDAD DEL PACIENTE",IF(O14=CURSOS!$D$38,"MANEJO Y USO DEL DEA",IF(O14=CURSOS!$D$39,"TRIAGE")))))))))))))))))))))))))))))))))))))</f>
        <v>SOPORTE VITAL BASICO (BLS)</v>
      </c>
      <c r="V14" s="105" t="str">
        <f t="shared" si="2"/>
        <v>Yeraldin Vanessa Zambrano Ceron</v>
      </c>
      <c r="W14" s="105" t="str">
        <f t="shared" si="3"/>
        <v>Yeraldin Vanessa Zambrano Ceron</v>
      </c>
      <c r="X14" s="105" t="str">
        <f t="shared" si="4"/>
        <v>Yeraldin Vanessa Zambrano Ceron-1088737917-BLS</v>
      </c>
    </row>
    <row r="15" spans="1:24" hidden="1" x14ac:dyDescent="0.2">
      <c r="A15" s="103">
        <v>14</v>
      </c>
      <c r="B15" s="105">
        <v>1088737917</v>
      </c>
      <c r="C15" s="105" t="s">
        <v>134</v>
      </c>
      <c r="D15" s="105" t="s">
        <v>100</v>
      </c>
      <c r="E15" s="105" t="s">
        <v>135</v>
      </c>
      <c r="F15" s="105" t="s">
        <v>136</v>
      </c>
      <c r="G15" s="106">
        <v>2</v>
      </c>
      <c r="H15" s="106" t="s">
        <v>99</v>
      </c>
      <c r="I15" s="106" t="s">
        <v>408</v>
      </c>
      <c r="J15" s="107">
        <v>45539</v>
      </c>
      <c r="K15" s="88">
        <v>25000</v>
      </c>
      <c r="L15" s="107" t="s">
        <v>138</v>
      </c>
      <c r="M15" s="106" t="s">
        <v>85</v>
      </c>
      <c r="N15" s="106" t="s">
        <v>109</v>
      </c>
      <c r="O15" s="108" t="s">
        <v>25</v>
      </c>
      <c r="P15" s="109">
        <v>35529</v>
      </c>
      <c r="Q15" s="106" t="s">
        <v>110</v>
      </c>
      <c r="R15" s="105" t="s">
        <v>123</v>
      </c>
      <c r="S15" s="105">
        <v>3142011766</v>
      </c>
      <c r="T15" s="105" t="s">
        <v>137</v>
      </c>
      <c r="U15" s="105" t="str">
        <f>IF(O15=CURSOS!$D$3,"DIPLOMADO EN ATENCION PRE-HOSPITALARIA",IF(O15=CURSOS!$D$4,"ACOMPAÑAMIENTO Y MANEJO DEL DUELO",IF(O15=CURSOS!$D$5,"ATENCION A VICTIMAS DE ATAQUE CON AGENTES QUIMICOS ",IF(O15=CURSOS!$D$6,"PRIMEROS AUXILIOS ",IF(O15=CURSOS!$D$7,"DIPLOMADO DE UNIDAD DE CUIDADOS INTENSIVOS (UCI)",IF(O15=CURSOS!$D$8,"MODELO DE ATENCION PARA EVENTOS EMERGENTES EN SALUD MENTAL (CODIGO VERDE)",IF(O15=CURSOS!$D$9,"HUMANIZACION EN EL SERVICIO DE LA SALUD Y BUENAS PRACTICAS EN PACIENTE ",IF(O15=CURSOS!$D$10,"CLINICA DE HERIDAS ",IF(O15=CURSOS!$D$11,"TOMA DE CITOLOGIA CERVICO VAGINAL ",IF(O15=CURSOS!$D$12,"SOPORTE CARDIOVASCULAR AVANZADO (ACLS) ",IF(O15=CURSOS!$D$13,"CAMILLERO ",IF(O15=CURSOS!$D$14,"TOMA DE MUESTRAS Y LABORATORIO ",IF(O15=CURSOS!$D$15,"SOPORTE VITAL BASICO (BLS)",IF(O15=CURSOS!$D$16,"ATENCION A VICTIMAS DE VIOLENCIA SEXUAL ",IF(O15=CURSOS!$D$17,"PROGRAMADO AMPLIADO DE INMUNIZACION (PAI - COVID 19)",IF(O15=CURSOS!$D$18,"ATENCION INTEGRAL EN ENFERMEDADES PREVALENTES EN PRIMERA INFANCIA (AIEPI)",IF(O15=CURSOS!$D$19,"ADMINISTRACION DE MEDICAMENTOS, INYECTOLOGIA  Y CANALIZACION ",IF(O15=CURSOS!$D$20,"OPERADOR DE VEHICULOS DE EMERGENCIA (OVE)",IF(O15=CURSOS!$D$21,"INSTITUCIONES AMIGAS DE LA MUJER Y LA INFANCIA (IAMI)",IF(O15=CURSOS!$D$22,"CUIDADO DEL DONANTE DE ORGANOS",IF(O15=CURSOS!$D$23,"ATENCION A VICTIMAS POR VIOLENCIA DE GENERO",IF(O15=CURSOS!$D$24,"IGUALDAD DE GENERO EN LA SALUD",IF(O15=CURSOS!$D$25,"BRIGADA DE EMERGENCIA",IF(O15=CURSOS!$D$26,"MANEJO DEL DOLOR Y CUIDADOS PALIATIVOS",IF(O15=CURSOS!$D$27,"TOMA DE MUESTRAS Y LABORATORIO POCT",IF(O15=CURSOS!$D$28,"IMPLANTE SUBDERMICO DE DISPOSITIVO INTRAUTERINO",IF(O15=CURSOS!$D$29,"SALUD MENTAL",IF(O15=CURSOS!$D$30,"PRIMEROS AUXILIOS PSICOLOGICOS",IF(O15=CURSOS!$D$31,"ATENCION A VICTIMAS POR CONFLICTO ARMADO",IF(O15=CURSOS!$D$32,"MANIPULACION DE ALIMENTOS Y BPM",IF(O15=CURSOS!$D$33,"ATENCION A PERSONAS CON DISCAPACIDAD",IF(O15=CURSOS!$D$34,"CUIDADO INTEGRAL DEL PACIENTE ADULTO",IF(O15=CURSOS!$D$35,"MANEJO DEFENSIVO",IF(O15=CURSOS!$D$36,"SOPORTE CARDIOVASCULAR AVANZADO NEONATAL",IF(O15=CURSOS!$D$37,"SEGURIDAD DEL PACIENTE",IF(O15=CURSOS!$D$38,"MANEJO Y USO DEL DEA",IF(O15=CURSOS!$D$39,"TRIAGE")))))))))))))))))))))))))))))))))))))</f>
        <v xml:space="preserve">ATENCION A VICTIMAS DE ATAQUE CON AGENTES QUIMICOS </v>
      </c>
      <c r="V15" s="105" t="str">
        <f t="shared" si="2"/>
        <v>Yeraldin Vanessa Zambrano Ceron</v>
      </c>
      <c r="W15" s="105" t="str">
        <f t="shared" si="3"/>
        <v>Yeraldin Vanessa Zambrano Ceron</v>
      </c>
      <c r="X15" s="105" t="str">
        <f t="shared" si="4"/>
        <v>Yeraldin Vanessa Zambrano Ceron-1088737917-QUIMICOS</v>
      </c>
    </row>
    <row r="16" spans="1:24" hidden="1" x14ac:dyDescent="0.2">
      <c r="A16" s="103">
        <v>15</v>
      </c>
      <c r="B16" s="105">
        <v>1088737917</v>
      </c>
      <c r="C16" s="105" t="s">
        <v>134</v>
      </c>
      <c r="D16" s="105" t="s">
        <v>100</v>
      </c>
      <c r="E16" s="105" t="s">
        <v>135</v>
      </c>
      <c r="F16" s="105" t="s">
        <v>136</v>
      </c>
      <c r="G16" s="106">
        <v>2</v>
      </c>
      <c r="H16" s="106" t="s">
        <v>99</v>
      </c>
      <c r="I16" s="106" t="s">
        <v>408</v>
      </c>
      <c r="J16" s="107">
        <v>45539</v>
      </c>
      <c r="K16" s="88">
        <v>25000</v>
      </c>
      <c r="L16" s="107" t="s">
        <v>138</v>
      </c>
      <c r="M16" s="106" t="s">
        <v>85</v>
      </c>
      <c r="N16" s="106" t="s">
        <v>109</v>
      </c>
      <c r="O16" s="108" t="s">
        <v>43</v>
      </c>
      <c r="P16" s="109">
        <v>35529</v>
      </c>
      <c r="Q16" s="106" t="s">
        <v>110</v>
      </c>
      <c r="R16" s="105" t="s">
        <v>123</v>
      </c>
      <c r="S16" s="105">
        <v>3142011766</v>
      </c>
      <c r="T16" s="111" t="s">
        <v>137</v>
      </c>
      <c r="U16" s="105" t="str">
        <f>IF(O16=CURSOS!$D$3,"DIPLOMADO EN ATENCION PRE-HOSPITALARIA",IF(O16=CURSOS!$D$4,"ACOMPAÑAMIENTO Y MANEJO DEL DUELO",IF(O16=CURSOS!$D$5,"ATENCION A VICTIMAS DE ATAQUE CON AGENTES QUIMICOS ",IF(O16=CURSOS!$D$6,"PRIMEROS AUXILIOS ",IF(O16=CURSOS!$D$7,"DIPLOMADO DE UNIDAD DE CUIDADOS INTENSIVOS (UCI)",IF(O16=CURSOS!$D$8,"MODELO DE ATENCION PARA EVENTOS EMERGENTES EN SALUD MENTAL (CODIGO VERDE)",IF(O16=CURSOS!$D$9,"HUMANIZACION EN EL SERVICIO DE LA SALUD Y BUENAS PRACTICAS EN PACIENTE ",IF(O16=CURSOS!$D$10,"CLINICA DE HERIDAS ",IF(O16=CURSOS!$D$11,"TOMA DE CITOLOGIA CERVICO VAGINAL ",IF(O16=CURSOS!$D$12,"SOPORTE CARDIOVASCULAR AVANZADO (ACLS) ",IF(O16=CURSOS!$D$13,"CAMILLERO ",IF(O16=CURSOS!$D$14,"TOMA DE MUESTRAS Y LABORATORIO ",IF(O16=CURSOS!$D$15,"SOPORTE VITAL BASICO (BLS)",IF(O16=CURSOS!$D$16,"ATENCION A VICTIMAS DE VIOLENCIA SEXUAL ",IF(O16=CURSOS!$D$17,"PROGRAMADO AMPLIADO DE INMUNIZACION (PAI - COVID 19)",IF(O16=CURSOS!$D$18,"ATENCION INTEGRAL EN ENFERMEDADES PREVALENTES EN PRIMERA INFANCIA (AIEPI)",IF(O16=CURSOS!$D$19,"ADMINISTRACION DE MEDICAMENTOS, INYECTOLOGIA  Y CANALIZACION ",IF(O16=CURSOS!$D$20,"OPERADOR DE VEHICULOS DE EMERGENCIA (OVE)",IF(O16=CURSOS!$D$21,"INSTITUCIONES AMIGAS DE LA MUJER Y LA INFANCIA (IAMI)",IF(O16=CURSOS!$D$22,"CUIDADO DEL DONANTE DE ORGANOS",IF(O16=CURSOS!$D$23,"ATENCION A VICTIMAS POR VIOLENCIA DE GENERO",IF(O16=CURSOS!$D$24,"IGUALDAD DE GENERO EN LA SALUD",IF(O16=CURSOS!$D$25,"BRIGADA DE EMERGENCIA",IF(O16=CURSOS!$D$26,"MANEJO DEL DOLOR Y CUIDADOS PALIATIVOS",IF(O16=CURSOS!$D$27,"TOMA DE MUESTRAS Y LABORATORIO POCT",IF(O16=CURSOS!$D$28,"IMPLANTE SUBDERMICO DE DISPOSITIVO INTRAUTERINO",IF(O16=CURSOS!$D$29,"SALUD MENTAL",IF(O16=CURSOS!$D$30,"PRIMEROS AUXILIOS PSICOLOGICOS",IF(O16=CURSOS!$D$31,"ATENCION A VICTIMAS POR CONFLICTO ARMADO",IF(O16=CURSOS!$D$32,"MANIPULACION DE ALIMENTOS Y BPM",IF(O16=CURSOS!$D$33,"ATENCION A PERSONAS CON DISCAPACIDAD",IF(O16=CURSOS!$D$34,"CUIDADO INTEGRAL DEL PACIENTE ADULTO",IF(O16=CURSOS!$D$35,"MANEJO DEFENSIVO",IF(O16=CURSOS!$D$36,"SOPORTE CARDIOVASCULAR AVANZADO NEONATAL",IF(O16=CURSOS!$D$37,"SEGURIDAD DEL PACIENTE",IF(O16=CURSOS!$D$38,"MANEJO Y USO DEL DEA",IF(O16=CURSOS!$D$39,"TRIAGE")))))))))))))))))))))))))))))))))))))</f>
        <v xml:space="preserve">ATENCION A VICTIMAS DE VIOLENCIA SEXUAL </v>
      </c>
      <c r="V16" s="105" t="str">
        <f t="shared" si="2"/>
        <v>Yeraldin Vanessa Zambrano Ceron</v>
      </c>
      <c r="W16" s="105" t="str">
        <f t="shared" si="3"/>
        <v>Yeraldin Vanessa Zambrano Ceron</v>
      </c>
      <c r="X16" s="105" t="str">
        <f t="shared" si="4"/>
        <v>Yeraldin Vanessa Zambrano Ceron-1088737917-VIOLENCIA SEXUAL</v>
      </c>
    </row>
    <row r="17" spans="1:24" hidden="1" x14ac:dyDescent="0.2">
      <c r="A17" s="103">
        <v>16</v>
      </c>
      <c r="B17" s="105">
        <v>1088737917</v>
      </c>
      <c r="C17" s="105" t="s">
        <v>134</v>
      </c>
      <c r="D17" s="105" t="s">
        <v>100</v>
      </c>
      <c r="E17" s="105" t="s">
        <v>135</v>
      </c>
      <c r="F17" s="105" t="s">
        <v>136</v>
      </c>
      <c r="G17" s="106">
        <v>2</v>
      </c>
      <c r="H17" s="106" t="s">
        <v>99</v>
      </c>
      <c r="I17" s="106" t="s">
        <v>408</v>
      </c>
      <c r="J17" s="107">
        <v>45539</v>
      </c>
      <c r="K17" s="88">
        <v>25000</v>
      </c>
      <c r="L17" s="107" t="s">
        <v>138</v>
      </c>
      <c r="M17" s="106" t="s">
        <v>85</v>
      </c>
      <c r="N17" s="106" t="s">
        <v>109</v>
      </c>
      <c r="O17" s="108" t="s">
        <v>23</v>
      </c>
      <c r="P17" s="109">
        <v>35529</v>
      </c>
      <c r="Q17" s="106" t="s">
        <v>110</v>
      </c>
      <c r="R17" s="105" t="s">
        <v>123</v>
      </c>
      <c r="S17" s="105">
        <v>3142011766</v>
      </c>
      <c r="T17" s="111" t="s">
        <v>137</v>
      </c>
      <c r="U17" s="105" t="str">
        <f>IF(O17=CURSOS!$D$3,"DIPLOMADO EN ATENCION PRE-HOSPITALARIA",IF(O17=CURSOS!$D$4,"ACOMPAÑAMIENTO Y MANEJO DEL DUELO",IF(O17=CURSOS!$D$5,"ATENCION A VICTIMAS DE ATAQUE CON AGENTES QUIMICOS ",IF(O17=CURSOS!$D$6,"PRIMEROS AUXILIOS ",IF(O17=CURSOS!$D$7,"DIPLOMADO DE UNIDAD DE CUIDADOS INTENSIVOS (UCI)",IF(O17=CURSOS!$D$8,"MODELO DE ATENCION PARA EVENTOS EMERGENTES EN SALUD MENTAL (CODIGO VERDE)",IF(O17=CURSOS!$D$9,"HUMANIZACION EN EL SERVICIO DE LA SALUD Y BUENAS PRACTICAS EN PACIENTE ",IF(O17=CURSOS!$D$10,"CLINICA DE HERIDAS ",IF(O17=CURSOS!$D$11,"TOMA DE CITOLOGIA CERVICO VAGINAL ",IF(O17=CURSOS!$D$12,"SOPORTE CARDIOVASCULAR AVANZADO (ACLS) ",IF(O17=CURSOS!$D$13,"CAMILLERO ",IF(O17=CURSOS!$D$14,"TOMA DE MUESTRAS Y LABORATORIO ",IF(O17=CURSOS!$D$15,"SOPORTE VITAL BASICO (BLS)",IF(O17=CURSOS!$D$16,"ATENCION A VICTIMAS DE VIOLENCIA SEXUAL ",IF(O17=CURSOS!$D$17,"PROGRAMADO AMPLIADO DE INMUNIZACION (PAI - COVID 19)",IF(O17=CURSOS!$D$18,"ATENCION INTEGRAL EN ENFERMEDADES PREVALENTES EN PRIMERA INFANCIA (AIEPI)",IF(O17=CURSOS!$D$19,"ADMINISTRACION DE MEDICAMENTOS, INYECTOLOGIA  Y CANALIZACION ",IF(O17=CURSOS!$D$20,"OPERADOR DE VEHICULOS DE EMERGENCIA (OVE)",IF(O17=CURSOS!$D$21,"INSTITUCIONES AMIGAS DE LA MUJER Y LA INFANCIA (IAMI)",IF(O17=CURSOS!$D$22,"CUIDADO DEL DONANTE DE ORGANOS",IF(O17=CURSOS!$D$23,"ATENCION A VICTIMAS POR VIOLENCIA DE GENERO",IF(O17=CURSOS!$D$24,"IGUALDAD DE GENERO EN LA SALUD",IF(O17=CURSOS!$D$25,"BRIGADA DE EMERGENCIA",IF(O17=CURSOS!$D$26,"MANEJO DEL DOLOR Y CUIDADOS PALIATIVOS",IF(O17=CURSOS!$D$27,"TOMA DE MUESTRAS Y LABORATORIO POCT",IF(O17=CURSOS!$D$28,"IMPLANTE SUBDERMICO DE DISPOSITIVO INTRAUTERINO",IF(O17=CURSOS!$D$29,"SALUD MENTAL",IF(O17=CURSOS!$D$30,"PRIMEROS AUXILIOS PSICOLOGICOS",IF(O17=CURSOS!$D$31,"ATENCION A VICTIMAS POR CONFLICTO ARMADO",IF(O17=CURSOS!$D$32,"MANIPULACION DE ALIMENTOS Y BPM",IF(O17=CURSOS!$D$33,"ATENCION A PERSONAS CON DISCAPACIDAD",IF(O17=CURSOS!$D$34,"CUIDADO INTEGRAL DEL PACIENTE ADULTO",IF(O17=CURSOS!$D$35,"MANEJO DEFENSIVO",IF(O17=CURSOS!$D$36,"SOPORTE CARDIOVASCULAR AVANZADO NEONATAL",IF(O17=CURSOS!$D$37,"SEGURIDAD DEL PACIENTE",IF(O17=CURSOS!$D$38,"MANEJO Y USO DEL DEA",IF(O17=CURSOS!$D$39,"TRIAGE")))))))))))))))))))))))))))))))))))))</f>
        <v>ACOMPAÑAMIENTO Y MANEJO DEL DUELO</v>
      </c>
      <c r="V17" s="105" t="str">
        <f t="shared" si="2"/>
        <v>Yeraldin Vanessa Zambrano Ceron</v>
      </c>
      <c r="W17" s="105" t="str">
        <f t="shared" si="3"/>
        <v>Yeraldin Vanessa Zambrano Ceron</v>
      </c>
      <c r="X17" s="105" t="str">
        <f t="shared" si="4"/>
        <v>Yeraldin Vanessa Zambrano Ceron-1088737917-DUELO</v>
      </c>
    </row>
    <row r="18" spans="1:24" hidden="1" x14ac:dyDescent="0.2">
      <c r="A18" s="103">
        <v>17</v>
      </c>
      <c r="B18" s="105">
        <v>1004697347</v>
      </c>
      <c r="C18" s="105" t="s">
        <v>139</v>
      </c>
      <c r="D18" s="105" t="s">
        <v>140</v>
      </c>
      <c r="E18" s="105" t="s">
        <v>141</v>
      </c>
      <c r="F18" s="105" t="s">
        <v>142</v>
      </c>
      <c r="G18" s="106">
        <v>4</v>
      </c>
      <c r="H18" s="106" t="s">
        <v>99</v>
      </c>
      <c r="I18" s="106" t="s">
        <v>408</v>
      </c>
      <c r="J18" s="107">
        <v>45539</v>
      </c>
      <c r="K18" s="88">
        <v>25000</v>
      </c>
      <c r="L18" s="107" t="s">
        <v>138</v>
      </c>
      <c r="M18" s="106" t="s">
        <v>85</v>
      </c>
      <c r="N18" s="106" t="s">
        <v>109</v>
      </c>
      <c r="O18" s="108" t="s">
        <v>23</v>
      </c>
      <c r="P18" s="109">
        <v>34667</v>
      </c>
      <c r="Q18" s="106" t="s">
        <v>104</v>
      </c>
      <c r="R18" s="105" t="s">
        <v>143</v>
      </c>
      <c r="S18" s="105">
        <v>3205014450</v>
      </c>
      <c r="T18" s="111" t="s">
        <v>144</v>
      </c>
      <c r="U18" s="105" t="str">
        <f>IF(O18=CURSOS!$D$3,"DIPLOMADO EN ATENCION PRE-HOSPITALARIA",IF(O18=CURSOS!$D$4,"ACOMPAÑAMIENTO Y MANEJO DEL DUELO",IF(O18=CURSOS!$D$5,"ATENCION A VICTIMAS DE ATAQUE CON AGENTES QUIMICOS ",IF(O18=CURSOS!$D$6,"PRIMEROS AUXILIOS ",IF(O18=CURSOS!$D$7,"DIPLOMADO DE UNIDAD DE CUIDADOS INTENSIVOS (UCI)",IF(O18=CURSOS!$D$8,"MODELO DE ATENCION PARA EVENTOS EMERGENTES EN SALUD MENTAL (CODIGO VERDE)",IF(O18=CURSOS!$D$9,"HUMANIZACION EN EL SERVICIO DE LA SALUD Y BUENAS PRACTICAS EN PACIENTE ",IF(O18=CURSOS!$D$10,"CLINICA DE HERIDAS ",IF(O18=CURSOS!$D$11,"TOMA DE CITOLOGIA CERVICO VAGINAL ",IF(O18=CURSOS!$D$12,"SOPORTE CARDIOVASCULAR AVANZADO (ACLS) ",IF(O18=CURSOS!$D$13,"CAMILLERO ",IF(O18=CURSOS!$D$14,"TOMA DE MUESTRAS Y LABORATORIO ",IF(O18=CURSOS!$D$15,"SOPORTE VITAL BASICO (BLS)",IF(O18=CURSOS!$D$16,"ATENCION A VICTIMAS DE VIOLENCIA SEXUAL ",IF(O18=CURSOS!$D$17,"PROGRAMADO AMPLIADO DE INMUNIZACION (PAI - COVID 19)",IF(O18=CURSOS!$D$18,"ATENCION INTEGRAL EN ENFERMEDADES PREVALENTES EN PRIMERA INFANCIA (AIEPI)",IF(O18=CURSOS!$D$19,"ADMINISTRACION DE MEDICAMENTOS, INYECTOLOGIA  Y CANALIZACION ",IF(O18=CURSOS!$D$20,"OPERADOR DE VEHICULOS DE EMERGENCIA (OVE)",IF(O18=CURSOS!$D$21,"INSTITUCIONES AMIGAS DE LA MUJER Y LA INFANCIA (IAMI)",IF(O18=CURSOS!$D$22,"CUIDADO DEL DONANTE DE ORGANOS",IF(O18=CURSOS!$D$23,"ATENCION A VICTIMAS POR VIOLENCIA DE GENERO",IF(O18=CURSOS!$D$24,"IGUALDAD DE GENERO EN LA SALUD",IF(O18=CURSOS!$D$25,"BRIGADA DE EMERGENCIA",IF(O18=CURSOS!$D$26,"MANEJO DEL DOLOR Y CUIDADOS PALIATIVOS",IF(O18=CURSOS!$D$27,"TOMA DE MUESTRAS Y LABORATORIO POCT",IF(O18=CURSOS!$D$28,"IMPLANTE SUBDERMICO DE DISPOSITIVO INTRAUTERINO",IF(O18=CURSOS!$D$29,"SALUD MENTAL",IF(O18=CURSOS!$D$30,"PRIMEROS AUXILIOS PSICOLOGICOS",IF(O18=CURSOS!$D$31,"ATENCION A VICTIMAS POR CONFLICTO ARMADO",IF(O18=CURSOS!$D$32,"MANIPULACION DE ALIMENTOS Y BPM",IF(O18=CURSOS!$D$33,"ATENCION A PERSONAS CON DISCAPACIDAD",IF(O18=CURSOS!$D$34,"CUIDADO INTEGRAL DEL PACIENTE ADULTO",IF(O18=CURSOS!$D$35,"MANEJO DEFENSIVO",IF(O18=CURSOS!$D$36,"SOPORTE CARDIOVASCULAR AVANZADO NEONATAL",IF(O18=CURSOS!$D$37,"SEGURIDAD DEL PACIENTE",IF(O18=CURSOS!$D$38,"MANEJO Y USO DEL DEA",IF(O18=CURSOS!$D$39,"TRIAGE")))))))))))))))))))))))))))))))))))))</f>
        <v>ACOMPAÑAMIENTO Y MANEJO DEL DUELO</v>
      </c>
      <c r="V18" s="105" t="str">
        <f t="shared" si="2"/>
        <v>Jair Fernando Villacorte Ortega</v>
      </c>
      <c r="W18" s="105" t="str">
        <f t="shared" si="3"/>
        <v>Jair Fernando Villacorte Ortega</v>
      </c>
      <c r="X18" s="105" t="str">
        <f t="shared" si="4"/>
        <v>Jair Fernando Villacorte Ortega-1004697347-DUELO</v>
      </c>
    </row>
    <row r="19" spans="1:24" hidden="1" x14ac:dyDescent="0.2">
      <c r="A19" s="103">
        <v>18</v>
      </c>
      <c r="B19" s="105">
        <v>1004697347</v>
      </c>
      <c r="C19" s="105" t="s">
        <v>139</v>
      </c>
      <c r="D19" s="105" t="s">
        <v>140</v>
      </c>
      <c r="E19" s="105" t="s">
        <v>141</v>
      </c>
      <c r="F19" s="105" t="s">
        <v>142</v>
      </c>
      <c r="G19" s="106">
        <v>3</v>
      </c>
      <c r="H19" s="106" t="s">
        <v>99</v>
      </c>
      <c r="I19" s="106" t="s">
        <v>408</v>
      </c>
      <c r="J19" s="107">
        <v>45539</v>
      </c>
      <c r="K19" s="88">
        <v>25000</v>
      </c>
      <c r="L19" s="107" t="s">
        <v>138</v>
      </c>
      <c r="M19" s="106" t="s">
        <v>85</v>
      </c>
      <c r="N19" s="106" t="s">
        <v>109</v>
      </c>
      <c r="O19" s="108" t="s">
        <v>97</v>
      </c>
      <c r="P19" s="109">
        <v>34667</v>
      </c>
      <c r="Q19" s="106" t="s">
        <v>104</v>
      </c>
      <c r="R19" s="105" t="s">
        <v>143</v>
      </c>
      <c r="S19" s="105">
        <v>3205014450</v>
      </c>
      <c r="T19" s="111" t="s">
        <v>144</v>
      </c>
      <c r="U19" s="105" t="str">
        <f>IF(O19=CURSOS!$D$3,"DIPLOMADO EN ATENCION PRE-HOSPITALARIA",IF(O19=CURSOS!$D$4,"ACOMPAÑAMIENTO Y MANEJO DEL DUELO",IF(O19=CURSOS!$D$5,"ATENCION A VICTIMAS DE ATAQUE CON AGENTES QUIMICOS ",IF(O19=CURSOS!$D$6,"PRIMEROS AUXILIOS ",IF(O19=CURSOS!$D$7,"DIPLOMADO DE UNIDAD DE CUIDADOS INTENSIVOS (UCI)",IF(O19=CURSOS!$D$8,"MODELO DE ATENCION PARA EVENTOS EMERGENTES EN SALUD MENTAL (CODIGO VERDE)",IF(O19=CURSOS!$D$9,"HUMANIZACION EN EL SERVICIO DE LA SALUD Y BUENAS PRACTICAS EN PACIENTE ",IF(O19=CURSOS!$D$10,"CLINICA DE HERIDAS ",IF(O19=CURSOS!$D$11,"TOMA DE CITOLOGIA CERVICO VAGINAL ",IF(O19=CURSOS!$D$12,"SOPORTE CARDIOVASCULAR AVANZADO (ACLS) ",IF(O19=CURSOS!$D$13,"CAMILLERO ",IF(O19=CURSOS!$D$14,"TOMA DE MUESTRAS Y LABORATORIO ",IF(O19=CURSOS!$D$15,"SOPORTE VITAL BASICO (BLS)",IF(O19=CURSOS!$D$16,"ATENCION A VICTIMAS DE VIOLENCIA SEXUAL ",IF(O19=CURSOS!$D$17,"PROGRAMADO AMPLIADO DE INMUNIZACION (PAI - COVID 19)",IF(O19=CURSOS!$D$18,"ATENCION INTEGRAL EN ENFERMEDADES PREVALENTES EN PRIMERA INFANCIA (AIEPI)",IF(O19=CURSOS!$D$19,"ADMINISTRACION DE MEDICAMENTOS, INYECTOLOGIA  Y CANALIZACION ",IF(O19=CURSOS!$D$20,"OPERADOR DE VEHICULOS DE EMERGENCIA (OVE)",IF(O19=CURSOS!$D$21,"INSTITUCIONES AMIGAS DE LA MUJER Y LA INFANCIA (IAMI)",IF(O19=CURSOS!$D$22,"CUIDADO DEL DONANTE DE ORGANOS",IF(O19=CURSOS!$D$23,"ATENCION A VICTIMAS POR VIOLENCIA DE GENERO",IF(O19=CURSOS!$D$24,"IGUALDAD DE GENERO EN LA SALUD",IF(O19=CURSOS!$D$25,"BRIGADA DE EMERGENCIA",IF(O19=CURSOS!$D$26,"MANEJO DEL DOLOR Y CUIDADOS PALIATIVOS",IF(O19=CURSOS!$D$27,"TOMA DE MUESTRAS Y LABORATORIO POCT",IF(O19=CURSOS!$D$28,"IMPLANTE SUBDERMICO DE DISPOSITIVO INTRAUTERINO",IF(O19=CURSOS!$D$29,"SALUD MENTAL",IF(O19=CURSOS!$D$30,"PRIMEROS AUXILIOS PSICOLOGICOS",IF(O19=CURSOS!$D$31,"ATENCION A VICTIMAS POR CONFLICTO ARMADO",IF(O19=CURSOS!$D$32,"MANIPULACION DE ALIMENTOS Y BPM",IF(O19=CURSOS!$D$33,"ATENCION A PERSONAS CON DISCAPACIDAD",IF(O19=CURSOS!$D$34,"CUIDADO INTEGRAL DEL PACIENTE ADULTO",IF(O19=CURSOS!$D$35,"MANEJO DEFENSIVO",IF(O19=CURSOS!$D$36,"SOPORTE CARDIOVASCULAR AVANZADO NEONATAL",IF(O19=CURSOS!$D$37,"SEGURIDAD DEL PACIENTE",IF(O19=CURSOS!$D$38,"MANEJO Y USO DEL DEA",IF(O19=CURSOS!$D$39,"TRIAGE")))))))))))))))))))))))))))))))))))))</f>
        <v>SEGURIDAD DEL PACIENTE</v>
      </c>
      <c r="V19" s="105" t="str">
        <f t="shared" si="2"/>
        <v>Jair Fernando Villacorte Ortega</v>
      </c>
      <c r="W19" s="105" t="str">
        <f t="shared" si="3"/>
        <v>Jair Fernando Villacorte Ortega</v>
      </c>
      <c r="X19" s="105" t="str">
        <f t="shared" si="4"/>
        <v>Jair Fernando Villacorte Ortega-1004697347-PACIENTE</v>
      </c>
    </row>
    <row r="20" spans="1:24" x14ac:dyDescent="0.2">
      <c r="A20" s="103">
        <v>19</v>
      </c>
      <c r="B20" s="105">
        <v>1004631974</v>
      </c>
      <c r="C20" s="105" t="s">
        <v>145</v>
      </c>
      <c r="D20" s="105" t="s">
        <v>119</v>
      </c>
      <c r="E20" s="105" t="s">
        <v>146</v>
      </c>
      <c r="F20" s="105" t="s">
        <v>147</v>
      </c>
      <c r="G20" s="106">
        <v>4</v>
      </c>
      <c r="H20" s="106" t="s">
        <v>99</v>
      </c>
      <c r="I20" s="106" t="s">
        <v>408</v>
      </c>
      <c r="J20" s="107">
        <v>45538</v>
      </c>
      <c r="K20" s="88">
        <v>37666</v>
      </c>
      <c r="L20" s="107" t="s">
        <v>103</v>
      </c>
      <c r="M20" s="106" t="s">
        <v>85</v>
      </c>
      <c r="N20" s="106" t="s">
        <v>98</v>
      </c>
      <c r="O20" s="108" t="s">
        <v>43</v>
      </c>
      <c r="P20" s="109">
        <v>37878</v>
      </c>
      <c r="Q20" s="106" t="s">
        <v>110</v>
      </c>
      <c r="R20" s="105" t="s">
        <v>123</v>
      </c>
      <c r="S20" s="105">
        <v>3225460871</v>
      </c>
      <c r="T20" s="105" t="s">
        <v>148</v>
      </c>
      <c r="U20" s="105" t="str">
        <f>IF(O20=CURSOS!$D$3,"DIPLOMADO EN ATENCION PRE-HOSPITALARIA",IF(O20=CURSOS!$D$4,"ACOMPAÑAMIENTO Y MANEJO DEL DUELO",IF(O20=CURSOS!$D$5,"ATENCION A VICTIMAS DE ATAQUE CON AGENTES QUIMICOS ",IF(O20=CURSOS!$D$6,"PRIMEROS AUXILIOS ",IF(O20=CURSOS!$D$7,"DIPLOMADO DE UNIDAD DE CUIDADOS INTENSIVOS (UCI)",IF(O20=CURSOS!$D$8,"MODELO DE ATENCION PARA EVENTOS EMERGENTES EN SALUD MENTAL (CODIGO VERDE)",IF(O20=CURSOS!$D$9,"HUMANIZACION EN EL SERVICIO DE LA SALUD Y BUENAS PRACTICAS EN PACIENTE ",IF(O20=CURSOS!$D$10,"CLINICA DE HERIDAS ",IF(O20=CURSOS!$D$11,"TOMA DE CITOLOGIA CERVICO VAGINAL ",IF(O20=CURSOS!$D$12,"SOPORTE CARDIOVASCULAR AVANZADO (ACLS) ",IF(O20=CURSOS!$D$13,"CAMILLERO ",IF(O20=CURSOS!$D$14,"TOMA DE MUESTRAS Y LABORATORIO ",IF(O20=CURSOS!$D$15,"SOPORTE VITAL BASICO (BLS)",IF(O20=CURSOS!$D$16,"ATENCION A VICTIMAS DE VIOLENCIA SEXUAL ",IF(O20=CURSOS!$D$17,"PROGRAMADO AMPLIADO DE INMUNIZACION (PAI - COVID 19)",IF(O20=CURSOS!$D$18,"ATENCION INTEGRAL EN ENFERMEDADES PREVALENTES EN PRIMERA INFANCIA (AIEPI)",IF(O20=CURSOS!$D$19,"ADMINISTRACION DE MEDICAMENTOS, INYECTOLOGIA  Y CANALIZACION ",IF(O20=CURSOS!$D$20,"OPERADOR DE VEHICULOS DE EMERGENCIA (OVE)",IF(O20=CURSOS!$D$21,"INSTITUCIONES AMIGAS DE LA MUJER Y LA INFANCIA (IAMI)",IF(O20=CURSOS!$D$22,"CUIDADO DEL DONANTE DE ORGANOS",IF(O20=CURSOS!$D$23,"ATENCION A VICTIMAS POR VIOLENCIA DE GENERO",IF(O20=CURSOS!$D$24,"IGUALDAD DE GENERO EN LA SALUD",IF(O20=CURSOS!$D$25,"BRIGADA DE EMERGENCIA",IF(O20=CURSOS!$D$26,"MANEJO DEL DOLOR Y CUIDADOS PALIATIVOS",IF(O20=CURSOS!$D$27,"TOMA DE MUESTRAS Y LABORATORIO POCT",IF(O20=CURSOS!$D$28,"IMPLANTE SUBDERMICO DE DISPOSITIVO INTRAUTERINO",IF(O20=CURSOS!$D$29,"SALUD MENTAL",IF(O20=CURSOS!$D$30,"PRIMEROS AUXILIOS PSICOLOGICOS",IF(O20=CURSOS!$D$31,"ATENCION A VICTIMAS POR CONFLICTO ARMADO",IF(O20=CURSOS!$D$32,"MANIPULACION DE ALIMENTOS Y BPM",IF(O20=CURSOS!$D$33,"ATENCION A PERSONAS CON DISCAPACIDAD",IF(O20=CURSOS!$D$34,"CUIDADO INTEGRAL DEL PACIENTE ADULTO",IF(O20=CURSOS!$D$35,"MANEJO DEFENSIVO",IF(O20=CURSOS!$D$36,"SOPORTE CARDIOVASCULAR AVANZADO NEONATAL",IF(O20=CURSOS!$D$37,"SEGURIDAD DEL PACIENTE",IF(O20=CURSOS!$D$38,"MANEJO Y USO DEL DEA",IF(O20=CURSOS!$D$39,"TRIAGE")))))))))))))))))))))))))))))))))))))</f>
        <v xml:space="preserve">ATENCION A VICTIMAS DE VIOLENCIA SEXUAL </v>
      </c>
      <c r="V20" s="105" t="str">
        <f t="shared" si="2"/>
        <v>Claudia Milena Riascos Pantoja</v>
      </c>
      <c r="W20" s="105" t="str">
        <f t="shared" si="3"/>
        <v>Claudia Milena Riascos Pantoja</v>
      </c>
      <c r="X20" s="105" t="str">
        <f t="shared" si="4"/>
        <v>Claudia Milena Riascos Pantoja-1004631974-VIOLENCIA SEXUAL</v>
      </c>
    </row>
    <row r="21" spans="1:24" x14ac:dyDescent="0.2">
      <c r="A21" s="103">
        <v>20</v>
      </c>
      <c r="B21" s="105">
        <v>1004631974</v>
      </c>
      <c r="C21" s="105" t="s">
        <v>145</v>
      </c>
      <c r="D21" s="105" t="s">
        <v>119</v>
      </c>
      <c r="E21" s="105" t="s">
        <v>146</v>
      </c>
      <c r="F21" s="105" t="s">
        <v>147</v>
      </c>
      <c r="G21" s="106">
        <v>5</v>
      </c>
      <c r="H21" s="106" t="s">
        <v>99</v>
      </c>
      <c r="I21" s="106" t="s">
        <v>408</v>
      </c>
      <c r="J21" s="107">
        <v>45538</v>
      </c>
      <c r="K21" s="88">
        <v>37666</v>
      </c>
      <c r="L21" s="106" t="s">
        <v>103</v>
      </c>
      <c r="M21" s="106" t="s">
        <v>85</v>
      </c>
      <c r="N21" s="106" t="s">
        <v>98</v>
      </c>
      <c r="O21" s="108" t="s">
        <v>25</v>
      </c>
      <c r="P21" s="109">
        <v>37878</v>
      </c>
      <c r="Q21" s="106" t="s">
        <v>110</v>
      </c>
      <c r="R21" s="105" t="s">
        <v>123</v>
      </c>
      <c r="S21" s="105">
        <v>3225460871</v>
      </c>
      <c r="T21" s="105" t="s">
        <v>148</v>
      </c>
      <c r="U21" s="105" t="str">
        <f>IF(O21=CURSOS!$D$3,"DIPLOMADO EN ATENCION PRE-HOSPITALARIA",IF(O21=CURSOS!$D$4,"ACOMPAÑAMIENTO Y MANEJO DEL DUELO",IF(O21=CURSOS!$D$5,"ATENCION A VICTIMAS DE ATAQUE CON AGENTES QUIMICOS ",IF(O21=CURSOS!$D$6,"PRIMEROS AUXILIOS ",IF(O21=CURSOS!$D$7,"DIPLOMADO DE UNIDAD DE CUIDADOS INTENSIVOS (UCI)",IF(O21=CURSOS!$D$8,"MODELO DE ATENCION PARA EVENTOS EMERGENTES EN SALUD MENTAL (CODIGO VERDE)",IF(O21=CURSOS!$D$9,"HUMANIZACION EN EL SERVICIO DE LA SALUD Y BUENAS PRACTICAS EN PACIENTE ",IF(O21=CURSOS!$D$10,"CLINICA DE HERIDAS ",IF(O21=CURSOS!$D$11,"TOMA DE CITOLOGIA CERVICO VAGINAL ",IF(O21=CURSOS!$D$12,"SOPORTE CARDIOVASCULAR AVANZADO (ACLS) ",IF(O21=CURSOS!$D$13,"CAMILLERO ",IF(O21=CURSOS!$D$14,"TOMA DE MUESTRAS Y LABORATORIO ",IF(O21=CURSOS!$D$15,"SOPORTE VITAL BASICO (BLS)",IF(O21=CURSOS!$D$16,"ATENCION A VICTIMAS DE VIOLENCIA SEXUAL ",IF(O21=CURSOS!$D$17,"PROGRAMADO AMPLIADO DE INMUNIZACION (PAI - COVID 19)",IF(O21=CURSOS!$D$18,"ATENCION INTEGRAL EN ENFERMEDADES PREVALENTES EN PRIMERA INFANCIA (AIEPI)",IF(O21=CURSOS!$D$19,"ADMINISTRACION DE MEDICAMENTOS, INYECTOLOGIA  Y CANALIZACION ",IF(O21=CURSOS!$D$20,"OPERADOR DE VEHICULOS DE EMERGENCIA (OVE)",IF(O21=CURSOS!$D$21,"INSTITUCIONES AMIGAS DE LA MUJER Y LA INFANCIA (IAMI)",IF(O21=CURSOS!$D$22,"CUIDADO DEL DONANTE DE ORGANOS",IF(O21=CURSOS!$D$23,"ATENCION A VICTIMAS POR VIOLENCIA DE GENERO",IF(O21=CURSOS!$D$24,"IGUALDAD DE GENERO EN LA SALUD",IF(O21=CURSOS!$D$25,"BRIGADA DE EMERGENCIA",IF(O21=CURSOS!$D$26,"MANEJO DEL DOLOR Y CUIDADOS PALIATIVOS",IF(O21=CURSOS!$D$27,"TOMA DE MUESTRAS Y LABORATORIO POCT",IF(O21=CURSOS!$D$28,"IMPLANTE SUBDERMICO DE DISPOSITIVO INTRAUTERINO",IF(O21=CURSOS!$D$29,"SALUD MENTAL",IF(O21=CURSOS!$D$30,"PRIMEROS AUXILIOS PSICOLOGICOS",IF(O21=CURSOS!$D$31,"ATENCION A VICTIMAS POR CONFLICTO ARMADO",IF(O21=CURSOS!$D$32,"MANIPULACION DE ALIMENTOS Y BPM",IF(O21=CURSOS!$D$33,"ATENCION A PERSONAS CON DISCAPACIDAD",IF(O21=CURSOS!$D$34,"CUIDADO INTEGRAL DEL PACIENTE ADULTO",IF(O21=CURSOS!$D$35,"MANEJO DEFENSIVO",IF(O21=CURSOS!$D$36,"SOPORTE CARDIOVASCULAR AVANZADO NEONATAL",IF(O21=CURSOS!$D$37,"SEGURIDAD DEL PACIENTE",IF(O21=CURSOS!$D$38,"MANEJO Y USO DEL DEA",IF(O21=CURSOS!$D$39,"TRIAGE")))))))))))))))))))))))))))))))))))))</f>
        <v xml:space="preserve">ATENCION A VICTIMAS DE ATAQUE CON AGENTES QUIMICOS </v>
      </c>
      <c r="V21" s="105" t="str">
        <f t="shared" si="2"/>
        <v>Claudia Milena Riascos Pantoja</v>
      </c>
      <c r="W21" s="105" t="str">
        <f t="shared" si="3"/>
        <v>Claudia Milena Riascos Pantoja</v>
      </c>
      <c r="X21" s="105" t="str">
        <f t="shared" si="4"/>
        <v>Claudia Milena Riascos Pantoja-1004631974-QUIMICOS</v>
      </c>
    </row>
    <row r="22" spans="1:24" x14ac:dyDescent="0.2">
      <c r="A22" s="103">
        <v>21</v>
      </c>
      <c r="B22" s="105">
        <v>1004631974</v>
      </c>
      <c r="C22" s="105" t="s">
        <v>145</v>
      </c>
      <c r="D22" s="105" t="s">
        <v>119</v>
      </c>
      <c r="E22" s="105" t="s">
        <v>146</v>
      </c>
      <c r="F22" s="105" t="s">
        <v>147</v>
      </c>
      <c r="G22" s="106">
        <v>6</v>
      </c>
      <c r="H22" s="106" t="s">
        <v>99</v>
      </c>
      <c r="I22" s="106" t="s">
        <v>408</v>
      </c>
      <c r="J22" s="107">
        <v>45538</v>
      </c>
      <c r="K22" s="88">
        <v>37666</v>
      </c>
      <c r="L22" s="106" t="s">
        <v>103</v>
      </c>
      <c r="M22" s="106" t="s">
        <v>85</v>
      </c>
      <c r="N22" s="106" t="s">
        <v>98</v>
      </c>
      <c r="O22" s="108" t="s">
        <v>33</v>
      </c>
      <c r="P22" s="109">
        <v>37878</v>
      </c>
      <c r="Q22" s="106" t="s">
        <v>110</v>
      </c>
      <c r="R22" s="105" t="s">
        <v>123</v>
      </c>
      <c r="S22" s="105">
        <v>3225460871</v>
      </c>
      <c r="T22" s="105" t="s">
        <v>148</v>
      </c>
      <c r="U22" s="105" t="str">
        <f>IF(O22=CURSOS!$D$3,"DIPLOMADO EN ATENCION PRE-HOSPITALARIA",IF(O22=CURSOS!$D$4,"ACOMPAÑAMIENTO Y MANEJO DEL DUELO",IF(O22=CURSOS!$D$5,"ATENCION A VICTIMAS DE ATAQUE CON AGENTES QUIMICOS ",IF(O22=CURSOS!$D$6,"PRIMEROS AUXILIOS ",IF(O22=CURSOS!$D$7,"DIPLOMADO DE UNIDAD DE CUIDADOS INTENSIVOS (UCI)",IF(O22=CURSOS!$D$8,"MODELO DE ATENCION PARA EVENTOS EMERGENTES EN SALUD MENTAL (CODIGO VERDE)",IF(O22=CURSOS!$D$9,"HUMANIZACION EN EL SERVICIO DE LA SALUD Y BUENAS PRACTICAS EN PACIENTE ",IF(O22=CURSOS!$D$10,"CLINICA DE HERIDAS ",IF(O22=CURSOS!$D$11,"TOMA DE CITOLOGIA CERVICO VAGINAL ",IF(O22=CURSOS!$D$12,"SOPORTE CARDIOVASCULAR AVANZADO (ACLS) ",IF(O22=CURSOS!$D$13,"CAMILLERO ",IF(O22=CURSOS!$D$14,"TOMA DE MUESTRAS Y LABORATORIO ",IF(O22=CURSOS!$D$15,"SOPORTE VITAL BASICO (BLS)",IF(O22=CURSOS!$D$16,"ATENCION A VICTIMAS DE VIOLENCIA SEXUAL ",IF(O22=CURSOS!$D$17,"PROGRAMADO AMPLIADO DE INMUNIZACION (PAI - COVID 19)",IF(O22=CURSOS!$D$18,"ATENCION INTEGRAL EN ENFERMEDADES PREVALENTES EN PRIMERA INFANCIA (AIEPI)",IF(O22=CURSOS!$D$19,"ADMINISTRACION DE MEDICAMENTOS, INYECTOLOGIA  Y CANALIZACION ",IF(O22=CURSOS!$D$20,"OPERADOR DE VEHICULOS DE EMERGENCIA (OVE)",IF(O22=CURSOS!$D$21,"INSTITUCIONES AMIGAS DE LA MUJER Y LA INFANCIA (IAMI)",IF(O22=CURSOS!$D$22,"CUIDADO DEL DONANTE DE ORGANOS",IF(O22=CURSOS!$D$23,"ATENCION A VICTIMAS POR VIOLENCIA DE GENERO",IF(O22=CURSOS!$D$24,"IGUALDAD DE GENERO EN LA SALUD",IF(O22=CURSOS!$D$25,"BRIGADA DE EMERGENCIA",IF(O22=CURSOS!$D$26,"MANEJO DEL DOLOR Y CUIDADOS PALIATIVOS",IF(O22=CURSOS!$D$27,"TOMA DE MUESTRAS Y LABORATORIO POCT",IF(O22=CURSOS!$D$28,"IMPLANTE SUBDERMICO DE DISPOSITIVO INTRAUTERINO",IF(O22=CURSOS!$D$29,"SALUD MENTAL",IF(O22=CURSOS!$D$30,"PRIMEROS AUXILIOS PSICOLOGICOS",IF(O22=CURSOS!$D$31,"ATENCION A VICTIMAS POR CONFLICTO ARMADO",IF(O22=CURSOS!$D$32,"MANIPULACION DE ALIMENTOS Y BPM",IF(O22=CURSOS!$D$33,"ATENCION A PERSONAS CON DISCAPACIDAD",IF(O22=CURSOS!$D$34,"CUIDADO INTEGRAL DEL PACIENTE ADULTO",IF(O22=CURSOS!$D$35,"MANEJO DEFENSIVO",IF(O22=CURSOS!$D$36,"SOPORTE CARDIOVASCULAR AVANZADO NEONATAL",IF(O22=CURSOS!$D$37,"SEGURIDAD DEL PACIENTE",IF(O22=CURSOS!$D$38,"MANEJO Y USO DEL DEA",IF(O22=CURSOS!$D$39,"TRIAGE")))))))))))))))))))))))))))))))))))))</f>
        <v xml:space="preserve">HUMANIZACION EN EL SERVICIO DE LA SALUD Y BUENAS PRACTICAS EN PACIENTE </v>
      </c>
      <c r="V22" s="105" t="str">
        <f t="shared" si="2"/>
        <v>Claudia Milena Riascos Pantoja</v>
      </c>
      <c r="W22" s="105" t="str">
        <f t="shared" si="3"/>
        <v>Claudia Milena Riascos Pantoja</v>
      </c>
      <c r="X22" s="105" t="str">
        <f t="shared" si="4"/>
        <v>Claudia Milena Riascos Pantoja-1004631974-HUMANIZACION</v>
      </c>
    </row>
    <row r="23" spans="1:24" x14ac:dyDescent="0.2">
      <c r="A23" s="103">
        <v>22</v>
      </c>
      <c r="B23" s="105">
        <v>1004631974</v>
      </c>
      <c r="C23" s="105" t="s">
        <v>145</v>
      </c>
      <c r="D23" s="105" t="s">
        <v>119</v>
      </c>
      <c r="E23" s="105" t="s">
        <v>146</v>
      </c>
      <c r="F23" s="105" t="s">
        <v>147</v>
      </c>
      <c r="G23" s="106">
        <v>4</v>
      </c>
      <c r="H23" s="106" t="s">
        <v>99</v>
      </c>
      <c r="I23" s="106" t="s">
        <v>409</v>
      </c>
      <c r="J23" s="107">
        <v>45546</v>
      </c>
      <c r="K23" s="88">
        <v>56000</v>
      </c>
      <c r="L23" s="106" t="s">
        <v>103</v>
      </c>
      <c r="M23" s="106" t="s">
        <v>85</v>
      </c>
      <c r="N23" s="106" t="s">
        <v>98</v>
      </c>
      <c r="O23" s="108" t="s">
        <v>23</v>
      </c>
      <c r="P23" s="109">
        <v>37878</v>
      </c>
      <c r="Q23" s="106" t="s">
        <v>110</v>
      </c>
      <c r="R23" s="105" t="s">
        <v>123</v>
      </c>
      <c r="S23" s="105">
        <v>3225460871</v>
      </c>
      <c r="T23" s="105" t="s">
        <v>148</v>
      </c>
      <c r="U23" s="105" t="str">
        <f>IF(O23=CURSOS!$D$3,"DIPLOMADO EN ATENCION PRE-HOSPITALARIA",IF(O23=CURSOS!$D$4,"ACOMPAÑAMIENTO Y MANEJO DEL DUELO",IF(O23=CURSOS!$D$5,"ATENCION A VICTIMAS DE ATAQUE CON AGENTES QUIMICOS ",IF(O23=CURSOS!$D$6,"PRIMEROS AUXILIOS ",IF(O23=CURSOS!$D$7,"DIPLOMADO DE UNIDAD DE CUIDADOS INTENSIVOS (UCI)",IF(O23=CURSOS!$D$8,"MODELO DE ATENCION PARA EVENTOS EMERGENTES EN SALUD MENTAL (CODIGO VERDE)",IF(O23=CURSOS!$D$9,"HUMANIZACION EN EL SERVICIO DE LA SALUD Y BUENAS PRACTICAS EN PACIENTE ",IF(O23=CURSOS!$D$10,"CLINICA DE HERIDAS ",IF(O23=CURSOS!$D$11,"TOMA DE CITOLOGIA CERVICO VAGINAL ",IF(O23=CURSOS!$D$12,"SOPORTE CARDIOVASCULAR AVANZADO (ACLS) ",IF(O23=CURSOS!$D$13,"CAMILLERO ",IF(O23=CURSOS!$D$14,"TOMA DE MUESTRAS Y LABORATORIO ",IF(O23=CURSOS!$D$15,"SOPORTE VITAL BASICO (BLS)",IF(O23=CURSOS!$D$16,"ATENCION A VICTIMAS DE VIOLENCIA SEXUAL ",IF(O23=CURSOS!$D$17,"PROGRAMADO AMPLIADO DE INMUNIZACION (PAI - COVID 19)",IF(O23=CURSOS!$D$18,"ATENCION INTEGRAL EN ENFERMEDADES PREVALENTES EN PRIMERA INFANCIA (AIEPI)",IF(O23=CURSOS!$D$19,"ADMINISTRACION DE MEDICAMENTOS, INYECTOLOGIA  Y CANALIZACION ",IF(O23=CURSOS!$D$20,"OPERADOR DE VEHICULOS DE EMERGENCIA (OVE)",IF(O23=CURSOS!$D$21,"INSTITUCIONES AMIGAS DE LA MUJER Y LA INFANCIA (IAMI)",IF(O23=CURSOS!$D$22,"CUIDADO DEL DONANTE DE ORGANOS",IF(O23=CURSOS!$D$23,"ATENCION A VICTIMAS POR VIOLENCIA DE GENERO",IF(O23=CURSOS!$D$24,"IGUALDAD DE GENERO EN LA SALUD",IF(O23=CURSOS!$D$25,"BRIGADA DE EMERGENCIA",IF(O23=CURSOS!$D$26,"MANEJO DEL DOLOR Y CUIDADOS PALIATIVOS",IF(O23=CURSOS!$D$27,"TOMA DE MUESTRAS Y LABORATORIO POCT",IF(O23=CURSOS!$D$28,"IMPLANTE SUBDERMICO DE DISPOSITIVO INTRAUTERINO",IF(O23=CURSOS!$D$29,"SALUD MENTAL",IF(O23=CURSOS!$D$30,"PRIMEROS AUXILIOS PSICOLOGICOS",IF(O23=CURSOS!$D$31,"ATENCION A VICTIMAS POR CONFLICTO ARMADO",IF(O23=CURSOS!$D$32,"MANIPULACION DE ALIMENTOS Y BPM",IF(O23=CURSOS!$D$33,"ATENCION A PERSONAS CON DISCAPACIDAD",IF(O23=CURSOS!$D$34,"CUIDADO INTEGRAL DEL PACIENTE ADULTO",IF(O23=CURSOS!$D$35,"MANEJO DEFENSIVO",IF(O23=CURSOS!$D$36,"SOPORTE CARDIOVASCULAR AVANZADO NEONATAL",IF(O23=CURSOS!$D$37,"SEGURIDAD DEL PACIENTE",IF(O23=CURSOS!$D$38,"MANEJO Y USO DEL DEA",IF(O23=CURSOS!$D$39,"TRIAGE")))))))))))))))))))))))))))))))))))))</f>
        <v>ACOMPAÑAMIENTO Y MANEJO DEL DUELO</v>
      </c>
      <c r="V23" s="105" t="str">
        <f t="shared" si="2"/>
        <v>Claudia Milena Riascos Pantoja</v>
      </c>
      <c r="W23" s="105" t="str">
        <f t="shared" si="3"/>
        <v>Claudia Milena Riascos Pantoja</v>
      </c>
      <c r="X23" s="105" t="str">
        <f t="shared" si="4"/>
        <v>Claudia Milena Riascos Pantoja-1004631974-DUELO</v>
      </c>
    </row>
    <row r="24" spans="1:24" x14ac:dyDescent="0.2">
      <c r="A24" s="103">
        <v>23</v>
      </c>
      <c r="B24" s="105">
        <v>1004631974</v>
      </c>
      <c r="C24" s="105" t="s">
        <v>145</v>
      </c>
      <c r="D24" s="105" t="s">
        <v>119</v>
      </c>
      <c r="E24" s="105" t="s">
        <v>146</v>
      </c>
      <c r="F24" s="105" t="s">
        <v>147</v>
      </c>
      <c r="G24" s="106">
        <v>5</v>
      </c>
      <c r="H24" s="106" t="s">
        <v>99</v>
      </c>
      <c r="I24" s="106" t="s">
        <v>409</v>
      </c>
      <c r="J24" s="107">
        <v>45546</v>
      </c>
      <c r="K24" s="88">
        <v>56000</v>
      </c>
      <c r="L24" s="106" t="s">
        <v>103</v>
      </c>
      <c r="M24" s="106" t="s">
        <v>85</v>
      </c>
      <c r="N24" s="106" t="s">
        <v>98</v>
      </c>
      <c r="O24" s="108" t="s">
        <v>41</v>
      </c>
      <c r="P24" s="109">
        <v>37878</v>
      </c>
      <c r="Q24" s="106" t="s">
        <v>110</v>
      </c>
      <c r="R24" s="105" t="s">
        <v>123</v>
      </c>
      <c r="S24" s="105">
        <v>3225460871</v>
      </c>
      <c r="T24" s="105" t="s">
        <v>148</v>
      </c>
      <c r="U24" s="105" t="str">
        <f>IF(O24=CURSOS!$D$3,"DIPLOMADO EN ATENCION PRE-HOSPITALARIA",IF(O24=CURSOS!$D$4,"ACOMPAÑAMIENTO Y MANEJO DEL DUELO",IF(O24=CURSOS!$D$5,"ATENCION A VICTIMAS DE ATAQUE CON AGENTES QUIMICOS ",IF(O24=CURSOS!$D$6,"PRIMEROS AUXILIOS ",IF(O24=CURSOS!$D$7,"DIPLOMADO DE UNIDAD DE CUIDADOS INTENSIVOS (UCI)",IF(O24=CURSOS!$D$8,"MODELO DE ATENCION PARA EVENTOS EMERGENTES EN SALUD MENTAL (CODIGO VERDE)",IF(O24=CURSOS!$D$9,"HUMANIZACION EN EL SERVICIO DE LA SALUD Y BUENAS PRACTICAS EN PACIENTE ",IF(O24=CURSOS!$D$10,"CLINICA DE HERIDAS ",IF(O24=CURSOS!$D$11,"TOMA DE CITOLOGIA CERVICO VAGINAL ",IF(O24=CURSOS!$D$12,"SOPORTE CARDIOVASCULAR AVANZADO (ACLS) ",IF(O24=CURSOS!$D$13,"CAMILLERO ",IF(O24=CURSOS!$D$14,"TOMA DE MUESTRAS Y LABORATORIO ",IF(O24=CURSOS!$D$15,"SOPORTE VITAL BASICO (BLS)",IF(O24=CURSOS!$D$16,"ATENCION A VICTIMAS DE VIOLENCIA SEXUAL ",IF(O24=CURSOS!$D$17,"PROGRAMADO AMPLIADO DE INMUNIZACION (PAI - COVID 19)",IF(O24=CURSOS!$D$18,"ATENCION INTEGRAL EN ENFERMEDADES PREVALENTES EN PRIMERA INFANCIA (AIEPI)",IF(O24=CURSOS!$D$19,"ADMINISTRACION DE MEDICAMENTOS, INYECTOLOGIA  Y CANALIZACION ",IF(O24=CURSOS!$D$20,"OPERADOR DE VEHICULOS DE EMERGENCIA (OVE)",IF(O24=CURSOS!$D$21,"INSTITUCIONES AMIGAS DE LA MUJER Y LA INFANCIA (IAMI)",IF(O24=CURSOS!$D$22,"CUIDADO DEL DONANTE DE ORGANOS",IF(O24=CURSOS!$D$23,"ATENCION A VICTIMAS POR VIOLENCIA DE GENERO",IF(O24=CURSOS!$D$24,"IGUALDAD DE GENERO EN LA SALUD",IF(O24=CURSOS!$D$25,"BRIGADA DE EMERGENCIA",IF(O24=CURSOS!$D$26,"MANEJO DEL DOLOR Y CUIDADOS PALIATIVOS",IF(O24=CURSOS!$D$27,"TOMA DE MUESTRAS Y LABORATORIO POCT",IF(O24=CURSOS!$D$28,"IMPLANTE SUBDERMICO DE DISPOSITIVO INTRAUTERINO",IF(O24=CURSOS!$D$29,"SALUD MENTAL",IF(O24=CURSOS!$D$30,"PRIMEROS AUXILIOS PSICOLOGICOS",IF(O24=CURSOS!$D$31,"ATENCION A VICTIMAS POR CONFLICTO ARMADO",IF(O24=CURSOS!$D$32,"MANIPULACION DE ALIMENTOS Y BPM",IF(O24=CURSOS!$D$33,"ATENCION A PERSONAS CON DISCAPACIDAD",IF(O24=CURSOS!$D$34,"CUIDADO INTEGRAL DEL PACIENTE ADULTO",IF(O24=CURSOS!$D$35,"MANEJO DEFENSIVO",IF(O24=CURSOS!$D$36,"SOPORTE CARDIOVASCULAR AVANZADO NEONATAL",IF(O24=CURSOS!$D$37,"SEGURIDAD DEL PACIENTE",IF(O24=CURSOS!$D$38,"MANEJO Y USO DEL DEA",IF(O24=CURSOS!$D$39,"TRIAGE")))))))))))))))))))))))))))))))))))))</f>
        <v xml:space="preserve">TOMA DE MUESTRAS Y LABORATORIO </v>
      </c>
      <c r="V24" s="105" t="str">
        <f t="shared" si="2"/>
        <v>Claudia Milena Riascos Pantoja</v>
      </c>
      <c r="W24" s="105" t="str">
        <f t="shared" si="3"/>
        <v>Claudia Milena Riascos Pantoja</v>
      </c>
      <c r="X24" s="105" t="str">
        <f t="shared" si="4"/>
        <v>Claudia Milena Riascos Pantoja-1004631974-TOMA DE MUESTRAS</v>
      </c>
    </row>
    <row r="25" spans="1:24" x14ac:dyDescent="0.2">
      <c r="A25" s="103">
        <v>24</v>
      </c>
      <c r="B25" s="105">
        <v>87712871</v>
      </c>
      <c r="C25" s="105" t="s">
        <v>149</v>
      </c>
      <c r="D25" s="105" t="s">
        <v>150</v>
      </c>
      <c r="E25" s="105" t="s">
        <v>151</v>
      </c>
      <c r="F25" s="105" t="s">
        <v>152</v>
      </c>
      <c r="G25" s="106">
        <v>4</v>
      </c>
      <c r="H25" s="106" t="s">
        <v>99</v>
      </c>
      <c r="I25" s="106" t="s">
        <v>408</v>
      </c>
      <c r="J25" s="107">
        <v>45538</v>
      </c>
      <c r="K25" s="88">
        <v>37666</v>
      </c>
      <c r="L25" s="107" t="s">
        <v>103</v>
      </c>
      <c r="M25" s="106" t="s">
        <v>85</v>
      </c>
      <c r="N25" s="106" t="s">
        <v>98</v>
      </c>
      <c r="O25" s="108" t="s">
        <v>43</v>
      </c>
      <c r="P25" s="109">
        <v>25359</v>
      </c>
      <c r="Q25" s="106" t="s">
        <v>104</v>
      </c>
      <c r="R25" s="105" t="s">
        <v>123</v>
      </c>
      <c r="S25" s="105">
        <v>3174824479</v>
      </c>
      <c r="T25" s="105" t="s">
        <v>153</v>
      </c>
      <c r="U25" s="105" t="str">
        <f>IF(O25=CURSOS!$D$3,"DIPLOMADO EN ATENCION PRE-HOSPITALARIA",IF(O25=CURSOS!$D$4,"ACOMPAÑAMIENTO Y MANEJO DEL DUELO",IF(O25=CURSOS!$D$5,"ATENCION A VICTIMAS DE ATAQUE CON AGENTES QUIMICOS ",IF(O25=CURSOS!$D$6,"PRIMEROS AUXILIOS ",IF(O25=CURSOS!$D$7,"DIPLOMADO DE UNIDAD DE CUIDADOS INTENSIVOS (UCI)",IF(O25=CURSOS!$D$8,"MODELO DE ATENCION PARA EVENTOS EMERGENTES EN SALUD MENTAL (CODIGO VERDE)",IF(O25=CURSOS!$D$9,"HUMANIZACION EN EL SERVICIO DE LA SALUD Y BUENAS PRACTICAS EN PACIENTE ",IF(O25=CURSOS!$D$10,"CLINICA DE HERIDAS ",IF(O25=CURSOS!$D$11,"TOMA DE CITOLOGIA CERVICO VAGINAL ",IF(O25=CURSOS!$D$12,"SOPORTE CARDIOVASCULAR AVANZADO (ACLS) ",IF(O25=CURSOS!$D$13,"CAMILLERO ",IF(O25=CURSOS!$D$14,"TOMA DE MUESTRAS Y LABORATORIO ",IF(O25=CURSOS!$D$15,"SOPORTE VITAL BASICO (BLS)",IF(O25=CURSOS!$D$16,"ATENCION A VICTIMAS DE VIOLENCIA SEXUAL ",IF(O25=CURSOS!$D$17,"PROGRAMADO AMPLIADO DE INMUNIZACION (PAI - COVID 19)",IF(O25=CURSOS!$D$18,"ATENCION INTEGRAL EN ENFERMEDADES PREVALENTES EN PRIMERA INFANCIA (AIEPI)",IF(O25=CURSOS!$D$19,"ADMINISTRACION DE MEDICAMENTOS, INYECTOLOGIA  Y CANALIZACION ",IF(O25=CURSOS!$D$20,"OPERADOR DE VEHICULOS DE EMERGENCIA (OVE)",IF(O25=CURSOS!$D$21,"INSTITUCIONES AMIGAS DE LA MUJER Y LA INFANCIA (IAMI)",IF(O25=CURSOS!$D$22,"CUIDADO DEL DONANTE DE ORGANOS",IF(O25=CURSOS!$D$23,"ATENCION A VICTIMAS POR VIOLENCIA DE GENERO",IF(O25=CURSOS!$D$24,"IGUALDAD DE GENERO EN LA SALUD",IF(O25=CURSOS!$D$25,"BRIGADA DE EMERGENCIA",IF(O25=CURSOS!$D$26,"MANEJO DEL DOLOR Y CUIDADOS PALIATIVOS",IF(O25=CURSOS!$D$27,"TOMA DE MUESTRAS Y LABORATORIO POCT",IF(O25=CURSOS!$D$28,"IMPLANTE SUBDERMICO DE DISPOSITIVO INTRAUTERINO",IF(O25=CURSOS!$D$29,"SALUD MENTAL",IF(O25=CURSOS!$D$30,"PRIMEROS AUXILIOS PSICOLOGICOS",IF(O25=CURSOS!$D$31,"ATENCION A VICTIMAS POR CONFLICTO ARMADO",IF(O25=CURSOS!$D$32,"MANIPULACION DE ALIMENTOS Y BPM",IF(O25=CURSOS!$D$33,"ATENCION A PERSONAS CON DISCAPACIDAD",IF(O25=CURSOS!$D$34,"CUIDADO INTEGRAL DEL PACIENTE ADULTO",IF(O25=CURSOS!$D$35,"MANEJO DEFENSIVO",IF(O25=CURSOS!$D$36,"SOPORTE CARDIOVASCULAR AVANZADO NEONATAL",IF(O25=CURSOS!$D$37,"SEGURIDAD DEL PACIENTE",IF(O25=CURSOS!$D$38,"MANEJO Y USO DEL DEA",IF(O25=CURSOS!$D$39,"TRIAGE")))))))))))))))))))))))))))))))))))))</f>
        <v xml:space="preserve">ATENCION A VICTIMAS DE VIOLENCIA SEXUAL </v>
      </c>
      <c r="V25" s="105" t="str">
        <f t="shared" si="2"/>
        <v>Carlos Humberto Figueredo Ladino</v>
      </c>
      <c r="W25" s="105" t="str">
        <f t="shared" si="3"/>
        <v>Carlos Humberto Figueredo Ladino</v>
      </c>
      <c r="X25" s="105" t="str">
        <f t="shared" si="4"/>
        <v>Carlos Humberto Figueredo Ladino-87712871-VIOLENCIA SEXUAL</v>
      </c>
    </row>
    <row r="26" spans="1:24" x14ac:dyDescent="0.2">
      <c r="A26" s="103">
        <v>25</v>
      </c>
      <c r="B26" s="105">
        <v>87712871</v>
      </c>
      <c r="C26" s="105" t="s">
        <v>149</v>
      </c>
      <c r="D26" s="105" t="s">
        <v>150</v>
      </c>
      <c r="E26" s="105" t="s">
        <v>151</v>
      </c>
      <c r="F26" s="105" t="s">
        <v>152</v>
      </c>
      <c r="G26" s="106">
        <v>5</v>
      </c>
      <c r="H26" s="106" t="s">
        <v>99</v>
      </c>
      <c r="I26" s="106" t="s">
        <v>408</v>
      </c>
      <c r="J26" s="107">
        <v>45538</v>
      </c>
      <c r="K26" s="88">
        <v>37666</v>
      </c>
      <c r="L26" s="106" t="s">
        <v>103</v>
      </c>
      <c r="M26" s="106" t="s">
        <v>85</v>
      </c>
      <c r="N26" s="106" t="s">
        <v>98</v>
      </c>
      <c r="O26" s="108" t="s">
        <v>25</v>
      </c>
      <c r="P26" s="109">
        <v>25359</v>
      </c>
      <c r="Q26" s="106" t="s">
        <v>104</v>
      </c>
      <c r="R26" s="105" t="s">
        <v>123</v>
      </c>
      <c r="S26" s="105">
        <v>3174824479</v>
      </c>
      <c r="T26" s="105" t="s">
        <v>153</v>
      </c>
      <c r="U26" s="105" t="str">
        <f>IF(O26=CURSOS!$D$3,"DIPLOMADO EN ATENCION PRE-HOSPITALARIA",IF(O26=CURSOS!$D$4,"ACOMPAÑAMIENTO Y MANEJO DEL DUELO",IF(O26=CURSOS!$D$5,"ATENCION A VICTIMAS DE ATAQUE CON AGENTES QUIMICOS ",IF(O26=CURSOS!$D$6,"PRIMEROS AUXILIOS ",IF(O26=CURSOS!$D$7,"DIPLOMADO DE UNIDAD DE CUIDADOS INTENSIVOS (UCI)",IF(O26=CURSOS!$D$8,"MODELO DE ATENCION PARA EVENTOS EMERGENTES EN SALUD MENTAL (CODIGO VERDE)",IF(O26=CURSOS!$D$9,"HUMANIZACION EN EL SERVICIO DE LA SALUD Y BUENAS PRACTICAS EN PACIENTE ",IF(O26=CURSOS!$D$10,"CLINICA DE HERIDAS ",IF(O26=CURSOS!$D$11,"TOMA DE CITOLOGIA CERVICO VAGINAL ",IF(O26=CURSOS!$D$12,"SOPORTE CARDIOVASCULAR AVANZADO (ACLS) ",IF(O26=CURSOS!$D$13,"CAMILLERO ",IF(O26=CURSOS!$D$14,"TOMA DE MUESTRAS Y LABORATORIO ",IF(O26=CURSOS!$D$15,"SOPORTE VITAL BASICO (BLS)",IF(O26=CURSOS!$D$16,"ATENCION A VICTIMAS DE VIOLENCIA SEXUAL ",IF(O26=CURSOS!$D$17,"PROGRAMADO AMPLIADO DE INMUNIZACION (PAI - COVID 19)",IF(O26=CURSOS!$D$18,"ATENCION INTEGRAL EN ENFERMEDADES PREVALENTES EN PRIMERA INFANCIA (AIEPI)",IF(O26=CURSOS!$D$19,"ADMINISTRACION DE MEDICAMENTOS, INYECTOLOGIA  Y CANALIZACION ",IF(O26=CURSOS!$D$20,"OPERADOR DE VEHICULOS DE EMERGENCIA (OVE)",IF(O26=CURSOS!$D$21,"INSTITUCIONES AMIGAS DE LA MUJER Y LA INFANCIA (IAMI)",IF(O26=CURSOS!$D$22,"CUIDADO DEL DONANTE DE ORGANOS",IF(O26=CURSOS!$D$23,"ATENCION A VICTIMAS POR VIOLENCIA DE GENERO",IF(O26=CURSOS!$D$24,"IGUALDAD DE GENERO EN LA SALUD",IF(O26=CURSOS!$D$25,"BRIGADA DE EMERGENCIA",IF(O26=CURSOS!$D$26,"MANEJO DEL DOLOR Y CUIDADOS PALIATIVOS",IF(O26=CURSOS!$D$27,"TOMA DE MUESTRAS Y LABORATORIO POCT",IF(O26=CURSOS!$D$28,"IMPLANTE SUBDERMICO DE DISPOSITIVO INTRAUTERINO",IF(O26=CURSOS!$D$29,"SALUD MENTAL",IF(O26=CURSOS!$D$30,"PRIMEROS AUXILIOS PSICOLOGICOS",IF(O26=CURSOS!$D$31,"ATENCION A VICTIMAS POR CONFLICTO ARMADO",IF(O26=CURSOS!$D$32,"MANIPULACION DE ALIMENTOS Y BPM",IF(O26=CURSOS!$D$33,"ATENCION A PERSONAS CON DISCAPACIDAD",IF(O26=CURSOS!$D$34,"CUIDADO INTEGRAL DEL PACIENTE ADULTO",IF(O26=CURSOS!$D$35,"MANEJO DEFENSIVO",IF(O26=CURSOS!$D$36,"SOPORTE CARDIOVASCULAR AVANZADO NEONATAL",IF(O26=CURSOS!$D$37,"SEGURIDAD DEL PACIENTE",IF(O26=CURSOS!$D$38,"MANEJO Y USO DEL DEA",IF(O26=CURSOS!$D$39,"TRIAGE")))))))))))))))))))))))))))))))))))))</f>
        <v xml:space="preserve">ATENCION A VICTIMAS DE ATAQUE CON AGENTES QUIMICOS </v>
      </c>
      <c r="V26" s="105" t="str">
        <f t="shared" si="2"/>
        <v>Carlos Humberto Figueredo Ladino</v>
      </c>
      <c r="W26" s="105" t="str">
        <f t="shared" si="3"/>
        <v>Carlos Humberto Figueredo Ladino</v>
      </c>
      <c r="X26" s="105" t="str">
        <f t="shared" si="4"/>
        <v>Carlos Humberto Figueredo Ladino-87712871-QUIMICOS</v>
      </c>
    </row>
    <row r="27" spans="1:24" x14ac:dyDescent="0.2">
      <c r="A27" s="103">
        <v>26</v>
      </c>
      <c r="B27" s="105">
        <v>87712871</v>
      </c>
      <c r="C27" s="105" t="s">
        <v>149</v>
      </c>
      <c r="D27" s="105" t="s">
        <v>150</v>
      </c>
      <c r="E27" s="105" t="s">
        <v>151</v>
      </c>
      <c r="F27" s="105" t="s">
        <v>152</v>
      </c>
      <c r="G27" s="106">
        <v>6</v>
      </c>
      <c r="H27" s="106" t="s">
        <v>99</v>
      </c>
      <c r="I27" s="106" t="s">
        <v>408</v>
      </c>
      <c r="J27" s="107">
        <v>45538</v>
      </c>
      <c r="K27" s="88">
        <v>37666</v>
      </c>
      <c r="L27" s="106" t="s">
        <v>103</v>
      </c>
      <c r="M27" s="106" t="s">
        <v>85</v>
      </c>
      <c r="N27" s="106" t="s">
        <v>98</v>
      </c>
      <c r="O27" s="108" t="s">
        <v>33</v>
      </c>
      <c r="P27" s="109">
        <v>25359</v>
      </c>
      <c r="Q27" s="106" t="s">
        <v>104</v>
      </c>
      <c r="R27" s="105" t="s">
        <v>123</v>
      </c>
      <c r="S27" s="105">
        <v>3174824479</v>
      </c>
      <c r="T27" s="105" t="s">
        <v>153</v>
      </c>
      <c r="U27" s="105" t="str">
        <f>IF(O27=CURSOS!$D$3,"DIPLOMADO EN ATENCION PRE-HOSPITALARIA",IF(O27=CURSOS!$D$4,"ACOMPAÑAMIENTO Y MANEJO DEL DUELO",IF(O27=CURSOS!$D$5,"ATENCION A VICTIMAS DE ATAQUE CON AGENTES QUIMICOS ",IF(O27=CURSOS!$D$6,"PRIMEROS AUXILIOS ",IF(O27=CURSOS!$D$7,"DIPLOMADO DE UNIDAD DE CUIDADOS INTENSIVOS (UCI)",IF(O27=CURSOS!$D$8,"MODELO DE ATENCION PARA EVENTOS EMERGENTES EN SALUD MENTAL (CODIGO VERDE)",IF(O27=CURSOS!$D$9,"HUMANIZACION EN EL SERVICIO DE LA SALUD Y BUENAS PRACTICAS EN PACIENTE ",IF(O27=CURSOS!$D$10,"CLINICA DE HERIDAS ",IF(O27=CURSOS!$D$11,"TOMA DE CITOLOGIA CERVICO VAGINAL ",IF(O27=CURSOS!$D$12,"SOPORTE CARDIOVASCULAR AVANZADO (ACLS) ",IF(O27=CURSOS!$D$13,"CAMILLERO ",IF(O27=CURSOS!$D$14,"TOMA DE MUESTRAS Y LABORATORIO ",IF(O27=CURSOS!$D$15,"SOPORTE VITAL BASICO (BLS)",IF(O27=CURSOS!$D$16,"ATENCION A VICTIMAS DE VIOLENCIA SEXUAL ",IF(O27=CURSOS!$D$17,"PROGRAMADO AMPLIADO DE INMUNIZACION (PAI - COVID 19)",IF(O27=CURSOS!$D$18,"ATENCION INTEGRAL EN ENFERMEDADES PREVALENTES EN PRIMERA INFANCIA (AIEPI)",IF(O27=CURSOS!$D$19,"ADMINISTRACION DE MEDICAMENTOS, INYECTOLOGIA  Y CANALIZACION ",IF(O27=CURSOS!$D$20,"OPERADOR DE VEHICULOS DE EMERGENCIA (OVE)",IF(O27=CURSOS!$D$21,"INSTITUCIONES AMIGAS DE LA MUJER Y LA INFANCIA (IAMI)",IF(O27=CURSOS!$D$22,"CUIDADO DEL DONANTE DE ORGANOS",IF(O27=CURSOS!$D$23,"ATENCION A VICTIMAS POR VIOLENCIA DE GENERO",IF(O27=CURSOS!$D$24,"IGUALDAD DE GENERO EN LA SALUD",IF(O27=CURSOS!$D$25,"BRIGADA DE EMERGENCIA",IF(O27=CURSOS!$D$26,"MANEJO DEL DOLOR Y CUIDADOS PALIATIVOS",IF(O27=CURSOS!$D$27,"TOMA DE MUESTRAS Y LABORATORIO POCT",IF(O27=CURSOS!$D$28,"IMPLANTE SUBDERMICO DE DISPOSITIVO INTRAUTERINO",IF(O27=CURSOS!$D$29,"SALUD MENTAL",IF(O27=CURSOS!$D$30,"PRIMEROS AUXILIOS PSICOLOGICOS",IF(O27=CURSOS!$D$31,"ATENCION A VICTIMAS POR CONFLICTO ARMADO",IF(O27=CURSOS!$D$32,"MANIPULACION DE ALIMENTOS Y BPM",IF(O27=CURSOS!$D$33,"ATENCION A PERSONAS CON DISCAPACIDAD",IF(O27=CURSOS!$D$34,"CUIDADO INTEGRAL DEL PACIENTE ADULTO",IF(O27=CURSOS!$D$35,"MANEJO DEFENSIVO",IF(O27=CURSOS!$D$36,"SOPORTE CARDIOVASCULAR AVANZADO NEONATAL",IF(O27=CURSOS!$D$37,"SEGURIDAD DEL PACIENTE",IF(O27=CURSOS!$D$38,"MANEJO Y USO DEL DEA",IF(O27=CURSOS!$D$39,"TRIAGE")))))))))))))))))))))))))))))))))))))</f>
        <v xml:space="preserve">HUMANIZACION EN EL SERVICIO DE LA SALUD Y BUENAS PRACTICAS EN PACIENTE </v>
      </c>
      <c r="V27" s="105" t="str">
        <f t="shared" si="2"/>
        <v>Carlos Humberto Figueredo Ladino</v>
      </c>
      <c r="W27" s="105" t="str">
        <f t="shared" si="3"/>
        <v>Carlos Humberto Figueredo Ladino</v>
      </c>
      <c r="X27" s="105" t="str">
        <f t="shared" si="4"/>
        <v>Carlos Humberto Figueredo Ladino-87712871-HUMANIZACION</v>
      </c>
    </row>
    <row r="28" spans="1:24" hidden="1" x14ac:dyDescent="0.2">
      <c r="A28" s="103">
        <v>27</v>
      </c>
      <c r="B28" s="105">
        <v>87712871</v>
      </c>
      <c r="C28" s="105" t="s">
        <v>149</v>
      </c>
      <c r="D28" s="105" t="s">
        <v>150</v>
      </c>
      <c r="E28" s="105" t="s">
        <v>151</v>
      </c>
      <c r="F28" s="105" t="s">
        <v>152</v>
      </c>
      <c r="G28" s="106">
        <v>4</v>
      </c>
      <c r="H28" s="106" t="s">
        <v>99</v>
      </c>
      <c r="I28" s="106" t="s">
        <v>409</v>
      </c>
      <c r="J28" s="107">
        <v>45548</v>
      </c>
      <c r="K28" s="88">
        <v>56000</v>
      </c>
      <c r="L28" s="106" t="s">
        <v>138</v>
      </c>
      <c r="M28" s="106" t="s">
        <v>85</v>
      </c>
      <c r="N28" s="106" t="s">
        <v>98</v>
      </c>
      <c r="O28" s="108" t="s">
        <v>23</v>
      </c>
      <c r="P28" s="109">
        <v>25359</v>
      </c>
      <c r="Q28" s="106" t="s">
        <v>104</v>
      </c>
      <c r="R28" s="105" t="s">
        <v>123</v>
      </c>
      <c r="S28" s="105">
        <v>3174824479</v>
      </c>
      <c r="T28" s="111" t="s">
        <v>153</v>
      </c>
      <c r="U28" s="105" t="str">
        <f>IF(O28=CURSOS!$D$3,"DIPLOMADO EN ATENCION PRE-HOSPITALARIA",IF(O28=CURSOS!$D$4,"ACOMPAÑAMIENTO Y MANEJO DEL DUELO",IF(O28=CURSOS!$D$5,"ATENCION A VICTIMAS DE ATAQUE CON AGENTES QUIMICOS ",IF(O28=CURSOS!$D$6,"PRIMEROS AUXILIOS ",IF(O28=CURSOS!$D$7,"DIPLOMADO DE UNIDAD DE CUIDADOS INTENSIVOS (UCI)",IF(O28=CURSOS!$D$8,"MODELO DE ATENCION PARA EVENTOS EMERGENTES EN SALUD MENTAL (CODIGO VERDE)",IF(O28=CURSOS!$D$9,"HUMANIZACION EN EL SERVICIO DE LA SALUD Y BUENAS PRACTICAS EN PACIENTE ",IF(O28=CURSOS!$D$10,"CLINICA DE HERIDAS ",IF(O28=CURSOS!$D$11,"TOMA DE CITOLOGIA CERVICO VAGINAL ",IF(O28=CURSOS!$D$12,"SOPORTE CARDIOVASCULAR AVANZADO (ACLS) ",IF(O28=CURSOS!$D$13,"CAMILLERO ",IF(O28=CURSOS!$D$14,"TOMA DE MUESTRAS Y LABORATORIO ",IF(O28=CURSOS!$D$15,"SOPORTE VITAL BASICO (BLS)",IF(O28=CURSOS!$D$16,"ATENCION A VICTIMAS DE VIOLENCIA SEXUAL ",IF(O28=CURSOS!$D$17,"PROGRAMADO AMPLIADO DE INMUNIZACION (PAI - COVID 19)",IF(O28=CURSOS!$D$18,"ATENCION INTEGRAL EN ENFERMEDADES PREVALENTES EN PRIMERA INFANCIA (AIEPI)",IF(O28=CURSOS!$D$19,"ADMINISTRACION DE MEDICAMENTOS, INYECTOLOGIA  Y CANALIZACION ",IF(O28=CURSOS!$D$20,"OPERADOR DE VEHICULOS DE EMERGENCIA (OVE)",IF(O28=CURSOS!$D$21,"INSTITUCIONES AMIGAS DE LA MUJER Y LA INFANCIA (IAMI)",IF(O28=CURSOS!$D$22,"CUIDADO DEL DONANTE DE ORGANOS",IF(O28=CURSOS!$D$23,"ATENCION A VICTIMAS POR VIOLENCIA DE GENERO",IF(O28=CURSOS!$D$24,"IGUALDAD DE GENERO EN LA SALUD",IF(O28=CURSOS!$D$25,"BRIGADA DE EMERGENCIA",IF(O28=CURSOS!$D$26,"MANEJO DEL DOLOR Y CUIDADOS PALIATIVOS",IF(O28=CURSOS!$D$27,"TOMA DE MUESTRAS Y LABORATORIO POCT",IF(O28=CURSOS!$D$28,"IMPLANTE SUBDERMICO DE DISPOSITIVO INTRAUTERINO",IF(O28=CURSOS!$D$29,"SALUD MENTAL",IF(O28=CURSOS!$D$30,"PRIMEROS AUXILIOS PSICOLOGICOS",IF(O28=CURSOS!$D$31,"ATENCION A VICTIMAS POR CONFLICTO ARMADO",IF(O28=CURSOS!$D$32,"MANIPULACION DE ALIMENTOS Y BPM",IF(O28=CURSOS!$D$33,"ATENCION A PERSONAS CON DISCAPACIDAD",IF(O28=CURSOS!$D$34,"CUIDADO INTEGRAL DEL PACIENTE ADULTO",IF(O28=CURSOS!$D$35,"MANEJO DEFENSIVO",IF(O28=CURSOS!$D$36,"SOPORTE CARDIOVASCULAR AVANZADO NEONATAL",IF(O28=CURSOS!$D$37,"SEGURIDAD DEL PACIENTE",IF(O28=CURSOS!$D$38,"MANEJO Y USO DEL DEA",IF(O28=CURSOS!$D$39,"TRIAGE")))))))))))))))))))))))))))))))))))))</f>
        <v>ACOMPAÑAMIENTO Y MANEJO DEL DUELO</v>
      </c>
      <c r="V28" s="105" t="str">
        <f t="shared" si="2"/>
        <v>Carlos Humberto Figueredo Ladino</v>
      </c>
      <c r="W28" s="105" t="str">
        <f t="shared" si="3"/>
        <v>Carlos Humberto Figueredo Ladino</v>
      </c>
      <c r="X28" s="105" t="str">
        <f t="shared" si="4"/>
        <v>Carlos Humberto Figueredo Ladino-87712871-DUELO</v>
      </c>
    </row>
    <row r="29" spans="1:24" hidden="1" x14ac:dyDescent="0.2">
      <c r="A29" s="103">
        <v>28</v>
      </c>
      <c r="B29" s="105">
        <v>87712871</v>
      </c>
      <c r="C29" s="105" t="s">
        <v>149</v>
      </c>
      <c r="D29" s="105" t="s">
        <v>150</v>
      </c>
      <c r="E29" s="105" t="s">
        <v>151</v>
      </c>
      <c r="F29" s="105" t="s">
        <v>152</v>
      </c>
      <c r="G29" s="106">
        <v>5</v>
      </c>
      <c r="H29" s="106" t="s">
        <v>99</v>
      </c>
      <c r="I29" s="106" t="s">
        <v>409</v>
      </c>
      <c r="J29" s="107">
        <v>45548</v>
      </c>
      <c r="K29" s="88">
        <v>56000</v>
      </c>
      <c r="L29" s="106" t="s">
        <v>138</v>
      </c>
      <c r="M29" s="106" t="s">
        <v>85</v>
      </c>
      <c r="N29" s="106" t="s">
        <v>98</v>
      </c>
      <c r="O29" s="108" t="s">
        <v>41</v>
      </c>
      <c r="P29" s="109">
        <v>25359</v>
      </c>
      <c r="Q29" s="106" t="s">
        <v>104</v>
      </c>
      <c r="R29" s="105" t="s">
        <v>123</v>
      </c>
      <c r="S29" s="105">
        <v>3174824479</v>
      </c>
      <c r="T29" s="111" t="s">
        <v>153</v>
      </c>
      <c r="U29" s="105" t="str">
        <f>IF(O29=CURSOS!$D$3,"DIPLOMADO EN ATENCION PRE-HOSPITALARIA",IF(O29=CURSOS!$D$4,"ACOMPAÑAMIENTO Y MANEJO DEL DUELO",IF(O29=CURSOS!$D$5,"ATENCION A VICTIMAS DE ATAQUE CON AGENTES QUIMICOS ",IF(O29=CURSOS!$D$6,"PRIMEROS AUXILIOS ",IF(O29=CURSOS!$D$7,"DIPLOMADO DE UNIDAD DE CUIDADOS INTENSIVOS (UCI)",IF(O29=CURSOS!$D$8,"MODELO DE ATENCION PARA EVENTOS EMERGENTES EN SALUD MENTAL (CODIGO VERDE)",IF(O29=CURSOS!$D$9,"HUMANIZACION EN EL SERVICIO DE LA SALUD Y BUENAS PRACTICAS EN PACIENTE ",IF(O29=CURSOS!$D$10,"CLINICA DE HERIDAS ",IF(O29=CURSOS!$D$11,"TOMA DE CITOLOGIA CERVICO VAGINAL ",IF(O29=CURSOS!$D$12,"SOPORTE CARDIOVASCULAR AVANZADO (ACLS) ",IF(O29=CURSOS!$D$13,"CAMILLERO ",IF(O29=CURSOS!$D$14,"TOMA DE MUESTRAS Y LABORATORIO ",IF(O29=CURSOS!$D$15,"SOPORTE VITAL BASICO (BLS)",IF(O29=CURSOS!$D$16,"ATENCION A VICTIMAS DE VIOLENCIA SEXUAL ",IF(O29=CURSOS!$D$17,"PROGRAMADO AMPLIADO DE INMUNIZACION (PAI - COVID 19)",IF(O29=CURSOS!$D$18,"ATENCION INTEGRAL EN ENFERMEDADES PREVALENTES EN PRIMERA INFANCIA (AIEPI)",IF(O29=CURSOS!$D$19,"ADMINISTRACION DE MEDICAMENTOS, INYECTOLOGIA  Y CANALIZACION ",IF(O29=CURSOS!$D$20,"OPERADOR DE VEHICULOS DE EMERGENCIA (OVE)",IF(O29=CURSOS!$D$21,"INSTITUCIONES AMIGAS DE LA MUJER Y LA INFANCIA (IAMI)",IF(O29=CURSOS!$D$22,"CUIDADO DEL DONANTE DE ORGANOS",IF(O29=CURSOS!$D$23,"ATENCION A VICTIMAS POR VIOLENCIA DE GENERO",IF(O29=CURSOS!$D$24,"IGUALDAD DE GENERO EN LA SALUD",IF(O29=CURSOS!$D$25,"BRIGADA DE EMERGENCIA",IF(O29=CURSOS!$D$26,"MANEJO DEL DOLOR Y CUIDADOS PALIATIVOS",IF(O29=CURSOS!$D$27,"TOMA DE MUESTRAS Y LABORATORIO POCT",IF(O29=CURSOS!$D$28,"IMPLANTE SUBDERMICO DE DISPOSITIVO INTRAUTERINO",IF(O29=CURSOS!$D$29,"SALUD MENTAL",IF(O29=CURSOS!$D$30,"PRIMEROS AUXILIOS PSICOLOGICOS",IF(O29=CURSOS!$D$31,"ATENCION A VICTIMAS POR CONFLICTO ARMADO",IF(O29=CURSOS!$D$32,"MANIPULACION DE ALIMENTOS Y BPM",IF(O29=CURSOS!$D$33,"ATENCION A PERSONAS CON DISCAPACIDAD",IF(O29=CURSOS!$D$34,"CUIDADO INTEGRAL DEL PACIENTE ADULTO",IF(O29=CURSOS!$D$35,"MANEJO DEFENSIVO",IF(O29=CURSOS!$D$36,"SOPORTE CARDIOVASCULAR AVANZADO NEONATAL",IF(O29=CURSOS!$D$37,"SEGURIDAD DEL PACIENTE",IF(O29=CURSOS!$D$38,"MANEJO Y USO DEL DEA",IF(O29=CURSOS!$D$39,"TRIAGE")))))))))))))))))))))))))))))))))))))</f>
        <v xml:space="preserve">TOMA DE MUESTRAS Y LABORATORIO </v>
      </c>
      <c r="V29" s="105" t="str">
        <f t="shared" si="2"/>
        <v>Carlos Humberto Figueredo Ladino</v>
      </c>
      <c r="W29" s="105" t="str">
        <f t="shared" si="3"/>
        <v>Carlos Humberto Figueredo Ladino</v>
      </c>
      <c r="X29" s="105" t="str">
        <f t="shared" si="4"/>
        <v>Carlos Humberto Figueredo Ladino-87712871-TOMA DE MUESTRAS</v>
      </c>
    </row>
    <row r="30" spans="1:24" x14ac:dyDescent="0.2">
      <c r="A30" s="103">
        <v>29</v>
      </c>
      <c r="B30" s="105">
        <v>1086107419</v>
      </c>
      <c r="C30" s="105" t="s">
        <v>156</v>
      </c>
      <c r="D30" s="105" t="s">
        <v>157</v>
      </c>
      <c r="E30" s="105" t="s">
        <v>158</v>
      </c>
      <c r="F30" s="105" t="s">
        <v>159</v>
      </c>
      <c r="G30" s="106">
        <v>4</v>
      </c>
      <c r="H30" s="106" t="s">
        <v>99</v>
      </c>
      <c r="I30" s="106" t="s">
        <v>408</v>
      </c>
      <c r="J30" s="107">
        <v>45539</v>
      </c>
      <c r="K30" s="113">
        <v>40000</v>
      </c>
      <c r="L30" s="106" t="s">
        <v>103</v>
      </c>
      <c r="M30" s="106" t="s">
        <v>85</v>
      </c>
      <c r="N30" s="106" t="s">
        <v>98</v>
      </c>
      <c r="O30" s="108" t="s">
        <v>48</v>
      </c>
      <c r="P30" s="109">
        <v>35779</v>
      </c>
      <c r="Q30" s="106" t="s">
        <v>110</v>
      </c>
      <c r="R30" s="105" t="s">
        <v>123</v>
      </c>
      <c r="S30" s="105">
        <v>3145956724</v>
      </c>
      <c r="T30" s="105" t="s">
        <v>160</v>
      </c>
      <c r="U30" s="105" t="str">
        <f>IF(O30=CURSOS!$D$3,"DIPLOMADO EN ATENCION PRE-HOSPITALARIA",IF(O30=CURSOS!$D$4,"ACOMPAÑAMIENTO Y MANEJO DEL DUELO",IF(O30=CURSOS!$D$5,"ATENCION A VICTIMAS DE ATAQUE CON AGENTES QUIMICOS ",IF(O30=CURSOS!$D$6,"PRIMEROS AUXILIOS ",IF(O30=CURSOS!$D$7,"DIPLOMADO DE UNIDAD DE CUIDADOS INTENSIVOS (UCI)",IF(O30=CURSOS!$D$8,"MODELO DE ATENCION PARA EVENTOS EMERGENTES EN SALUD MENTAL (CODIGO VERDE)",IF(O30=CURSOS!$D$9,"HUMANIZACION EN EL SERVICIO DE LA SALUD Y BUENAS PRACTICAS EN PACIENTE ",IF(O30=CURSOS!$D$10,"CLINICA DE HERIDAS ",IF(O30=CURSOS!$D$11,"TOMA DE CITOLOGIA CERVICO VAGINAL ",IF(O30=CURSOS!$D$12,"SOPORTE CARDIOVASCULAR AVANZADO (ACLS) ",IF(O30=CURSOS!$D$13,"CAMILLERO ",IF(O30=CURSOS!$D$14,"TOMA DE MUESTRAS Y LABORATORIO ",IF(O30=CURSOS!$D$15,"SOPORTE VITAL BASICO (BLS)",IF(O30=CURSOS!$D$16,"ATENCION A VICTIMAS DE VIOLENCIA SEXUAL ",IF(O30=CURSOS!$D$17,"PROGRAMADO AMPLIADO DE INMUNIZACION (PAI - COVID 19)",IF(O30=CURSOS!$D$18,"ATENCION INTEGRAL EN ENFERMEDADES PREVALENTES EN PRIMERA INFANCIA (AIEPI)",IF(O30=CURSOS!$D$19,"ADMINISTRACION DE MEDICAMENTOS, INYECTOLOGIA  Y CANALIZACION ",IF(O30=CURSOS!$D$20,"OPERADOR DE VEHICULOS DE EMERGENCIA (OVE)",IF(O30=CURSOS!$D$21,"INSTITUCIONES AMIGAS DE LA MUJER Y LA INFANCIA (IAMI)",IF(O30=CURSOS!$D$22,"CUIDADO DEL DONANTE DE ORGANOS",IF(O30=CURSOS!$D$23,"ATENCION A VICTIMAS POR VIOLENCIA DE GENERO",IF(O30=CURSOS!$D$24,"IGUALDAD DE GENERO EN LA SALUD",IF(O30=CURSOS!$D$25,"BRIGADA DE EMERGENCIA",IF(O30=CURSOS!$D$26,"MANEJO DEL DOLOR Y CUIDADOS PALIATIVOS",IF(O30=CURSOS!$D$27,"TOMA DE MUESTRAS Y LABORATORIO POCT",IF(O30=CURSOS!$D$28,"IMPLANTE SUBDERMICO DE DISPOSITIVO INTRAUTERINO",IF(O30=CURSOS!$D$29,"SALUD MENTAL",IF(O30=CURSOS!$D$30,"PRIMEROS AUXILIOS PSICOLOGICOS",IF(O30=CURSOS!$D$31,"ATENCION A VICTIMAS POR CONFLICTO ARMADO",IF(O30=CURSOS!$D$32,"MANIPULACION DE ALIMENTOS Y BPM",IF(O30=CURSOS!$D$33,"ATENCION A PERSONAS CON DISCAPACIDAD",IF(O30=CURSOS!$D$34,"CUIDADO INTEGRAL DEL PACIENTE ADULTO",IF(O30=CURSOS!$D$35,"MANEJO DEFENSIVO",IF(O30=CURSOS!$D$36,"SOPORTE CARDIOVASCULAR AVANZADO NEONATAL",IF(O30=CURSOS!$D$37,"SEGURIDAD DEL PACIENTE",IF(O30=CURSOS!$D$38,"MANEJO Y USO DEL DEA",IF(O30=CURSOS!$D$39,"TRIAGE")))))))))))))))))))))))))))))))))))))</f>
        <v xml:space="preserve">ADMINISTRACION DE MEDICAMENTOS, INYECTOLOGIA  Y CANALIZACION </v>
      </c>
      <c r="V30" s="105" t="str">
        <f t="shared" si="2"/>
        <v>Dayana Melisa Cadena Carlosama</v>
      </c>
      <c r="W30" s="105" t="str">
        <f t="shared" si="3"/>
        <v>Dayana Melisa Cadena Carlosama</v>
      </c>
      <c r="X30" s="105" t="str">
        <f t="shared" si="4"/>
        <v>Dayana Melisa Cadena Carlosama-1086107419-ADMON DE MEDICAMENTOS</v>
      </c>
    </row>
    <row r="31" spans="1:24" x14ac:dyDescent="0.2">
      <c r="A31" s="103">
        <v>30</v>
      </c>
      <c r="B31" s="105">
        <v>1085323518</v>
      </c>
      <c r="C31" s="105" t="s">
        <v>161</v>
      </c>
      <c r="D31" s="105" t="s">
        <v>162</v>
      </c>
      <c r="E31" s="105" t="s">
        <v>151</v>
      </c>
      <c r="F31" s="105" t="s">
        <v>163</v>
      </c>
      <c r="G31" s="106">
        <v>4</v>
      </c>
      <c r="H31" s="106" t="s">
        <v>99</v>
      </c>
      <c r="I31" s="106" t="s">
        <v>408</v>
      </c>
      <c r="J31" s="107">
        <v>45539</v>
      </c>
      <c r="K31" s="113">
        <v>34000</v>
      </c>
      <c r="L31" s="106" t="s">
        <v>103</v>
      </c>
      <c r="M31" s="106" t="s">
        <v>85</v>
      </c>
      <c r="N31" s="106" t="s">
        <v>98</v>
      </c>
      <c r="O31" s="108" t="s">
        <v>43</v>
      </c>
      <c r="P31" s="109">
        <v>34964</v>
      </c>
      <c r="Q31" s="106" t="s">
        <v>104</v>
      </c>
      <c r="R31" s="105" t="s">
        <v>116</v>
      </c>
      <c r="S31" s="105">
        <v>3153123933</v>
      </c>
      <c r="T31" s="105" t="s">
        <v>164</v>
      </c>
      <c r="U31" s="105" t="str">
        <f>IF(O31=CURSOS!$D$3,"DIPLOMADO EN ATENCION PRE-HOSPITALARIA",IF(O31=CURSOS!$D$4,"ACOMPAÑAMIENTO Y MANEJO DEL DUELO",IF(O31=CURSOS!$D$5,"ATENCION A VICTIMAS DE ATAQUE CON AGENTES QUIMICOS ",IF(O31=CURSOS!$D$6,"PRIMEROS AUXILIOS ",IF(O31=CURSOS!$D$7,"DIPLOMADO DE UNIDAD DE CUIDADOS INTENSIVOS (UCI)",IF(O31=CURSOS!$D$8,"MODELO DE ATENCION PARA EVENTOS EMERGENTES EN SALUD MENTAL (CODIGO VERDE)",IF(O31=CURSOS!$D$9,"HUMANIZACION EN EL SERVICIO DE LA SALUD Y BUENAS PRACTICAS EN PACIENTE ",IF(O31=CURSOS!$D$10,"CLINICA DE HERIDAS ",IF(O31=CURSOS!$D$11,"TOMA DE CITOLOGIA CERVICO VAGINAL ",IF(O31=CURSOS!$D$12,"SOPORTE CARDIOVASCULAR AVANZADO (ACLS) ",IF(O31=CURSOS!$D$13,"CAMILLERO ",IF(O31=CURSOS!$D$14,"TOMA DE MUESTRAS Y LABORATORIO ",IF(O31=CURSOS!$D$15,"SOPORTE VITAL BASICO (BLS)",IF(O31=CURSOS!$D$16,"ATENCION A VICTIMAS DE VIOLENCIA SEXUAL ",IF(O31=CURSOS!$D$17,"PROGRAMADO AMPLIADO DE INMUNIZACION (PAI - COVID 19)",IF(O31=CURSOS!$D$18,"ATENCION INTEGRAL EN ENFERMEDADES PREVALENTES EN PRIMERA INFANCIA (AIEPI)",IF(O31=CURSOS!$D$19,"ADMINISTRACION DE MEDICAMENTOS, INYECTOLOGIA  Y CANALIZACION ",IF(O31=CURSOS!$D$20,"OPERADOR DE VEHICULOS DE EMERGENCIA (OVE)",IF(O31=CURSOS!$D$21,"INSTITUCIONES AMIGAS DE LA MUJER Y LA INFANCIA (IAMI)",IF(O31=CURSOS!$D$22,"CUIDADO DEL DONANTE DE ORGANOS",IF(O31=CURSOS!$D$23,"ATENCION A VICTIMAS POR VIOLENCIA DE GENERO",IF(O31=CURSOS!$D$24,"IGUALDAD DE GENERO EN LA SALUD",IF(O31=CURSOS!$D$25,"BRIGADA DE EMERGENCIA",IF(O31=CURSOS!$D$26,"MANEJO DEL DOLOR Y CUIDADOS PALIATIVOS",IF(O31=CURSOS!$D$27,"TOMA DE MUESTRAS Y LABORATORIO POCT",IF(O31=CURSOS!$D$28,"IMPLANTE SUBDERMICO DE DISPOSITIVO INTRAUTERINO",IF(O31=CURSOS!$D$29,"SALUD MENTAL",IF(O31=CURSOS!$D$30,"PRIMEROS AUXILIOS PSICOLOGICOS",IF(O31=CURSOS!$D$31,"ATENCION A VICTIMAS POR CONFLICTO ARMADO",IF(O31=CURSOS!$D$32,"MANIPULACION DE ALIMENTOS Y BPM",IF(O31=CURSOS!$D$33,"ATENCION A PERSONAS CON DISCAPACIDAD",IF(O31=CURSOS!$D$34,"CUIDADO INTEGRAL DEL PACIENTE ADULTO",IF(O31=CURSOS!$D$35,"MANEJO DEFENSIVO",IF(O31=CURSOS!$D$36,"SOPORTE CARDIOVASCULAR AVANZADO NEONATAL",IF(O31=CURSOS!$D$37,"SEGURIDAD DEL PACIENTE",IF(O31=CURSOS!$D$38,"MANEJO Y USO DEL DEA",IF(O31=CURSOS!$D$39,"TRIAGE")))))))))))))))))))))))))))))))))))))</f>
        <v xml:space="preserve">ATENCION A VICTIMAS DE VIOLENCIA SEXUAL </v>
      </c>
      <c r="V31" s="105" t="str">
        <f t="shared" si="2"/>
        <v>Carlos Andres Rosero Benavides</v>
      </c>
      <c r="W31" s="105" t="str">
        <f t="shared" si="3"/>
        <v>Carlos Andres Rosero Benavides</v>
      </c>
      <c r="X31" s="105" t="str">
        <f t="shared" si="4"/>
        <v>Carlos Andres Rosero Benavides-1085323518-VIOLENCIA SEXUAL</v>
      </c>
    </row>
    <row r="32" spans="1:24" x14ac:dyDescent="0.2">
      <c r="A32" s="103">
        <v>31</v>
      </c>
      <c r="B32" s="105">
        <v>27091114</v>
      </c>
      <c r="C32" s="105" t="s">
        <v>165</v>
      </c>
      <c r="D32" s="105" t="s">
        <v>166</v>
      </c>
      <c r="E32" s="105" t="s">
        <v>167</v>
      </c>
      <c r="F32" s="105" t="s">
        <v>168</v>
      </c>
      <c r="G32" s="106">
        <v>4</v>
      </c>
      <c r="H32" s="106" t="s">
        <v>99</v>
      </c>
      <c r="I32" s="106" t="s">
        <v>408</v>
      </c>
      <c r="J32" s="107">
        <v>45539</v>
      </c>
      <c r="K32" s="113">
        <v>40000</v>
      </c>
      <c r="L32" s="106" t="s">
        <v>103</v>
      </c>
      <c r="M32" s="106" t="s">
        <v>85</v>
      </c>
      <c r="N32" s="106" t="s">
        <v>98</v>
      </c>
      <c r="O32" s="108" t="s">
        <v>19</v>
      </c>
      <c r="P32" s="109">
        <v>29137</v>
      </c>
      <c r="Q32" s="106" t="s">
        <v>110</v>
      </c>
      <c r="R32" s="105" t="s">
        <v>123</v>
      </c>
      <c r="S32" s="105">
        <v>3003370688</v>
      </c>
      <c r="T32" s="105" t="s">
        <v>169</v>
      </c>
      <c r="U32" s="105" t="str">
        <f>IF(O32=CURSOS!$D$3,"DIPLOMADO EN ATENCION PRE-HOSPITALARIA",IF(O32=CURSOS!$D$4,"ACOMPAÑAMIENTO Y MANEJO DEL DUELO",IF(O32=CURSOS!$D$5,"ATENCION A VICTIMAS DE ATAQUE CON AGENTES QUIMICOS ",IF(O32=CURSOS!$D$6,"PRIMEROS AUXILIOS ",IF(O32=CURSOS!$D$7,"DIPLOMADO DE UNIDAD DE CUIDADOS INTENSIVOS (UCI)",IF(O32=CURSOS!$D$8,"MODELO DE ATENCION PARA EVENTOS EMERGENTES EN SALUD MENTAL (CODIGO VERDE)",IF(O32=CURSOS!$D$9,"HUMANIZACION EN EL SERVICIO DE LA SALUD Y BUENAS PRACTICAS EN PACIENTE ",IF(O32=CURSOS!$D$10,"CLINICA DE HERIDAS ",IF(O32=CURSOS!$D$11,"TOMA DE CITOLOGIA CERVICO VAGINAL ",IF(O32=CURSOS!$D$12,"SOPORTE CARDIOVASCULAR AVANZADO (ACLS) ",IF(O32=CURSOS!$D$13,"CAMILLERO ",IF(O32=CURSOS!$D$14,"TOMA DE MUESTRAS Y LABORATORIO ",IF(O32=CURSOS!$D$15,"SOPORTE VITAL BASICO (BLS)",IF(O32=CURSOS!$D$16,"ATENCION A VICTIMAS DE VIOLENCIA SEXUAL ",IF(O32=CURSOS!$D$17,"PROGRAMADO AMPLIADO DE INMUNIZACION (PAI - COVID 19)",IF(O32=CURSOS!$D$18,"ATENCION INTEGRAL EN ENFERMEDADES PREVALENTES EN PRIMERA INFANCIA (AIEPI)",IF(O32=CURSOS!$D$19,"ADMINISTRACION DE MEDICAMENTOS, INYECTOLOGIA  Y CANALIZACION ",IF(O32=CURSOS!$D$20,"OPERADOR DE VEHICULOS DE EMERGENCIA (OVE)",IF(O32=CURSOS!$D$21,"INSTITUCIONES AMIGAS DE LA MUJER Y LA INFANCIA (IAMI)",IF(O32=CURSOS!$D$22,"CUIDADO DEL DONANTE DE ORGANOS",IF(O32=CURSOS!$D$23,"ATENCION A VICTIMAS POR VIOLENCIA DE GENERO",IF(O32=CURSOS!$D$24,"IGUALDAD DE GENERO EN LA SALUD",IF(O32=CURSOS!$D$25,"BRIGADA DE EMERGENCIA",IF(O32=CURSOS!$D$26,"MANEJO DEL DOLOR Y CUIDADOS PALIATIVOS",IF(O32=CURSOS!$D$27,"TOMA DE MUESTRAS Y LABORATORIO POCT",IF(O32=CURSOS!$D$28,"IMPLANTE SUBDERMICO DE DISPOSITIVO INTRAUTERINO",IF(O32=CURSOS!$D$29,"SALUD MENTAL",IF(O32=CURSOS!$D$30,"PRIMEROS AUXILIOS PSICOLOGICOS",IF(O32=CURSOS!$D$31,"ATENCION A VICTIMAS POR CONFLICTO ARMADO",IF(O32=CURSOS!$D$32,"MANIPULACION DE ALIMENTOS Y BPM",IF(O32=CURSOS!$D$33,"ATENCION A PERSONAS CON DISCAPACIDAD",IF(O32=CURSOS!$D$34,"CUIDADO INTEGRAL DEL PACIENTE ADULTO",IF(O32=CURSOS!$D$35,"MANEJO DEFENSIVO",IF(O32=CURSOS!$D$36,"SOPORTE CARDIOVASCULAR AVANZADO NEONATAL",IF(O32=CURSOS!$D$37,"SEGURIDAD DEL PACIENTE",IF(O32=CURSOS!$D$38,"MANEJO Y USO DEL DEA",IF(O32=CURSOS!$D$39,"TRIAGE")))))))))))))))))))))))))))))))))))))</f>
        <v>SOPORTE VITAL BASICO (BLS)</v>
      </c>
      <c r="V32" s="105" t="str">
        <f t="shared" si="2"/>
        <v>Paola Andrea Espinosa Burbano</v>
      </c>
      <c r="W32" s="105" t="str">
        <f t="shared" si="3"/>
        <v>Paola Andrea Espinosa Burbano</v>
      </c>
      <c r="X32" s="105" t="str">
        <f t="shared" si="4"/>
        <v>Paola Andrea Espinosa Burbano-27091114-BLS</v>
      </c>
    </row>
    <row r="33" spans="1:24" x14ac:dyDescent="0.2">
      <c r="A33" s="103">
        <v>32</v>
      </c>
      <c r="B33" s="104">
        <v>1085270836</v>
      </c>
      <c r="C33" s="104" t="s">
        <v>170</v>
      </c>
      <c r="D33" s="104" t="s">
        <v>171</v>
      </c>
      <c r="E33" s="104" t="s">
        <v>172</v>
      </c>
      <c r="F33" s="104" t="s">
        <v>173</v>
      </c>
      <c r="G33" s="114">
        <v>2</v>
      </c>
      <c r="H33" s="106" t="s">
        <v>99</v>
      </c>
      <c r="I33" s="106" t="s">
        <v>409</v>
      </c>
      <c r="J33" s="107">
        <v>45539</v>
      </c>
      <c r="K33" s="88">
        <v>80000</v>
      </c>
      <c r="L33" s="114" t="s">
        <v>103</v>
      </c>
      <c r="M33" s="114" t="s">
        <v>85</v>
      </c>
      <c r="N33" s="114" t="s">
        <v>98</v>
      </c>
      <c r="O33" s="115" t="s">
        <v>38</v>
      </c>
      <c r="P33" s="109">
        <v>32363</v>
      </c>
      <c r="Q33" s="114" t="s">
        <v>110</v>
      </c>
      <c r="R33" s="105" t="s">
        <v>174</v>
      </c>
      <c r="S33" s="104">
        <v>3163877010</v>
      </c>
      <c r="T33" s="104" t="s">
        <v>175</v>
      </c>
      <c r="U33" s="105" t="str">
        <f>IF(O33=CURSOS!$D$3,"DIPLOMADO EN ATENCION PRE-HOSPITALARIA",IF(O33=CURSOS!$D$4,"ACOMPAÑAMIENTO Y MANEJO DEL DUELO",IF(O33=CURSOS!$D$5,"ATENCION A VICTIMAS DE ATAQUE CON AGENTES QUIMICOS ",IF(O33=CURSOS!$D$6,"PRIMEROS AUXILIOS ",IF(O33=CURSOS!$D$7,"DIPLOMADO DE UNIDAD DE CUIDADOS INTENSIVOS (UCI)",IF(O33=CURSOS!$D$8,"MODELO DE ATENCION PARA EVENTOS EMERGENTES EN SALUD MENTAL (CODIGO VERDE)",IF(O33=CURSOS!$D$9,"HUMANIZACION EN EL SERVICIO DE LA SALUD Y BUENAS PRACTICAS EN PACIENTE ",IF(O33=CURSOS!$D$10,"CLINICA DE HERIDAS ",IF(O33=CURSOS!$D$11,"TOMA DE CITOLOGIA CERVICO VAGINAL ",IF(O33=CURSOS!$D$12,"SOPORTE CARDIOVASCULAR AVANZADO (ACLS) ",IF(O33=CURSOS!$D$13,"CAMILLERO ",IF(O33=CURSOS!$D$14,"TOMA DE MUESTRAS Y LABORATORIO ",IF(O33=CURSOS!$D$15,"SOPORTE VITAL BASICO (BLS)",IF(O33=CURSOS!$D$16,"ATENCION A VICTIMAS DE VIOLENCIA SEXUAL ",IF(O33=CURSOS!$D$17,"PROGRAMADO AMPLIADO DE INMUNIZACION (PAI - COVID 19)",IF(O33=CURSOS!$D$18,"ATENCION INTEGRAL EN ENFERMEDADES PREVALENTES EN PRIMERA INFANCIA (AIEPI)",IF(O33=CURSOS!$D$19,"ADMINISTRACION DE MEDICAMENTOS, INYECTOLOGIA  Y CANALIZACION ",IF(O33=CURSOS!$D$20,"OPERADOR DE VEHICULOS DE EMERGENCIA (OVE)",IF(O33=CURSOS!$D$21,"INSTITUCIONES AMIGAS DE LA MUJER Y LA INFANCIA (IAMI)",IF(O33=CURSOS!$D$22,"CUIDADO DEL DONANTE DE ORGANOS",IF(O33=CURSOS!$D$23,"ATENCION A VICTIMAS POR VIOLENCIA DE GENERO",IF(O33=CURSOS!$D$24,"IGUALDAD DE GENERO EN LA SALUD",IF(O33=CURSOS!$D$25,"BRIGADA DE EMERGENCIA",IF(O33=CURSOS!$D$26,"MANEJO DEL DOLOR Y CUIDADOS PALIATIVOS",IF(O33=CURSOS!$D$27,"TOMA DE MUESTRAS Y LABORATORIO POCT",IF(O33=CURSOS!$D$28,"IMPLANTE SUBDERMICO DE DISPOSITIVO INTRAUTERINO",IF(O33=CURSOS!$D$29,"SALUD MENTAL",IF(O33=CURSOS!$D$30,"PRIMEROS AUXILIOS PSICOLOGICOS",IF(O33=CURSOS!$D$31,"ATENCION A VICTIMAS POR CONFLICTO ARMADO",IF(O33=CURSOS!$D$32,"MANIPULACION DE ALIMENTOS Y BPM",IF(O33=CURSOS!$D$33,"ATENCION A PERSONAS CON DISCAPACIDAD",IF(O33=CURSOS!$D$34,"CUIDADO INTEGRAL DEL PACIENTE ADULTO",IF(O33=CURSOS!$D$35,"MANEJO DEFENSIVO",IF(O33=CURSOS!$D$36,"SOPORTE CARDIOVASCULAR AVANZADO NEONATAL",IF(O33=CURSOS!$D$37,"SEGURIDAD DEL PACIENTE",IF(O33=CURSOS!$D$38,"MANEJO Y USO DEL DEA",IF(O33=CURSOS!$D$39,"TRIAGE")))))))))))))))))))))))))))))))))))))</f>
        <v xml:space="preserve">SOPORTE CARDIOVASCULAR AVANZADO (ACLS) </v>
      </c>
      <c r="V33" s="105" t="str">
        <f t="shared" ref="V33:V40" si="5">CONCATENATE(E33," ",F33," ",C33," ",D33)</f>
        <v>Johana Marcela Puerres Hidalgo</v>
      </c>
      <c r="W33" s="105" t="str">
        <f t="shared" ref="W33:W40" si="6">+PROPER(V33)</f>
        <v>Johana Marcela Puerres Hidalgo</v>
      </c>
      <c r="X33" s="105" t="str">
        <f t="shared" ref="X33:X40" si="7">CONCATENATE(V33,"-",B33,"-",O33)</f>
        <v>Johana Marcela Puerres Hidalgo-1085270836-ACLS</v>
      </c>
    </row>
    <row r="34" spans="1:24" x14ac:dyDescent="0.2">
      <c r="A34" s="103">
        <v>33</v>
      </c>
      <c r="B34" s="105">
        <v>1087184860</v>
      </c>
      <c r="C34" s="105" t="s">
        <v>176</v>
      </c>
      <c r="D34" s="105" t="s">
        <v>177</v>
      </c>
      <c r="E34" s="105" t="s">
        <v>178</v>
      </c>
      <c r="F34" s="105" t="s">
        <v>179</v>
      </c>
      <c r="G34" s="106">
        <v>5</v>
      </c>
      <c r="H34" s="106" t="s">
        <v>99</v>
      </c>
      <c r="I34" s="106" t="s">
        <v>408</v>
      </c>
      <c r="J34" s="107">
        <v>45540</v>
      </c>
      <c r="K34" s="113">
        <v>32500</v>
      </c>
      <c r="L34" s="106" t="s">
        <v>103</v>
      </c>
      <c r="M34" s="106" t="s">
        <v>180</v>
      </c>
      <c r="N34" s="106" t="s">
        <v>98</v>
      </c>
      <c r="O34" s="108" t="s">
        <v>19</v>
      </c>
      <c r="P34" s="109">
        <v>32863</v>
      </c>
      <c r="Q34" s="106" t="s">
        <v>110</v>
      </c>
      <c r="R34" s="105" t="s">
        <v>181</v>
      </c>
      <c r="S34" s="105">
        <v>3176538011</v>
      </c>
      <c r="T34" s="116" t="s">
        <v>182</v>
      </c>
      <c r="U34" s="105" t="str">
        <f>IF(O34=CURSOS!$D$3,"DIPLOMADO EN ATENCION PRE-HOSPITALARIA",IF(O34=CURSOS!$D$4,"ACOMPAÑAMIENTO Y MANEJO DEL DUELO",IF(O34=CURSOS!$D$5,"ATENCION A VICTIMAS DE ATAQUE CON AGENTES QUIMICOS ",IF(O34=CURSOS!$D$6,"PRIMEROS AUXILIOS ",IF(O34=CURSOS!$D$7,"DIPLOMADO DE UNIDAD DE CUIDADOS INTENSIVOS (UCI)",IF(O34=CURSOS!$D$8,"MODELO DE ATENCION PARA EVENTOS EMERGENTES EN SALUD MENTAL (CODIGO VERDE)",IF(O34=CURSOS!$D$9,"HUMANIZACION EN EL SERVICIO DE LA SALUD Y BUENAS PRACTICAS EN PACIENTE ",IF(O34=CURSOS!$D$10,"CLINICA DE HERIDAS ",IF(O34=CURSOS!$D$11,"TOMA DE CITOLOGIA CERVICO VAGINAL ",IF(O34=CURSOS!$D$12,"SOPORTE CARDIOVASCULAR AVANZADO (ACLS) ",IF(O34=CURSOS!$D$13,"CAMILLERO ",IF(O34=CURSOS!$D$14,"TOMA DE MUESTRAS Y LABORATORIO ",IF(O34=CURSOS!$D$15,"SOPORTE VITAL BASICO (BLS)",IF(O34=CURSOS!$D$16,"ATENCION A VICTIMAS DE VIOLENCIA SEXUAL ",IF(O34=CURSOS!$D$17,"PROGRAMADO AMPLIADO DE INMUNIZACION (PAI - COVID 19)",IF(O34=CURSOS!$D$18,"ATENCION INTEGRAL EN ENFERMEDADES PREVALENTES EN PRIMERA INFANCIA (AIEPI)",IF(O34=CURSOS!$D$19,"ADMINISTRACION DE MEDICAMENTOS, INYECTOLOGIA  Y CANALIZACION ",IF(O34=CURSOS!$D$20,"OPERADOR DE VEHICULOS DE EMERGENCIA (OVE)",IF(O34=CURSOS!$D$21,"INSTITUCIONES AMIGAS DE LA MUJER Y LA INFANCIA (IAMI)",IF(O34=CURSOS!$D$22,"CUIDADO DEL DONANTE DE ORGANOS",IF(O34=CURSOS!$D$23,"ATENCION A VICTIMAS POR VIOLENCIA DE GENERO",IF(O34=CURSOS!$D$24,"IGUALDAD DE GENERO EN LA SALUD",IF(O34=CURSOS!$D$25,"BRIGADA DE EMERGENCIA",IF(O34=CURSOS!$D$26,"MANEJO DEL DOLOR Y CUIDADOS PALIATIVOS",IF(O34=CURSOS!$D$27,"TOMA DE MUESTRAS Y LABORATORIO POCT",IF(O34=CURSOS!$D$28,"IMPLANTE SUBDERMICO DE DISPOSITIVO INTRAUTERINO",IF(O34=CURSOS!$D$29,"SALUD MENTAL",IF(O34=CURSOS!$D$30,"PRIMEROS AUXILIOS PSICOLOGICOS",IF(O34=CURSOS!$D$31,"ATENCION A VICTIMAS POR CONFLICTO ARMADO",IF(O34=CURSOS!$D$32,"MANIPULACION DE ALIMENTOS Y BPM",IF(O34=CURSOS!$D$33,"ATENCION A PERSONAS CON DISCAPACIDAD",IF(O34=CURSOS!$D$34,"CUIDADO INTEGRAL DEL PACIENTE ADULTO",IF(O34=CURSOS!$D$35,"MANEJO DEFENSIVO",IF(O34=CURSOS!$D$36,"SOPORTE CARDIOVASCULAR AVANZADO NEONATAL",IF(O34=CURSOS!$D$37,"SEGURIDAD DEL PACIENTE",IF(O34=CURSOS!$D$38,"MANEJO Y USO DEL DEA",IF(O34=CURSOS!$D$39,"TRIAGE")))))))))))))))))))))))))))))))))))))</f>
        <v>SOPORTE VITAL BASICO (BLS)</v>
      </c>
      <c r="V34" s="105" t="str">
        <f t="shared" si="5"/>
        <v>Yuli Mariet Tenorio Guerrero</v>
      </c>
      <c r="W34" s="105" t="str">
        <f t="shared" si="6"/>
        <v>Yuli Mariet Tenorio Guerrero</v>
      </c>
      <c r="X34" s="105" t="str">
        <f t="shared" si="7"/>
        <v>Yuli Mariet Tenorio Guerrero-1087184860-BLS</v>
      </c>
    </row>
    <row r="35" spans="1:24" x14ac:dyDescent="0.2">
      <c r="A35" s="103">
        <v>34</v>
      </c>
      <c r="B35" s="105">
        <v>1087184860</v>
      </c>
      <c r="C35" s="105" t="s">
        <v>176</v>
      </c>
      <c r="D35" s="105" t="s">
        <v>177</v>
      </c>
      <c r="E35" s="105" t="s">
        <v>178</v>
      </c>
      <c r="F35" s="105" t="s">
        <v>179</v>
      </c>
      <c r="G35" s="106">
        <v>5</v>
      </c>
      <c r="H35" s="106" t="s">
        <v>99</v>
      </c>
      <c r="I35" s="106" t="s">
        <v>408</v>
      </c>
      <c r="J35" s="107">
        <v>45540</v>
      </c>
      <c r="K35" s="113">
        <v>32500</v>
      </c>
      <c r="L35" s="106" t="s">
        <v>103</v>
      </c>
      <c r="M35" s="106" t="s">
        <v>180</v>
      </c>
      <c r="N35" s="106" t="s">
        <v>98</v>
      </c>
      <c r="O35" s="108" t="s">
        <v>33</v>
      </c>
      <c r="P35" s="109">
        <v>32863</v>
      </c>
      <c r="Q35" s="106" t="s">
        <v>110</v>
      </c>
      <c r="R35" s="105" t="s">
        <v>181</v>
      </c>
      <c r="S35" s="105">
        <v>3176538011</v>
      </c>
      <c r="T35" s="116" t="s">
        <v>182</v>
      </c>
      <c r="U35" s="105" t="str">
        <f>IF(O35=CURSOS!$D$3,"DIPLOMADO EN ATENCION PRE-HOSPITALARIA",IF(O35=CURSOS!$D$4,"ACOMPAÑAMIENTO Y MANEJO DEL DUELO",IF(O35=CURSOS!$D$5,"ATENCION A VICTIMAS DE ATAQUE CON AGENTES QUIMICOS ",IF(O35=CURSOS!$D$6,"PRIMEROS AUXILIOS ",IF(O35=CURSOS!$D$7,"DIPLOMADO DE UNIDAD DE CUIDADOS INTENSIVOS (UCI)",IF(O35=CURSOS!$D$8,"MODELO DE ATENCION PARA EVENTOS EMERGENTES EN SALUD MENTAL (CODIGO VERDE)",IF(O35=CURSOS!$D$9,"HUMANIZACION EN EL SERVICIO DE LA SALUD Y BUENAS PRACTICAS EN PACIENTE ",IF(O35=CURSOS!$D$10,"CLINICA DE HERIDAS ",IF(O35=CURSOS!$D$11,"TOMA DE CITOLOGIA CERVICO VAGINAL ",IF(O35=CURSOS!$D$12,"SOPORTE CARDIOVASCULAR AVANZADO (ACLS) ",IF(O35=CURSOS!$D$13,"CAMILLERO ",IF(O35=CURSOS!$D$14,"TOMA DE MUESTRAS Y LABORATORIO ",IF(O35=CURSOS!$D$15,"SOPORTE VITAL BASICO (BLS)",IF(O35=CURSOS!$D$16,"ATENCION A VICTIMAS DE VIOLENCIA SEXUAL ",IF(O35=CURSOS!$D$17,"PROGRAMADO AMPLIADO DE INMUNIZACION (PAI - COVID 19)",IF(O35=CURSOS!$D$18,"ATENCION INTEGRAL EN ENFERMEDADES PREVALENTES EN PRIMERA INFANCIA (AIEPI)",IF(O35=CURSOS!$D$19,"ADMINISTRACION DE MEDICAMENTOS, INYECTOLOGIA  Y CANALIZACION ",IF(O35=CURSOS!$D$20,"OPERADOR DE VEHICULOS DE EMERGENCIA (OVE)",IF(O35=CURSOS!$D$21,"INSTITUCIONES AMIGAS DE LA MUJER Y LA INFANCIA (IAMI)",IF(O35=CURSOS!$D$22,"CUIDADO DEL DONANTE DE ORGANOS",IF(O35=CURSOS!$D$23,"ATENCION A VICTIMAS POR VIOLENCIA DE GENERO",IF(O35=CURSOS!$D$24,"IGUALDAD DE GENERO EN LA SALUD",IF(O35=CURSOS!$D$25,"BRIGADA DE EMERGENCIA",IF(O35=CURSOS!$D$26,"MANEJO DEL DOLOR Y CUIDADOS PALIATIVOS",IF(O35=CURSOS!$D$27,"TOMA DE MUESTRAS Y LABORATORIO POCT",IF(O35=CURSOS!$D$28,"IMPLANTE SUBDERMICO DE DISPOSITIVO INTRAUTERINO",IF(O35=CURSOS!$D$29,"SALUD MENTAL",IF(O35=CURSOS!$D$30,"PRIMEROS AUXILIOS PSICOLOGICOS",IF(O35=CURSOS!$D$31,"ATENCION A VICTIMAS POR CONFLICTO ARMADO",IF(O35=CURSOS!$D$32,"MANIPULACION DE ALIMENTOS Y BPM",IF(O35=CURSOS!$D$33,"ATENCION A PERSONAS CON DISCAPACIDAD",IF(O35=CURSOS!$D$34,"CUIDADO INTEGRAL DEL PACIENTE ADULTO",IF(O35=CURSOS!$D$35,"MANEJO DEFENSIVO",IF(O35=CURSOS!$D$36,"SOPORTE CARDIOVASCULAR AVANZADO NEONATAL",IF(O35=CURSOS!$D$37,"SEGURIDAD DEL PACIENTE",IF(O35=CURSOS!$D$38,"MANEJO Y USO DEL DEA",IF(O35=CURSOS!$D$39,"TRIAGE")))))))))))))))))))))))))))))))))))))</f>
        <v xml:space="preserve">HUMANIZACION EN EL SERVICIO DE LA SALUD Y BUENAS PRACTICAS EN PACIENTE </v>
      </c>
      <c r="V35" s="105" t="str">
        <f t="shared" si="5"/>
        <v>Yuli Mariet Tenorio Guerrero</v>
      </c>
      <c r="W35" s="105" t="str">
        <f t="shared" si="6"/>
        <v>Yuli Mariet Tenorio Guerrero</v>
      </c>
      <c r="X35" s="105" t="str">
        <f t="shared" si="7"/>
        <v>Yuli Mariet Tenorio Guerrero-1087184860-HUMANIZACION</v>
      </c>
    </row>
    <row r="36" spans="1:24" hidden="1" x14ac:dyDescent="0.2">
      <c r="A36" s="103">
        <v>35</v>
      </c>
      <c r="B36" s="105">
        <v>1088734761</v>
      </c>
      <c r="C36" s="105" t="s">
        <v>118</v>
      </c>
      <c r="D36" s="105" t="s">
        <v>119</v>
      </c>
      <c r="E36" s="105" t="s">
        <v>120</v>
      </c>
      <c r="F36" s="105" t="s">
        <v>121</v>
      </c>
      <c r="G36" s="106">
        <v>5</v>
      </c>
      <c r="H36" s="106" t="s">
        <v>99</v>
      </c>
      <c r="I36" s="106" t="s">
        <v>408</v>
      </c>
      <c r="J36" s="107">
        <v>45541</v>
      </c>
      <c r="K36" s="113">
        <v>32000</v>
      </c>
      <c r="L36" s="106" t="s">
        <v>138</v>
      </c>
      <c r="M36" s="106" t="s">
        <v>180</v>
      </c>
      <c r="N36" s="106" t="s">
        <v>109</v>
      </c>
      <c r="O36" s="108" t="s">
        <v>33</v>
      </c>
      <c r="P36" s="109"/>
      <c r="Q36" s="106" t="s">
        <v>110</v>
      </c>
      <c r="R36" s="105" t="s">
        <v>123</v>
      </c>
      <c r="S36" s="105">
        <v>3225292174</v>
      </c>
      <c r="T36" s="105" t="s">
        <v>122</v>
      </c>
      <c r="U36" s="105" t="str">
        <f>IF(O36=CURSOS!$D$3,"DIPLOMADO EN ATENCION PRE-HOSPITALARIA",IF(O36=CURSOS!$D$4,"ACOMPAÑAMIENTO Y MANEJO DEL DUELO",IF(O36=CURSOS!$D$5,"ATENCION A VICTIMAS DE ATAQUE CON AGENTES QUIMICOS ",IF(O36=CURSOS!$D$6,"PRIMEROS AUXILIOS ",IF(O36=CURSOS!$D$7,"DIPLOMADO DE UNIDAD DE CUIDADOS INTENSIVOS (UCI)",IF(O36=CURSOS!$D$8,"MODELO DE ATENCION PARA EVENTOS EMERGENTES EN SALUD MENTAL (CODIGO VERDE)",IF(O36=CURSOS!$D$9,"HUMANIZACION EN EL SERVICIO DE LA SALUD Y BUENAS PRACTICAS EN PACIENTE ",IF(O36=CURSOS!$D$10,"CLINICA DE HERIDAS ",IF(O36=CURSOS!$D$11,"TOMA DE CITOLOGIA CERVICO VAGINAL ",IF(O36=CURSOS!$D$12,"SOPORTE CARDIOVASCULAR AVANZADO (ACLS) ",IF(O36=CURSOS!$D$13,"CAMILLERO ",IF(O36=CURSOS!$D$14,"TOMA DE MUESTRAS Y LABORATORIO ",IF(O36=CURSOS!$D$15,"SOPORTE VITAL BASICO (BLS)",IF(O36=CURSOS!$D$16,"ATENCION A VICTIMAS DE VIOLENCIA SEXUAL ",IF(O36=CURSOS!$D$17,"PROGRAMADO AMPLIADO DE INMUNIZACION (PAI - COVID 19)",IF(O36=CURSOS!$D$18,"ATENCION INTEGRAL EN ENFERMEDADES PREVALENTES EN PRIMERA INFANCIA (AIEPI)",IF(O36=CURSOS!$D$19,"ADMINISTRACION DE MEDICAMENTOS, INYECTOLOGIA  Y CANALIZACION ",IF(O36=CURSOS!$D$20,"OPERADOR DE VEHICULOS DE EMERGENCIA (OVE)",IF(O36=CURSOS!$D$21,"INSTITUCIONES AMIGAS DE LA MUJER Y LA INFANCIA (IAMI)",IF(O36=CURSOS!$D$22,"CUIDADO DEL DONANTE DE ORGANOS",IF(O36=CURSOS!$D$23,"ATENCION A VICTIMAS POR VIOLENCIA DE GENERO",IF(O36=CURSOS!$D$24,"IGUALDAD DE GENERO EN LA SALUD",IF(O36=CURSOS!$D$25,"BRIGADA DE EMERGENCIA",IF(O36=CURSOS!$D$26,"MANEJO DEL DOLOR Y CUIDADOS PALIATIVOS",IF(O36=CURSOS!$D$27,"TOMA DE MUESTRAS Y LABORATORIO POCT",IF(O36=CURSOS!$D$28,"IMPLANTE SUBDERMICO DE DISPOSITIVO INTRAUTERINO",IF(O36=CURSOS!$D$29,"SALUD MENTAL",IF(O36=CURSOS!$D$30,"PRIMEROS AUXILIOS PSICOLOGICOS",IF(O36=CURSOS!$D$31,"ATENCION A VICTIMAS POR CONFLICTO ARMADO",IF(O36=CURSOS!$D$32,"MANIPULACION DE ALIMENTOS Y BPM",IF(O36=CURSOS!$D$33,"ATENCION A PERSONAS CON DISCAPACIDAD",IF(O36=CURSOS!$D$34,"CUIDADO INTEGRAL DEL PACIENTE ADULTO",IF(O36=CURSOS!$D$35,"MANEJO DEFENSIVO",IF(O36=CURSOS!$D$36,"SOPORTE CARDIOVASCULAR AVANZADO NEONATAL",IF(O36=CURSOS!$D$37,"SEGURIDAD DEL PACIENTE",IF(O36=CURSOS!$D$38,"MANEJO Y USO DEL DEA",IF(O36=CURSOS!$D$39,"TRIAGE")))))))))))))))))))))))))))))))))))))</f>
        <v xml:space="preserve">HUMANIZACION EN EL SERVICIO DE LA SALUD Y BUENAS PRACTICAS EN PACIENTE </v>
      </c>
      <c r="V36" s="105" t="str">
        <f t="shared" si="5"/>
        <v>Liliana Ximena Arteaga Pantoja</v>
      </c>
      <c r="W36" s="105" t="str">
        <f t="shared" si="6"/>
        <v>Liliana Ximena Arteaga Pantoja</v>
      </c>
      <c r="X36" s="105" t="str">
        <f t="shared" si="7"/>
        <v>Liliana Ximena Arteaga Pantoja-1088734761-HUMANIZACION</v>
      </c>
    </row>
    <row r="37" spans="1:24" x14ac:dyDescent="0.2">
      <c r="A37" s="103">
        <v>36</v>
      </c>
      <c r="B37" s="105">
        <v>1193383314</v>
      </c>
      <c r="C37" s="105" t="s">
        <v>183</v>
      </c>
      <c r="D37" s="105" t="s">
        <v>161</v>
      </c>
      <c r="E37" s="105" t="s">
        <v>184</v>
      </c>
      <c r="F37" s="105" t="s">
        <v>185</v>
      </c>
      <c r="G37" s="106">
        <v>6</v>
      </c>
      <c r="H37" s="106" t="s">
        <v>99</v>
      </c>
      <c r="I37" s="106" t="s">
        <v>408</v>
      </c>
      <c r="J37" s="107">
        <v>45542</v>
      </c>
      <c r="K37" s="113">
        <v>30000</v>
      </c>
      <c r="L37" s="106" t="s">
        <v>103</v>
      </c>
      <c r="M37" s="106" t="s">
        <v>180</v>
      </c>
      <c r="N37" s="106" t="s">
        <v>186</v>
      </c>
      <c r="O37" s="105" t="s">
        <v>23</v>
      </c>
      <c r="P37" s="109">
        <v>36985</v>
      </c>
      <c r="Q37" s="106" t="s">
        <v>110</v>
      </c>
      <c r="R37" s="105" t="s">
        <v>187</v>
      </c>
      <c r="S37" s="105">
        <v>3128544489</v>
      </c>
      <c r="T37" s="105" t="s">
        <v>188</v>
      </c>
      <c r="U37" s="105" t="str">
        <f>IF(O37=CURSOS!$D$3,"DIPLOMADO EN ATENCION PRE-HOSPITALARIA",IF(O37=CURSOS!$D$4,"ACOMPAÑAMIENTO Y MANEJO DEL DUELO",IF(O37=CURSOS!$D$5,"ATENCION A VICTIMAS DE ATAQUE CON AGENTES QUIMICOS ",IF(O37=CURSOS!$D$6,"PRIMEROS AUXILIOS ",IF(O37=CURSOS!$D$7,"DIPLOMADO DE UNIDAD DE CUIDADOS INTENSIVOS (UCI)",IF(O37=CURSOS!$D$8,"MODELO DE ATENCION PARA EVENTOS EMERGENTES EN SALUD MENTAL (CODIGO VERDE)",IF(O37=CURSOS!$D$9,"HUMANIZACION EN EL SERVICIO DE LA SALUD Y BUENAS PRACTICAS EN PACIENTE ",IF(O37=CURSOS!$D$10,"CLINICA DE HERIDAS ",IF(O37=CURSOS!$D$11,"TOMA DE CITOLOGIA CERVICO VAGINAL ",IF(O37=CURSOS!$D$12,"SOPORTE CARDIOVASCULAR AVANZADO (ACLS) ",IF(O37=CURSOS!$D$13,"CAMILLERO ",IF(O37=CURSOS!$D$14,"TOMA DE MUESTRAS Y LABORATORIO ",IF(O37=CURSOS!$D$15,"SOPORTE VITAL BASICO (BLS)",IF(O37=CURSOS!$D$16,"ATENCION A VICTIMAS DE VIOLENCIA SEXUAL ",IF(O37=CURSOS!$D$17,"PROGRAMADO AMPLIADO DE INMUNIZACION (PAI - COVID 19)",IF(O37=CURSOS!$D$18,"ATENCION INTEGRAL EN ENFERMEDADES PREVALENTES EN PRIMERA INFANCIA (AIEPI)",IF(O37=CURSOS!$D$19,"ADMINISTRACION DE MEDICAMENTOS, INYECTOLOGIA  Y CANALIZACION ",IF(O37=CURSOS!$D$20,"OPERADOR DE VEHICULOS DE EMERGENCIA (OVE)",IF(O37=CURSOS!$D$21,"INSTITUCIONES AMIGAS DE LA MUJER Y LA INFANCIA (IAMI)",IF(O37=CURSOS!$D$22,"CUIDADO DEL DONANTE DE ORGANOS",IF(O37=CURSOS!$D$23,"ATENCION A VICTIMAS POR VIOLENCIA DE GENERO",IF(O37=CURSOS!$D$24,"IGUALDAD DE GENERO EN LA SALUD",IF(O37=CURSOS!$D$25,"BRIGADA DE EMERGENCIA",IF(O37=CURSOS!$D$26,"MANEJO DEL DOLOR Y CUIDADOS PALIATIVOS",IF(O37=CURSOS!$D$27,"TOMA DE MUESTRAS Y LABORATORIO POCT",IF(O37=CURSOS!$D$28,"IMPLANTE SUBDERMICO DE DISPOSITIVO INTRAUTERINO",IF(O37=CURSOS!$D$29,"SALUD MENTAL",IF(O37=CURSOS!$D$30,"PRIMEROS AUXILIOS PSICOLOGICOS",IF(O37=CURSOS!$D$31,"ATENCION A VICTIMAS POR CONFLICTO ARMADO",IF(O37=CURSOS!$D$32,"MANIPULACION DE ALIMENTOS Y BPM",IF(O37=CURSOS!$D$33,"ATENCION A PERSONAS CON DISCAPACIDAD",IF(O37=CURSOS!$D$34,"CUIDADO INTEGRAL DEL PACIENTE ADULTO",IF(O37=CURSOS!$D$35,"MANEJO DEFENSIVO",IF(O37=CURSOS!$D$36,"SOPORTE CARDIOVASCULAR AVANZADO NEONATAL",IF(O37=CURSOS!$D$37,"SEGURIDAD DEL PACIENTE",IF(O37=CURSOS!$D$38,"MANEJO Y USO DEL DEA",IF(O37=CURSOS!$D$39,"TRIAGE")))))))))))))))))))))))))))))))))))))</f>
        <v>ACOMPAÑAMIENTO Y MANEJO DEL DUELO</v>
      </c>
      <c r="V37" s="105" t="str">
        <f t="shared" si="5"/>
        <v>Valeria Valentina Perez Rosero</v>
      </c>
      <c r="W37" s="105" t="str">
        <f t="shared" si="6"/>
        <v>Valeria Valentina Perez Rosero</v>
      </c>
      <c r="X37" s="105" t="str">
        <f t="shared" si="7"/>
        <v>Valeria Valentina Perez Rosero-1193383314-DUELO</v>
      </c>
    </row>
    <row r="38" spans="1:24" x14ac:dyDescent="0.2">
      <c r="A38" s="103">
        <v>37</v>
      </c>
      <c r="B38" s="105">
        <v>1193383314</v>
      </c>
      <c r="C38" s="105" t="s">
        <v>183</v>
      </c>
      <c r="D38" s="105" t="s">
        <v>161</v>
      </c>
      <c r="E38" s="105" t="s">
        <v>184</v>
      </c>
      <c r="F38" s="105" t="s">
        <v>185</v>
      </c>
      <c r="G38" s="106">
        <v>6</v>
      </c>
      <c r="H38" s="106" t="s">
        <v>99</v>
      </c>
      <c r="I38" s="106" t="s">
        <v>408</v>
      </c>
      <c r="J38" s="107">
        <v>45542</v>
      </c>
      <c r="K38" s="113">
        <v>30000</v>
      </c>
      <c r="L38" s="106" t="s">
        <v>103</v>
      </c>
      <c r="M38" s="106" t="s">
        <v>180</v>
      </c>
      <c r="N38" s="106" t="s">
        <v>186</v>
      </c>
      <c r="O38" s="105" t="s">
        <v>41</v>
      </c>
      <c r="P38" s="109">
        <v>36985</v>
      </c>
      <c r="Q38" s="106" t="s">
        <v>110</v>
      </c>
      <c r="R38" s="105" t="s">
        <v>187</v>
      </c>
      <c r="S38" s="105">
        <v>3128544489</v>
      </c>
      <c r="T38" s="105" t="s">
        <v>188</v>
      </c>
      <c r="U38" s="105" t="str">
        <f>IF(O38=CURSOS!$D$3,"DIPLOMADO EN ATENCION PRE-HOSPITALARIA",IF(O38=CURSOS!$D$4,"ACOMPAÑAMIENTO Y MANEJO DEL DUELO",IF(O38=CURSOS!$D$5,"ATENCION A VICTIMAS DE ATAQUE CON AGENTES QUIMICOS ",IF(O38=CURSOS!$D$6,"PRIMEROS AUXILIOS ",IF(O38=CURSOS!$D$7,"DIPLOMADO DE UNIDAD DE CUIDADOS INTENSIVOS (UCI)",IF(O38=CURSOS!$D$8,"MODELO DE ATENCION PARA EVENTOS EMERGENTES EN SALUD MENTAL (CODIGO VERDE)",IF(O38=CURSOS!$D$9,"HUMANIZACION EN EL SERVICIO DE LA SALUD Y BUENAS PRACTICAS EN PACIENTE ",IF(O38=CURSOS!$D$10,"CLINICA DE HERIDAS ",IF(O38=CURSOS!$D$11,"TOMA DE CITOLOGIA CERVICO VAGINAL ",IF(O38=CURSOS!$D$12,"SOPORTE CARDIOVASCULAR AVANZADO (ACLS) ",IF(O38=CURSOS!$D$13,"CAMILLERO ",IF(O38=CURSOS!$D$14,"TOMA DE MUESTRAS Y LABORATORIO ",IF(O38=CURSOS!$D$15,"SOPORTE VITAL BASICO (BLS)",IF(O38=CURSOS!$D$16,"ATENCION A VICTIMAS DE VIOLENCIA SEXUAL ",IF(O38=CURSOS!$D$17,"PROGRAMADO AMPLIADO DE INMUNIZACION (PAI - COVID 19)",IF(O38=CURSOS!$D$18,"ATENCION INTEGRAL EN ENFERMEDADES PREVALENTES EN PRIMERA INFANCIA (AIEPI)",IF(O38=CURSOS!$D$19,"ADMINISTRACION DE MEDICAMENTOS, INYECTOLOGIA  Y CANALIZACION ",IF(O38=CURSOS!$D$20,"OPERADOR DE VEHICULOS DE EMERGENCIA (OVE)",IF(O38=CURSOS!$D$21,"INSTITUCIONES AMIGAS DE LA MUJER Y LA INFANCIA (IAMI)",IF(O38=CURSOS!$D$22,"CUIDADO DEL DONANTE DE ORGANOS",IF(O38=CURSOS!$D$23,"ATENCION A VICTIMAS POR VIOLENCIA DE GENERO",IF(O38=CURSOS!$D$24,"IGUALDAD DE GENERO EN LA SALUD",IF(O38=CURSOS!$D$25,"BRIGADA DE EMERGENCIA",IF(O38=CURSOS!$D$26,"MANEJO DEL DOLOR Y CUIDADOS PALIATIVOS",IF(O38=CURSOS!$D$27,"TOMA DE MUESTRAS Y LABORATORIO POCT",IF(O38=CURSOS!$D$28,"IMPLANTE SUBDERMICO DE DISPOSITIVO INTRAUTERINO",IF(O38=CURSOS!$D$29,"SALUD MENTAL",IF(O38=CURSOS!$D$30,"PRIMEROS AUXILIOS PSICOLOGICOS",IF(O38=CURSOS!$D$31,"ATENCION A VICTIMAS POR CONFLICTO ARMADO",IF(O38=CURSOS!$D$32,"MANIPULACION DE ALIMENTOS Y BPM",IF(O38=CURSOS!$D$33,"ATENCION A PERSONAS CON DISCAPACIDAD",IF(O38=CURSOS!$D$34,"CUIDADO INTEGRAL DEL PACIENTE ADULTO",IF(O38=CURSOS!$D$35,"MANEJO DEFENSIVO",IF(O38=CURSOS!$D$36,"SOPORTE CARDIOVASCULAR AVANZADO NEONATAL",IF(O38=CURSOS!$D$37,"SEGURIDAD DEL PACIENTE",IF(O38=CURSOS!$D$38,"MANEJO Y USO DEL DEA",IF(O38=CURSOS!$D$39,"TRIAGE")))))))))))))))))))))))))))))))))))))</f>
        <v xml:space="preserve">TOMA DE MUESTRAS Y LABORATORIO </v>
      </c>
      <c r="V38" s="105" t="str">
        <f t="shared" si="5"/>
        <v>Valeria Valentina Perez Rosero</v>
      </c>
      <c r="W38" s="105" t="str">
        <f t="shared" si="6"/>
        <v>Valeria Valentina Perez Rosero</v>
      </c>
      <c r="X38" s="105" t="str">
        <f t="shared" si="7"/>
        <v>Valeria Valentina Perez Rosero-1193383314-TOMA DE MUESTRAS</v>
      </c>
    </row>
    <row r="39" spans="1:24" x14ac:dyDescent="0.2">
      <c r="A39" s="103">
        <v>38</v>
      </c>
      <c r="B39" s="104">
        <v>1086139693</v>
      </c>
      <c r="C39" s="105" t="s">
        <v>112</v>
      </c>
      <c r="D39" s="105" t="s">
        <v>90</v>
      </c>
      <c r="E39" s="105" t="s">
        <v>189</v>
      </c>
      <c r="F39" s="105" t="s">
        <v>190</v>
      </c>
      <c r="G39" s="106">
        <v>5</v>
      </c>
      <c r="H39" s="106" t="s">
        <v>99</v>
      </c>
      <c r="I39" s="106" t="s">
        <v>408</v>
      </c>
      <c r="J39" s="107">
        <v>45541</v>
      </c>
      <c r="K39" s="88">
        <v>90000</v>
      </c>
      <c r="L39" s="106" t="s">
        <v>103</v>
      </c>
      <c r="M39" s="106" t="s">
        <v>180</v>
      </c>
      <c r="N39" s="106" t="s">
        <v>98</v>
      </c>
      <c r="O39" s="108" t="s">
        <v>38</v>
      </c>
      <c r="P39" s="109">
        <v>35830</v>
      </c>
      <c r="Q39" s="106" t="s">
        <v>110</v>
      </c>
      <c r="R39" s="105" t="s">
        <v>187</v>
      </c>
      <c r="S39" s="105">
        <v>3215962091</v>
      </c>
      <c r="T39" s="116" t="s">
        <v>191</v>
      </c>
      <c r="U39" s="105" t="str">
        <f>IF(O39=CURSOS!$D$3,"DIPLOMADO EN ATENCION PRE-HOSPITALARIA",IF(O39=CURSOS!$D$4,"ACOMPAÑAMIENTO Y MANEJO DEL DUELO",IF(O39=CURSOS!$D$5,"ATENCION A VICTIMAS DE ATAQUE CON AGENTES QUIMICOS ",IF(O39=CURSOS!$D$6,"PRIMEROS AUXILIOS ",IF(O39=CURSOS!$D$7,"DIPLOMADO DE UNIDAD DE CUIDADOS INTENSIVOS (UCI)",IF(O39=CURSOS!$D$8,"MODELO DE ATENCION PARA EVENTOS EMERGENTES EN SALUD MENTAL (CODIGO VERDE)",IF(O39=CURSOS!$D$9,"HUMANIZACION EN EL SERVICIO DE LA SALUD Y BUENAS PRACTICAS EN PACIENTE ",IF(O39=CURSOS!$D$10,"CLINICA DE HERIDAS ",IF(O39=CURSOS!$D$11,"TOMA DE CITOLOGIA CERVICO VAGINAL ",IF(O39=CURSOS!$D$12,"SOPORTE CARDIOVASCULAR AVANZADO (ACLS) ",IF(O39=CURSOS!$D$13,"CAMILLERO ",IF(O39=CURSOS!$D$14,"TOMA DE MUESTRAS Y LABORATORIO ",IF(O39=CURSOS!$D$15,"SOPORTE VITAL BASICO (BLS)",IF(O39=CURSOS!$D$16,"ATENCION A VICTIMAS DE VIOLENCIA SEXUAL ",IF(O39=CURSOS!$D$17,"PROGRAMADO AMPLIADO DE INMUNIZACION (PAI - COVID 19)",IF(O39=CURSOS!$D$18,"ATENCION INTEGRAL EN ENFERMEDADES PREVALENTES EN PRIMERA INFANCIA (AIEPI)",IF(O39=CURSOS!$D$19,"ADMINISTRACION DE MEDICAMENTOS, INYECTOLOGIA  Y CANALIZACION ",IF(O39=CURSOS!$D$20,"OPERADOR DE VEHICULOS DE EMERGENCIA (OVE)",IF(O39=CURSOS!$D$21,"INSTITUCIONES AMIGAS DE LA MUJER Y LA INFANCIA (IAMI)",IF(O39=CURSOS!$D$22,"CUIDADO DEL DONANTE DE ORGANOS",IF(O39=CURSOS!$D$23,"ATENCION A VICTIMAS POR VIOLENCIA DE GENERO",IF(O39=CURSOS!$D$24,"IGUALDAD DE GENERO EN LA SALUD",IF(O39=CURSOS!$D$25,"BRIGADA DE EMERGENCIA",IF(O39=CURSOS!$D$26,"MANEJO DEL DOLOR Y CUIDADOS PALIATIVOS",IF(O39=CURSOS!$D$27,"TOMA DE MUESTRAS Y LABORATORIO POCT",IF(O39=CURSOS!$D$28,"IMPLANTE SUBDERMICO DE DISPOSITIVO INTRAUTERINO",IF(O39=CURSOS!$D$29,"SALUD MENTAL",IF(O39=CURSOS!$D$30,"PRIMEROS AUXILIOS PSICOLOGICOS",IF(O39=CURSOS!$D$31,"ATENCION A VICTIMAS POR CONFLICTO ARMADO",IF(O39=CURSOS!$D$32,"MANIPULACION DE ALIMENTOS Y BPM",IF(O39=CURSOS!$D$33,"ATENCION A PERSONAS CON DISCAPACIDAD",IF(O39=CURSOS!$D$34,"CUIDADO INTEGRAL DEL PACIENTE ADULTO",IF(O39=CURSOS!$D$35,"MANEJO DEFENSIVO",IF(O39=CURSOS!$D$36,"SOPORTE CARDIOVASCULAR AVANZADO NEONATAL",IF(O39=CURSOS!$D$37,"SEGURIDAD DEL PACIENTE",IF(O39=CURSOS!$D$38,"MANEJO Y USO DEL DEA",IF(O39=CURSOS!$D$39,"TRIAGE")))))))))))))))))))))))))))))))))))))</f>
        <v xml:space="preserve">SOPORTE CARDIOVASCULAR AVANZADO (ACLS) </v>
      </c>
      <c r="V39" s="105" t="str">
        <f t="shared" si="5"/>
        <v>Jhuliana Cristhina Villota Delgado</v>
      </c>
      <c r="W39" s="105" t="str">
        <f t="shared" si="6"/>
        <v>Jhuliana Cristhina Villota Delgado</v>
      </c>
      <c r="X39" s="105" t="str">
        <f t="shared" si="7"/>
        <v>Jhuliana Cristhina Villota Delgado-1086139693-ACLS</v>
      </c>
    </row>
    <row r="40" spans="1:24" s="37" customFormat="1" hidden="1" x14ac:dyDescent="0.2">
      <c r="A40" s="41">
        <v>39</v>
      </c>
      <c r="B40" s="43">
        <v>1086139693</v>
      </c>
      <c r="C40" s="44" t="s">
        <v>112</v>
      </c>
      <c r="D40" s="44" t="s">
        <v>90</v>
      </c>
      <c r="E40" s="44" t="s">
        <v>189</v>
      </c>
      <c r="F40" s="44" t="s">
        <v>190</v>
      </c>
      <c r="G40" s="45">
        <v>5</v>
      </c>
      <c r="H40" s="45" t="s">
        <v>99</v>
      </c>
      <c r="I40" s="45" t="s">
        <v>408</v>
      </c>
      <c r="J40" s="46" t="s">
        <v>192</v>
      </c>
      <c r="K40" s="47">
        <v>0</v>
      </c>
      <c r="L40" s="45" t="s">
        <v>192</v>
      </c>
      <c r="M40" s="45" t="s">
        <v>180</v>
      </c>
      <c r="N40" s="45" t="s">
        <v>98</v>
      </c>
      <c r="O40" s="48" t="s">
        <v>19</v>
      </c>
      <c r="P40" s="49">
        <v>35830</v>
      </c>
      <c r="Q40" s="45" t="s">
        <v>110</v>
      </c>
      <c r="R40" s="44" t="s">
        <v>187</v>
      </c>
      <c r="S40" s="44">
        <v>3215962091</v>
      </c>
      <c r="T40" s="60" t="s">
        <v>191</v>
      </c>
      <c r="U40" s="51" t="str">
        <f>IF(O40=CURSOS!$D$3,"DIPLOMADO EN ATENCION PRE-HOSPITALARIA",IF(O40=CURSOS!$D$4,"ACOMPAÑAMIENTO Y MANEJO DEL DUELO",IF(O40=CURSOS!$D$5,"ATENCION A VICTIMAS DE ATAQUE CON AGENTES QUIMICOS ",IF(O40=CURSOS!$D$6,"PRIMEROS AUXILIOS ",IF(O40=CURSOS!$D$7,"DIPLOMADO DE UNIDAD DE CUIDADOS INTENSIVOS (UCI)",IF(O40=CURSOS!$D$8,"MODELO DE ATENCION PARA EVENTOS EMERGENTES EN SALUD MENTAL (CODIGO VERDE)",IF(O40=CURSOS!$D$9,"HUMANIZACION EN EL SERVICIO DE LA SALUD Y BUENAS PRACTICAS EN PACIENTE ",IF(O40=CURSOS!$D$10,"CLINICA DE HERIDAS ",IF(O40=CURSOS!$D$11,"TOMA DE CITOLOGIA CERVICO VAGINAL ",IF(O40=CURSOS!$D$12,"SOPORTE CARDIOVASCULAR AVANZADO (ACLS) ",IF(O40=CURSOS!$D$13,"CAMILLERO ",IF(O40=CURSOS!$D$14,"TOMA DE MUESTRAS Y LABORATORIO ",IF(O40=CURSOS!$D$15,"SOPORTE VITAL BASICO (BLS)",IF(O40=CURSOS!$D$16,"ATENCION A VICTIMAS DE VIOLENCIA SEXUAL ",IF(O40=CURSOS!$D$17,"PROGRAMADO AMPLIADO DE INMUNIZACION (PAI - COVID 19)",IF(O40=CURSOS!$D$18,"ATENCION INTEGRAL EN ENFERMEDADES PREVALENTES EN PRIMERA INFANCIA (AIEPI)",IF(O40=CURSOS!$D$19,"ADMINISTRACION DE MEDICAMENTOS, INYECTOLOGIA  Y CANALIZACION ",IF(O40=CURSOS!$D$20,"OPERADOR DE VEHICULOS DE EMERGENCIA (OVE)",IF(O40=CURSOS!$D$21,"INSTITUCIONES AMIGAS DE LA MUJER Y LA INFANCIA (IAMI)",IF(O40=CURSOS!$D$22,"CUIDADO DEL DONANTE DE ORGANOS",IF(O40=CURSOS!$D$23,"ATENCION A VICTIMAS POR VIOLENCIA DE GENERO",IF(O40=CURSOS!$D$24,"IGUALDAD DE GENERO EN LA SALUD",IF(O40=CURSOS!$D$25,"BRIGADA DE EMERGENCIA",IF(O40=CURSOS!$D$26,"MANEJO DEL DOLOR Y CUIDADOS PALIATIVOS",IF(O40=CURSOS!$D$27,"TOMA DE MUESTRAS Y LABORATORIO POCT",IF(O40=CURSOS!$D$28,"IMPLANTE SUBDERMICO DE DISPOSITIVO INTRAUTERINO",IF(O40=CURSOS!$D$29,"SALUD MENTAL",IF(O40=CURSOS!$D$30,"PRIMEROS AUXILIOS PSICOLOGICOS",IF(O40=CURSOS!$D$31,"ATENCION A VICTIMAS POR CONFLICTO ARMADO",IF(O40=CURSOS!$D$32,"MANIPULACION DE ALIMENTOS Y BPM",IF(O40=CURSOS!$D$33,"ATENCION A PERSONAS CON DISCAPACIDAD",IF(O40=CURSOS!$D$34,"CUIDADO INTEGRAL DEL PACIENTE ADULTO",IF(O40=CURSOS!$D$35,"MANEJO DEFENSIVO",IF(O40=CURSOS!$D$36,"SOPORTE CARDIOVASCULAR AVANZADO NEONATAL",IF(O40=CURSOS!$D$37,"SEGURIDAD DEL PACIENTE",IF(O40=CURSOS!$D$38,"MANEJO Y USO DEL DEA",IF(O40=CURSOS!$D$39,"TRIAGE")))))))))))))))))))))))))))))))))))))</f>
        <v>SOPORTE VITAL BASICO (BLS)</v>
      </c>
      <c r="V40" s="51" t="str">
        <f t="shared" si="5"/>
        <v>Jhuliana Cristhina Villota Delgado</v>
      </c>
      <c r="W40" s="51" t="str">
        <f t="shared" si="6"/>
        <v>Jhuliana Cristhina Villota Delgado</v>
      </c>
      <c r="X40" s="51" t="str">
        <f t="shared" si="7"/>
        <v>Jhuliana Cristhina Villota Delgado-1086139693-BLS</v>
      </c>
    </row>
    <row r="41" spans="1:24" s="37" customFormat="1" hidden="1" x14ac:dyDescent="0.2">
      <c r="A41" s="41">
        <v>40</v>
      </c>
      <c r="B41" s="44">
        <v>1081594941</v>
      </c>
      <c r="C41" s="44" t="s">
        <v>199</v>
      </c>
      <c r="D41" s="44" t="s">
        <v>157</v>
      </c>
      <c r="E41" s="44" t="s">
        <v>193</v>
      </c>
      <c r="F41" s="44" t="s">
        <v>194</v>
      </c>
      <c r="G41" s="45">
        <v>8</v>
      </c>
      <c r="H41" s="45" t="s">
        <v>99</v>
      </c>
      <c r="I41" s="45" t="s">
        <v>408</v>
      </c>
      <c r="J41" s="46"/>
      <c r="K41" s="47"/>
      <c r="L41" s="45"/>
      <c r="M41" s="45" t="s">
        <v>85</v>
      </c>
      <c r="N41" s="45" t="s">
        <v>195</v>
      </c>
      <c r="O41" s="48" t="s">
        <v>97</v>
      </c>
      <c r="P41" s="49"/>
      <c r="Q41" s="45" t="s">
        <v>104</v>
      </c>
      <c r="R41" s="44"/>
      <c r="S41" s="44"/>
      <c r="T41" s="60"/>
      <c r="U41" s="51" t="str">
        <f>IF(O41=CURSOS!$D$3,"DIPLOMADO EN ATENCION PRE-HOSPITALARIA",IF(O41=CURSOS!$D$4,"ACOMPAÑAMIENTO Y MANEJO DEL DUELO",IF(O41=CURSOS!$D$5,"ATENCION A VICTIMAS DE ATAQUE CON AGENTES QUIMICOS ",IF(O41=CURSOS!$D$6,"PRIMEROS AUXILIOS ",IF(O41=CURSOS!$D$7,"DIPLOMADO DE UNIDAD DE CUIDADOS INTENSIVOS (UCI)",IF(O41=CURSOS!$D$8,"MODELO DE ATENCION PARA EVENTOS EMERGENTES EN SALUD MENTAL (CODIGO VERDE)",IF(O41=CURSOS!$D$9,"HUMANIZACION EN EL SERVICIO DE LA SALUD Y BUENAS PRACTICAS EN PACIENTE ",IF(O41=CURSOS!$D$10,"CLINICA DE HERIDAS ",IF(O41=CURSOS!$D$11,"TOMA DE CITOLOGIA CERVICO VAGINAL ",IF(O41=CURSOS!$D$12,"SOPORTE CARDIOVASCULAR AVANZADO (ACLS) ",IF(O41=CURSOS!$D$13,"CAMILLERO ",IF(O41=CURSOS!$D$14,"TOMA DE MUESTRAS Y LABORATORIO ",IF(O41=CURSOS!$D$15,"SOPORTE VITAL BASICO (BLS)",IF(O41=CURSOS!$D$16,"ATENCION A VICTIMAS DE VIOLENCIA SEXUAL ",IF(O41=CURSOS!$D$17,"PROGRAMADO AMPLIADO DE INMUNIZACION (PAI - COVID 19)",IF(O41=CURSOS!$D$18,"ATENCION INTEGRAL EN ENFERMEDADES PREVALENTES EN PRIMERA INFANCIA (AIEPI)",IF(O41=CURSOS!$D$19,"ADMINISTRACION DE MEDICAMENTOS, INYECTOLOGIA  Y CANALIZACION ",IF(O41=CURSOS!$D$20,"OPERADOR DE VEHICULOS DE EMERGENCIA (OVE)",IF(O41=CURSOS!$D$21,"INSTITUCIONES AMIGAS DE LA MUJER Y LA INFANCIA (IAMI)",IF(O41=CURSOS!$D$22,"CUIDADO DEL DONANTE DE ORGANOS",IF(O41=CURSOS!$D$23,"ATENCION A VICTIMAS POR VIOLENCIA DE GENERO",IF(O41=CURSOS!$D$24,"IGUALDAD DE GENERO EN LA SALUD",IF(O41=CURSOS!$D$25,"BRIGADA DE EMERGENCIA",IF(O41=CURSOS!$D$26,"MANEJO DEL DOLOR Y CUIDADOS PALIATIVOS",IF(O41=CURSOS!$D$27,"TOMA DE MUESTRAS Y LABORATORIO POCT",IF(O41=CURSOS!$D$28,"IMPLANTE SUBDERMICO DE DISPOSITIVO INTRAUTERINO",IF(O41=CURSOS!$D$29,"SALUD MENTAL",IF(O41=CURSOS!$D$30,"PRIMEROS AUXILIOS PSICOLOGICOS",IF(O41=CURSOS!$D$31,"ATENCION A VICTIMAS POR CONFLICTO ARMADO",IF(O41=CURSOS!$D$32,"MANIPULACION DE ALIMENTOS Y BPM",IF(O41=CURSOS!$D$33,"ATENCION A PERSONAS CON DISCAPACIDAD",IF(O41=CURSOS!$D$34,"CUIDADO INTEGRAL DEL PACIENTE ADULTO",IF(O41=CURSOS!$D$35,"MANEJO DEFENSIVO",IF(O41=CURSOS!$D$36,"SOPORTE CARDIOVASCULAR AVANZADO NEONATAL",IF(O41=CURSOS!$D$37,"SEGURIDAD DEL PACIENTE",IF(O41=CURSOS!$D$38,"MANEJO Y USO DEL DEA",IF(O41=CURSOS!$D$39,"TRIAGE")))))))))))))))))))))))))))))))))))))</f>
        <v>SEGURIDAD DEL PACIENTE</v>
      </c>
      <c r="V41" s="51" t="str">
        <f t="shared" si="2"/>
        <v>Faiber Andrey Díaz Carlosama</v>
      </c>
      <c r="W41" s="51" t="str">
        <f t="shared" si="3"/>
        <v>Faiber Andrey Díaz Carlosama</v>
      </c>
      <c r="X41" s="51" t="str">
        <f t="shared" si="4"/>
        <v>Faiber Andrey Díaz Carlosama-1081594941-PACIENTE</v>
      </c>
    </row>
    <row r="42" spans="1:24" s="37" customFormat="1" hidden="1" x14ac:dyDescent="0.2">
      <c r="A42" s="41">
        <v>41</v>
      </c>
      <c r="B42" s="44">
        <v>1081594941</v>
      </c>
      <c r="C42" s="44" t="s">
        <v>199</v>
      </c>
      <c r="D42" s="44" t="s">
        <v>157</v>
      </c>
      <c r="E42" s="44" t="s">
        <v>193</v>
      </c>
      <c r="F42" s="44" t="s">
        <v>194</v>
      </c>
      <c r="G42" s="45">
        <v>9</v>
      </c>
      <c r="H42" s="45" t="s">
        <v>99</v>
      </c>
      <c r="I42" s="45" t="s">
        <v>408</v>
      </c>
      <c r="J42" s="46"/>
      <c r="K42" s="47"/>
      <c r="L42" s="45"/>
      <c r="M42" s="45" t="s">
        <v>85</v>
      </c>
      <c r="N42" s="45" t="s">
        <v>195</v>
      </c>
      <c r="O42" s="48" t="s">
        <v>33</v>
      </c>
      <c r="P42" s="49"/>
      <c r="Q42" s="45" t="s">
        <v>104</v>
      </c>
      <c r="R42" s="44"/>
      <c r="S42" s="44"/>
      <c r="T42" s="60"/>
      <c r="U42" s="51" t="str">
        <f>IF(O42=CURSOS!$D$3,"DIPLOMADO EN ATENCION PRE-HOSPITALARIA",IF(O42=CURSOS!$D$4,"ACOMPAÑAMIENTO Y MANEJO DEL DUELO",IF(O42=CURSOS!$D$5,"ATENCION A VICTIMAS DE ATAQUE CON AGENTES QUIMICOS ",IF(O42=CURSOS!$D$6,"PRIMEROS AUXILIOS ",IF(O42=CURSOS!$D$7,"DIPLOMADO DE UNIDAD DE CUIDADOS INTENSIVOS (UCI)",IF(O42=CURSOS!$D$8,"MODELO DE ATENCION PARA EVENTOS EMERGENTES EN SALUD MENTAL (CODIGO VERDE)",IF(O42=CURSOS!$D$9,"HUMANIZACION EN EL SERVICIO DE LA SALUD Y BUENAS PRACTICAS EN PACIENTE ",IF(O42=CURSOS!$D$10,"CLINICA DE HERIDAS ",IF(O42=CURSOS!$D$11,"TOMA DE CITOLOGIA CERVICO VAGINAL ",IF(O42=CURSOS!$D$12,"SOPORTE CARDIOVASCULAR AVANZADO (ACLS) ",IF(O42=CURSOS!$D$13,"CAMILLERO ",IF(O42=CURSOS!$D$14,"TOMA DE MUESTRAS Y LABORATORIO ",IF(O42=CURSOS!$D$15,"SOPORTE VITAL BASICO (BLS)",IF(O42=CURSOS!$D$16,"ATENCION A VICTIMAS DE VIOLENCIA SEXUAL ",IF(O42=CURSOS!$D$17,"PROGRAMADO AMPLIADO DE INMUNIZACION (PAI - COVID 19)",IF(O42=CURSOS!$D$18,"ATENCION INTEGRAL EN ENFERMEDADES PREVALENTES EN PRIMERA INFANCIA (AIEPI)",IF(O42=CURSOS!$D$19,"ADMINISTRACION DE MEDICAMENTOS, INYECTOLOGIA  Y CANALIZACION ",IF(O42=CURSOS!$D$20,"OPERADOR DE VEHICULOS DE EMERGENCIA (OVE)",IF(O42=CURSOS!$D$21,"INSTITUCIONES AMIGAS DE LA MUJER Y LA INFANCIA (IAMI)",IF(O42=CURSOS!$D$22,"CUIDADO DEL DONANTE DE ORGANOS",IF(O42=CURSOS!$D$23,"ATENCION A VICTIMAS POR VIOLENCIA DE GENERO",IF(O42=CURSOS!$D$24,"IGUALDAD DE GENERO EN LA SALUD",IF(O42=CURSOS!$D$25,"BRIGADA DE EMERGENCIA",IF(O42=CURSOS!$D$26,"MANEJO DEL DOLOR Y CUIDADOS PALIATIVOS",IF(O42=CURSOS!$D$27,"TOMA DE MUESTRAS Y LABORATORIO POCT",IF(O42=CURSOS!$D$28,"IMPLANTE SUBDERMICO DE DISPOSITIVO INTRAUTERINO",IF(O42=CURSOS!$D$29,"SALUD MENTAL",IF(O42=CURSOS!$D$30,"PRIMEROS AUXILIOS PSICOLOGICOS",IF(O42=CURSOS!$D$31,"ATENCION A VICTIMAS POR CONFLICTO ARMADO",IF(O42=CURSOS!$D$32,"MANIPULACION DE ALIMENTOS Y BPM",IF(O42=CURSOS!$D$33,"ATENCION A PERSONAS CON DISCAPACIDAD",IF(O42=CURSOS!$D$34,"CUIDADO INTEGRAL DEL PACIENTE ADULTO",IF(O42=CURSOS!$D$35,"MANEJO DEFENSIVO",IF(O42=CURSOS!$D$36,"SOPORTE CARDIOVASCULAR AVANZADO NEONATAL",IF(O42=CURSOS!$D$37,"SEGURIDAD DEL PACIENTE",IF(O42=CURSOS!$D$38,"MANEJO Y USO DEL DEA",IF(O42=CURSOS!$D$39,"TRIAGE")))))))))))))))))))))))))))))))))))))</f>
        <v xml:space="preserve">HUMANIZACION EN EL SERVICIO DE LA SALUD Y BUENAS PRACTICAS EN PACIENTE </v>
      </c>
      <c r="V42" s="51" t="str">
        <f t="shared" si="2"/>
        <v>Faiber Andrey Díaz Carlosama</v>
      </c>
      <c r="W42" s="51" t="str">
        <f t="shared" si="3"/>
        <v>Faiber Andrey Díaz Carlosama</v>
      </c>
      <c r="X42" s="51" t="str">
        <f t="shared" si="4"/>
        <v>Faiber Andrey Díaz Carlosama-1081594941-HUMANIZACION</v>
      </c>
    </row>
    <row r="43" spans="1:24" s="37" customFormat="1" hidden="1" x14ac:dyDescent="0.2">
      <c r="A43" s="41">
        <v>42</v>
      </c>
      <c r="B43" s="44">
        <v>1007268074</v>
      </c>
      <c r="C43" s="44" t="s">
        <v>196</v>
      </c>
      <c r="D43" s="44" t="s">
        <v>197</v>
      </c>
      <c r="E43" s="44" t="s">
        <v>198</v>
      </c>
      <c r="F43" s="44" t="s">
        <v>167</v>
      </c>
      <c r="G43" s="45">
        <v>8</v>
      </c>
      <c r="H43" s="45" t="s">
        <v>99</v>
      </c>
      <c r="I43" s="45" t="s">
        <v>408</v>
      </c>
      <c r="J43" s="46"/>
      <c r="K43" s="47"/>
      <c r="L43" s="45"/>
      <c r="M43" s="45" t="s">
        <v>85</v>
      </c>
      <c r="N43" s="45" t="s">
        <v>195</v>
      </c>
      <c r="O43" s="48" t="s">
        <v>97</v>
      </c>
      <c r="P43" s="49"/>
      <c r="Q43" s="45" t="s">
        <v>110</v>
      </c>
      <c r="R43" s="44"/>
      <c r="S43" s="44"/>
      <c r="T43" s="44"/>
      <c r="U43" s="51" t="str">
        <f>IF(O43=CURSOS!$D$3,"DIPLOMADO EN ATENCION PRE-HOSPITALARIA",IF(O43=CURSOS!$D$4,"ACOMPAÑAMIENTO Y MANEJO DEL DUELO",IF(O43=CURSOS!$D$5,"ATENCION A VICTIMAS DE ATAQUE CON AGENTES QUIMICOS ",IF(O43=CURSOS!$D$6,"PRIMEROS AUXILIOS ",IF(O43=CURSOS!$D$7,"DIPLOMADO DE UNIDAD DE CUIDADOS INTENSIVOS (UCI)",IF(O43=CURSOS!$D$8,"MODELO DE ATENCION PARA EVENTOS EMERGENTES EN SALUD MENTAL (CODIGO VERDE)",IF(O43=CURSOS!$D$9,"HUMANIZACION EN EL SERVICIO DE LA SALUD Y BUENAS PRACTICAS EN PACIENTE ",IF(O43=CURSOS!$D$10,"CLINICA DE HERIDAS ",IF(O43=CURSOS!$D$11,"TOMA DE CITOLOGIA CERVICO VAGINAL ",IF(O43=CURSOS!$D$12,"SOPORTE CARDIOVASCULAR AVANZADO (ACLS) ",IF(O43=CURSOS!$D$13,"CAMILLERO ",IF(O43=CURSOS!$D$14,"TOMA DE MUESTRAS Y LABORATORIO ",IF(O43=CURSOS!$D$15,"SOPORTE VITAL BASICO (BLS)",IF(O43=CURSOS!$D$16,"ATENCION A VICTIMAS DE VIOLENCIA SEXUAL ",IF(O43=CURSOS!$D$17,"PROGRAMADO AMPLIADO DE INMUNIZACION (PAI - COVID 19)",IF(O43=CURSOS!$D$18,"ATENCION INTEGRAL EN ENFERMEDADES PREVALENTES EN PRIMERA INFANCIA (AIEPI)",IF(O43=CURSOS!$D$19,"ADMINISTRACION DE MEDICAMENTOS, INYECTOLOGIA  Y CANALIZACION ",IF(O43=CURSOS!$D$20,"OPERADOR DE VEHICULOS DE EMERGENCIA (OVE)",IF(O43=CURSOS!$D$21,"INSTITUCIONES AMIGAS DE LA MUJER Y LA INFANCIA (IAMI)",IF(O43=CURSOS!$D$22,"CUIDADO DEL DONANTE DE ORGANOS",IF(O43=CURSOS!$D$23,"ATENCION A VICTIMAS POR VIOLENCIA DE GENERO",IF(O43=CURSOS!$D$24,"IGUALDAD DE GENERO EN LA SALUD",IF(O43=CURSOS!$D$25,"BRIGADA DE EMERGENCIA",IF(O43=CURSOS!$D$26,"MANEJO DEL DOLOR Y CUIDADOS PALIATIVOS",IF(O43=CURSOS!$D$27,"TOMA DE MUESTRAS Y LABORATORIO POCT",IF(O43=CURSOS!$D$28,"IMPLANTE SUBDERMICO DE DISPOSITIVO INTRAUTERINO",IF(O43=CURSOS!$D$29,"SALUD MENTAL",IF(O43=CURSOS!$D$30,"PRIMEROS AUXILIOS PSICOLOGICOS",IF(O43=CURSOS!$D$31,"ATENCION A VICTIMAS POR CONFLICTO ARMADO",IF(O43=CURSOS!$D$32,"MANIPULACION DE ALIMENTOS Y BPM",IF(O43=CURSOS!$D$33,"ATENCION A PERSONAS CON DISCAPACIDAD",IF(O43=CURSOS!$D$34,"CUIDADO INTEGRAL DEL PACIENTE ADULTO",IF(O43=CURSOS!$D$35,"MANEJO DEFENSIVO",IF(O43=CURSOS!$D$36,"SOPORTE CARDIOVASCULAR AVANZADO NEONATAL",IF(O43=CURSOS!$D$37,"SEGURIDAD DEL PACIENTE",IF(O43=CURSOS!$D$38,"MANEJO Y USO DEL DEA",IF(O43=CURSOS!$D$39,"TRIAGE")))))))))))))))))))))))))))))))))))))</f>
        <v>SEGURIDAD DEL PACIENTE</v>
      </c>
      <c r="V43" s="51" t="str">
        <f t="shared" si="2"/>
        <v>Yadi Paola López Cerón</v>
      </c>
      <c r="W43" s="51" t="str">
        <f t="shared" si="3"/>
        <v>Yadi Paola López Cerón</v>
      </c>
      <c r="X43" s="51" t="str">
        <f t="shared" si="4"/>
        <v>Yadi Paola López Cerón-1007268074-PACIENTE</v>
      </c>
    </row>
    <row r="44" spans="1:24" s="37" customFormat="1" hidden="1" x14ac:dyDescent="0.2">
      <c r="A44" s="41">
        <v>43</v>
      </c>
      <c r="B44" s="44">
        <v>1007268074</v>
      </c>
      <c r="C44" s="44" t="s">
        <v>196</v>
      </c>
      <c r="D44" s="44" t="s">
        <v>197</v>
      </c>
      <c r="E44" s="44" t="s">
        <v>198</v>
      </c>
      <c r="F44" s="44" t="s">
        <v>167</v>
      </c>
      <c r="G44" s="45">
        <v>9</v>
      </c>
      <c r="H44" s="45" t="s">
        <v>99</v>
      </c>
      <c r="I44" s="45" t="s">
        <v>408</v>
      </c>
      <c r="J44" s="46"/>
      <c r="K44" s="47"/>
      <c r="L44" s="45"/>
      <c r="M44" s="45" t="s">
        <v>85</v>
      </c>
      <c r="N44" s="45" t="s">
        <v>195</v>
      </c>
      <c r="O44" s="48" t="s">
        <v>33</v>
      </c>
      <c r="P44" s="49"/>
      <c r="Q44" s="45" t="s">
        <v>110</v>
      </c>
      <c r="R44" s="44"/>
      <c r="S44" s="44"/>
      <c r="T44" s="44"/>
      <c r="U44" s="51" t="str">
        <f>IF(O44=CURSOS!$D$3,"DIPLOMADO EN ATENCION PRE-HOSPITALARIA",IF(O44=CURSOS!$D$4,"ACOMPAÑAMIENTO Y MANEJO DEL DUELO",IF(O44=CURSOS!$D$5,"ATENCION A VICTIMAS DE ATAQUE CON AGENTES QUIMICOS ",IF(O44=CURSOS!$D$6,"PRIMEROS AUXILIOS ",IF(O44=CURSOS!$D$7,"DIPLOMADO DE UNIDAD DE CUIDADOS INTENSIVOS (UCI)",IF(O44=CURSOS!$D$8,"MODELO DE ATENCION PARA EVENTOS EMERGENTES EN SALUD MENTAL (CODIGO VERDE)",IF(O44=CURSOS!$D$9,"HUMANIZACION EN EL SERVICIO DE LA SALUD Y BUENAS PRACTICAS EN PACIENTE ",IF(O44=CURSOS!$D$10,"CLINICA DE HERIDAS ",IF(O44=CURSOS!$D$11,"TOMA DE CITOLOGIA CERVICO VAGINAL ",IF(O44=CURSOS!$D$12,"SOPORTE CARDIOVASCULAR AVANZADO (ACLS) ",IF(O44=CURSOS!$D$13,"CAMILLERO ",IF(O44=CURSOS!$D$14,"TOMA DE MUESTRAS Y LABORATORIO ",IF(O44=CURSOS!$D$15,"SOPORTE VITAL BASICO (BLS)",IF(O44=CURSOS!$D$16,"ATENCION A VICTIMAS DE VIOLENCIA SEXUAL ",IF(O44=CURSOS!$D$17,"PROGRAMADO AMPLIADO DE INMUNIZACION (PAI - COVID 19)",IF(O44=CURSOS!$D$18,"ATENCION INTEGRAL EN ENFERMEDADES PREVALENTES EN PRIMERA INFANCIA (AIEPI)",IF(O44=CURSOS!$D$19,"ADMINISTRACION DE MEDICAMENTOS, INYECTOLOGIA  Y CANALIZACION ",IF(O44=CURSOS!$D$20,"OPERADOR DE VEHICULOS DE EMERGENCIA (OVE)",IF(O44=CURSOS!$D$21,"INSTITUCIONES AMIGAS DE LA MUJER Y LA INFANCIA (IAMI)",IF(O44=CURSOS!$D$22,"CUIDADO DEL DONANTE DE ORGANOS",IF(O44=CURSOS!$D$23,"ATENCION A VICTIMAS POR VIOLENCIA DE GENERO",IF(O44=CURSOS!$D$24,"IGUALDAD DE GENERO EN LA SALUD",IF(O44=CURSOS!$D$25,"BRIGADA DE EMERGENCIA",IF(O44=CURSOS!$D$26,"MANEJO DEL DOLOR Y CUIDADOS PALIATIVOS",IF(O44=CURSOS!$D$27,"TOMA DE MUESTRAS Y LABORATORIO POCT",IF(O44=CURSOS!$D$28,"IMPLANTE SUBDERMICO DE DISPOSITIVO INTRAUTERINO",IF(O44=CURSOS!$D$29,"SALUD MENTAL",IF(O44=CURSOS!$D$30,"PRIMEROS AUXILIOS PSICOLOGICOS",IF(O44=CURSOS!$D$31,"ATENCION A VICTIMAS POR CONFLICTO ARMADO",IF(O44=CURSOS!$D$32,"MANIPULACION DE ALIMENTOS Y BPM",IF(O44=CURSOS!$D$33,"ATENCION A PERSONAS CON DISCAPACIDAD",IF(O44=CURSOS!$D$34,"CUIDADO INTEGRAL DEL PACIENTE ADULTO",IF(O44=CURSOS!$D$35,"MANEJO DEFENSIVO",IF(O44=CURSOS!$D$36,"SOPORTE CARDIOVASCULAR AVANZADO NEONATAL",IF(O44=CURSOS!$D$37,"SEGURIDAD DEL PACIENTE",IF(O44=CURSOS!$D$38,"MANEJO Y USO DEL DEA",IF(O44=CURSOS!$D$39,"TRIAGE")))))))))))))))))))))))))))))))))))))</f>
        <v xml:space="preserve">HUMANIZACION EN EL SERVICIO DE LA SALUD Y BUENAS PRACTICAS EN PACIENTE </v>
      </c>
      <c r="V44" s="51" t="str">
        <f t="shared" si="2"/>
        <v>Yadi Paola López Cerón</v>
      </c>
      <c r="W44" s="51" t="str">
        <f t="shared" si="3"/>
        <v>Yadi Paola López Cerón</v>
      </c>
      <c r="X44" s="51" t="str">
        <f t="shared" si="4"/>
        <v>Yadi Paola López Cerón-1007268074-HUMANIZACION</v>
      </c>
    </row>
    <row r="45" spans="1:24" x14ac:dyDescent="0.2">
      <c r="A45" s="103">
        <v>44</v>
      </c>
      <c r="B45" s="105">
        <v>1085276593</v>
      </c>
      <c r="C45" s="105" t="s">
        <v>200</v>
      </c>
      <c r="D45" s="105" t="s">
        <v>204</v>
      </c>
      <c r="E45" s="105" t="s">
        <v>201</v>
      </c>
      <c r="F45" s="105" t="s">
        <v>202</v>
      </c>
      <c r="G45" s="106">
        <v>6</v>
      </c>
      <c r="H45" s="106" t="s">
        <v>99</v>
      </c>
      <c r="I45" s="106" t="s">
        <v>408</v>
      </c>
      <c r="J45" s="107">
        <v>45544</v>
      </c>
      <c r="K45" s="88">
        <v>30000</v>
      </c>
      <c r="L45" s="106" t="s">
        <v>103</v>
      </c>
      <c r="M45" s="106" t="s">
        <v>85</v>
      </c>
      <c r="N45" s="106" t="s">
        <v>98</v>
      </c>
      <c r="O45" s="108" t="s">
        <v>19</v>
      </c>
      <c r="P45" s="109">
        <v>32680</v>
      </c>
      <c r="Q45" s="106" t="s">
        <v>110</v>
      </c>
      <c r="R45" s="105" t="s">
        <v>123</v>
      </c>
      <c r="S45" s="104">
        <v>3132898821</v>
      </c>
      <c r="T45" s="105" t="s">
        <v>203</v>
      </c>
      <c r="U45" s="105" t="str">
        <f>IF(O45=CURSOS!$D$3,"DIPLOMADO EN ATENCION PRE-HOSPITALARIA",IF(O45=CURSOS!$D$4,"ACOMPAÑAMIENTO Y MANEJO DEL DUELO",IF(O45=CURSOS!$D$5,"ATENCION A VICTIMAS DE ATAQUE CON AGENTES QUIMICOS ",IF(O45=CURSOS!$D$6,"PRIMEROS AUXILIOS ",IF(O45=CURSOS!$D$7,"DIPLOMADO DE UNIDAD DE CUIDADOS INTENSIVOS (UCI)",IF(O45=CURSOS!$D$8,"MODELO DE ATENCION PARA EVENTOS EMERGENTES EN SALUD MENTAL (CODIGO VERDE)",IF(O45=CURSOS!$D$9,"HUMANIZACION EN EL SERVICIO DE LA SALUD Y BUENAS PRACTICAS EN PACIENTE ",IF(O45=CURSOS!$D$10,"CLINICA DE HERIDAS ",IF(O45=CURSOS!$D$11,"TOMA DE CITOLOGIA CERVICO VAGINAL ",IF(O45=CURSOS!$D$12,"SOPORTE CARDIOVASCULAR AVANZADO (ACLS) ",IF(O45=CURSOS!$D$13,"CAMILLERO ",IF(O45=CURSOS!$D$14,"TOMA DE MUESTRAS Y LABORATORIO ",IF(O45=CURSOS!$D$15,"SOPORTE VITAL BASICO (BLS)",IF(O45=CURSOS!$D$16,"ATENCION A VICTIMAS DE VIOLENCIA SEXUAL ",IF(O45=CURSOS!$D$17,"PROGRAMADO AMPLIADO DE INMUNIZACION (PAI - COVID 19)",IF(O45=CURSOS!$D$18,"ATENCION INTEGRAL EN ENFERMEDADES PREVALENTES EN PRIMERA INFANCIA (AIEPI)",IF(O45=CURSOS!$D$19,"ADMINISTRACION DE MEDICAMENTOS, INYECTOLOGIA  Y CANALIZACION ",IF(O45=CURSOS!$D$20,"OPERADOR DE VEHICULOS DE EMERGENCIA (OVE)",IF(O45=CURSOS!$D$21,"INSTITUCIONES AMIGAS DE LA MUJER Y LA INFANCIA (IAMI)",IF(O45=CURSOS!$D$22,"CUIDADO DEL DONANTE DE ORGANOS",IF(O45=CURSOS!$D$23,"ATENCION A VICTIMAS POR VIOLENCIA DE GENERO",IF(O45=CURSOS!$D$24,"IGUALDAD DE GENERO EN LA SALUD",IF(O45=CURSOS!$D$25,"BRIGADA DE EMERGENCIA",IF(O45=CURSOS!$D$26,"MANEJO DEL DOLOR Y CUIDADOS PALIATIVOS",IF(O45=CURSOS!$D$27,"TOMA DE MUESTRAS Y LABORATORIO POCT",IF(O45=CURSOS!$D$28,"IMPLANTE SUBDERMICO DE DISPOSITIVO INTRAUTERINO",IF(O45=CURSOS!$D$29,"SALUD MENTAL",IF(O45=CURSOS!$D$30,"PRIMEROS AUXILIOS PSICOLOGICOS",IF(O45=CURSOS!$D$31,"ATENCION A VICTIMAS POR CONFLICTO ARMADO",IF(O45=CURSOS!$D$32,"MANIPULACION DE ALIMENTOS Y BPM",IF(O45=CURSOS!$D$33,"ATENCION A PERSONAS CON DISCAPACIDAD",IF(O45=CURSOS!$D$34,"CUIDADO INTEGRAL DEL PACIENTE ADULTO",IF(O45=CURSOS!$D$35,"MANEJO DEFENSIVO",IF(O45=CURSOS!$D$36,"SOPORTE CARDIOVASCULAR AVANZADO NEONATAL",IF(O45=CURSOS!$D$37,"SEGURIDAD DEL PACIENTE",IF(O45=CURSOS!$D$38,"MANEJO Y USO DEL DEA",IF(O45=CURSOS!$D$39,"TRIAGE")))))))))))))))))))))))))))))))))))))</f>
        <v>SOPORTE VITAL BASICO (BLS)</v>
      </c>
      <c r="V45" s="105" t="str">
        <f t="shared" si="2"/>
        <v>Vanesa Fernanda Barrera Jarrin</v>
      </c>
      <c r="W45" s="105" t="str">
        <f t="shared" si="3"/>
        <v>Vanesa Fernanda Barrera Jarrin</v>
      </c>
      <c r="X45" s="105" t="str">
        <f t="shared" si="4"/>
        <v>Vanesa Fernanda Barrera Jarrin-1085276593-BLS</v>
      </c>
    </row>
    <row r="46" spans="1:24" x14ac:dyDescent="0.2">
      <c r="A46" s="103">
        <v>45</v>
      </c>
      <c r="B46" s="105">
        <v>1085276593</v>
      </c>
      <c r="C46" s="105" t="s">
        <v>200</v>
      </c>
      <c r="D46" s="105" t="s">
        <v>204</v>
      </c>
      <c r="E46" s="105" t="s">
        <v>201</v>
      </c>
      <c r="F46" s="105" t="s">
        <v>202</v>
      </c>
      <c r="G46" s="106">
        <v>9</v>
      </c>
      <c r="H46" s="106" t="s">
        <v>99</v>
      </c>
      <c r="I46" s="106" t="s">
        <v>408</v>
      </c>
      <c r="J46" s="107">
        <v>45544</v>
      </c>
      <c r="K46" s="88">
        <v>30000</v>
      </c>
      <c r="L46" s="106" t="s">
        <v>103</v>
      </c>
      <c r="M46" s="106" t="s">
        <v>85</v>
      </c>
      <c r="N46" s="106" t="s">
        <v>98</v>
      </c>
      <c r="O46" s="108" t="s">
        <v>43</v>
      </c>
      <c r="P46" s="109">
        <v>32680</v>
      </c>
      <c r="Q46" s="106" t="s">
        <v>110</v>
      </c>
      <c r="R46" s="105" t="s">
        <v>123</v>
      </c>
      <c r="S46" s="104">
        <v>3132898821</v>
      </c>
      <c r="T46" s="105" t="s">
        <v>203</v>
      </c>
      <c r="U46" s="105" t="str">
        <f>IF(O46=CURSOS!$D$3,"DIPLOMADO EN ATENCION PRE-HOSPITALARIA",IF(O46=CURSOS!$D$4,"ACOMPAÑAMIENTO Y MANEJO DEL DUELO",IF(O46=CURSOS!$D$5,"ATENCION A VICTIMAS DE ATAQUE CON AGENTES QUIMICOS ",IF(O46=CURSOS!$D$6,"PRIMEROS AUXILIOS ",IF(O46=CURSOS!$D$7,"DIPLOMADO DE UNIDAD DE CUIDADOS INTENSIVOS (UCI)",IF(O46=CURSOS!$D$8,"MODELO DE ATENCION PARA EVENTOS EMERGENTES EN SALUD MENTAL (CODIGO VERDE)",IF(O46=CURSOS!$D$9,"HUMANIZACION EN EL SERVICIO DE LA SALUD Y BUENAS PRACTICAS EN PACIENTE ",IF(O46=CURSOS!$D$10,"CLINICA DE HERIDAS ",IF(O46=CURSOS!$D$11,"TOMA DE CITOLOGIA CERVICO VAGINAL ",IF(O46=CURSOS!$D$12,"SOPORTE CARDIOVASCULAR AVANZADO (ACLS) ",IF(O46=CURSOS!$D$13,"CAMILLERO ",IF(O46=CURSOS!$D$14,"TOMA DE MUESTRAS Y LABORATORIO ",IF(O46=CURSOS!$D$15,"SOPORTE VITAL BASICO (BLS)",IF(O46=CURSOS!$D$16,"ATENCION A VICTIMAS DE VIOLENCIA SEXUAL ",IF(O46=CURSOS!$D$17,"PROGRAMADO AMPLIADO DE INMUNIZACION (PAI - COVID 19)",IF(O46=CURSOS!$D$18,"ATENCION INTEGRAL EN ENFERMEDADES PREVALENTES EN PRIMERA INFANCIA (AIEPI)",IF(O46=CURSOS!$D$19,"ADMINISTRACION DE MEDICAMENTOS, INYECTOLOGIA  Y CANALIZACION ",IF(O46=CURSOS!$D$20,"OPERADOR DE VEHICULOS DE EMERGENCIA (OVE)",IF(O46=CURSOS!$D$21,"INSTITUCIONES AMIGAS DE LA MUJER Y LA INFANCIA (IAMI)",IF(O46=CURSOS!$D$22,"CUIDADO DEL DONANTE DE ORGANOS",IF(O46=CURSOS!$D$23,"ATENCION A VICTIMAS POR VIOLENCIA DE GENERO",IF(O46=CURSOS!$D$24,"IGUALDAD DE GENERO EN LA SALUD",IF(O46=CURSOS!$D$25,"BRIGADA DE EMERGENCIA",IF(O46=CURSOS!$D$26,"MANEJO DEL DOLOR Y CUIDADOS PALIATIVOS",IF(O46=CURSOS!$D$27,"TOMA DE MUESTRAS Y LABORATORIO POCT",IF(O46=CURSOS!$D$28,"IMPLANTE SUBDERMICO DE DISPOSITIVO INTRAUTERINO",IF(O46=CURSOS!$D$29,"SALUD MENTAL",IF(O46=CURSOS!$D$30,"PRIMEROS AUXILIOS PSICOLOGICOS",IF(O46=CURSOS!$D$31,"ATENCION A VICTIMAS POR CONFLICTO ARMADO",IF(O46=CURSOS!$D$32,"MANIPULACION DE ALIMENTOS Y BPM",IF(O46=CURSOS!$D$33,"ATENCION A PERSONAS CON DISCAPACIDAD",IF(O46=CURSOS!$D$34,"CUIDADO INTEGRAL DEL PACIENTE ADULTO",IF(O46=CURSOS!$D$35,"MANEJO DEFENSIVO",IF(O46=CURSOS!$D$36,"SOPORTE CARDIOVASCULAR AVANZADO NEONATAL",IF(O46=CURSOS!$D$37,"SEGURIDAD DEL PACIENTE",IF(O46=CURSOS!$D$38,"MANEJO Y USO DEL DEA",IF(O46=CURSOS!$D$39,"TRIAGE")))))))))))))))))))))))))))))))))))))</f>
        <v xml:space="preserve">ATENCION A VICTIMAS DE VIOLENCIA SEXUAL </v>
      </c>
      <c r="V46" s="105" t="str">
        <f t="shared" si="2"/>
        <v>Vanesa Fernanda Barrera Jarrin</v>
      </c>
      <c r="W46" s="105" t="str">
        <f t="shared" si="3"/>
        <v>Vanesa Fernanda Barrera Jarrin</v>
      </c>
      <c r="X46" s="105" t="str">
        <f t="shared" si="4"/>
        <v>Vanesa Fernanda Barrera Jarrin-1085276593-VIOLENCIA SEXUAL</v>
      </c>
    </row>
    <row r="47" spans="1:24" x14ac:dyDescent="0.2">
      <c r="A47" s="103">
        <v>46</v>
      </c>
      <c r="B47" s="105">
        <v>1085276593</v>
      </c>
      <c r="C47" s="105" t="s">
        <v>200</v>
      </c>
      <c r="D47" s="105" t="s">
        <v>204</v>
      </c>
      <c r="E47" s="105" t="s">
        <v>201</v>
      </c>
      <c r="F47" s="105" t="s">
        <v>202</v>
      </c>
      <c r="G47" s="106">
        <v>6</v>
      </c>
      <c r="H47" s="106" t="s">
        <v>99</v>
      </c>
      <c r="I47" s="106" t="s">
        <v>408</v>
      </c>
      <c r="J47" s="107">
        <v>45544</v>
      </c>
      <c r="K47" s="88">
        <v>30000</v>
      </c>
      <c r="L47" s="106" t="s">
        <v>103</v>
      </c>
      <c r="M47" s="106" t="s">
        <v>85</v>
      </c>
      <c r="N47" s="106" t="s">
        <v>98</v>
      </c>
      <c r="O47" s="108" t="s">
        <v>23</v>
      </c>
      <c r="P47" s="109">
        <v>32680</v>
      </c>
      <c r="Q47" s="106" t="s">
        <v>110</v>
      </c>
      <c r="R47" s="105" t="s">
        <v>123</v>
      </c>
      <c r="S47" s="104">
        <v>3132898821</v>
      </c>
      <c r="T47" s="105" t="s">
        <v>203</v>
      </c>
      <c r="U47" s="105" t="str">
        <f>IF(O47=CURSOS!$D$3,"DIPLOMADO EN ATENCION PRE-HOSPITALARIA",IF(O47=CURSOS!$D$4,"ACOMPAÑAMIENTO Y MANEJO DEL DUELO",IF(O47=CURSOS!$D$5,"ATENCION A VICTIMAS DE ATAQUE CON AGENTES QUIMICOS ",IF(O47=CURSOS!$D$6,"PRIMEROS AUXILIOS ",IF(O47=CURSOS!$D$7,"DIPLOMADO DE UNIDAD DE CUIDADOS INTENSIVOS (UCI)",IF(O47=CURSOS!$D$8,"MODELO DE ATENCION PARA EVENTOS EMERGENTES EN SALUD MENTAL (CODIGO VERDE)",IF(O47=CURSOS!$D$9,"HUMANIZACION EN EL SERVICIO DE LA SALUD Y BUENAS PRACTICAS EN PACIENTE ",IF(O47=CURSOS!$D$10,"CLINICA DE HERIDAS ",IF(O47=CURSOS!$D$11,"TOMA DE CITOLOGIA CERVICO VAGINAL ",IF(O47=CURSOS!$D$12,"SOPORTE CARDIOVASCULAR AVANZADO (ACLS) ",IF(O47=CURSOS!$D$13,"CAMILLERO ",IF(O47=CURSOS!$D$14,"TOMA DE MUESTRAS Y LABORATORIO ",IF(O47=CURSOS!$D$15,"SOPORTE VITAL BASICO (BLS)",IF(O47=CURSOS!$D$16,"ATENCION A VICTIMAS DE VIOLENCIA SEXUAL ",IF(O47=CURSOS!$D$17,"PROGRAMADO AMPLIADO DE INMUNIZACION (PAI - COVID 19)",IF(O47=CURSOS!$D$18,"ATENCION INTEGRAL EN ENFERMEDADES PREVALENTES EN PRIMERA INFANCIA (AIEPI)",IF(O47=CURSOS!$D$19,"ADMINISTRACION DE MEDICAMENTOS, INYECTOLOGIA  Y CANALIZACION ",IF(O47=CURSOS!$D$20,"OPERADOR DE VEHICULOS DE EMERGENCIA (OVE)",IF(O47=CURSOS!$D$21,"INSTITUCIONES AMIGAS DE LA MUJER Y LA INFANCIA (IAMI)",IF(O47=CURSOS!$D$22,"CUIDADO DEL DONANTE DE ORGANOS",IF(O47=CURSOS!$D$23,"ATENCION A VICTIMAS POR VIOLENCIA DE GENERO",IF(O47=CURSOS!$D$24,"IGUALDAD DE GENERO EN LA SALUD",IF(O47=CURSOS!$D$25,"BRIGADA DE EMERGENCIA",IF(O47=CURSOS!$D$26,"MANEJO DEL DOLOR Y CUIDADOS PALIATIVOS",IF(O47=CURSOS!$D$27,"TOMA DE MUESTRAS Y LABORATORIO POCT",IF(O47=CURSOS!$D$28,"IMPLANTE SUBDERMICO DE DISPOSITIVO INTRAUTERINO",IF(O47=CURSOS!$D$29,"SALUD MENTAL",IF(O47=CURSOS!$D$30,"PRIMEROS AUXILIOS PSICOLOGICOS",IF(O47=CURSOS!$D$31,"ATENCION A VICTIMAS POR CONFLICTO ARMADO",IF(O47=CURSOS!$D$32,"MANIPULACION DE ALIMENTOS Y BPM",IF(O47=CURSOS!$D$33,"ATENCION A PERSONAS CON DISCAPACIDAD",IF(O47=CURSOS!$D$34,"CUIDADO INTEGRAL DEL PACIENTE ADULTO",IF(O47=CURSOS!$D$35,"MANEJO DEFENSIVO",IF(O47=CURSOS!$D$36,"SOPORTE CARDIOVASCULAR AVANZADO NEONATAL",IF(O47=CURSOS!$D$37,"SEGURIDAD DEL PACIENTE",IF(O47=CURSOS!$D$38,"MANEJO Y USO DEL DEA",IF(O47=CURSOS!$D$39,"TRIAGE")))))))))))))))))))))))))))))))))))))</f>
        <v>ACOMPAÑAMIENTO Y MANEJO DEL DUELO</v>
      </c>
      <c r="V47" s="105" t="str">
        <f t="shared" si="2"/>
        <v>Vanesa Fernanda Barrera Jarrin</v>
      </c>
      <c r="W47" s="105" t="str">
        <f t="shared" si="3"/>
        <v>Vanesa Fernanda Barrera Jarrin</v>
      </c>
      <c r="X47" s="105" t="str">
        <f t="shared" si="4"/>
        <v>Vanesa Fernanda Barrera Jarrin-1085276593-DUELO</v>
      </c>
    </row>
    <row r="48" spans="1:24" x14ac:dyDescent="0.2">
      <c r="A48" s="103">
        <v>47</v>
      </c>
      <c r="B48" s="105">
        <v>1085276593</v>
      </c>
      <c r="C48" s="105" t="s">
        <v>200</v>
      </c>
      <c r="D48" s="105" t="s">
        <v>204</v>
      </c>
      <c r="E48" s="105" t="s">
        <v>201</v>
      </c>
      <c r="F48" s="105" t="s">
        <v>202</v>
      </c>
      <c r="G48" s="106">
        <v>9</v>
      </c>
      <c r="H48" s="106" t="s">
        <v>99</v>
      </c>
      <c r="I48" s="106" t="s">
        <v>408</v>
      </c>
      <c r="J48" s="107">
        <v>45544</v>
      </c>
      <c r="K48" s="88">
        <v>30000</v>
      </c>
      <c r="L48" s="106" t="s">
        <v>103</v>
      </c>
      <c r="M48" s="106" t="s">
        <v>85</v>
      </c>
      <c r="N48" s="106" t="s">
        <v>98</v>
      </c>
      <c r="O48" s="108" t="s">
        <v>41</v>
      </c>
      <c r="P48" s="109">
        <v>32680</v>
      </c>
      <c r="Q48" s="106" t="s">
        <v>110</v>
      </c>
      <c r="R48" s="105" t="s">
        <v>123</v>
      </c>
      <c r="S48" s="104">
        <v>3132898821</v>
      </c>
      <c r="T48" s="105" t="s">
        <v>203</v>
      </c>
      <c r="U48" s="105" t="str">
        <f>IF(O48=CURSOS!$D$3,"DIPLOMADO EN ATENCION PRE-HOSPITALARIA",IF(O48=CURSOS!$D$4,"ACOMPAÑAMIENTO Y MANEJO DEL DUELO",IF(O48=CURSOS!$D$5,"ATENCION A VICTIMAS DE ATAQUE CON AGENTES QUIMICOS ",IF(O48=CURSOS!$D$6,"PRIMEROS AUXILIOS ",IF(O48=CURSOS!$D$7,"DIPLOMADO DE UNIDAD DE CUIDADOS INTENSIVOS (UCI)",IF(O48=CURSOS!$D$8,"MODELO DE ATENCION PARA EVENTOS EMERGENTES EN SALUD MENTAL (CODIGO VERDE)",IF(O48=CURSOS!$D$9,"HUMANIZACION EN EL SERVICIO DE LA SALUD Y BUENAS PRACTICAS EN PACIENTE ",IF(O48=CURSOS!$D$10,"CLINICA DE HERIDAS ",IF(O48=CURSOS!$D$11,"TOMA DE CITOLOGIA CERVICO VAGINAL ",IF(O48=CURSOS!$D$12,"SOPORTE CARDIOVASCULAR AVANZADO (ACLS) ",IF(O48=CURSOS!$D$13,"CAMILLERO ",IF(O48=CURSOS!$D$14,"TOMA DE MUESTRAS Y LABORATORIO ",IF(O48=CURSOS!$D$15,"SOPORTE VITAL BASICO (BLS)",IF(O48=CURSOS!$D$16,"ATENCION A VICTIMAS DE VIOLENCIA SEXUAL ",IF(O48=CURSOS!$D$17,"PROGRAMADO AMPLIADO DE INMUNIZACION (PAI - COVID 19)",IF(O48=CURSOS!$D$18,"ATENCION INTEGRAL EN ENFERMEDADES PREVALENTES EN PRIMERA INFANCIA (AIEPI)",IF(O48=CURSOS!$D$19,"ADMINISTRACION DE MEDICAMENTOS, INYECTOLOGIA  Y CANALIZACION ",IF(O48=CURSOS!$D$20,"OPERADOR DE VEHICULOS DE EMERGENCIA (OVE)",IF(O48=CURSOS!$D$21,"INSTITUCIONES AMIGAS DE LA MUJER Y LA INFANCIA (IAMI)",IF(O48=CURSOS!$D$22,"CUIDADO DEL DONANTE DE ORGANOS",IF(O48=CURSOS!$D$23,"ATENCION A VICTIMAS POR VIOLENCIA DE GENERO",IF(O48=CURSOS!$D$24,"IGUALDAD DE GENERO EN LA SALUD",IF(O48=CURSOS!$D$25,"BRIGADA DE EMERGENCIA",IF(O48=CURSOS!$D$26,"MANEJO DEL DOLOR Y CUIDADOS PALIATIVOS",IF(O48=CURSOS!$D$27,"TOMA DE MUESTRAS Y LABORATORIO POCT",IF(O48=CURSOS!$D$28,"IMPLANTE SUBDERMICO DE DISPOSITIVO INTRAUTERINO",IF(O48=CURSOS!$D$29,"SALUD MENTAL",IF(O48=CURSOS!$D$30,"PRIMEROS AUXILIOS PSICOLOGICOS",IF(O48=CURSOS!$D$31,"ATENCION A VICTIMAS POR CONFLICTO ARMADO",IF(O48=CURSOS!$D$32,"MANIPULACION DE ALIMENTOS Y BPM",IF(O48=CURSOS!$D$33,"ATENCION A PERSONAS CON DISCAPACIDAD",IF(O48=CURSOS!$D$34,"CUIDADO INTEGRAL DEL PACIENTE ADULTO",IF(O48=CURSOS!$D$35,"MANEJO DEFENSIVO",IF(O48=CURSOS!$D$36,"SOPORTE CARDIOVASCULAR AVANZADO NEONATAL",IF(O48=CURSOS!$D$37,"SEGURIDAD DEL PACIENTE",IF(O48=CURSOS!$D$38,"MANEJO Y USO DEL DEA",IF(O48=CURSOS!$D$39,"TRIAGE")))))))))))))))))))))))))))))))))))))</f>
        <v xml:space="preserve">TOMA DE MUESTRAS Y LABORATORIO </v>
      </c>
      <c r="V48" s="105" t="str">
        <f t="shared" si="2"/>
        <v>Vanesa Fernanda Barrera Jarrin</v>
      </c>
      <c r="W48" s="105" t="str">
        <f t="shared" si="3"/>
        <v>Vanesa Fernanda Barrera Jarrin</v>
      </c>
      <c r="X48" s="105" t="str">
        <f t="shared" si="4"/>
        <v>Vanesa Fernanda Barrera Jarrin-1085276593-TOMA DE MUESTRAS</v>
      </c>
    </row>
    <row r="49" spans="1:24" hidden="1" x14ac:dyDescent="0.2">
      <c r="A49" s="103">
        <v>48</v>
      </c>
      <c r="B49" s="105">
        <v>87455980</v>
      </c>
      <c r="C49" s="105" t="s">
        <v>205</v>
      </c>
      <c r="D49" s="105" t="s">
        <v>162</v>
      </c>
      <c r="E49" s="105" t="s">
        <v>206</v>
      </c>
      <c r="F49" s="105" t="s">
        <v>207</v>
      </c>
      <c r="G49" s="106">
        <v>10</v>
      </c>
      <c r="H49" s="106" t="s">
        <v>99</v>
      </c>
      <c r="I49" s="106" t="s">
        <v>408</v>
      </c>
      <c r="J49" s="107">
        <v>45545</v>
      </c>
      <c r="K49" s="88">
        <v>32000</v>
      </c>
      <c r="L49" s="106" t="s">
        <v>138</v>
      </c>
      <c r="M49" s="106" t="s">
        <v>85</v>
      </c>
      <c r="N49" s="106" t="s">
        <v>109</v>
      </c>
      <c r="O49" s="108" t="s">
        <v>23</v>
      </c>
      <c r="P49" s="109">
        <v>31070</v>
      </c>
      <c r="Q49" s="106" t="s">
        <v>104</v>
      </c>
      <c r="R49" s="105" t="s">
        <v>209</v>
      </c>
      <c r="S49" s="105">
        <v>3136415508</v>
      </c>
      <c r="T49" s="116" t="s">
        <v>208</v>
      </c>
      <c r="U49" s="105" t="str">
        <f>IF(O49=CURSOS!$D$3,"DIPLOMADO EN ATENCION PRE-HOSPITALARIA",IF(O49=CURSOS!$D$4,"ACOMPAÑAMIENTO Y MANEJO DEL DUELO",IF(O49=CURSOS!$D$5,"ATENCION A VICTIMAS DE ATAQUE CON AGENTES QUIMICOS ",IF(O49=CURSOS!$D$6,"PRIMEROS AUXILIOS ",IF(O49=CURSOS!$D$7,"DIPLOMADO DE UNIDAD DE CUIDADOS INTENSIVOS (UCI)",IF(O49=CURSOS!$D$8,"MODELO DE ATENCION PARA EVENTOS EMERGENTES EN SALUD MENTAL (CODIGO VERDE)",IF(O49=CURSOS!$D$9,"HUMANIZACION EN EL SERVICIO DE LA SALUD Y BUENAS PRACTICAS EN PACIENTE ",IF(O49=CURSOS!$D$10,"CLINICA DE HERIDAS ",IF(O49=CURSOS!$D$11,"TOMA DE CITOLOGIA CERVICO VAGINAL ",IF(O49=CURSOS!$D$12,"SOPORTE CARDIOVASCULAR AVANZADO (ACLS) ",IF(O49=CURSOS!$D$13,"CAMILLERO ",IF(O49=CURSOS!$D$14,"TOMA DE MUESTRAS Y LABORATORIO ",IF(O49=CURSOS!$D$15,"SOPORTE VITAL BASICO (BLS)",IF(O49=CURSOS!$D$16,"ATENCION A VICTIMAS DE VIOLENCIA SEXUAL ",IF(O49=CURSOS!$D$17,"PROGRAMADO AMPLIADO DE INMUNIZACION (PAI - COVID 19)",IF(O49=CURSOS!$D$18,"ATENCION INTEGRAL EN ENFERMEDADES PREVALENTES EN PRIMERA INFANCIA (AIEPI)",IF(O49=CURSOS!$D$19,"ADMINISTRACION DE MEDICAMENTOS, INYECTOLOGIA  Y CANALIZACION ",IF(O49=CURSOS!$D$20,"OPERADOR DE VEHICULOS DE EMERGENCIA (OVE)",IF(O49=CURSOS!$D$21,"INSTITUCIONES AMIGAS DE LA MUJER Y LA INFANCIA (IAMI)",IF(O49=CURSOS!$D$22,"CUIDADO DEL DONANTE DE ORGANOS",IF(O49=CURSOS!$D$23,"ATENCION A VICTIMAS POR VIOLENCIA DE GENERO",IF(O49=CURSOS!$D$24,"IGUALDAD DE GENERO EN LA SALUD",IF(O49=CURSOS!$D$25,"BRIGADA DE EMERGENCIA",IF(O49=CURSOS!$D$26,"MANEJO DEL DOLOR Y CUIDADOS PALIATIVOS",IF(O49=CURSOS!$D$27,"TOMA DE MUESTRAS Y LABORATORIO POCT",IF(O49=CURSOS!$D$28,"IMPLANTE SUBDERMICO DE DISPOSITIVO INTRAUTERINO",IF(O49=CURSOS!$D$29,"SALUD MENTAL",IF(O49=CURSOS!$D$30,"PRIMEROS AUXILIOS PSICOLOGICOS",IF(O49=CURSOS!$D$31,"ATENCION A VICTIMAS POR CONFLICTO ARMADO",IF(O49=CURSOS!$D$32,"MANIPULACION DE ALIMENTOS Y BPM",IF(O49=CURSOS!$D$33,"ATENCION A PERSONAS CON DISCAPACIDAD",IF(O49=CURSOS!$D$34,"CUIDADO INTEGRAL DEL PACIENTE ADULTO",IF(O49=CURSOS!$D$35,"MANEJO DEFENSIVO",IF(O49=CURSOS!$D$36,"SOPORTE CARDIOVASCULAR AVANZADO NEONATAL",IF(O49=CURSOS!$D$37,"SEGURIDAD DEL PACIENTE",IF(O49=CURSOS!$D$38,"MANEJO Y USO DEL DEA",IF(O49=CURSOS!$D$39,"TRIAGE")))))))))))))))))))))))))))))))))))))</f>
        <v>ACOMPAÑAMIENTO Y MANEJO DEL DUELO</v>
      </c>
      <c r="V49" s="105" t="str">
        <f t="shared" si="2"/>
        <v>Luis Alberto Estrada Benavides</v>
      </c>
      <c r="W49" s="105" t="str">
        <f t="shared" si="3"/>
        <v>Luis Alberto Estrada Benavides</v>
      </c>
      <c r="X49" s="105" t="str">
        <f t="shared" si="4"/>
        <v>Luis Alberto Estrada Benavides-87455980-DUELO</v>
      </c>
    </row>
    <row r="50" spans="1:24" hidden="1" x14ac:dyDescent="0.2">
      <c r="A50" s="103">
        <v>49</v>
      </c>
      <c r="B50" s="105">
        <v>87455980</v>
      </c>
      <c r="C50" s="105" t="s">
        <v>205</v>
      </c>
      <c r="D50" s="105" t="s">
        <v>162</v>
      </c>
      <c r="E50" s="105" t="s">
        <v>206</v>
      </c>
      <c r="F50" s="105" t="s">
        <v>207</v>
      </c>
      <c r="G50" s="106">
        <v>9</v>
      </c>
      <c r="H50" s="106" t="s">
        <v>99</v>
      </c>
      <c r="I50" s="106" t="s">
        <v>408</v>
      </c>
      <c r="J50" s="107">
        <v>45545</v>
      </c>
      <c r="K50" s="88">
        <v>32000</v>
      </c>
      <c r="L50" s="106" t="s">
        <v>138</v>
      </c>
      <c r="M50" s="106" t="s">
        <v>85</v>
      </c>
      <c r="N50" s="106" t="s">
        <v>109</v>
      </c>
      <c r="O50" s="108" t="s">
        <v>25</v>
      </c>
      <c r="P50" s="109">
        <v>31070</v>
      </c>
      <c r="Q50" s="106" t="s">
        <v>104</v>
      </c>
      <c r="R50" s="105" t="s">
        <v>209</v>
      </c>
      <c r="S50" s="105">
        <v>3136415508</v>
      </c>
      <c r="T50" s="116" t="s">
        <v>208</v>
      </c>
      <c r="U50" s="105" t="str">
        <f>IF(O50=CURSOS!$D$3,"DIPLOMADO EN ATENCION PRE-HOSPITALARIA",IF(O50=CURSOS!$D$4,"ACOMPAÑAMIENTO Y MANEJO DEL DUELO",IF(O50=CURSOS!$D$5,"ATENCION A VICTIMAS DE ATAQUE CON AGENTES QUIMICOS ",IF(O50=CURSOS!$D$6,"PRIMEROS AUXILIOS ",IF(O50=CURSOS!$D$7,"DIPLOMADO DE UNIDAD DE CUIDADOS INTENSIVOS (UCI)",IF(O50=CURSOS!$D$8,"MODELO DE ATENCION PARA EVENTOS EMERGENTES EN SALUD MENTAL (CODIGO VERDE)",IF(O50=CURSOS!$D$9,"HUMANIZACION EN EL SERVICIO DE LA SALUD Y BUENAS PRACTICAS EN PACIENTE ",IF(O50=CURSOS!$D$10,"CLINICA DE HERIDAS ",IF(O50=CURSOS!$D$11,"TOMA DE CITOLOGIA CERVICO VAGINAL ",IF(O50=CURSOS!$D$12,"SOPORTE CARDIOVASCULAR AVANZADO (ACLS) ",IF(O50=CURSOS!$D$13,"CAMILLERO ",IF(O50=CURSOS!$D$14,"TOMA DE MUESTRAS Y LABORATORIO ",IF(O50=CURSOS!$D$15,"SOPORTE VITAL BASICO (BLS)",IF(O50=CURSOS!$D$16,"ATENCION A VICTIMAS DE VIOLENCIA SEXUAL ",IF(O50=CURSOS!$D$17,"PROGRAMADO AMPLIADO DE INMUNIZACION (PAI - COVID 19)",IF(O50=CURSOS!$D$18,"ATENCION INTEGRAL EN ENFERMEDADES PREVALENTES EN PRIMERA INFANCIA (AIEPI)",IF(O50=CURSOS!$D$19,"ADMINISTRACION DE MEDICAMENTOS, INYECTOLOGIA  Y CANALIZACION ",IF(O50=CURSOS!$D$20,"OPERADOR DE VEHICULOS DE EMERGENCIA (OVE)",IF(O50=CURSOS!$D$21,"INSTITUCIONES AMIGAS DE LA MUJER Y LA INFANCIA (IAMI)",IF(O50=CURSOS!$D$22,"CUIDADO DEL DONANTE DE ORGANOS",IF(O50=CURSOS!$D$23,"ATENCION A VICTIMAS POR VIOLENCIA DE GENERO",IF(O50=CURSOS!$D$24,"IGUALDAD DE GENERO EN LA SALUD",IF(O50=CURSOS!$D$25,"BRIGADA DE EMERGENCIA",IF(O50=CURSOS!$D$26,"MANEJO DEL DOLOR Y CUIDADOS PALIATIVOS",IF(O50=CURSOS!$D$27,"TOMA DE MUESTRAS Y LABORATORIO POCT",IF(O50=CURSOS!$D$28,"IMPLANTE SUBDERMICO DE DISPOSITIVO INTRAUTERINO",IF(O50=CURSOS!$D$29,"SALUD MENTAL",IF(O50=CURSOS!$D$30,"PRIMEROS AUXILIOS PSICOLOGICOS",IF(O50=CURSOS!$D$31,"ATENCION A VICTIMAS POR CONFLICTO ARMADO",IF(O50=CURSOS!$D$32,"MANIPULACION DE ALIMENTOS Y BPM",IF(O50=CURSOS!$D$33,"ATENCION A PERSONAS CON DISCAPACIDAD",IF(O50=CURSOS!$D$34,"CUIDADO INTEGRAL DEL PACIENTE ADULTO",IF(O50=CURSOS!$D$35,"MANEJO DEFENSIVO",IF(O50=CURSOS!$D$36,"SOPORTE CARDIOVASCULAR AVANZADO NEONATAL",IF(O50=CURSOS!$D$37,"SEGURIDAD DEL PACIENTE",IF(O50=CURSOS!$D$38,"MANEJO Y USO DEL DEA",IF(O50=CURSOS!$D$39,"TRIAGE")))))))))))))))))))))))))))))))))))))</f>
        <v xml:space="preserve">ATENCION A VICTIMAS DE ATAQUE CON AGENTES QUIMICOS </v>
      </c>
      <c r="V50" s="105" t="str">
        <f t="shared" si="2"/>
        <v>Luis Alberto Estrada Benavides</v>
      </c>
      <c r="W50" s="105" t="str">
        <f t="shared" si="3"/>
        <v>Luis Alberto Estrada Benavides</v>
      </c>
      <c r="X50" s="105" t="str">
        <f t="shared" si="4"/>
        <v>Luis Alberto Estrada Benavides-87455980-QUIMICOS</v>
      </c>
    </row>
    <row r="51" spans="1:24" hidden="1" x14ac:dyDescent="0.2">
      <c r="A51" s="103">
        <v>50</v>
      </c>
      <c r="B51" s="105">
        <v>87455980</v>
      </c>
      <c r="C51" s="105" t="s">
        <v>205</v>
      </c>
      <c r="D51" s="105" t="s">
        <v>162</v>
      </c>
      <c r="E51" s="105" t="s">
        <v>206</v>
      </c>
      <c r="F51" s="105" t="s">
        <v>207</v>
      </c>
      <c r="G51" s="106">
        <v>9</v>
      </c>
      <c r="H51" s="106" t="s">
        <v>99</v>
      </c>
      <c r="I51" s="106" t="s">
        <v>408</v>
      </c>
      <c r="J51" s="107">
        <v>45545</v>
      </c>
      <c r="K51" s="88">
        <v>32000</v>
      </c>
      <c r="L51" s="106" t="s">
        <v>138</v>
      </c>
      <c r="M51" s="106" t="s">
        <v>85</v>
      </c>
      <c r="N51" s="106" t="s">
        <v>109</v>
      </c>
      <c r="O51" s="108" t="s">
        <v>43</v>
      </c>
      <c r="P51" s="109">
        <v>31070</v>
      </c>
      <c r="Q51" s="106" t="s">
        <v>104</v>
      </c>
      <c r="R51" s="105" t="s">
        <v>209</v>
      </c>
      <c r="S51" s="105">
        <v>3136415508</v>
      </c>
      <c r="T51" s="105" t="s">
        <v>208</v>
      </c>
      <c r="U51" s="105" t="str">
        <f>IF(O51=CURSOS!$D$3,"DIPLOMADO EN ATENCION PRE-HOSPITALARIA",IF(O51=CURSOS!$D$4,"ACOMPAÑAMIENTO Y MANEJO DEL DUELO",IF(O51=CURSOS!$D$5,"ATENCION A VICTIMAS DE ATAQUE CON AGENTES QUIMICOS ",IF(O51=CURSOS!$D$6,"PRIMEROS AUXILIOS ",IF(O51=CURSOS!$D$7,"DIPLOMADO DE UNIDAD DE CUIDADOS INTENSIVOS (UCI)",IF(O51=CURSOS!$D$8,"MODELO DE ATENCION PARA EVENTOS EMERGENTES EN SALUD MENTAL (CODIGO VERDE)",IF(O51=CURSOS!$D$9,"HUMANIZACION EN EL SERVICIO DE LA SALUD Y BUENAS PRACTICAS EN PACIENTE ",IF(O51=CURSOS!$D$10,"CLINICA DE HERIDAS ",IF(O51=CURSOS!$D$11,"TOMA DE CITOLOGIA CERVICO VAGINAL ",IF(O51=CURSOS!$D$12,"SOPORTE CARDIOVASCULAR AVANZADO (ACLS) ",IF(O51=CURSOS!$D$13,"CAMILLERO ",IF(O51=CURSOS!$D$14,"TOMA DE MUESTRAS Y LABORATORIO ",IF(O51=CURSOS!$D$15,"SOPORTE VITAL BASICO (BLS)",IF(O51=CURSOS!$D$16,"ATENCION A VICTIMAS DE VIOLENCIA SEXUAL ",IF(O51=CURSOS!$D$17,"PROGRAMADO AMPLIADO DE INMUNIZACION (PAI - COVID 19)",IF(O51=CURSOS!$D$18,"ATENCION INTEGRAL EN ENFERMEDADES PREVALENTES EN PRIMERA INFANCIA (AIEPI)",IF(O51=CURSOS!$D$19,"ADMINISTRACION DE MEDICAMENTOS, INYECTOLOGIA  Y CANALIZACION ",IF(O51=CURSOS!$D$20,"OPERADOR DE VEHICULOS DE EMERGENCIA (OVE)",IF(O51=CURSOS!$D$21,"INSTITUCIONES AMIGAS DE LA MUJER Y LA INFANCIA (IAMI)",IF(O51=CURSOS!$D$22,"CUIDADO DEL DONANTE DE ORGANOS",IF(O51=CURSOS!$D$23,"ATENCION A VICTIMAS POR VIOLENCIA DE GENERO",IF(O51=CURSOS!$D$24,"IGUALDAD DE GENERO EN LA SALUD",IF(O51=CURSOS!$D$25,"BRIGADA DE EMERGENCIA",IF(O51=CURSOS!$D$26,"MANEJO DEL DOLOR Y CUIDADOS PALIATIVOS",IF(O51=CURSOS!$D$27,"TOMA DE MUESTRAS Y LABORATORIO POCT",IF(O51=CURSOS!$D$28,"IMPLANTE SUBDERMICO DE DISPOSITIVO INTRAUTERINO",IF(O51=CURSOS!$D$29,"SALUD MENTAL",IF(O51=CURSOS!$D$30,"PRIMEROS AUXILIOS PSICOLOGICOS",IF(O51=CURSOS!$D$31,"ATENCION A VICTIMAS POR CONFLICTO ARMADO",IF(O51=CURSOS!$D$32,"MANIPULACION DE ALIMENTOS Y BPM",IF(O51=CURSOS!$D$33,"ATENCION A PERSONAS CON DISCAPACIDAD",IF(O51=CURSOS!$D$34,"CUIDADO INTEGRAL DEL PACIENTE ADULTO",IF(O51=CURSOS!$D$35,"MANEJO DEFENSIVO",IF(O51=CURSOS!$D$36,"SOPORTE CARDIOVASCULAR AVANZADO NEONATAL",IF(O51=CURSOS!$D$37,"SEGURIDAD DEL PACIENTE",IF(O51=CURSOS!$D$38,"MANEJO Y USO DEL DEA",IF(O51=CURSOS!$D$39,"TRIAGE")))))))))))))))))))))))))))))))))))))</f>
        <v xml:space="preserve">ATENCION A VICTIMAS DE VIOLENCIA SEXUAL </v>
      </c>
      <c r="V51" s="105" t="str">
        <f t="shared" si="2"/>
        <v>Luis Alberto Estrada Benavides</v>
      </c>
      <c r="W51" s="105" t="str">
        <f t="shared" si="3"/>
        <v>Luis Alberto Estrada Benavides</v>
      </c>
      <c r="X51" s="105" t="str">
        <f t="shared" si="4"/>
        <v>Luis Alberto Estrada Benavides-87455980-VIOLENCIA SEXUAL</v>
      </c>
    </row>
    <row r="52" spans="1:24" hidden="1" x14ac:dyDescent="0.2">
      <c r="A52" s="103">
        <v>51</v>
      </c>
      <c r="B52" s="105">
        <v>1004697347</v>
      </c>
      <c r="C52" s="105" t="s">
        <v>139</v>
      </c>
      <c r="D52" s="105" t="s">
        <v>140</v>
      </c>
      <c r="E52" s="105" t="s">
        <v>141</v>
      </c>
      <c r="F52" s="105" t="s">
        <v>142</v>
      </c>
      <c r="G52" s="106">
        <v>10</v>
      </c>
      <c r="H52" s="106" t="s">
        <v>99</v>
      </c>
      <c r="I52" s="106" t="s">
        <v>408</v>
      </c>
      <c r="J52" s="107">
        <v>45545</v>
      </c>
      <c r="K52" s="88">
        <v>32000</v>
      </c>
      <c r="L52" s="106" t="s">
        <v>138</v>
      </c>
      <c r="M52" s="106" t="s">
        <v>85</v>
      </c>
      <c r="N52" s="106" t="s">
        <v>109</v>
      </c>
      <c r="O52" s="108" t="s">
        <v>25</v>
      </c>
      <c r="P52" s="109">
        <v>34667</v>
      </c>
      <c r="Q52" s="106" t="s">
        <v>104</v>
      </c>
      <c r="R52" s="105" t="s">
        <v>143</v>
      </c>
      <c r="S52" s="105">
        <v>3205014450</v>
      </c>
      <c r="T52" s="105" t="s">
        <v>144</v>
      </c>
      <c r="U52" s="105" t="str">
        <f>IF(O52=CURSOS!$D$3,"DIPLOMADO EN ATENCION PRE-HOSPITALARIA",IF(O52=CURSOS!$D$4,"ACOMPAÑAMIENTO Y MANEJO DEL DUELO",IF(O52=CURSOS!$D$5,"ATENCION A VICTIMAS DE ATAQUE CON AGENTES QUIMICOS ",IF(O52=CURSOS!$D$6,"PRIMEROS AUXILIOS ",IF(O52=CURSOS!$D$7,"DIPLOMADO DE UNIDAD DE CUIDADOS INTENSIVOS (UCI)",IF(O52=CURSOS!$D$8,"MODELO DE ATENCION PARA EVENTOS EMERGENTES EN SALUD MENTAL (CODIGO VERDE)",IF(O52=CURSOS!$D$9,"HUMANIZACION EN EL SERVICIO DE LA SALUD Y BUENAS PRACTICAS EN PACIENTE ",IF(O52=CURSOS!$D$10,"CLINICA DE HERIDAS ",IF(O52=CURSOS!$D$11,"TOMA DE CITOLOGIA CERVICO VAGINAL ",IF(O52=CURSOS!$D$12,"SOPORTE CARDIOVASCULAR AVANZADO (ACLS) ",IF(O52=CURSOS!$D$13,"CAMILLERO ",IF(O52=CURSOS!$D$14,"TOMA DE MUESTRAS Y LABORATORIO ",IF(O52=CURSOS!$D$15,"SOPORTE VITAL BASICO (BLS)",IF(O52=CURSOS!$D$16,"ATENCION A VICTIMAS DE VIOLENCIA SEXUAL ",IF(O52=CURSOS!$D$17,"PROGRAMADO AMPLIADO DE INMUNIZACION (PAI - COVID 19)",IF(O52=CURSOS!$D$18,"ATENCION INTEGRAL EN ENFERMEDADES PREVALENTES EN PRIMERA INFANCIA (AIEPI)",IF(O52=CURSOS!$D$19,"ADMINISTRACION DE MEDICAMENTOS, INYECTOLOGIA  Y CANALIZACION ",IF(O52=CURSOS!$D$20,"OPERADOR DE VEHICULOS DE EMERGENCIA (OVE)",IF(O52=CURSOS!$D$21,"INSTITUCIONES AMIGAS DE LA MUJER Y LA INFANCIA (IAMI)",IF(O52=CURSOS!$D$22,"CUIDADO DEL DONANTE DE ORGANOS",IF(O52=CURSOS!$D$23,"ATENCION A VICTIMAS POR VIOLENCIA DE GENERO",IF(O52=CURSOS!$D$24,"IGUALDAD DE GENERO EN LA SALUD",IF(O52=CURSOS!$D$25,"BRIGADA DE EMERGENCIA",IF(O52=CURSOS!$D$26,"MANEJO DEL DOLOR Y CUIDADOS PALIATIVOS",IF(O52=CURSOS!$D$27,"TOMA DE MUESTRAS Y LABORATORIO POCT",IF(O52=CURSOS!$D$28,"IMPLANTE SUBDERMICO DE DISPOSITIVO INTRAUTERINO",IF(O52=CURSOS!$D$29,"SALUD MENTAL",IF(O52=CURSOS!$D$30,"PRIMEROS AUXILIOS PSICOLOGICOS",IF(O52=CURSOS!$D$31,"ATENCION A VICTIMAS POR CONFLICTO ARMADO",IF(O52=CURSOS!$D$32,"MANIPULACION DE ALIMENTOS Y BPM",IF(O52=CURSOS!$D$33,"ATENCION A PERSONAS CON DISCAPACIDAD",IF(O52=CURSOS!$D$34,"CUIDADO INTEGRAL DEL PACIENTE ADULTO",IF(O52=CURSOS!$D$35,"MANEJO DEFENSIVO",IF(O52=CURSOS!$D$36,"SOPORTE CARDIOVASCULAR AVANZADO NEONATAL",IF(O52=CURSOS!$D$37,"SEGURIDAD DEL PACIENTE",IF(O52=CURSOS!$D$38,"MANEJO Y USO DEL DEA",IF(O52=CURSOS!$D$39,"TRIAGE")))))))))))))))))))))))))))))))))))))</f>
        <v xml:space="preserve">ATENCION A VICTIMAS DE ATAQUE CON AGENTES QUIMICOS </v>
      </c>
      <c r="V52" s="105" t="str">
        <f t="shared" si="2"/>
        <v>Jair Fernando Villacorte Ortega</v>
      </c>
      <c r="W52" s="105" t="str">
        <f t="shared" si="3"/>
        <v>Jair Fernando Villacorte Ortega</v>
      </c>
      <c r="X52" s="105" t="str">
        <f t="shared" si="4"/>
        <v>Jair Fernando Villacorte Ortega-1004697347-QUIMICOS</v>
      </c>
    </row>
    <row r="53" spans="1:24" s="37" customFormat="1" hidden="1" x14ac:dyDescent="0.2">
      <c r="A53" s="41">
        <v>52</v>
      </c>
      <c r="B53" s="44">
        <v>1086896702</v>
      </c>
      <c r="C53" s="44" t="s">
        <v>210</v>
      </c>
      <c r="D53" s="44" t="s">
        <v>211</v>
      </c>
      <c r="E53" s="44" t="s">
        <v>212</v>
      </c>
      <c r="F53" s="44" t="s">
        <v>213</v>
      </c>
      <c r="G53" s="45">
        <v>10</v>
      </c>
      <c r="H53" s="45" t="s">
        <v>99</v>
      </c>
      <c r="I53" s="45" t="s">
        <v>408</v>
      </c>
      <c r="J53" s="46">
        <v>45545</v>
      </c>
      <c r="K53" s="47">
        <v>40000</v>
      </c>
      <c r="L53" s="45" t="s">
        <v>216</v>
      </c>
      <c r="M53" s="45" t="s">
        <v>85</v>
      </c>
      <c r="N53" s="45" t="s">
        <v>214</v>
      </c>
      <c r="O53" s="48" t="s">
        <v>43</v>
      </c>
      <c r="P53" s="49">
        <v>35680</v>
      </c>
      <c r="Q53" s="45" t="s">
        <v>110</v>
      </c>
      <c r="R53" s="44" t="s">
        <v>123</v>
      </c>
      <c r="S53" s="44">
        <v>3174720537</v>
      </c>
      <c r="T53" s="44" t="s">
        <v>215</v>
      </c>
      <c r="U53" s="51" t="str">
        <f>IF(O53=CURSOS!$D$3,"DIPLOMADO EN ATENCION PRE-HOSPITALARIA",IF(O53=CURSOS!$D$4,"ACOMPAÑAMIENTO Y MANEJO DEL DUELO",IF(O53=CURSOS!$D$5,"ATENCION A VICTIMAS DE ATAQUE CON AGENTES QUIMICOS ",IF(O53=CURSOS!$D$6,"PRIMEROS AUXILIOS ",IF(O53=CURSOS!$D$7,"DIPLOMADO DE UNIDAD DE CUIDADOS INTENSIVOS (UCI)",IF(O53=CURSOS!$D$8,"MODELO DE ATENCION PARA EVENTOS EMERGENTES EN SALUD MENTAL (CODIGO VERDE)",IF(O53=CURSOS!$D$9,"HUMANIZACION EN EL SERVICIO DE LA SALUD Y BUENAS PRACTICAS EN PACIENTE ",IF(O53=CURSOS!$D$10,"CLINICA DE HERIDAS ",IF(O53=CURSOS!$D$11,"TOMA DE CITOLOGIA CERVICO VAGINAL ",IF(O53=CURSOS!$D$12,"SOPORTE CARDIOVASCULAR AVANZADO (ACLS) ",IF(O53=CURSOS!$D$13,"CAMILLERO ",IF(O53=CURSOS!$D$14,"TOMA DE MUESTRAS Y LABORATORIO ",IF(O53=CURSOS!$D$15,"SOPORTE VITAL BASICO (BLS)",IF(O53=CURSOS!$D$16,"ATENCION A VICTIMAS DE VIOLENCIA SEXUAL ",IF(O53=CURSOS!$D$17,"PROGRAMADO AMPLIADO DE INMUNIZACION (PAI - COVID 19)",IF(O53=CURSOS!$D$18,"ATENCION INTEGRAL EN ENFERMEDADES PREVALENTES EN PRIMERA INFANCIA (AIEPI)",IF(O53=CURSOS!$D$19,"ADMINISTRACION DE MEDICAMENTOS, INYECTOLOGIA  Y CANALIZACION ",IF(O53=CURSOS!$D$20,"OPERADOR DE VEHICULOS DE EMERGENCIA (OVE)",IF(O53=CURSOS!$D$21,"INSTITUCIONES AMIGAS DE LA MUJER Y LA INFANCIA (IAMI)",IF(O53=CURSOS!$D$22,"CUIDADO DEL DONANTE DE ORGANOS",IF(O53=CURSOS!$D$23,"ATENCION A VICTIMAS POR VIOLENCIA DE GENERO",IF(O53=CURSOS!$D$24,"IGUALDAD DE GENERO EN LA SALUD",IF(O53=CURSOS!$D$25,"BRIGADA DE EMERGENCIA",IF(O53=CURSOS!$D$26,"MANEJO DEL DOLOR Y CUIDADOS PALIATIVOS",IF(O53=CURSOS!$D$27,"TOMA DE MUESTRAS Y LABORATORIO POCT",IF(O53=CURSOS!$D$28,"IMPLANTE SUBDERMICO DE DISPOSITIVO INTRAUTERINO",IF(O53=CURSOS!$D$29,"SALUD MENTAL",IF(O53=CURSOS!$D$30,"PRIMEROS AUXILIOS PSICOLOGICOS",IF(O53=CURSOS!$D$31,"ATENCION A VICTIMAS POR CONFLICTO ARMADO",IF(O53=CURSOS!$D$32,"MANIPULACION DE ALIMENTOS Y BPM",IF(O53=CURSOS!$D$33,"ATENCION A PERSONAS CON DISCAPACIDAD",IF(O53=CURSOS!$D$34,"CUIDADO INTEGRAL DEL PACIENTE ADULTO",IF(O53=CURSOS!$D$35,"MANEJO DEFENSIVO",IF(O53=CURSOS!$D$36,"SOPORTE CARDIOVASCULAR AVANZADO NEONATAL",IF(O53=CURSOS!$D$37,"SEGURIDAD DEL PACIENTE",IF(O53=CURSOS!$D$38,"MANEJO Y USO DEL DEA",IF(O53=CURSOS!$D$39,"TRIAGE")))))))))))))))))))))))))))))))))))))</f>
        <v xml:space="preserve">ATENCION A VICTIMAS DE VIOLENCIA SEXUAL </v>
      </c>
      <c r="V53" s="51" t="str">
        <f t="shared" si="2"/>
        <v>Sandra Mabel Rodríguez Araujo</v>
      </c>
      <c r="W53" s="51" t="str">
        <f t="shared" si="3"/>
        <v>Sandra Mabel Rodríguez Araujo</v>
      </c>
      <c r="X53" s="51" t="str">
        <f t="shared" si="4"/>
        <v>Sandra Mabel Rodríguez Araujo-1086896702-VIOLENCIA SEXUAL</v>
      </c>
    </row>
    <row r="54" spans="1:24" x14ac:dyDescent="0.2">
      <c r="A54" s="103">
        <v>53</v>
      </c>
      <c r="B54" s="105">
        <v>14475674</v>
      </c>
      <c r="C54" s="105" t="s">
        <v>217</v>
      </c>
      <c r="D54" s="105" t="s">
        <v>218</v>
      </c>
      <c r="E54" s="105" t="s">
        <v>219</v>
      </c>
      <c r="F54" s="105"/>
      <c r="G54" s="106">
        <v>10</v>
      </c>
      <c r="H54" s="106" t="s">
        <v>99</v>
      </c>
      <c r="I54" s="106" t="s">
        <v>408</v>
      </c>
      <c r="J54" s="107">
        <v>45545</v>
      </c>
      <c r="K54" s="88">
        <v>99000</v>
      </c>
      <c r="L54" s="106" t="s">
        <v>103</v>
      </c>
      <c r="M54" s="106" t="s">
        <v>85</v>
      </c>
      <c r="N54" s="106" t="s">
        <v>98</v>
      </c>
      <c r="O54" s="108" t="s">
        <v>38</v>
      </c>
      <c r="P54" s="109">
        <v>30787</v>
      </c>
      <c r="Q54" s="106" t="s">
        <v>104</v>
      </c>
      <c r="R54" s="105" t="s">
        <v>221</v>
      </c>
      <c r="S54" s="105">
        <v>3136191895</v>
      </c>
      <c r="T54" s="105" t="s">
        <v>220</v>
      </c>
      <c r="U54" s="105" t="str">
        <f>IF(O54=CURSOS!$D$3,"DIPLOMADO EN ATENCION PRE-HOSPITALARIA",IF(O54=CURSOS!$D$4,"ACOMPAÑAMIENTO Y MANEJO DEL DUELO",IF(O54=CURSOS!$D$5,"ATENCION A VICTIMAS DE ATAQUE CON AGENTES QUIMICOS ",IF(O54=CURSOS!$D$6,"PRIMEROS AUXILIOS ",IF(O54=CURSOS!$D$7,"DIPLOMADO DE UNIDAD DE CUIDADOS INTENSIVOS (UCI)",IF(O54=CURSOS!$D$8,"MODELO DE ATENCION PARA EVENTOS EMERGENTES EN SALUD MENTAL (CODIGO VERDE)",IF(O54=CURSOS!$D$9,"HUMANIZACION EN EL SERVICIO DE LA SALUD Y BUENAS PRACTICAS EN PACIENTE ",IF(O54=CURSOS!$D$10,"CLINICA DE HERIDAS ",IF(O54=CURSOS!$D$11,"TOMA DE CITOLOGIA CERVICO VAGINAL ",IF(O54=CURSOS!$D$12,"SOPORTE CARDIOVASCULAR AVANZADO (ACLS) ",IF(O54=CURSOS!$D$13,"CAMILLERO ",IF(O54=CURSOS!$D$14,"TOMA DE MUESTRAS Y LABORATORIO ",IF(O54=CURSOS!$D$15,"SOPORTE VITAL BASICO (BLS)",IF(O54=CURSOS!$D$16,"ATENCION A VICTIMAS DE VIOLENCIA SEXUAL ",IF(O54=CURSOS!$D$17,"PROGRAMADO AMPLIADO DE INMUNIZACION (PAI - COVID 19)",IF(O54=CURSOS!$D$18,"ATENCION INTEGRAL EN ENFERMEDADES PREVALENTES EN PRIMERA INFANCIA (AIEPI)",IF(O54=CURSOS!$D$19,"ADMINISTRACION DE MEDICAMENTOS, INYECTOLOGIA  Y CANALIZACION ",IF(O54=CURSOS!$D$20,"OPERADOR DE VEHICULOS DE EMERGENCIA (OVE)",IF(O54=CURSOS!$D$21,"INSTITUCIONES AMIGAS DE LA MUJER Y LA INFANCIA (IAMI)",IF(O54=CURSOS!$D$22,"CUIDADO DEL DONANTE DE ORGANOS",IF(O54=CURSOS!$D$23,"ATENCION A VICTIMAS POR VIOLENCIA DE GENERO",IF(O54=CURSOS!$D$24,"IGUALDAD DE GENERO EN LA SALUD",IF(O54=CURSOS!$D$25,"BRIGADA DE EMERGENCIA",IF(O54=CURSOS!$D$26,"MANEJO DEL DOLOR Y CUIDADOS PALIATIVOS",IF(O54=CURSOS!$D$27,"TOMA DE MUESTRAS Y LABORATORIO POCT",IF(O54=CURSOS!$D$28,"IMPLANTE SUBDERMICO DE DISPOSITIVO INTRAUTERINO",IF(O54=CURSOS!$D$29,"SALUD MENTAL",IF(O54=CURSOS!$D$30,"PRIMEROS AUXILIOS PSICOLOGICOS",IF(O54=CURSOS!$D$31,"ATENCION A VICTIMAS POR CONFLICTO ARMADO",IF(O54=CURSOS!$D$32,"MANIPULACION DE ALIMENTOS Y BPM",IF(O54=CURSOS!$D$33,"ATENCION A PERSONAS CON DISCAPACIDAD",IF(O54=CURSOS!$D$34,"CUIDADO INTEGRAL DEL PACIENTE ADULTO",IF(O54=CURSOS!$D$35,"MANEJO DEFENSIVO",IF(O54=CURSOS!$D$36,"SOPORTE CARDIOVASCULAR AVANZADO NEONATAL",IF(O54=CURSOS!$D$37,"SEGURIDAD DEL PACIENTE",IF(O54=CURSOS!$D$38,"MANEJO Y USO DEL DEA",IF(O54=CURSOS!$D$39,"TRIAGE")))))))))))))))))))))))))))))))))))))</f>
        <v xml:space="preserve">SOPORTE CARDIOVASCULAR AVANZADO (ACLS) </v>
      </c>
      <c r="V54" s="105" t="str">
        <f t="shared" si="2"/>
        <v>Alexander  Valencia Ronal</v>
      </c>
      <c r="W54" s="105" t="str">
        <f t="shared" si="3"/>
        <v>Alexander  Valencia Ronal</v>
      </c>
      <c r="X54" s="105" t="str">
        <f t="shared" si="4"/>
        <v>Alexander  Valencia Ronal-14475674-ACLS</v>
      </c>
    </row>
    <row r="55" spans="1:24" x14ac:dyDescent="0.2">
      <c r="A55" s="103">
        <v>54</v>
      </c>
      <c r="B55" s="105">
        <v>14475674</v>
      </c>
      <c r="C55" s="105" t="s">
        <v>217</v>
      </c>
      <c r="D55" s="105" t="s">
        <v>218</v>
      </c>
      <c r="E55" s="105" t="s">
        <v>219</v>
      </c>
      <c r="F55" s="105"/>
      <c r="G55" s="106">
        <v>10</v>
      </c>
      <c r="H55" s="106" t="s">
        <v>99</v>
      </c>
      <c r="I55" s="106" t="s">
        <v>408</v>
      </c>
      <c r="J55" s="107">
        <v>45545</v>
      </c>
      <c r="K55" s="88">
        <v>0</v>
      </c>
      <c r="L55" s="106" t="s">
        <v>103</v>
      </c>
      <c r="M55" s="106" t="s">
        <v>85</v>
      </c>
      <c r="N55" s="106" t="s">
        <v>98</v>
      </c>
      <c r="O55" s="108" t="s">
        <v>19</v>
      </c>
      <c r="P55" s="109">
        <v>30787</v>
      </c>
      <c r="Q55" s="106" t="s">
        <v>104</v>
      </c>
      <c r="R55" s="105" t="s">
        <v>221</v>
      </c>
      <c r="S55" s="105">
        <v>3136191895</v>
      </c>
      <c r="T55" s="105" t="s">
        <v>220</v>
      </c>
      <c r="U55" s="105" t="str">
        <f>IF(O55=CURSOS!$D$3,"DIPLOMADO EN ATENCION PRE-HOSPITALARIA",IF(O55=CURSOS!$D$4,"ACOMPAÑAMIENTO Y MANEJO DEL DUELO",IF(O55=CURSOS!$D$5,"ATENCION A VICTIMAS DE ATAQUE CON AGENTES QUIMICOS ",IF(O55=CURSOS!$D$6,"PRIMEROS AUXILIOS ",IF(O55=CURSOS!$D$7,"DIPLOMADO DE UNIDAD DE CUIDADOS INTENSIVOS (UCI)",IF(O55=CURSOS!$D$8,"MODELO DE ATENCION PARA EVENTOS EMERGENTES EN SALUD MENTAL (CODIGO VERDE)",IF(O55=CURSOS!$D$9,"HUMANIZACION EN EL SERVICIO DE LA SALUD Y BUENAS PRACTICAS EN PACIENTE ",IF(O55=CURSOS!$D$10,"CLINICA DE HERIDAS ",IF(O55=CURSOS!$D$11,"TOMA DE CITOLOGIA CERVICO VAGINAL ",IF(O55=CURSOS!$D$12,"SOPORTE CARDIOVASCULAR AVANZADO (ACLS) ",IF(O55=CURSOS!$D$13,"CAMILLERO ",IF(O55=CURSOS!$D$14,"TOMA DE MUESTRAS Y LABORATORIO ",IF(O55=CURSOS!$D$15,"SOPORTE VITAL BASICO (BLS)",IF(O55=CURSOS!$D$16,"ATENCION A VICTIMAS DE VIOLENCIA SEXUAL ",IF(O55=CURSOS!$D$17,"PROGRAMADO AMPLIADO DE INMUNIZACION (PAI - COVID 19)",IF(O55=CURSOS!$D$18,"ATENCION INTEGRAL EN ENFERMEDADES PREVALENTES EN PRIMERA INFANCIA (AIEPI)",IF(O55=CURSOS!$D$19,"ADMINISTRACION DE MEDICAMENTOS, INYECTOLOGIA  Y CANALIZACION ",IF(O55=CURSOS!$D$20,"OPERADOR DE VEHICULOS DE EMERGENCIA (OVE)",IF(O55=CURSOS!$D$21,"INSTITUCIONES AMIGAS DE LA MUJER Y LA INFANCIA (IAMI)",IF(O55=CURSOS!$D$22,"CUIDADO DEL DONANTE DE ORGANOS",IF(O55=CURSOS!$D$23,"ATENCION A VICTIMAS POR VIOLENCIA DE GENERO",IF(O55=CURSOS!$D$24,"IGUALDAD DE GENERO EN LA SALUD",IF(O55=CURSOS!$D$25,"BRIGADA DE EMERGENCIA",IF(O55=CURSOS!$D$26,"MANEJO DEL DOLOR Y CUIDADOS PALIATIVOS",IF(O55=CURSOS!$D$27,"TOMA DE MUESTRAS Y LABORATORIO POCT",IF(O55=CURSOS!$D$28,"IMPLANTE SUBDERMICO DE DISPOSITIVO INTRAUTERINO",IF(O55=CURSOS!$D$29,"SALUD MENTAL",IF(O55=CURSOS!$D$30,"PRIMEROS AUXILIOS PSICOLOGICOS",IF(O55=CURSOS!$D$31,"ATENCION A VICTIMAS POR CONFLICTO ARMADO",IF(O55=CURSOS!$D$32,"MANIPULACION DE ALIMENTOS Y BPM",IF(O55=CURSOS!$D$33,"ATENCION A PERSONAS CON DISCAPACIDAD",IF(O55=CURSOS!$D$34,"CUIDADO INTEGRAL DEL PACIENTE ADULTO",IF(O55=CURSOS!$D$35,"MANEJO DEFENSIVO",IF(O55=CURSOS!$D$36,"SOPORTE CARDIOVASCULAR AVANZADO NEONATAL",IF(O55=CURSOS!$D$37,"SEGURIDAD DEL PACIENTE",IF(O55=CURSOS!$D$38,"MANEJO Y USO DEL DEA",IF(O55=CURSOS!$D$39,"TRIAGE")))))))))))))))))))))))))))))))))))))</f>
        <v>SOPORTE VITAL BASICO (BLS)</v>
      </c>
      <c r="V55" s="105" t="str">
        <f t="shared" si="2"/>
        <v>Alexander  Valencia Ronal</v>
      </c>
      <c r="W55" s="105" t="str">
        <f t="shared" si="3"/>
        <v>Alexander  Valencia Ronal</v>
      </c>
      <c r="X55" s="105" t="str">
        <f t="shared" si="4"/>
        <v>Alexander  Valencia Ronal-14475674-BLS</v>
      </c>
    </row>
    <row r="56" spans="1:24" x14ac:dyDescent="0.2">
      <c r="A56" s="103">
        <v>55</v>
      </c>
      <c r="B56" s="105">
        <v>37123296</v>
      </c>
      <c r="C56" s="105" t="s">
        <v>145</v>
      </c>
      <c r="D56" s="105" t="s">
        <v>222</v>
      </c>
      <c r="E56" s="105" t="s">
        <v>223</v>
      </c>
      <c r="F56" s="105" t="s">
        <v>224</v>
      </c>
      <c r="G56" s="106">
        <v>11</v>
      </c>
      <c r="H56" s="106" t="s">
        <v>99</v>
      </c>
      <c r="I56" s="106" t="s">
        <v>408</v>
      </c>
      <c r="J56" s="107">
        <v>45546</v>
      </c>
      <c r="K56" s="88">
        <v>40000</v>
      </c>
      <c r="L56" s="106" t="s">
        <v>103</v>
      </c>
      <c r="M56" s="106" t="s">
        <v>85</v>
      </c>
      <c r="N56" s="106" t="s">
        <v>98</v>
      </c>
      <c r="O56" s="108" t="s">
        <v>48</v>
      </c>
      <c r="P56" s="109">
        <v>29419</v>
      </c>
      <c r="Q56" s="106" t="s">
        <v>110</v>
      </c>
      <c r="R56" s="105" t="s">
        <v>123</v>
      </c>
      <c r="S56" s="105">
        <v>3158544383</v>
      </c>
      <c r="T56" s="105" t="s">
        <v>225</v>
      </c>
      <c r="U56" s="105" t="str">
        <f>IF(O56=CURSOS!$D$3,"DIPLOMADO EN ATENCION PRE-HOSPITALARIA",IF(O56=CURSOS!$D$4,"ACOMPAÑAMIENTO Y MANEJO DEL DUELO",IF(O56=CURSOS!$D$5,"ATENCION A VICTIMAS DE ATAQUE CON AGENTES QUIMICOS ",IF(O56=CURSOS!$D$6,"PRIMEROS AUXILIOS ",IF(O56=CURSOS!$D$7,"DIPLOMADO DE UNIDAD DE CUIDADOS INTENSIVOS (UCI)",IF(O56=CURSOS!$D$8,"MODELO DE ATENCION PARA EVENTOS EMERGENTES EN SALUD MENTAL (CODIGO VERDE)",IF(O56=CURSOS!$D$9,"HUMANIZACION EN EL SERVICIO DE LA SALUD Y BUENAS PRACTICAS EN PACIENTE ",IF(O56=CURSOS!$D$10,"CLINICA DE HERIDAS ",IF(O56=CURSOS!$D$11,"TOMA DE CITOLOGIA CERVICO VAGINAL ",IF(O56=CURSOS!$D$12,"SOPORTE CARDIOVASCULAR AVANZADO (ACLS) ",IF(O56=CURSOS!$D$13,"CAMILLERO ",IF(O56=CURSOS!$D$14,"TOMA DE MUESTRAS Y LABORATORIO ",IF(O56=CURSOS!$D$15,"SOPORTE VITAL BASICO (BLS)",IF(O56=CURSOS!$D$16,"ATENCION A VICTIMAS DE VIOLENCIA SEXUAL ",IF(O56=CURSOS!$D$17,"PROGRAMADO AMPLIADO DE INMUNIZACION (PAI - COVID 19)",IF(O56=CURSOS!$D$18,"ATENCION INTEGRAL EN ENFERMEDADES PREVALENTES EN PRIMERA INFANCIA (AIEPI)",IF(O56=CURSOS!$D$19,"ADMINISTRACION DE MEDICAMENTOS, INYECTOLOGIA  Y CANALIZACION ",IF(O56=CURSOS!$D$20,"OPERADOR DE VEHICULOS DE EMERGENCIA (OVE)",IF(O56=CURSOS!$D$21,"INSTITUCIONES AMIGAS DE LA MUJER Y LA INFANCIA (IAMI)",IF(O56=CURSOS!$D$22,"CUIDADO DEL DONANTE DE ORGANOS",IF(O56=CURSOS!$D$23,"ATENCION A VICTIMAS POR VIOLENCIA DE GENERO",IF(O56=CURSOS!$D$24,"IGUALDAD DE GENERO EN LA SALUD",IF(O56=CURSOS!$D$25,"BRIGADA DE EMERGENCIA",IF(O56=CURSOS!$D$26,"MANEJO DEL DOLOR Y CUIDADOS PALIATIVOS",IF(O56=CURSOS!$D$27,"TOMA DE MUESTRAS Y LABORATORIO POCT",IF(O56=CURSOS!$D$28,"IMPLANTE SUBDERMICO DE DISPOSITIVO INTRAUTERINO",IF(O56=CURSOS!$D$29,"SALUD MENTAL",IF(O56=CURSOS!$D$30,"PRIMEROS AUXILIOS PSICOLOGICOS",IF(O56=CURSOS!$D$31,"ATENCION A VICTIMAS POR CONFLICTO ARMADO",IF(O56=CURSOS!$D$32,"MANIPULACION DE ALIMENTOS Y BPM",IF(O56=CURSOS!$D$33,"ATENCION A PERSONAS CON DISCAPACIDAD",IF(O56=CURSOS!$D$34,"CUIDADO INTEGRAL DEL PACIENTE ADULTO",IF(O56=CURSOS!$D$35,"MANEJO DEFENSIVO",IF(O56=CURSOS!$D$36,"SOPORTE CARDIOVASCULAR AVANZADO NEONATAL",IF(O56=CURSOS!$D$37,"SEGURIDAD DEL PACIENTE",IF(O56=CURSOS!$D$38,"MANEJO Y USO DEL DEA",IF(O56=CURSOS!$D$39,"TRIAGE")))))))))))))))))))))))))))))))))))))</f>
        <v xml:space="preserve">ADMINISTRACION DE MEDICAMENTOS, INYECTOLOGIA  Y CANALIZACION </v>
      </c>
      <c r="V56" s="105" t="str">
        <f t="shared" si="2"/>
        <v>Ruth Marlene Riascos Mora</v>
      </c>
      <c r="W56" s="105" t="str">
        <f t="shared" si="3"/>
        <v>Ruth Marlene Riascos Mora</v>
      </c>
      <c r="X56" s="105" t="str">
        <f t="shared" si="4"/>
        <v>Ruth Marlene Riascos Mora-37123296-ADMON DE MEDICAMENTOS</v>
      </c>
    </row>
    <row r="57" spans="1:24" x14ac:dyDescent="0.2">
      <c r="A57" s="103">
        <v>56</v>
      </c>
      <c r="B57" s="105">
        <v>1094962877</v>
      </c>
      <c r="C57" s="105" t="s">
        <v>100</v>
      </c>
      <c r="D57" s="105" t="s">
        <v>226</v>
      </c>
      <c r="E57" s="105" t="s">
        <v>227</v>
      </c>
      <c r="F57" s="105" t="s">
        <v>86</v>
      </c>
      <c r="G57" s="106">
        <v>10</v>
      </c>
      <c r="H57" s="106" t="s">
        <v>99</v>
      </c>
      <c r="I57" s="106" t="s">
        <v>408</v>
      </c>
      <c r="J57" s="107">
        <v>45546</v>
      </c>
      <c r="K57" s="88">
        <v>28000</v>
      </c>
      <c r="L57" s="106" t="s">
        <v>103</v>
      </c>
      <c r="M57" s="106" t="s">
        <v>85</v>
      </c>
      <c r="N57" s="106" t="s">
        <v>98</v>
      </c>
      <c r="O57" s="108" t="s">
        <v>19</v>
      </c>
      <c r="P57" s="117">
        <v>35605</v>
      </c>
      <c r="Q57" s="106" t="s">
        <v>110</v>
      </c>
      <c r="R57" s="105" t="s">
        <v>123</v>
      </c>
      <c r="S57" s="105">
        <v>3108931893</v>
      </c>
      <c r="T57" s="105" t="s">
        <v>228</v>
      </c>
      <c r="U57" s="105" t="str">
        <f>IF(O57=CURSOS!$D$3,"DIPLOMADO EN ATENCION PRE-HOSPITALARIA",IF(O57=CURSOS!$D$4,"ACOMPAÑAMIENTO Y MANEJO DEL DUELO",IF(O57=CURSOS!$D$5,"ATENCION A VICTIMAS DE ATAQUE CON AGENTES QUIMICOS ",IF(O57=CURSOS!$D$6,"PRIMEROS AUXILIOS ",IF(O57=CURSOS!$D$7,"DIPLOMADO DE UNIDAD DE CUIDADOS INTENSIVOS (UCI)",IF(O57=CURSOS!$D$8,"MODELO DE ATENCION PARA EVENTOS EMERGENTES EN SALUD MENTAL (CODIGO VERDE)",IF(O57=CURSOS!$D$9,"HUMANIZACION EN EL SERVICIO DE LA SALUD Y BUENAS PRACTICAS EN PACIENTE ",IF(O57=CURSOS!$D$10,"CLINICA DE HERIDAS ",IF(O57=CURSOS!$D$11,"TOMA DE CITOLOGIA CERVICO VAGINAL ",IF(O57=CURSOS!$D$12,"SOPORTE CARDIOVASCULAR AVANZADO (ACLS) ",IF(O57=CURSOS!$D$13,"CAMILLERO ",IF(O57=CURSOS!$D$14,"TOMA DE MUESTRAS Y LABORATORIO ",IF(O57=CURSOS!$D$15,"SOPORTE VITAL BASICO (BLS)",IF(O57=CURSOS!$D$16,"ATENCION A VICTIMAS DE VIOLENCIA SEXUAL ",IF(O57=CURSOS!$D$17,"PROGRAMADO AMPLIADO DE INMUNIZACION (PAI - COVID 19)",IF(O57=CURSOS!$D$18,"ATENCION INTEGRAL EN ENFERMEDADES PREVALENTES EN PRIMERA INFANCIA (AIEPI)",IF(O57=CURSOS!$D$19,"ADMINISTRACION DE MEDICAMENTOS, INYECTOLOGIA  Y CANALIZACION ",IF(O57=CURSOS!$D$20,"OPERADOR DE VEHICULOS DE EMERGENCIA (OVE)",IF(O57=CURSOS!$D$21,"INSTITUCIONES AMIGAS DE LA MUJER Y LA INFANCIA (IAMI)",IF(O57=CURSOS!$D$22,"CUIDADO DEL DONANTE DE ORGANOS",IF(O57=CURSOS!$D$23,"ATENCION A VICTIMAS POR VIOLENCIA DE GENERO",IF(O57=CURSOS!$D$24,"IGUALDAD DE GENERO EN LA SALUD",IF(O57=CURSOS!$D$25,"BRIGADA DE EMERGENCIA",IF(O57=CURSOS!$D$26,"MANEJO DEL DOLOR Y CUIDADOS PALIATIVOS",IF(O57=CURSOS!$D$27,"TOMA DE MUESTRAS Y LABORATORIO POCT",IF(O57=CURSOS!$D$28,"IMPLANTE SUBDERMICO DE DISPOSITIVO INTRAUTERINO",IF(O57=CURSOS!$D$29,"SALUD MENTAL",IF(O57=CURSOS!$D$30,"PRIMEROS AUXILIOS PSICOLOGICOS",IF(O57=CURSOS!$D$31,"ATENCION A VICTIMAS POR CONFLICTO ARMADO",IF(O57=CURSOS!$D$32,"MANIPULACION DE ALIMENTOS Y BPM",IF(O57=CURSOS!$D$33,"ATENCION A PERSONAS CON DISCAPACIDAD",IF(O57=CURSOS!$D$34,"CUIDADO INTEGRAL DEL PACIENTE ADULTO",IF(O57=CURSOS!$D$35,"MANEJO DEFENSIVO",IF(O57=CURSOS!$D$36,"SOPORTE CARDIOVASCULAR AVANZADO NEONATAL",IF(O57=CURSOS!$D$37,"SEGURIDAD DEL PACIENTE",IF(O57=CURSOS!$D$38,"MANEJO Y USO DEL DEA",IF(O57=CURSOS!$D$39,"TRIAGE")))))))))))))))))))))))))))))))))))))</f>
        <v>SOPORTE VITAL BASICO (BLS)</v>
      </c>
      <c r="V57" s="105" t="str">
        <f t="shared" si="2"/>
        <v>Yasmin Alejandra Ceron Patiño</v>
      </c>
      <c r="W57" s="105" t="str">
        <f t="shared" si="3"/>
        <v>Yasmin Alejandra Ceron Patiño</v>
      </c>
      <c r="X57" s="105" t="str">
        <f t="shared" si="4"/>
        <v>Yasmin Alejandra Ceron Patiño-1094962877-BLS</v>
      </c>
    </row>
    <row r="58" spans="1:24" x14ac:dyDescent="0.2">
      <c r="A58" s="103">
        <v>57</v>
      </c>
      <c r="B58" s="105">
        <v>1085914653</v>
      </c>
      <c r="C58" s="105" t="s">
        <v>229</v>
      </c>
      <c r="D58" s="105" t="s">
        <v>230</v>
      </c>
      <c r="E58" s="105" t="s">
        <v>231</v>
      </c>
      <c r="F58" s="105"/>
      <c r="G58" s="106">
        <v>10</v>
      </c>
      <c r="H58" s="106" t="s">
        <v>99</v>
      </c>
      <c r="I58" s="106" t="s">
        <v>408</v>
      </c>
      <c r="J58" s="107">
        <v>45546</v>
      </c>
      <c r="K58" s="88">
        <v>28000</v>
      </c>
      <c r="L58" s="106" t="s">
        <v>103</v>
      </c>
      <c r="M58" s="106" t="s">
        <v>85</v>
      </c>
      <c r="N58" s="106" t="s">
        <v>98</v>
      </c>
      <c r="O58" s="108" t="s">
        <v>19</v>
      </c>
      <c r="P58" s="117">
        <v>32710</v>
      </c>
      <c r="Q58" s="106" t="s">
        <v>110</v>
      </c>
      <c r="R58" s="105" t="s">
        <v>123</v>
      </c>
      <c r="S58" s="105">
        <v>3228862761</v>
      </c>
      <c r="T58" s="116" t="s">
        <v>232</v>
      </c>
      <c r="U58" s="105" t="str">
        <f>IF(O58=CURSOS!$D$3,"DIPLOMADO EN ATENCION PRE-HOSPITALARIA",IF(O58=CURSOS!$D$4,"ACOMPAÑAMIENTO Y MANEJO DEL DUELO",IF(O58=CURSOS!$D$5,"ATENCION A VICTIMAS DE ATAQUE CON AGENTES QUIMICOS ",IF(O58=CURSOS!$D$6,"PRIMEROS AUXILIOS ",IF(O58=CURSOS!$D$7,"DIPLOMADO DE UNIDAD DE CUIDADOS INTENSIVOS (UCI)",IF(O58=CURSOS!$D$8,"MODELO DE ATENCION PARA EVENTOS EMERGENTES EN SALUD MENTAL (CODIGO VERDE)",IF(O58=CURSOS!$D$9,"HUMANIZACION EN EL SERVICIO DE LA SALUD Y BUENAS PRACTICAS EN PACIENTE ",IF(O58=CURSOS!$D$10,"CLINICA DE HERIDAS ",IF(O58=CURSOS!$D$11,"TOMA DE CITOLOGIA CERVICO VAGINAL ",IF(O58=CURSOS!$D$12,"SOPORTE CARDIOVASCULAR AVANZADO (ACLS) ",IF(O58=CURSOS!$D$13,"CAMILLERO ",IF(O58=CURSOS!$D$14,"TOMA DE MUESTRAS Y LABORATORIO ",IF(O58=CURSOS!$D$15,"SOPORTE VITAL BASICO (BLS)",IF(O58=CURSOS!$D$16,"ATENCION A VICTIMAS DE VIOLENCIA SEXUAL ",IF(O58=CURSOS!$D$17,"PROGRAMADO AMPLIADO DE INMUNIZACION (PAI - COVID 19)",IF(O58=CURSOS!$D$18,"ATENCION INTEGRAL EN ENFERMEDADES PREVALENTES EN PRIMERA INFANCIA (AIEPI)",IF(O58=CURSOS!$D$19,"ADMINISTRACION DE MEDICAMENTOS, INYECTOLOGIA  Y CANALIZACION ",IF(O58=CURSOS!$D$20,"OPERADOR DE VEHICULOS DE EMERGENCIA (OVE)",IF(O58=CURSOS!$D$21,"INSTITUCIONES AMIGAS DE LA MUJER Y LA INFANCIA (IAMI)",IF(O58=CURSOS!$D$22,"CUIDADO DEL DONANTE DE ORGANOS",IF(O58=CURSOS!$D$23,"ATENCION A VICTIMAS POR VIOLENCIA DE GENERO",IF(O58=CURSOS!$D$24,"IGUALDAD DE GENERO EN LA SALUD",IF(O58=CURSOS!$D$25,"BRIGADA DE EMERGENCIA",IF(O58=CURSOS!$D$26,"MANEJO DEL DOLOR Y CUIDADOS PALIATIVOS",IF(O58=CURSOS!$D$27,"TOMA DE MUESTRAS Y LABORATORIO POCT",IF(O58=CURSOS!$D$28,"IMPLANTE SUBDERMICO DE DISPOSITIVO INTRAUTERINO",IF(O58=CURSOS!$D$29,"SALUD MENTAL",IF(O58=CURSOS!$D$30,"PRIMEROS AUXILIOS PSICOLOGICOS",IF(O58=CURSOS!$D$31,"ATENCION A VICTIMAS POR CONFLICTO ARMADO",IF(O58=CURSOS!$D$32,"MANIPULACION DE ALIMENTOS Y BPM",IF(O58=CURSOS!$D$33,"ATENCION A PERSONAS CON DISCAPACIDAD",IF(O58=CURSOS!$D$34,"CUIDADO INTEGRAL DEL PACIENTE ADULTO",IF(O58=CURSOS!$D$35,"MANEJO DEFENSIVO",IF(O58=CURSOS!$D$36,"SOPORTE CARDIOVASCULAR AVANZADO NEONATAL",IF(O58=CURSOS!$D$37,"SEGURIDAD DEL PACIENTE",IF(O58=CURSOS!$D$38,"MANEJO Y USO DEL DEA",IF(O58=CURSOS!$D$39,"TRIAGE")))))))))))))))))))))))))))))))))))))</f>
        <v>SOPORTE VITAL BASICO (BLS)</v>
      </c>
      <c r="V58" s="105" t="str">
        <f t="shared" si="2"/>
        <v>Argenis  Adarme Gonzales</v>
      </c>
      <c r="W58" s="105" t="str">
        <f t="shared" si="3"/>
        <v>Argenis  Adarme Gonzales</v>
      </c>
      <c r="X58" s="105" t="str">
        <f t="shared" si="4"/>
        <v>Argenis  Adarme Gonzales-1085914653-BLS</v>
      </c>
    </row>
    <row r="59" spans="1:24" x14ac:dyDescent="0.2">
      <c r="A59" s="103">
        <v>58</v>
      </c>
      <c r="B59" s="105">
        <v>1085635388</v>
      </c>
      <c r="C59" s="105" t="s">
        <v>233</v>
      </c>
      <c r="D59" s="105" t="s">
        <v>234</v>
      </c>
      <c r="E59" s="105" t="s">
        <v>235</v>
      </c>
      <c r="F59" s="105" t="s">
        <v>236</v>
      </c>
      <c r="G59" s="106">
        <v>10</v>
      </c>
      <c r="H59" s="106" t="s">
        <v>99</v>
      </c>
      <c r="I59" s="106" t="s">
        <v>408</v>
      </c>
      <c r="J59" s="107">
        <v>45546</v>
      </c>
      <c r="K59" s="88">
        <v>28000</v>
      </c>
      <c r="L59" s="106" t="s">
        <v>103</v>
      </c>
      <c r="M59" s="106" t="s">
        <v>85</v>
      </c>
      <c r="N59" s="106" t="s">
        <v>98</v>
      </c>
      <c r="O59" s="108" t="s">
        <v>19</v>
      </c>
      <c r="P59" s="117">
        <v>33760</v>
      </c>
      <c r="Q59" s="106" t="s">
        <v>110</v>
      </c>
      <c r="R59" s="105" t="s">
        <v>123</v>
      </c>
      <c r="S59" s="105">
        <v>3182459953</v>
      </c>
      <c r="T59" s="105" t="s">
        <v>237</v>
      </c>
      <c r="U59" s="105" t="str">
        <f>IF(O59=CURSOS!$D$3,"DIPLOMADO EN ATENCION PRE-HOSPITALARIA",IF(O59=CURSOS!$D$4,"ACOMPAÑAMIENTO Y MANEJO DEL DUELO",IF(O59=CURSOS!$D$5,"ATENCION A VICTIMAS DE ATAQUE CON AGENTES QUIMICOS ",IF(O59=CURSOS!$D$6,"PRIMEROS AUXILIOS ",IF(O59=CURSOS!$D$7,"DIPLOMADO DE UNIDAD DE CUIDADOS INTENSIVOS (UCI)",IF(O59=CURSOS!$D$8,"MODELO DE ATENCION PARA EVENTOS EMERGENTES EN SALUD MENTAL (CODIGO VERDE)",IF(O59=CURSOS!$D$9,"HUMANIZACION EN EL SERVICIO DE LA SALUD Y BUENAS PRACTICAS EN PACIENTE ",IF(O59=CURSOS!$D$10,"CLINICA DE HERIDAS ",IF(O59=CURSOS!$D$11,"TOMA DE CITOLOGIA CERVICO VAGINAL ",IF(O59=CURSOS!$D$12,"SOPORTE CARDIOVASCULAR AVANZADO (ACLS) ",IF(O59=CURSOS!$D$13,"CAMILLERO ",IF(O59=CURSOS!$D$14,"TOMA DE MUESTRAS Y LABORATORIO ",IF(O59=CURSOS!$D$15,"SOPORTE VITAL BASICO (BLS)",IF(O59=CURSOS!$D$16,"ATENCION A VICTIMAS DE VIOLENCIA SEXUAL ",IF(O59=CURSOS!$D$17,"PROGRAMADO AMPLIADO DE INMUNIZACION (PAI - COVID 19)",IF(O59=CURSOS!$D$18,"ATENCION INTEGRAL EN ENFERMEDADES PREVALENTES EN PRIMERA INFANCIA (AIEPI)",IF(O59=CURSOS!$D$19,"ADMINISTRACION DE MEDICAMENTOS, INYECTOLOGIA  Y CANALIZACION ",IF(O59=CURSOS!$D$20,"OPERADOR DE VEHICULOS DE EMERGENCIA (OVE)",IF(O59=CURSOS!$D$21,"INSTITUCIONES AMIGAS DE LA MUJER Y LA INFANCIA (IAMI)",IF(O59=CURSOS!$D$22,"CUIDADO DEL DONANTE DE ORGANOS",IF(O59=CURSOS!$D$23,"ATENCION A VICTIMAS POR VIOLENCIA DE GENERO",IF(O59=CURSOS!$D$24,"IGUALDAD DE GENERO EN LA SALUD",IF(O59=CURSOS!$D$25,"BRIGADA DE EMERGENCIA",IF(O59=CURSOS!$D$26,"MANEJO DEL DOLOR Y CUIDADOS PALIATIVOS",IF(O59=CURSOS!$D$27,"TOMA DE MUESTRAS Y LABORATORIO POCT",IF(O59=CURSOS!$D$28,"IMPLANTE SUBDERMICO DE DISPOSITIVO INTRAUTERINO",IF(O59=CURSOS!$D$29,"SALUD MENTAL",IF(O59=CURSOS!$D$30,"PRIMEROS AUXILIOS PSICOLOGICOS",IF(O59=CURSOS!$D$31,"ATENCION A VICTIMAS POR CONFLICTO ARMADO",IF(O59=CURSOS!$D$32,"MANIPULACION DE ALIMENTOS Y BPM",IF(O59=CURSOS!$D$33,"ATENCION A PERSONAS CON DISCAPACIDAD",IF(O59=CURSOS!$D$34,"CUIDADO INTEGRAL DEL PACIENTE ADULTO",IF(O59=CURSOS!$D$35,"MANEJO DEFENSIVO",IF(O59=CURSOS!$D$36,"SOPORTE CARDIOVASCULAR AVANZADO NEONATAL",IF(O59=CURSOS!$D$37,"SEGURIDAD DEL PACIENTE",IF(O59=CURSOS!$D$38,"MANEJO Y USO DEL DEA",IF(O59=CURSOS!$D$39,"TRIAGE")))))))))))))))))))))))))))))))))))))</f>
        <v>SOPORTE VITAL BASICO (BLS)</v>
      </c>
      <c r="V59" s="105" t="str">
        <f t="shared" si="2"/>
        <v>Eliana Jacqueline Canchala Moreno</v>
      </c>
      <c r="W59" s="105" t="str">
        <f t="shared" si="3"/>
        <v>Eliana Jacqueline Canchala Moreno</v>
      </c>
      <c r="X59" s="105" t="str">
        <f t="shared" si="4"/>
        <v>Eliana Jacqueline Canchala Moreno-1085635388-BLS</v>
      </c>
    </row>
    <row r="60" spans="1:24" x14ac:dyDescent="0.2">
      <c r="A60" s="103">
        <v>59</v>
      </c>
      <c r="B60" s="105">
        <v>27175817</v>
      </c>
      <c r="C60" s="105" t="s">
        <v>238</v>
      </c>
      <c r="D60" s="105" t="s">
        <v>239</v>
      </c>
      <c r="E60" s="105" t="s">
        <v>240</v>
      </c>
      <c r="F60" s="105" t="s">
        <v>241</v>
      </c>
      <c r="G60" s="106">
        <v>10</v>
      </c>
      <c r="H60" s="106" t="s">
        <v>99</v>
      </c>
      <c r="I60" s="106" t="s">
        <v>408</v>
      </c>
      <c r="J60" s="107">
        <v>45546</v>
      </c>
      <c r="K60" s="88">
        <v>28000</v>
      </c>
      <c r="L60" s="106" t="s">
        <v>103</v>
      </c>
      <c r="M60" s="106" t="s">
        <v>85</v>
      </c>
      <c r="N60" s="106" t="s">
        <v>98</v>
      </c>
      <c r="O60" s="108" t="s">
        <v>19</v>
      </c>
      <c r="P60" s="117">
        <v>26921</v>
      </c>
      <c r="Q60" s="106" t="s">
        <v>110</v>
      </c>
      <c r="R60" s="105" t="s">
        <v>123</v>
      </c>
      <c r="S60" s="105">
        <v>3105910951</v>
      </c>
      <c r="T60" s="105" t="s">
        <v>242</v>
      </c>
      <c r="U60" s="105" t="str">
        <f>IF(O60=CURSOS!$D$3,"DIPLOMADO EN ATENCION PRE-HOSPITALARIA",IF(O60=CURSOS!$D$4,"ACOMPAÑAMIENTO Y MANEJO DEL DUELO",IF(O60=CURSOS!$D$5,"ATENCION A VICTIMAS DE ATAQUE CON AGENTES QUIMICOS ",IF(O60=CURSOS!$D$6,"PRIMEROS AUXILIOS ",IF(O60=CURSOS!$D$7,"DIPLOMADO DE UNIDAD DE CUIDADOS INTENSIVOS (UCI)",IF(O60=CURSOS!$D$8,"MODELO DE ATENCION PARA EVENTOS EMERGENTES EN SALUD MENTAL (CODIGO VERDE)",IF(O60=CURSOS!$D$9,"HUMANIZACION EN EL SERVICIO DE LA SALUD Y BUENAS PRACTICAS EN PACIENTE ",IF(O60=CURSOS!$D$10,"CLINICA DE HERIDAS ",IF(O60=CURSOS!$D$11,"TOMA DE CITOLOGIA CERVICO VAGINAL ",IF(O60=CURSOS!$D$12,"SOPORTE CARDIOVASCULAR AVANZADO (ACLS) ",IF(O60=CURSOS!$D$13,"CAMILLERO ",IF(O60=CURSOS!$D$14,"TOMA DE MUESTRAS Y LABORATORIO ",IF(O60=CURSOS!$D$15,"SOPORTE VITAL BASICO (BLS)",IF(O60=CURSOS!$D$16,"ATENCION A VICTIMAS DE VIOLENCIA SEXUAL ",IF(O60=CURSOS!$D$17,"PROGRAMADO AMPLIADO DE INMUNIZACION (PAI - COVID 19)",IF(O60=CURSOS!$D$18,"ATENCION INTEGRAL EN ENFERMEDADES PREVALENTES EN PRIMERA INFANCIA (AIEPI)",IF(O60=CURSOS!$D$19,"ADMINISTRACION DE MEDICAMENTOS, INYECTOLOGIA  Y CANALIZACION ",IF(O60=CURSOS!$D$20,"OPERADOR DE VEHICULOS DE EMERGENCIA (OVE)",IF(O60=CURSOS!$D$21,"INSTITUCIONES AMIGAS DE LA MUJER Y LA INFANCIA (IAMI)",IF(O60=CURSOS!$D$22,"CUIDADO DEL DONANTE DE ORGANOS",IF(O60=CURSOS!$D$23,"ATENCION A VICTIMAS POR VIOLENCIA DE GENERO",IF(O60=CURSOS!$D$24,"IGUALDAD DE GENERO EN LA SALUD",IF(O60=CURSOS!$D$25,"BRIGADA DE EMERGENCIA",IF(O60=CURSOS!$D$26,"MANEJO DEL DOLOR Y CUIDADOS PALIATIVOS",IF(O60=CURSOS!$D$27,"TOMA DE MUESTRAS Y LABORATORIO POCT",IF(O60=CURSOS!$D$28,"IMPLANTE SUBDERMICO DE DISPOSITIVO INTRAUTERINO",IF(O60=CURSOS!$D$29,"SALUD MENTAL",IF(O60=CURSOS!$D$30,"PRIMEROS AUXILIOS PSICOLOGICOS",IF(O60=CURSOS!$D$31,"ATENCION A VICTIMAS POR CONFLICTO ARMADO",IF(O60=CURSOS!$D$32,"MANIPULACION DE ALIMENTOS Y BPM",IF(O60=CURSOS!$D$33,"ATENCION A PERSONAS CON DISCAPACIDAD",IF(O60=CURSOS!$D$34,"CUIDADO INTEGRAL DEL PACIENTE ADULTO",IF(O60=CURSOS!$D$35,"MANEJO DEFENSIVO",IF(O60=CURSOS!$D$36,"SOPORTE CARDIOVASCULAR AVANZADO NEONATAL",IF(O60=CURSOS!$D$37,"SEGURIDAD DEL PACIENTE",IF(O60=CURSOS!$D$38,"MANEJO Y USO DEL DEA",IF(O60=CURSOS!$D$39,"TRIAGE")))))))))))))))))))))))))))))))))))))</f>
        <v>SOPORTE VITAL BASICO (BLS)</v>
      </c>
      <c r="V60" s="105" t="str">
        <f t="shared" si="2"/>
        <v>Cruz Elena Cuastumal Reveló</v>
      </c>
      <c r="W60" s="105" t="str">
        <f t="shared" si="3"/>
        <v>Cruz Elena Cuastumal Reveló</v>
      </c>
      <c r="X60" s="105" t="str">
        <f t="shared" si="4"/>
        <v>Cruz Elena Cuastumal Reveló-27175817-BLS</v>
      </c>
    </row>
    <row r="61" spans="1:24" x14ac:dyDescent="0.2">
      <c r="A61" s="103">
        <v>60</v>
      </c>
      <c r="B61" s="105">
        <v>1087673253</v>
      </c>
      <c r="C61" s="105" t="s">
        <v>243</v>
      </c>
      <c r="D61" s="105" t="s">
        <v>244</v>
      </c>
      <c r="E61" s="105" t="s">
        <v>245</v>
      </c>
      <c r="F61" s="105"/>
      <c r="G61" s="106">
        <v>10</v>
      </c>
      <c r="H61" s="106" t="s">
        <v>99</v>
      </c>
      <c r="I61" s="106" t="s">
        <v>408</v>
      </c>
      <c r="J61" s="107">
        <v>45546</v>
      </c>
      <c r="K61" s="88">
        <v>28000</v>
      </c>
      <c r="L61" s="106" t="s">
        <v>103</v>
      </c>
      <c r="M61" s="106" t="s">
        <v>85</v>
      </c>
      <c r="N61" s="106" t="s">
        <v>98</v>
      </c>
      <c r="O61" s="108" t="s">
        <v>19</v>
      </c>
      <c r="P61" s="117">
        <v>33020</v>
      </c>
      <c r="Q61" s="106" t="s">
        <v>110</v>
      </c>
      <c r="R61" s="105" t="s">
        <v>123</v>
      </c>
      <c r="S61" s="105">
        <v>3216575708</v>
      </c>
      <c r="T61" s="105" t="s">
        <v>246</v>
      </c>
      <c r="U61" s="105" t="str">
        <f>IF(O61=CURSOS!$D$3,"DIPLOMADO EN ATENCION PRE-HOSPITALARIA",IF(O61=CURSOS!$D$4,"ACOMPAÑAMIENTO Y MANEJO DEL DUELO",IF(O61=CURSOS!$D$5,"ATENCION A VICTIMAS DE ATAQUE CON AGENTES QUIMICOS ",IF(O61=CURSOS!$D$6,"PRIMEROS AUXILIOS ",IF(O61=CURSOS!$D$7,"DIPLOMADO DE UNIDAD DE CUIDADOS INTENSIVOS (UCI)",IF(O61=CURSOS!$D$8,"MODELO DE ATENCION PARA EVENTOS EMERGENTES EN SALUD MENTAL (CODIGO VERDE)",IF(O61=CURSOS!$D$9,"HUMANIZACION EN EL SERVICIO DE LA SALUD Y BUENAS PRACTICAS EN PACIENTE ",IF(O61=CURSOS!$D$10,"CLINICA DE HERIDAS ",IF(O61=CURSOS!$D$11,"TOMA DE CITOLOGIA CERVICO VAGINAL ",IF(O61=CURSOS!$D$12,"SOPORTE CARDIOVASCULAR AVANZADO (ACLS) ",IF(O61=CURSOS!$D$13,"CAMILLERO ",IF(O61=CURSOS!$D$14,"TOMA DE MUESTRAS Y LABORATORIO ",IF(O61=CURSOS!$D$15,"SOPORTE VITAL BASICO (BLS)",IF(O61=CURSOS!$D$16,"ATENCION A VICTIMAS DE VIOLENCIA SEXUAL ",IF(O61=CURSOS!$D$17,"PROGRAMADO AMPLIADO DE INMUNIZACION (PAI - COVID 19)",IF(O61=CURSOS!$D$18,"ATENCION INTEGRAL EN ENFERMEDADES PREVALENTES EN PRIMERA INFANCIA (AIEPI)",IF(O61=CURSOS!$D$19,"ADMINISTRACION DE MEDICAMENTOS, INYECTOLOGIA  Y CANALIZACION ",IF(O61=CURSOS!$D$20,"OPERADOR DE VEHICULOS DE EMERGENCIA (OVE)",IF(O61=CURSOS!$D$21,"INSTITUCIONES AMIGAS DE LA MUJER Y LA INFANCIA (IAMI)",IF(O61=CURSOS!$D$22,"CUIDADO DEL DONANTE DE ORGANOS",IF(O61=CURSOS!$D$23,"ATENCION A VICTIMAS POR VIOLENCIA DE GENERO",IF(O61=CURSOS!$D$24,"IGUALDAD DE GENERO EN LA SALUD",IF(O61=CURSOS!$D$25,"BRIGADA DE EMERGENCIA",IF(O61=CURSOS!$D$26,"MANEJO DEL DOLOR Y CUIDADOS PALIATIVOS",IF(O61=CURSOS!$D$27,"TOMA DE MUESTRAS Y LABORATORIO POCT",IF(O61=CURSOS!$D$28,"IMPLANTE SUBDERMICO DE DISPOSITIVO INTRAUTERINO",IF(O61=CURSOS!$D$29,"SALUD MENTAL",IF(O61=CURSOS!$D$30,"PRIMEROS AUXILIOS PSICOLOGICOS",IF(O61=CURSOS!$D$31,"ATENCION A VICTIMAS POR CONFLICTO ARMADO",IF(O61=CURSOS!$D$32,"MANIPULACION DE ALIMENTOS Y BPM",IF(O61=CURSOS!$D$33,"ATENCION A PERSONAS CON DISCAPACIDAD",IF(O61=CURSOS!$D$34,"CUIDADO INTEGRAL DEL PACIENTE ADULTO",IF(O61=CURSOS!$D$35,"MANEJO DEFENSIVO",IF(O61=CURSOS!$D$36,"SOPORTE CARDIOVASCULAR AVANZADO NEONATAL",IF(O61=CURSOS!$D$37,"SEGURIDAD DEL PACIENTE",IF(O61=CURSOS!$D$38,"MANEJO Y USO DEL DEA",IF(O61=CURSOS!$D$39,"TRIAGE")))))))))))))))))))))))))))))))))))))</f>
        <v>SOPORTE VITAL BASICO (BLS)</v>
      </c>
      <c r="V61" s="105" t="str">
        <f t="shared" si="2"/>
        <v>Maribel  Calpa Yama</v>
      </c>
      <c r="W61" s="105" t="str">
        <f t="shared" si="3"/>
        <v>Maribel  Calpa Yama</v>
      </c>
      <c r="X61" s="105" t="str">
        <f t="shared" si="4"/>
        <v>Maribel  Calpa Yama-1087673253-BLS</v>
      </c>
    </row>
    <row r="62" spans="1:24" x14ac:dyDescent="0.2">
      <c r="A62" s="103">
        <v>61</v>
      </c>
      <c r="B62" s="105">
        <v>1086106062</v>
      </c>
      <c r="C62" s="105" t="s">
        <v>154</v>
      </c>
      <c r="D62" s="105" t="s">
        <v>247</v>
      </c>
      <c r="E62" s="105" t="s">
        <v>248</v>
      </c>
      <c r="F62" s="105" t="s">
        <v>249</v>
      </c>
      <c r="G62" s="106">
        <v>10</v>
      </c>
      <c r="H62" s="106" t="s">
        <v>99</v>
      </c>
      <c r="I62" s="106" t="s">
        <v>408</v>
      </c>
      <c r="J62" s="107">
        <v>45546</v>
      </c>
      <c r="K62" s="88">
        <v>28000</v>
      </c>
      <c r="L62" s="106" t="s">
        <v>103</v>
      </c>
      <c r="M62" s="106" t="s">
        <v>85</v>
      </c>
      <c r="N62" s="106" t="s">
        <v>98</v>
      </c>
      <c r="O62" s="108" t="s">
        <v>19</v>
      </c>
      <c r="P62" s="117">
        <v>34551</v>
      </c>
      <c r="Q62" s="106" t="s">
        <v>104</v>
      </c>
      <c r="R62" s="105" t="s">
        <v>123</v>
      </c>
      <c r="S62" s="105">
        <v>3175398010</v>
      </c>
      <c r="T62" s="105" t="s">
        <v>250</v>
      </c>
      <c r="U62" s="105" t="str">
        <f>IF(O62=CURSOS!$D$3,"DIPLOMADO EN ATENCION PRE-HOSPITALARIA",IF(O62=CURSOS!$D$4,"ACOMPAÑAMIENTO Y MANEJO DEL DUELO",IF(O62=CURSOS!$D$5,"ATENCION A VICTIMAS DE ATAQUE CON AGENTES QUIMICOS ",IF(O62=CURSOS!$D$6,"PRIMEROS AUXILIOS ",IF(O62=CURSOS!$D$7,"DIPLOMADO DE UNIDAD DE CUIDADOS INTENSIVOS (UCI)",IF(O62=CURSOS!$D$8,"MODELO DE ATENCION PARA EVENTOS EMERGENTES EN SALUD MENTAL (CODIGO VERDE)",IF(O62=CURSOS!$D$9,"HUMANIZACION EN EL SERVICIO DE LA SALUD Y BUENAS PRACTICAS EN PACIENTE ",IF(O62=CURSOS!$D$10,"CLINICA DE HERIDAS ",IF(O62=CURSOS!$D$11,"TOMA DE CITOLOGIA CERVICO VAGINAL ",IF(O62=CURSOS!$D$12,"SOPORTE CARDIOVASCULAR AVANZADO (ACLS) ",IF(O62=CURSOS!$D$13,"CAMILLERO ",IF(O62=CURSOS!$D$14,"TOMA DE MUESTRAS Y LABORATORIO ",IF(O62=CURSOS!$D$15,"SOPORTE VITAL BASICO (BLS)",IF(O62=CURSOS!$D$16,"ATENCION A VICTIMAS DE VIOLENCIA SEXUAL ",IF(O62=CURSOS!$D$17,"PROGRAMADO AMPLIADO DE INMUNIZACION (PAI - COVID 19)",IF(O62=CURSOS!$D$18,"ATENCION INTEGRAL EN ENFERMEDADES PREVALENTES EN PRIMERA INFANCIA (AIEPI)",IF(O62=CURSOS!$D$19,"ADMINISTRACION DE MEDICAMENTOS, INYECTOLOGIA  Y CANALIZACION ",IF(O62=CURSOS!$D$20,"OPERADOR DE VEHICULOS DE EMERGENCIA (OVE)",IF(O62=CURSOS!$D$21,"INSTITUCIONES AMIGAS DE LA MUJER Y LA INFANCIA (IAMI)",IF(O62=CURSOS!$D$22,"CUIDADO DEL DONANTE DE ORGANOS",IF(O62=CURSOS!$D$23,"ATENCION A VICTIMAS POR VIOLENCIA DE GENERO",IF(O62=CURSOS!$D$24,"IGUALDAD DE GENERO EN LA SALUD",IF(O62=CURSOS!$D$25,"BRIGADA DE EMERGENCIA",IF(O62=CURSOS!$D$26,"MANEJO DEL DOLOR Y CUIDADOS PALIATIVOS",IF(O62=CURSOS!$D$27,"TOMA DE MUESTRAS Y LABORATORIO POCT",IF(O62=CURSOS!$D$28,"IMPLANTE SUBDERMICO DE DISPOSITIVO INTRAUTERINO",IF(O62=CURSOS!$D$29,"SALUD MENTAL",IF(O62=CURSOS!$D$30,"PRIMEROS AUXILIOS PSICOLOGICOS",IF(O62=CURSOS!$D$31,"ATENCION A VICTIMAS POR CONFLICTO ARMADO",IF(O62=CURSOS!$D$32,"MANIPULACION DE ALIMENTOS Y BPM",IF(O62=CURSOS!$D$33,"ATENCION A PERSONAS CON DISCAPACIDAD",IF(O62=CURSOS!$D$34,"CUIDADO INTEGRAL DEL PACIENTE ADULTO",IF(O62=CURSOS!$D$35,"MANEJO DEFENSIVO",IF(O62=CURSOS!$D$36,"SOPORTE CARDIOVASCULAR AVANZADO NEONATAL",IF(O62=CURSOS!$D$37,"SEGURIDAD DEL PACIENTE",IF(O62=CURSOS!$D$38,"MANEJO Y USO DEL DEA",IF(O62=CURSOS!$D$39,"TRIAGE")))))))))))))))))))))))))))))))))))))</f>
        <v>SOPORTE VITAL BASICO (BLS)</v>
      </c>
      <c r="V62" s="105" t="str">
        <f t="shared" ref="V62:V77" si="8">CONCATENATE(E62," ",F62," ",C62," ",D62)</f>
        <v>Brayan Ernesto Figueroa Revelo</v>
      </c>
      <c r="W62" s="105" t="str">
        <f t="shared" ref="W62:W77" si="9">+PROPER(V62)</f>
        <v>Brayan Ernesto Figueroa Revelo</v>
      </c>
      <c r="X62" s="105" t="str">
        <f t="shared" ref="X62:X77" si="10">CONCATENATE(V62,"-",B62,"-",O62)</f>
        <v>Brayan Ernesto Figueroa Revelo-1086106062-BLS</v>
      </c>
    </row>
    <row r="63" spans="1:24" x14ac:dyDescent="0.2">
      <c r="A63" s="103">
        <v>62</v>
      </c>
      <c r="B63" s="105">
        <v>1192717048</v>
      </c>
      <c r="C63" s="105" t="s">
        <v>251</v>
      </c>
      <c r="D63" s="105" t="s">
        <v>252</v>
      </c>
      <c r="E63" s="105" t="s">
        <v>253</v>
      </c>
      <c r="F63" s="105" t="s">
        <v>219</v>
      </c>
      <c r="G63" s="106">
        <v>10</v>
      </c>
      <c r="H63" s="106" t="s">
        <v>99</v>
      </c>
      <c r="I63" s="106" t="s">
        <v>408</v>
      </c>
      <c r="J63" s="107">
        <v>45546</v>
      </c>
      <c r="K63" s="88">
        <v>28000</v>
      </c>
      <c r="L63" s="106" t="s">
        <v>103</v>
      </c>
      <c r="M63" s="106" t="s">
        <v>85</v>
      </c>
      <c r="N63" s="106" t="s">
        <v>98</v>
      </c>
      <c r="O63" s="108" t="s">
        <v>19</v>
      </c>
      <c r="P63" s="117">
        <v>37283</v>
      </c>
      <c r="Q63" s="106" t="s">
        <v>104</v>
      </c>
      <c r="R63" s="105" t="s">
        <v>123</v>
      </c>
      <c r="S63" s="105">
        <v>3184075646</v>
      </c>
      <c r="T63" s="105" t="s">
        <v>254</v>
      </c>
      <c r="U63" s="105" t="str">
        <f>IF(O63=CURSOS!$D$3,"DIPLOMADO EN ATENCION PRE-HOSPITALARIA",IF(O63=CURSOS!$D$4,"ACOMPAÑAMIENTO Y MANEJO DEL DUELO",IF(O63=CURSOS!$D$5,"ATENCION A VICTIMAS DE ATAQUE CON AGENTES QUIMICOS ",IF(O63=CURSOS!$D$6,"PRIMEROS AUXILIOS ",IF(O63=CURSOS!$D$7,"DIPLOMADO DE UNIDAD DE CUIDADOS INTENSIVOS (UCI)",IF(O63=CURSOS!$D$8,"MODELO DE ATENCION PARA EVENTOS EMERGENTES EN SALUD MENTAL (CODIGO VERDE)",IF(O63=CURSOS!$D$9,"HUMANIZACION EN EL SERVICIO DE LA SALUD Y BUENAS PRACTICAS EN PACIENTE ",IF(O63=CURSOS!$D$10,"CLINICA DE HERIDAS ",IF(O63=CURSOS!$D$11,"TOMA DE CITOLOGIA CERVICO VAGINAL ",IF(O63=CURSOS!$D$12,"SOPORTE CARDIOVASCULAR AVANZADO (ACLS) ",IF(O63=CURSOS!$D$13,"CAMILLERO ",IF(O63=CURSOS!$D$14,"TOMA DE MUESTRAS Y LABORATORIO ",IF(O63=CURSOS!$D$15,"SOPORTE VITAL BASICO (BLS)",IF(O63=CURSOS!$D$16,"ATENCION A VICTIMAS DE VIOLENCIA SEXUAL ",IF(O63=CURSOS!$D$17,"PROGRAMADO AMPLIADO DE INMUNIZACION (PAI - COVID 19)",IF(O63=CURSOS!$D$18,"ATENCION INTEGRAL EN ENFERMEDADES PREVALENTES EN PRIMERA INFANCIA (AIEPI)",IF(O63=CURSOS!$D$19,"ADMINISTRACION DE MEDICAMENTOS, INYECTOLOGIA  Y CANALIZACION ",IF(O63=CURSOS!$D$20,"OPERADOR DE VEHICULOS DE EMERGENCIA (OVE)",IF(O63=CURSOS!$D$21,"INSTITUCIONES AMIGAS DE LA MUJER Y LA INFANCIA (IAMI)",IF(O63=CURSOS!$D$22,"CUIDADO DEL DONANTE DE ORGANOS",IF(O63=CURSOS!$D$23,"ATENCION A VICTIMAS POR VIOLENCIA DE GENERO",IF(O63=CURSOS!$D$24,"IGUALDAD DE GENERO EN LA SALUD",IF(O63=CURSOS!$D$25,"BRIGADA DE EMERGENCIA",IF(O63=CURSOS!$D$26,"MANEJO DEL DOLOR Y CUIDADOS PALIATIVOS",IF(O63=CURSOS!$D$27,"TOMA DE MUESTRAS Y LABORATORIO POCT",IF(O63=CURSOS!$D$28,"IMPLANTE SUBDERMICO DE DISPOSITIVO INTRAUTERINO",IF(O63=CURSOS!$D$29,"SALUD MENTAL",IF(O63=CURSOS!$D$30,"PRIMEROS AUXILIOS PSICOLOGICOS",IF(O63=CURSOS!$D$31,"ATENCION A VICTIMAS POR CONFLICTO ARMADO",IF(O63=CURSOS!$D$32,"MANIPULACION DE ALIMENTOS Y BPM",IF(O63=CURSOS!$D$33,"ATENCION A PERSONAS CON DISCAPACIDAD",IF(O63=CURSOS!$D$34,"CUIDADO INTEGRAL DEL PACIENTE ADULTO",IF(O63=CURSOS!$D$35,"MANEJO DEFENSIVO",IF(O63=CURSOS!$D$36,"SOPORTE CARDIOVASCULAR AVANZADO NEONATAL",IF(O63=CURSOS!$D$37,"SEGURIDAD DEL PACIENTE",IF(O63=CURSOS!$D$38,"MANEJO Y USO DEL DEA",IF(O63=CURSOS!$D$39,"TRIAGE")))))))))))))))))))))))))))))))))))))</f>
        <v>SOPORTE VITAL BASICO (BLS)</v>
      </c>
      <c r="V63" s="105" t="str">
        <f t="shared" si="8"/>
        <v>Gabriel Alexander Ruano Enriquez</v>
      </c>
      <c r="W63" s="105" t="str">
        <f t="shared" si="9"/>
        <v>Gabriel Alexander Ruano Enriquez</v>
      </c>
      <c r="X63" s="105" t="str">
        <f t="shared" si="10"/>
        <v>Gabriel Alexander Ruano Enriquez-1192717048-BLS</v>
      </c>
    </row>
    <row r="64" spans="1:24" x14ac:dyDescent="0.2">
      <c r="A64" s="103">
        <v>63</v>
      </c>
      <c r="B64" s="105">
        <v>1087619147</v>
      </c>
      <c r="C64" s="105" t="s">
        <v>255</v>
      </c>
      <c r="D64" s="105" t="s">
        <v>256</v>
      </c>
      <c r="E64" s="105" t="s">
        <v>131</v>
      </c>
      <c r="F64" s="105" t="s">
        <v>257</v>
      </c>
      <c r="G64" s="106">
        <v>10</v>
      </c>
      <c r="H64" s="106" t="s">
        <v>99</v>
      </c>
      <c r="I64" s="106" t="s">
        <v>408</v>
      </c>
      <c r="J64" s="107">
        <v>45546</v>
      </c>
      <c r="K64" s="88">
        <v>28000</v>
      </c>
      <c r="L64" s="106" t="s">
        <v>103</v>
      </c>
      <c r="M64" s="106" t="s">
        <v>85</v>
      </c>
      <c r="N64" s="106" t="s">
        <v>98</v>
      </c>
      <c r="O64" s="108" t="s">
        <v>19</v>
      </c>
      <c r="P64" s="117">
        <v>35316</v>
      </c>
      <c r="Q64" s="106" t="s">
        <v>110</v>
      </c>
      <c r="R64" s="105" t="s">
        <v>123</v>
      </c>
      <c r="S64" s="105">
        <v>3177585476</v>
      </c>
      <c r="T64" s="105" t="s">
        <v>258</v>
      </c>
      <c r="U64" s="105" t="str">
        <f>IF(O64=CURSOS!$D$3,"DIPLOMADO EN ATENCION PRE-HOSPITALARIA",IF(O64=CURSOS!$D$4,"ACOMPAÑAMIENTO Y MANEJO DEL DUELO",IF(O64=CURSOS!$D$5,"ATENCION A VICTIMAS DE ATAQUE CON AGENTES QUIMICOS ",IF(O64=CURSOS!$D$6,"PRIMEROS AUXILIOS ",IF(O64=CURSOS!$D$7,"DIPLOMADO DE UNIDAD DE CUIDADOS INTENSIVOS (UCI)",IF(O64=CURSOS!$D$8,"MODELO DE ATENCION PARA EVENTOS EMERGENTES EN SALUD MENTAL (CODIGO VERDE)",IF(O64=CURSOS!$D$9,"HUMANIZACION EN EL SERVICIO DE LA SALUD Y BUENAS PRACTICAS EN PACIENTE ",IF(O64=CURSOS!$D$10,"CLINICA DE HERIDAS ",IF(O64=CURSOS!$D$11,"TOMA DE CITOLOGIA CERVICO VAGINAL ",IF(O64=CURSOS!$D$12,"SOPORTE CARDIOVASCULAR AVANZADO (ACLS) ",IF(O64=CURSOS!$D$13,"CAMILLERO ",IF(O64=CURSOS!$D$14,"TOMA DE MUESTRAS Y LABORATORIO ",IF(O64=CURSOS!$D$15,"SOPORTE VITAL BASICO (BLS)",IF(O64=CURSOS!$D$16,"ATENCION A VICTIMAS DE VIOLENCIA SEXUAL ",IF(O64=CURSOS!$D$17,"PROGRAMADO AMPLIADO DE INMUNIZACION (PAI - COVID 19)",IF(O64=CURSOS!$D$18,"ATENCION INTEGRAL EN ENFERMEDADES PREVALENTES EN PRIMERA INFANCIA (AIEPI)",IF(O64=CURSOS!$D$19,"ADMINISTRACION DE MEDICAMENTOS, INYECTOLOGIA  Y CANALIZACION ",IF(O64=CURSOS!$D$20,"OPERADOR DE VEHICULOS DE EMERGENCIA (OVE)",IF(O64=CURSOS!$D$21,"INSTITUCIONES AMIGAS DE LA MUJER Y LA INFANCIA (IAMI)",IF(O64=CURSOS!$D$22,"CUIDADO DEL DONANTE DE ORGANOS",IF(O64=CURSOS!$D$23,"ATENCION A VICTIMAS POR VIOLENCIA DE GENERO",IF(O64=CURSOS!$D$24,"IGUALDAD DE GENERO EN LA SALUD",IF(O64=CURSOS!$D$25,"BRIGADA DE EMERGENCIA",IF(O64=CURSOS!$D$26,"MANEJO DEL DOLOR Y CUIDADOS PALIATIVOS",IF(O64=CURSOS!$D$27,"TOMA DE MUESTRAS Y LABORATORIO POCT",IF(O64=CURSOS!$D$28,"IMPLANTE SUBDERMICO DE DISPOSITIVO INTRAUTERINO",IF(O64=CURSOS!$D$29,"SALUD MENTAL",IF(O64=CURSOS!$D$30,"PRIMEROS AUXILIOS PSICOLOGICOS",IF(O64=CURSOS!$D$31,"ATENCION A VICTIMAS POR CONFLICTO ARMADO",IF(O64=CURSOS!$D$32,"MANIPULACION DE ALIMENTOS Y BPM",IF(O64=CURSOS!$D$33,"ATENCION A PERSONAS CON DISCAPACIDAD",IF(O64=CURSOS!$D$34,"CUIDADO INTEGRAL DEL PACIENTE ADULTO",IF(O64=CURSOS!$D$35,"MANEJO DEFENSIVO",IF(O64=CURSOS!$D$36,"SOPORTE CARDIOVASCULAR AVANZADO NEONATAL",IF(O64=CURSOS!$D$37,"SEGURIDAD DEL PACIENTE",IF(O64=CURSOS!$D$38,"MANEJO Y USO DEL DEA",IF(O64=CURSOS!$D$39,"TRIAGE")))))))))))))))))))))))))))))))))))))</f>
        <v>SOPORTE VITAL BASICO (BLS)</v>
      </c>
      <c r="V64" s="105" t="str">
        <f t="shared" si="8"/>
        <v>Diana Elizabeth Tabango Laguna</v>
      </c>
      <c r="W64" s="105" t="str">
        <f t="shared" si="9"/>
        <v>Diana Elizabeth Tabango Laguna</v>
      </c>
      <c r="X64" s="105" t="str">
        <f t="shared" si="10"/>
        <v>Diana Elizabeth Tabango Laguna-1087619147-BLS</v>
      </c>
    </row>
    <row r="65" spans="1:24" x14ac:dyDescent="0.2">
      <c r="A65" s="103">
        <v>64</v>
      </c>
      <c r="B65" s="104">
        <v>37121242</v>
      </c>
      <c r="C65" s="105" t="s">
        <v>259</v>
      </c>
      <c r="D65" s="105" t="s">
        <v>260</v>
      </c>
      <c r="E65" s="105" t="s">
        <v>261</v>
      </c>
      <c r="F65" s="105"/>
      <c r="G65" s="106">
        <v>10</v>
      </c>
      <c r="H65" s="106" t="s">
        <v>99</v>
      </c>
      <c r="I65" s="106" t="s">
        <v>408</v>
      </c>
      <c r="J65" s="107">
        <v>45546</v>
      </c>
      <c r="K65" s="88">
        <v>28000</v>
      </c>
      <c r="L65" s="106" t="s">
        <v>103</v>
      </c>
      <c r="M65" s="106" t="s">
        <v>85</v>
      </c>
      <c r="N65" s="106" t="s">
        <v>98</v>
      </c>
      <c r="O65" s="108" t="s">
        <v>19</v>
      </c>
      <c r="P65" s="118">
        <v>29051</v>
      </c>
      <c r="Q65" s="106" t="s">
        <v>110</v>
      </c>
      <c r="R65" s="105" t="s">
        <v>123</v>
      </c>
      <c r="S65" s="105">
        <v>3147110028</v>
      </c>
      <c r="T65" s="111" t="s">
        <v>262</v>
      </c>
      <c r="U65" s="105" t="str">
        <f>IF(O65=CURSOS!$D$3,"DIPLOMADO EN ATENCION PRE-HOSPITALARIA",IF(O65=CURSOS!$D$4,"ACOMPAÑAMIENTO Y MANEJO DEL DUELO",IF(O65=CURSOS!$D$5,"ATENCION A VICTIMAS DE ATAQUE CON AGENTES QUIMICOS ",IF(O65=CURSOS!$D$6,"PRIMEROS AUXILIOS ",IF(O65=CURSOS!$D$7,"DIPLOMADO DE UNIDAD DE CUIDADOS INTENSIVOS (UCI)",IF(O65=CURSOS!$D$8,"MODELO DE ATENCION PARA EVENTOS EMERGENTES EN SALUD MENTAL (CODIGO VERDE)",IF(O65=CURSOS!$D$9,"HUMANIZACION EN EL SERVICIO DE LA SALUD Y BUENAS PRACTICAS EN PACIENTE ",IF(O65=CURSOS!$D$10,"CLINICA DE HERIDAS ",IF(O65=CURSOS!$D$11,"TOMA DE CITOLOGIA CERVICO VAGINAL ",IF(O65=CURSOS!$D$12,"SOPORTE CARDIOVASCULAR AVANZADO (ACLS) ",IF(O65=CURSOS!$D$13,"CAMILLERO ",IF(O65=CURSOS!$D$14,"TOMA DE MUESTRAS Y LABORATORIO ",IF(O65=CURSOS!$D$15,"SOPORTE VITAL BASICO (BLS)",IF(O65=CURSOS!$D$16,"ATENCION A VICTIMAS DE VIOLENCIA SEXUAL ",IF(O65=CURSOS!$D$17,"PROGRAMADO AMPLIADO DE INMUNIZACION (PAI - COVID 19)",IF(O65=CURSOS!$D$18,"ATENCION INTEGRAL EN ENFERMEDADES PREVALENTES EN PRIMERA INFANCIA (AIEPI)",IF(O65=CURSOS!$D$19,"ADMINISTRACION DE MEDICAMENTOS, INYECTOLOGIA  Y CANALIZACION ",IF(O65=CURSOS!$D$20,"OPERADOR DE VEHICULOS DE EMERGENCIA (OVE)",IF(O65=CURSOS!$D$21,"INSTITUCIONES AMIGAS DE LA MUJER Y LA INFANCIA (IAMI)",IF(O65=CURSOS!$D$22,"CUIDADO DEL DONANTE DE ORGANOS",IF(O65=CURSOS!$D$23,"ATENCION A VICTIMAS POR VIOLENCIA DE GENERO",IF(O65=CURSOS!$D$24,"IGUALDAD DE GENERO EN LA SALUD",IF(O65=CURSOS!$D$25,"BRIGADA DE EMERGENCIA",IF(O65=CURSOS!$D$26,"MANEJO DEL DOLOR Y CUIDADOS PALIATIVOS",IF(O65=CURSOS!$D$27,"TOMA DE MUESTRAS Y LABORATORIO POCT",IF(O65=CURSOS!$D$28,"IMPLANTE SUBDERMICO DE DISPOSITIVO INTRAUTERINO",IF(O65=CURSOS!$D$29,"SALUD MENTAL",IF(O65=CURSOS!$D$30,"PRIMEROS AUXILIOS PSICOLOGICOS",IF(O65=CURSOS!$D$31,"ATENCION A VICTIMAS POR CONFLICTO ARMADO",IF(O65=CURSOS!$D$32,"MANIPULACION DE ALIMENTOS Y BPM",IF(O65=CURSOS!$D$33,"ATENCION A PERSONAS CON DISCAPACIDAD",IF(O65=CURSOS!$D$34,"CUIDADO INTEGRAL DEL PACIENTE ADULTO",IF(O65=CURSOS!$D$35,"MANEJO DEFENSIVO",IF(O65=CURSOS!$D$36,"SOPORTE CARDIOVASCULAR AVANZADO NEONATAL",IF(O65=CURSOS!$D$37,"SEGURIDAD DEL PACIENTE",IF(O65=CURSOS!$D$38,"MANEJO Y USO DEL DEA",IF(O65=CURSOS!$D$39,"TRIAGE")))))))))))))))))))))))))))))))))))))</f>
        <v>SOPORTE VITAL BASICO (BLS)</v>
      </c>
      <c r="V65" s="105" t="str">
        <f t="shared" si="8"/>
        <v>Rosaura  Pitacuar Pistala</v>
      </c>
      <c r="W65" s="105" t="str">
        <f t="shared" si="9"/>
        <v>Rosaura  Pitacuar Pistala</v>
      </c>
      <c r="X65" s="105" t="str">
        <f t="shared" si="10"/>
        <v>Rosaura  Pitacuar Pistala-37121242-BLS</v>
      </c>
    </row>
    <row r="66" spans="1:24" x14ac:dyDescent="0.2">
      <c r="A66" s="103">
        <v>65</v>
      </c>
      <c r="B66" s="104">
        <v>1010090710</v>
      </c>
      <c r="C66" s="105" t="s">
        <v>100</v>
      </c>
      <c r="D66" s="105" t="s">
        <v>226</v>
      </c>
      <c r="E66" s="105" t="s">
        <v>263</v>
      </c>
      <c r="F66" s="105" t="s">
        <v>264</v>
      </c>
      <c r="G66" s="106">
        <v>10</v>
      </c>
      <c r="H66" s="106" t="s">
        <v>99</v>
      </c>
      <c r="I66" s="106" t="s">
        <v>408</v>
      </c>
      <c r="J66" s="107">
        <v>45546</v>
      </c>
      <c r="K66" s="88">
        <v>28000</v>
      </c>
      <c r="L66" s="106" t="s">
        <v>103</v>
      </c>
      <c r="M66" s="106" t="s">
        <v>85</v>
      </c>
      <c r="N66" s="106" t="s">
        <v>98</v>
      </c>
      <c r="O66" s="108" t="s">
        <v>19</v>
      </c>
      <c r="P66" s="119">
        <v>37456</v>
      </c>
      <c r="Q66" s="106" t="s">
        <v>110</v>
      </c>
      <c r="R66" s="105" t="s">
        <v>123</v>
      </c>
      <c r="S66" s="105">
        <v>3145536240</v>
      </c>
      <c r="T66" s="111" t="s">
        <v>228</v>
      </c>
      <c r="U66" s="105" t="str">
        <f>IF(O66=CURSOS!$D$3,"DIPLOMADO EN ATENCION PRE-HOSPITALARIA",IF(O66=CURSOS!$D$4,"ACOMPAÑAMIENTO Y MANEJO DEL DUELO",IF(O66=CURSOS!$D$5,"ATENCION A VICTIMAS DE ATAQUE CON AGENTES QUIMICOS ",IF(O66=CURSOS!$D$6,"PRIMEROS AUXILIOS ",IF(O66=CURSOS!$D$7,"DIPLOMADO DE UNIDAD DE CUIDADOS INTENSIVOS (UCI)",IF(O66=CURSOS!$D$8,"MODELO DE ATENCION PARA EVENTOS EMERGENTES EN SALUD MENTAL (CODIGO VERDE)",IF(O66=CURSOS!$D$9,"HUMANIZACION EN EL SERVICIO DE LA SALUD Y BUENAS PRACTICAS EN PACIENTE ",IF(O66=CURSOS!$D$10,"CLINICA DE HERIDAS ",IF(O66=CURSOS!$D$11,"TOMA DE CITOLOGIA CERVICO VAGINAL ",IF(O66=CURSOS!$D$12,"SOPORTE CARDIOVASCULAR AVANZADO (ACLS) ",IF(O66=CURSOS!$D$13,"CAMILLERO ",IF(O66=CURSOS!$D$14,"TOMA DE MUESTRAS Y LABORATORIO ",IF(O66=CURSOS!$D$15,"SOPORTE VITAL BASICO (BLS)",IF(O66=CURSOS!$D$16,"ATENCION A VICTIMAS DE VIOLENCIA SEXUAL ",IF(O66=CURSOS!$D$17,"PROGRAMADO AMPLIADO DE INMUNIZACION (PAI - COVID 19)",IF(O66=CURSOS!$D$18,"ATENCION INTEGRAL EN ENFERMEDADES PREVALENTES EN PRIMERA INFANCIA (AIEPI)",IF(O66=CURSOS!$D$19,"ADMINISTRACION DE MEDICAMENTOS, INYECTOLOGIA  Y CANALIZACION ",IF(O66=CURSOS!$D$20,"OPERADOR DE VEHICULOS DE EMERGENCIA (OVE)",IF(O66=CURSOS!$D$21,"INSTITUCIONES AMIGAS DE LA MUJER Y LA INFANCIA (IAMI)",IF(O66=CURSOS!$D$22,"CUIDADO DEL DONANTE DE ORGANOS",IF(O66=CURSOS!$D$23,"ATENCION A VICTIMAS POR VIOLENCIA DE GENERO",IF(O66=CURSOS!$D$24,"IGUALDAD DE GENERO EN LA SALUD",IF(O66=CURSOS!$D$25,"BRIGADA DE EMERGENCIA",IF(O66=CURSOS!$D$26,"MANEJO DEL DOLOR Y CUIDADOS PALIATIVOS",IF(O66=CURSOS!$D$27,"TOMA DE MUESTRAS Y LABORATORIO POCT",IF(O66=CURSOS!$D$28,"IMPLANTE SUBDERMICO DE DISPOSITIVO INTRAUTERINO",IF(O66=CURSOS!$D$29,"SALUD MENTAL",IF(O66=CURSOS!$D$30,"PRIMEROS AUXILIOS PSICOLOGICOS",IF(O66=CURSOS!$D$31,"ATENCION A VICTIMAS POR CONFLICTO ARMADO",IF(O66=CURSOS!$D$32,"MANIPULACION DE ALIMENTOS Y BPM",IF(O66=CURSOS!$D$33,"ATENCION A PERSONAS CON DISCAPACIDAD",IF(O66=CURSOS!$D$34,"CUIDADO INTEGRAL DEL PACIENTE ADULTO",IF(O66=CURSOS!$D$35,"MANEJO DEFENSIVO",IF(O66=CURSOS!$D$36,"SOPORTE CARDIOVASCULAR AVANZADO NEONATAL",IF(O66=CURSOS!$D$37,"SEGURIDAD DEL PACIENTE",IF(O66=CURSOS!$D$38,"MANEJO Y USO DEL DEA",IF(O66=CURSOS!$D$39,"TRIAGE")))))))))))))))))))))))))))))))))))))</f>
        <v>SOPORTE VITAL BASICO (BLS)</v>
      </c>
      <c r="V66" s="105" t="str">
        <f t="shared" si="8"/>
        <v>Marisol Yadira Ceron Patiño</v>
      </c>
      <c r="W66" s="105" t="str">
        <f t="shared" si="9"/>
        <v>Marisol Yadira Ceron Patiño</v>
      </c>
      <c r="X66" s="105" t="str">
        <f t="shared" si="10"/>
        <v>Marisol Yadira Ceron Patiño-1010090710-BLS</v>
      </c>
    </row>
    <row r="67" spans="1:24" x14ac:dyDescent="0.2">
      <c r="A67" s="103">
        <v>66</v>
      </c>
      <c r="B67" s="105">
        <v>1085921380</v>
      </c>
      <c r="C67" s="105" t="s">
        <v>265</v>
      </c>
      <c r="D67" s="105" t="s">
        <v>162</v>
      </c>
      <c r="E67" s="105" t="s">
        <v>266</v>
      </c>
      <c r="F67" s="105" t="s">
        <v>147</v>
      </c>
      <c r="G67" s="106">
        <v>10</v>
      </c>
      <c r="H67" s="106" t="s">
        <v>99</v>
      </c>
      <c r="I67" s="106" t="s">
        <v>408</v>
      </c>
      <c r="J67" s="107">
        <v>45546</v>
      </c>
      <c r="K67" s="88">
        <v>28000</v>
      </c>
      <c r="L67" s="106" t="s">
        <v>103</v>
      </c>
      <c r="M67" s="106" t="s">
        <v>85</v>
      </c>
      <c r="N67" s="106" t="s">
        <v>98</v>
      </c>
      <c r="O67" s="108" t="s">
        <v>19</v>
      </c>
      <c r="P67" s="109">
        <v>33204</v>
      </c>
      <c r="Q67" s="106" t="s">
        <v>110</v>
      </c>
      <c r="R67" s="105" t="s">
        <v>123</v>
      </c>
      <c r="S67" s="105">
        <v>3174661787</v>
      </c>
      <c r="T67" s="111" t="s">
        <v>267</v>
      </c>
      <c r="U67" s="105" t="str">
        <f>IF(O67=CURSOS!$D$3,"DIPLOMADO EN ATENCION PRE-HOSPITALARIA",IF(O67=CURSOS!$D$4,"ACOMPAÑAMIENTO Y MANEJO DEL DUELO",IF(O67=CURSOS!$D$5,"ATENCION A VICTIMAS DE ATAQUE CON AGENTES QUIMICOS ",IF(O67=CURSOS!$D$6,"PRIMEROS AUXILIOS ",IF(O67=CURSOS!$D$7,"DIPLOMADO DE UNIDAD DE CUIDADOS INTENSIVOS (UCI)",IF(O67=CURSOS!$D$8,"MODELO DE ATENCION PARA EVENTOS EMERGENTES EN SALUD MENTAL (CODIGO VERDE)",IF(O67=CURSOS!$D$9,"HUMANIZACION EN EL SERVICIO DE LA SALUD Y BUENAS PRACTICAS EN PACIENTE ",IF(O67=CURSOS!$D$10,"CLINICA DE HERIDAS ",IF(O67=CURSOS!$D$11,"TOMA DE CITOLOGIA CERVICO VAGINAL ",IF(O67=CURSOS!$D$12,"SOPORTE CARDIOVASCULAR AVANZADO (ACLS) ",IF(O67=CURSOS!$D$13,"CAMILLERO ",IF(O67=CURSOS!$D$14,"TOMA DE MUESTRAS Y LABORATORIO ",IF(O67=CURSOS!$D$15,"SOPORTE VITAL BASICO (BLS)",IF(O67=CURSOS!$D$16,"ATENCION A VICTIMAS DE VIOLENCIA SEXUAL ",IF(O67=CURSOS!$D$17,"PROGRAMADO AMPLIADO DE INMUNIZACION (PAI - COVID 19)",IF(O67=CURSOS!$D$18,"ATENCION INTEGRAL EN ENFERMEDADES PREVALENTES EN PRIMERA INFANCIA (AIEPI)",IF(O67=CURSOS!$D$19,"ADMINISTRACION DE MEDICAMENTOS, INYECTOLOGIA  Y CANALIZACION ",IF(O67=CURSOS!$D$20,"OPERADOR DE VEHICULOS DE EMERGENCIA (OVE)",IF(O67=CURSOS!$D$21,"INSTITUCIONES AMIGAS DE LA MUJER Y LA INFANCIA (IAMI)",IF(O67=CURSOS!$D$22,"CUIDADO DEL DONANTE DE ORGANOS",IF(O67=CURSOS!$D$23,"ATENCION A VICTIMAS POR VIOLENCIA DE GENERO",IF(O67=CURSOS!$D$24,"IGUALDAD DE GENERO EN LA SALUD",IF(O67=CURSOS!$D$25,"BRIGADA DE EMERGENCIA",IF(O67=CURSOS!$D$26,"MANEJO DEL DOLOR Y CUIDADOS PALIATIVOS",IF(O67=CURSOS!$D$27,"TOMA DE MUESTRAS Y LABORATORIO POCT",IF(O67=CURSOS!$D$28,"IMPLANTE SUBDERMICO DE DISPOSITIVO INTRAUTERINO",IF(O67=CURSOS!$D$29,"SALUD MENTAL",IF(O67=CURSOS!$D$30,"PRIMEROS AUXILIOS PSICOLOGICOS",IF(O67=CURSOS!$D$31,"ATENCION A VICTIMAS POR CONFLICTO ARMADO",IF(O67=CURSOS!$D$32,"MANIPULACION DE ALIMENTOS Y BPM",IF(O67=CURSOS!$D$33,"ATENCION A PERSONAS CON DISCAPACIDAD",IF(O67=CURSOS!$D$34,"CUIDADO INTEGRAL DEL PACIENTE ADULTO",IF(O67=CURSOS!$D$35,"MANEJO DEFENSIVO",IF(O67=CURSOS!$D$36,"SOPORTE CARDIOVASCULAR AVANZADO NEONATAL",IF(O67=CURSOS!$D$37,"SEGURIDAD DEL PACIENTE",IF(O67=CURSOS!$D$38,"MANEJO Y USO DEL DEA",IF(O67=CURSOS!$D$39,"TRIAGE")))))))))))))))))))))))))))))))))))))</f>
        <v>SOPORTE VITAL BASICO (BLS)</v>
      </c>
      <c r="V67" s="105" t="str">
        <f t="shared" si="8"/>
        <v>Ana Milena Rivera Benavides</v>
      </c>
      <c r="W67" s="105" t="str">
        <f t="shared" si="9"/>
        <v>Ana Milena Rivera Benavides</v>
      </c>
      <c r="X67" s="105" t="str">
        <f t="shared" si="10"/>
        <v>Ana Milena Rivera Benavides-1085921380-BLS</v>
      </c>
    </row>
    <row r="68" spans="1:24" x14ac:dyDescent="0.2">
      <c r="A68" s="103">
        <v>67</v>
      </c>
      <c r="B68" s="105">
        <v>27252246</v>
      </c>
      <c r="C68" s="105" t="s">
        <v>268</v>
      </c>
      <c r="D68" s="105" t="s">
        <v>269</v>
      </c>
      <c r="E68" s="105" t="s">
        <v>168</v>
      </c>
      <c r="F68" s="105" t="s">
        <v>257</v>
      </c>
      <c r="G68" s="106">
        <v>11</v>
      </c>
      <c r="H68" s="106" t="s">
        <v>99</v>
      </c>
      <c r="I68" s="106" t="s">
        <v>408</v>
      </c>
      <c r="J68" s="107">
        <v>45546</v>
      </c>
      <c r="K68" s="88">
        <v>35000</v>
      </c>
      <c r="L68" s="106" t="s">
        <v>103</v>
      </c>
      <c r="M68" s="106" t="s">
        <v>85</v>
      </c>
      <c r="N68" s="106" t="s">
        <v>98</v>
      </c>
      <c r="O68" s="108" t="s">
        <v>48</v>
      </c>
      <c r="P68" s="109">
        <v>30239</v>
      </c>
      <c r="Q68" s="106" t="s">
        <v>110</v>
      </c>
      <c r="R68" s="105" t="s">
        <v>270</v>
      </c>
      <c r="S68" s="105">
        <v>3177111599</v>
      </c>
      <c r="T68" s="111" t="s">
        <v>271</v>
      </c>
      <c r="U68" s="105" t="str">
        <f>IF(O68=CURSOS!$D$3,"DIPLOMADO EN ATENCION PRE-HOSPITALARIA",IF(O68=CURSOS!$D$4,"ACOMPAÑAMIENTO Y MANEJO DEL DUELO",IF(O68=CURSOS!$D$5,"ATENCION A VICTIMAS DE ATAQUE CON AGENTES QUIMICOS ",IF(O68=CURSOS!$D$6,"PRIMEROS AUXILIOS ",IF(O68=CURSOS!$D$7,"DIPLOMADO DE UNIDAD DE CUIDADOS INTENSIVOS (UCI)",IF(O68=CURSOS!$D$8,"MODELO DE ATENCION PARA EVENTOS EMERGENTES EN SALUD MENTAL (CODIGO VERDE)",IF(O68=CURSOS!$D$9,"HUMANIZACION EN EL SERVICIO DE LA SALUD Y BUENAS PRACTICAS EN PACIENTE ",IF(O68=CURSOS!$D$10,"CLINICA DE HERIDAS ",IF(O68=CURSOS!$D$11,"TOMA DE CITOLOGIA CERVICO VAGINAL ",IF(O68=CURSOS!$D$12,"SOPORTE CARDIOVASCULAR AVANZADO (ACLS) ",IF(O68=CURSOS!$D$13,"CAMILLERO ",IF(O68=CURSOS!$D$14,"TOMA DE MUESTRAS Y LABORATORIO ",IF(O68=CURSOS!$D$15,"SOPORTE VITAL BASICO (BLS)",IF(O68=CURSOS!$D$16,"ATENCION A VICTIMAS DE VIOLENCIA SEXUAL ",IF(O68=CURSOS!$D$17,"PROGRAMADO AMPLIADO DE INMUNIZACION (PAI - COVID 19)",IF(O68=CURSOS!$D$18,"ATENCION INTEGRAL EN ENFERMEDADES PREVALENTES EN PRIMERA INFANCIA (AIEPI)",IF(O68=CURSOS!$D$19,"ADMINISTRACION DE MEDICAMENTOS, INYECTOLOGIA  Y CANALIZACION ",IF(O68=CURSOS!$D$20,"OPERADOR DE VEHICULOS DE EMERGENCIA (OVE)",IF(O68=CURSOS!$D$21,"INSTITUCIONES AMIGAS DE LA MUJER Y LA INFANCIA (IAMI)",IF(O68=CURSOS!$D$22,"CUIDADO DEL DONANTE DE ORGANOS",IF(O68=CURSOS!$D$23,"ATENCION A VICTIMAS POR VIOLENCIA DE GENERO",IF(O68=CURSOS!$D$24,"IGUALDAD DE GENERO EN LA SALUD",IF(O68=CURSOS!$D$25,"BRIGADA DE EMERGENCIA",IF(O68=CURSOS!$D$26,"MANEJO DEL DOLOR Y CUIDADOS PALIATIVOS",IF(O68=CURSOS!$D$27,"TOMA DE MUESTRAS Y LABORATORIO POCT",IF(O68=CURSOS!$D$28,"IMPLANTE SUBDERMICO DE DISPOSITIVO INTRAUTERINO",IF(O68=CURSOS!$D$29,"SALUD MENTAL",IF(O68=CURSOS!$D$30,"PRIMEROS AUXILIOS PSICOLOGICOS",IF(O68=CURSOS!$D$31,"ATENCION A VICTIMAS POR CONFLICTO ARMADO",IF(O68=CURSOS!$D$32,"MANIPULACION DE ALIMENTOS Y BPM",IF(O68=CURSOS!$D$33,"ATENCION A PERSONAS CON DISCAPACIDAD",IF(O68=CURSOS!$D$34,"CUIDADO INTEGRAL DEL PACIENTE ADULTO",IF(O68=CURSOS!$D$35,"MANEJO DEFENSIVO",IF(O68=CURSOS!$D$36,"SOPORTE CARDIOVASCULAR AVANZADO NEONATAL",IF(O68=CURSOS!$D$37,"SEGURIDAD DEL PACIENTE",IF(O68=CURSOS!$D$38,"MANEJO Y USO DEL DEA",IF(O68=CURSOS!$D$39,"TRIAGE")))))))))))))))))))))))))))))))))))))</f>
        <v xml:space="preserve">ADMINISTRACION DE MEDICAMENTOS, INYECTOLOGIA  Y CANALIZACION </v>
      </c>
      <c r="V68" s="105" t="str">
        <f t="shared" si="8"/>
        <v>Andrea Elizabeth Yépez Leytón</v>
      </c>
      <c r="W68" s="105" t="str">
        <f t="shared" si="9"/>
        <v>Andrea Elizabeth Yépez Leytón</v>
      </c>
      <c r="X68" s="105" t="str">
        <f t="shared" si="10"/>
        <v>Andrea Elizabeth Yépez Leytón-27252246-ADMON DE MEDICAMENTOS</v>
      </c>
    </row>
    <row r="69" spans="1:24" x14ac:dyDescent="0.2">
      <c r="A69" s="103">
        <v>68</v>
      </c>
      <c r="B69" s="105">
        <v>1086106324</v>
      </c>
      <c r="C69" s="105" t="s">
        <v>247</v>
      </c>
      <c r="D69" s="105" t="s">
        <v>272</v>
      </c>
      <c r="E69" s="105" t="s">
        <v>273</v>
      </c>
      <c r="F69" s="105" t="s">
        <v>274</v>
      </c>
      <c r="G69" s="106">
        <v>11</v>
      </c>
      <c r="H69" s="106" t="s">
        <v>99</v>
      </c>
      <c r="I69" s="106" t="s">
        <v>408</v>
      </c>
      <c r="J69" s="107">
        <v>45546</v>
      </c>
      <c r="K69" s="88">
        <v>35000</v>
      </c>
      <c r="L69" s="106" t="s">
        <v>103</v>
      </c>
      <c r="M69" s="106" t="s">
        <v>85</v>
      </c>
      <c r="N69" s="106" t="s">
        <v>98</v>
      </c>
      <c r="O69" s="108" t="s">
        <v>48</v>
      </c>
      <c r="P69" s="109">
        <v>34822</v>
      </c>
      <c r="Q69" s="106" t="s">
        <v>104</v>
      </c>
      <c r="R69" s="105" t="s">
        <v>275</v>
      </c>
      <c r="S69" s="105">
        <v>3163790724</v>
      </c>
      <c r="T69" s="111" t="s">
        <v>276</v>
      </c>
      <c r="U69" s="105" t="str">
        <f>IF(O69=CURSOS!$D$3,"DIPLOMADO EN ATENCION PRE-HOSPITALARIA",IF(O69=CURSOS!$D$4,"ACOMPAÑAMIENTO Y MANEJO DEL DUELO",IF(O69=CURSOS!$D$5,"ATENCION A VICTIMAS DE ATAQUE CON AGENTES QUIMICOS ",IF(O69=CURSOS!$D$6,"PRIMEROS AUXILIOS ",IF(O69=CURSOS!$D$7,"DIPLOMADO DE UNIDAD DE CUIDADOS INTENSIVOS (UCI)",IF(O69=CURSOS!$D$8,"MODELO DE ATENCION PARA EVENTOS EMERGENTES EN SALUD MENTAL (CODIGO VERDE)",IF(O69=CURSOS!$D$9,"HUMANIZACION EN EL SERVICIO DE LA SALUD Y BUENAS PRACTICAS EN PACIENTE ",IF(O69=CURSOS!$D$10,"CLINICA DE HERIDAS ",IF(O69=CURSOS!$D$11,"TOMA DE CITOLOGIA CERVICO VAGINAL ",IF(O69=CURSOS!$D$12,"SOPORTE CARDIOVASCULAR AVANZADO (ACLS) ",IF(O69=CURSOS!$D$13,"CAMILLERO ",IF(O69=CURSOS!$D$14,"TOMA DE MUESTRAS Y LABORATORIO ",IF(O69=CURSOS!$D$15,"SOPORTE VITAL BASICO (BLS)",IF(O69=CURSOS!$D$16,"ATENCION A VICTIMAS DE VIOLENCIA SEXUAL ",IF(O69=CURSOS!$D$17,"PROGRAMADO AMPLIADO DE INMUNIZACION (PAI - COVID 19)",IF(O69=CURSOS!$D$18,"ATENCION INTEGRAL EN ENFERMEDADES PREVALENTES EN PRIMERA INFANCIA (AIEPI)",IF(O69=CURSOS!$D$19,"ADMINISTRACION DE MEDICAMENTOS, INYECTOLOGIA  Y CANALIZACION ",IF(O69=CURSOS!$D$20,"OPERADOR DE VEHICULOS DE EMERGENCIA (OVE)",IF(O69=CURSOS!$D$21,"INSTITUCIONES AMIGAS DE LA MUJER Y LA INFANCIA (IAMI)",IF(O69=CURSOS!$D$22,"CUIDADO DEL DONANTE DE ORGANOS",IF(O69=CURSOS!$D$23,"ATENCION A VICTIMAS POR VIOLENCIA DE GENERO",IF(O69=CURSOS!$D$24,"IGUALDAD DE GENERO EN LA SALUD",IF(O69=CURSOS!$D$25,"BRIGADA DE EMERGENCIA",IF(O69=CURSOS!$D$26,"MANEJO DEL DOLOR Y CUIDADOS PALIATIVOS",IF(O69=CURSOS!$D$27,"TOMA DE MUESTRAS Y LABORATORIO POCT",IF(O69=CURSOS!$D$28,"IMPLANTE SUBDERMICO DE DISPOSITIVO INTRAUTERINO",IF(O69=CURSOS!$D$29,"SALUD MENTAL",IF(O69=CURSOS!$D$30,"PRIMEROS AUXILIOS PSICOLOGICOS",IF(O69=CURSOS!$D$31,"ATENCION A VICTIMAS POR CONFLICTO ARMADO",IF(O69=CURSOS!$D$32,"MANIPULACION DE ALIMENTOS Y BPM",IF(O69=CURSOS!$D$33,"ATENCION A PERSONAS CON DISCAPACIDAD",IF(O69=CURSOS!$D$34,"CUIDADO INTEGRAL DEL PACIENTE ADULTO",IF(O69=CURSOS!$D$35,"MANEJO DEFENSIVO",IF(O69=CURSOS!$D$36,"SOPORTE CARDIOVASCULAR AVANZADO NEONATAL",IF(O69=CURSOS!$D$37,"SEGURIDAD DEL PACIENTE",IF(O69=CURSOS!$D$38,"MANEJO Y USO DEL DEA",IF(O69=CURSOS!$D$39,"TRIAGE")))))))))))))))))))))))))))))))))))))</f>
        <v xml:space="preserve">ADMINISTRACION DE MEDICAMENTOS, INYECTOLOGIA  Y CANALIZACION </v>
      </c>
      <c r="V69" s="105" t="str">
        <f t="shared" si="8"/>
        <v>Bayardo Andrés Revelo Ceballos</v>
      </c>
      <c r="W69" s="105" t="str">
        <f t="shared" si="9"/>
        <v>Bayardo Andrés Revelo Ceballos</v>
      </c>
      <c r="X69" s="105" t="str">
        <f t="shared" si="10"/>
        <v>Bayardo Andrés Revelo Ceballos-1086106324-ADMON DE MEDICAMENTOS</v>
      </c>
    </row>
    <row r="70" spans="1:24" x14ac:dyDescent="0.2">
      <c r="A70" s="103">
        <v>69</v>
      </c>
      <c r="B70" s="105">
        <v>1085948033</v>
      </c>
      <c r="C70" s="105" t="s">
        <v>277</v>
      </c>
      <c r="D70" s="105" t="s">
        <v>140</v>
      </c>
      <c r="E70" s="105" t="s">
        <v>278</v>
      </c>
      <c r="F70" s="105" t="s">
        <v>279</v>
      </c>
      <c r="G70" s="106">
        <v>11</v>
      </c>
      <c r="H70" s="106" t="s">
        <v>99</v>
      </c>
      <c r="I70" s="106" t="s">
        <v>408</v>
      </c>
      <c r="J70" s="107">
        <v>45546</v>
      </c>
      <c r="K70" s="88">
        <v>35000</v>
      </c>
      <c r="L70" s="106" t="s">
        <v>103</v>
      </c>
      <c r="M70" s="106" t="s">
        <v>85</v>
      </c>
      <c r="N70" s="106" t="s">
        <v>98</v>
      </c>
      <c r="O70" s="108" t="s">
        <v>48</v>
      </c>
      <c r="P70" s="109">
        <v>36035</v>
      </c>
      <c r="Q70" s="106" t="s">
        <v>104</v>
      </c>
      <c r="R70" s="105" t="s">
        <v>275</v>
      </c>
      <c r="S70" s="105">
        <v>3116110777</v>
      </c>
      <c r="T70" s="111" t="s">
        <v>280</v>
      </c>
      <c r="U70" s="105" t="str">
        <f>IF(O70=CURSOS!$D$3,"DIPLOMADO EN ATENCION PRE-HOSPITALARIA",IF(O70=CURSOS!$D$4,"ACOMPAÑAMIENTO Y MANEJO DEL DUELO",IF(O70=CURSOS!$D$5,"ATENCION A VICTIMAS DE ATAQUE CON AGENTES QUIMICOS ",IF(O70=CURSOS!$D$6,"PRIMEROS AUXILIOS ",IF(O70=CURSOS!$D$7,"DIPLOMADO DE UNIDAD DE CUIDADOS INTENSIVOS (UCI)",IF(O70=CURSOS!$D$8,"MODELO DE ATENCION PARA EVENTOS EMERGENTES EN SALUD MENTAL (CODIGO VERDE)",IF(O70=CURSOS!$D$9,"HUMANIZACION EN EL SERVICIO DE LA SALUD Y BUENAS PRACTICAS EN PACIENTE ",IF(O70=CURSOS!$D$10,"CLINICA DE HERIDAS ",IF(O70=CURSOS!$D$11,"TOMA DE CITOLOGIA CERVICO VAGINAL ",IF(O70=CURSOS!$D$12,"SOPORTE CARDIOVASCULAR AVANZADO (ACLS) ",IF(O70=CURSOS!$D$13,"CAMILLERO ",IF(O70=CURSOS!$D$14,"TOMA DE MUESTRAS Y LABORATORIO ",IF(O70=CURSOS!$D$15,"SOPORTE VITAL BASICO (BLS)",IF(O70=CURSOS!$D$16,"ATENCION A VICTIMAS DE VIOLENCIA SEXUAL ",IF(O70=CURSOS!$D$17,"PROGRAMADO AMPLIADO DE INMUNIZACION (PAI - COVID 19)",IF(O70=CURSOS!$D$18,"ATENCION INTEGRAL EN ENFERMEDADES PREVALENTES EN PRIMERA INFANCIA (AIEPI)",IF(O70=CURSOS!$D$19,"ADMINISTRACION DE MEDICAMENTOS, INYECTOLOGIA  Y CANALIZACION ",IF(O70=CURSOS!$D$20,"OPERADOR DE VEHICULOS DE EMERGENCIA (OVE)",IF(O70=CURSOS!$D$21,"INSTITUCIONES AMIGAS DE LA MUJER Y LA INFANCIA (IAMI)",IF(O70=CURSOS!$D$22,"CUIDADO DEL DONANTE DE ORGANOS",IF(O70=CURSOS!$D$23,"ATENCION A VICTIMAS POR VIOLENCIA DE GENERO",IF(O70=CURSOS!$D$24,"IGUALDAD DE GENERO EN LA SALUD",IF(O70=CURSOS!$D$25,"BRIGADA DE EMERGENCIA",IF(O70=CURSOS!$D$26,"MANEJO DEL DOLOR Y CUIDADOS PALIATIVOS",IF(O70=CURSOS!$D$27,"TOMA DE MUESTRAS Y LABORATORIO POCT",IF(O70=CURSOS!$D$28,"IMPLANTE SUBDERMICO DE DISPOSITIVO INTRAUTERINO",IF(O70=CURSOS!$D$29,"SALUD MENTAL",IF(O70=CURSOS!$D$30,"PRIMEROS AUXILIOS PSICOLOGICOS",IF(O70=CURSOS!$D$31,"ATENCION A VICTIMAS POR CONFLICTO ARMADO",IF(O70=CURSOS!$D$32,"MANIPULACION DE ALIMENTOS Y BPM",IF(O70=CURSOS!$D$33,"ATENCION A PERSONAS CON DISCAPACIDAD",IF(O70=CURSOS!$D$34,"CUIDADO INTEGRAL DEL PACIENTE ADULTO",IF(O70=CURSOS!$D$35,"MANEJO DEFENSIVO",IF(O70=CURSOS!$D$36,"SOPORTE CARDIOVASCULAR AVANZADO NEONATAL",IF(O70=CURSOS!$D$37,"SEGURIDAD DEL PACIENTE",IF(O70=CURSOS!$D$38,"MANEJO Y USO DEL DEA",IF(O70=CURSOS!$D$39,"TRIAGE")))))))))))))))))))))))))))))))))))))</f>
        <v xml:space="preserve">ADMINISTRACION DE MEDICAMENTOS, INYECTOLOGIA  Y CANALIZACION </v>
      </c>
      <c r="V70" s="105" t="str">
        <f t="shared" si="8"/>
        <v>Nixon Arley Tapia Ortega</v>
      </c>
      <c r="W70" s="105" t="str">
        <f t="shared" si="9"/>
        <v>Nixon Arley Tapia Ortega</v>
      </c>
      <c r="X70" s="105" t="str">
        <f t="shared" si="10"/>
        <v>Nixon Arley Tapia Ortega-1085948033-ADMON DE MEDICAMENTOS</v>
      </c>
    </row>
    <row r="71" spans="1:24" x14ac:dyDescent="0.2">
      <c r="A71" s="103">
        <v>70</v>
      </c>
      <c r="B71" s="105">
        <v>1085267155</v>
      </c>
      <c r="C71" s="105" t="s">
        <v>251</v>
      </c>
      <c r="D71" s="105" t="s">
        <v>281</v>
      </c>
      <c r="E71" s="105" t="s">
        <v>282</v>
      </c>
      <c r="F71" s="105"/>
      <c r="G71" s="106">
        <v>11</v>
      </c>
      <c r="H71" s="106" t="s">
        <v>99</v>
      </c>
      <c r="I71" s="106" t="s">
        <v>408</v>
      </c>
      <c r="J71" s="107">
        <v>45547</v>
      </c>
      <c r="K71" s="88">
        <v>100000</v>
      </c>
      <c r="L71" s="106" t="s">
        <v>103</v>
      </c>
      <c r="M71" s="106" t="s">
        <v>85</v>
      </c>
      <c r="N71" s="106" t="s">
        <v>186</v>
      </c>
      <c r="O71" s="108" t="s">
        <v>38</v>
      </c>
      <c r="P71" s="109">
        <v>32357</v>
      </c>
      <c r="Q71" s="106" t="s">
        <v>104</v>
      </c>
      <c r="R71" s="105" t="s">
        <v>283</v>
      </c>
      <c r="S71" s="105">
        <v>3122772729</v>
      </c>
      <c r="T71" s="105" t="s">
        <v>284</v>
      </c>
      <c r="U71" s="105" t="str">
        <f>IF(O71=CURSOS!$D$3,"DIPLOMADO EN ATENCION PRE-HOSPITALARIA",IF(O71=CURSOS!$D$4,"ACOMPAÑAMIENTO Y MANEJO DEL DUELO",IF(O71=CURSOS!$D$5,"ATENCION A VICTIMAS DE ATAQUE CON AGENTES QUIMICOS ",IF(O71=CURSOS!$D$6,"PRIMEROS AUXILIOS ",IF(O71=CURSOS!$D$7,"DIPLOMADO DE UNIDAD DE CUIDADOS INTENSIVOS (UCI)",IF(O71=CURSOS!$D$8,"MODELO DE ATENCION PARA EVENTOS EMERGENTES EN SALUD MENTAL (CODIGO VERDE)",IF(O71=CURSOS!$D$9,"HUMANIZACION EN EL SERVICIO DE LA SALUD Y BUENAS PRACTICAS EN PACIENTE ",IF(O71=CURSOS!$D$10,"CLINICA DE HERIDAS ",IF(O71=CURSOS!$D$11,"TOMA DE CITOLOGIA CERVICO VAGINAL ",IF(O71=CURSOS!$D$12,"SOPORTE CARDIOVASCULAR AVANZADO (ACLS) ",IF(O71=CURSOS!$D$13,"CAMILLERO ",IF(O71=CURSOS!$D$14,"TOMA DE MUESTRAS Y LABORATORIO ",IF(O71=CURSOS!$D$15,"SOPORTE VITAL BASICO (BLS)",IF(O71=CURSOS!$D$16,"ATENCION A VICTIMAS DE VIOLENCIA SEXUAL ",IF(O71=CURSOS!$D$17,"PROGRAMADO AMPLIADO DE INMUNIZACION (PAI - COVID 19)",IF(O71=CURSOS!$D$18,"ATENCION INTEGRAL EN ENFERMEDADES PREVALENTES EN PRIMERA INFANCIA (AIEPI)",IF(O71=CURSOS!$D$19,"ADMINISTRACION DE MEDICAMENTOS, INYECTOLOGIA  Y CANALIZACION ",IF(O71=CURSOS!$D$20,"OPERADOR DE VEHICULOS DE EMERGENCIA (OVE)",IF(O71=CURSOS!$D$21,"INSTITUCIONES AMIGAS DE LA MUJER Y LA INFANCIA (IAMI)",IF(O71=CURSOS!$D$22,"CUIDADO DEL DONANTE DE ORGANOS",IF(O71=CURSOS!$D$23,"ATENCION A VICTIMAS POR VIOLENCIA DE GENERO",IF(O71=CURSOS!$D$24,"IGUALDAD DE GENERO EN LA SALUD",IF(O71=CURSOS!$D$25,"BRIGADA DE EMERGENCIA",IF(O71=CURSOS!$D$26,"MANEJO DEL DOLOR Y CUIDADOS PALIATIVOS",IF(O71=CURSOS!$D$27,"TOMA DE MUESTRAS Y LABORATORIO POCT",IF(O71=CURSOS!$D$28,"IMPLANTE SUBDERMICO DE DISPOSITIVO INTRAUTERINO",IF(O71=CURSOS!$D$29,"SALUD MENTAL",IF(O71=CURSOS!$D$30,"PRIMEROS AUXILIOS PSICOLOGICOS",IF(O71=CURSOS!$D$31,"ATENCION A VICTIMAS POR CONFLICTO ARMADO",IF(O71=CURSOS!$D$32,"MANIPULACION DE ALIMENTOS Y BPM",IF(O71=CURSOS!$D$33,"ATENCION A PERSONAS CON DISCAPACIDAD",IF(O71=CURSOS!$D$34,"CUIDADO INTEGRAL DEL PACIENTE ADULTO",IF(O71=CURSOS!$D$35,"MANEJO DEFENSIVO",IF(O71=CURSOS!$D$36,"SOPORTE CARDIOVASCULAR AVANZADO NEONATAL",IF(O71=CURSOS!$D$37,"SEGURIDAD DEL PACIENTE",IF(O71=CURSOS!$D$38,"MANEJO Y USO DEL DEA",IF(O71=CURSOS!$D$39,"TRIAGE")))))))))))))))))))))))))))))))))))))</f>
        <v xml:space="preserve">SOPORTE CARDIOVASCULAR AVANZADO (ACLS) </v>
      </c>
      <c r="V71" s="105" t="str">
        <f t="shared" si="8"/>
        <v>Victor  Ruano Flórez</v>
      </c>
      <c r="W71" s="105" t="str">
        <f t="shared" si="9"/>
        <v>Victor  Ruano Flórez</v>
      </c>
      <c r="X71" s="105" t="str">
        <f t="shared" si="10"/>
        <v>Victor  Ruano Flórez-1085267155-ACLS</v>
      </c>
    </row>
    <row r="72" spans="1:24" x14ac:dyDescent="0.2">
      <c r="A72" s="103">
        <v>71</v>
      </c>
      <c r="B72" s="105">
        <v>1085267155</v>
      </c>
      <c r="C72" s="105" t="s">
        <v>251</v>
      </c>
      <c r="D72" s="105" t="s">
        <v>281</v>
      </c>
      <c r="E72" s="105" t="s">
        <v>282</v>
      </c>
      <c r="F72" s="105"/>
      <c r="G72" s="106">
        <v>11</v>
      </c>
      <c r="H72" s="106" t="s">
        <v>99</v>
      </c>
      <c r="I72" s="106" t="s">
        <v>408</v>
      </c>
      <c r="J72" s="107">
        <v>45547</v>
      </c>
      <c r="K72" s="88">
        <v>30000</v>
      </c>
      <c r="L72" s="106" t="s">
        <v>103</v>
      </c>
      <c r="M72" s="106" t="s">
        <v>85</v>
      </c>
      <c r="N72" s="106" t="s">
        <v>186</v>
      </c>
      <c r="O72" s="108" t="s">
        <v>25</v>
      </c>
      <c r="P72" s="109">
        <v>32357</v>
      </c>
      <c r="Q72" s="106" t="s">
        <v>104</v>
      </c>
      <c r="R72" s="105" t="s">
        <v>283</v>
      </c>
      <c r="S72" s="105">
        <v>3122772729</v>
      </c>
      <c r="T72" s="105" t="s">
        <v>284</v>
      </c>
      <c r="U72" s="105" t="str">
        <f>IF(O72=CURSOS!$D$3,"DIPLOMADO EN ATENCION PRE-HOSPITALARIA",IF(O72=CURSOS!$D$4,"ACOMPAÑAMIENTO Y MANEJO DEL DUELO",IF(O72=CURSOS!$D$5,"ATENCION A VICTIMAS DE ATAQUE CON AGENTES QUIMICOS ",IF(O72=CURSOS!$D$6,"PRIMEROS AUXILIOS ",IF(O72=CURSOS!$D$7,"DIPLOMADO DE UNIDAD DE CUIDADOS INTENSIVOS (UCI)",IF(O72=CURSOS!$D$8,"MODELO DE ATENCION PARA EVENTOS EMERGENTES EN SALUD MENTAL (CODIGO VERDE)",IF(O72=CURSOS!$D$9,"HUMANIZACION EN EL SERVICIO DE LA SALUD Y BUENAS PRACTICAS EN PACIENTE ",IF(O72=CURSOS!$D$10,"CLINICA DE HERIDAS ",IF(O72=CURSOS!$D$11,"TOMA DE CITOLOGIA CERVICO VAGINAL ",IF(O72=CURSOS!$D$12,"SOPORTE CARDIOVASCULAR AVANZADO (ACLS) ",IF(O72=CURSOS!$D$13,"CAMILLERO ",IF(O72=CURSOS!$D$14,"TOMA DE MUESTRAS Y LABORATORIO ",IF(O72=CURSOS!$D$15,"SOPORTE VITAL BASICO (BLS)",IF(O72=CURSOS!$D$16,"ATENCION A VICTIMAS DE VIOLENCIA SEXUAL ",IF(O72=CURSOS!$D$17,"PROGRAMADO AMPLIADO DE INMUNIZACION (PAI - COVID 19)",IF(O72=CURSOS!$D$18,"ATENCION INTEGRAL EN ENFERMEDADES PREVALENTES EN PRIMERA INFANCIA (AIEPI)",IF(O72=CURSOS!$D$19,"ADMINISTRACION DE MEDICAMENTOS, INYECTOLOGIA  Y CANALIZACION ",IF(O72=CURSOS!$D$20,"OPERADOR DE VEHICULOS DE EMERGENCIA (OVE)",IF(O72=CURSOS!$D$21,"INSTITUCIONES AMIGAS DE LA MUJER Y LA INFANCIA (IAMI)",IF(O72=CURSOS!$D$22,"CUIDADO DEL DONANTE DE ORGANOS",IF(O72=CURSOS!$D$23,"ATENCION A VICTIMAS POR VIOLENCIA DE GENERO",IF(O72=CURSOS!$D$24,"IGUALDAD DE GENERO EN LA SALUD",IF(O72=CURSOS!$D$25,"BRIGADA DE EMERGENCIA",IF(O72=CURSOS!$D$26,"MANEJO DEL DOLOR Y CUIDADOS PALIATIVOS",IF(O72=CURSOS!$D$27,"TOMA DE MUESTRAS Y LABORATORIO POCT",IF(O72=CURSOS!$D$28,"IMPLANTE SUBDERMICO DE DISPOSITIVO INTRAUTERINO",IF(O72=CURSOS!$D$29,"SALUD MENTAL",IF(O72=CURSOS!$D$30,"PRIMEROS AUXILIOS PSICOLOGICOS",IF(O72=CURSOS!$D$31,"ATENCION A VICTIMAS POR CONFLICTO ARMADO",IF(O72=CURSOS!$D$32,"MANIPULACION DE ALIMENTOS Y BPM",IF(O72=CURSOS!$D$33,"ATENCION A PERSONAS CON DISCAPACIDAD",IF(O72=CURSOS!$D$34,"CUIDADO INTEGRAL DEL PACIENTE ADULTO",IF(O72=CURSOS!$D$35,"MANEJO DEFENSIVO",IF(O72=CURSOS!$D$36,"SOPORTE CARDIOVASCULAR AVANZADO NEONATAL",IF(O72=CURSOS!$D$37,"SEGURIDAD DEL PACIENTE",IF(O72=CURSOS!$D$38,"MANEJO Y USO DEL DEA",IF(O72=CURSOS!$D$39,"TRIAGE")))))))))))))))))))))))))))))))))))))</f>
        <v xml:space="preserve">ATENCION A VICTIMAS DE ATAQUE CON AGENTES QUIMICOS </v>
      </c>
      <c r="V72" s="105" t="str">
        <f t="shared" si="8"/>
        <v>Victor  Ruano Flórez</v>
      </c>
      <c r="W72" s="105" t="str">
        <f t="shared" si="9"/>
        <v>Victor  Ruano Flórez</v>
      </c>
      <c r="X72" s="105" t="str">
        <f t="shared" si="10"/>
        <v>Victor  Ruano Flórez-1085267155-QUIMICOS</v>
      </c>
    </row>
    <row r="73" spans="1:24" x14ac:dyDescent="0.2">
      <c r="A73" s="103">
        <v>72</v>
      </c>
      <c r="B73" s="105">
        <v>1004516994</v>
      </c>
      <c r="C73" s="105" t="s">
        <v>285</v>
      </c>
      <c r="D73" s="105" t="s">
        <v>286</v>
      </c>
      <c r="E73" s="105" t="s">
        <v>155</v>
      </c>
      <c r="F73" s="105" t="s">
        <v>287</v>
      </c>
      <c r="G73" s="106">
        <v>12</v>
      </c>
      <c r="H73" s="106" t="s">
        <v>99</v>
      </c>
      <c r="I73" s="106" t="s">
        <v>408</v>
      </c>
      <c r="J73" s="107">
        <v>45547</v>
      </c>
      <c r="K73" s="88">
        <v>35000</v>
      </c>
      <c r="L73" s="106" t="s">
        <v>103</v>
      </c>
      <c r="M73" s="106" t="s">
        <v>85</v>
      </c>
      <c r="N73" s="106" t="s">
        <v>98</v>
      </c>
      <c r="O73" s="108" t="s">
        <v>41</v>
      </c>
      <c r="P73" s="109">
        <v>36897</v>
      </c>
      <c r="Q73" s="106" t="s">
        <v>104</v>
      </c>
      <c r="R73" s="105" t="s">
        <v>123</v>
      </c>
      <c r="S73" s="105">
        <v>3184335213</v>
      </c>
      <c r="T73" s="105" t="s">
        <v>288</v>
      </c>
      <c r="U73" s="105" t="str">
        <f>IF(O73=CURSOS!$D$3,"DIPLOMADO EN ATENCION PRE-HOSPITALARIA",IF(O73=CURSOS!$D$4,"ACOMPAÑAMIENTO Y MANEJO DEL DUELO",IF(O73=CURSOS!$D$5,"ATENCION A VICTIMAS DE ATAQUE CON AGENTES QUIMICOS ",IF(O73=CURSOS!$D$6,"PRIMEROS AUXILIOS ",IF(O73=CURSOS!$D$7,"DIPLOMADO DE UNIDAD DE CUIDADOS INTENSIVOS (UCI)",IF(O73=CURSOS!$D$8,"MODELO DE ATENCION PARA EVENTOS EMERGENTES EN SALUD MENTAL (CODIGO VERDE)",IF(O73=CURSOS!$D$9,"HUMANIZACION EN EL SERVICIO DE LA SALUD Y BUENAS PRACTICAS EN PACIENTE ",IF(O73=CURSOS!$D$10,"CLINICA DE HERIDAS ",IF(O73=CURSOS!$D$11,"TOMA DE CITOLOGIA CERVICO VAGINAL ",IF(O73=CURSOS!$D$12,"SOPORTE CARDIOVASCULAR AVANZADO (ACLS) ",IF(O73=CURSOS!$D$13,"CAMILLERO ",IF(O73=CURSOS!$D$14,"TOMA DE MUESTRAS Y LABORATORIO ",IF(O73=CURSOS!$D$15,"SOPORTE VITAL BASICO (BLS)",IF(O73=CURSOS!$D$16,"ATENCION A VICTIMAS DE VIOLENCIA SEXUAL ",IF(O73=CURSOS!$D$17,"PROGRAMADO AMPLIADO DE INMUNIZACION (PAI - COVID 19)",IF(O73=CURSOS!$D$18,"ATENCION INTEGRAL EN ENFERMEDADES PREVALENTES EN PRIMERA INFANCIA (AIEPI)",IF(O73=CURSOS!$D$19,"ADMINISTRACION DE MEDICAMENTOS, INYECTOLOGIA  Y CANALIZACION ",IF(O73=CURSOS!$D$20,"OPERADOR DE VEHICULOS DE EMERGENCIA (OVE)",IF(O73=CURSOS!$D$21,"INSTITUCIONES AMIGAS DE LA MUJER Y LA INFANCIA (IAMI)",IF(O73=CURSOS!$D$22,"CUIDADO DEL DONANTE DE ORGANOS",IF(O73=CURSOS!$D$23,"ATENCION A VICTIMAS POR VIOLENCIA DE GENERO",IF(O73=CURSOS!$D$24,"IGUALDAD DE GENERO EN LA SALUD",IF(O73=CURSOS!$D$25,"BRIGADA DE EMERGENCIA",IF(O73=CURSOS!$D$26,"MANEJO DEL DOLOR Y CUIDADOS PALIATIVOS",IF(O73=CURSOS!$D$27,"TOMA DE MUESTRAS Y LABORATORIO POCT",IF(O73=CURSOS!$D$28,"IMPLANTE SUBDERMICO DE DISPOSITIVO INTRAUTERINO",IF(O73=CURSOS!$D$29,"SALUD MENTAL",IF(O73=CURSOS!$D$30,"PRIMEROS AUXILIOS PSICOLOGICOS",IF(O73=CURSOS!$D$31,"ATENCION A VICTIMAS POR CONFLICTO ARMADO",IF(O73=CURSOS!$D$32,"MANIPULACION DE ALIMENTOS Y BPM",IF(O73=CURSOS!$D$33,"ATENCION A PERSONAS CON DISCAPACIDAD",IF(O73=CURSOS!$D$34,"CUIDADO INTEGRAL DEL PACIENTE ADULTO",IF(O73=CURSOS!$D$35,"MANEJO DEFENSIVO",IF(O73=CURSOS!$D$36,"SOPORTE CARDIOVASCULAR AVANZADO NEONATAL",IF(O73=CURSOS!$D$37,"SEGURIDAD DEL PACIENTE",IF(O73=CURSOS!$D$38,"MANEJO Y USO DEL DEA",IF(O73=CURSOS!$D$39,"TRIAGE")))))))))))))))))))))))))))))))))))))</f>
        <v xml:space="preserve">TOMA DE MUESTRAS Y LABORATORIO </v>
      </c>
      <c r="V73" s="105" t="str">
        <f t="shared" si="8"/>
        <v>Francy Edith Burgos Flores</v>
      </c>
      <c r="W73" s="105" t="str">
        <f t="shared" si="9"/>
        <v>Francy Edith Burgos Flores</v>
      </c>
      <c r="X73" s="105" t="str">
        <f t="shared" si="10"/>
        <v>Francy Edith Burgos Flores-1004516994-TOMA DE MUESTRAS</v>
      </c>
    </row>
    <row r="74" spans="1:24" x14ac:dyDescent="0.2">
      <c r="A74" s="103">
        <v>73</v>
      </c>
      <c r="B74" s="105">
        <v>1004516994</v>
      </c>
      <c r="C74" s="105" t="s">
        <v>285</v>
      </c>
      <c r="D74" s="105" t="s">
        <v>286</v>
      </c>
      <c r="E74" s="105" t="s">
        <v>155</v>
      </c>
      <c r="F74" s="105" t="s">
        <v>287</v>
      </c>
      <c r="G74" s="106">
        <v>12</v>
      </c>
      <c r="H74" s="106" t="s">
        <v>99</v>
      </c>
      <c r="I74" s="106" t="s">
        <v>408</v>
      </c>
      <c r="J74" s="107">
        <v>45547</v>
      </c>
      <c r="K74" s="88">
        <v>35000</v>
      </c>
      <c r="L74" s="106" t="s">
        <v>103</v>
      </c>
      <c r="M74" s="106" t="s">
        <v>85</v>
      </c>
      <c r="N74" s="106" t="s">
        <v>98</v>
      </c>
      <c r="O74" s="108" t="s">
        <v>25</v>
      </c>
      <c r="P74" s="109">
        <v>36897</v>
      </c>
      <c r="Q74" s="106" t="s">
        <v>104</v>
      </c>
      <c r="R74" s="105" t="s">
        <v>123</v>
      </c>
      <c r="S74" s="105">
        <v>3184335213</v>
      </c>
      <c r="T74" s="105" t="s">
        <v>288</v>
      </c>
      <c r="U74" s="105" t="str">
        <f>IF(O74=CURSOS!$D$3,"DIPLOMADO EN ATENCION PRE-HOSPITALARIA",IF(O74=CURSOS!$D$4,"ACOMPAÑAMIENTO Y MANEJO DEL DUELO",IF(O74=CURSOS!$D$5,"ATENCION A VICTIMAS DE ATAQUE CON AGENTES QUIMICOS ",IF(O74=CURSOS!$D$6,"PRIMEROS AUXILIOS ",IF(O74=CURSOS!$D$7,"DIPLOMADO DE UNIDAD DE CUIDADOS INTENSIVOS (UCI)",IF(O74=CURSOS!$D$8,"MODELO DE ATENCION PARA EVENTOS EMERGENTES EN SALUD MENTAL (CODIGO VERDE)",IF(O74=CURSOS!$D$9,"HUMANIZACION EN EL SERVICIO DE LA SALUD Y BUENAS PRACTICAS EN PACIENTE ",IF(O74=CURSOS!$D$10,"CLINICA DE HERIDAS ",IF(O74=CURSOS!$D$11,"TOMA DE CITOLOGIA CERVICO VAGINAL ",IF(O74=CURSOS!$D$12,"SOPORTE CARDIOVASCULAR AVANZADO (ACLS) ",IF(O74=CURSOS!$D$13,"CAMILLERO ",IF(O74=CURSOS!$D$14,"TOMA DE MUESTRAS Y LABORATORIO ",IF(O74=CURSOS!$D$15,"SOPORTE VITAL BASICO (BLS)",IF(O74=CURSOS!$D$16,"ATENCION A VICTIMAS DE VIOLENCIA SEXUAL ",IF(O74=CURSOS!$D$17,"PROGRAMADO AMPLIADO DE INMUNIZACION (PAI - COVID 19)",IF(O74=CURSOS!$D$18,"ATENCION INTEGRAL EN ENFERMEDADES PREVALENTES EN PRIMERA INFANCIA (AIEPI)",IF(O74=CURSOS!$D$19,"ADMINISTRACION DE MEDICAMENTOS, INYECTOLOGIA  Y CANALIZACION ",IF(O74=CURSOS!$D$20,"OPERADOR DE VEHICULOS DE EMERGENCIA (OVE)",IF(O74=CURSOS!$D$21,"INSTITUCIONES AMIGAS DE LA MUJER Y LA INFANCIA (IAMI)",IF(O74=CURSOS!$D$22,"CUIDADO DEL DONANTE DE ORGANOS",IF(O74=CURSOS!$D$23,"ATENCION A VICTIMAS POR VIOLENCIA DE GENERO",IF(O74=CURSOS!$D$24,"IGUALDAD DE GENERO EN LA SALUD",IF(O74=CURSOS!$D$25,"BRIGADA DE EMERGENCIA",IF(O74=CURSOS!$D$26,"MANEJO DEL DOLOR Y CUIDADOS PALIATIVOS",IF(O74=CURSOS!$D$27,"TOMA DE MUESTRAS Y LABORATORIO POCT",IF(O74=CURSOS!$D$28,"IMPLANTE SUBDERMICO DE DISPOSITIVO INTRAUTERINO",IF(O74=CURSOS!$D$29,"SALUD MENTAL",IF(O74=CURSOS!$D$30,"PRIMEROS AUXILIOS PSICOLOGICOS",IF(O74=CURSOS!$D$31,"ATENCION A VICTIMAS POR CONFLICTO ARMADO",IF(O74=CURSOS!$D$32,"MANIPULACION DE ALIMENTOS Y BPM",IF(O74=CURSOS!$D$33,"ATENCION A PERSONAS CON DISCAPACIDAD",IF(O74=CURSOS!$D$34,"CUIDADO INTEGRAL DEL PACIENTE ADULTO",IF(O74=CURSOS!$D$35,"MANEJO DEFENSIVO",IF(O74=CURSOS!$D$36,"SOPORTE CARDIOVASCULAR AVANZADO NEONATAL",IF(O74=CURSOS!$D$37,"SEGURIDAD DEL PACIENTE",IF(O74=CURSOS!$D$38,"MANEJO Y USO DEL DEA",IF(O74=CURSOS!$D$39,"TRIAGE")))))))))))))))))))))))))))))))))))))</f>
        <v xml:space="preserve">ATENCION A VICTIMAS DE ATAQUE CON AGENTES QUIMICOS </v>
      </c>
      <c r="V74" s="105" t="str">
        <f t="shared" si="8"/>
        <v>Francy Edith Burgos Flores</v>
      </c>
      <c r="W74" s="105" t="str">
        <f t="shared" si="9"/>
        <v>Francy Edith Burgos Flores</v>
      </c>
      <c r="X74" s="105" t="str">
        <f t="shared" si="10"/>
        <v>Francy Edith Burgos Flores-1004516994-QUIMICOS</v>
      </c>
    </row>
    <row r="75" spans="1:24" x14ac:dyDescent="0.2">
      <c r="A75" s="103">
        <v>74</v>
      </c>
      <c r="B75" s="105">
        <v>1122784530</v>
      </c>
      <c r="C75" s="105" t="s">
        <v>90</v>
      </c>
      <c r="D75" s="105" t="s">
        <v>289</v>
      </c>
      <c r="E75" s="105" t="s">
        <v>290</v>
      </c>
      <c r="F75" s="105" t="s">
        <v>291</v>
      </c>
      <c r="G75" s="106">
        <v>12</v>
      </c>
      <c r="H75" s="106" t="s">
        <v>99</v>
      </c>
      <c r="I75" s="106" t="s">
        <v>408</v>
      </c>
      <c r="J75" s="107">
        <v>45547</v>
      </c>
      <c r="K75" s="88">
        <v>40000</v>
      </c>
      <c r="L75" s="106" t="s">
        <v>103</v>
      </c>
      <c r="M75" s="106" t="s">
        <v>85</v>
      </c>
      <c r="N75" s="106" t="s">
        <v>98</v>
      </c>
      <c r="O75" s="108" t="s">
        <v>19</v>
      </c>
      <c r="P75" s="109">
        <v>34324</v>
      </c>
      <c r="Q75" s="106" t="s">
        <v>104</v>
      </c>
      <c r="R75" s="105" t="s">
        <v>293</v>
      </c>
      <c r="S75" s="105">
        <v>3116183208</v>
      </c>
      <c r="T75" s="105" t="s">
        <v>292</v>
      </c>
      <c r="U75" s="105" t="str">
        <f>IF(O75=CURSOS!$D$3,"DIPLOMADO EN ATENCION PRE-HOSPITALARIA",IF(O75=CURSOS!$D$4,"ACOMPAÑAMIENTO Y MANEJO DEL DUELO",IF(O75=CURSOS!$D$5,"ATENCION A VICTIMAS DE ATAQUE CON AGENTES QUIMICOS ",IF(O75=CURSOS!$D$6,"PRIMEROS AUXILIOS ",IF(O75=CURSOS!$D$7,"DIPLOMADO DE UNIDAD DE CUIDADOS INTENSIVOS (UCI)",IF(O75=CURSOS!$D$8,"MODELO DE ATENCION PARA EVENTOS EMERGENTES EN SALUD MENTAL (CODIGO VERDE)",IF(O75=CURSOS!$D$9,"HUMANIZACION EN EL SERVICIO DE LA SALUD Y BUENAS PRACTICAS EN PACIENTE ",IF(O75=CURSOS!$D$10,"CLINICA DE HERIDAS ",IF(O75=CURSOS!$D$11,"TOMA DE CITOLOGIA CERVICO VAGINAL ",IF(O75=CURSOS!$D$12,"SOPORTE CARDIOVASCULAR AVANZADO (ACLS) ",IF(O75=CURSOS!$D$13,"CAMILLERO ",IF(O75=CURSOS!$D$14,"TOMA DE MUESTRAS Y LABORATORIO ",IF(O75=CURSOS!$D$15,"SOPORTE VITAL BASICO (BLS)",IF(O75=CURSOS!$D$16,"ATENCION A VICTIMAS DE VIOLENCIA SEXUAL ",IF(O75=CURSOS!$D$17,"PROGRAMADO AMPLIADO DE INMUNIZACION (PAI - COVID 19)",IF(O75=CURSOS!$D$18,"ATENCION INTEGRAL EN ENFERMEDADES PREVALENTES EN PRIMERA INFANCIA (AIEPI)",IF(O75=CURSOS!$D$19,"ADMINISTRACION DE MEDICAMENTOS, INYECTOLOGIA  Y CANALIZACION ",IF(O75=CURSOS!$D$20,"OPERADOR DE VEHICULOS DE EMERGENCIA (OVE)",IF(O75=CURSOS!$D$21,"INSTITUCIONES AMIGAS DE LA MUJER Y LA INFANCIA (IAMI)",IF(O75=CURSOS!$D$22,"CUIDADO DEL DONANTE DE ORGANOS",IF(O75=CURSOS!$D$23,"ATENCION A VICTIMAS POR VIOLENCIA DE GENERO",IF(O75=CURSOS!$D$24,"IGUALDAD DE GENERO EN LA SALUD",IF(O75=CURSOS!$D$25,"BRIGADA DE EMERGENCIA",IF(O75=CURSOS!$D$26,"MANEJO DEL DOLOR Y CUIDADOS PALIATIVOS",IF(O75=CURSOS!$D$27,"TOMA DE MUESTRAS Y LABORATORIO POCT",IF(O75=CURSOS!$D$28,"IMPLANTE SUBDERMICO DE DISPOSITIVO INTRAUTERINO",IF(O75=CURSOS!$D$29,"SALUD MENTAL",IF(O75=CURSOS!$D$30,"PRIMEROS AUXILIOS PSICOLOGICOS",IF(O75=CURSOS!$D$31,"ATENCION A VICTIMAS POR CONFLICTO ARMADO",IF(O75=CURSOS!$D$32,"MANIPULACION DE ALIMENTOS Y BPM",IF(O75=CURSOS!$D$33,"ATENCION A PERSONAS CON DISCAPACIDAD",IF(O75=CURSOS!$D$34,"CUIDADO INTEGRAL DEL PACIENTE ADULTO",IF(O75=CURSOS!$D$35,"MANEJO DEFENSIVO",IF(O75=CURSOS!$D$36,"SOPORTE CARDIOVASCULAR AVANZADO NEONATAL",IF(O75=CURSOS!$D$37,"SEGURIDAD DEL PACIENTE",IF(O75=CURSOS!$D$38,"MANEJO Y USO DEL DEA",IF(O75=CURSOS!$D$39,"TRIAGE")))))))))))))))))))))))))))))))))))))</f>
        <v>SOPORTE VITAL BASICO (BLS)</v>
      </c>
      <c r="V75" s="105" t="str">
        <f t="shared" si="8"/>
        <v>Edison Dacir Delgado Montenegro</v>
      </c>
      <c r="W75" s="105" t="str">
        <f t="shared" si="9"/>
        <v>Edison Dacir Delgado Montenegro</v>
      </c>
      <c r="X75" s="105" t="str">
        <f t="shared" si="10"/>
        <v>Edison Dacir Delgado Montenegro-1122784530-BLS</v>
      </c>
    </row>
    <row r="76" spans="1:24" x14ac:dyDescent="0.2">
      <c r="A76" s="103">
        <v>75</v>
      </c>
      <c r="B76" s="104">
        <v>108305227</v>
      </c>
      <c r="C76" s="105" t="s">
        <v>294</v>
      </c>
      <c r="D76" s="105" t="s">
        <v>90</v>
      </c>
      <c r="E76" s="105" t="s">
        <v>295</v>
      </c>
      <c r="F76" s="105" t="s">
        <v>296</v>
      </c>
      <c r="G76" s="106">
        <v>12</v>
      </c>
      <c r="H76" s="106" t="s">
        <v>99</v>
      </c>
      <c r="I76" s="106" t="s">
        <v>409</v>
      </c>
      <c r="J76" s="107">
        <v>45547</v>
      </c>
      <c r="K76" s="88">
        <v>56000</v>
      </c>
      <c r="L76" s="106" t="s">
        <v>103</v>
      </c>
      <c r="M76" s="106" t="s">
        <v>85</v>
      </c>
      <c r="N76" s="106" t="s">
        <v>98</v>
      </c>
      <c r="O76" s="108" t="s">
        <v>19</v>
      </c>
      <c r="P76" s="109">
        <v>33916</v>
      </c>
      <c r="Q76" s="106" t="s">
        <v>104</v>
      </c>
      <c r="R76" s="105" t="s">
        <v>293</v>
      </c>
      <c r="S76" s="105">
        <v>3016445817</v>
      </c>
      <c r="T76" s="105" t="s">
        <v>297</v>
      </c>
      <c r="U76" s="105" t="str">
        <f>IF(O76=CURSOS!$D$3,"DIPLOMADO EN ATENCION PRE-HOSPITALARIA",IF(O76=CURSOS!$D$4,"ACOMPAÑAMIENTO Y MANEJO DEL DUELO",IF(O76=CURSOS!$D$5,"ATENCION A VICTIMAS DE ATAQUE CON AGENTES QUIMICOS ",IF(O76=CURSOS!$D$6,"PRIMEROS AUXILIOS ",IF(O76=CURSOS!$D$7,"DIPLOMADO DE UNIDAD DE CUIDADOS INTENSIVOS (UCI)",IF(O76=CURSOS!$D$8,"MODELO DE ATENCION PARA EVENTOS EMERGENTES EN SALUD MENTAL (CODIGO VERDE)",IF(O76=CURSOS!$D$9,"HUMANIZACION EN EL SERVICIO DE LA SALUD Y BUENAS PRACTICAS EN PACIENTE ",IF(O76=CURSOS!$D$10,"CLINICA DE HERIDAS ",IF(O76=CURSOS!$D$11,"TOMA DE CITOLOGIA CERVICO VAGINAL ",IF(O76=CURSOS!$D$12,"SOPORTE CARDIOVASCULAR AVANZADO (ACLS) ",IF(O76=CURSOS!$D$13,"CAMILLERO ",IF(O76=CURSOS!$D$14,"TOMA DE MUESTRAS Y LABORATORIO ",IF(O76=CURSOS!$D$15,"SOPORTE VITAL BASICO (BLS)",IF(O76=CURSOS!$D$16,"ATENCION A VICTIMAS DE VIOLENCIA SEXUAL ",IF(O76=CURSOS!$D$17,"PROGRAMADO AMPLIADO DE INMUNIZACION (PAI - COVID 19)",IF(O76=CURSOS!$D$18,"ATENCION INTEGRAL EN ENFERMEDADES PREVALENTES EN PRIMERA INFANCIA (AIEPI)",IF(O76=CURSOS!$D$19,"ADMINISTRACION DE MEDICAMENTOS, INYECTOLOGIA  Y CANALIZACION ",IF(O76=CURSOS!$D$20,"OPERADOR DE VEHICULOS DE EMERGENCIA (OVE)",IF(O76=CURSOS!$D$21,"INSTITUCIONES AMIGAS DE LA MUJER Y LA INFANCIA (IAMI)",IF(O76=CURSOS!$D$22,"CUIDADO DEL DONANTE DE ORGANOS",IF(O76=CURSOS!$D$23,"ATENCION A VICTIMAS POR VIOLENCIA DE GENERO",IF(O76=CURSOS!$D$24,"IGUALDAD DE GENERO EN LA SALUD",IF(O76=CURSOS!$D$25,"BRIGADA DE EMERGENCIA",IF(O76=CURSOS!$D$26,"MANEJO DEL DOLOR Y CUIDADOS PALIATIVOS",IF(O76=CURSOS!$D$27,"TOMA DE MUESTRAS Y LABORATORIO POCT",IF(O76=CURSOS!$D$28,"IMPLANTE SUBDERMICO DE DISPOSITIVO INTRAUTERINO",IF(O76=CURSOS!$D$29,"SALUD MENTAL",IF(O76=CURSOS!$D$30,"PRIMEROS AUXILIOS PSICOLOGICOS",IF(O76=CURSOS!$D$31,"ATENCION A VICTIMAS POR CONFLICTO ARMADO",IF(O76=CURSOS!$D$32,"MANIPULACION DE ALIMENTOS Y BPM",IF(O76=CURSOS!$D$33,"ATENCION A PERSONAS CON DISCAPACIDAD",IF(O76=CURSOS!$D$34,"CUIDADO INTEGRAL DEL PACIENTE ADULTO",IF(O76=CURSOS!$D$35,"MANEJO DEFENSIVO",IF(O76=CURSOS!$D$36,"SOPORTE CARDIOVASCULAR AVANZADO NEONATAL",IF(O76=CURSOS!$D$37,"SEGURIDAD DEL PACIENTE",IF(O76=CURSOS!$D$38,"MANEJO Y USO DEL DEA",IF(O76=CURSOS!$D$39,"TRIAGE")))))))))))))))))))))))))))))))))))))</f>
        <v>SOPORTE VITAL BASICO (BLS)</v>
      </c>
      <c r="V76" s="105" t="str">
        <f t="shared" si="8"/>
        <v>Anderson Ivan Belalcazar Delgado</v>
      </c>
      <c r="W76" s="105" t="str">
        <f t="shared" si="9"/>
        <v>Anderson Ivan Belalcazar Delgado</v>
      </c>
      <c r="X76" s="105" t="str">
        <f t="shared" si="10"/>
        <v>Anderson Ivan Belalcazar Delgado-108305227-BLS</v>
      </c>
    </row>
    <row r="77" spans="1:24" x14ac:dyDescent="0.2">
      <c r="A77" s="103">
        <v>76</v>
      </c>
      <c r="B77" s="105">
        <v>1085319284</v>
      </c>
      <c r="C77" s="105" t="s">
        <v>196</v>
      </c>
      <c r="D77" s="105" t="s">
        <v>298</v>
      </c>
      <c r="E77" s="105" t="s">
        <v>299</v>
      </c>
      <c r="F77" s="105" t="s">
        <v>257</v>
      </c>
      <c r="G77" s="106">
        <v>12</v>
      </c>
      <c r="H77" s="106" t="s">
        <v>99</v>
      </c>
      <c r="I77" s="106" t="s">
        <v>408</v>
      </c>
      <c r="J77" s="107">
        <v>45547</v>
      </c>
      <c r="K77" s="88">
        <v>20000</v>
      </c>
      <c r="L77" s="106" t="s">
        <v>103</v>
      </c>
      <c r="M77" s="106" t="s">
        <v>85</v>
      </c>
      <c r="N77" s="106" t="s">
        <v>98</v>
      </c>
      <c r="O77" s="108" t="s">
        <v>43</v>
      </c>
      <c r="P77" s="109">
        <v>34737</v>
      </c>
      <c r="Q77" s="106" t="s">
        <v>110</v>
      </c>
      <c r="R77" s="105" t="s">
        <v>123</v>
      </c>
      <c r="S77" s="105">
        <v>3174753856</v>
      </c>
      <c r="T77" s="105" t="s">
        <v>300</v>
      </c>
      <c r="U77" s="105" t="str">
        <f>IF(O77=CURSOS!$D$3,"DIPLOMADO EN ATENCION PRE-HOSPITALARIA",IF(O77=CURSOS!$D$4,"ACOMPAÑAMIENTO Y MANEJO DEL DUELO",IF(O77=CURSOS!$D$5,"ATENCION A VICTIMAS DE ATAQUE CON AGENTES QUIMICOS ",IF(O77=CURSOS!$D$6,"PRIMEROS AUXILIOS ",IF(O77=CURSOS!$D$7,"DIPLOMADO DE UNIDAD DE CUIDADOS INTENSIVOS (UCI)",IF(O77=CURSOS!$D$8,"MODELO DE ATENCION PARA EVENTOS EMERGENTES EN SALUD MENTAL (CODIGO VERDE)",IF(O77=CURSOS!$D$9,"HUMANIZACION EN EL SERVICIO DE LA SALUD Y BUENAS PRACTICAS EN PACIENTE ",IF(O77=CURSOS!$D$10,"CLINICA DE HERIDAS ",IF(O77=CURSOS!$D$11,"TOMA DE CITOLOGIA CERVICO VAGINAL ",IF(O77=CURSOS!$D$12,"SOPORTE CARDIOVASCULAR AVANZADO (ACLS) ",IF(O77=CURSOS!$D$13,"CAMILLERO ",IF(O77=CURSOS!$D$14,"TOMA DE MUESTRAS Y LABORATORIO ",IF(O77=CURSOS!$D$15,"SOPORTE VITAL BASICO (BLS)",IF(O77=CURSOS!$D$16,"ATENCION A VICTIMAS DE VIOLENCIA SEXUAL ",IF(O77=CURSOS!$D$17,"PROGRAMADO AMPLIADO DE INMUNIZACION (PAI - COVID 19)",IF(O77=CURSOS!$D$18,"ATENCION INTEGRAL EN ENFERMEDADES PREVALENTES EN PRIMERA INFANCIA (AIEPI)",IF(O77=CURSOS!$D$19,"ADMINISTRACION DE MEDICAMENTOS, INYECTOLOGIA  Y CANALIZACION ",IF(O77=CURSOS!$D$20,"OPERADOR DE VEHICULOS DE EMERGENCIA (OVE)",IF(O77=CURSOS!$D$21,"INSTITUCIONES AMIGAS DE LA MUJER Y LA INFANCIA (IAMI)",IF(O77=CURSOS!$D$22,"CUIDADO DEL DONANTE DE ORGANOS",IF(O77=CURSOS!$D$23,"ATENCION A VICTIMAS POR VIOLENCIA DE GENERO",IF(O77=CURSOS!$D$24,"IGUALDAD DE GENERO EN LA SALUD",IF(O77=CURSOS!$D$25,"BRIGADA DE EMERGENCIA",IF(O77=CURSOS!$D$26,"MANEJO DEL DOLOR Y CUIDADOS PALIATIVOS",IF(O77=CURSOS!$D$27,"TOMA DE MUESTRAS Y LABORATORIO POCT",IF(O77=CURSOS!$D$28,"IMPLANTE SUBDERMICO DE DISPOSITIVO INTRAUTERINO",IF(O77=CURSOS!$D$29,"SALUD MENTAL",IF(O77=CURSOS!$D$30,"PRIMEROS AUXILIOS PSICOLOGICOS",IF(O77=CURSOS!$D$31,"ATENCION A VICTIMAS POR CONFLICTO ARMADO",IF(O77=CURSOS!$D$32,"MANIPULACION DE ALIMENTOS Y BPM",IF(O77=CURSOS!$D$33,"ATENCION A PERSONAS CON DISCAPACIDAD",IF(O77=CURSOS!$D$34,"CUIDADO INTEGRAL DEL PACIENTE ADULTO",IF(O77=CURSOS!$D$35,"MANEJO DEFENSIVO",IF(O77=CURSOS!$D$36,"SOPORTE CARDIOVASCULAR AVANZADO NEONATAL",IF(O77=CURSOS!$D$37,"SEGURIDAD DEL PACIENTE",IF(O77=CURSOS!$D$38,"MANEJO Y USO DEL DEA",IF(O77=CURSOS!$D$39,"TRIAGE")))))))))))))))))))))))))))))))))))))</f>
        <v xml:space="preserve">ATENCION A VICTIMAS DE VIOLENCIA SEXUAL </v>
      </c>
      <c r="V77" s="105" t="str">
        <f t="shared" si="8"/>
        <v>Yohana Elizabeth López Acosta</v>
      </c>
      <c r="W77" s="105" t="str">
        <f t="shared" si="9"/>
        <v>Yohana Elizabeth López Acosta</v>
      </c>
      <c r="X77" s="105" t="str">
        <f t="shared" si="10"/>
        <v>Yohana Elizabeth López Acosta-1085319284-VIOLENCIA SEXUAL</v>
      </c>
    </row>
    <row r="78" spans="1:24" x14ac:dyDescent="0.2">
      <c r="A78" s="103">
        <v>77</v>
      </c>
      <c r="B78" s="105">
        <v>1085319284</v>
      </c>
      <c r="C78" s="105" t="s">
        <v>196</v>
      </c>
      <c r="D78" s="105" t="s">
        <v>298</v>
      </c>
      <c r="E78" s="105" t="s">
        <v>299</v>
      </c>
      <c r="F78" s="105" t="s">
        <v>257</v>
      </c>
      <c r="G78" s="106">
        <v>12</v>
      </c>
      <c r="H78" s="106" t="s">
        <v>99</v>
      </c>
      <c r="I78" s="106" t="s">
        <v>408</v>
      </c>
      <c r="J78" s="107">
        <v>45547</v>
      </c>
      <c r="K78" s="88">
        <v>20000</v>
      </c>
      <c r="L78" s="106" t="s">
        <v>103</v>
      </c>
      <c r="M78" s="106" t="s">
        <v>85</v>
      </c>
      <c r="N78" s="106" t="s">
        <v>98</v>
      </c>
      <c r="O78" s="108" t="s">
        <v>33</v>
      </c>
      <c r="P78" s="109">
        <v>34737</v>
      </c>
      <c r="Q78" s="106" t="s">
        <v>110</v>
      </c>
      <c r="R78" s="105" t="s">
        <v>123</v>
      </c>
      <c r="S78" s="105">
        <v>3174753856</v>
      </c>
      <c r="T78" s="105" t="s">
        <v>300</v>
      </c>
      <c r="U78" s="105" t="str">
        <f>IF(O78=CURSOS!$D$3,"DIPLOMADO EN ATENCION PRE-HOSPITALARIA",IF(O78=CURSOS!$D$4,"ACOMPAÑAMIENTO Y MANEJO DEL DUELO",IF(O78=CURSOS!$D$5,"ATENCION A VICTIMAS DE ATAQUE CON AGENTES QUIMICOS ",IF(O78=CURSOS!$D$6,"PRIMEROS AUXILIOS ",IF(O78=CURSOS!$D$7,"DIPLOMADO DE UNIDAD DE CUIDADOS INTENSIVOS (UCI)",IF(O78=CURSOS!$D$8,"MODELO DE ATENCION PARA EVENTOS EMERGENTES EN SALUD MENTAL (CODIGO VERDE)",IF(O78=CURSOS!$D$9,"HUMANIZACION EN EL SERVICIO DE LA SALUD Y BUENAS PRACTICAS EN PACIENTE ",IF(O78=CURSOS!$D$10,"CLINICA DE HERIDAS ",IF(O78=CURSOS!$D$11,"TOMA DE CITOLOGIA CERVICO VAGINAL ",IF(O78=CURSOS!$D$12,"SOPORTE CARDIOVASCULAR AVANZADO (ACLS) ",IF(O78=CURSOS!$D$13,"CAMILLERO ",IF(O78=CURSOS!$D$14,"TOMA DE MUESTRAS Y LABORATORIO ",IF(O78=CURSOS!$D$15,"SOPORTE VITAL BASICO (BLS)",IF(O78=CURSOS!$D$16,"ATENCION A VICTIMAS DE VIOLENCIA SEXUAL ",IF(O78=CURSOS!$D$17,"PROGRAMADO AMPLIADO DE INMUNIZACION (PAI - COVID 19)",IF(O78=CURSOS!$D$18,"ATENCION INTEGRAL EN ENFERMEDADES PREVALENTES EN PRIMERA INFANCIA (AIEPI)",IF(O78=CURSOS!$D$19,"ADMINISTRACION DE MEDICAMENTOS, INYECTOLOGIA  Y CANALIZACION ",IF(O78=CURSOS!$D$20,"OPERADOR DE VEHICULOS DE EMERGENCIA (OVE)",IF(O78=CURSOS!$D$21,"INSTITUCIONES AMIGAS DE LA MUJER Y LA INFANCIA (IAMI)",IF(O78=CURSOS!$D$22,"CUIDADO DEL DONANTE DE ORGANOS",IF(O78=CURSOS!$D$23,"ATENCION A VICTIMAS POR VIOLENCIA DE GENERO",IF(O78=CURSOS!$D$24,"IGUALDAD DE GENERO EN LA SALUD",IF(O78=CURSOS!$D$25,"BRIGADA DE EMERGENCIA",IF(O78=CURSOS!$D$26,"MANEJO DEL DOLOR Y CUIDADOS PALIATIVOS",IF(O78=CURSOS!$D$27,"TOMA DE MUESTRAS Y LABORATORIO POCT",IF(O78=CURSOS!$D$28,"IMPLANTE SUBDERMICO DE DISPOSITIVO INTRAUTERINO",IF(O78=CURSOS!$D$29,"SALUD MENTAL",IF(O78=CURSOS!$D$30,"PRIMEROS AUXILIOS PSICOLOGICOS",IF(O78=CURSOS!$D$31,"ATENCION A VICTIMAS POR CONFLICTO ARMADO",IF(O78=CURSOS!$D$32,"MANIPULACION DE ALIMENTOS Y BPM",IF(O78=CURSOS!$D$33,"ATENCION A PERSONAS CON DISCAPACIDAD",IF(O78=CURSOS!$D$34,"CUIDADO INTEGRAL DEL PACIENTE ADULTO",IF(O78=CURSOS!$D$35,"MANEJO DEFENSIVO",IF(O78=CURSOS!$D$36,"SOPORTE CARDIOVASCULAR AVANZADO NEONATAL",IF(O78=CURSOS!$D$37,"SEGURIDAD DEL PACIENTE",IF(O78=CURSOS!$D$38,"MANEJO Y USO DEL DEA",IF(O78=CURSOS!$D$39,"TRIAGE")))))))))))))))))))))))))))))))))))))</f>
        <v xml:space="preserve">HUMANIZACION EN EL SERVICIO DE LA SALUD Y BUENAS PRACTICAS EN PACIENTE </v>
      </c>
      <c r="V78" s="105" t="str">
        <f t="shared" ref="V78" si="11">CONCATENATE(E78," ",F78," ",C78," ",D78)</f>
        <v>Yohana Elizabeth López Acosta</v>
      </c>
      <c r="W78" s="105" t="str">
        <f t="shared" ref="W78" si="12">+PROPER(V78)</f>
        <v>Yohana Elizabeth López Acosta</v>
      </c>
      <c r="X78" s="105" t="str">
        <f t="shared" ref="X78" si="13">CONCATENATE(V78,"-",B78,"-",O78)</f>
        <v>Yohana Elizabeth López Acosta-1085319284-HUMANIZACION</v>
      </c>
    </row>
    <row r="79" spans="1:24" x14ac:dyDescent="0.2">
      <c r="A79" s="103">
        <v>78</v>
      </c>
      <c r="B79" s="105">
        <v>1085291360</v>
      </c>
      <c r="C79" s="105" t="s">
        <v>301</v>
      </c>
      <c r="D79" s="105" t="s">
        <v>302</v>
      </c>
      <c r="E79" s="105" t="s">
        <v>303</v>
      </c>
      <c r="F79" s="105" t="s">
        <v>304</v>
      </c>
      <c r="G79" s="106">
        <v>12</v>
      </c>
      <c r="H79" s="106" t="s">
        <v>99</v>
      </c>
      <c r="I79" s="106" t="s">
        <v>408</v>
      </c>
      <c r="J79" s="107">
        <v>45547</v>
      </c>
      <c r="K79" s="88">
        <v>20000</v>
      </c>
      <c r="L79" s="106" t="s">
        <v>103</v>
      </c>
      <c r="M79" s="106" t="s">
        <v>85</v>
      </c>
      <c r="N79" s="106" t="s">
        <v>98</v>
      </c>
      <c r="O79" s="108" t="s">
        <v>43</v>
      </c>
      <c r="P79" s="109">
        <v>33493</v>
      </c>
      <c r="Q79" s="106" t="s">
        <v>104</v>
      </c>
      <c r="R79" s="105" t="s">
        <v>306</v>
      </c>
      <c r="S79" s="105">
        <v>3147012903</v>
      </c>
      <c r="T79" s="111" t="s">
        <v>305</v>
      </c>
      <c r="U79" s="105" t="str">
        <f>IF(O79=CURSOS!$D$3,"DIPLOMADO EN ATENCION PRE-HOSPITALARIA",IF(O79=CURSOS!$D$4,"ACOMPAÑAMIENTO Y MANEJO DEL DUELO",IF(O79=CURSOS!$D$5,"ATENCION A VICTIMAS DE ATAQUE CON AGENTES QUIMICOS ",IF(O79=CURSOS!$D$6,"PRIMEROS AUXILIOS ",IF(O79=CURSOS!$D$7,"DIPLOMADO DE UNIDAD DE CUIDADOS INTENSIVOS (UCI)",IF(O79=CURSOS!$D$8,"MODELO DE ATENCION PARA EVENTOS EMERGENTES EN SALUD MENTAL (CODIGO VERDE)",IF(O79=CURSOS!$D$9,"HUMANIZACION EN EL SERVICIO DE LA SALUD Y BUENAS PRACTICAS EN PACIENTE ",IF(O79=CURSOS!$D$10,"CLINICA DE HERIDAS ",IF(O79=CURSOS!$D$11,"TOMA DE CITOLOGIA CERVICO VAGINAL ",IF(O79=CURSOS!$D$12,"SOPORTE CARDIOVASCULAR AVANZADO (ACLS) ",IF(O79=CURSOS!$D$13,"CAMILLERO ",IF(O79=CURSOS!$D$14,"TOMA DE MUESTRAS Y LABORATORIO ",IF(O79=CURSOS!$D$15,"SOPORTE VITAL BASICO (BLS)",IF(O79=CURSOS!$D$16,"ATENCION A VICTIMAS DE VIOLENCIA SEXUAL ",IF(O79=CURSOS!$D$17,"PROGRAMADO AMPLIADO DE INMUNIZACION (PAI - COVID 19)",IF(O79=CURSOS!$D$18,"ATENCION INTEGRAL EN ENFERMEDADES PREVALENTES EN PRIMERA INFANCIA (AIEPI)",IF(O79=CURSOS!$D$19,"ADMINISTRACION DE MEDICAMENTOS, INYECTOLOGIA  Y CANALIZACION ",IF(O79=CURSOS!$D$20,"OPERADOR DE VEHICULOS DE EMERGENCIA (OVE)",IF(O79=CURSOS!$D$21,"INSTITUCIONES AMIGAS DE LA MUJER Y LA INFANCIA (IAMI)",IF(O79=CURSOS!$D$22,"CUIDADO DEL DONANTE DE ORGANOS",IF(O79=CURSOS!$D$23,"ATENCION A VICTIMAS POR VIOLENCIA DE GENERO",IF(O79=CURSOS!$D$24,"IGUALDAD DE GENERO EN LA SALUD",IF(O79=CURSOS!$D$25,"BRIGADA DE EMERGENCIA",IF(O79=CURSOS!$D$26,"MANEJO DEL DOLOR Y CUIDADOS PALIATIVOS",IF(O79=CURSOS!$D$27,"TOMA DE MUESTRAS Y LABORATORIO POCT",IF(O79=CURSOS!$D$28,"IMPLANTE SUBDERMICO DE DISPOSITIVO INTRAUTERINO",IF(O79=CURSOS!$D$29,"SALUD MENTAL",IF(O79=CURSOS!$D$30,"PRIMEROS AUXILIOS PSICOLOGICOS",IF(O79=CURSOS!$D$31,"ATENCION A VICTIMAS POR CONFLICTO ARMADO",IF(O79=CURSOS!$D$32,"MANIPULACION DE ALIMENTOS Y BPM",IF(O79=CURSOS!$D$33,"ATENCION A PERSONAS CON DISCAPACIDAD",IF(O79=CURSOS!$D$34,"CUIDADO INTEGRAL DEL PACIENTE ADULTO",IF(O79=CURSOS!$D$35,"MANEJO DEFENSIVO",IF(O79=CURSOS!$D$36,"SOPORTE CARDIOVASCULAR AVANZADO NEONATAL",IF(O79=CURSOS!$D$37,"SEGURIDAD DEL PACIENTE",IF(O79=CURSOS!$D$38,"MANEJO Y USO DEL DEA",IF(O79=CURSOS!$D$39,"TRIAGE")))))))))))))))))))))))))))))))))))))</f>
        <v xml:space="preserve">ATENCION A VICTIMAS DE VIOLENCIA SEXUAL </v>
      </c>
      <c r="V79" s="105" t="str">
        <f t="shared" ref="V79:V121" si="14">CONCATENATE(E79," ",F79," ",C79," ",D79)</f>
        <v>Javier Alexánder Enríquez Cabrera</v>
      </c>
      <c r="W79" s="105" t="str">
        <f t="shared" ref="W79:W121" si="15">+PROPER(V79)</f>
        <v>Javier Alexánder Enríquez Cabrera</v>
      </c>
      <c r="X79" s="105" t="str">
        <f t="shared" ref="X79:X121" si="16">CONCATENATE(V79,"-",B79,"-",O79)</f>
        <v>Javier Alexánder Enríquez Cabrera-1085291360-VIOLENCIA SEXUAL</v>
      </c>
    </row>
    <row r="80" spans="1:24" x14ac:dyDescent="0.2">
      <c r="A80" s="103">
        <v>79</v>
      </c>
      <c r="B80" s="105">
        <v>1085291360</v>
      </c>
      <c r="C80" s="105" t="s">
        <v>301</v>
      </c>
      <c r="D80" s="105" t="s">
        <v>302</v>
      </c>
      <c r="E80" s="105" t="s">
        <v>303</v>
      </c>
      <c r="F80" s="105" t="s">
        <v>304</v>
      </c>
      <c r="G80" s="106">
        <v>12</v>
      </c>
      <c r="H80" s="106" t="s">
        <v>99</v>
      </c>
      <c r="I80" s="106" t="s">
        <v>408</v>
      </c>
      <c r="J80" s="107">
        <v>45547</v>
      </c>
      <c r="K80" s="88">
        <v>20000</v>
      </c>
      <c r="L80" s="106" t="s">
        <v>103</v>
      </c>
      <c r="M80" s="106" t="s">
        <v>85</v>
      </c>
      <c r="N80" s="106" t="s">
        <v>98</v>
      </c>
      <c r="O80" s="108" t="s">
        <v>25</v>
      </c>
      <c r="P80" s="109">
        <v>33493</v>
      </c>
      <c r="Q80" s="106" t="s">
        <v>104</v>
      </c>
      <c r="R80" s="105" t="s">
        <v>306</v>
      </c>
      <c r="S80" s="105">
        <v>3147012903</v>
      </c>
      <c r="T80" s="111" t="s">
        <v>305</v>
      </c>
      <c r="U80" s="105" t="str">
        <f>IF(O80=CURSOS!$D$3,"DIPLOMADO EN ATENCION PRE-HOSPITALARIA",IF(O80=CURSOS!$D$4,"ACOMPAÑAMIENTO Y MANEJO DEL DUELO",IF(O80=CURSOS!$D$5,"ATENCION A VICTIMAS DE ATAQUE CON AGENTES QUIMICOS ",IF(O80=CURSOS!$D$6,"PRIMEROS AUXILIOS ",IF(O80=CURSOS!$D$7,"DIPLOMADO DE UNIDAD DE CUIDADOS INTENSIVOS (UCI)",IF(O80=CURSOS!$D$8,"MODELO DE ATENCION PARA EVENTOS EMERGENTES EN SALUD MENTAL (CODIGO VERDE)",IF(O80=CURSOS!$D$9,"HUMANIZACION EN EL SERVICIO DE LA SALUD Y BUENAS PRACTICAS EN PACIENTE ",IF(O80=CURSOS!$D$10,"CLINICA DE HERIDAS ",IF(O80=CURSOS!$D$11,"TOMA DE CITOLOGIA CERVICO VAGINAL ",IF(O80=CURSOS!$D$12,"SOPORTE CARDIOVASCULAR AVANZADO (ACLS) ",IF(O80=CURSOS!$D$13,"CAMILLERO ",IF(O80=CURSOS!$D$14,"TOMA DE MUESTRAS Y LABORATORIO ",IF(O80=CURSOS!$D$15,"SOPORTE VITAL BASICO (BLS)",IF(O80=CURSOS!$D$16,"ATENCION A VICTIMAS DE VIOLENCIA SEXUAL ",IF(O80=CURSOS!$D$17,"PROGRAMADO AMPLIADO DE INMUNIZACION (PAI - COVID 19)",IF(O80=CURSOS!$D$18,"ATENCION INTEGRAL EN ENFERMEDADES PREVALENTES EN PRIMERA INFANCIA (AIEPI)",IF(O80=CURSOS!$D$19,"ADMINISTRACION DE MEDICAMENTOS, INYECTOLOGIA  Y CANALIZACION ",IF(O80=CURSOS!$D$20,"OPERADOR DE VEHICULOS DE EMERGENCIA (OVE)",IF(O80=CURSOS!$D$21,"INSTITUCIONES AMIGAS DE LA MUJER Y LA INFANCIA (IAMI)",IF(O80=CURSOS!$D$22,"CUIDADO DEL DONANTE DE ORGANOS",IF(O80=CURSOS!$D$23,"ATENCION A VICTIMAS POR VIOLENCIA DE GENERO",IF(O80=CURSOS!$D$24,"IGUALDAD DE GENERO EN LA SALUD",IF(O80=CURSOS!$D$25,"BRIGADA DE EMERGENCIA",IF(O80=CURSOS!$D$26,"MANEJO DEL DOLOR Y CUIDADOS PALIATIVOS",IF(O80=CURSOS!$D$27,"TOMA DE MUESTRAS Y LABORATORIO POCT",IF(O80=CURSOS!$D$28,"IMPLANTE SUBDERMICO DE DISPOSITIVO INTRAUTERINO",IF(O80=CURSOS!$D$29,"SALUD MENTAL",IF(O80=CURSOS!$D$30,"PRIMEROS AUXILIOS PSICOLOGICOS",IF(O80=CURSOS!$D$31,"ATENCION A VICTIMAS POR CONFLICTO ARMADO",IF(O80=CURSOS!$D$32,"MANIPULACION DE ALIMENTOS Y BPM",IF(O80=CURSOS!$D$33,"ATENCION A PERSONAS CON DISCAPACIDAD",IF(O80=CURSOS!$D$34,"CUIDADO INTEGRAL DEL PACIENTE ADULTO",IF(O80=CURSOS!$D$35,"MANEJO DEFENSIVO",IF(O80=CURSOS!$D$36,"SOPORTE CARDIOVASCULAR AVANZADO NEONATAL",IF(O80=CURSOS!$D$37,"SEGURIDAD DEL PACIENTE",IF(O80=CURSOS!$D$38,"MANEJO Y USO DEL DEA",IF(O80=CURSOS!$D$39,"TRIAGE")))))))))))))))))))))))))))))))))))))</f>
        <v xml:space="preserve">ATENCION A VICTIMAS DE ATAQUE CON AGENTES QUIMICOS </v>
      </c>
      <c r="V80" s="105" t="str">
        <f t="shared" si="14"/>
        <v>Javier Alexánder Enríquez Cabrera</v>
      </c>
      <c r="W80" s="105" t="str">
        <f t="shared" si="15"/>
        <v>Javier Alexánder Enríquez Cabrera</v>
      </c>
      <c r="X80" s="105" t="str">
        <f t="shared" si="16"/>
        <v>Javier Alexánder Enríquez Cabrera-1085291360-QUIMICOS</v>
      </c>
    </row>
    <row r="81" spans="1:24" x14ac:dyDescent="0.2">
      <c r="A81" s="103">
        <v>80</v>
      </c>
      <c r="B81" s="105">
        <v>1085291360</v>
      </c>
      <c r="C81" s="105" t="s">
        <v>301</v>
      </c>
      <c r="D81" s="105" t="s">
        <v>302</v>
      </c>
      <c r="E81" s="105" t="s">
        <v>303</v>
      </c>
      <c r="F81" s="105" t="s">
        <v>304</v>
      </c>
      <c r="G81" s="106">
        <v>12</v>
      </c>
      <c r="H81" s="106" t="s">
        <v>99</v>
      </c>
      <c r="I81" s="106" t="s">
        <v>408</v>
      </c>
      <c r="J81" s="107">
        <v>45547</v>
      </c>
      <c r="K81" s="88">
        <v>20000</v>
      </c>
      <c r="L81" s="106" t="s">
        <v>103</v>
      </c>
      <c r="M81" s="106" t="s">
        <v>85</v>
      </c>
      <c r="N81" s="106" t="s">
        <v>98</v>
      </c>
      <c r="O81" s="108" t="s">
        <v>63</v>
      </c>
      <c r="P81" s="109">
        <v>33493</v>
      </c>
      <c r="Q81" s="106" t="s">
        <v>104</v>
      </c>
      <c r="R81" s="105" t="s">
        <v>306</v>
      </c>
      <c r="S81" s="105">
        <v>3147012903</v>
      </c>
      <c r="T81" s="111" t="s">
        <v>305</v>
      </c>
      <c r="U81" s="105" t="str">
        <f>IF(O81=CURSOS!$D$3,"DIPLOMADO EN ATENCION PRE-HOSPITALARIA",IF(O81=CURSOS!$D$4,"ACOMPAÑAMIENTO Y MANEJO DEL DUELO",IF(O81=CURSOS!$D$5,"ATENCION A VICTIMAS DE ATAQUE CON AGENTES QUIMICOS ",IF(O81=CURSOS!$D$6,"PRIMEROS AUXILIOS ",IF(O81=CURSOS!$D$7,"DIPLOMADO DE UNIDAD DE CUIDADOS INTENSIVOS (UCI)",IF(O81=CURSOS!$D$8,"MODELO DE ATENCION PARA EVENTOS EMERGENTES EN SALUD MENTAL (CODIGO VERDE)",IF(O81=CURSOS!$D$9,"HUMANIZACION EN EL SERVICIO DE LA SALUD Y BUENAS PRACTICAS EN PACIENTE ",IF(O81=CURSOS!$D$10,"CLINICA DE HERIDAS ",IF(O81=CURSOS!$D$11,"TOMA DE CITOLOGIA CERVICO VAGINAL ",IF(O81=CURSOS!$D$12,"SOPORTE CARDIOVASCULAR AVANZADO (ACLS) ",IF(O81=CURSOS!$D$13,"CAMILLERO ",IF(O81=CURSOS!$D$14,"TOMA DE MUESTRAS Y LABORATORIO ",IF(O81=CURSOS!$D$15,"SOPORTE VITAL BASICO (BLS)",IF(O81=CURSOS!$D$16,"ATENCION A VICTIMAS DE VIOLENCIA SEXUAL ",IF(O81=CURSOS!$D$17,"PROGRAMADO AMPLIADO DE INMUNIZACION (PAI - COVID 19)",IF(O81=CURSOS!$D$18,"ATENCION INTEGRAL EN ENFERMEDADES PREVALENTES EN PRIMERA INFANCIA (AIEPI)",IF(O81=CURSOS!$D$19,"ADMINISTRACION DE MEDICAMENTOS, INYECTOLOGIA  Y CANALIZACION ",IF(O81=CURSOS!$D$20,"OPERADOR DE VEHICULOS DE EMERGENCIA (OVE)",IF(O81=CURSOS!$D$21,"INSTITUCIONES AMIGAS DE LA MUJER Y LA INFANCIA (IAMI)",IF(O81=CURSOS!$D$22,"CUIDADO DEL DONANTE DE ORGANOS",IF(O81=CURSOS!$D$23,"ATENCION A VICTIMAS POR VIOLENCIA DE GENERO",IF(O81=CURSOS!$D$24,"IGUALDAD DE GENERO EN LA SALUD",IF(O81=CURSOS!$D$25,"BRIGADA DE EMERGENCIA",IF(O81=CURSOS!$D$26,"MANEJO DEL DOLOR Y CUIDADOS PALIATIVOS",IF(O81=CURSOS!$D$27,"TOMA DE MUESTRAS Y LABORATORIO POCT",IF(O81=CURSOS!$D$28,"IMPLANTE SUBDERMICO DE DISPOSITIVO INTRAUTERINO",IF(O81=CURSOS!$D$29,"SALUD MENTAL",IF(O81=CURSOS!$D$30,"PRIMEROS AUXILIOS PSICOLOGICOS",IF(O81=CURSOS!$D$31,"ATENCION A VICTIMAS POR CONFLICTO ARMADO",IF(O81=CURSOS!$D$32,"MANIPULACION DE ALIMENTOS Y BPM",IF(O81=CURSOS!$D$33,"ATENCION A PERSONAS CON DISCAPACIDAD",IF(O81=CURSOS!$D$34,"CUIDADO INTEGRAL DEL PACIENTE ADULTO",IF(O81=CURSOS!$D$35,"MANEJO DEFENSIVO",IF(O81=CURSOS!$D$36,"SOPORTE CARDIOVASCULAR AVANZADO NEONATAL",IF(O81=CURSOS!$D$37,"SEGURIDAD DEL PACIENTE",IF(O81=CURSOS!$D$38,"MANEJO Y USO DEL DEA",IF(O81=CURSOS!$D$39,"TRIAGE")))))))))))))))))))))))))))))))))))))</f>
        <v>TOMA DE MUESTRAS Y LABORATORIO POCT</v>
      </c>
      <c r="V81" s="105" t="str">
        <f t="shared" si="14"/>
        <v>Javier Alexánder Enríquez Cabrera</v>
      </c>
      <c r="W81" s="105" t="str">
        <f t="shared" si="15"/>
        <v>Javier Alexánder Enríquez Cabrera</v>
      </c>
      <c r="X81" s="105" t="str">
        <f t="shared" si="16"/>
        <v>Javier Alexánder Enríquez Cabrera-1085291360-POCT</v>
      </c>
    </row>
    <row r="82" spans="1:24" hidden="1" x14ac:dyDescent="0.2">
      <c r="A82" s="103">
        <v>81</v>
      </c>
      <c r="B82" s="105">
        <v>1085323504</v>
      </c>
      <c r="C82" s="105" t="s">
        <v>307</v>
      </c>
      <c r="D82" s="105" t="s">
        <v>308</v>
      </c>
      <c r="E82" s="105" t="s">
        <v>309</v>
      </c>
      <c r="F82" s="105" t="s">
        <v>310</v>
      </c>
      <c r="G82" s="106">
        <v>10</v>
      </c>
      <c r="H82" s="106" t="s">
        <v>99</v>
      </c>
      <c r="I82" s="106" t="s">
        <v>408</v>
      </c>
      <c r="J82" s="107">
        <v>45547</v>
      </c>
      <c r="K82" s="88">
        <v>30000</v>
      </c>
      <c r="L82" s="106" t="s">
        <v>138</v>
      </c>
      <c r="M82" s="106" t="s">
        <v>85</v>
      </c>
      <c r="N82" s="106" t="s">
        <v>98</v>
      </c>
      <c r="O82" s="108" t="s">
        <v>43</v>
      </c>
      <c r="P82" s="109">
        <v>34966</v>
      </c>
      <c r="Q82" s="106" t="s">
        <v>110</v>
      </c>
      <c r="R82" s="105" t="s">
        <v>270</v>
      </c>
      <c r="S82" s="105">
        <v>3146573475</v>
      </c>
      <c r="T82" s="111" t="s">
        <v>311</v>
      </c>
      <c r="U82" s="105" t="str">
        <f>IF(O82=CURSOS!$D$3,"DIPLOMADO EN ATENCION PRE-HOSPITALARIA",IF(O82=CURSOS!$D$4,"ACOMPAÑAMIENTO Y MANEJO DEL DUELO",IF(O82=CURSOS!$D$5,"ATENCION A VICTIMAS DE ATAQUE CON AGENTES QUIMICOS ",IF(O82=CURSOS!$D$6,"PRIMEROS AUXILIOS ",IF(O82=CURSOS!$D$7,"DIPLOMADO DE UNIDAD DE CUIDADOS INTENSIVOS (UCI)",IF(O82=CURSOS!$D$8,"MODELO DE ATENCION PARA EVENTOS EMERGENTES EN SALUD MENTAL (CODIGO VERDE)",IF(O82=CURSOS!$D$9,"HUMANIZACION EN EL SERVICIO DE LA SALUD Y BUENAS PRACTICAS EN PACIENTE ",IF(O82=CURSOS!$D$10,"CLINICA DE HERIDAS ",IF(O82=CURSOS!$D$11,"TOMA DE CITOLOGIA CERVICO VAGINAL ",IF(O82=CURSOS!$D$12,"SOPORTE CARDIOVASCULAR AVANZADO (ACLS) ",IF(O82=CURSOS!$D$13,"CAMILLERO ",IF(O82=CURSOS!$D$14,"TOMA DE MUESTRAS Y LABORATORIO ",IF(O82=CURSOS!$D$15,"SOPORTE VITAL BASICO (BLS)",IF(O82=CURSOS!$D$16,"ATENCION A VICTIMAS DE VIOLENCIA SEXUAL ",IF(O82=CURSOS!$D$17,"PROGRAMADO AMPLIADO DE INMUNIZACION (PAI - COVID 19)",IF(O82=CURSOS!$D$18,"ATENCION INTEGRAL EN ENFERMEDADES PREVALENTES EN PRIMERA INFANCIA (AIEPI)",IF(O82=CURSOS!$D$19,"ADMINISTRACION DE MEDICAMENTOS, INYECTOLOGIA  Y CANALIZACION ",IF(O82=CURSOS!$D$20,"OPERADOR DE VEHICULOS DE EMERGENCIA (OVE)",IF(O82=CURSOS!$D$21,"INSTITUCIONES AMIGAS DE LA MUJER Y LA INFANCIA (IAMI)",IF(O82=CURSOS!$D$22,"CUIDADO DEL DONANTE DE ORGANOS",IF(O82=CURSOS!$D$23,"ATENCION A VICTIMAS POR VIOLENCIA DE GENERO",IF(O82=CURSOS!$D$24,"IGUALDAD DE GENERO EN LA SALUD",IF(O82=CURSOS!$D$25,"BRIGADA DE EMERGENCIA",IF(O82=CURSOS!$D$26,"MANEJO DEL DOLOR Y CUIDADOS PALIATIVOS",IF(O82=CURSOS!$D$27,"TOMA DE MUESTRAS Y LABORATORIO POCT",IF(O82=CURSOS!$D$28,"IMPLANTE SUBDERMICO DE DISPOSITIVO INTRAUTERINO",IF(O82=CURSOS!$D$29,"SALUD MENTAL",IF(O82=CURSOS!$D$30,"PRIMEROS AUXILIOS PSICOLOGICOS",IF(O82=CURSOS!$D$31,"ATENCION A VICTIMAS POR CONFLICTO ARMADO",IF(O82=CURSOS!$D$32,"MANIPULACION DE ALIMENTOS Y BPM",IF(O82=CURSOS!$D$33,"ATENCION A PERSONAS CON DISCAPACIDAD",IF(O82=CURSOS!$D$34,"CUIDADO INTEGRAL DEL PACIENTE ADULTO",IF(O82=CURSOS!$D$35,"MANEJO DEFENSIVO",IF(O82=CURSOS!$D$36,"SOPORTE CARDIOVASCULAR AVANZADO NEONATAL",IF(O82=CURSOS!$D$37,"SEGURIDAD DEL PACIENTE",IF(O82=CURSOS!$D$38,"MANEJO Y USO DEL DEA",IF(O82=CURSOS!$D$39,"TRIAGE")))))))))))))))))))))))))))))))))))))</f>
        <v xml:space="preserve">ATENCION A VICTIMAS DE VIOLENCIA SEXUAL </v>
      </c>
      <c r="V82" s="105" t="str">
        <f t="shared" si="14"/>
        <v>Jenny Lorena Erazo Jojoa</v>
      </c>
      <c r="W82" s="105" t="str">
        <f t="shared" si="15"/>
        <v>Jenny Lorena Erazo Jojoa</v>
      </c>
      <c r="X82" s="105" t="str">
        <f t="shared" si="16"/>
        <v>Jenny Lorena Erazo Jojoa-1085323504-VIOLENCIA SEXUAL</v>
      </c>
    </row>
    <row r="83" spans="1:24" hidden="1" x14ac:dyDescent="0.2">
      <c r="A83" s="103">
        <v>82</v>
      </c>
      <c r="B83" s="105">
        <v>1085323504</v>
      </c>
      <c r="C83" s="105" t="s">
        <v>307</v>
      </c>
      <c r="D83" s="105" t="s">
        <v>308</v>
      </c>
      <c r="E83" s="105" t="s">
        <v>309</v>
      </c>
      <c r="F83" s="105" t="s">
        <v>310</v>
      </c>
      <c r="G83" s="106">
        <v>12</v>
      </c>
      <c r="H83" s="106" t="s">
        <v>99</v>
      </c>
      <c r="I83" s="106" t="s">
        <v>408</v>
      </c>
      <c r="J83" s="107">
        <v>45547</v>
      </c>
      <c r="K83" s="88">
        <v>30000</v>
      </c>
      <c r="L83" s="106" t="s">
        <v>138</v>
      </c>
      <c r="M83" s="106" t="s">
        <v>85</v>
      </c>
      <c r="N83" s="106" t="s">
        <v>98</v>
      </c>
      <c r="O83" s="108" t="s">
        <v>25</v>
      </c>
      <c r="P83" s="109">
        <v>34966</v>
      </c>
      <c r="Q83" s="106" t="s">
        <v>110</v>
      </c>
      <c r="R83" s="105" t="s">
        <v>270</v>
      </c>
      <c r="S83" s="105">
        <v>3146573475</v>
      </c>
      <c r="T83" s="111" t="s">
        <v>311</v>
      </c>
      <c r="U83" s="105" t="str">
        <f>IF(O83=CURSOS!$D$3,"DIPLOMADO EN ATENCION PRE-HOSPITALARIA",IF(O83=CURSOS!$D$4,"ACOMPAÑAMIENTO Y MANEJO DEL DUELO",IF(O83=CURSOS!$D$5,"ATENCION A VICTIMAS DE ATAQUE CON AGENTES QUIMICOS ",IF(O83=CURSOS!$D$6,"PRIMEROS AUXILIOS ",IF(O83=CURSOS!$D$7,"DIPLOMADO DE UNIDAD DE CUIDADOS INTENSIVOS (UCI)",IF(O83=CURSOS!$D$8,"MODELO DE ATENCION PARA EVENTOS EMERGENTES EN SALUD MENTAL (CODIGO VERDE)",IF(O83=CURSOS!$D$9,"HUMANIZACION EN EL SERVICIO DE LA SALUD Y BUENAS PRACTICAS EN PACIENTE ",IF(O83=CURSOS!$D$10,"CLINICA DE HERIDAS ",IF(O83=CURSOS!$D$11,"TOMA DE CITOLOGIA CERVICO VAGINAL ",IF(O83=CURSOS!$D$12,"SOPORTE CARDIOVASCULAR AVANZADO (ACLS) ",IF(O83=CURSOS!$D$13,"CAMILLERO ",IF(O83=CURSOS!$D$14,"TOMA DE MUESTRAS Y LABORATORIO ",IF(O83=CURSOS!$D$15,"SOPORTE VITAL BASICO (BLS)",IF(O83=CURSOS!$D$16,"ATENCION A VICTIMAS DE VIOLENCIA SEXUAL ",IF(O83=CURSOS!$D$17,"PROGRAMADO AMPLIADO DE INMUNIZACION (PAI - COVID 19)",IF(O83=CURSOS!$D$18,"ATENCION INTEGRAL EN ENFERMEDADES PREVALENTES EN PRIMERA INFANCIA (AIEPI)",IF(O83=CURSOS!$D$19,"ADMINISTRACION DE MEDICAMENTOS, INYECTOLOGIA  Y CANALIZACION ",IF(O83=CURSOS!$D$20,"OPERADOR DE VEHICULOS DE EMERGENCIA (OVE)",IF(O83=CURSOS!$D$21,"INSTITUCIONES AMIGAS DE LA MUJER Y LA INFANCIA (IAMI)",IF(O83=CURSOS!$D$22,"CUIDADO DEL DONANTE DE ORGANOS",IF(O83=CURSOS!$D$23,"ATENCION A VICTIMAS POR VIOLENCIA DE GENERO",IF(O83=CURSOS!$D$24,"IGUALDAD DE GENERO EN LA SALUD",IF(O83=CURSOS!$D$25,"BRIGADA DE EMERGENCIA",IF(O83=CURSOS!$D$26,"MANEJO DEL DOLOR Y CUIDADOS PALIATIVOS",IF(O83=CURSOS!$D$27,"TOMA DE MUESTRAS Y LABORATORIO POCT",IF(O83=CURSOS!$D$28,"IMPLANTE SUBDERMICO DE DISPOSITIVO INTRAUTERINO",IF(O83=CURSOS!$D$29,"SALUD MENTAL",IF(O83=CURSOS!$D$30,"PRIMEROS AUXILIOS PSICOLOGICOS",IF(O83=CURSOS!$D$31,"ATENCION A VICTIMAS POR CONFLICTO ARMADO",IF(O83=CURSOS!$D$32,"MANIPULACION DE ALIMENTOS Y BPM",IF(O83=CURSOS!$D$33,"ATENCION A PERSONAS CON DISCAPACIDAD",IF(O83=CURSOS!$D$34,"CUIDADO INTEGRAL DEL PACIENTE ADULTO",IF(O83=CURSOS!$D$35,"MANEJO DEFENSIVO",IF(O83=CURSOS!$D$36,"SOPORTE CARDIOVASCULAR AVANZADO NEONATAL",IF(O83=CURSOS!$D$37,"SEGURIDAD DEL PACIENTE",IF(O83=CURSOS!$D$38,"MANEJO Y USO DEL DEA",IF(O83=CURSOS!$D$39,"TRIAGE")))))))))))))))))))))))))))))))))))))</f>
        <v xml:space="preserve">ATENCION A VICTIMAS DE ATAQUE CON AGENTES QUIMICOS </v>
      </c>
      <c r="V83" s="105" t="str">
        <f t="shared" si="14"/>
        <v>Jenny Lorena Erazo Jojoa</v>
      </c>
      <c r="W83" s="105" t="str">
        <f t="shared" si="15"/>
        <v>Jenny Lorena Erazo Jojoa</v>
      </c>
      <c r="X83" s="105" t="str">
        <f t="shared" si="16"/>
        <v>Jenny Lorena Erazo Jojoa-1085323504-QUIMICOS</v>
      </c>
    </row>
    <row r="84" spans="1:24" hidden="1" x14ac:dyDescent="0.2">
      <c r="A84" s="103">
        <v>83</v>
      </c>
      <c r="B84" s="105">
        <v>1085323504</v>
      </c>
      <c r="C84" s="105" t="s">
        <v>307</v>
      </c>
      <c r="D84" s="105" t="s">
        <v>308</v>
      </c>
      <c r="E84" s="105" t="s">
        <v>309</v>
      </c>
      <c r="F84" s="105" t="s">
        <v>310</v>
      </c>
      <c r="G84" s="106">
        <v>9</v>
      </c>
      <c r="H84" s="106" t="s">
        <v>99</v>
      </c>
      <c r="I84" s="106" t="s">
        <v>408</v>
      </c>
      <c r="J84" s="107">
        <v>45547</v>
      </c>
      <c r="K84" s="88">
        <v>30000</v>
      </c>
      <c r="L84" s="106" t="s">
        <v>138</v>
      </c>
      <c r="M84" s="106" t="s">
        <v>85</v>
      </c>
      <c r="N84" s="106" t="s">
        <v>98</v>
      </c>
      <c r="O84" s="108" t="s">
        <v>33</v>
      </c>
      <c r="P84" s="109">
        <v>34966</v>
      </c>
      <c r="Q84" s="106" t="s">
        <v>110</v>
      </c>
      <c r="R84" s="105" t="s">
        <v>270</v>
      </c>
      <c r="S84" s="105">
        <v>3146573475</v>
      </c>
      <c r="T84" s="111" t="s">
        <v>311</v>
      </c>
      <c r="U84" s="105" t="str">
        <f>IF(O84=CURSOS!$D$3,"DIPLOMADO EN ATENCION PRE-HOSPITALARIA",IF(O84=CURSOS!$D$4,"ACOMPAÑAMIENTO Y MANEJO DEL DUELO",IF(O84=CURSOS!$D$5,"ATENCION A VICTIMAS DE ATAQUE CON AGENTES QUIMICOS ",IF(O84=CURSOS!$D$6,"PRIMEROS AUXILIOS ",IF(O84=CURSOS!$D$7,"DIPLOMADO DE UNIDAD DE CUIDADOS INTENSIVOS (UCI)",IF(O84=CURSOS!$D$8,"MODELO DE ATENCION PARA EVENTOS EMERGENTES EN SALUD MENTAL (CODIGO VERDE)",IF(O84=CURSOS!$D$9,"HUMANIZACION EN EL SERVICIO DE LA SALUD Y BUENAS PRACTICAS EN PACIENTE ",IF(O84=CURSOS!$D$10,"CLINICA DE HERIDAS ",IF(O84=CURSOS!$D$11,"TOMA DE CITOLOGIA CERVICO VAGINAL ",IF(O84=CURSOS!$D$12,"SOPORTE CARDIOVASCULAR AVANZADO (ACLS) ",IF(O84=CURSOS!$D$13,"CAMILLERO ",IF(O84=CURSOS!$D$14,"TOMA DE MUESTRAS Y LABORATORIO ",IF(O84=CURSOS!$D$15,"SOPORTE VITAL BASICO (BLS)",IF(O84=CURSOS!$D$16,"ATENCION A VICTIMAS DE VIOLENCIA SEXUAL ",IF(O84=CURSOS!$D$17,"PROGRAMADO AMPLIADO DE INMUNIZACION (PAI - COVID 19)",IF(O84=CURSOS!$D$18,"ATENCION INTEGRAL EN ENFERMEDADES PREVALENTES EN PRIMERA INFANCIA (AIEPI)",IF(O84=CURSOS!$D$19,"ADMINISTRACION DE MEDICAMENTOS, INYECTOLOGIA  Y CANALIZACION ",IF(O84=CURSOS!$D$20,"OPERADOR DE VEHICULOS DE EMERGENCIA (OVE)",IF(O84=CURSOS!$D$21,"INSTITUCIONES AMIGAS DE LA MUJER Y LA INFANCIA (IAMI)",IF(O84=CURSOS!$D$22,"CUIDADO DEL DONANTE DE ORGANOS",IF(O84=CURSOS!$D$23,"ATENCION A VICTIMAS POR VIOLENCIA DE GENERO",IF(O84=CURSOS!$D$24,"IGUALDAD DE GENERO EN LA SALUD",IF(O84=CURSOS!$D$25,"BRIGADA DE EMERGENCIA",IF(O84=CURSOS!$D$26,"MANEJO DEL DOLOR Y CUIDADOS PALIATIVOS",IF(O84=CURSOS!$D$27,"TOMA DE MUESTRAS Y LABORATORIO POCT",IF(O84=CURSOS!$D$28,"IMPLANTE SUBDERMICO DE DISPOSITIVO INTRAUTERINO",IF(O84=CURSOS!$D$29,"SALUD MENTAL",IF(O84=CURSOS!$D$30,"PRIMEROS AUXILIOS PSICOLOGICOS",IF(O84=CURSOS!$D$31,"ATENCION A VICTIMAS POR CONFLICTO ARMADO",IF(O84=CURSOS!$D$32,"MANIPULACION DE ALIMENTOS Y BPM",IF(O84=CURSOS!$D$33,"ATENCION A PERSONAS CON DISCAPACIDAD",IF(O84=CURSOS!$D$34,"CUIDADO INTEGRAL DEL PACIENTE ADULTO",IF(O84=CURSOS!$D$35,"MANEJO DEFENSIVO",IF(O84=CURSOS!$D$36,"SOPORTE CARDIOVASCULAR AVANZADO NEONATAL",IF(O84=CURSOS!$D$37,"SEGURIDAD DEL PACIENTE",IF(O84=CURSOS!$D$38,"MANEJO Y USO DEL DEA",IF(O84=CURSOS!$D$39,"TRIAGE")))))))))))))))))))))))))))))))))))))</f>
        <v xml:space="preserve">HUMANIZACION EN EL SERVICIO DE LA SALUD Y BUENAS PRACTICAS EN PACIENTE </v>
      </c>
      <c r="V84" s="105" t="str">
        <f t="shared" si="14"/>
        <v>Jenny Lorena Erazo Jojoa</v>
      </c>
      <c r="W84" s="105" t="str">
        <f t="shared" si="15"/>
        <v>Jenny Lorena Erazo Jojoa</v>
      </c>
      <c r="X84" s="105" t="str">
        <f t="shared" si="16"/>
        <v>Jenny Lorena Erazo Jojoa-1085323504-HUMANIZACION</v>
      </c>
    </row>
    <row r="85" spans="1:24" hidden="1" x14ac:dyDescent="0.2">
      <c r="A85" s="103">
        <v>84</v>
      </c>
      <c r="B85" s="105">
        <v>1085323504</v>
      </c>
      <c r="C85" s="105" t="s">
        <v>307</v>
      </c>
      <c r="D85" s="105" t="s">
        <v>308</v>
      </c>
      <c r="E85" s="105" t="s">
        <v>309</v>
      </c>
      <c r="F85" s="105" t="s">
        <v>310</v>
      </c>
      <c r="G85" s="106">
        <v>11</v>
      </c>
      <c r="H85" s="106" t="s">
        <v>99</v>
      </c>
      <c r="I85" s="106" t="s">
        <v>408</v>
      </c>
      <c r="J85" s="107">
        <v>45547</v>
      </c>
      <c r="K85" s="88">
        <v>30000</v>
      </c>
      <c r="L85" s="106" t="s">
        <v>138</v>
      </c>
      <c r="M85" s="106" t="s">
        <v>85</v>
      </c>
      <c r="N85" s="106" t="s">
        <v>98</v>
      </c>
      <c r="O85" s="108" t="s">
        <v>23</v>
      </c>
      <c r="P85" s="109">
        <v>34966</v>
      </c>
      <c r="Q85" s="106" t="s">
        <v>110</v>
      </c>
      <c r="R85" s="105" t="s">
        <v>270</v>
      </c>
      <c r="S85" s="105">
        <v>3146573475</v>
      </c>
      <c r="T85" s="111" t="s">
        <v>311</v>
      </c>
      <c r="U85" s="105" t="str">
        <f>IF(O85=CURSOS!$D$3,"DIPLOMADO EN ATENCION PRE-HOSPITALARIA",IF(O85=CURSOS!$D$4,"ACOMPAÑAMIENTO Y MANEJO DEL DUELO",IF(O85=CURSOS!$D$5,"ATENCION A VICTIMAS DE ATAQUE CON AGENTES QUIMICOS ",IF(O85=CURSOS!$D$6,"PRIMEROS AUXILIOS ",IF(O85=CURSOS!$D$7,"DIPLOMADO DE UNIDAD DE CUIDADOS INTENSIVOS (UCI)",IF(O85=CURSOS!$D$8,"MODELO DE ATENCION PARA EVENTOS EMERGENTES EN SALUD MENTAL (CODIGO VERDE)",IF(O85=CURSOS!$D$9,"HUMANIZACION EN EL SERVICIO DE LA SALUD Y BUENAS PRACTICAS EN PACIENTE ",IF(O85=CURSOS!$D$10,"CLINICA DE HERIDAS ",IF(O85=CURSOS!$D$11,"TOMA DE CITOLOGIA CERVICO VAGINAL ",IF(O85=CURSOS!$D$12,"SOPORTE CARDIOVASCULAR AVANZADO (ACLS) ",IF(O85=CURSOS!$D$13,"CAMILLERO ",IF(O85=CURSOS!$D$14,"TOMA DE MUESTRAS Y LABORATORIO ",IF(O85=CURSOS!$D$15,"SOPORTE VITAL BASICO (BLS)",IF(O85=CURSOS!$D$16,"ATENCION A VICTIMAS DE VIOLENCIA SEXUAL ",IF(O85=CURSOS!$D$17,"PROGRAMADO AMPLIADO DE INMUNIZACION (PAI - COVID 19)",IF(O85=CURSOS!$D$18,"ATENCION INTEGRAL EN ENFERMEDADES PREVALENTES EN PRIMERA INFANCIA (AIEPI)",IF(O85=CURSOS!$D$19,"ADMINISTRACION DE MEDICAMENTOS, INYECTOLOGIA  Y CANALIZACION ",IF(O85=CURSOS!$D$20,"OPERADOR DE VEHICULOS DE EMERGENCIA (OVE)",IF(O85=CURSOS!$D$21,"INSTITUCIONES AMIGAS DE LA MUJER Y LA INFANCIA (IAMI)",IF(O85=CURSOS!$D$22,"CUIDADO DEL DONANTE DE ORGANOS",IF(O85=CURSOS!$D$23,"ATENCION A VICTIMAS POR VIOLENCIA DE GENERO",IF(O85=CURSOS!$D$24,"IGUALDAD DE GENERO EN LA SALUD",IF(O85=CURSOS!$D$25,"BRIGADA DE EMERGENCIA",IF(O85=CURSOS!$D$26,"MANEJO DEL DOLOR Y CUIDADOS PALIATIVOS",IF(O85=CURSOS!$D$27,"TOMA DE MUESTRAS Y LABORATORIO POCT",IF(O85=CURSOS!$D$28,"IMPLANTE SUBDERMICO DE DISPOSITIVO INTRAUTERINO",IF(O85=CURSOS!$D$29,"SALUD MENTAL",IF(O85=CURSOS!$D$30,"PRIMEROS AUXILIOS PSICOLOGICOS",IF(O85=CURSOS!$D$31,"ATENCION A VICTIMAS POR CONFLICTO ARMADO",IF(O85=CURSOS!$D$32,"MANIPULACION DE ALIMENTOS Y BPM",IF(O85=CURSOS!$D$33,"ATENCION A PERSONAS CON DISCAPACIDAD",IF(O85=CURSOS!$D$34,"CUIDADO INTEGRAL DEL PACIENTE ADULTO",IF(O85=CURSOS!$D$35,"MANEJO DEFENSIVO",IF(O85=CURSOS!$D$36,"SOPORTE CARDIOVASCULAR AVANZADO NEONATAL",IF(O85=CURSOS!$D$37,"SEGURIDAD DEL PACIENTE",IF(O85=CURSOS!$D$38,"MANEJO Y USO DEL DEA",IF(O85=CURSOS!$D$39,"TRIAGE")))))))))))))))))))))))))))))))))))))</f>
        <v>ACOMPAÑAMIENTO Y MANEJO DEL DUELO</v>
      </c>
      <c r="V85" s="105" t="str">
        <f t="shared" si="14"/>
        <v>Jenny Lorena Erazo Jojoa</v>
      </c>
      <c r="W85" s="105" t="str">
        <f t="shared" si="15"/>
        <v>Jenny Lorena Erazo Jojoa</v>
      </c>
      <c r="X85" s="105" t="str">
        <f t="shared" si="16"/>
        <v>Jenny Lorena Erazo Jojoa-1085323504-DUELO</v>
      </c>
    </row>
    <row r="86" spans="1:24" x14ac:dyDescent="0.2">
      <c r="A86" s="103">
        <v>85</v>
      </c>
      <c r="B86" s="105">
        <v>1085932076</v>
      </c>
      <c r="C86" s="105" t="s">
        <v>139</v>
      </c>
      <c r="D86" s="105" t="s">
        <v>327</v>
      </c>
      <c r="E86" s="105" t="s">
        <v>359</v>
      </c>
      <c r="F86" s="105" t="s">
        <v>147</v>
      </c>
      <c r="G86" s="106">
        <v>13</v>
      </c>
      <c r="H86" s="106" t="s">
        <v>99</v>
      </c>
      <c r="I86" s="106" t="s">
        <v>409</v>
      </c>
      <c r="J86" s="107">
        <v>45548</v>
      </c>
      <c r="K86" s="88">
        <v>80000</v>
      </c>
      <c r="L86" s="106" t="s">
        <v>103</v>
      </c>
      <c r="M86" s="106" t="s">
        <v>85</v>
      </c>
      <c r="N86" s="106" t="s">
        <v>361</v>
      </c>
      <c r="O86" s="108" t="s">
        <v>38</v>
      </c>
      <c r="P86" s="109">
        <v>34125</v>
      </c>
      <c r="Q86" s="106" t="s">
        <v>110</v>
      </c>
      <c r="R86" s="105" t="s">
        <v>270</v>
      </c>
      <c r="S86" s="105">
        <v>3233311474</v>
      </c>
      <c r="T86" s="116" t="s">
        <v>360</v>
      </c>
      <c r="U86" s="105" t="str">
        <f>IF(O86=CURSOS!$D$3,"DIPLOMADO EN ATENCION PRE-HOSPITALARIA",IF(O86=CURSOS!$D$4,"ACOMPAÑAMIENTO Y MANEJO DEL DUELO",IF(O86=CURSOS!$D$5,"ATENCION A VICTIMAS DE ATAQUE CON AGENTES QUIMICOS ",IF(O86=CURSOS!$D$6,"PRIMEROS AUXILIOS ",IF(O86=CURSOS!$D$7,"DIPLOMADO DE UNIDAD DE CUIDADOS INTENSIVOS (UCI)",IF(O86=CURSOS!$D$8,"MODELO DE ATENCION PARA EVENTOS EMERGENTES EN SALUD MENTAL (CODIGO VERDE)",IF(O86=CURSOS!$D$9,"HUMANIZACION EN EL SERVICIO DE LA SALUD Y BUENAS PRACTICAS EN PACIENTE ",IF(O86=CURSOS!$D$10,"CLINICA DE HERIDAS ",IF(O86=CURSOS!$D$11,"TOMA DE CITOLOGIA CERVICO VAGINAL ",IF(O86=CURSOS!$D$12,"SOPORTE CARDIOVASCULAR AVANZADO (ACLS) ",IF(O86=CURSOS!$D$13,"CAMILLERO ",IF(O86=CURSOS!$D$14,"TOMA DE MUESTRAS Y LABORATORIO ",IF(O86=CURSOS!$D$15,"SOPORTE VITAL BASICO (BLS)",IF(O86=CURSOS!$D$16,"ATENCION A VICTIMAS DE VIOLENCIA SEXUAL ",IF(O86=CURSOS!$D$17,"PROGRAMADO AMPLIADO DE INMUNIZACION (PAI - COVID 19)",IF(O86=CURSOS!$D$18,"ATENCION INTEGRAL EN ENFERMEDADES PREVALENTES EN PRIMERA INFANCIA (AIEPI)",IF(O86=CURSOS!$D$19,"ADMINISTRACION DE MEDICAMENTOS, INYECTOLOGIA  Y CANALIZACION ",IF(O86=CURSOS!$D$20,"OPERADOR DE VEHICULOS DE EMERGENCIA (OVE)",IF(O86=CURSOS!$D$21,"INSTITUCIONES AMIGAS DE LA MUJER Y LA INFANCIA (IAMI)",IF(O86=CURSOS!$D$22,"CUIDADO DEL DONANTE DE ORGANOS",IF(O86=CURSOS!$D$23,"ATENCION A VICTIMAS POR VIOLENCIA DE GENERO",IF(O86=CURSOS!$D$24,"IGUALDAD DE GENERO EN LA SALUD",IF(O86=CURSOS!$D$25,"BRIGADA DE EMERGENCIA",IF(O86=CURSOS!$D$26,"MANEJO DEL DOLOR Y CUIDADOS PALIATIVOS",IF(O86=CURSOS!$D$27,"TOMA DE MUESTRAS Y LABORATORIO POCT",IF(O86=CURSOS!$D$28,"IMPLANTE SUBDERMICO DE DISPOSITIVO INTRAUTERINO",IF(O86=CURSOS!$D$29,"SALUD MENTAL",IF(O86=CURSOS!$D$30,"PRIMEROS AUXILIOS PSICOLOGICOS",IF(O86=CURSOS!$D$31,"ATENCION A VICTIMAS POR CONFLICTO ARMADO",IF(O86=CURSOS!$D$32,"MANIPULACION DE ALIMENTOS Y BPM",IF(O86=CURSOS!$D$33,"ATENCION A PERSONAS CON DISCAPACIDAD",IF(O86=CURSOS!$D$34,"CUIDADO INTEGRAL DEL PACIENTE ADULTO",IF(O86=CURSOS!$D$35,"MANEJO DEFENSIVO",IF(O86=CURSOS!$D$36,"SOPORTE CARDIOVASCULAR AVANZADO NEONATAL",IF(O86=CURSOS!$D$37,"SEGURIDAD DEL PACIENTE",IF(O86=CURSOS!$D$38,"MANEJO Y USO DEL DEA",IF(O86=CURSOS!$D$39,"TRIAGE")))))))))))))))))))))))))))))))))))))</f>
        <v xml:space="preserve">SOPORTE CARDIOVASCULAR AVANZADO (ACLS) </v>
      </c>
      <c r="V86" s="105" t="str">
        <f t="shared" si="14"/>
        <v>Yeimy Milena Villacorte Hernandez</v>
      </c>
      <c r="W86" s="105" t="str">
        <f t="shared" si="15"/>
        <v>Yeimy Milena Villacorte Hernandez</v>
      </c>
      <c r="X86" s="105" t="str">
        <f t="shared" si="16"/>
        <v>Yeimy Milena Villacorte Hernandez-1085932076-ACLS</v>
      </c>
    </row>
    <row r="87" spans="1:24" x14ac:dyDescent="0.2">
      <c r="A87" s="103">
        <v>86</v>
      </c>
      <c r="B87" s="105">
        <v>1085932076</v>
      </c>
      <c r="C87" s="105" t="s">
        <v>139</v>
      </c>
      <c r="D87" s="105" t="s">
        <v>327</v>
      </c>
      <c r="E87" s="105" t="s">
        <v>359</v>
      </c>
      <c r="F87" s="105" t="s">
        <v>147</v>
      </c>
      <c r="G87" s="106">
        <v>13</v>
      </c>
      <c r="H87" s="106" t="s">
        <v>99</v>
      </c>
      <c r="I87" s="106" t="s">
        <v>409</v>
      </c>
      <c r="J87" s="107">
        <v>45548</v>
      </c>
      <c r="K87" s="88">
        <v>0</v>
      </c>
      <c r="L87" s="106" t="s">
        <v>103</v>
      </c>
      <c r="M87" s="106" t="s">
        <v>85</v>
      </c>
      <c r="N87" s="106" t="s">
        <v>361</v>
      </c>
      <c r="O87" s="108" t="s">
        <v>19</v>
      </c>
      <c r="P87" s="109">
        <v>34125</v>
      </c>
      <c r="Q87" s="106" t="s">
        <v>110</v>
      </c>
      <c r="R87" s="105" t="s">
        <v>270</v>
      </c>
      <c r="S87" s="105">
        <v>3233311474</v>
      </c>
      <c r="T87" s="116" t="s">
        <v>360</v>
      </c>
      <c r="U87" s="105" t="str">
        <f>IF(O87=CURSOS!$D$3,"DIPLOMADO EN ATENCION PRE-HOSPITALARIA",IF(O87=CURSOS!$D$4,"ACOMPAÑAMIENTO Y MANEJO DEL DUELO",IF(O87=CURSOS!$D$5,"ATENCION A VICTIMAS DE ATAQUE CON AGENTES QUIMICOS ",IF(O87=CURSOS!$D$6,"PRIMEROS AUXILIOS ",IF(O87=CURSOS!$D$7,"DIPLOMADO DE UNIDAD DE CUIDADOS INTENSIVOS (UCI)",IF(O87=CURSOS!$D$8,"MODELO DE ATENCION PARA EVENTOS EMERGENTES EN SALUD MENTAL (CODIGO VERDE)",IF(O87=CURSOS!$D$9,"HUMANIZACION EN EL SERVICIO DE LA SALUD Y BUENAS PRACTICAS EN PACIENTE ",IF(O87=CURSOS!$D$10,"CLINICA DE HERIDAS ",IF(O87=CURSOS!$D$11,"TOMA DE CITOLOGIA CERVICO VAGINAL ",IF(O87=CURSOS!$D$12,"SOPORTE CARDIOVASCULAR AVANZADO (ACLS) ",IF(O87=CURSOS!$D$13,"CAMILLERO ",IF(O87=CURSOS!$D$14,"TOMA DE MUESTRAS Y LABORATORIO ",IF(O87=CURSOS!$D$15,"SOPORTE VITAL BASICO (BLS)",IF(O87=CURSOS!$D$16,"ATENCION A VICTIMAS DE VIOLENCIA SEXUAL ",IF(O87=CURSOS!$D$17,"PROGRAMADO AMPLIADO DE INMUNIZACION (PAI - COVID 19)",IF(O87=CURSOS!$D$18,"ATENCION INTEGRAL EN ENFERMEDADES PREVALENTES EN PRIMERA INFANCIA (AIEPI)",IF(O87=CURSOS!$D$19,"ADMINISTRACION DE MEDICAMENTOS, INYECTOLOGIA  Y CANALIZACION ",IF(O87=CURSOS!$D$20,"OPERADOR DE VEHICULOS DE EMERGENCIA (OVE)",IF(O87=CURSOS!$D$21,"INSTITUCIONES AMIGAS DE LA MUJER Y LA INFANCIA (IAMI)",IF(O87=CURSOS!$D$22,"CUIDADO DEL DONANTE DE ORGANOS",IF(O87=CURSOS!$D$23,"ATENCION A VICTIMAS POR VIOLENCIA DE GENERO",IF(O87=CURSOS!$D$24,"IGUALDAD DE GENERO EN LA SALUD",IF(O87=CURSOS!$D$25,"BRIGADA DE EMERGENCIA",IF(O87=CURSOS!$D$26,"MANEJO DEL DOLOR Y CUIDADOS PALIATIVOS",IF(O87=CURSOS!$D$27,"TOMA DE MUESTRAS Y LABORATORIO POCT",IF(O87=CURSOS!$D$28,"IMPLANTE SUBDERMICO DE DISPOSITIVO INTRAUTERINO",IF(O87=CURSOS!$D$29,"SALUD MENTAL",IF(O87=CURSOS!$D$30,"PRIMEROS AUXILIOS PSICOLOGICOS",IF(O87=CURSOS!$D$31,"ATENCION A VICTIMAS POR CONFLICTO ARMADO",IF(O87=CURSOS!$D$32,"MANIPULACION DE ALIMENTOS Y BPM",IF(O87=CURSOS!$D$33,"ATENCION A PERSONAS CON DISCAPACIDAD",IF(O87=CURSOS!$D$34,"CUIDADO INTEGRAL DEL PACIENTE ADULTO",IF(O87=CURSOS!$D$35,"MANEJO DEFENSIVO",IF(O87=CURSOS!$D$36,"SOPORTE CARDIOVASCULAR AVANZADO NEONATAL",IF(O87=CURSOS!$D$37,"SEGURIDAD DEL PACIENTE",IF(O87=CURSOS!$D$38,"MANEJO Y USO DEL DEA",IF(O87=CURSOS!$D$39,"TRIAGE")))))))))))))))))))))))))))))))))))))</f>
        <v>SOPORTE VITAL BASICO (BLS)</v>
      </c>
      <c r="V87" s="105" t="str">
        <f t="shared" si="14"/>
        <v>Yeimy Milena Villacorte Hernandez</v>
      </c>
      <c r="W87" s="105" t="str">
        <f t="shared" si="15"/>
        <v>Yeimy Milena Villacorte Hernandez</v>
      </c>
      <c r="X87" s="105" t="str">
        <f t="shared" si="16"/>
        <v>Yeimy Milena Villacorte Hernandez-1085932076-BLS</v>
      </c>
    </row>
    <row r="88" spans="1:24" x14ac:dyDescent="0.2">
      <c r="A88" s="103">
        <v>87</v>
      </c>
      <c r="B88" s="105">
        <v>1085932076</v>
      </c>
      <c r="C88" s="105" t="s">
        <v>139</v>
      </c>
      <c r="D88" s="105" t="s">
        <v>327</v>
      </c>
      <c r="E88" s="105" t="s">
        <v>359</v>
      </c>
      <c r="F88" s="105" t="s">
        <v>147</v>
      </c>
      <c r="G88" s="106">
        <v>12</v>
      </c>
      <c r="H88" s="106" t="s">
        <v>99</v>
      </c>
      <c r="I88" s="106" t="s">
        <v>409</v>
      </c>
      <c r="J88" s="107">
        <v>45548</v>
      </c>
      <c r="K88" s="88">
        <v>20000</v>
      </c>
      <c r="L88" s="106" t="s">
        <v>103</v>
      </c>
      <c r="M88" s="106" t="s">
        <v>85</v>
      </c>
      <c r="N88" s="106" t="s">
        <v>361</v>
      </c>
      <c r="O88" s="108" t="s">
        <v>43</v>
      </c>
      <c r="P88" s="109">
        <v>34125</v>
      </c>
      <c r="Q88" s="106" t="s">
        <v>110</v>
      </c>
      <c r="R88" s="105" t="s">
        <v>270</v>
      </c>
      <c r="S88" s="105">
        <v>3233311474</v>
      </c>
      <c r="T88" s="116" t="s">
        <v>360</v>
      </c>
      <c r="U88" s="105" t="str">
        <f>IF(O88=CURSOS!$D$3,"DIPLOMADO EN ATENCION PRE-HOSPITALARIA",IF(O88=CURSOS!$D$4,"ACOMPAÑAMIENTO Y MANEJO DEL DUELO",IF(O88=CURSOS!$D$5,"ATENCION A VICTIMAS DE ATAQUE CON AGENTES QUIMICOS ",IF(O88=CURSOS!$D$6,"PRIMEROS AUXILIOS ",IF(O88=CURSOS!$D$7,"DIPLOMADO DE UNIDAD DE CUIDADOS INTENSIVOS (UCI)",IF(O88=CURSOS!$D$8,"MODELO DE ATENCION PARA EVENTOS EMERGENTES EN SALUD MENTAL (CODIGO VERDE)",IF(O88=CURSOS!$D$9,"HUMANIZACION EN EL SERVICIO DE LA SALUD Y BUENAS PRACTICAS EN PACIENTE ",IF(O88=CURSOS!$D$10,"CLINICA DE HERIDAS ",IF(O88=CURSOS!$D$11,"TOMA DE CITOLOGIA CERVICO VAGINAL ",IF(O88=CURSOS!$D$12,"SOPORTE CARDIOVASCULAR AVANZADO (ACLS) ",IF(O88=CURSOS!$D$13,"CAMILLERO ",IF(O88=CURSOS!$D$14,"TOMA DE MUESTRAS Y LABORATORIO ",IF(O88=CURSOS!$D$15,"SOPORTE VITAL BASICO (BLS)",IF(O88=CURSOS!$D$16,"ATENCION A VICTIMAS DE VIOLENCIA SEXUAL ",IF(O88=CURSOS!$D$17,"PROGRAMADO AMPLIADO DE INMUNIZACION (PAI - COVID 19)",IF(O88=CURSOS!$D$18,"ATENCION INTEGRAL EN ENFERMEDADES PREVALENTES EN PRIMERA INFANCIA (AIEPI)",IF(O88=CURSOS!$D$19,"ADMINISTRACION DE MEDICAMENTOS, INYECTOLOGIA  Y CANALIZACION ",IF(O88=CURSOS!$D$20,"OPERADOR DE VEHICULOS DE EMERGENCIA (OVE)",IF(O88=CURSOS!$D$21,"INSTITUCIONES AMIGAS DE LA MUJER Y LA INFANCIA (IAMI)",IF(O88=CURSOS!$D$22,"CUIDADO DEL DONANTE DE ORGANOS",IF(O88=CURSOS!$D$23,"ATENCION A VICTIMAS POR VIOLENCIA DE GENERO",IF(O88=CURSOS!$D$24,"IGUALDAD DE GENERO EN LA SALUD",IF(O88=CURSOS!$D$25,"BRIGADA DE EMERGENCIA",IF(O88=CURSOS!$D$26,"MANEJO DEL DOLOR Y CUIDADOS PALIATIVOS",IF(O88=CURSOS!$D$27,"TOMA DE MUESTRAS Y LABORATORIO POCT",IF(O88=CURSOS!$D$28,"IMPLANTE SUBDERMICO DE DISPOSITIVO INTRAUTERINO",IF(O88=CURSOS!$D$29,"SALUD MENTAL",IF(O88=CURSOS!$D$30,"PRIMEROS AUXILIOS PSICOLOGICOS",IF(O88=CURSOS!$D$31,"ATENCION A VICTIMAS POR CONFLICTO ARMADO",IF(O88=CURSOS!$D$32,"MANIPULACION DE ALIMENTOS Y BPM",IF(O88=CURSOS!$D$33,"ATENCION A PERSONAS CON DISCAPACIDAD",IF(O88=CURSOS!$D$34,"CUIDADO INTEGRAL DEL PACIENTE ADULTO",IF(O88=CURSOS!$D$35,"MANEJO DEFENSIVO",IF(O88=CURSOS!$D$36,"SOPORTE CARDIOVASCULAR AVANZADO NEONATAL",IF(O88=CURSOS!$D$37,"SEGURIDAD DEL PACIENTE",IF(O88=CURSOS!$D$38,"MANEJO Y USO DEL DEA",IF(O88=CURSOS!$D$39,"TRIAGE")))))))))))))))))))))))))))))))))))))</f>
        <v xml:space="preserve">ATENCION A VICTIMAS DE VIOLENCIA SEXUAL </v>
      </c>
      <c r="V88" s="105" t="str">
        <f t="shared" si="14"/>
        <v>Yeimy Milena Villacorte Hernandez</v>
      </c>
      <c r="W88" s="105" t="str">
        <f t="shared" si="15"/>
        <v>Yeimy Milena Villacorte Hernandez</v>
      </c>
      <c r="X88" s="105" t="str">
        <f t="shared" si="16"/>
        <v>Yeimy Milena Villacorte Hernandez-1085932076-VIOLENCIA SEXUAL</v>
      </c>
    </row>
    <row r="89" spans="1:24" x14ac:dyDescent="0.2">
      <c r="A89" s="103">
        <v>88</v>
      </c>
      <c r="B89" s="105">
        <v>1085932076</v>
      </c>
      <c r="C89" s="105" t="s">
        <v>139</v>
      </c>
      <c r="D89" s="105" t="s">
        <v>327</v>
      </c>
      <c r="E89" s="105" t="s">
        <v>359</v>
      </c>
      <c r="F89" s="105" t="s">
        <v>147</v>
      </c>
      <c r="G89" s="106">
        <v>11</v>
      </c>
      <c r="H89" s="106" t="s">
        <v>99</v>
      </c>
      <c r="I89" s="106" t="s">
        <v>409</v>
      </c>
      <c r="J89" s="107">
        <v>45548</v>
      </c>
      <c r="K89" s="88">
        <v>20000</v>
      </c>
      <c r="L89" s="106" t="s">
        <v>103</v>
      </c>
      <c r="M89" s="106" t="s">
        <v>85</v>
      </c>
      <c r="N89" s="106" t="s">
        <v>361</v>
      </c>
      <c r="O89" s="108" t="s">
        <v>23</v>
      </c>
      <c r="P89" s="109">
        <v>34125</v>
      </c>
      <c r="Q89" s="106" t="s">
        <v>110</v>
      </c>
      <c r="R89" s="105" t="s">
        <v>270</v>
      </c>
      <c r="S89" s="105">
        <v>3233311474</v>
      </c>
      <c r="T89" s="116" t="s">
        <v>360</v>
      </c>
      <c r="U89" s="105" t="str">
        <f>IF(O89=CURSOS!$D$3,"DIPLOMADO EN ATENCION PRE-HOSPITALARIA",IF(O89=CURSOS!$D$4,"ACOMPAÑAMIENTO Y MANEJO DEL DUELO",IF(O89=CURSOS!$D$5,"ATENCION A VICTIMAS DE ATAQUE CON AGENTES QUIMICOS ",IF(O89=CURSOS!$D$6,"PRIMEROS AUXILIOS ",IF(O89=CURSOS!$D$7,"DIPLOMADO DE UNIDAD DE CUIDADOS INTENSIVOS (UCI)",IF(O89=CURSOS!$D$8,"MODELO DE ATENCION PARA EVENTOS EMERGENTES EN SALUD MENTAL (CODIGO VERDE)",IF(O89=CURSOS!$D$9,"HUMANIZACION EN EL SERVICIO DE LA SALUD Y BUENAS PRACTICAS EN PACIENTE ",IF(O89=CURSOS!$D$10,"CLINICA DE HERIDAS ",IF(O89=CURSOS!$D$11,"TOMA DE CITOLOGIA CERVICO VAGINAL ",IF(O89=CURSOS!$D$12,"SOPORTE CARDIOVASCULAR AVANZADO (ACLS) ",IF(O89=CURSOS!$D$13,"CAMILLERO ",IF(O89=CURSOS!$D$14,"TOMA DE MUESTRAS Y LABORATORIO ",IF(O89=CURSOS!$D$15,"SOPORTE VITAL BASICO (BLS)",IF(O89=CURSOS!$D$16,"ATENCION A VICTIMAS DE VIOLENCIA SEXUAL ",IF(O89=CURSOS!$D$17,"PROGRAMADO AMPLIADO DE INMUNIZACION (PAI - COVID 19)",IF(O89=CURSOS!$D$18,"ATENCION INTEGRAL EN ENFERMEDADES PREVALENTES EN PRIMERA INFANCIA (AIEPI)",IF(O89=CURSOS!$D$19,"ADMINISTRACION DE MEDICAMENTOS, INYECTOLOGIA  Y CANALIZACION ",IF(O89=CURSOS!$D$20,"OPERADOR DE VEHICULOS DE EMERGENCIA (OVE)",IF(O89=CURSOS!$D$21,"INSTITUCIONES AMIGAS DE LA MUJER Y LA INFANCIA (IAMI)",IF(O89=CURSOS!$D$22,"CUIDADO DEL DONANTE DE ORGANOS",IF(O89=CURSOS!$D$23,"ATENCION A VICTIMAS POR VIOLENCIA DE GENERO",IF(O89=CURSOS!$D$24,"IGUALDAD DE GENERO EN LA SALUD",IF(O89=CURSOS!$D$25,"BRIGADA DE EMERGENCIA",IF(O89=CURSOS!$D$26,"MANEJO DEL DOLOR Y CUIDADOS PALIATIVOS",IF(O89=CURSOS!$D$27,"TOMA DE MUESTRAS Y LABORATORIO POCT",IF(O89=CURSOS!$D$28,"IMPLANTE SUBDERMICO DE DISPOSITIVO INTRAUTERINO",IF(O89=CURSOS!$D$29,"SALUD MENTAL",IF(O89=CURSOS!$D$30,"PRIMEROS AUXILIOS PSICOLOGICOS",IF(O89=CURSOS!$D$31,"ATENCION A VICTIMAS POR CONFLICTO ARMADO",IF(O89=CURSOS!$D$32,"MANIPULACION DE ALIMENTOS Y BPM",IF(O89=CURSOS!$D$33,"ATENCION A PERSONAS CON DISCAPACIDAD",IF(O89=CURSOS!$D$34,"CUIDADO INTEGRAL DEL PACIENTE ADULTO",IF(O89=CURSOS!$D$35,"MANEJO DEFENSIVO",IF(O89=CURSOS!$D$36,"SOPORTE CARDIOVASCULAR AVANZADO NEONATAL",IF(O89=CURSOS!$D$37,"SEGURIDAD DEL PACIENTE",IF(O89=CURSOS!$D$38,"MANEJO Y USO DEL DEA",IF(O89=CURSOS!$D$39,"TRIAGE")))))))))))))))))))))))))))))))))))))</f>
        <v>ACOMPAÑAMIENTO Y MANEJO DEL DUELO</v>
      </c>
      <c r="V89" s="105" t="str">
        <f t="shared" si="14"/>
        <v>Yeimy Milena Villacorte Hernandez</v>
      </c>
      <c r="W89" s="105" t="str">
        <f t="shared" si="15"/>
        <v>Yeimy Milena Villacorte Hernandez</v>
      </c>
      <c r="X89" s="105" t="str">
        <f t="shared" si="16"/>
        <v>Yeimy Milena Villacorte Hernandez-1085932076-DUELO</v>
      </c>
    </row>
    <row r="90" spans="1:24" x14ac:dyDescent="0.2">
      <c r="A90" s="103">
        <v>89</v>
      </c>
      <c r="B90" s="105">
        <v>1085932076</v>
      </c>
      <c r="C90" s="105" t="s">
        <v>139</v>
      </c>
      <c r="D90" s="105" t="s">
        <v>327</v>
      </c>
      <c r="E90" s="105" t="s">
        <v>359</v>
      </c>
      <c r="F90" s="105" t="s">
        <v>147</v>
      </c>
      <c r="G90" s="106">
        <v>12</v>
      </c>
      <c r="H90" s="106" t="s">
        <v>99</v>
      </c>
      <c r="I90" s="106" t="s">
        <v>409</v>
      </c>
      <c r="J90" s="107">
        <v>45548</v>
      </c>
      <c r="K90" s="88">
        <v>20000</v>
      </c>
      <c r="L90" s="106" t="s">
        <v>103</v>
      </c>
      <c r="M90" s="106" t="s">
        <v>85</v>
      </c>
      <c r="N90" s="106" t="s">
        <v>361</v>
      </c>
      <c r="O90" s="108" t="s">
        <v>33</v>
      </c>
      <c r="P90" s="109">
        <v>34125</v>
      </c>
      <c r="Q90" s="106" t="s">
        <v>110</v>
      </c>
      <c r="R90" s="105" t="s">
        <v>270</v>
      </c>
      <c r="S90" s="105">
        <v>3233311474</v>
      </c>
      <c r="T90" s="116" t="s">
        <v>360</v>
      </c>
      <c r="U90" s="105" t="str">
        <f>IF(O90=CURSOS!$D$3,"DIPLOMADO EN ATENCION PRE-HOSPITALARIA",IF(O90=CURSOS!$D$4,"ACOMPAÑAMIENTO Y MANEJO DEL DUELO",IF(O90=CURSOS!$D$5,"ATENCION A VICTIMAS DE ATAQUE CON AGENTES QUIMICOS ",IF(O90=CURSOS!$D$6,"PRIMEROS AUXILIOS ",IF(O90=CURSOS!$D$7,"DIPLOMADO DE UNIDAD DE CUIDADOS INTENSIVOS (UCI)",IF(O90=CURSOS!$D$8,"MODELO DE ATENCION PARA EVENTOS EMERGENTES EN SALUD MENTAL (CODIGO VERDE)",IF(O90=CURSOS!$D$9,"HUMANIZACION EN EL SERVICIO DE LA SALUD Y BUENAS PRACTICAS EN PACIENTE ",IF(O90=CURSOS!$D$10,"CLINICA DE HERIDAS ",IF(O90=CURSOS!$D$11,"TOMA DE CITOLOGIA CERVICO VAGINAL ",IF(O90=CURSOS!$D$12,"SOPORTE CARDIOVASCULAR AVANZADO (ACLS) ",IF(O90=CURSOS!$D$13,"CAMILLERO ",IF(O90=CURSOS!$D$14,"TOMA DE MUESTRAS Y LABORATORIO ",IF(O90=CURSOS!$D$15,"SOPORTE VITAL BASICO (BLS)",IF(O90=CURSOS!$D$16,"ATENCION A VICTIMAS DE VIOLENCIA SEXUAL ",IF(O90=CURSOS!$D$17,"PROGRAMADO AMPLIADO DE INMUNIZACION (PAI - COVID 19)",IF(O90=CURSOS!$D$18,"ATENCION INTEGRAL EN ENFERMEDADES PREVALENTES EN PRIMERA INFANCIA (AIEPI)",IF(O90=CURSOS!$D$19,"ADMINISTRACION DE MEDICAMENTOS, INYECTOLOGIA  Y CANALIZACION ",IF(O90=CURSOS!$D$20,"OPERADOR DE VEHICULOS DE EMERGENCIA (OVE)",IF(O90=CURSOS!$D$21,"INSTITUCIONES AMIGAS DE LA MUJER Y LA INFANCIA (IAMI)",IF(O90=CURSOS!$D$22,"CUIDADO DEL DONANTE DE ORGANOS",IF(O90=CURSOS!$D$23,"ATENCION A VICTIMAS POR VIOLENCIA DE GENERO",IF(O90=CURSOS!$D$24,"IGUALDAD DE GENERO EN LA SALUD",IF(O90=CURSOS!$D$25,"BRIGADA DE EMERGENCIA",IF(O90=CURSOS!$D$26,"MANEJO DEL DOLOR Y CUIDADOS PALIATIVOS",IF(O90=CURSOS!$D$27,"TOMA DE MUESTRAS Y LABORATORIO POCT",IF(O90=CURSOS!$D$28,"IMPLANTE SUBDERMICO DE DISPOSITIVO INTRAUTERINO",IF(O90=CURSOS!$D$29,"SALUD MENTAL",IF(O90=CURSOS!$D$30,"PRIMEROS AUXILIOS PSICOLOGICOS",IF(O90=CURSOS!$D$31,"ATENCION A VICTIMAS POR CONFLICTO ARMADO",IF(O90=CURSOS!$D$32,"MANIPULACION DE ALIMENTOS Y BPM",IF(O90=CURSOS!$D$33,"ATENCION A PERSONAS CON DISCAPACIDAD",IF(O90=CURSOS!$D$34,"CUIDADO INTEGRAL DEL PACIENTE ADULTO",IF(O90=CURSOS!$D$35,"MANEJO DEFENSIVO",IF(O90=CURSOS!$D$36,"SOPORTE CARDIOVASCULAR AVANZADO NEONATAL",IF(O90=CURSOS!$D$37,"SEGURIDAD DEL PACIENTE",IF(O90=CURSOS!$D$38,"MANEJO Y USO DEL DEA",IF(O90=CURSOS!$D$39,"TRIAGE")))))))))))))))))))))))))))))))))))))</f>
        <v xml:space="preserve">HUMANIZACION EN EL SERVICIO DE LA SALUD Y BUENAS PRACTICAS EN PACIENTE </v>
      </c>
      <c r="V90" s="105" t="str">
        <f t="shared" si="14"/>
        <v>Yeimy Milena Villacorte Hernandez</v>
      </c>
      <c r="W90" s="105" t="str">
        <f t="shared" si="15"/>
        <v>Yeimy Milena Villacorte Hernandez</v>
      </c>
      <c r="X90" s="105" t="str">
        <f t="shared" si="16"/>
        <v>Yeimy Milena Villacorte Hernandez-1085932076-HUMANIZACION</v>
      </c>
    </row>
    <row r="91" spans="1:24" x14ac:dyDescent="0.2">
      <c r="A91" s="103">
        <v>90</v>
      </c>
      <c r="B91" s="105">
        <v>1085338527</v>
      </c>
      <c r="C91" s="105" t="s">
        <v>362</v>
      </c>
      <c r="D91" s="105" t="s">
        <v>363</v>
      </c>
      <c r="E91" s="105" t="s">
        <v>364</v>
      </c>
      <c r="F91" s="105" t="s">
        <v>365</v>
      </c>
      <c r="G91" s="106">
        <v>13</v>
      </c>
      <c r="H91" s="106" t="s">
        <v>99</v>
      </c>
      <c r="I91" s="106" t="s">
        <v>408</v>
      </c>
      <c r="J91" s="107">
        <v>45548</v>
      </c>
      <c r="K91" s="88">
        <v>34000</v>
      </c>
      <c r="L91" s="106" t="s">
        <v>103</v>
      </c>
      <c r="M91" s="106" t="s">
        <v>85</v>
      </c>
      <c r="N91" s="106" t="s">
        <v>98</v>
      </c>
      <c r="O91" s="120" t="s">
        <v>19</v>
      </c>
      <c r="P91" s="109">
        <v>35795</v>
      </c>
      <c r="Q91" s="106" t="s">
        <v>104</v>
      </c>
      <c r="R91" s="105" t="s">
        <v>123</v>
      </c>
      <c r="S91" s="105">
        <v>3146417883</v>
      </c>
      <c r="T91" s="121" t="s">
        <v>366</v>
      </c>
      <c r="U91" s="105" t="str">
        <f>IF(O91=CURSOS!$D$3,"DIPLOMADO EN ATENCION PRE-HOSPITALARIA",IF(O91=CURSOS!$D$4,"ACOMPAÑAMIENTO Y MANEJO DEL DUELO",IF(O91=CURSOS!$D$5,"ATENCION A VICTIMAS DE ATAQUE CON AGENTES QUIMICOS ",IF(O91=CURSOS!$D$6,"PRIMEROS AUXILIOS ",IF(O91=CURSOS!$D$7,"DIPLOMADO DE UNIDAD DE CUIDADOS INTENSIVOS (UCI)",IF(O91=CURSOS!$D$8,"MODELO DE ATENCION PARA EVENTOS EMERGENTES EN SALUD MENTAL (CODIGO VERDE)",IF(O91=CURSOS!$D$9,"HUMANIZACION EN EL SERVICIO DE LA SALUD Y BUENAS PRACTICAS EN PACIENTE ",IF(O91=CURSOS!$D$10,"CLINICA DE HERIDAS ",IF(O91=CURSOS!$D$11,"TOMA DE CITOLOGIA CERVICO VAGINAL ",IF(O91=CURSOS!$D$12,"SOPORTE CARDIOVASCULAR AVANZADO (ACLS) ",IF(O91=CURSOS!$D$13,"CAMILLERO ",IF(O91=CURSOS!$D$14,"TOMA DE MUESTRAS Y LABORATORIO ",IF(O91=CURSOS!$D$15,"SOPORTE VITAL BASICO (BLS)",IF(O91=CURSOS!$D$16,"ATENCION A VICTIMAS DE VIOLENCIA SEXUAL ",IF(O91=CURSOS!$D$17,"PROGRAMADO AMPLIADO DE INMUNIZACION (PAI - COVID 19)",IF(O91=CURSOS!$D$18,"ATENCION INTEGRAL EN ENFERMEDADES PREVALENTES EN PRIMERA INFANCIA (AIEPI)",IF(O91=CURSOS!$D$19,"ADMINISTRACION DE MEDICAMENTOS, INYECTOLOGIA  Y CANALIZACION ",IF(O91=CURSOS!$D$20,"OPERADOR DE VEHICULOS DE EMERGENCIA (OVE)",IF(O91=CURSOS!$D$21,"INSTITUCIONES AMIGAS DE LA MUJER Y LA INFANCIA (IAMI)",IF(O91=CURSOS!$D$22,"CUIDADO DEL DONANTE DE ORGANOS",IF(O91=CURSOS!$D$23,"ATENCION A VICTIMAS POR VIOLENCIA DE GENERO",IF(O91=CURSOS!$D$24,"IGUALDAD DE GENERO EN LA SALUD",IF(O91=CURSOS!$D$25,"BRIGADA DE EMERGENCIA",IF(O91=CURSOS!$D$26,"MANEJO DEL DOLOR Y CUIDADOS PALIATIVOS",IF(O91=CURSOS!$D$27,"TOMA DE MUESTRAS Y LABORATORIO POCT",IF(O91=CURSOS!$D$28,"IMPLANTE SUBDERMICO DE DISPOSITIVO INTRAUTERINO",IF(O91=CURSOS!$D$29,"SALUD MENTAL",IF(O91=CURSOS!$D$30,"PRIMEROS AUXILIOS PSICOLOGICOS",IF(O91=CURSOS!$D$31,"ATENCION A VICTIMAS POR CONFLICTO ARMADO",IF(O91=CURSOS!$D$32,"MANIPULACION DE ALIMENTOS Y BPM",IF(O91=CURSOS!$D$33,"ATENCION A PERSONAS CON DISCAPACIDAD",IF(O91=CURSOS!$D$34,"CUIDADO INTEGRAL DEL PACIENTE ADULTO",IF(O91=CURSOS!$D$35,"MANEJO DEFENSIVO",IF(O91=CURSOS!$D$36,"SOPORTE CARDIOVASCULAR AVANZADO NEONATAL",IF(O91=CURSOS!$D$37,"SEGURIDAD DEL PACIENTE",IF(O91=CURSOS!$D$38,"MANEJO Y USO DEL DEA",IF(O91=CURSOS!$D$39,"TRIAGE")))))))))))))))))))))))))))))))))))))</f>
        <v>SOPORTE VITAL BASICO (BLS)</v>
      </c>
      <c r="V91" s="105" t="str">
        <f t="shared" si="14"/>
        <v>Steven Rodrigo Ortiz Meneses</v>
      </c>
      <c r="W91" s="105" t="str">
        <f t="shared" si="15"/>
        <v>Steven Rodrigo Ortiz Meneses</v>
      </c>
      <c r="X91" s="105" t="str">
        <f t="shared" si="16"/>
        <v>Steven Rodrigo Ortiz Meneses-1085338527-BLS</v>
      </c>
    </row>
    <row r="92" spans="1:24" s="37" customFormat="1" hidden="1" x14ac:dyDescent="0.2">
      <c r="A92" s="41">
        <v>91</v>
      </c>
      <c r="B92" s="44">
        <v>87027237</v>
      </c>
      <c r="C92" s="44" t="s">
        <v>367</v>
      </c>
      <c r="D92" s="44" t="s">
        <v>368</v>
      </c>
      <c r="E92" s="44" t="s">
        <v>369</v>
      </c>
      <c r="F92" s="44" t="s">
        <v>370</v>
      </c>
      <c r="G92" s="45">
        <v>12</v>
      </c>
      <c r="H92" s="45" t="s">
        <v>99</v>
      </c>
      <c r="I92" s="45" t="s">
        <v>408</v>
      </c>
      <c r="J92" s="46">
        <v>45548</v>
      </c>
      <c r="K92" s="47">
        <v>40000</v>
      </c>
      <c r="L92" s="45" t="s">
        <v>216</v>
      </c>
      <c r="M92" s="45" t="s">
        <v>85</v>
      </c>
      <c r="N92" s="45" t="s">
        <v>98</v>
      </c>
      <c r="O92" s="61" t="s">
        <v>43</v>
      </c>
      <c r="P92" s="49">
        <v>25564</v>
      </c>
      <c r="Q92" s="45" t="s">
        <v>104</v>
      </c>
      <c r="R92" s="44" t="s">
        <v>371</v>
      </c>
      <c r="S92" s="44">
        <v>3165029518</v>
      </c>
      <c r="T92" s="60" t="s">
        <v>372</v>
      </c>
      <c r="U92" s="51" t="str">
        <f>IF(O92=CURSOS!$D$3,"DIPLOMADO EN ATENCION PRE-HOSPITALARIA",IF(O92=CURSOS!$D$4,"ACOMPAÑAMIENTO Y MANEJO DEL DUELO",IF(O92=CURSOS!$D$5,"ATENCION A VICTIMAS DE ATAQUE CON AGENTES QUIMICOS ",IF(O92=CURSOS!$D$6,"PRIMEROS AUXILIOS ",IF(O92=CURSOS!$D$7,"DIPLOMADO DE UNIDAD DE CUIDADOS INTENSIVOS (UCI)",IF(O92=CURSOS!$D$8,"MODELO DE ATENCION PARA EVENTOS EMERGENTES EN SALUD MENTAL (CODIGO VERDE)",IF(O92=CURSOS!$D$9,"HUMANIZACION EN EL SERVICIO DE LA SALUD Y BUENAS PRACTICAS EN PACIENTE ",IF(O92=CURSOS!$D$10,"CLINICA DE HERIDAS ",IF(O92=CURSOS!$D$11,"TOMA DE CITOLOGIA CERVICO VAGINAL ",IF(O92=CURSOS!$D$12,"SOPORTE CARDIOVASCULAR AVANZADO (ACLS) ",IF(O92=CURSOS!$D$13,"CAMILLERO ",IF(O92=CURSOS!$D$14,"TOMA DE MUESTRAS Y LABORATORIO ",IF(O92=CURSOS!$D$15,"SOPORTE VITAL BASICO (BLS)",IF(O92=CURSOS!$D$16,"ATENCION A VICTIMAS DE VIOLENCIA SEXUAL ",IF(O92=CURSOS!$D$17,"PROGRAMADO AMPLIADO DE INMUNIZACION (PAI - COVID 19)",IF(O92=CURSOS!$D$18,"ATENCION INTEGRAL EN ENFERMEDADES PREVALENTES EN PRIMERA INFANCIA (AIEPI)",IF(O92=CURSOS!$D$19,"ADMINISTRACION DE MEDICAMENTOS, INYECTOLOGIA  Y CANALIZACION ",IF(O92=CURSOS!$D$20,"OPERADOR DE VEHICULOS DE EMERGENCIA (OVE)",IF(O92=CURSOS!$D$21,"INSTITUCIONES AMIGAS DE LA MUJER Y LA INFANCIA (IAMI)",IF(O92=CURSOS!$D$22,"CUIDADO DEL DONANTE DE ORGANOS",IF(O92=CURSOS!$D$23,"ATENCION A VICTIMAS POR VIOLENCIA DE GENERO",IF(O92=CURSOS!$D$24,"IGUALDAD DE GENERO EN LA SALUD",IF(O92=CURSOS!$D$25,"BRIGADA DE EMERGENCIA",IF(O92=CURSOS!$D$26,"MANEJO DEL DOLOR Y CUIDADOS PALIATIVOS",IF(O92=CURSOS!$D$27,"TOMA DE MUESTRAS Y LABORATORIO POCT",IF(O92=CURSOS!$D$28,"IMPLANTE SUBDERMICO DE DISPOSITIVO INTRAUTERINO",IF(O92=CURSOS!$D$29,"SALUD MENTAL",IF(O92=CURSOS!$D$30,"PRIMEROS AUXILIOS PSICOLOGICOS",IF(O92=CURSOS!$D$31,"ATENCION A VICTIMAS POR CONFLICTO ARMADO",IF(O92=CURSOS!$D$32,"MANIPULACION DE ALIMENTOS Y BPM",IF(O92=CURSOS!$D$33,"ATENCION A PERSONAS CON DISCAPACIDAD",IF(O92=CURSOS!$D$34,"CUIDADO INTEGRAL DEL PACIENTE ADULTO",IF(O92=CURSOS!$D$35,"MANEJO DEFENSIVO",IF(O92=CURSOS!$D$36,"SOPORTE CARDIOVASCULAR AVANZADO NEONATAL",IF(O92=CURSOS!$D$37,"SEGURIDAD DEL PACIENTE",IF(O92=CURSOS!$D$38,"MANEJO Y USO DEL DEA",IF(O92=CURSOS!$D$39,"TRIAGE")))))))))))))))))))))))))))))))))))))</f>
        <v xml:space="preserve">ATENCION A VICTIMAS DE VIOLENCIA SEXUAL </v>
      </c>
      <c r="V92" s="51" t="str">
        <f t="shared" si="14"/>
        <v>Norbey Leonardo Rivas Torres</v>
      </c>
      <c r="W92" s="51" t="str">
        <f t="shared" si="15"/>
        <v>Norbey Leonardo Rivas Torres</v>
      </c>
      <c r="X92" s="51" t="str">
        <f t="shared" si="16"/>
        <v>Norbey Leonardo Rivas Torres-87027237-VIOLENCIA SEXUAL</v>
      </c>
    </row>
    <row r="93" spans="1:24" s="37" customFormat="1" hidden="1" x14ac:dyDescent="0.2">
      <c r="A93" s="41">
        <v>92</v>
      </c>
      <c r="B93" s="44">
        <v>87027237</v>
      </c>
      <c r="C93" s="44" t="s">
        <v>367</v>
      </c>
      <c r="D93" s="44" t="s">
        <v>368</v>
      </c>
      <c r="E93" s="44" t="s">
        <v>369</v>
      </c>
      <c r="F93" s="44" t="s">
        <v>370</v>
      </c>
      <c r="G93" s="45">
        <v>10</v>
      </c>
      <c r="H93" s="45" t="s">
        <v>99</v>
      </c>
      <c r="I93" s="45" t="s">
        <v>408</v>
      </c>
      <c r="J93" s="46">
        <v>45548</v>
      </c>
      <c r="K93" s="47">
        <v>40000</v>
      </c>
      <c r="L93" s="45" t="s">
        <v>216</v>
      </c>
      <c r="M93" s="45" t="s">
        <v>85</v>
      </c>
      <c r="N93" s="45" t="s">
        <v>98</v>
      </c>
      <c r="O93" s="61" t="s">
        <v>61</v>
      </c>
      <c r="P93" s="49">
        <v>25564</v>
      </c>
      <c r="Q93" s="62" t="s">
        <v>104</v>
      </c>
      <c r="R93" s="44" t="s">
        <v>371</v>
      </c>
      <c r="S93" s="44">
        <v>3165029518</v>
      </c>
      <c r="T93" s="60" t="s">
        <v>372</v>
      </c>
      <c r="U93" s="51" t="str">
        <f>IF(O93=CURSOS!$D$3,"DIPLOMADO EN ATENCION PRE-HOSPITALARIA",IF(O93=CURSOS!$D$4,"ACOMPAÑAMIENTO Y MANEJO DEL DUELO",IF(O93=CURSOS!$D$5,"ATENCION A VICTIMAS DE ATAQUE CON AGENTES QUIMICOS ",IF(O93=CURSOS!$D$6,"PRIMEROS AUXILIOS ",IF(O93=CURSOS!$D$7,"DIPLOMADO DE UNIDAD DE CUIDADOS INTENSIVOS (UCI)",IF(O93=CURSOS!$D$8,"MODELO DE ATENCION PARA EVENTOS EMERGENTES EN SALUD MENTAL (CODIGO VERDE)",IF(O93=CURSOS!$D$9,"HUMANIZACION EN EL SERVICIO DE LA SALUD Y BUENAS PRACTICAS EN PACIENTE ",IF(O93=CURSOS!$D$10,"CLINICA DE HERIDAS ",IF(O93=CURSOS!$D$11,"TOMA DE CITOLOGIA CERVICO VAGINAL ",IF(O93=CURSOS!$D$12,"SOPORTE CARDIOVASCULAR AVANZADO (ACLS) ",IF(O93=CURSOS!$D$13,"CAMILLERO ",IF(O93=CURSOS!$D$14,"TOMA DE MUESTRAS Y LABORATORIO ",IF(O93=CURSOS!$D$15,"SOPORTE VITAL BASICO (BLS)",IF(O93=CURSOS!$D$16,"ATENCION A VICTIMAS DE VIOLENCIA SEXUAL ",IF(O93=CURSOS!$D$17,"PROGRAMADO AMPLIADO DE INMUNIZACION (PAI - COVID 19)",IF(O93=CURSOS!$D$18,"ATENCION INTEGRAL EN ENFERMEDADES PREVALENTES EN PRIMERA INFANCIA (AIEPI)",IF(O93=CURSOS!$D$19,"ADMINISTRACION DE MEDICAMENTOS, INYECTOLOGIA  Y CANALIZACION ",IF(O93=CURSOS!$D$20,"OPERADOR DE VEHICULOS DE EMERGENCIA (OVE)",IF(O93=CURSOS!$D$21,"INSTITUCIONES AMIGAS DE LA MUJER Y LA INFANCIA (IAMI)",IF(O93=CURSOS!$D$22,"CUIDADO DEL DONANTE DE ORGANOS",IF(O93=CURSOS!$D$23,"ATENCION A VICTIMAS POR VIOLENCIA DE GENERO",IF(O93=CURSOS!$D$24,"IGUALDAD DE GENERO EN LA SALUD",IF(O93=CURSOS!$D$25,"BRIGADA DE EMERGENCIA",IF(O93=CURSOS!$D$26,"MANEJO DEL DOLOR Y CUIDADOS PALIATIVOS",IF(O93=CURSOS!$D$27,"TOMA DE MUESTRAS Y LABORATORIO POCT",IF(O93=CURSOS!$D$28,"IMPLANTE SUBDERMICO DE DISPOSITIVO INTRAUTERINO",IF(O93=CURSOS!$D$29,"SALUD MENTAL",IF(O93=CURSOS!$D$30,"PRIMEROS AUXILIOS PSICOLOGICOS",IF(O93=CURSOS!$D$31,"ATENCION A VICTIMAS POR CONFLICTO ARMADO",IF(O93=CURSOS!$D$32,"MANIPULACION DE ALIMENTOS Y BPM",IF(O93=CURSOS!$D$33,"ATENCION A PERSONAS CON DISCAPACIDAD",IF(O93=CURSOS!$D$34,"CUIDADO INTEGRAL DEL PACIENTE ADULTO",IF(O93=CURSOS!$D$35,"MANEJO DEFENSIVO",IF(O93=CURSOS!$D$36,"SOPORTE CARDIOVASCULAR AVANZADO NEONATAL",IF(O93=CURSOS!$D$37,"SEGURIDAD DEL PACIENTE",IF(O93=CURSOS!$D$38,"MANEJO Y USO DEL DEA",IF(O93=CURSOS!$D$39,"TRIAGE")))))))))))))))))))))))))))))))))))))</f>
        <v>MANEJO DEL DOLOR Y CUIDADOS PALIATIVOS</v>
      </c>
      <c r="V93" s="51" t="str">
        <f t="shared" si="14"/>
        <v>Norbey Leonardo Rivas Torres</v>
      </c>
      <c r="W93" s="51" t="str">
        <f t="shared" si="15"/>
        <v>Norbey Leonardo Rivas Torres</v>
      </c>
      <c r="X93" s="51" t="str">
        <f t="shared" si="16"/>
        <v>Norbey Leonardo Rivas Torres-87027237-PALIATIVOS</v>
      </c>
    </row>
    <row r="94" spans="1:24" s="37" customFormat="1" hidden="1" x14ac:dyDescent="0.2">
      <c r="A94" s="41">
        <v>93</v>
      </c>
      <c r="B94" s="44">
        <v>87027237</v>
      </c>
      <c r="C94" s="44" t="s">
        <v>367</v>
      </c>
      <c r="D94" s="44" t="s">
        <v>368</v>
      </c>
      <c r="E94" s="44" t="s">
        <v>369</v>
      </c>
      <c r="F94" s="44" t="s">
        <v>370</v>
      </c>
      <c r="G94" s="45">
        <v>11</v>
      </c>
      <c r="H94" s="45" t="s">
        <v>99</v>
      </c>
      <c r="I94" s="45" t="s">
        <v>408</v>
      </c>
      <c r="J94" s="46">
        <v>45548</v>
      </c>
      <c r="K94" s="47">
        <v>40000</v>
      </c>
      <c r="L94" s="45" t="s">
        <v>216</v>
      </c>
      <c r="M94" s="45" t="s">
        <v>85</v>
      </c>
      <c r="N94" s="45" t="s">
        <v>98</v>
      </c>
      <c r="O94" s="61" t="s">
        <v>23</v>
      </c>
      <c r="P94" s="63">
        <v>25564</v>
      </c>
      <c r="Q94" s="64" t="s">
        <v>104</v>
      </c>
      <c r="R94" s="54" t="s">
        <v>371</v>
      </c>
      <c r="S94" s="44">
        <v>3165029518</v>
      </c>
      <c r="T94" s="60" t="s">
        <v>372</v>
      </c>
      <c r="U94" s="51" t="str">
        <f>IF(O94=CURSOS!$D$3,"DIPLOMADO EN ATENCION PRE-HOSPITALARIA",IF(O94=CURSOS!$D$4,"ACOMPAÑAMIENTO Y MANEJO DEL DUELO",IF(O94=CURSOS!$D$5,"ATENCION A VICTIMAS DE ATAQUE CON AGENTES QUIMICOS ",IF(O94=CURSOS!$D$6,"PRIMEROS AUXILIOS ",IF(O94=CURSOS!$D$7,"DIPLOMADO DE UNIDAD DE CUIDADOS INTENSIVOS (UCI)",IF(O94=CURSOS!$D$8,"MODELO DE ATENCION PARA EVENTOS EMERGENTES EN SALUD MENTAL (CODIGO VERDE)",IF(O94=CURSOS!$D$9,"HUMANIZACION EN EL SERVICIO DE LA SALUD Y BUENAS PRACTICAS EN PACIENTE ",IF(O94=CURSOS!$D$10,"CLINICA DE HERIDAS ",IF(O94=CURSOS!$D$11,"TOMA DE CITOLOGIA CERVICO VAGINAL ",IF(O94=CURSOS!$D$12,"SOPORTE CARDIOVASCULAR AVANZADO (ACLS) ",IF(O94=CURSOS!$D$13,"CAMILLERO ",IF(O94=CURSOS!$D$14,"TOMA DE MUESTRAS Y LABORATORIO ",IF(O94=CURSOS!$D$15,"SOPORTE VITAL BASICO (BLS)",IF(O94=CURSOS!$D$16,"ATENCION A VICTIMAS DE VIOLENCIA SEXUAL ",IF(O94=CURSOS!$D$17,"PROGRAMADO AMPLIADO DE INMUNIZACION (PAI - COVID 19)",IF(O94=CURSOS!$D$18,"ATENCION INTEGRAL EN ENFERMEDADES PREVALENTES EN PRIMERA INFANCIA (AIEPI)",IF(O94=CURSOS!$D$19,"ADMINISTRACION DE MEDICAMENTOS, INYECTOLOGIA  Y CANALIZACION ",IF(O94=CURSOS!$D$20,"OPERADOR DE VEHICULOS DE EMERGENCIA (OVE)",IF(O94=CURSOS!$D$21,"INSTITUCIONES AMIGAS DE LA MUJER Y LA INFANCIA (IAMI)",IF(O94=CURSOS!$D$22,"CUIDADO DEL DONANTE DE ORGANOS",IF(O94=CURSOS!$D$23,"ATENCION A VICTIMAS POR VIOLENCIA DE GENERO",IF(O94=CURSOS!$D$24,"IGUALDAD DE GENERO EN LA SALUD",IF(O94=CURSOS!$D$25,"BRIGADA DE EMERGENCIA",IF(O94=CURSOS!$D$26,"MANEJO DEL DOLOR Y CUIDADOS PALIATIVOS",IF(O94=CURSOS!$D$27,"TOMA DE MUESTRAS Y LABORATORIO POCT",IF(O94=CURSOS!$D$28,"IMPLANTE SUBDERMICO DE DISPOSITIVO INTRAUTERINO",IF(O94=CURSOS!$D$29,"SALUD MENTAL",IF(O94=CURSOS!$D$30,"PRIMEROS AUXILIOS PSICOLOGICOS",IF(O94=CURSOS!$D$31,"ATENCION A VICTIMAS POR CONFLICTO ARMADO",IF(O94=CURSOS!$D$32,"MANIPULACION DE ALIMENTOS Y BPM",IF(O94=CURSOS!$D$33,"ATENCION A PERSONAS CON DISCAPACIDAD",IF(O94=CURSOS!$D$34,"CUIDADO INTEGRAL DEL PACIENTE ADULTO",IF(O94=CURSOS!$D$35,"MANEJO DEFENSIVO",IF(O94=CURSOS!$D$36,"SOPORTE CARDIOVASCULAR AVANZADO NEONATAL",IF(O94=CURSOS!$D$37,"SEGURIDAD DEL PACIENTE",IF(O94=CURSOS!$D$38,"MANEJO Y USO DEL DEA",IF(O94=CURSOS!$D$39,"TRIAGE")))))))))))))))))))))))))))))))))))))</f>
        <v>ACOMPAÑAMIENTO Y MANEJO DEL DUELO</v>
      </c>
      <c r="V94" s="51" t="str">
        <f t="shared" si="14"/>
        <v>Norbey Leonardo Rivas Torres</v>
      </c>
      <c r="W94" s="51" t="str">
        <f t="shared" si="15"/>
        <v>Norbey Leonardo Rivas Torres</v>
      </c>
      <c r="X94" s="51" t="str">
        <f t="shared" si="16"/>
        <v>Norbey Leonardo Rivas Torres-87027237-DUELO</v>
      </c>
    </row>
    <row r="95" spans="1:24" s="37" customFormat="1" hidden="1" x14ac:dyDescent="0.2">
      <c r="A95" s="41">
        <v>94</v>
      </c>
      <c r="B95" s="44">
        <v>87027237</v>
      </c>
      <c r="C95" s="44" t="s">
        <v>367</v>
      </c>
      <c r="D95" s="44" t="s">
        <v>368</v>
      </c>
      <c r="E95" s="44" t="s">
        <v>369</v>
      </c>
      <c r="F95" s="44" t="s">
        <v>370</v>
      </c>
      <c r="G95" s="45">
        <v>9</v>
      </c>
      <c r="H95" s="45" t="s">
        <v>99</v>
      </c>
      <c r="I95" s="45" t="s">
        <v>408</v>
      </c>
      <c r="J95" s="46">
        <v>45548</v>
      </c>
      <c r="K95" s="47">
        <v>40000</v>
      </c>
      <c r="L95" s="45" t="s">
        <v>216</v>
      </c>
      <c r="M95" s="45" t="s">
        <v>85</v>
      </c>
      <c r="N95" s="45" t="s">
        <v>98</v>
      </c>
      <c r="O95" s="61" t="s">
        <v>25</v>
      </c>
      <c r="P95" s="63">
        <v>25564</v>
      </c>
      <c r="Q95" s="64" t="s">
        <v>104</v>
      </c>
      <c r="R95" s="54" t="s">
        <v>371</v>
      </c>
      <c r="S95" s="44">
        <v>3165029518</v>
      </c>
      <c r="T95" s="60" t="s">
        <v>372</v>
      </c>
      <c r="U95" s="51" t="str">
        <f>IF(O95=CURSOS!$D$3,"DIPLOMADO EN ATENCION PRE-HOSPITALARIA",IF(O95=CURSOS!$D$4,"ACOMPAÑAMIENTO Y MANEJO DEL DUELO",IF(O95=CURSOS!$D$5,"ATENCION A VICTIMAS DE ATAQUE CON AGENTES QUIMICOS ",IF(O95=CURSOS!$D$6,"PRIMEROS AUXILIOS ",IF(O95=CURSOS!$D$7,"DIPLOMADO DE UNIDAD DE CUIDADOS INTENSIVOS (UCI)",IF(O95=CURSOS!$D$8,"MODELO DE ATENCION PARA EVENTOS EMERGENTES EN SALUD MENTAL (CODIGO VERDE)",IF(O95=CURSOS!$D$9,"HUMANIZACION EN EL SERVICIO DE LA SALUD Y BUENAS PRACTICAS EN PACIENTE ",IF(O95=CURSOS!$D$10,"CLINICA DE HERIDAS ",IF(O95=CURSOS!$D$11,"TOMA DE CITOLOGIA CERVICO VAGINAL ",IF(O95=CURSOS!$D$12,"SOPORTE CARDIOVASCULAR AVANZADO (ACLS) ",IF(O95=CURSOS!$D$13,"CAMILLERO ",IF(O95=CURSOS!$D$14,"TOMA DE MUESTRAS Y LABORATORIO ",IF(O95=CURSOS!$D$15,"SOPORTE VITAL BASICO (BLS)",IF(O95=CURSOS!$D$16,"ATENCION A VICTIMAS DE VIOLENCIA SEXUAL ",IF(O95=CURSOS!$D$17,"PROGRAMADO AMPLIADO DE INMUNIZACION (PAI - COVID 19)",IF(O95=CURSOS!$D$18,"ATENCION INTEGRAL EN ENFERMEDADES PREVALENTES EN PRIMERA INFANCIA (AIEPI)",IF(O95=CURSOS!$D$19,"ADMINISTRACION DE MEDICAMENTOS, INYECTOLOGIA  Y CANALIZACION ",IF(O95=CURSOS!$D$20,"OPERADOR DE VEHICULOS DE EMERGENCIA (OVE)",IF(O95=CURSOS!$D$21,"INSTITUCIONES AMIGAS DE LA MUJER Y LA INFANCIA (IAMI)",IF(O95=CURSOS!$D$22,"CUIDADO DEL DONANTE DE ORGANOS",IF(O95=CURSOS!$D$23,"ATENCION A VICTIMAS POR VIOLENCIA DE GENERO",IF(O95=CURSOS!$D$24,"IGUALDAD DE GENERO EN LA SALUD",IF(O95=CURSOS!$D$25,"BRIGADA DE EMERGENCIA",IF(O95=CURSOS!$D$26,"MANEJO DEL DOLOR Y CUIDADOS PALIATIVOS",IF(O95=CURSOS!$D$27,"TOMA DE MUESTRAS Y LABORATORIO POCT",IF(O95=CURSOS!$D$28,"IMPLANTE SUBDERMICO DE DISPOSITIVO INTRAUTERINO",IF(O95=CURSOS!$D$29,"SALUD MENTAL",IF(O95=CURSOS!$D$30,"PRIMEROS AUXILIOS PSICOLOGICOS",IF(O95=CURSOS!$D$31,"ATENCION A VICTIMAS POR CONFLICTO ARMADO",IF(O95=CURSOS!$D$32,"MANIPULACION DE ALIMENTOS Y BPM",IF(O95=CURSOS!$D$33,"ATENCION A PERSONAS CON DISCAPACIDAD",IF(O95=CURSOS!$D$34,"CUIDADO INTEGRAL DEL PACIENTE ADULTO",IF(O95=CURSOS!$D$35,"MANEJO DEFENSIVO",IF(O95=CURSOS!$D$36,"SOPORTE CARDIOVASCULAR AVANZADO NEONATAL",IF(O95=CURSOS!$D$37,"SEGURIDAD DEL PACIENTE",IF(O95=CURSOS!$D$38,"MANEJO Y USO DEL DEA",IF(O95=CURSOS!$D$39,"TRIAGE")))))))))))))))))))))))))))))))))))))</f>
        <v xml:space="preserve">ATENCION A VICTIMAS DE ATAQUE CON AGENTES QUIMICOS </v>
      </c>
      <c r="V95" s="51" t="str">
        <f t="shared" si="14"/>
        <v>Norbey Leonardo Rivas Torres</v>
      </c>
      <c r="W95" s="51" t="str">
        <f t="shared" si="15"/>
        <v>Norbey Leonardo Rivas Torres</v>
      </c>
      <c r="X95" s="51" t="str">
        <f t="shared" si="16"/>
        <v>Norbey Leonardo Rivas Torres-87027237-QUIMICOS</v>
      </c>
    </row>
    <row r="96" spans="1:24" x14ac:dyDescent="0.2">
      <c r="A96" s="103">
        <v>95</v>
      </c>
      <c r="B96" s="105">
        <v>27081380</v>
      </c>
      <c r="C96" s="122" t="s">
        <v>157</v>
      </c>
      <c r="D96" s="122" t="s">
        <v>373</v>
      </c>
      <c r="E96" s="122" t="s">
        <v>374</v>
      </c>
      <c r="F96" s="122" t="s">
        <v>168</v>
      </c>
      <c r="G96" s="106">
        <v>13</v>
      </c>
      <c r="H96" s="106" t="s">
        <v>99</v>
      </c>
      <c r="I96" s="106" t="s">
        <v>408</v>
      </c>
      <c r="J96" s="107">
        <v>45548</v>
      </c>
      <c r="K96" s="88">
        <v>40000</v>
      </c>
      <c r="L96" s="106" t="s">
        <v>103</v>
      </c>
      <c r="M96" s="106" t="s">
        <v>85</v>
      </c>
      <c r="N96" s="106" t="s">
        <v>98</v>
      </c>
      <c r="O96" s="120" t="s">
        <v>63</v>
      </c>
      <c r="P96" s="123">
        <v>28254</v>
      </c>
      <c r="Q96" s="124" t="s">
        <v>110</v>
      </c>
      <c r="R96" s="119" t="s">
        <v>123</v>
      </c>
      <c r="S96" s="125">
        <v>3103067655</v>
      </c>
      <c r="T96" s="116" t="s">
        <v>375</v>
      </c>
      <c r="U96" s="105" t="str">
        <f>IF(O96=CURSOS!$D$3,"DIPLOMADO EN ATENCION PRE-HOSPITALARIA",IF(O96=CURSOS!$D$4,"ACOMPAÑAMIENTO Y MANEJO DEL DUELO",IF(O96=CURSOS!$D$5,"ATENCION A VICTIMAS DE ATAQUE CON AGENTES QUIMICOS ",IF(O96=CURSOS!$D$6,"PRIMEROS AUXILIOS ",IF(O96=CURSOS!$D$7,"DIPLOMADO DE UNIDAD DE CUIDADOS INTENSIVOS (UCI)",IF(O96=CURSOS!$D$8,"MODELO DE ATENCION PARA EVENTOS EMERGENTES EN SALUD MENTAL (CODIGO VERDE)",IF(O96=CURSOS!$D$9,"HUMANIZACION EN EL SERVICIO DE LA SALUD Y BUENAS PRACTICAS EN PACIENTE ",IF(O96=CURSOS!$D$10,"CLINICA DE HERIDAS ",IF(O96=CURSOS!$D$11,"TOMA DE CITOLOGIA CERVICO VAGINAL ",IF(O96=CURSOS!$D$12,"SOPORTE CARDIOVASCULAR AVANZADO (ACLS) ",IF(O96=CURSOS!$D$13,"CAMILLERO ",IF(O96=CURSOS!$D$14,"TOMA DE MUESTRAS Y LABORATORIO ",IF(O96=CURSOS!$D$15,"SOPORTE VITAL BASICO (BLS)",IF(O96=CURSOS!$D$16,"ATENCION A VICTIMAS DE VIOLENCIA SEXUAL ",IF(O96=CURSOS!$D$17,"PROGRAMADO AMPLIADO DE INMUNIZACION (PAI - COVID 19)",IF(O96=CURSOS!$D$18,"ATENCION INTEGRAL EN ENFERMEDADES PREVALENTES EN PRIMERA INFANCIA (AIEPI)",IF(O96=CURSOS!$D$19,"ADMINISTRACION DE MEDICAMENTOS, INYECTOLOGIA  Y CANALIZACION ",IF(O96=CURSOS!$D$20,"OPERADOR DE VEHICULOS DE EMERGENCIA (OVE)",IF(O96=CURSOS!$D$21,"INSTITUCIONES AMIGAS DE LA MUJER Y LA INFANCIA (IAMI)",IF(O96=CURSOS!$D$22,"CUIDADO DEL DONANTE DE ORGANOS",IF(O96=CURSOS!$D$23,"ATENCION A VICTIMAS POR VIOLENCIA DE GENERO",IF(O96=CURSOS!$D$24,"IGUALDAD DE GENERO EN LA SALUD",IF(O96=CURSOS!$D$25,"BRIGADA DE EMERGENCIA",IF(O96=CURSOS!$D$26,"MANEJO DEL DOLOR Y CUIDADOS PALIATIVOS",IF(O96=CURSOS!$D$27,"TOMA DE MUESTRAS Y LABORATORIO POCT",IF(O96=CURSOS!$D$28,"IMPLANTE SUBDERMICO DE DISPOSITIVO INTRAUTERINO",IF(O96=CURSOS!$D$29,"SALUD MENTAL",IF(O96=CURSOS!$D$30,"PRIMEROS AUXILIOS PSICOLOGICOS",IF(O96=CURSOS!$D$31,"ATENCION A VICTIMAS POR CONFLICTO ARMADO",IF(O96=CURSOS!$D$32,"MANIPULACION DE ALIMENTOS Y BPM",IF(O96=CURSOS!$D$33,"ATENCION A PERSONAS CON DISCAPACIDAD",IF(O96=CURSOS!$D$34,"CUIDADO INTEGRAL DEL PACIENTE ADULTO",IF(O96=CURSOS!$D$35,"MANEJO DEFENSIVO",IF(O96=CURSOS!$D$36,"SOPORTE CARDIOVASCULAR AVANZADO NEONATAL",IF(O96=CURSOS!$D$37,"SEGURIDAD DEL PACIENTE",IF(O96=CURSOS!$D$38,"MANEJO Y USO DEL DEA",IF(O96=CURSOS!$D$39,"TRIAGE")))))))))))))))))))))))))))))))))))))</f>
        <v>TOMA DE MUESTRAS Y LABORATORIO POCT</v>
      </c>
      <c r="V96" s="105" t="str">
        <f t="shared" si="14"/>
        <v>Greis Andrea Carlosama Cifuentes</v>
      </c>
      <c r="W96" s="105" t="str">
        <f t="shared" si="15"/>
        <v>Greis Andrea Carlosama Cifuentes</v>
      </c>
      <c r="X96" s="105" t="str">
        <f t="shared" si="16"/>
        <v>Greis Andrea Carlosama Cifuentes-27081380-POCT</v>
      </c>
    </row>
    <row r="97" spans="1:24" x14ac:dyDescent="0.2">
      <c r="A97" s="103">
        <v>96</v>
      </c>
      <c r="B97" s="105">
        <v>1085278863</v>
      </c>
      <c r="C97" s="122" t="s">
        <v>376</v>
      </c>
      <c r="D97" s="122" t="s">
        <v>377</v>
      </c>
      <c r="E97" s="122" t="s">
        <v>378</v>
      </c>
      <c r="F97" s="122" t="s">
        <v>168</v>
      </c>
      <c r="G97" s="106">
        <v>13</v>
      </c>
      <c r="H97" s="106" t="s">
        <v>99</v>
      </c>
      <c r="I97" s="106" t="s">
        <v>408</v>
      </c>
      <c r="J97" s="107">
        <v>45552</v>
      </c>
      <c r="K97" s="88">
        <v>30000</v>
      </c>
      <c r="L97" s="106" t="s">
        <v>103</v>
      </c>
      <c r="M97" s="106" t="s">
        <v>85</v>
      </c>
      <c r="N97" s="106" t="s">
        <v>98</v>
      </c>
      <c r="O97" s="120" t="s">
        <v>23</v>
      </c>
      <c r="P97" s="123">
        <v>32839</v>
      </c>
      <c r="Q97" s="124" t="s">
        <v>110</v>
      </c>
      <c r="R97" s="119" t="s">
        <v>123</v>
      </c>
      <c r="S97" s="125">
        <v>3023111716</v>
      </c>
      <c r="T97" s="116" t="s">
        <v>379</v>
      </c>
      <c r="U97" s="105" t="str">
        <f>IF(O97=CURSOS!$D$3,"DIPLOMADO EN ATENCION PRE-HOSPITALARIA",IF(O97=CURSOS!$D$4,"ACOMPAÑAMIENTO Y MANEJO DEL DUELO",IF(O97=CURSOS!$D$5,"ATENCION A VICTIMAS DE ATAQUE CON AGENTES QUIMICOS ",IF(O97=CURSOS!$D$6,"PRIMEROS AUXILIOS ",IF(O97=CURSOS!$D$7,"DIPLOMADO DE UNIDAD DE CUIDADOS INTENSIVOS (UCI)",IF(O97=CURSOS!$D$8,"MODELO DE ATENCION PARA EVENTOS EMERGENTES EN SALUD MENTAL (CODIGO VERDE)",IF(O97=CURSOS!$D$9,"HUMANIZACION EN EL SERVICIO DE LA SALUD Y BUENAS PRACTICAS EN PACIENTE ",IF(O97=CURSOS!$D$10,"CLINICA DE HERIDAS ",IF(O97=CURSOS!$D$11,"TOMA DE CITOLOGIA CERVICO VAGINAL ",IF(O97=CURSOS!$D$12,"SOPORTE CARDIOVASCULAR AVANZADO (ACLS) ",IF(O97=CURSOS!$D$13,"CAMILLERO ",IF(O97=CURSOS!$D$14,"TOMA DE MUESTRAS Y LABORATORIO ",IF(O97=CURSOS!$D$15,"SOPORTE VITAL BASICO (BLS)",IF(O97=CURSOS!$D$16,"ATENCION A VICTIMAS DE VIOLENCIA SEXUAL ",IF(O97=CURSOS!$D$17,"PROGRAMADO AMPLIADO DE INMUNIZACION (PAI - COVID 19)",IF(O97=CURSOS!$D$18,"ATENCION INTEGRAL EN ENFERMEDADES PREVALENTES EN PRIMERA INFANCIA (AIEPI)",IF(O97=CURSOS!$D$19,"ADMINISTRACION DE MEDICAMENTOS, INYECTOLOGIA  Y CANALIZACION ",IF(O97=CURSOS!$D$20,"OPERADOR DE VEHICULOS DE EMERGENCIA (OVE)",IF(O97=CURSOS!$D$21,"INSTITUCIONES AMIGAS DE LA MUJER Y LA INFANCIA (IAMI)",IF(O97=CURSOS!$D$22,"CUIDADO DEL DONANTE DE ORGANOS",IF(O97=CURSOS!$D$23,"ATENCION A VICTIMAS POR VIOLENCIA DE GENERO",IF(O97=CURSOS!$D$24,"IGUALDAD DE GENERO EN LA SALUD",IF(O97=CURSOS!$D$25,"BRIGADA DE EMERGENCIA",IF(O97=CURSOS!$D$26,"MANEJO DEL DOLOR Y CUIDADOS PALIATIVOS",IF(O97=CURSOS!$D$27,"TOMA DE MUESTRAS Y LABORATORIO POCT",IF(O97=CURSOS!$D$28,"IMPLANTE SUBDERMICO DE DISPOSITIVO INTRAUTERINO",IF(O97=CURSOS!$D$29,"SALUD MENTAL",IF(O97=CURSOS!$D$30,"PRIMEROS AUXILIOS PSICOLOGICOS",IF(O97=CURSOS!$D$31,"ATENCION A VICTIMAS POR CONFLICTO ARMADO",IF(O97=CURSOS!$D$32,"MANIPULACION DE ALIMENTOS Y BPM",IF(O97=CURSOS!$D$33,"ATENCION A PERSONAS CON DISCAPACIDAD",IF(O97=CURSOS!$D$34,"CUIDADO INTEGRAL DEL PACIENTE ADULTO",IF(O97=CURSOS!$D$35,"MANEJO DEFENSIVO",IF(O97=CURSOS!$D$36,"SOPORTE CARDIOVASCULAR AVANZADO NEONATAL",IF(O97=CURSOS!$D$37,"SEGURIDAD DEL PACIENTE",IF(O97=CURSOS!$D$38,"MANEJO Y USO DEL DEA",IF(O97=CURSOS!$D$39,"TRIAGE")))))))))))))))))))))))))))))))))))))</f>
        <v>ACOMPAÑAMIENTO Y MANEJO DEL DUELO</v>
      </c>
      <c r="V97" s="105" t="str">
        <f t="shared" si="14"/>
        <v>Evelyn Andrea Vélez Narváez</v>
      </c>
      <c r="W97" s="105" t="str">
        <f t="shared" si="15"/>
        <v>Evelyn Andrea Vélez Narváez</v>
      </c>
      <c r="X97" s="105" t="str">
        <f t="shared" si="16"/>
        <v>Evelyn Andrea Vélez Narváez-1085278863-DUELO</v>
      </c>
    </row>
    <row r="98" spans="1:24" x14ac:dyDescent="0.2">
      <c r="A98" s="103">
        <v>97</v>
      </c>
      <c r="B98" s="105">
        <v>1085278863</v>
      </c>
      <c r="C98" s="122" t="s">
        <v>376</v>
      </c>
      <c r="D98" s="122" t="s">
        <v>377</v>
      </c>
      <c r="E98" s="122" t="s">
        <v>378</v>
      </c>
      <c r="F98" s="122" t="s">
        <v>168</v>
      </c>
      <c r="G98" s="106">
        <v>13</v>
      </c>
      <c r="H98" s="106" t="s">
        <v>99</v>
      </c>
      <c r="I98" s="106" t="s">
        <v>408</v>
      </c>
      <c r="J98" s="107">
        <v>45552</v>
      </c>
      <c r="K98" s="88">
        <v>30000</v>
      </c>
      <c r="L98" s="106" t="s">
        <v>103</v>
      </c>
      <c r="M98" s="106" t="s">
        <v>85</v>
      </c>
      <c r="N98" s="106" t="s">
        <v>98</v>
      </c>
      <c r="O98" s="108" t="s">
        <v>43</v>
      </c>
      <c r="P98" s="123">
        <v>32839</v>
      </c>
      <c r="Q98" s="124" t="s">
        <v>110</v>
      </c>
      <c r="R98" s="119" t="s">
        <v>123</v>
      </c>
      <c r="S98" s="125">
        <v>3023111716</v>
      </c>
      <c r="T98" s="116" t="s">
        <v>379</v>
      </c>
      <c r="U98" s="105" t="str">
        <f>IF(O98=CURSOS!$D$3,"DIPLOMADO EN ATENCION PRE-HOSPITALARIA",IF(O98=CURSOS!$D$4,"ACOMPAÑAMIENTO Y MANEJO DEL DUELO",IF(O98=CURSOS!$D$5,"ATENCION A VICTIMAS DE ATAQUE CON AGENTES QUIMICOS ",IF(O98=CURSOS!$D$6,"PRIMEROS AUXILIOS ",IF(O98=CURSOS!$D$7,"DIPLOMADO DE UNIDAD DE CUIDADOS INTENSIVOS (UCI)",IF(O98=CURSOS!$D$8,"MODELO DE ATENCION PARA EVENTOS EMERGENTES EN SALUD MENTAL (CODIGO VERDE)",IF(O98=CURSOS!$D$9,"HUMANIZACION EN EL SERVICIO DE LA SALUD Y BUENAS PRACTICAS EN PACIENTE ",IF(O98=CURSOS!$D$10,"CLINICA DE HERIDAS ",IF(O98=CURSOS!$D$11,"TOMA DE CITOLOGIA CERVICO VAGINAL ",IF(O98=CURSOS!$D$12,"SOPORTE CARDIOVASCULAR AVANZADO (ACLS) ",IF(O98=CURSOS!$D$13,"CAMILLERO ",IF(O98=CURSOS!$D$14,"TOMA DE MUESTRAS Y LABORATORIO ",IF(O98=CURSOS!$D$15,"SOPORTE VITAL BASICO (BLS)",IF(O98=CURSOS!$D$16,"ATENCION A VICTIMAS DE VIOLENCIA SEXUAL ",IF(O98=CURSOS!$D$17,"PROGRAMADO AMPLIADO DE INMUNIZACION (PAI - COVID 19)",IF(O98=CURSOS!$D$18,"ATENCION INTEGRAL EN ENFERMEDADES PREVALENTES EN PRIMERA INFANCIA (AIEPI)",IF(O98=CURSOS!$D$19,"ADMINISTRACION DE MEDICAMENTOS, INYECTOLOGIA  Y CANALIZACION ",IF(O98=CURSOS!$D$20,"OPERADOR DE VEHICULOS DE EMERGENCIA (OVE)",IF(O98=CURSOS!$D$21,"INSTITUCIONES AMIGAS DE LA MUJER Y LA INFANCIA (IAMI)",IF(O98=CURSOS!$D$22,"CUIDADO DEL DONANTE DE ORGANOS",IF(O98=CURSOS!$D$23,"ATENCION A VICTIMAS POR VIOLENCIA DE GENERO",IF(O98=CURSOS!$D$24,"IGUALDAD DE GENERO EN LA SALUD",IF(O98=CURSOS!$D$25,"BRIGADA DE EMERGENCIA",IF(O98=CURSOS!$D$26,"MANEJO DEL DOLOR Y CUIDADOS PALIATIVOS",IF(O98=CURSOS!$D$27,"TOMA DE MUESTRAS Y LABORATORIO POCT",IF(O98=CURSOS!$D$28,"IMPLANTE SUBDERMICO DE DISPOSITIVO INTRAUTERINO",IF(O98=CURSOS!$D$29,"SALUD MENTAL",IF(O98=CURSOS!$D$30,"PRIMEROS AUXILIOS PSICOLOGICOS",IF(O98=CURSOS!$D$31,"ATENCION A VICTIMAS POR CONFLICTO ARMADO",IF(O98=CURSOS!$D$32,"MANIPULACION DE ALIMENTOS Y BPM",IF(O98=CURSOS!$D$33,"ATENCION A PERSONAS CON DISCAPACIDAD",IF(O98=CURSOS!$D$34,"CUIDADO INTEGRAL DEL PACIENTE ADULTO",IF(O98=CURSOS!$D$35,"MANEJO DEFENSIVO",IF(O98=CURSOS!$D$36,"SOPORTE CARDIOVASCULAR AVANZADO NEONATAL",IF(O98=CURSOS!$D$37,"SEGURIDAD DEL PACIENTE",IF(O98=CURSOS!$D$38,"MANEJO Y USO DEL DEA",IF(O98=CURSOS!$D$39,"TRIAGE")))))))))))))))))))))))))))))))))))))</f>
        <v xml:space="preserve">ATENCION A VICTIMAS DE VIOLENCIA SEXUAL </v>
      </c>
      <c r="V98" s="105" t="str">
        <f t="shared" si="14"/>
        <v>Evelyn Andrea Vélez Narváez</v>
      </c>
      <c r="W98" s="105" t="str">
        <f t="shared" si="15"/>
        <v>Evelyn Andrea Vélez Narváez</v>
      </c>
      <c r="X98" s="105" t="str">
        <f t="shared" si="16"/>
        <v>Evelyn Andrea Vélez Narváez-1085278863-VIOLENCIA SEXUAL</v>
      </c>
    </row>
    <row r="99" spans="1:24" x14ac:dyDescent="0.2">
      <c r="A99" s="103">
        <v>98</v>
      </c>
      <c r="B99" s="105">
        <v>5268341</v>
      </c>
      <c r="C99" s="122" t="s">
        <v>381</v>
      </c>
      <c r="D99" s="122" t="s">
        <v>382</v>
      </c>
      <c r="E99" s="122" t="s">
        <v>383</v>
      </c>
      <c r="F99" s="122" t="s">
        <v>384</v>
      </c>
      <c r="G99" s="106">
        <v>10</v>
      </c>
      <c r="H99" s="106" t="s">
        <v>99</v>
      </c>
      <c r="I99" s="106" t="s">
        <v>408</v>
      </c>
      <c r="J99" s="107">
        <v>45547</v>
      </c>
      <c r="K99" s="88">
        <v>28000</v>
      </c>
      <c r="L99" s="106" t="s">
        <v>103</v>
      </c>
      <c r="M99" s="106" t="s">
        <v>85</v>
      </c>
      <c r="N99" s="106" t="s">
        <v>98</v>
      </c>
      <c r="O99" s="120" t="s">
        <v>19</v>
      </c>
      <c r="P99" s="119">
        <v>28644</v>
      </c>
      <c r="Q99" s="126" t="s">
        <v>104</v>
      </c>
      <c r="R99" s="105" t="s">
        <v>123</v>
      </c>
      <c r="S99" s="122">
        <v>3186332037</v>
      </c>
      <c r="T99" s="122" t="s">
        <v>380</v>
      </c>
      <c r="U99" s="105" t="str">
        <f>IF(O99=CURSOS!$D$3,"DIPLOMADO EN ATENCION PRE-HOSPITALARIA",IF(O99=CURSOS!$D$4,"ACOMPAÑAMIENTO Y MANEJO DEL DUELO",IF(O99=CURSOS!$D$5,"ATENCION A VICTIMAS DE ATAQUE CON AGENTES QUIMICOS ",IF(O99=CURSOS!$D$6,"PRIMEROS AUXILIOS ",IF(O99=CURSOS!$D$7,"DIPLOMADO DE UNIDAD DE CUIDADOS INTENSIVOS (UCI)",IF(O99=CURSOS!$D$8,"MODELO DE ATENCION PARA EVENTOS EMERGENTES EN SALUD MENTAL (CODIGO VERDE)",IF(O99=CURSOS!$D$9,"HUMANIZACION EN EL SERVICIO DE LA SALUD Y BUENAS PRACTICAS EN PACIENTE ",IF(O99=CURSOS!$D$10,"CLINICA DE HERIDAS ",IF(O99=CURSOS!$D$11,"TOMA DE CITOLOGIA CERVICO VAGINAL ",IF(O99=CURSOS!$D$12,"SOPORTE CARDIOVASCULAR AVANZADO (ACLS) ",IF(O99=CURSOS!$D$13,"CAMILLERO ",IF(O99=CURSOS!$D$14,"TOMA DE MUESTRAS Y LABORATORIO ",IF(O99=CURSOS!$D$15,"SOPORTE VITAL BASICO (BLS)",IF(O99=CURSOS!$D$16,"ATENCION A VICTIMAS DE VIOLENCIA SEXUAL ",IF(O99=CURSOS!$D$17,"PROGRAMADO AMPLIADO DE INMUNIZACION (PAI - COVID 19)",IF(O99=CURSOS!$D$18,"ATENCION INTEGRAL EN ENFERMEDADES PREVALENTES EN PRIMERA INFANCIA (AIEPI)",IF(O99=CURSOS!$D$19,"ADMINISTRACION DE MEDICAMENTOS, INYECTOLOGIA  Y CANALIZACION ",IF(O99=CURSOS!$D$20,"OPERADOR DE VEHICULOS DE EMERGENCIA (OVE)",IF(O99=CURSOS!$D$21,"INSTITUCIONES AMIGAS DE LA MUJER Y LA INFANCIA (IAMI)",IF(O99=CURSOS!$D$22,"CUIDADO DEL DONANTE DE ORGANOS",IF(O99=CURSOS!$D$23,"ATENCION A VICTIMAS POR VIOLENCIA DE GENERO",IF(O99=CURSOS!$D$24,"IGUALDAD DE GENERO EN LA SALUD",IF(O99=CURSOS!$D$25,"BRIGADA DE EMERGENCIA",IF(O99=CURSOS!$D$26,"MANEJO DEL DOLOR Y CUIDADOS PALIATIVOS",IF(O99=CURSOS!$D$27,"TOMA DE MUESTRAS Y LABORATORIO POCT",IF(O99=CURSOS!$D$28,"IMPLANTE SUBDERMICO DE DISPOSITIVO INTRAUTERINO",IF(O99=CURSOS!$D$29,"SALUD MENTAL",IF(O99=CURSOS!$D$30,"PRIMEROS AUXILIOS PSICOLOGICOS",IF(O99=CURSOS!$D$31,"ATENCION A VICTIMAS POR CONFLICTO ARMADO",IF(O99=CURSOS!$D$32,"MANIPULACION DE ALIMENTOS Y BPM",IF(O99=CURSOS!$D$33,"ATENCION A PERSONAS CON DISCAPACIDAD",IF(O99=CURSOS!$D$34,"CUIDADO INTEGRAL DEL PACIENTE ADULTO",IF(O99=CURSOS!$D$35,"MANEJO DEFENSIVO",IF(O99=CURSOS!$D$36,"SOPORTE CARDIOVASCULAR AVANZADO NEONATAL",IF(O99=CURSOS!$D$37,"SEGURIDAD DEL PACIENTE",IF(O99=CURSOS!$D$38,"MANEJO Y USO DEL DEA",IF(O99=CURSOS!$D$39,"TRIAGE")))))))))))))))))))))))))))))))))))))</f>
        <v>SOPORTE VITAL BASICO (BLS)</v>
      </c>
      <c r="V99" s="105" t="str">
        <f t="shared" si="14"/>
        <v>Harold Marino Chamorro Baez</v>
      </c>
      <c r="W99" s="105" t="str">
        <f t="shared" si="15"/>
        <v>Harold Marino Chamorro Baez</v>
      </c>
      <c r="X99" s="105" t="str">
        <f t="shared" si="16"/>
        <v>Harold Marino Chamorro Baez-5268341-BLS</v>
      </c>
    </row>
    <row r="100" spans="1:24" s="135" customFormat="1" hidden="1" x14ac:dyDescent="0.2">
      <c r="A100" s="103">
        <v>99</v>
      </c>
      <c r="B100" s="105">
        <v>1089030194</v>
      </c>
      <c r="C100" s="122" t="s">
        <v>222</v>
      </c>
      <c r="D100" s="122" t="s">
        <v>101</v>
      </c>
      <c r="E100" s="122" t="s">
        <v>385</v>
      </c>
      <c r="F100" s="122" t="s">
        <v>173</v>
      </c>
      <c r="G100" s="106">
        <v>16</v>
      </c>
      <c r="H100" s="106" t="s">
        <v>99</v>
      </c>
      <c r="I100" s="106" t="s">
        <v>408</v>
      </c>
      <c r="J100" s="107">
        <v>45552</v>
      </c>
      <c r="K100" s="88">
        <v>28000</v>
      </c>
      <c r="L100" s="106" t="s">
        <v>138</v>
      </c>
      <c r="M100" s="106" t="s">
        <v>85</v>
      </c>
      <c r="N100" s="106" t="s">
        <v>109</v>
      </c>
      <c r="O100" s="120" t="s">
        <v>19</v>
      </c>
      <c r="P100" s="119"/>
      <c r="Q100" s="126" t="s">
        <v>110</v>
      </c>
      <c r="R100" s="105" t="s">
        <v>123</v>
      </c>
      <c r="S100" s="122">
        <v>3128703877</v>
      </c>
      <c r="T100" s="122" t="s">
        <v>386</v>
      </c>
      <c r="U100" s="105" t="str">
        <f>IF(O100=CURSOS!$D$3,"DIPLOMADO EN ATENCION PRE-HOSPITALARIA",IF(O100=CURSOS!$D$4,"ACOMPAÑAMIENTO Y MANEJO DEL DUELO",IF(O100=CURSOS!$D$5,"ATENCION A VICTIMAS DE ATAQUE CON AGENTES QUIMICOS ",IF(O100=CURSOS!$D$6,"PRIMEROS AUXILIOS ",IF(O100=CURSOS!$D$7,"DIPLOMADO DE UNIDAD DE CUIDADOS INTENSIVOS (UCI)",IF(O100=CURSOS!$D$8,"MODELO DE ATENCION PARA EVENTOS EMERGENTES EN SALUD MENTAL (CODIGO VERDE)",IF(O100=CURSOS!$D$9,"HUMANIZACION EN EL SERVICIO DE LA SALUD Y BUENAS PRACTICAS EN PACIENTE ",IF(O100=CURSOS!$D$10,"CLINICA DE HERIDAS ",IF(O100=CURSOS!$D$11,"TOMA DE CITOLOGIA CERVICO VAGINAL ",IF(O100=CURSOS!$D$12,"SOPORTE CARDIOVASCULAR AVANZADO (ACLS) ",IF(O100=CURSOS!$D$13,"CAMILLERO ",IF(O100=CURSOS!$D$14,"TOMA DE MUESTRAS Y LABORATORIO ",IF(O100=CURSOS!$D$15,"SOPORTE VITAL BASICO (BLS)",IF(O100=CURSOS!$D$16,"ATENCION A VICTIMAS DE VIOLENCIA SEXUAL ",IF(O100=CURSOS!$D$17,"PROGRAMADO AMPLIADO DE INMUNIZACION (PAI - COVID 19)",IF(O100=CURSOS!$D$18,"ATENCION INTEGRAL EN ENFERMEDADES PREVALENTES EN PRIMERA INFANCIA (AIEPI)",IF(O100=CURSOS!$D$19,"ADMINISTRACION DE MEDICAMENTOS, INYECTOLOGIA  Y CANALIZACION ",IF(O100=CURSOS!$D$20,"OPERADOR DE VEHICULOS DE EMERGENCIA (OVE)",IF(O100=CURSOS!$D$21,"INSTITUCIONES AMIGAS DE LA MUJER Y LA INFANCIA (IAMI)",IF(O100=CURSOS!$D$22,"CUIDADO DEL DONANTE DE ORGANOS",IF(O100=CURSOS!$D$23,"ATENCION A VICTIMAS POR VIOLENCIA DE GENERO",IF(O100=CURSOS!$D$24,"IGUALDAD DE GENERO EN LA SALUD",IF(O100=CURSOS!$D$25,"BRIGADA DE EMERGENCIA",IF(O100=CURSOS!$D$26,"MANEJO DEL DOLOR Y CUIDADOS PALIATIVOS",IF(O100=CURSOS!$D$27,"TOMA DE MUESTRAS Y LABORATORIO POCT",IF(O100=CURSOS!$D$28,"IMPLANTE SUBDERMICO DE DISPOSITIVO INTRAUTERINO",IF(O100=CURSOS!$D$29,"SALUD MENTAL",IF(O100=CURSOS!$D$30,"PRIMEROS AUXILIOS PSICOLOGICOS",IF(O100=CURSOS!$D$31,"ATENCION A VICTIMAS POR CONFLICTO ARMADO",IF(O100=CURSOS!$D$32,"MANIPULACION DE ALIMENTOS Y BPM",IF(O100=CURSOS!$D$33,"ATENCION A PERSONAS CON DISCAPACIDAD",IF(O100=CURSOS!$D$34,"CUIDADO INTEGRAL DEL PACIENTE ADULTO",IF(O100=CURSOS!$D$35,"MANEJO DEFENSIVO",IF(O100=CURSOS!$D$36,"SOPORTE CARDIOVASCULAR AVANZADO NEONATAL",IF(O100=CURSOS!$D$37,"SEGURIDAD DEL PACIENTE",IF(O100=CURSOS!$D$38,"MANEJO Y USO DEL DEA",IF(O100=CURSOS!$D$39,"TRIAGE")))))))))))))))))))))))))))))))))))))</f>
        <v>SOPORTE VITAL BASICO (BLS)</v>
      </c>
      <c r="V100" s="105" t="str">
        <f t="shared" si="14"/>
        <v>Diela Marcela Mora Rodriguez</v>
      </c>
      <c r="W100" s="105" t="str">
        <f t="shared" si="15"/>
        <v>Diela Marcela Mora Rodriguez</v>
      </c>
      <c r="X100" s="105" t="str">
        <f t="shared" si="16"/>
        <v>Diela Marcela Mora Rodriguez-1089030194-BLS</v>
      </c>
    </row>
    <row r="101" spans="1:24" s="135" customFormat="1" hidden="1" x14ac:dyDescent="0.2">
      <c r="A101" s="103">
        <v>100</v>
      </c>
      <c r="B101" s="105">
        <v>1089030194</v>
      </c>
      <c r="C101" s="122" t="s">
        <v>222</v>
      </c>
      <c r="D101" s="122" t="s">
        <v>101</v>
      </c>
      <c r="E101" s="122" t="s">
        <v>385</v>
      </c>
      <c r="F101" s="122" t="s">
        <v>173</v>
      </c>
      <c r="G101" s="106">
        <v>14</v>
      </c>
      <c r="H101" s="106" t="s">
        <v>99</v>
      </c>
      <c r="I101" s="106" t="s">
        <v>408</v>
      </c>
      <c r="J101" s="107">
        <v>45552</v>
      </c>
      <c r="K101" s="88">
        <v>28000</v>
      </c>
      <c r="L101" s="106" t="s">
        <v>138</v>
      </c>
      <c r="M101" s="106" t="s">
        <v>85</v>
      </c>
      <c r="N101" s="106" t="s">
        <v>109</v>
      </c>
      <c r="O101" s="120" t="s">
        <v>23</v>
      </c>
      <c r="P101" s="119"/>
      <c r="Q101" s="126" t="s">
        <v>110</v>
      </c>
      <c r="R101" s="105" t="s">
        <v>123</v>
      </c>
      <c r="S101" s="122">
        <v>3128703877</v>
      </c>
      <c r="T101" s="122" t="s">
        <v>386</v>
      </c>
      <c r="U101" s="105" t="str">
        <f>IF(O101=CURSOS!$D$3,"DIPLOMADO EN ATENCION PRE-HOSPITALARIA",IF(O101=CURSOS!$D$4,"ACOMPAÑAMIENTO Y MANEJO DEL DUELO",IF(O101=CURSOS!$D$5,"ATENCION A VICTIMAS DE ATAQUE CON AGENTES QUIMICOS ",IF(O101=CURSOS!$D$6,"PRIMEROS AUXILIOS ",IF(O101=CURSOS!$D$7,"DIPLOMADO DE UNIDAD DE CUIDADOS INTENSIVOS (UCI)",IF(O101=CURSOS!$D$8,"MODELO DE ATENCION PARA EVENTOS EMERGENTES EN SALUD MENTAL (CODIGO VERDE)",IF(O101=CURSOS!$D$9,"HUMANIZACION EN EL SERVICIO DE LA SALUD Y BUENAS PRACTICAS EN PACIENTE ",IF(O101=CURSOS!$D$10,"CLINICA DE HERIDAS ",IF(O101=CURSOS!$D$11,"TOMA DE CITOLOGIA CERVICO VAGINAL ",IF(O101=CURSOS!$D$12,"SOPORTE CARDIOVASCULAR AVANZADO (ACLS) ",IF(O101=CURSOS!$D$13,"CAMILLERO ",IF(O101=CURSOS!$D$14,"TOMA DE MUESTRAS Y LABORATORIO ",IF(O101=CURSOS!$D$15,"SOPORTE VITAL BASICO (BLS)",IF(O101=CURSOS!$D$16,"ATENCION A VICTIMAS DE VIOLENCIA SEXUAL ",IF(O101=CURSOS!$D$17,"PROGRAMADO AMPLIADO DE INMUNIZACION (PAI - COVID 19)",IF(O101=CURSOS!$D$18,"ATENCION INTEGRAL EN ENFERMEDADES PREVALENTES EN PRIMERA INFANCIA (AIEPI)",IF(O101=CURSOS!$D$19,"ADMINISTRACION DE MEDICAMENTOS, INYECTOLOGIA  Y CANALIZACION ",IF(O101=CURSOS!$D$20,"OPERADOR DE VEHICULOS DE EMERGENCIA (OVE)",IF(O101=CURSOS!$D$21,"INSTITUCIONES AMIGAS DE LA MUJER Y LA INFANCIA (IAMI)",IF(O101=CURSOS!$D$22,"CUIDADO DEL DONANTE DE ORGANOS",IF(O101=CURSOS!$D$23,"ATENCION A VICTIMAS POR VIOLENCIA DE GENERO",IF(O101=CURSOS!$D$24,"IGUALDAD DE GENERO EN LA SALUD",IF(O101=CURSOS!$D$25,"BRIGADA DE EMERGENCIA",IF(O101=CURSOS!$D$26,"MANEJO DEL DOLOR Y CUIDADOS PALIATIVOS",IF(O101=CURSOS!$D$27,"TOMA DE MUESTRAS Y LABORATORIO POCT",IF(O101=CURSOS!$D$28,"IMPLANTE SUBDERMICO DE DISPOSITIVO INTRAUTERINO",IF(O101=CURSOS!$D$29,"SALUD MENTAL",IF(O101=CURSOS!$D$30,"PRIMEROS AUXILIOS PSICOLOGICOS",IF(O101=CURSOS!$D$31,"ATENCION A VICTIMAS POR CONFLICTO ARMADO",IF(O101=CURSOS!$D$32,"MANIPULACION DE ALIMENTOS Y BPM",IF(O101=CURSOS!$D$33,"ATENCION A PERSONAS CON DISCAPACIDAD",IF(O101=CURSOS!$D$34,"CUIDADO INTEGRAL DEL PACIENTE ADULTO",IF(O101=CURSOS!$D$35,"MANEJO DEFENSIVO",IF(O101=CURSOS!$D$36,"SOPORTE CARDIOVASCULAR AVANZADO NEONATAL",IF(O101=CURSOS!$D$37,"SEGURIDAD DEL PACIENTE",IF(O101=CURSOS!$D$38,"MANEJO Y USO DEL DEA",IF(O101=CURSOS!$D$39,"TRIAGE")))))))))))))))))))))))))))))))))))))</f>
        <v>ACOMPAÑAMIENTO Y MANEJO DEL DUELO</v>
      </c>
      <c r="V101" s="105" t="str">
        <f t="shared" si="14"/>
        <v>Diela Marcela Mora Rodriguez</v>
      </c>
      <c r="W101" s="105" t="str">
        <f t="shared" si="15"/>
        <v>Diela Marcela Mora Rodriguez</v>
      </c>
      <c r="X101" s="105" t="str">
        <f t="shared" si="16"/>
        <v>Diela Marcela Mora Rodriguez-1089030194-DUELO</v>
      </c>
    </row>
    <row r="102" spans="1:24" s="135" customFormat="1" hidden="1" x14ac:dyDescent="0.2">
      <c r="A102" s="103">
        <v>101</v>
      </c>
      <c r="B102" s="105">
        <v>1089030194</v>
      </c>
      <c r="C102" s="122" t="s">
        <v>222</v>
      </c>
      <c r="D102" s="122" t="s">
        <v>101</v>
      </c>
      <c r="E102" s="122" t="s">
        <v>385</v>
      </c>
      <c r="F102" s="122" t="s">
        <v>173</v>
      </c>
      <c r="G102" s="106">
        <v>16</v>
      </c>
      <c r="H102" s="106" t="s">
        <v>99</v>
      </c>
      <c r="I102" s="106" t="s">
        <v>408</v>
      </c>
      <c r="J102" s="107">
        <v>45552</v>
      </c>
      <c r="K102" s="88">
        <v>28000</v>
      </c>
      <c r="L102" s="106" t="s">
        <v>138</v>
      </c>
      <c r="M102" s="106" t="s">
        <v>85</v>
      </c>
      <c r="N102" s="106" t="s">
        <v>109</v>
      </c>
      <c r="O102" s="120" t="s">
        <v>25</v>
      </c>
      <c r="P102" s="119"/>
      <c r="Q102" s="126" t="s">
        <v>110</v>
      </c>
      <c r="R102" s="105" t="s">
        <v>123</v>
      </c>
      <c r="S102" s="122">
        <v>3128703877</v>
      </c>
      <c r="T102" s="122" t="s">
        <v>386</v>
      </c>
      <c r="U102" s="105" t="str">
        <f>IF(O102=CURSOS!$D$3,"DIPLOMADO EN ATENCION PRE-HOSPITALARIA",IF(O102=CURSOS!$D$4,"ACOMPAÑAMIENTO Y MANEJO DEL DUELO",IF(O102=CURSOS!$D$5,"ATENCION A VICTIMAS DE ATAQUE CON AGENTES QUIMICOS ",IF(O102=CURSOS!$D$6,"PRIMEROS AUXILIOS ",IF(O102=CURSOS!$D$7,"DIPLOMADO DE UNIDAD DE CUIDADOS INTENSIVOS (UCI)",IF(O102=CURSOS!$D$8,"MODELO DE ATENCION PARA EVENTOS EMERGENTES EN SALUD MENTAL (CODIGO VERDE)",IF(O102=CURSOS!$D$9,"HUMANIZACION EN EL SERVICIO DE LA SALUD Y BUENAS PRACTICAS EN PACIENTE ",IF(O102=CURSOS!$D$10,"CLINICA DE HERIDAS ",IF(O102=CURSOS!$D$11,"TOMA DE CITOLOGIA CERVICO VAGINAL ",IF(O102=CURSOS!$D$12,"SOPORTE CARDIOVASCULAR AVANZADO (ACLS) ",IF(O102=CURSOS!$D$13,"CAMILLERO ",IF(O102=CURSOS!$D$14,"TOMA DE MUESTRAS Y LABORATORIO ",IF(O102=CURSOS!$D$15,"SOPORTE VITAL BASICO (BLS)",IF(O102=CURSOS!$D$16,"ATENCION A VICTIMAS DE VIOLENCIA SEXUAL ",IF(O102=CURSOS!$D$17,"PROGRAMADO AMPLIADO DE INMUNIZACION (PAI - COVID 19)",IF(O102=CURSOS!$D$18,"ATENCION INTEGRAL EN ENFERMEDADES PREVALENTES EN PRIMERA INFANCIA (AIEPI)",IF(O102=CURSOS!$D$19,"ADMINISTRACION DE MEDICAMENTOS, INYECTOLOGIA  Y CANALIZACION ",IF(O102=CURSOS!$D$20,"OPERADOR DE VEHICULOS DE EMERGENCIA (OVE)",IF(O102=CURSOS!$D$21,"INSTITUCIONES AMIGAS DE LA MUJER Y LA INFANCIA (IAMI)",IF(O102=CURSOS!$D$22,"CUIDADO DEL DONANTE DE ORGANOS",IF(O102=CURSOS!$D$23,"ATENCION A VICTIMAS POR VIOLENCIA DE GENERO",IF(O102=CURSOS!$D$24,"IGUALDAD DE GENERO EN LA SALUD",IF(O102=CURSOS!$D$25,"BRIGADA DE EMERGENCIA",IF(O102=CURSOS!$D$26,"MANEJO DEL DOLOR Y CUIDADOS PALIATIVOS",IF(O102=CURSOS!$D$27,"TOMA DE MUESTRAS Y LABORATORIO POCT",IF(O102=CURSOS!$D$28,"IMPLANTE SUBDERMICO DE DISPOSITIVO INTRAUTERINO",IF(O102=CURSOS!$D$29,"SALUD MENTAL",IF(O102=CURSOS!$D$30,"PRIMEROS AUXILIOS PSICOLOGICOS",IF(O102=CURSOS!$D$31,"ATENCION A VICTIMAS POR CONFLICTO ARMADO",IF(O102=CURSOS!$D$32,"MANIPULACION DE ALIMENTOS Y BPM",IF(O102=CURSOS!$D$33,"ATENCION A PERSONAS CON DISCAPACIDAD",IF(O102=CURSOS!$D$34,"CUIDADO INTEGRAL DEL PACIENTE ADULTO",IF(O102=CURSOS!$D$35,"MANEJO DEFENSIVO",IF(O102=CURSOS!$D$36,"SOPORTE CARDIOVASCULAR AVANZADO NEONATAL",IF(O102=CURSOS!$D$37,"SEGURIDAD DEL PACIENTE",IF(O102=CURSOS!$D$38,"MANEJO Y USO DEL DEA",IF(O102=CURSOS!$D$39,"TRIAGE")))))))))))))))))))))))))))))))))))))</f>
        <v xml:space="preserve">ATENCION A VICTIMAS DE ATAQUE CON AGENTES QUIMICOS </v>
      </c>
      <c r="V102" s="105" t="str">
        <f t="shared" si="14"/>
        <v>Diela Marcela Mora Rodriguez</v>
      </c>
      <c r="W102" s="105" t="str">
        <f t="shared" si="15"/>
        <v>Diela Marcela Mora Rodriguez</v>
      </c>
      <c r="X102" s="105" t="str">
        <f t="shared" si="16"/>
        <v>Diela Marcela Mora Rodriguez-1089030194-QUIMICOS</v>
      </c>
    </row>
    <row r="103" spans="1:24" s="135" customFormat="1" hidden="1" x14ac:dyDescent="0.2">
      <c r="A103" s="103">
        <v>102</v>
      </c>
      <c r="B103" s="122">
        <v>1087417050</v>
      </c>
      <c r="C103" s="122" t="s">
        <v>387</v>
      </c>
      <c r="D103" s="122" t="s">
        <v>222</v>
      </c>
      <c r="E103" s="122" t="s">
        <v>388</v>
      </c>
      <c r="F103" s="122" t="s">
        <v>389</v>
      </c>
      <c r="G103" s="106">
        <v>16</v>
      </c>
      <c r="H103" s="106" t="s">
        <v>99</v>
      </c>
      <c r="I103" s="106" t="s">
        <v>408</v>
      </c>
      <c r="J103" s="107">
        <v>45552</v>
      </c>
      <c r="K103" s="88">
        <v>28000</v>
      </c>
      <c r="L103" s="106" t="s">
        <v>138</v>
      </c>
      <c r="M103" s="106" t="s">
        <v>85</v>
      </c>
      <c r="N103" s="106" t="s">
        <v>109</v>
      </c>
      <c r="O103" s="120" t="s">
        <v>19</v>
      </c>
      <c r="P103" s="119">
        <v>33595</v>
      </c>
      <c r="Q103" s="126" t="s">
        <v>110</v>
      </c>
      <c r="R103" s="105" t="s">
        <v>123</v>
      </c>
      <c r="S103" s="122">
        <v>3128963910</v>
      </c>
      <c r="T103" s="122" t="s">
        <v>390</v>
      </c>
      <c r="U103" s="105" t="str">
        <f>IF(O103=CURSOS!$D$3,"DIPLOMADO EN ATENCION PRE-HOSPITALARIA",IF(O103=CURSOS!$D$4,"ACOMPAÑAMIENTO Y MANEJO DEL DUELO",IF(O103=CURSOS!$D$5,"ATENCION A VICTIMAS DE ATAQUE CON AGENTES QUIMICOS ",IF(O103=CURSOS!$D$6,"PRIMEROS AUXILIOS ",IF(O103=CURSOS!$D$7,"DIPLOMADO DE UNIDAD DE CUIDADOS INTENSIVOS (UCI)",IF(O103=CURSOS!$D$8,"MODELO DE ATENCION PARA EVENTOS EMERGENTES EN SALUD MENTAL (CODIGO VERDE)",IF(O103=CURSOS!$D$9,"HUMANIZACION EN EL SERVICIO DE LA SALUD Y BUENAS PRACTICAS EN PACIENTE ",IF(O103=CURSOS!$D$10,"CLINICA DE HERIDAS ",IF(O103=CURSOS!$D$11,"TOMA DE CITOLOGIA CERVICO VAGINAL ",IF(O103=CURSOS!$D$12,"SOPORTE CARDIOVASCULAR AVANZADO (ACLS) ",IF(O103=CURSOS!$D$13,"CAMILLERO ",IF(O103=CURSOS!$D$14,"TOMA DE MUESTRAS Y LABORATORIO ",IF(O103=CURSOS!$D$15,"SOPORTE VITAL BASICO (BLS)",IF(O103=CURSOS!$D$16,"ATENCION A VICTIMAS DE VIOLENCIA SEXUAL ",IF(O103=CURSOS!$D$17,"PROGRAMADO AMPLIADO DE INMUNIZACION (PAI - COVID 19)",IF(O103=CURSOS!$D$18,"ATENCION INTEGRAL EN ENFERMEDADES PREVALENTES EN PRIMERA INFANCIA (AIEPI)",IF(O103=CURSOS!$D$19,"ADMINISTRACION DE MEDICAMENTOS, INYECTOLOGIA  Y CANALIZACION ",IF(O103=CURSOS!$D$20,"OPERADOR DE VEHICULOS DE EMERGENCIA (OVE)",IF(O103=CURSOS!$D$21,"INSTITUCIONES AMIGAS DE LA MUJER Y LA INFANCIA (IAMI)",IF(O103=CURSOS!$D$22,"CUIDADO DEL DONANTE DE ORGANOS",IF(O103=CURSOS!$D$23,"ATENCION A VICTIMAS POR VIOLENCIA DE GENERO",IF(O103=CURSOS!$D$24,"IGUALDAD DE GENERO EN LA SALUD",IF(O103=CURSOS!$D$25,"BRIGADA DE EMERGENCIA",IF(O103=CURSOS!$D$26,"MANEJO DEL DOLOR Y CUIDADOS PALIATIVOS",IF(O103=CURSOS!$D$27,"TOMA DE MUESTRAS Y LABORATORIO POCT",IF(O103=CURSOS!$D$28,"IMPLANTE SUBDERMICO DE DISPOSITIVO INTRAUTERINO",IF(O103=CURSOS!$D$29,"SALUD MENTAL",IF(O103=CURSOS!$D$30,"PRIMEROS AUXILIOS PSICOLOGICOS",IF(O103=CURSOS!$D$31,"ATENCION A VICTIMAS POR CONFLICTO ARMADO",IF(O103=CURSOS!$D$32,"MANIPULACION DE ALIMENTOS Y BPM",IF(O103=CURSOS!$D$33,"ATENCION A PERSONAS CON DISCAPACIDAD",IF(O103=CURSOS!$D$34,"CUIDADO INTEGRAL DEL PACIENTE ADULTO",IF(O103=CURSOS!$D$35,"MANEJO DEFENSIVO",IF(O103=CURSOS!$D$36,"SOPORTE CARDIOVASCULAR AVANZADO NEONATAL",IF(O103=CURSOS!$D$37,"SEGURIDAD DEL PACIENTE",IF(O103=CURSOS!$D$38,"MANEJO Y USO DEL DEA",IF(O103=CURSOS!$D$39,"TRIAGE")))))))))))))))))))))))))))))))))))))</f>
        <v>SOPORTE VITAL BASICO (BLS)</v>
      </c>
      <c r="V103" s="105" t="str">
        <f t="shared" si="14"/>
        <v>Luisa Alexandra Andrade Mora</v>
      </c>
      <c r="W103" s="105" t="str">
        <f t="shared" si="15"/>
        <v>Luisa Alexandra Andrade Mora</v>
      </c>
      <c r="X103" s="105" t="str">
        <f t="shared" si="16"/>
        <v>Luisa Alexandra Andrade Mora-1087417050-BLS</v>
      </c>
    </row>
    <row r="104" spans="1:24" s="135" customFormat="1" hidden="1" x14ac:dyDescent="0.2">
      <c r="A104" s="103">
        <v>103</v>
      </c>
      <c r="B104" s="122">
        <v>1088736368</v>
      </c>
      <c r="C104" s="122" t="s">
        <v>199</v>
      </c>
      <c r="D104" s="122" t="s">
        <v>391</v>
      </c>
      <c r="E104" s="122" t="s">
        <v>392</v>
      </c>
      <c r="F104" s="122" t="s">
        <v>86</v>
      </c>
      <c r="G104" s="106">
        <v>14</v>
      </c>
      <c r="H104" s="106" t="s">
        <v>99</v>
      </c>
      <c r="I104" s="106" t="s">
        <v>408</v>
      </c>
      <c r="J104" s="107">
        <v>45552</v>
      </c>
      <c r="K104" s="88">
        <v>28000</v>
      </c>
      <c r="L104" s="106" t="s">
        <v>138</v>
      </c>
      <c r="M104" s="106" t="s">
        <v>85</v>
      </c>
      <c r="N104" s="106" t="s">
        <v>109</v>
      </c>
      <c r="O104" s="120" t="s">
        <v>43</v>
      </c>
      <c r="P104" s="119">
        <v>34386</v>
      </c>
      <c r="Q104" s="126" t="s">
        <v>110</v>
      </c>
      <c r="R104" s="105" t="s">
        <v>123</v>
      </c>
      <c r="S104" s="122">
        <v>3202838958</v>
      </c>
      <c r="T104" s="122" t="s">
        <v>393</v>
      </c>
      <c r="U104" s="105" t="str">
        <f>IF(O104=CURSOS!$D$3,"DIPLOMADO EN ATENCION PRE-HOSPITALARIA",IF(O104=CURSOS!$D$4,"ACOMPAÑAMIENTO Y MANEJO DEL DUELO",IF(O104=CURSOS!$D$5,"ATENCION A VICTIMAS DE ATAQUE CON AGENTES QUIMICOS ",IF(O104=CURSOS!$D$6,"PRIMEROS AUXILIOS ",IF(O104=CURSOS!$D$7,"DIPLOMADO DE UNIDAD DE CUIDADOS INTENSIVOS (UCI)",IF(O104=CURSOS!$D$8,"MODELO DE ATENCION PARA EVENTOS EMERGENTES EN SALUD MENTAL (CODIGO VERDE)",IF(O104=CURSOS!$D$9,"HUMANIZACION EN EL SERVICIO DE LA SALUD Y BUENAS PRACTICAS EN PACIENTE ",IF(O104=CURSOS!$D$10,"CLINICA DE HERIDAS ",IF(O104=CURSOS!$D$11,"TOMA DE CITOLOGIA CERVICO VAGINAL ",IF(O104=CURSOS!$D$12,"SOPORTE CARDIOVASCULAR AVANZADO (ACLS) ",IF(O104=CURSOS!$D$13,"CAMILLERO ",IF(O104=CURSOS!$D$14,"TOMA DE MUESTRAS Y LABORATORIO ",IF(O104=CURSOS!$D$15,"SOPORTE VITAL BASICO (BLS)",IF(O104=CURSOS!$D$16,"ATENCION A VICTIMAS DE VIOLENCIA SEXUAL ",IF(O104=CURSOS!$D$17,"PROGRAMADO AMPLIADO DE INMUNIZACION (PAI - COVID 19)",IF(O104=CURSOS!$D$18,"ATENCION INTEGRAL EN ENFERMEDADES PREVALENTES EN PRIMERA INFANCIA (AIEPI)",IF(O104=CURSOS!$D$19,"ADMINISTRACION DE MEDICAMENTOS, INYECTOLOGIA  Y CANALIZACION ",IF(O104=CURSOS!$D$20,"OPERADOR DE VEHICULOS DE EMERGENCIA (OVE)",IF(O104=CURSOS!$D$21,"INSTITUCIONES AMIGAS DE LA MUJER Y LA INFANCIA (IAMI)",IF(O104=CURSOS!$D$22,"CUIDADO DEL DONANTE DE ORGANOS",IF(O104=CURSOS!$D$23,"ATENCION A VICTIMAS POR VIOLENCIA DE GENERO",IF(O104=CURSOS!$D$24,"IGUALDAD DE GENERO EN LA SALUD",IF(O104=CURSOS!$D$25,"BRIGADA DE EMERGENCIA",IF(O104=CURSOS!$D$26,"MANEJO DEL DOLOR Y CUIDADOS PALIATIVOS",IF(O104=CURSOS!$D$27,"TOMA DE MUESTRAS Y LABORATORIO POCT",IF(O104=CURSOS!$D$28,"IMPLANTE SUBDERMICO DE DISPOSITIVO INTRAUTERINO",IF(O104=CURSOS!$D$29,"SALUD MENTAL",IF(O104=CURSOS!$D$30,"PRIMEROS AUXILIOS PSICOLOGICOS",IF(O104=CURSOS!$D$31,"ATENCION A VICTIMAS POR CONFLICTO ARMADO",IF(O104=CURSOS!$D$32,"MANIPULACION DE ALIMENTOS Y BPM",IF(O104=CURSOS!$D$33,"ATENCION A PERSONAS CON DISCAPACIDAD",IF(O104=CURSOS!$D$34,"CUIDADO INTEGRAL DEL PACIENTE ADULTO",IF(O104=CURSOS!$D$35,"MANEJO DEFENSIVO",IF(O104=CURSOS!$D$36,"SOPORTE CARDIOVASCULAR AVANZADO NEONATAL",IF(O104=CURSOS!$D$37,"SEGURIDAD DEL PACIENTE",IF(O104=CURSOS!$D$38,"MANEJO Y USO DEL DEA",IF(O104=CURSOS!$D$39,"TRIAGE")))))))))))))))))))))))))))))))))))))</f>
        <v xml:space="preserve">ATENCION A VICTIMAS DE VIOLENCIA SEXUAL </v>
      </c>
      <c r="V104" s="105" t="str">
        <f t="shared" si="14"/>
        <v>Mónica Alejandra Díaz Romo</v>
      </c>
      <c r="W104" s="105" t="str">
        <f t="shared" si="15"/>
        <v>Mónica Alejandra Díaz Romo</v>
      </c>
      <c r="X104" s="105" t="str">
        <f t="shared" si="16"/>
        <v>Mónica Alejandra Díaz Romo-1088736368-VIOLENCIA SEXUAL</v>
      </c>
    </row>
    <row r="105" spans="1:24" s="135" customFormat="1" hidden="1" x14ac:dyDescent="0.2">
      <c r="A105" s="103">
        <v>104</v>
      </c>
      <c r="B105" s="122">
        <v>1088736368</v>
      </c>
      <c r="C105" s="122" t="s">
        <v>199</v>
      </c>
      <c r="D105" s="122" t="s">
        <v>391</v>
      </c>
      <c r="E105" s="122" t="s">
        <v>392</v>
      </c>
      <c r="F105" s="122" t="s">
        <v>86</v>
      </c>
      <c r="G105" s="106">
        <v>14</v>
      </c>
      <c r="H105" s="106" t="s">
        <v>99</v>
      </c>
      <c r="I105" s="106" t="s">
        <v>408</v>
      </c>
      <c r="J105" s="107">
        <v>45552</v>
      </c>
      <c r="K105" s="88">
        <v>28000</v>
      </c>
      <c r="L105" s="106" t="s">
        <v>138</v>
      </c>
      <c r="M105" s="106" t="s">
        <v>85</v>
      </c>
      <c r="N105" s="106" t="s">
        <v>109</v>
      </c>
      <c r="O105" s="120" t="s">
        <v>23</v>
      </c>
      <c r="P105" s="119">
        <v>34386</v>
      </c>
      <c r="Q105" s="126" t="s">
        <v>110</v>
      </c>
      <c r="R105" s="105" t="s">
        <v>123</v>
      </c>
      <c r="S105" s="122">
        <v>3202838958</v>
      </c>
      <c r="T105" s="122" t="s">
        <v>393</v>
      </c>
      <c r="U105" s="105" t="str">
        <f>IF(O105=CURSOS!$D$3,"DIPLOMADO EN ATENCION PRE-HOSPITALARIA",IF(O105=CURSOS!$D$4,"ACOMPAÑAMIENTO Y MANEJO DEL DUELO",IF(O105=CURSOS!$D$5,"ATENCION A VICTIMAS DE ATAQUE CON AGENTES QUIMICOS ",IF(O105=CURSOS!$D$6,"PRIMEROS AUXILIOS ",IF(O105=CURSOS!$D$7,"DIPLOMADO DE UNIDAD DE CUIDADOS INTENSIVOS (UCI)",IF(O105=CURSOS!$D$8,"MODELO DE ATENCION PARA EVENTOS EMERGENTES EN SALUD MENTAL (CODIGO VERDE)",IF(O105=CURSOS!$D$9,"HUMANIZACION EN EL SERVICIO DE LA SALUD Y BUENAS PRACTICAS EN PACIENTE ",IF(O105=CURSOS!$D$10,"CLINICA DE HERIDAS ",IF(O105=CURSOS!$D$11,"TOMA DE CITOLOGIA CERVICO VAGINAL ",IF(O105=CURSOS!$D$12,"SOPORTE CARDIOVASCULAR AVANZADO (ACLS) ",IF(O105=CURSOS!$D$13,"CAMILLERO ",IF(O105=CURSOS!$D$14,"TOMA DE MUESTRAS Y LABORATORIO ",IF(O105=CURSOS!$D$15,"SOPORTE VITAL BASICO (BLS)",IF(O105=CURSOS!$D$16,"ATENCION A VICTIMAS DE VIOLENCIA SEXUAL ",IF(O105=CURSOS!$D$17,"PROGRAMADO AMPLIADO DE INMUNIZACION (PAI - COVID 19)",IF(O105=CURSOS!$D$18,"ATENCION INTEGRAL EN ENFERMEDADES PREVALENTES EN PRIMERA INFANCIA (AIEPI)",IF(O105=CURSOS!$D$19,"ADMINISTRACION DE MEDICAMENTOS, INYECTOLOGIA  Y CANALIZACION ",IF(O105=CURSOS!$D$20,"OPERADOR DE VEHICULOS DE EMERGENCIA (OVE)",IF(O105=CURSOS!$D$21,"INSTITUCIONES AMIGAS DE LA MUJER Y LA INFANCIA (IAMI)",IF(O105=CURSOS!$D$22,"CUIDADO DEL DONANTE DE ORGANOS",IF(O105=CURSOS!$D$23,"ATENCION A VICTIMAS POR VIOLENCIA DE GENERO",IF(O105=CURSOS!$D$24,"IGUALDAD DE GENERO EN LA SALUD",IF(O105=CURSOS!$D$25,"BRIGADA DE EMERGENCIA",IF(O105=CURSOS!$D$26,"MANEJO DEL DOLOR Y CUIDADOS PALIATIVOS",IF(O105=CURSOS!$D$27,"TOMA DE MUESTRAS Y LABORATORIO POCT",IF(O105=CURSOS!$D$28,"IMPLANTE SUBDERMICO DE DISPOSITIVO INTRAUTERINO",IF(O105=CURSOS!$D$29,"SALUD MENTAL",IF(O105=CURSOS!$D$30,"PRIMEROS AUXILIOS PSICOLOGICOS",IF(O105=CURSOS!$D$31,"ATENCION A VICTIMAS POR CONFLICTO ARMADO",IF(O105=CURSOS!$D$32,"MANIPULACION DE ALIMENTOS Y BPM",IF(O105=CURSOS!$D$33,"ATENCION A PERSONAS CON DISCAPACIDAD",IF(O105=CURSOS!$D$34,"CUIDADO INTEGRAL DEL PACIENTE ADULTO",IF(O105=CURSOS!$D$35,"MANEJO DEFENSIVO",IF(O105=CURSOS!$D$36,"SOPORTE CARDIOVASCULAR AVANZADO NEONATAL",IF(O105=CURSOS!$D$37,"SEGURIDAD DEL PACIENTE",IF(O105=CURSOS!$D$38,"MANEJO Y USO DEL DEA",IF(O105=CURSOS!$D$39,"TRIAGE")))))))))))))))))))))))))))))))))))))</f>
        <v>ACOMPAÑAMIENTO Y MANEJO DEL DUELO</v>
      </c>
      <c r="V105" s="105" t="str">
        <f t="shared" si="14"/>
        <v>Mónica Alejandra Díaz Romo</v>
      </c>
      <c r="W105" s="105" t="str">
        <f t="shared" si="15"/>
        <v>Mónica Alejandra Díaz Romo</v>
      </c>
      <c r="X105" s="105" t="str">
        <f t="shared" si="16"/>
        <v>Mónica Alejandra Díaz Romo-1088736368-DUELO</v>
      </c>
    </row>
    <row r="106" spans="1:24" s="135" customFormat="1" hidden="1" x14ac:dyDescent="0.2">
      <c r="A106" s="103">
        <v>105</v>
      </c>
      <c r="B106" s="122">
        <v>1088736368</v>
      </c>
      <c r="C106" s="122" t="s">
        <v>199</v>
      </c>
      <c r="D106" s="122" t="s">
        <v>391</v>
      </c>
      <c r="E106" s="122" t="s">
        <v>392</v>
      </c>
      <c r="F106" s="122" t="s">
        <v>86</v>
      </c>
      <c r="G106" s="106">
        <v>16</v>
      </c>
      <c r="H106" s="106" t="s">
        <v>99</v>
      </c>
      <c r="I106" s="106" t="s">
        <v>408</v>
      </c>
      <c r="J106" s="107">
        <v>45552</v>
      </c>
      <c r="K106" s="88">
        <v>28000</v>
      </c>
      <c r="L106" s="106" t="s">
        <v>138</v>
      </c>
      <c r="M106" s="106" t="s">
        <v>85</v>
      </c>
      <c r="N106" s="106" t="s">
        <v>109</v>
      </c>
      <c r="O106" s="120" t="s">
        <v>25</v>
      </c>
      <c r="P106" s="119">
        <v>34386</v>
      </c>
      <c r="Q106" s="126" t="s">
        <v>110</v>
      </c>
      <c r="R106" s="105" t="s">
        <v>123</v>
      </c>
      <c r="S106" s="122">
        <v>3202838958</v>
      </c>
      <c r="T106" s="122" t="s">
        <v>393</v>
      </c>
      <c r="U106" s="105" t="str">
        <f>IF(O106=CURSOS!$D$3,"DIPLOMADO EN ATENCION PRE-HOSPITALARIA",IF(O106=CURSOS!$D$4,"ACOMPAÑAMIENTO Y MANEJO DEL DUELO",IF(O106=CURSOS!$D$5,"ATENCION A VICTIMAS DE ATAQUE CON AGENTES QUIMICOS ",IF(O106=CURSOS!$D$6,"PRIMEROS AUXILIOS ",IF(O106=CURSOS!$D$7,"DIPLOMADO DE UNIDAD DE CUIDADOS INTENSIVOS (UCI)",IF(O106=CURSOS!$D$8,"MODELO DE ATENCION PARA EVENTOS EMERGENTES EN SALUD MENTAL (CODIGO VERDE)",IF(O106=CURSOS!$D$9,"HUMANIZACION EN EL SERVICIO DE LA SALUD Y BUENAS PRACTICAS EN PACIENTE ",IF(O106=CURSOS!$D$10,"CLINICA DE HERIDAS ",IF(O106=CURSOS!$D$11,"TOMA DE CITOLOGIA CERVICO VAGINAL ",IF(O106=CURSOS!$D$12,"SOPORTE CARDIOVASCULAR AVANZADO (ACLS) ",IF(O106=CURSOS!$D$13,"CAMILLERO ",IF(O106=CURSOS!$D$14,"TOMA DE MUESTRAS Y LABORATORIO ",IF(O106=CURSOS!$D$15,"SOPORTE VITAL BASICO (BLS)",IF(O106=CURSOS!$D$16,"ATENCION A VICTIMAS DE VIOLENCIA SEXUAL ",IF(O106=CURSOS!$D$17,"PROGRAMADO AMPLIADO DE INMUNIZACION (PAI - COVID 19)",IF(O106=CURSOS!$D$18,"ATENCION INTEGRAL EN ENFERMEDADES PREVALENTES EN PRIMERA INFANCIA (AIEPI)",IF(O106=CURSOS!$D$19,"ADMINISTRACION DE MEDICAMENTOS, INYECTOLOGIA  Y CANALIZACION ",IF(O106=CURSOS!$D$20,"OPERADOR DE VEHICULOS DE EMERGENCIA (OVE)",IF(O106=CURSOS!$D$21,"INSTITUCIONES AMIGAS DE LA MUJER Y LA INFANCIA (IAMI)",IF(O106=CURSOS!$D$22,"CUIDADO DEL DONANTE DE ORGANOS",IF(O106=CURSOS!$D$23,"ATENCION A VICTIMAS POR VIOLENCIA DE GENERO",IF(O106=CURSOS!$D$24,"IGUALDAD DE GENERO EN LA SALUD",IF(O106=CURSOS!$D$25,"BRIGADA DE EMERGENCIA",IF(O106=CURSOS!$D$26,"MANEJO DEL DOLOR Y CUIDADOS PALIATIVOS",IF(O106=CURSOS!$D$27,"TOMA DE MUESTRAS Y LABORATORIO POCT",IF(O106=CURSOS!$D$28,"IMPLANTE SUBDERMICO DE DISPOSITIVO INTRAUTERINO",IF(O106=CURSOS!$D$29,"SALUD MENTAL",IF(O106=CURSOS!$D$30,"PRIMEROS AUXILIOS PSICOLOGICOS",IF(O106=CURSOS!$D$31,"ATENCION A VICTIMAS POR CONFLICTO ARMADO",IF(O106=CURSOS!$D$32,"MANIPULACION DE ALIMENTOS Y BPM",IF(O106=CURSOS!$D$33,"ATENCION A PERSONAS CON DISCAPACIDAD",IF(O106=CURSOS!$D$34,"CUIDADO INTEGRAL DEL PACIENTE ADULTO",IF(O106=CURSOS!$D$35,"MANEJO DEFENSIVO",IF(O106=CURSOS!$D$36,"SOPORTE CARDIOVASCULAR AVANZADO NEONATAL",IF(O106=CURSOS!$D$37,"SEGURIDAD DEL PACIENTE",IF(O106=CURSOS!$D$38,"MANEJO Y USO DEL DEA",IF(O106=CURSOS!$D$39,"TRIAGE")))))))))))))))))))))))))))))))))))))</f>
        <v xml:space="preserve">ATENCION A VICTIMAS DE ATAQUE CON AGENTES QUIMICOS </v>
      </c>
      <c r="V106" s="105" t="str">
        <f t="shared" si="14"/>
        <v>Mónica Alejandra Díaz Romo</v>
      </c>
      <c r="W106" s="105" t="str">
        <f t="shared" si="15"/>
        <v>Mónica Alejandra Díaz Romo</v>
      </c>
      <c r="X106" s="105" t="str">
        <f t="shared" si="16"/>
        <v>Mónica Alejandra Díaz Romo-1088736368-QUIMICOS</v>
      </c>
    </row>
    <row r="107" spans="1:24" s="89" customFormat="1" hidden="1" x14ac:dyDescent="0.2">
      <c r="A107" s="41">
        <v>106</v>
      </c>
      <c r="B107" s="44">
        <v>1004232408</v>
      </c>
      <c r="C107" s="65" t="s">
        <v>394</v>
      </c>
      <c r="D107" s="65" t="s">
        <v>395</v>
      </c>
      <c r="E107" s="65" t="s">
        <v>396</v>
      </c>
      <c r="F107" s="65" t="s">
        <v>173</v>
      </c>
      <c r="G107" s="45">
        <v>16</v>
      </c>
      <c r="H107" s="45" t="s">
        <v>99</v>
      </c>
      <c r="I107" s="45" t="s">
        <v>408</v>
      </c>
      <c r="J107" s="46" t="s">
        <v>406</v>
      </c>
      <c r="K107" s="47"/>
      <c r="L107" s="45" t="s">
        <v>406</v>
      </c>
      <c r="M107" s="45" t="s">
        <v>85</v>
      </c>
      <c r="N107" s="45" t="s">
        <v>195</v>
      </c>
      <c r="O107" s="61" t="s">
        <v>38</v>
      </c>
      <c r="P107" s="49"/>
      <c r="Q107" s="62" t="s">
        <v>110</v>
      </c>
      <c r="R107" s="50" t="s">
        <v>105</v>
      </c>
      <c r="S107" s="44">
        <v>3243880951</v>
      </c>
      <c r="T107" s="44" t="s">
        <v>400</v>
      </c>
      <c r="U107" s="51" t="str">
        <f>IF(O107=CURSOS!$D$3,"DIPLOMADO EN ATENCION PRE-HOSPITALARIA",IF(O107=CURSOS!$D$4,"ACOMPAÑAMIENTO Y MANEJO DEL DUELO",IF(O107=CURSOS!$D$5,"ATENCION A VICTIMAS DE ATAQUE CON AGENTES QUIMICOS ",IF(O107=CURSOS!$D$6,"PRIMEROS AUXILIOS ",IF(O107=CURSOS!$D$7,"DIPLOMADO DE UNIDAD DE CUIDADOS INTENSIVOS (UCI)",IF(O107=CURSOS!$D$8,"MODELO DE ATENCION PARA EVENTOS EMERGENTES EN SALUD MENTAL (CODIGO VERDE)",IF(O107=CURSOS!$D$9,"HUMANIZACION EN EL SERVICIO DE LA SALUD Y BUENAS PRACTICAS EN PACIENTE ",IF(O107=CURSOS!$D$10,"CLINICA DE HERIDAS ",IF(O107=CURSOS!$D$11,"TOMA DE CITOLOGIA CERVICO VAGINAL ",IF(O107=CURSOS!$D$12,"SOPORTE CARDIOVASCULAR AVANZADO (ACLS) ",IF(O107=CURSOS!$D$13,"CAMILLERO ",IF(O107=CURSOS!$D$14,"TOMA DE MUESTRAS Y LABORATORIO ",IF(O107=CURSOS!$D$15,"SOPORTE VITAL BASICO (BLS)",IF(O107=CURSOS!$D$16,"ATENCION A VICTIMAS DE VIOLENCIA SEXUAL ",IF(O107=CURSOS!$D$17,"PROGRAMADO AMPLIADO DE INMUNIZACION (PAI - COVID 19)",IF(O107=CURSOS!$D$18,"ATENCION INTEGRAL EN ENFERMEDADES PREVALENTES EN PRIMERA INFANCIA (AIEPI)",IF(O107=CURSOS!$D$19,"ADMINISTRACION DE MEDICAMENTOS, INYECTOLOGIA  Y CANALIZACION ",IF(O107=CURSOS!$D$20,"OPERADOR DE VEHICULOS DE EMERGENCIA (OVE)",IF(O107=CURSOS!$D$21,"INSTITUCIONES AMIGAS DE LA MUJER Y LA INFANCIA (IAMI)",IF(O107=CURSOS!$D$22,"CUIDADO DEL DONANTE DE ORGANOS",IF(O107=CURSOS!$D$23,"ATENCION A VICTIMAS POR VIOLENCIA DE GENERO",IF(O107=CURSOS!$D$24,"IGUALDAD DE GENERO EN LA SALUD",IF(O107=CURSOS!$D$25,"BRIGADA DE EMERGENCIA",IF(O107=CURSOS!$D$26,"MANEJO DEL DOLOR Y CUIDADOS PALIATIVOS",IF(O107=CURSOS!$D$27,"TOMA DE MUESTRAS Y LABORATORIO POCT",IF(O107=CURSOS!$D$28,"IMPLANTE SUBDERMICO DE DISPOSITIVO INTRAUTERINO",IF(O107=CURSOS!$D$29,"SALUD MENTAL",IF(O107=CURSOS!$D$30,"PRIMEROS AUXILIOS PSICOLOGICOS",IF(O107=CURSOS!$D$31,"ATENCION A VICTIMAS POR CONFLICTO ARMADO",IF(O107=CURSOS!$D$32,"MANIPULACION DE ALIMENTOS Y BPM",IF(O107=CURSOS!$D$33,"ATENCION A PERSONAS CON DISCAPACIDAD",IF(O107=CURSOS!$D$34,"CUIDADO INTEGRAL DEL PACIENTE ADULTO",IF(O107=CURSOS!$D$35,"MANEJO DEFENSIVO",IF(O107=CURSOS!$D$36,"SOPORTE CARDIOVASCULAR AVANZADO NEONATAL",IF(O107=CURSOS!$D$37,"SEGURIDAD DEL PACIENTE",IF(O107=CURSOS!$D$38,"MANEJO Y USO DEL DEA",IF(O107=CURSOS!$D$39,"TRIAGE")))))))))))))))))))))))))))))))))))))</f>
        <v xml:space="preserve">SOPORTE CARDIOVASCULAR AVANZADO (ACLS) </v>
      </c>
      <c r="V107" s="51" t="str">
        <f t="shared" si="14"/>
        <v>Sara Marcela Madroñero Pinzon</v>
      </c>
      <c r="W107" s="51" t="str">
        <f t="shared" si="15"/>
        <v>Sara Marcela Madroñero Pinzon</v>
      </c>
      <c r="X107" s="51" t="str">
        <f t="shared" si="16"/>
        <v>Sara Marcela Madroñero Pinzon-1004232408-ACLS</v>
      </c>
    </row>
    <row r="108" spans="1:24" s="89" customFormat="1" hidden="1" x14ac:dyDescent="0.2">
      <c r="A108" s="41">
        <v>107</v>
      </c>
      <c r="B108" s="44">
        <v>1004232408</v>
      </c>
      <c r="C108" s="65" t="s">
        <v>394</v>
      </c>
      <c r="D108" s="65" t="s">
        <v>395</v>
      </c>
      <c r="E108" s="65" t="s">
        <v>396</v>
      </c>
      <c r="F108" s="65" t="s">
        <v>173</v>
      </c>
      <c r="G108" s="45">
        <v>16</v>
      </c>
      <c r="H108" s="45" t="s">
        <v>99</v>
      </c>
      <c r="I108" s="45" t="s">
        <v>408</v>
      </c>
      <c r="J108" s="46" t="s">
        <v>406</v>
      </c>
      <c r="K108" s="47"/>
      <c r="L108" s="45" t="s">
        <v>406</v>
      </c>
      <c r="M108" s="45" t="s">
        <v>85</v>
      </c>
      <c r="N108" s="45" t="s">
        <v>195</v>
      </c>
      <c r="O108" s="61" t="s">
        <v>19</v>
      </c>
      <c r="P108" s="49"/>
      <c r="Q108" s="62" t="s">
        <v>110</v>
      </c>
      <c r="R108" s="50" t="s">
        <v>105</v>
      </c>
      <c r="S108" s="44">
        <v>3243880951</v>
      </c>
      <c r="T108" s="44" t="s">
        <v>400</v>
      </c>
      <c r="U108" s="51" t="str">
        <f>IF(O108=CURSOS!$D$3,"DIPLOMADO EN ATENCION PRE-HOSPITALARIA",IF(O108=CURSOS!$D$4,"ACOMPAÑAMIENTO Y MANEJO DEL DUELO",IF(O108=CURSOS!$D$5,"ATENCION A VICTIMAS DE ATAQUE CON AGENTES QUIMICOS ",IF(O108=CURSOS!$D$6,"PRIMEROS AUXILIOS ",IF(O108=CURSOS!$D$7,"DIPLOMADO DE UNIDAD DE CUIDADOS INTENSIVOS (UCI)",IF(O108=CURSOS!$D$8,"MODELO DE ATENCION PARA EVENTOS EMERGENTES EN SALUD MENTAL (CODIGO VERDE)",IF(O108=CURSOS!$D$9,"HUMANIZACION EN EL SERVICIO DE LA SALUD Y BUENAS PRACTICAS EN PACIENTE ",IF(O108=CURSOS!$D$10,"CLINICA DE HERIDAS ",IF(O108=CURSOS!$D$11,"TOMA DE CITOLOGIA CERVICO VAGINAL ",IF(O108=CURSOS!$D$12,"SOPORTE CARDIOVASCULAR AVANZADO (ACLS) ",IF(O108=CURSOS!$D$13,"CAMILLERO ",IF(O108=CURSOS!$D$14,"TOMA DE MUESTRAS Y LABORATORIO ",IF(O108=CURSOS!$D$15,"SOPORTE VITAL BASICO (BLS)",IF(O108=CURSOS!$D$16,"ATENCION A VICTIMAS DE VIOLENCIA SEXUAL ",IF(O108=CURSOS!$D$17,"PROGRAMADO AMPLIADO DE INMUNIZACION (PAI - COVID 19)",IF(O108=CURSOS!$D$18,"ATENCION INTEGRAL EN ENFERMEDADES PREVALENTES EN PRIMERA INFANCIA (AIEPI)",IF(O108=CURSOS!$D$19,"ADMINISTRACION DE MEDICAMENTOS, INYECTOLOGIA  Y CANALIZACION ",IF(O108=CURSOS!$D$20,"OPERADOR DE VEHICULOS DE EMERGENCIA (OVE)",IF(O108=CURSOS!$D$21,"INSTITUCIONES AMIGAS DE LA MUJER Y LA INFANCIA (IAMI)",IF(O108=CURSOS!$D$22,"CUIDADO DEL DONANTE DE ORGANOS",IF(O108=CURSOS!$D$23,"ATENCION A VICTIMAS POR VIOLENCIA DE GENERO",IF(O108=CURSOS!$D$24,"IGUALDAD DE GENERO EN LA SALUD",IF(O108=CURSOS!$D$25,"BRIGADA DE EMERGENCIA",IF(O108=CURSOS!$D$26,"MANEJO DEL DOLOR Y CUIDADOS PALIATIVOS",IF(O108=CURSOS!$D$27,"TOMA DE MUESTRAS Y LABORATORIO POCT",IF(O108=CURSOS!$D$28,"IMPLANTE SUBDERMICO DE DISPOSITIVO INTRAUTERINO",IF(O108=CURSOS!$D$29,"SALUD MENTAL",IF(O108=CURSOS!$D$30,"PRIMEROS AUXILIOS PSICOLOGICOS",IF(O108=CURSOS!$D$31,"ATENCION A VICTIMAS POR CONFLICTO ARMADO",IF(O108=CURSOS!$D$32,"MANIPULACION DE ALIMENTOS Y BPM",IF(O108=CURSOS!$D$33,"ATENCION A PERSONAS CON DISCAPACIDAD",IF(O108=CURSOS!$D$34,"CUIDADO INTEGRAL DEL PACIENTE ADULTO",IF(O108=CURSOS!$D$35,"MANEJO DEFENSIVO",IF(O108=CURSOS!$D$36,"SOPORTE CARDIOVASCULAR AVANZADO NEONATAL",IF(O108=CURSOS!$D$37,"SEGURIDAD DEL PACIENTE",IF(O108=CURSOS!$D$38,"MANEJO Y USO DEL DEA",IF(O108=CURSOS!$D$39,"TRIAGE")))))))))))))))))))))))))))))))))))))</f>
        <v>SOPORTE VITAL BASICO (BLS)</v>
      </c>
      <c r="V108" s="51" t="str">
        <f t="shared" si="14"/>
        <v>Sara Marcela Madroñero Pinzon</v>
      </c>
      <c r="W108" s="51" t="str">
        <f t="shared" si="15"/>
        <v>Sara Marcela Madroñero Pinzon</v>
      </c>
      <c r="X108" s="51" t="str">
        <f t="shared" si="16"/>
        <v>Sara Marcela Madroñero Pinzon-1004232408-BLS</v>
      </c>
    </row>
    <row r="109" spans="1:24" s="89" customFormat="1" hidden="1" x14ac:dyDescent="0.2">
      <c r="A109" s="41">
        <v>108</v>
      </c>
      <c r="B109" s="44">
        <v>1004232408</v>
      </c>
      <c r="C109" s="65" t="s">
        <v>394</v>
      </c>
      <c r="D109" s="65" t="s">
        <v>395</v>
      </c>
      <c r="E109" s="65" t="s">
        <v>396</v>
      </c>
      <c r="F109" s="65" t="s">
        <v>173</v>
      </c>
      <c r="G109" s="45">
        <v>14</v>
      </c>
      <c r="H109" s="45" t="s">
        <v>99</v>
      </c>
      <c r="I109" s="45" t="s">
        <v>408</v>
      </c>
      <c r="J109" s="46" t="s">
        <v>406</v>
      </c>
      <c r="K109" s="47"/>
      <c r="L109" s="45" t="s">
        <v>406</v>
      </c>
      <c r="M109" s="45" t="s">
        <v>85</v>
      </c>
      <c r="N109" s="45" t="s">
        <v>195</v>
      </c>
      <c r="O109" s="61" t="s">
        <v>397</v>
      </c>
      <c r="P109" s="49"/>
      <c r="Q109" s="62" t="s">
        <v>110</v>
      </c>
      <c r="R109" s="50" t="s">
        <v>105</v>
      </c>
      <c r="S109" s="44">
        <v>3243880951</v>
      </c>
      <c r="T109" s="44" t="s">
        <v>400</v>
      </c>
      <c r="U109" s="51" t="str">
        <f>IF(O109=CURSOS!$D$3,"DIPLOMADO EN ATENCION PRE-HOSPITALARIA",IF(O109=CURSOS!$D$4,"ACOMPAÑAMIENTO Y MANEJO DEL DUELO",IF(O109=CURSOS!$D$5,"ATENCION A VICTIMAS DE ATAQUE CON AGENTES QUIMICOS ",IF(O109=CURSOS!$D$6,"PRIMEROS AUXILIOS ",IF(O109=CURSOS!$D$7,"DIPLOMADO DE UNIDAD DE CUIDADOS INTENSIVOS (UCI)",IF(O109=CURSOS!$D$8,"MODELO DE ATENCION PARA EVENTOS EMERGENTES EN SALUD MENTAL (CODIGO VERDE)",IF(O109=CURSOS!$D$9,"HUMANIZACION EN EL SERVICIO DE LA SALUD Y BUENAS PRACTICAS EN PACIENTE ",IF(O109=CURSOS!$D$10,"CLINICA DE HERIDAS ",IF(O109=CURSOS!$D$11,"TOMA DE CITOLOGIA CERVICO VAGINAL ",IF(O109=CURSOS!$D$12,"SOPORTE CARDIOVASCULAR AVANZADO (ACLS) ",IF(O109=CURSOS!$D$13,"CAMILLERO ",IF(O109=CURSOS!$D$14,"TOMA DE MUESTRAS Y LABORATORIO ",IF(O109=CURSOS!$D$15,"SOPORTE VITAL BASICO (BLS)",IF(O109=CURSOS!$D$16,"ATENCION A VICTIMAS DE VIOLENCIA SEXUAL ",IF(O109=CURSOS!$D$17,"PROGRAMADO AMPLIADO DE INMUNIZACION (PAI - COVID 19)",IF(O109=CURSOS!$D$18,"ATENCION INTEGRAL EN ENFERMEDADES PREVALENTES EN PRIMERA INFANCIA (AIEPI)",IF(O109=CURSOS!$D$19,"ADMINISTRACION DE MEDICAMENTOS, INYECTOLOGIA  Y CANALIZACION ",IF(O109=CURSOS!$D$20,"OPERADOR DE VEHICULOS DE EMERGENCIA (OVE)",IF(O109=CURSOS!$D$21,"INSTITUCIONES AMIGAS DE LA MUJER Y LA INFANCIA (IAMI)",IF(O109=CURSOS!$D$22,"CUIDADO DEL DONANTE DE ORGANOS",IF(O109=CURSOS!$D$23,"ATENCION A VICTIMAS POR VIOLENCIA DE GENERO",IF(O109=CURSOS!$D$24,"IGUALDAD DE GENERO EN LA SALUD",IF(O109=CURSOS!$D$25,"BRIGADA DE EMERGENCIA",IF(O109=CURSOS!$D$26,"MANEJO DEL DOLOR Y CUIDADOS PALIATIVOS",IF(O109=CURSOS!$D$27,"TOMA DE MUESTRAS Y LABORATORIO POCT",IF(O109=CURSOS!$D$28,"IMPLANTE SUBDERMICO DE DISPOSITIVO INTRAUTERINO",IF(O109=CURSOS!$D$29,"SALUD MENTAL",IF(O109=CURSOS!$D$30,"PRIMEROS AUXILIOS PSICOLOGICOS",IF(O109=CURSOS!$D$31,"ATENCION A VICTIMAS POR CONFLICTO ARMADO",IF(O109=CURSOS!$D$32,"MANIPULACION DE ALIMENTOS Y BPM",IF(O109=CURSOS!$D$33,"ATENCION A PERSONAS CON DISCAPACIDAD",IF(O109=CURSOS!$D$34,"CUIDADO INTEGRAL DEL PACIENTE ADULTO",IF(O109=CURSOS!$D$35,"MANEJO DEFENSIVO",IF(O109=CURSOS!$D$36,"SOPORTE CARDIOVASCULAR AVANZADO NEONATAL",IF(O109=CURSOS!$D$37,"SEGURIDAD DEL PACIENTE",IF(O109=CURSOS!$D$38,"MANEJO Y USO DEL DEA",IF(O109=CURSOS!$D$39,"TRIAGE")))))))))))))))))))))))))))))))))))))</f>
        <v>TRIAGE</v>
      </c>
      <c r="V109" s="51" t="str">
        <f t="shared" si="14"/>
        <v>Sara Marcela Madroñero Pinzon</v>
      </c>
      <c r="W109" s="51" t="str">
        <f t="shared" si="15"/>
        <v>Sara Marcela Madroñero Pinzon</v>
      </c>
      <c r="X109" s="51" t="str">
        <f t="shared" si="16"/>
        <v>Sara Marcela Madroñero Pinzon-1004232408-TRIAGE</v>
      </c>
    </row>
    <row r="110" spans="1:24" s="89" customFormat="1" hidden="1" x14ac:dyDescent="0.2">
      <c r="A110" s="41">
        <v>109</v>
      </c>
      <c r="B110" s="44">
        <v>1004232408</v>
      </c>
      <c r="C110" s="65" t="s">
        <v>394</v>
      </c>
      <c r="D110" s="65" t="s">
        <v>395</v>
      </c>
      <c r="E110" s="65" t="s">
        <v>396</v>
      </c>
      <c r="F110" s="65" t="s">
        <v>173</v>
      </c>
      <c r="G110" s="45">
        <v>14</v>
      </c>
      <c r="H110" s="45" t="s">
        <v>99</v>
      </c>
      <c r="I110" s="45" t="s">
        <v>408</v>
      </c>
      <c r="J110" s="46" t="s">
        <v>406</v>
      </c>
      <c r="K110" s="47"/>
      <c r="L110" s="45" t="s">
        <v>406</v>
      </c>
      <c r="M110" s="45" t="s">
        <v>85</v>
      </c>
      <c r="N110" s="45" t="s">
        <v>195</v>
      </c>
      <c r="O110" s="61" t="s">
        <v>23</v>
      </c>
      <c r="P110" s="49"/>
      <c r="Q110" s="62" t="s">
        <v>110</v>
      </c>
      <c r="R110" s="50" t="s">
        <v>105</v>
      </c>
      <c r="S110" s="44">
        <v>3243880951</v>
      </c>
      <c r="T110" s="44" t="s">
        <v>400</v>
      </c>
      <c r="U110" s="51" t="str">
        <f>IF(O110=CURSOS!$D$3,"DIPLOMADO EN ATENCION PRE-HOSPITALARIA",IF(O110=CURSOS!$D$4,"ACOMPAÑAMIENTO Y MANEJO DEL DUELO",IF(O110=CURSOS!$D$5,"ATENCION A VICTIMAS DE ATAQUE CON AGENTES QUIMICOS ",IF(O110=CURSOS!$D$6,"PRIMEROS AUXILIOS ",IF(O110=CURSOS!$D$7,"DIPLOMADO DE UNIDAD DE CUIDADOS INTENSIVOS (UCI)",IF(O110=CURSOS!$D$8,"MODELO DE ATENCION PARA EVENTOS EMERGENTES EN SALUD MENTAL (CODIGO VERDE)",IF(O110=CURSOS!$D$9,"HUMANIZACION EN EL SERVICIO DE LA SALUD Y BUENAS PRACTICAS EN PACIENTE ",IF(O110=CURSOS!$D$10,"CLINICA DE HERIDAS ",IF(O110=CURSOS!$D$11,"TOMA DE CITOLOGIA CERVICO VAGINAL ",IF(O110=CURSOS!$D$12,"SOPORTE CARDIOVASCULAR AVANZADO (ACLS) ",IF(O110=CURSOS!$D$13,"CAMILLERO ",IF(O110=CURSOS!$D$14,"TOMA DE MUESTRAS Y LABORATORIO ",IF(O110=CURSOS!$D$15,"SOPORTE VITAL BASICO (BLS)",IF(O110=CURSOS!$D$16,"ATENCION A VICTIMAS DE VIOLENCIA SEXUAL ",IF(O110=CURSOS!$D$17,"PROGRAMADO AMPLIADO DE INMUNIZACION (PAI - COVID 19)",IF(O110=CURSOS!$D$18,"ATENCION INTEGRAL EN ENFERMEDADES PREVALENTES EN PRIMERA INFANCIA (AIEPI)",IF(O110=CURSOS!$D$19,"ADMINISTRACION DE MEDICAMENTOS, INYECTOLOGIA  Y CANALIZACION ",IF(O110=CURSOS!$D$20,"OPERADOR DE VEHICULOS DE EMERGENCIA (OVE)",IF(O110=CURSOS!$D$21,"INSTITUCIONES AMIGAS DE LA MUJER Y LA INFANCIA (IAMI)",IF(O110=CURSOS!$D$22,"CUIDADO DEL DONANTE DE ORGANOS",IF(O110=CURSOS!$D$23,"ATENCION A VICTIMAS POR VIOLENCIA DE GENERO",IF(O110=CURSOS!$D$24,"IGUALDAD DE GENERO EN LA SALUD",IF(O110=CURSOS!$D$25,"BRIGADA DE EMERGENCIA",IF(O110=CURSOS!$D$26,"MANEJO DEL DOLOR Y CUIDADOS PALIATIVOS",IF(O110=CURSOS!$D$27,"TOMA DE MUESTRAS Y LABORATORIO POCT",IF(O110=CURSOS!$D$28,"IMPLANTE SUBDERMICO DE DISPOSITIVO INTRAUTERINO",IF(O110=CURSOS!$D$29,"SALUD MENTAL",IF(O110=CURSOS!$D$30,"PRIMEROS AUXILIOS PSICOLOGICOS",IF(O110=CURSOS!$D$31,"ATENCION A VICTIMAS POR CONFLICTO ARMADO",IF(O110=CURSOS!$D$32,"MANIPULACION DE ALIMENTOS Y BPM",IF(O110=CURSOS!$D$33,"ATENCION A PERSONAS CON DISCAPACIDAD",IF(O110=CURSOS!$D$34,"CUIDADO INTEGRAL DEL PACIENTE ADULTO",IF(O110=CURSOS!$D$35,"MANEJO DEFENSIVO",IF(O110=CURSOS!$D$36,"SOPORTE CARDIOVASCULAR AVANZADO NEONATAL",IF(O110=CURSOS!$D$37,"SEGURIDAD DEL PACIENTE",IF(O110=CURSOS!$D$38,"MANEJO Y USO DEL DEA",IF(O110=CURSOS!$D$39,"TRIAGE")))))))))))))))))))))))))))))))))))))</f>
        <v>ACOMPAÑAMIENTO Y MANEJO DEL DUELO</v>
      </c>
      <c r="V110" s="51" t="str">
        <f t="shared" si="14"/>
        <v>Sara Marcela Madroñero Pinzon</v>
      </c>
      <c r="W110" s="51" t="str">
        <f t="shared" si="15"/>
        <v>Sara Marcela Madroñero Pinzon</v>
      </c>
      <c r="X110" s="51" t="str">
        <f t="shared" si="16"/>
        <v>Sara Marcela Madroñero Pinzon-1004232408-DUELO</v>
      </c>
    </row>
    <row r="111" spans="1:24" s="89" customFormat="1" hidden="1" x14ac:dyDescent="0.2">
      <c r="A111" s="41">
        <v>110</v>
      </c>
      <c r="B111" s="44">
        <v>1004232408</v>
      </c>
      <c r="C111" s="65" t="s">
        <v>394</v>
      </c>
      <c r="D111" s="65" t="s">
        <v>395</v>
      </c>
      <c r="E111" s="65" t="s">
        <v>396</v>
      </c>
      <c r="F111" s="65" t="s">
        <v>173</v>
      </c>
      <c r="G111" s="45">
        <v>17</v>
      </c>
      <c r="H111" s="45" t="s">
        <v>99</v>
      </c>
      <c r="I111" s="45" t="s">
        <v>408</v>
      </c>
      <c r="J111" s="46" t="s">
        <v>406</v>
      </c>
      <c r="K111" s="47"/>
      <c r="L111" s="45" t="s">
        <v>406</v>
      </c>
      <c r="M111" s="45" t="s">
        <v>85</v>
      </c>
      <c r="N111" s="45" t="s">
        <v>195</v>
      </c>
      <c r="O111" s="61" t="s">
        <v>25</v>
      </c>
      <c r="P111" s="49"/>
      <c r="Q111" s="62" t="s">
        <v>110</v>
      </c>
      <c r="R111" s="50" t="s">
        <v>105</v>
      </c>
      <c r="S111" s="44">
        <v>3243880951</v>
      </c>
      <c r="T111" s="44" t="s">
        <v>400</v>
      </c>
      <c r="U111" s="51" t="str">
        <f>IF(O111=CURSOS!$D$3,"DIPLOMADO EN ATENCION PRE-HOSPITALARIA",IF(O111=CURSOS!$D$4,"ACOMPAÑAMIENTO Y MANEJO DEL DUELO",IF(O111=CURSOS!$D$5,"ATENCION A VICTIMAS DE ATAQUE CON AGENTES QUIMICOS ",IF(O111=CURSOS!$D$6,"PRIMEROS AUXILIOS ",IF(O111=CURSOS!$D$7,"DIPLOMADO DE UNIDAD DE CUIDADOS INTENSIVOS (UCI)",IF(O111=CURSOS!$D$8,"MODELO DE ATENCION PARA EVENTOS EMERGENTES EN SALUD MENTAL (CODIGO VERDE)",IF(O111=CURSOS!$D$9,"HUMANIZACION EN EL SERVICIO DE LA SALUD Y BUENAS PRACTICAS EN PACIENTE ",IF(O111=CURSOS!$D$10,"CLINICA DE HERIDAS ",IF(O111=CURSOS!$D$11,"TOMA DE CITOLOGIA CERVICO VAGINAL ",IF(O111=CURSOS!$D$12,"SOPORTE CARDIOVASCULAR AVANZADO (ACLS) ",IF(O111=CURSOS!$D$13,"CAMILLERO ",IF(O111=CURSOS!$D$14,"TOMA DE MUESTRAS Y LABORATORIO ",IF(O111=CURSOS!$D$15,"SOPORTE VITAL BASICO (BLS)",IF(O111=CURSOS!$D$16,"ATENCION A VICTIMAS DE VIOLENCIA SEXUAL ",IF(O111=CURSOS!$D$17,"PROGRAMADO AMPLIADO DE INMUNIZACION (PAI - COVID 19)",IF(O111=CURSOS!$D$18,"ATENCION INTEGRAL EN ENFERMEDADES PREVALENTES EN PRIMERA INFANCIA (AIEPI)",IF(O111=CURSOS!$D$19,"ADMINISTRACION DE MEDICAMENTOS, INYECTOLOGIA  Y CANALIZACION ",IF(O111=CURSOS!$D$20,"OPERADOR DE VEHICULOS DE EMERGENCIA (OVE)",IF(O111=CURSOS!$D$21,"INSTITUCIONES AMIGAS DE LA MUJER Y LA INFANCIA (IAMI)",IF(O111=CURSOS!$D$22,"CUIDADO DEL DONANTE DE ORGANOS",IF(O111=CURSOS!$D$23,"ATENCION A VICTIMAS POR VIOLENCIA DE GENERO",IF(O111=CURSOS!$D$24,"IGUALDAD DE GENERO EN LA SALUD",IF(O111=CURSOS!$D$25,"BRIGADA DE EMERGENCIA",IF(O111=CURSOS!$D$26,"MANEJO DEL DOLOR Y CUIDADOS PALIATIVOS",IF(O111=CURSOS!$D$27,"TOMA DE MUESTRAS Y LABORATORIO POCT",IF(O111=CURSOS!$D$28,"IMPLANTE SUBDERMICO DE DISPOSITIVO INTRAUTERINO",IF(O111=CURSOS!$D$29,"SALUD MENTAL",IF(O111=CURSOS!$D$30,"PRIMEROS AUXILIOS PSICOLOGICOS",IF(O111=CURSOS!$D$31,"ATENCION A VICTIMAS POR CONFLICTO ARMADO",IF(O111=CURSOS!$D$32,"MANIPULACION DE ALIMENTOS Y BPM",IF(O111=CURSOS!$D$33,"ATENCION A PERSONAS CON DISCAPACIDAD",IF(O111=CURSOS!$D$34,"CUIDADO INTEGRAL DEL PACIENTE ADULTO",IF(O111=CURSOS!$D$35,"MANEJO DEFENSIVO",IF(O111=CURSOS!$D$36,"SOPORTE CARDIOVASCULAR AVANZADO NEONATAL",IF(O111=CURSOS!$D$37,"SEGURIDAD DEL PACIENTE",IF(O111=CURSOS!$D$38,"MANEJO Y USO DEL DEA",IF(O111=CURSOS!$D$39,"TRIAGE")))))))))))))))))))))))))))))))))))))</f>
        <v xml:space="preserve">ATENCION A VICTIMAS DE ATAQUE CON AGENTES QUIMICOS </v>
      </c>
      <c r="V111" s="51" t="str">
        <f t="shared" si="14"/>
        <v>Sara Marcela Madroñero Pinzon</v>
      </c>
      <c r="W111" s="51" t="str">
        <f t="shared" si="15"/>
        <v>Sara Marcela Madroñero Pinzon</v>
      </c>
      <c r="X111" s="51" t="str">
        <f t="shared" si="16"/>
        <v>Sara Marcela Madroñero Pinzon-1004232408-QUIMICOS</v>
      </c>
    </row>
    <row r="112" spans="1:24" s="89" customFormat="1" hidden="1" x14ac:dyDescent="0.2">
      <c r="A112" s="41">
        <v>111</v>
      </c>
      <c r="B112" s="44">
        <v>1004232408</v>
      </c>
      <c r="C112" s="65" t="s">
        <v>394</v>
      </c>
      <c r="D112" s="65" t="s">
        <v>395</v>
      </c>
      <c r="E112" s="65" t="s">
        <v>396</v>
      </c>
      <c r="F112" s="65" t="s">
        <v>173</v>
      </c>
      <c r="G112" s="69">
        <v>17</v>
      </c>
      <c r="H112" s="45" t="s">
        <v>99</v>
      </c>
      <c r="I112" s="45" t="s">
        <v>408</v>
      </c>
      <c r="J112" s="46" t="s">
        <v>406</v>
      </c>
      <c r="K112" s="70"/>
      <c r="L112" s="69" t="s">
        <v>406</v>
      </c>
      <c r="M112" s="45" t="s">
        <v>85</v>
      </c>
      <c r="N112" s="45" t="s">
        <v>195</v>
      </c>
      <c r="O112" s="61" t="s">
        <v>33</v>
      </c>
      <c r="P112" s="71"/>
      <c r="Q112" s="72" t="s">
        <v>110</v>
      </c>
      <c r="R112" s="75" t="s">
        <v>105</v>
      </c>
      <c r="S112" s="74">
        <v>3243880951</v>
      </c>
      <c r="T112" s="74" t="s">
        <v>400</v>
      </c>
      <c r="U112" s="51" t="str">
        <f>IF(O112=CURSOS!$D$3,"DIPLOMADO EN ATENCION PRE-HOSPITALARIA",IF(O112=CURSOS!$D$4,"ACOMPAÑAMIENTO Y MANEJO DEL DUELO",IF(O112=CURSOS!$D$5,"ATENCION A VICTIMAS DE ATAQUE CON AGENTES QUIMICOS ",IF(O112=CURSOS!$D$6,"PRIMEROS AUXILIOS ",IF(O112=CURSOS!$D$7,"DIPLOMADO DE UNIDAD DE CUIDADOS INTENSIVOS (UCI)",IF(O112=CURSOS!$D$8,"MODELO DE ATENCION PARA EVENTOS EMERGENTES EN SALUD MENTAL (CODIGO VERDE)",IF(O112=CURSOS!$D$9,"HUMANIZACION EN EL SERVICIO DE LA SALUD Y BUENAS PRACTICAS EN PACIENTE ",IF(O112=CURSOS!$D$10,"CLINICA DE HERIDAS ",IF(O112=CURSOS!$D$11,"TOMA DE CITOLOGIA CERVICO VAGINAL ",IF(O112=CURSOS!$D$12,"SOPORTE CARDIOVASCULAR AVANZADO (ACLS) ",IF(O112=CURSOS!$D$13,"CAMILLERO ",IF(O112=CURSOS!$D$14,"TOMA DE MUESTRAS Y LABORATORIO ",IF(O112=CURSOS!$D$15,"SOPORTE VITAL BASICO (BLS)",IF(O112=CURSOS!$D$16,"ATENCION A VICTIMAS DE VIOLENCIA SEXUAL ",IF(O112=CURSOS!$D$17,"PROGRAMADO AMPLIADO DE INMUNIZACION (PAI - COVID 19)",IF(O112=CURSOS!$D$18,"ATENCION INTEGRAL EN ENFERMEDADES PREVALENTES EN PRIMERA INFANCIA (AIEPI)",IF(O112=CURSOS!$D$19,"ADMINISTRACION DE MEDICAMENTOS, INYECTOLOGIA  Y CANALIZACION ",IF(O112=CURSOS!$D$20,"OPERADOR DE VEHICULOS DE EMERGENCIA (OVE)",IF(O112=CURSOS!$D$21,"INSTITUCIONES AMIGAS DE LA MUJER Y LA INFANCIA (IAMI)",IF(O112=CURSOS!$D$22,"CUIDADO DEL DONANTE DE ORGANOS",IF(O112=CURSOS!$D$23,"ATENCION A VICTIMAS POR VIOLENCIA DE GENERO",IF(O112=CURSOS!$D$24,"IGUALDAD DE GENERO EN LA SALUD",IF(O112=CURSOS!$D$25,"BRIGADA DE EMERGENCIA",IF(O112=CURSOS!$D$26,"MANEJO DEL DOLOR Y CUIDADOS PALIATIVOS",IF(O112=CURSOS!$D$27,"TOMA DE MUESTRAS Y LABORATORIO POCT",IF(O112=CURSOS!$D$28,"IMPLANTE SUBDERMICO DE DISPOSITIVO INTRAUTERINO",IF(O112=CURSOS!$D$29,"SALUD MENTAL",IF(O112=CURSOS!$D$30,"PRIMEROS AUXILIOS PSICOLOGICOS",IF(O112=CURSOS!$D$31,"ATENCION A VICTIMAS POR CONFLICTO ARMADO",IF(O112=CURSOS!$D$32,"MANIPULACION DE ALIMENTOS Y BPM",IF(O112=CURSOS!$D$33,"ATENCION A PERSONAS CON DISCAPACIDAD",IF(O112=CURSOS!$D$34,"CUIDADO INTEGRAL DEL PACIENTE ADULTO",IF(O112=CURSOS!$D$35,"MANEJO DEFENSIVO",IF(O112=CURSOS!$D$36,"SOPORTE CARDIOVASCULAR AVANZADO NEONATAL",IF(O112=CURSOS!$D$37,"SEGURIDAD DEL PACIENTE",IF(O112=CURSOS!$D$38,"MANEJO Y USO DEL DEA",IF(O112=CURSOS!$D$39,"TRIAGE")))))))))))))))))))))))))))))))))))))</f>
        <v xml:space="preserve">HUMANIZACION EN EL SERVICIO DE LA SALUD Y BUENAS PRACTICAS EN PACIENTE </v>
      </c>
      <c r="V112" s="51" t="str">
        <f t="shared" si="14"/>
        <v>Sara Marcela Madroñero Pinzon</v>
      </c>
      <c r="W112" s="51" t="str">
        <f t="shared" si="15"/>
        <v>Sara Marcela Madroñero Pinzon</v>
      </c>
      <c r="X112" s="51" t="str">
        <f t="shared" si="16"/>
        <v>Sara Marcela Madroñero Pinzon-1004232408-HUMANIZACION</v>
      </c>
    </row>
    <row r="113" spans="1:24" s="135" customFormat="1" hidden="1" x14ac:dyDescent="0.2">
      <c r="A113" s="103">
        <v>112</v>
      </c>
      <c r="B113" s="144">
        <v>1004559169</v>
      </c>
      <c r="C113" s="128" t="s">
        <v>401</v>
      </c>
      <c r="D113" s="128" t="s">
        <v>139</v>
      </c>
      <c r="E113" s="128" t="s">
        <v>402</v>
      </c>
      <c r="F113" s="128" t="s">
        <v>403</v>
      </c>
      <c r="G113" s="129">
        <v>17</v>
      </c>
      <c r="H113" s="106" t="s">
        <v>99</v>
      </c>
      <c r="I113" s="106" t="s">
        <v>408</v>
      </c>
      <c r="J113" s="107">
        <v>45547</v>
      </c>
      <c r="K113" s="131">
        <v>40000</v>
      </c>
      <c r="L113" s="129" t="s">
        <v>405</v>
      </c>
      <c r="M113" s="106" t="s">
        <v>85</v>
      </c>
      <c r="N113" s="106" t="s">
        <v>98</v>
      </c>
      <c r="O113" s="120" t="s">
        <v>41</v>
      </c>
      <c r="P113" s="145">
        <v>36520</v>
      </c>
      <c r="Q113" s="133" t="s">
        <v>110</v>
      </c>
      <c r="R113" s="127" t="s">
        <v>123</v>
      </c>
      <c r="S113" s="128">
        <v>3172322167</v>
      </c>
      <c r="T113" s="134" t="s">
        <v>404</v>
      </c>
      <c r="U113" s="105" t="str">
        <f>IF(O113=CURSOS!$D$3,"DIPLOMADO EN ATENCION PRE-HOSPITALARIA",IF(O113=CURSOS!$D$4,"ACOMPAÑAMIENTO Y MANEJO DEL DUELO",IF(O113=CURSOS!$D$5,"ATENCION A VICTIMAS DE ATAQUE CON AGENTES QUIMICOS ",IF(O113=CURSOS!$D$6,"PRIMEROS AUXILIOS ",IF(O113=CURSOS!$D$7,"DIPLOMADO DE UNIDAD DE CUIDADOS INTENSIVOS (UCI)",IF(O113=CURSOS!$D$8,"MODELO DE ATENCION PARA EVENTOS EMERGENTES EN SALUD MENTAL (CODIGO VERDE)",IF(O113=CURSOS!$D$9,"HUMANIZACION EN EL SERVICIO DE LA SALUD Y BUENAS PRACTICAS EN PACIENTE ",IF(O113=CURSOS!$D$10,"CLINICA DE HERIDAS ",IF(O113=CURSOS!$D$11,"TOMA DE CITOLOGIA CERVICO VAGINAL ",IF(O113=CURSOS!$D$12,"SOPORTE CARDIOVASCULAR AVANZADO (ACLS) ",IF(O113=CURSOS!$D$13,"CAMILLERO ",IF(O113=CURSOS!$D$14,"TOMA DE MUESTRAS Y LABORATORIO ",IF(O113=CURSOS!$D$15,"SOPORTE VITAL BASICO (BLS)",IF(O113=CURSOS!$D$16,"ATENCION A VICTIMAS DE VIOLENCIA SEXUAL ",IF(O113=CURSOS!$D$17,"PROGRAMADO AMPLIADO DE INMUNIZACION (PAI - COVID 19)",IF(O113=CURSOS!$D$18,"ATENCION INTEGRAL EN ENFERMEDADES PREVALENTES EN PRIMERA INFANCIA (AIEPI)",IF(O113=CURSOS!$D$19,"ADMINISTRACION DE MEDICAMENTOS, INYECTOLOGIA  Y CANALIZACION ",IF(O113=CURSOS!$D$20,"OPERADOR DE VEHICULOS DE EMERGENCIA (OVE)",IF(O113=CURSOS!$D$21,"INSTITUCIONES AMIGAS DE LA MUJER Y LA INFANCIA (IAMI)",IF(O113=CURSOS!$D$22,"CUIDADO DEL DONANTE DE ORGANOS",IF(O113=CURSOS!$D$23,"ATENCION A VICTIMAS POR VIOLENCIA DE GENERO",IF(O113=CURSOS!$D$24,"IGUALDAD DE GENERO EN LA SALUD",IF(O113=CURSOS!$D$25,"BRIGADA DE EMERGENCIA",IF(O113=CURSOS!$D$26,"MANEJO DEL DOLOR Y CUIDADOS PALIATIVOS",IF(O113=CURSOS!$D$27,"TOMA DE MUESTRAS Y LABORATORIO POCT",IF(O113=CURSOS!$D$28,"IMPLANTE SUBDERMICO DE DISPOSITIVO INTRAUTERINO",IF(O113=CURSOS!$D$29,"SALUD MENTAL",IF(O113=CURSOS!$D$30,"PRIMEROS AUXILIOS PSICOLOGICOS",IF(O113=CURSOS!$D$31,"ATENCION A VICTIMAS POR CONFLICTO ARMADO",IF(O113=CURSOS!$D$32,"MANIPULACION DE ALIMENTOS Y BPM",IF(O113=CURSOS!$D$33,"ATENCION A PERSONAS CON DISCAPACIDAD",IF(O113=CURSOS!$D$34,"CUIDADO INTEGRAL DEL PACIENTE ADULTO",IF(O113=CURSOS!$D$35,"MANEJO DEFENSIVO",IF(O113=CURSOS!$D$36,"SOPORTE CARDIOVASCULAR AVANZADO NEONATAL",IF(O113=CURSOS!$D$37,"SEGURIDAD DEL PACIENTE",IF(O113=CURSOS!$D$38,"MANEJO Y USO DEL DEA",IF(O113=CURSOS!$D$39,"TRIAGE")))))))))))))))))))))))))))))))))))))</f>
        <v xml:space="preserve">TOMA DE MUESTRAS Y LABORATORIO </v>
      </c>
      <c r="V113" s="105" t="str">
        <f t="shared" si="14"/>
        <v>Aide Mayerli Cardenas Villacorte</v>
      </c>
      <c r="W113" s="105" t="str">
        <f t="shared" si="15"/>
        <v>Aide Mayerli Cardenas Villacorte</v>
      </c>
      <c r="X113" s="105" t="str">
        <f t="shared" si="16"/>
        <v>Aide Mayerli Cardenas Villacorte-1004559169-TOMA DE MUESTRAS</v>
      </c>
    </row>
    <row r="114" spans="1:24" s="135" customFormat="1" hidden="1" x14ac:dyDescent="0.2">
      <c r="A114" s="103">
        <v>113</v>
      </c>
      <c r="B114" s="128">
        <v>1004543148</v>
      </c>
      <c r="C114" s="128" t="s">
        <v>107</v>
      </c>
      <c r="D114" s="128" t="s">
        <v>90</v>
      </c>
      <c r="E114" s="128" t="s">
        <v>108</v>
      </c>
      <c r="F114" s="128" t="s">
        <v>86</v>
      </c>
      <c r="G114" s="129">
        <v>17</v>
      </c>
      <c r="H114" s="106" t="s">
        <v>99</v>
      </c>
      <c r="I114" s="106" t="s">
        <v>408</v>
      </c>
      <c r="J114" s="130">
        <v>45552</v>
      </c>
      <c r="K114" s="131">
        <v>32000</v>
      </c>
      <c r="L114" s="129" t="s">
        <v>138</v>
      </c>
      <c r="M114" s="106" t="s">
        <v>85</v>
      </c>
      <c r="N114" s="106" t="s">
        <v>109</v>
      </c>
      <c r="O114" s="120" t="s">
        <v>27</v>
      </c>
      <c r="P114" s="132">
        <v>36695</v>
      </c>
      <c r="Q114" s="133" t="s">
        <v>110</v>
      </c>
      <c r="R114" s="146" t="s">
        <v>105</v>
      </c>
      <c r="S114" s="128">
        <v>3104215519</v>
      </c>
      <c r="T114" s="134" t="s">
        <v>414</v>
      </c>
      <c r="U114" s="105" t="str">
        <f>IF(O114=CURSOS!$D$3,"DIPLOMADO EN ATENCION PRE-HOSPITALARIA",IF(O114=CURSOS!$D$4,"ACOMPAÑAMIENTO Y MANEJO DEL DUELO",IF(O114=CURSOS!$D$5,"ATENCION A VICTIMAS DE ATAQUE CON AGENTES QUIMICOS ",IF(O114=CURSOS!$D$6,"PRIMEROS AUXILIOS ",IF(O114=CURSOS!$D$7,"DIPLOMADO DE UNIDAD DE CUIDADOS INTENSIVOS (UCI)",IF(O114=CURSOS!$D$8,"MODELO DE ATENCION PARA EVENTOS EMERGENTES EN SALUD MENTAL (CODIGO VERDE)",IF(O114=CURSOS!$D$9,"HUMANIZACION EN EL SERVICIO DE LA SALUD Y BUENAS PRACTICAS EN PACIENTE ",IF(O114=CURSOS!$D$10,"CLINICA DE HERIDAS ",IF(O114=CURSOS!$D$11,"TOMA DE CITOLOGIA CERVICO VAGINAL ",IF(O114=CURSOS!$D$12,"SOPORTE CARDIOVASCULAR AVANZADO (ACLS) ",IF(O114=CURSOS!$D$13,"CAMILLERO ",IF(O114=CURSOS!$D$14,"TOMA DE MUESTRAS Y LABORATORIO ",IF(O114=CURSOS!$D$15,"SOPORTE VITAL BASICO (BLS)",IF(O114=CURSOS!$D$16,"ATENCION A VICTIMAS DE VIOLENCIA SEXUAL ",IF(O114=CURSOS!$D$17,"PROGRAMADO AMPLIADO DE INMUNIZACION (PAI - COVID 19)",IF(O114=CURSOS!$D$18,"ATENCION INTEGRAL EN ENFERMEDADES PREVALENTES EN PRIMERA INFANCIA (AIEPI)",IF(O114=CURSOS!$D$19,"ADMINISTRACION DE MEDICAMENTOS, INYECTOLOGIA  Y CANALIZACION ",IF(O114=CURSOS!$D$20,"OPERADOR DE VEHICULOS DE EMERGENCIA (OVE)",IF(O114=CURSOS!$D$21,"INSTITUCIONES AMIGAS DE LA MUJER Y LA INFANCIA (IAMI)",IF(O114=CURSOS!$D$22,"CUIDADO DEL DONANTE DE ORGANOS",IF(O114=CURSOS!$D$23,"ATENCION A VICTIMAS POR VIOLENCIA DE GENERO",IF(O114=CURSOS!$D$24,"IGUALDAD DE GENERO EN LA SALUD",IF(O114=CURSOS!$D$25,"BRIGADA DE EMERGENCIA",IF(O114=CURSOS!$D$26,"MANEJO DEL DOLOR Y CUIDADOS PALIATIVOS",IF(O114=CURSOS!$D$27,"TOMA DE MUESTRAS Y LABORATORIO POCT",IF(O114=CURSOS!$D$28,"IMPLANTE SUBDERMICO DE DISPOSITIVO INTRAUTERINO",IF(O114=CURSOS!$D$29,"SALUD MENTAL",IF(O114=CURSOS!$D$30,"PRIMEROS AUXILIOS PSICOLOGICOS",IF(O114=CURSOS!$D$31,"ATENCION A VICTIMAS POR CONFLICTO ARMADO",IF(O114=CURSOS!$D$32,"MANIPULACION DE ALIMENTOS Y BPM",IF(O114=CURSOS!$D$33,"ATENCION A PERSONAS CON DISCAPACIDAD",IF(O114=CURSOS!$D$34,"CUIDADO INTEGRAL DEL PACIENTE ADULTO",IF(O114=CURSOS!$D$35,"MANEJO DEFENSIVO",IF(O114=CURSOS!$D$36,"SOPORTE CARDIOVASCULAR AVANZADO NEONATAL",IF(O114=CURSOS!$D$37,"SEGURIDAD DEL PACIENTE",IF(O114=CURSOS!$D$38,"MANEJO Y USO DEL DEA",IF(O114=CURSOS!$D$39,"TRIAGE")))))))))))))))))))))))))))))))))))))</f>
        <v xml:space="preserve">PRIMEROS AUXILIOS </v>
      </c>
      <c r="V114" s="105" t="str">
        <f t="shared" si="14"/>
        <v>María Alejandra Guancha Delgado</v>
      </c>
      <c r="W114" s="105" t="str">
        <f t="shared" si="15"/>
        <v>María Alejandra Guancha Delgado</v>
      </c>
      <c r="X114" s="105" t="str">
        <f t="shared" si="16"/>
        <v>María Alejandra Guancha Delgado-1004543148-PRIMEROS AUXILIOS</v>
      </c>
    </row>
    <row r="115" spans="1:24" s="135" customFormat="1" hidden="1" x14ac:dyDescent="0.2">
      <c r="A115" s="103">
        <v>114</v>
      </c>
      <c r="B115" s="127">
        <v>1094246020</v>
      </c>
      <c r="C115" s="128" t="s">
        <v>415</v>
      </c>
      <c r="D115" s="128" t="s">
        <v>416</v>
      </c>
      <c r="E115" s="128" t="s">
        <v>417</v>
      </c>
      <c r="F115" s="128" t="s">
        <v>418</v>
      </c>
      <c r="G115" s="129">
        <v>18</v>
      </c>
      <c r="H115" s="106" t="s">
        <v>99</v>
      </c>
      <c r="I115" s="106" t="s">
        <v>408</v>
      </c>
      <c r="J115" s="130">
        <v>45553</v>
      </c>
      <c r="K115" s="131">
        <v>32000</v>
      </c>
      <c r="L115" s="106" t="s">
        <v>138</v>
      </c>
      <c r="M115" s="106" t="s">
        <v>85</v>
      </c>
      <c r="N115" s="106" t="s">
        <v>109</v>
      </c>
      <c r="O115" s="120" t="s">
        <v>33</v>
      </c>
      <c r="P115" s="132">
        <v>32400</v>
      </c>
      <c r="Q115" s="133" t="s">
        <v>104</v>
      </c>
      <c r="R115" s="127" t="s">
        <v>419</v>
      </c>
      <c r="S115" s="128">
        <v>3152056262</v>
      </c>
      <c r="T115" s="134" t="s">
        <v>420</v>
      </c>
      <c r="U115" s="105" t="str">
        <f>IF(O115=CURSOS!$D$3,"DIPLOMADO EN ATENCION PRE-HOSPITALARIA",IF(O115=CURSOS!$D$4,"ACOMPAÑAMIENTO Y MANEJO DEL DUELO",IF(O115=CURSOS!$D$5,"ATENCION A VICTIMAS DE ATAQUE CON AGENTES QUIMICOS ",IF(O115=CURSOS!$D$6,"PRIMEROS AUXILIOS ",IF(O115=CURSOS!$D$7,"DIPLOMADO DE UNIDAD DE CUIDADOS INTENSIVOS (UCI)",IF(O115=CURSOS!$D$8,"MODELO DE ATENCION PARA EVENTOS EMERGENTES EN SALUD MENTAL (CODIGO VERDE)",IF(O115=CURSOS!$D$9,"HUMANIZACION EN EL SERVICIO DE LA SALUD Y BUENAS PRACTICAS EN PACIENTE ",IF(O115=CURSOS!$D$10,"CLINICA DE HERIDAS ",IF(O115=CURSOS!$D$11,"TOMA DE CITOLOGIA CERVICO VAGINAL ",IF(O115=CURSOS!$D$12,"SOPORTE CARDIOVASCULAR AVANZADO (ACLS) ",IF(O115=CURSOS!$D$13,"CAMILLERO ",IF(O115=CURSOS!$D$14,"TOMA DE MUESTRAS Y LABORATORIO ",IF(O115=CURSOS!$D$15,"SOPORTE VITAL BASICO (BLS)",IF(O115=CURSOS!$D$16,"ATENCION A VICTIMAS DE VIOLENCIA SEXUAL ",IF(O115=CURSOS!$D$17,"PROGRAMADO AMPLIADO DE INMUNIZACION (PAI - COVID 19)",IF(O115=CURSOS!$D$18,"ATENCION INTEGRAL EN ENFERMEDADES PREVALENTES EN PRIMERA INFANCIA (AIEPI)",IF(O115=CURSOS!$D$19,"ADMINISTRACION DE MEDICAMENTOS, INYECTOLOGIA  Y CANALIZACION ",IF(O115=CURSOS!$D$20,"OPERADOR DE VEHICULOS DE EMERGENCIA (OVE)",IF(O115=CURSOS!$D$21,"INSTITUCIONES AMIGAS DE LA MUJER Y LA INFANCIA (IAMI)",IF(O115=CURSOS!$D$22,"CUIDADO DEL DONANTE DE ORGANOS",IF(O115=CURSOS!$D$23,"ATENCION A VICTIMAS POR VIOLENCIA DE GENERO",IF(O115=CURSOS!$D$24,"IGUALDAD DE GENERO EN LA SALUD",IF(O115=CURSOS!$D$25,"BRIGADA DE EMERGENCIA",IF(O115=CURSOS!$D$26,"MANEJO DEL DOLOR Y CUIDADOS PALIATIVOS",IF(O115=CURSOS!$D$27,"TOMA DE MUESTRAS Y LABORATORIO POCT",IF(O115=CURSOS!$D$28,"IMPLANTE SUBDERMICO DE DISPOSITIVO INTRAUTERINO",IF(O115=CURSOS!$D$29,"SALUD MENTAL",IF(O115=CURSOS!$D$30,"PRIMEROS AUXILIOS PSICOLOGICOS",IF(O115=CURSOS!$D$31,"ATENCION A VICTIMAS POR CONFLICTO ARMADO",IF(O115=CURSOS!$D$32,"MANIPULACION DE ALIMENTOS Y BPM",IF(O115=CURSOS!$D$33,"ATENCION A PERSONAS CON DISCAPACIDAD",IF(O115=CURSOS!$D$34,"CUIDADO INTEGRAL DEL PACIENTE ADULTO",IF(O115=CURSOS!$D$35,"MANEJO DEFENSIVO",IF(O115=CURSOS!$D$36,"SOPORTE CARDIOVASCULAR AVANZADO NEONATAL",IF(O115=CURSOS!$D$37,"SEGURIDAD DEL PACIENTE",IF(O115=CURSOS!$D$38,"MANEJO Y USO DEL DEA",IF(O115=CURSOS!$D$39,"TRIAGE")))))))))))))))))))))))))))))))))))))</f>
        <v xml:space="preserve">HUMANIZACION EN EL SERVICIO DE LA SALUD Y BUENAS PRACTICAS EN PACIENTE </v>
      </c>
      <c r="V115" s="105" t="str">
        <f t="shared" si="14"/>
        <v>Julio Eduardo Parra Gil</v>
      </c>
      <c r="W115" s="105" t="str">
        <f t="shared" si="15"/>
        <v>Julio Eduardo Parra Gil</v>
      </c>
      <c r="X115" s="105" t="str">
        <f t="shared" si="16"/>
        <v>Julio Eduardo Parra Gil-1094246020-HUMANIZACION</v>
      </c>
    </row>
    <row r="116" spans="1:24" s="135" customFormat="1" x14ac:dyDescent="0.2">
      <c r="A116" s="103">
        <v>115</v>
      </c>
      <c r="B116" s="127">
        <v>1193470016</v>
      </c>
      <c r="C116" s="128" t="s">
        <v>312</v>
      </c>
      <c r="D116" s="128" t="s">
        <v>421</v>
      </c>
      <c r="E116" s="128" t="s">
        <v>412</v>
      </c>
      <c r="F116" s="128"/>
      <c r="G116" s="129">
        <v>18</v>
      </c>
      <c r="H116" s="106" t="s">
        <v>99</v>
      </c>
      <c r="I116" s="106" t="s">
        <v>408</v>
      </c>
      <c r="J116" s="130">
        <v>45553</v>
      </c>
      <c r="K116" s="131">
        <v>40000</v>
      </c>
      <c r="L116" s="106" t="s">
        <v>103</v>
      </c>
      <c r="M116" s="106" t="s">
        <v>85</v>
      </c>
      <c r="N116" s="106" t="s">
        <v>195</v>
      </c>
      <c r="O116" s="120" t="s">
        <v>46</v>
      </c>
      <c r="P116" s="132"/>
      <c r="Q116" s="133" t="s">
        <v>110</v>
      </c>
      <c r="R116" s="127" t="s">
        <v>123</v>
      </c>
      <c r="S116" s="128">
        <v>3205166355</v>
      </c>
      <c r="T116" s="134" t="s">
        <v>422</v>
      </c>
      <c r="U116" s="105" t="str">
        <f>IF(O116=CURSOS!$D$3,"DIPLOMADO EN ATENCION PRE-HOSPITALARIA",IF(O116=CURSOS!$D$4,"ACOMPAÑAMIENTO Y MANEJO DEL DUELO",IF(O116=CURSOS!$D$5,"ATENCION A VICTIMAS DE ATAQUE CON AGENTES QUIMICOS ",IF(O116=CURSOS!$D$6,"PRIMEROS AUXILIOS ",IF(O116=CURSOS!$D$7,"DIPLOMADO DE UNIDAD DE CUIDADOS INTENSIVOS (UCI)",IF(O116=CURSOS!$D$8,"MODELO DE ATENCION PARA EVENTOS EMERGENTES EN SALUD MENTAL (CODIGO VERDE)",IF(O116=CURSOS!$D$9,"HUMANIZACION EN EL SERVICIO DE LA SALUD Y BUENAS PRACTICAS EN PACIENTE ",IF(O116=CURSOS!$D$10,"CLINICA DE HERIDAS ",IF(O116=CURSOS!$D$11,"TOMA DE CITOLOGIA CERVICO VAGINAL ",IF(O116=CURSOS!$D$12,"SOPORTE CARDIOVASCULAR AVANZADO (ACLS) ",IF(O116=CURSOS!$D$13,"CAMILLERO ",IF(O116=CURSOS!$D$14,"TOMA DE MUESTRAS Y LABORATORIO ",IF(O116=CURSOS!$D$15,"SOPORTE VITAL BASICO (BLS)",IF(O116=CURSOS!$D$16,"ATENCION A VICTIMAS DE VIOLENCIA SEXUAL ",IF(O116=CURSOS!$D$17,"PROGRAMADO AMPLIADO DE INMUNIZACION (PAI - COVID 19)",IF(O116=CURSOS!$D$18,"ATENCION INTEGRAL EN ENFERMEDADES PREVALENTES EN PRIMERA INFANCIA (AIEPI)",IF(O116=CURSOS!$D$19,"ADMINISTRACION DE MEDICAMENTOS, INYECTOLOGIA  Y CANALIZACION ",IF(O116=CURSOS!$D$20,"OPERADOR DE VEHICULOS DE EMERGENCIA (OVE)",IF(O116=CURSOS!$D$21,"INSTITUCIONES AMIGAS DE LA MUJER Y LA INFANCIA (IAMI)",IF(O116=CURSOS!$D$22,"CUIDADO DEL DONANTE DE ORGANOS",IF(O116=CURSOS!$D$23,"ATENCION A VICTIMAS POR VIOLENCIA DE GENERO",IF(O116=CURSOS!$D$24,"IGUALDAD DE GENERO EN LA SALUD",IF(O116=CURSOS!$D$25,"BRIGADA DE EMERGENCIA",IF(O116=CURSOS!$D$26,"MANEJO DEL DOLOR Y CUIDADOS PALIATIVOS",IF(O116=CURSOS!$D$27,"TOMA DE MUESTRAS Y LABORATORIO POCT",IF(O116=CURSOS!$D$28,"IMPLANTE SUBDERMICO DE DISPOSITIVO INTRAUTERINO",IF(O116=CURSOS!$D$29,"SALUD MENTAL",IF(O116=CURSOS!$D$30,"PRIMEROS AUXILIOS PSICOLOGICOS",IF(O116=CURSOS!$D$31,"ATENCION A VICTIMAS POR CONFLICTO ARMADO",IF(O116=CURSOS!$D$32,"MANIPULACION DE ALIMENTOS Y BPM",IF(O116=CURSOS!$D$33,"ATENCION A PERSONAS CON DISCAPACIDAD",IF(O116=CURSOS!$D$34,"CUIDADO INTEGRAL DEL PACIENTE ADULTO",IF(O116=CURSOS!$D$35,"MANEJO DEFENSIVO",IF(O116=CURSOS!$D$36,"SOPORTE CARDIOVASCULAR AVANZADO NEONATAL",IF(O116=CURSOS!$D$37,"SEGURIDAD DEL PACIENTE",IF(O116=CURSOS!$D$38,"MANEJO Y USO DEL DEA",IF(O116=CURSOS!$D$39,"TRIAGE")))))))))))))))))))))))))))))))))))))</f>
        <v>ATENCION INTEGRAL EN ENFERMEDADES PREVALENTES EN PRIMERA INFANCIA (AIEPI)</v>
      </c>
      <c r="V116" s="105" t="str">
        <f t="shared" si="14"/>
        <v>Daniela  Jurado Martinez</v>
      </c>
      <c r="W116" s="105" t="str">
        <f t="shared" si="15"/>
        <v>Daniela  Jurado Martinez</v>
      </c>
      <c r="X116" s="105" t="str">
        <f t="shared" si="16"/>
        <v>Daniela  Jurado Martinez-1193470016-AIEPI</v>
      </c>
    </row>
    <row r="117" spans="1:24" x14ac:dyDescent="0.2">
      <c r="A117" s="103">
        <v>116</v>
      </c>
      <c r="B117" s="127">
        <v>1085266810</v>
      </c>
      <c r="C117" s="128" t="s">
        <v>423</v>
      </c>
      <c r="D117" s="128" t="s">
        <v>301</v>
      </c>
      <c r="E117" s="128" t="s">
        <v>86</v>
      </c>
      <c r="F117" s="128"/>
      <c r="G117" s="129">
        <v>18</v>
      </c>
      <c r="H117" s="106" t="s">
        <v>99</v>
      </c>
      <c r="I117" s="106" t="s">
        <v>408</v>
      </c>
      <c r="J117" s="130">
        <v>45553</v>
      </c>
      <c r="K117" s="131">
        <v>33000</v>
      </c>
      <c r="L117" s="106" t="s">
        <v>103</v>
      </c>
      <c r="M117" s="106" t="s">
        <v>85</v>
      </c>
      <c r="N117" s="106" t="s">
        <v>98</v>
      </c>
      <c r="O117" s="136" t="s">
        <v>61</v>
      </c>
      <c r="P117" s="119">
        <v>32355</v>
      </c>
      <c r="Q117" s="133" t="s">
        <v>110</v>
      </c>
      <c r="R117" s="127" t="s">
        <v>270</v>
      </c>
      <c r="S117" s="128">
        <v>3104162591</v>
      </c>
      <c r="T117" s="128" t="s">
        <v>424</v>
      </c>
      <c r="U117" s="105" t="str">
        <f>IF(O117=CURSOS!$D$3,"DIPLOMADO EN ATENCION PRE-HOSPITALARIA",IF(O117=CURSOS!$D$4,"ACOMPAÑAMIENTO Y MANEJO DEL DUELO",IF(O117=CURSOS!$D$5,"ATENCION A VICTIMAS DE ATAQUE CON AGENTES QUIMICOS ",IF(O117=CURSOS!$D$6,"PRIMEROS AUXILIOS ",IF(O117=CURSOS!$D$7,"DIPLOMADO DE UNIDAD DE CUIDADOS INTENSIVOS (UCI)",IF(O117=CURSOS!$D$8,"MODELO DE ATENCION PARA EVENTOS EMERGENTES EN SALUD MENTAL (CODIGO VERDE)",IF(O117=CURSOS!$D$9,"HUMANIZACION EN EL SERVICIO DE LA SALUD Y BUENAS PRACTICAS EN PACIENTE ",IF(O117=CURSOS!$D$10,"CLINICA DE HERIDAS ",IF(O117=CURSOS!$D$11,"TOMA DE CITOLOGIA CERVICO VAGINAL ",IF(O117=CURSOS!$D$12,"SOPORTE CARDIOVASCULAR AVANZADO (ACLS) ",IF(O117=CURSOS!$D$13,"CAMILLERO ",IF(O117=CURSOS!$D$14,"TOMA DE MUESTRAS Y LABORATORIO ",IF(O117=CURSOS!$D$15,"SOPORTE VITAL BASICO (BLS)",IF(O117=CURSOS!$D$16,"ATENCION A VICTIMAS DE VIOLENCIA SEXUAL ",IF(O117=CURSOS!$D$17,"PROGRAMADO AMPLIADO DE INMUNIZACION (PAI - COVID 19)",IF(O117=CURSOS!$D$18,"ATENCION INTEGRAL EN ENFERMEDADES PREVALENTES EN PRIMERA INFANCIA (AIEPI)",IF(O117=CURSOS!$D$19,"ADMINISTRACION DE MEDICAMENTOS, INYECTOLOGIA  Y CANALIZACION ",IF(O117=CURSOS!$D$20,"OPERADOR DE VEHICULOS DE EMERGENCIA (OVE)",IF(O117=CURSOS!$D$21,"INSTITUCIONES AMIGAS DE LA MUJER Y LA INFANCIA (IAMI)",IF(O117=CURSOS!$D$22,"CUIDADO DEL DONANTE DE ORGANOS",IF(O117=CURSOS!$D$23,"ATENCION A VICTIMAS POR VIOLENCIA DE GENERO",IF(O117=CURSOS!$D$24,"IGUALDAD DE GENERO EN LA SALUD",IF(O117=CURSOS!$D$25,"BRIGADA DE EMERGENCIA",IF(O117=CURSOS!$D$26,"MANEJO DEL DOLOR Y CUIDADOS PALIATIVOS",IF(O117=CURSOS!$D$27,"TOMA DE MUESTRAS Y LABORATORIO POCT",IF(O117=CURSOS!$D$28,"IMPLANTE SUBDERMICO DE DISPOSITIVO INTRAUTERINO",IF(O117=CURSOS!$D$29,"SALUD MENTAL",IF(O117=CURSOS!$D$30,"PRIMEROS AUXILIOS PSICOLOGICOS",IF(O117=CURSOS!$D$31,"ATENCION A VICTIMAS POR CONFLICTO ARMADO",IF(O117=CURSOS!$D$32,"MANIPULACION DE ALIMENTOS Y BPM",IF(O117=CURSOS!$D$33,"ATENCION A PERSONAS CON DISCAPACIDAD",IF(O117=CURSOS!$D$34,"CUIDADO INTEGRAL DEL PACIENTE ADULTO",IF(O117=CURSOS!$D$35,"MANEJO DEFENSIVO",IF(O117=CURSOS!$D$36,"SOPORTE CARDIOVASCULAR AVANZADO NEONATAL",IF(O117=CURSOS!$D$37,"SEGURIDAD DEL PACIENTE",IF(O117=CURSOS!$D$38,"MANEJO Y USO DEL DEA",IF(O117=CURSOS!$D$39,"TRIAGE")))))))))))))))))))))))))))))))))))))</f>
        <v>MANEJO DEL DOLOR Y CUIDADOS PALIATIVOS</v>
      </c>
      <c r="V117" s="105" t="str">
        <f t="shared" si="14"/>
        <v>Alejandra  Muñoz Enríquez</v>
      </c>
      <c r="W117" s="105" t="str">
        <f t="shared" si="15"/>
        <v>Alejandra  Muñoz Enríquez</v>
      </c>
      <c r="X117" s="105" t="str">
        <f t="shared" si="16"/>
        <v>Alejandra  Muñoz Enríquez-1085266810-PALIATIVOS</v>
      </c>
    </row>
    <row r="118" spans="1:24" x14ac:dyDescent="0.2">
      <c r="A118" s="103">
        <v>117</v>
      </c>
      <c r="B118" s="127">
        <v>1087683002</v>
      </c>
      <c r="C118" s="128" t="s">
        <v>425</v>
      </c>
      <c r="D118" s="128" t="s">
        <v>426</v>
      </c>
      <c r="E118" s="127" t="s">
        <v>257</v>
      </c>
      <c r="F118" s="128"/>
      <c r="G118" s="129">
        <v>18</v>
      </c>
      <c r="H118" s="106" t="s">
        <v>99</v>
      </c>
      <c r="I118" s="106" t="s">
        <v>408</v>
      </c>
      <c r="J118" s="130">
        <v>45554</v>
      </c>
      <c r="K118" s="131">
        <v>40000</v>
      </c>
      <c r="L118" s="106" t="s">
        <v>103</v>
      </c>
      <c r="M118" s="106" t="s">
        <v>85</v>
      </c>
      <c r="N118" s="106" t="s">
        <v>98</v>
      </c>
      <c r="O118" s="120" t="s">
        <v>33</v>
      </c>
      <c r="P118" s="119">
        <v>32764</v>
      </c>
      <c r="Q118" s="126" t="s">
        <v>110</v>
      </c>
      <c r="R118" s="127" t="s">
        <v>123</v>
      </c>
      <c r="S118" s="122">
        <v>3115494077</v>
      </c>
      <c r="T118" s="137" t="s">
        <v>427</v>
      </c>
      <c r="U118" s="105" t="str">
        <f>IF(O118=CURSOS!$D$3,"DIPLOMADO EN ATENCION PRE-HOSPITALARIA",IF(O118=CURSOS!$D$4,"ACOMPAÑAMIENTO Y MANEJO DEL DUELO",IF(O118=CURSOS!$D$5,"ATENCION A VICTIMAS DE ATAQUE CON AGENTES QUIMICOS ",IF(O118=CURSOS!$D$6,"PRIMEROS AUXILIOS ",IF(O118=CURSOS!$D$7,"DIPLOMADO DE UNIDAD DE CUIDADOS INTENSIVOS (UCI)",IF(O118=CURSOS!$D$8,"MODELO DE ATENCION PARA EVENTOS EMERGENTES EN SALUD MENTAL (CODIGO VERDE)",IF(O118=CURSOS!$D$9,"HUMANIZACION EN EL SERVICIO DE LA SALUD Y BUENAS PRACTICAS EN PACIENTE ",IF(O118=CURSOS!$D$10,"CLINICA DE HERIDAS ",IF(O118=CURSOS!$D$11,"TOMA DE CITOLOGIA CERVICO VAGINAL ",IF(O118=CURSOS!$D$12,"SOPORTE CARDIOVASCULAR AVANZADO (ACLS) ",IF(O118=CURSOS!$D$13,"CAMILLERO ",IF(O118=CURSOS!$D$14,"TOMA DE MUESTRAS Y LABORATORIO ",IF(O118=CURSOS!$D$15,"SOPORTE VITAL BASICO (BLS)",IF(O118=CURSOS!$D$16,"ATENCION A VICTIMAS DE VIOLENCIA SEXUAL ",IF(O118=CURSOS!$D$17,"PROGRAMADO AMPLIADO DE INMUNIZACION (PAI - COVID 19)",IF(O118=CURSOS!$D$18,"ATENCION INTEGRAL EN ENFERMEDADES PREVALENTES EN PRIMERA INFANCIA (AIEPI)",IF(O118=CURSOS!$D$19,"ADMINISTRACION DE MEDICAMENTOS, INYECTOLOGIA  Y CANALIZACION ",IF(O118=CURSOS!$D$20,"OPERADOR DE VEHICULOS DE EMERGENCIA (OVE)",IF(O118=CURSOS!$D$21,"INSTITUCIONES AMIGAS DE LA MUJER Y LA INFANCIA (IAMI)",IF(O118=CURSOS!$D$22,"CUIDADO DEL DONANTE DE ORGANOS",IF(O118=CURSOS!$D$23,"ATENCION A VICTIMAS POR VIOLENCIA DE GENERO",IF(O118=CURSOS!$D$24,"IGUALDAD DE GENERO EN LA SALUD",IF(O118=CURSOS!$D$25,"BRIGADA DE EMERGENCIA",IF(O118=CURSOS!$D$26,"MANEJO DEL DOLOR Y CUIDADOS PALIATIVOS",IF(O118=CURSOS!$D$27,"TOMA DE MUESTRAS Y LABORATORIO POCT",IF(O118=CURSOS!$D$28,"IMPLANTE SUBDERMICO DE DISPOSITIVO INTRAUTERINO",IF(O118=CURSOS!$D$29,"SALUD MENTAL",IF(O118=CURSOS!$D$30,"PRIMEROS AUXILIOS PSICOLOGICOS",IF(O118=CURSOS!$D$31,"ATENCION A VICTIMAS POR CONFLICTO ARMADO",IF(O118=CURSOS!$D$32,"MANIPULACION DE ALIMENTOS Y BPM",IF(O118=CURSOS!$D$33,"ATENCION A PERSONAS CON DISCAPACIDAD",IF(O118=CURSOS!$D$34,"CUIDADO INTEGRAL DEL PACIENTE ADULTO",IF(O118=CURSOS!$D$35,"MANEJO DEFENSIVO",IF(O118=CURSOS!$D$36,"SOPORTE CARDIOVASCULAR AVANZADO NEONATAL",IF(O118=CURSOS!$D$37,"SEGURIDAD DEL PACIENTE",IF(O118=CURSOS!$D$38,"MANEJO Y USO DEL DEA",IF(O118=CURSOS!$D$39,"TRIAGE")))))))))))))))))))))))))))))))))))))</f>
        <v xml:space="preserve">HUMANIZACION EN EL SERVICIO DE LA SALUD Y BUENAS PRACTICAS EN PACIENTE </v>
      </c>
      <c r="V118" s="105" t="str">
        <f t="shared" si="14"/>
        <v>Elizabeth  Del Rosario Bastidas</v>
      </c>
      <c r="W118" s="105" t="str">
        <f t="shared" si="15"/>
        <v>Elizabeth  Del Rosario Bastidas</v>
      </c>
      <c r="X118" s="105" t="str">
        <f t="shared" si="16"/>
        <v>Elizabeth  Del Rosario Bastidas-1087683002-HUMANIZACION</v>
      </c>
    </row>
    <row r="119" spans="1:24" hidden="1" x14ac:dyDescent="0.2">
      <c r="A119" s="103">
        <v>118</v>
      </c>
      <c r="B119" s="127">
        <v>1233191506</v>
      </c>
      <c r="C119" s="128" t="s">
        <v>401</v>
      </c>
      <c r="D119" s="128" t="s">
        <v>428</v>
      </c>
      <c r="E119" s="127" t="s">
        <v>429</v>
      </c>
      <c r="F119" s="128" t="s">
        <v>430</v>
      </c>
      <c r="G119" s="129">
        <v>18</v>
      </c>
      <c r="H119" s="106" t="s">
        <v>99</v>
      </c>
      <c r="I119" s="106" t="s">
        <v>408</v>
      </c>
      <c r="J119" s="130">
        <v>45553</v>
      </c>
      <c r="K119" s="131">
        <v>40000</v>
      </c>
      <c r="L119" s="106" t="s">
        <v>138</v>
      </c>
      <c r="M119" s="106" t="s">
        <v>85</v>
      </c>
      <c r="N119" s="106" t="s">
        <v>98</v>
      </c>
      <c r="O119" s="136" t="s">
        <v>55</v>
      </c>
      <c r="P119" s="119">
        <v>35971</v>
      </c>
      <c r="Q119" s="126" t="s">
        <v>104</v>
      </c>
      <c r="R119" s="127" t="s">
        <v>431</v>
      </c>
      <c r="S119" s="122">
        <v>3155270922</v>
      </c>
      <c r="T119" s="137" t="s">
        <v>432</v>
      </c>
      <c r="U119" s="105" t="str">
        <f>IF(O119=CURSOS!$D$3,"DIPLOMADO EN ATENCION PRE-HOSPITALARIA",IF(O119=CURSOS!$D$4,"ACOMPAÑAMIENTO Y MANEJO DEL DUELO",IF(O119=CURSOS!$D$5,"ATENCION A VICTIMAS DE ATAQUE CON AGENTES QUIMICOS ",IF(O119=CURSOS!$D$6,"PRIMEROS AUXILIOS ",IF(O119=CURSOS!$D$7,"DIPLOMADO DE UNIDAD DE CUIDADOS INTENSIVOS (UCI)",IF(O119=CURSOS!$D$8,"MODELO DE ATENCION PARA EVENTOS EMERGENTES EN SALUD MENTAL (CODIGO VERDE)",IF(O119=CURSOS!$D$9,"HUMANIZACION EN EL SERVICIO DE LA SALUD Y BUENAS PRACTICAS EN PACIENTE ",IF(O119=CURSOS!$D$10,"CLINICA DE HERIDAS ",IF(O119=CURSOS!$D$11,"TOMA DE CITOLOGIA CERVICO VAGINAL ",IF(O119=CURSOS!$D$12,"SOPORTE CARDIOVASCULAR AVANZADO (ACLS) ",IF(O119=CURSOS!$D$13,"CAMILLERO ",IF(O119=CURSOS!$D$14,"TOMA DE MUESTRAS Y LABORATORIO ",IF(O119=CURSOS!$D$15,"SOPORTE VITAL BASICO (BLS)",IF(O119=CURSOS!$D$16,"ATENCION A VICTIMAS DE VIOLENCIA SEXUAL ",IF(O119=CURSOS!$D$17,"PROGRAMADO AMPLIADO DE INMUNIZACION (PAI - COVID 19)",IF(O119=CURSOS!$D$18,"ATENCION INTEGRAL EN ENFERMEDADES PREVALENTES EN PRIMERA INFANCIA (AIEPI)",IF(O119=CURSOS!$D$19,"ADMINISTRACION DE MEDICAMENTOS, INYECTOLOGIA  Y CANALIZACION ",IF(O119=CURSOS!$D$20,"OPERADOR DE VEHICULOS DE EMERGENCIA (OVE)",IF(O119=CURSOS!$D$21,"INSTITUCIONES AMIGAS DE LA MUJER Y LA INFANCIA (IAMI)",IF(O119=CURSOS!$D$22,"CUIDADO DEL DONANTE DE ORGANOS",IF(O119=CURSOS!$D$23,"ATENCION A VICTIMAS POR VIOLENCIA DE GENERO",IF(O119=CURSOS!$D$24,"IGUALDAD DE GENERO EN LA SALUD",IF(O119=CURSOS!$D$25,"BRIGADA DE EMERGENCIA",IF(O119=CURSOS!$D$26,"MANEJO DEL DOLOR Y CUIDADOS PALIATIVOS",IF(O119=CURSOS!$D$27,"TOMA DE MUESTRAS Y LABORATORIO POCT",IF(O119=CURSOS!$D$28,"IMPLANTE SUBDERMICO DE DISPOSITIVO INTRAUTERINO",IF(O119=CURSOS!$D$29,"SALUD MENTAL",IF(O119=CURSOS!$D$30,"PRIMEROS AUXILIOS PSICOLOGICOS",IF(O119=CURSOS!$D$31,"ATENCION A VICTIMAS POR CONFLICTO ARMADO",IF(O119=CURSOS!$D$32,"MANIPULACION DE ALIMENTOS Y BPM",IF(O119=CURSOS!$D$33,"ATENCION A PERSONAS CON DISCAPACIDAD",IF(O119=CURSOS!$D$34,"CUIDADO INTEGRAL DEL PACIENTE ADULTO",IF(O119=CURSOS!$D$35,"MANEJO DEFENSIVO",IF(O119=CURSOS!$D$36,"SOPORTE CARDIOVASCULAR AVANZADO NEONATAL",IF(O119=CURSOS!$D$37,"SEGURIDAD DEL PACIENTE",IF(O119=CURSOS!$D$38,"MANEJO Y USO DEL DEA",IF(O119=CURSOS!$D$39,"TRIAGE")))))))))))))))))))))))))))))))))))))</f>
        <v>ATENCION A VICTIMAS POR VIOLENCIA DE GENERO</v>
      </c>
      <c r="V119" s="105" t="str">
        <f t="shared" si="14"/>
        <v>Juan David Cardenas Bolaños</v>
      </c>
      <c r="W119" s="105" t="str">
        <f t="shared" si="15"/>
        <v>Juan David Cardenas Bolaños</v>
      </c>
      <c r="X119" s="105" t="str">
        <f t="shared" si="16"/>
        <v>Juan David Cardenas Bolaños-1233191506-VIOLENCIA DE GENERO</v>
      </c>
    </row>
    <row r="120" spans="1:24" x14ac:dyDescent="0.2">
      <c r="A120" s="103">
        <v>119</v>
      </c>
      <c r="B120" s="127">
        <v>1087683002</v>
      </c>
      <c r="C120" s="128" t="s">
        <v>426</v>
      </c>
      <c r="D120" s="128"/>
      <c r="E120" s="127" t="s">
        <v>257</v>
      </c>
      <c r="F120" s="128" t="s">
        <v>425</v>
      </c>
      <c r="G120" s="129">
        <v>19</v>
      </c>
      <c r="H120" s="106" t="s">
        <v>99</v>
      </c>
      <c r="I120" s="106" t="s">
        <v>408</v>
      </c>
      <c r="J120" s="130">
        <v>45554</v>
      </c>
      <c r="K120" s="131">
        <v>40000</v>
      </c>
      <c r="L120" s="106" t="s">
        <v>103</v>
      </c>
      <c r="M120" s="106" t="s">
        <v>180</v>
      </c>
      <c r="N120" s="106" t="s">
        <v>98</v>
      </c>
      <c r="O120" s="108" t="s">
        <v>33</v>
      </c>
      <c r="P120" s="119">
        <v>32764</v>
      </c>
      <c r="Q120" s="126" t="s">
        <v>104</v>
      </c>
      <c r="R120" s="127" t="s">
        <v>123</v>
      </c>
      <c r="S120" s="122">
        <v>3115494077</v>
      </c>
      <c r="T120" s="137" t="s">
        <v>433</v>
      </c>
      <c r="U120" s="105" t="str">
        <f>IF(O120=CURSOS!$D$3,"DIPLOMADO EN ATENCION PRE-HOSPITALARIA",IF(O120=CURSOS!$D$4,"ACOMPAÑAMIENTO Y MANEJO DEL DUELO",IF(O120=CURSOS!$D$5,"ATENCION A VICTIMAS DE ATAQUE CON AGENTES QUIMICOS ",IF(O120=CURSOS!$D$6,"PRIMEROS AUXILIOS ",IF(O120=CURSOS!$D$7,"DIPLOMADO DE UNIDAD DE CUIDADOS INTENSIVOS (UCI)",IF(O120=CURSOS!$D$8,"MODELO DE ATENCION PARA EVENTOS EMERGENTES EN SALUD MENTAL (CODIGO VERDE)",IF(O120=CURSOS!$D$9,"HUMANIZACION EN EL SERVICIO DE LA SALUD Y BUENAS PRACTICAS EN PACIENTE ",IF(O120=CURSOS!$D$10,"CLINICA DE HERIDAS ",IF(O120=CURSOS!$D$11,"TOMA DE CITOLOGIA CERVICO VAGINAL ",IF(O120=CURSOS!$D$12,"SOPORTE CARDIOVASCULAR AVANZADO (ACLS) ",IF(O120=CURSOS!$D$13,"CAMILLERO ",IF(O120=CURSOS!$D$14,"TOMA DE MUESTRAS Y LABORATORIO ",IF(O120=CURSOS!$D$15,"SOPORTE VITAL BASICO (BLS)",IF(O120=CURSOS!$D$16,"ATENCION A VICTIMAS DE VIOLENCIA SEXUAL ",IF(O120=CURSOS!$D$17,"PROGRAMADO AMPLIADO DE INMUNIZACION (PAI - COVID 19)",IF(O120=CURSOS!$D$18,"ATENCION INTEGRAL EN ENFERMEDADES PREVALENTES EN PRIMERA INFANCIA (AIEPI)",IF(O120=CURSOS!$D$19,"ADMINISTRACION DE MEDICAMENTOS, INYECTOLOGIA  Y CANALIZACION ",IF(O120=CURSOS!$D$20,"OPERADOR DE VEHICULOS DE EMERGENCIA (OVE)",IF(O120=CURSOS!$D$21,"INSTITUCIONES AMIGAS DE LA MUJER Y LA INFANCIA (IAMI)",IF(O120=CURSOS!$D$22,"CUIDADO DEL DONANTE DE ORGANOS",IF(O120=CURSOS!$D$23,"ATENCION A VICTIMAS POR VIOLENCIA DE GENERO",IF(O120=CURSOS!$D$24,"IGUALDAD DE GENERO EN LA SALUD",IF(O120=CURSOS!$D$25,"BRIGADA DE EMERGENCIA",IF(O120=CURSOS!$D$26,"MANEJO DEL DOLOR Y CUIDADOS PALIATIVOS",IF(O120=CURSOS!$D$27,"TOMA DE MUESTRAS Y LABORATORIO POCT",IF(O120=CURSOS!$D$28,"IMPLANTE SUBDERMICO DE DISPOSITIVO INTRAUTERINO",IF(O120=CURSOS!$D$29,"SALUD MENTAL",IF(O120=CURSOS!$D$30,"PRIMEROS AUXILIOS PSICOLOGICOS",IF(O120=CURSOS!$D$31,"ATENCION A VICTIMAS POR CONFLICTO ARMADO",IF(O120=CURSOS!$D$32,"MANIPULACION DE ALIMENTOS Y BPM",IF(O120=CURSOS!$D$33,"ATENCION A PERSONAS CON DISCAPACIDAD",IF(O120=CURSOS!$D$34,"CUIDADO INTEGRAL DEL PACIENTE ADULTO",IF(O120=CURSOS!$D$35,"MANEJO DEFENSIVO",IF(O120=CURSOS!$D$36,"SOPORTE CARDIOVASCULAR AVANZADO NEONATAL",IF(O120=CURSOS!$D$37,"SEGURIDAD DEL PACIENTE",IF(O120=CURSOS!$D$38,"MANEJO Y USO DEL DEA",IF(O120=CURSOS!$D$39,"TRIAGE")))))))))))))))))))))))))))))))))))))</f>
        <v xml:space="preserve">HUMANIZACION EN EL SERVICIO DE LA SALUD Y BUENAS PRACTICAS EN PACIENTE </v>
      </c>
      <c r="V120" s="105" t="str">
        <f t="shared" si="14"/>
        <v xml:space="preserve">Elizabeth Del Rosario Bastidas </v>
      </c>
      <c r="W120" s="105" t="str">
        <f t="shared" si="15"/>
        <v xml:space="preserve">Elizabeth Del Rosario Bastidas </v>
      </c>
      <c r="X120" s="105" t="str">
        <f t="shared" si="16"/>
        <v>Elizabeth Del Rosario Bastidas -1087683002-HUMANIZACION</v>
      </c>
    </row>
    <row r="121" spans="1:24" hidden="1" x14ac:dyDescent="0.2">
      <c r="A121" s="103">
        <v>120</v>
      </c>
      <c r="B121" s="104">
        <v>87456087</v>
      </c>
      <c r="C121" s="128" t="s">
        <v>277</v>
      </c>
      <c r="D121" s="128" t="s">
        <v>434</v>
      </c>
      <c r="E121" s="128" t="s">
        <v>435</v>
      </c>
      <c r="F121" s="128" t="s">
        <v>142</v>
      </c>
      <c r="G121" s="129">
        <v>16</v>
      </c>
      <c r="H121" s="106" t="s">
        <v>99</v>
      </c>
      <c r="I121" s="106" t="s">
        <v>408</v>
      </c>
      <c r="J121" s="130">
        <v>45554</v>
      </c>
      <c r="K121" s="131">
        <v>32000</v>
      </c>
      <c r="L121" s="106" t="s">
        <v>138</v>
      </c>
      <c r="M121" s="106" t="s">
        <v>180</v>
      </c>
      <c r="N121" s="106" t="s">
        <v>109</v>
      </c>
      <c r="O121" s="136" t="s">
        <v>43</v>
      </c>
      <c r="P121" s="119">
        <v>31157</v>
      </c>
      <c r="Q121" s="126" t="s">
        <v>104</v>
      </c>
      <c r="R121" s="127" t="s">
        <v>436</v>
      </c>
      <c r="S121" s="122">
        <v>3148706366</v>
      </c>
      <c r="T121" s="137" t="s">
        <v>437</v>
      </c>
      <c r="U121" s="105" t="str">
        <f>IF(O121=CURSOS!$D$3,"DIPLOMADO EN ATENCION PRE-HOSPITALARIA",IF(O121=CURSOS!$D$4,"ACOMPAÑAMIENTO Y MANEJO DEL DUELO",IF(O121=CURSOS!$D$5,"ATENCION A VICTIMAS DE ATAQUE CON AGENTES QUIMICOS ",IF(O121=CURSOS!$D$6,"PRIMEROS AUXILIOS ",IF(O121=CURSOS!$D$7,"DIPLOMADO DE UNIDAD DE CUIDADOS INTENSIVOS (UCI)",IF(O121=CURSOS!$D$8,"MODELO DE ATENCION PARA EVENTOS EMERGENTES EN SALUD MENTAL (CODIGO VERDE)",IF(O121=CURSOS!$D$9,"HUMANIZACION EN EL SERVICIO DE LA SALUD Y BUENAS PRACTICAS EN PACIENTE ",IF(O121=CURSOS!$D$10,"CLINICA DE HERIDAS ",IF(O121=CURSOS!$D$11,"TOMA DE CITOLOGIA CERVICO VAGINAL ",IF(O121=CURSOS!$D$12,"SOPORTE CARDIOVASCULAR AVANZADO (ACLS) ",IF(O121=CURSOS!$D$13,"CAMILLERO ",IF(O121=CURSOS!$D$14,"TOMA DE MUESTRAS Y LABORATORIO ",IF(O121=CURSOS!$D$15,"SOPORTE VITAL BASICO (BLS)",IF(O121=CURSOS!$D$16,"ATENCION A VICTIMAS DE VIOLENCIA SEXUAL ",IF(O121=CURSOS!$D$17,"PROGRAMADO AMPLIADO DE INMUNIZACION (PAI - COVID 19)",IF(O121=CURSOS!$D$18,"ATENCION INTEGRAL EN ENFERMEDADES PREVALENTES EN PRIMERA INFANCIA (AIEPI)",IF(O121=CURSOS!$D$19,"ADMINISTRACION DE MEDICAMENTOS, INYECTOLOGIA  Y CANALIZACION ",IF(O121=CURSOS!$D$20,"OPERADOR DE VEHICULOS DE EMERGENCIA (OVE)",IF(O121=CURSOS!$D$21,"INSTITUCIONES AMIGAS DE LA MUJER Y LA INFANCIA (IAMI)",IF(O121=CURSOS!$D$22,"CUIDADO DEL DONANTE DE ORGANOS",IF(O121=CURSOS!$D$23,"ATENCION A VICTIMAS POR VIOLENCIA DE GENERO",IF(O121=CURSOS!$D$24,"IGUALDAD DE GENERO EN LA SALUD",IF(O121=CURSOS!$D$25,"BRIGADA DE EMERGENCIA",IF(O121=CURSOS!$D$26,"MANEJO DEL DOLOR Y CUIDADOS PALIATIVOS",IF(O121=CURSOS!$D$27,"TOMA DE MUESTRAS Y LABORATORIO POCT",IF(O121=CURSOS!$D$28,"IMPLANTE SUBDERMICO DE DISPOSITIVO INTRAUTERINO",IF(O121=CURSOS!$D$29,"SALUD MENTAL",IF(O121=CURSOS!$D$30,"PRIMEROS AUXILIOS PSICOLOGICOS",IF(O121=CURSOS!$D$31,"ATENCION A VICTIMAS POR CONFLICTO ARMADO",IF(O121=CURSOS!$D$32,"MANIPULACION DE ALIMENTOS Y BPM",IF(O121=CURSOS!$D$33,"ATENCION A PERSONAS CON DISCAPACIDAD",IF(O121=CURSOS!$D$34,"CUIDADO INTEGRAL DEL PACIENTE ADULTO",IF(O121=CURSOS!$D$35,"MANEJO DEFENSIVO",IF(O121=CURSOS!$D$36,"SOPORTE CARDIOVASCULAR AVANZADO NEONATAL",IF(O121=CURSOS!$D$37,"SEGURIDAD DEL PACIENTE",IF(O121=CURSOS!$D$38,"MANEJO Y USO DEL DEA",IF(O121=CURSOS!$D$39,"TRIAGE")))))))))))))))))))))))))))))))))))))</f>
        <v xml:space="preserve">ATENCION A VICTIMAS DE VIOLENCIA SEXUAL </v>
      </c>
      <c r="V121" s="105" t="str">
        <f t="shared" si="14"/>
        <v>Dario Fernando Tapia Melo</v>
      </c>
      <c r="W121" s="105" t="str">
        <f t="shared" si="15"/>
        <v>Dario Fernando Tapia Melo</v>
      </c>
      <c r="X121" s="105" t="str">
        <f t="shared" si="16"/>
        <v>Dario Fernando Tapia Melo-87456087-VIOLENCIA SEXUAL</v>
      </c>
    </row>
    <row r="122" spans="1:24" hidden="1" x14ac:dyDescent="0.2">
      <c r="A122" s="103">
        <v>121</v>
      </c>
      <c r="B122" s="104">
        <v>87456087</v>
      </c>
      <c r="C122" s="128" t="s">
        <v>277</v>
      </c>
      <c r="D122" s="128" t="s">
        <v>434</v>
      </c>
      <c r="E122" s="128" t="s">
        <v>435</v>
      </c>
      <c r="F122" s="128" t="s">
        <v>142</v>
      </c>
      <c r="G122" s="129">
        <v>17</v>
      </c>
      <c r="H122" s="106" t="s">
        <v>99</v>
      </c>
      <c r="I122" s="106" t="s">
        <v>408</v>
      </c>
      <c r="J122" s="130">
        <v>45554</v>
      </c>
      <c r="K122" s="131">
        <v>32000</v>
      </c>
      <c r="L122" s="106" t="s">
        <v>138</v>
      </c>
      <c r="M122" s="106" t="s">
        <v>180</v>
      </c>
      <c r="N122" s="106" t="s">
        <v>109</v>
      </c>
      <c r="O122" s="108" t="s">
        <v>25</v>
      </c>
      <c r="P122" s="119">
        <v>31157</v>
      </c>
      <c r="Q122" s="126" t="s">
        <v>104</v>
      </c>
      <c r="R122" s="127" t="s">
        <v>436</v>
      </c>
      <c r="S122" s="105">
        <v>3148706366</v>
      </c>
      <c r="T122" s="137" t="s">
        <v>437</v>
      </c>
      <c r="U122" s="105" t="str">
        <f>IF(O122=CURSOS!$D$3,"DIPLOMADO EN ATENCION PRE-HOSPITALARIA",IF(O122=CURSOS!$D$4,"ACOMPAÑAMIENTO Y MANEJO DEL DUELO",IF(O122=CURSOS!$D$5,"ATENCION A VICTIMAS DE ATAQUE CON AGENTES QUIMICOS ",IF(O122=CURSOS!$D$6,"PRIMEROS AUXILIOS ",IF(O122=CURSOS!$D$7,"DIPLOMADO DE UNIDAD DE CUIDADOS INTENSIVOS (UCI)",IF(O122=CURSOS!$D$8,"MODELO DE ATENCION PARA EVENTOS EMERGENTES EN SALUD MENTAL (CODIGO VERDE)",IF(O122=CURSOS!$D$9,"HUMANIZACION EN EL SERVICIO DE LA SALUD Y BUENAS PRACTICAS EN PACIENTE ",IF(O122=CURSOS!$D$10,"CLINICA DE HERIDAS ",IF(O122=CURSOS!$D$11,"TOMA DE CITOLOGIA CERVICO VAGINAL ",IF(O122=CURSOS!$D$12,"SOPORTE CARDIOVASCULAR AVANZADO (ACLS) ",IF(O122=CURSOS!$D$13,"CAMILLERO ",IF(O122=CURSOS!$D$14,"TOMA DE MUESTRAS Y LABORATORIO ",IF(O122=CURSOS!$D$15,"SOPORTE VITAL BASICO (BLS)",IF(O122=CURSOS!$D$16,"ATENCION A VICTIMAS DE VIOLENCIA SEXUAL ",IF(O122=CURSOS!$D$17,"PROGRAMADO AMPLIADO DE INMUNIZACION (PAI - COVID 19)",IF(O122=CURSOS!$D$18,"ATENCION INTEGRAL EN ENFERMEDADES PREVALENTES EN PRIMERA INFANCIA (AIEPI)",IF(O122=CURSOS!$D$19,"ADMINISTRACION DE MEDICAMENTOS, INYECTOLOGIA  Y CANALIZACION ",IF(O122=CURSOS!$D$20,"OPERADOR DE VEHICULOS DE EMERGENCIA (OVE)",IF(O122=CURSOS!$D$21,"INSTITUCIONES AMIGAS DE LA MUJER Y LA INFANCIA (IAMI)",IF(O122=CURSOS!$D$22,"CUIDADO DEL DONANTE DE ORGANOS",IF(O122=CURSOS!$D$23,"ATENCION A VICTIMAS POR VIOLENCIA DE GENERO",IF(O122=CURSOS!$D$24,"IGUALDAD DE GENERO EN LA SALUD",IF(O122=CURSOS!$D$25,"BRIGADA DE EMERGENCIA",IF(O122=CURSOS!$D$26,"MANEJO DEL DOLOR Y CUIDADOS PALIATIVOS",IF(O122=CURSOS!$D$27,"TOMA DE MUESTRAS Y LABORATORIO POCT",IF(O122=CURSOS!$D$28,"IMPLANTE SUBDERMICO DE DISPOSITIVO INTRAUTERINO",IF(O122=CURSOS!$D$29,"SALUD MENTAL",IF(O122=CURSOS!$D$30,"PRIMEROS AUXILIOS PSICOLOGICOS",IF(O122=CURSOS!$D$31,"ATENCION A VICTIMAS POR CONFLICTO ARMADO",IF(O122=CURSOS!$D$32,"MANIPULACION DE ALIMENTOS Y BPM",IF(O122=CURSOS!$D$33,"ATENCION A PERSONAS CON DISCAPACIDAD",IF(O122=CURSOS!$D$34,"CUIDADO INTEGRAL DEL PACIENTE ADULTO",IF(O122=CURSOS!$D$35,"MANEJO DEFENSIVO",IF(O122=CURSOS!$D$36,"SOPORTE CARDIOVASCULAR AVANZADO NEONATAL",IF(O122=CURSOS!$D$37,"SEGURIDAD DEL PACIENTE",IF(O122=CURSOS!$D$38,"MANEJO Y USO DEL DEA",IF(O122=CURSOS!$D$39,"TRIAGE")))))))))))))))))))))))))))))))))))))</f>
        <v xml:space="preserve">ATENCION A VICTIMAS DE ATAQUE CON AGENTES QUIMICOS </v>
      </c>
      <c r="V122" s="105" t="str">
        <f t="shared" ref="V122:V168" si="17">CONCATENATE(E122," ",F122," ",C122," ",D122)</f>
        <v>Dario Fernando Tapia Melo</v>
      </c>
      <c r="W122" s="105" t="str">
        <f t="shared" ref="W122:W168" si="18">+PROPER(V122)</f>
        <v>Dario Fernando Tapia Melo</v>
      </c>
      <c r="X122" s="105" t="str">
        <f t="shared" ref="X122:X168" si="19">CONCATENATE(V122,"-",B122,"-",O122)</f>
        <v>Dario Fernando Tapia Melo-87456087-QUIMICOS</v>
      </c>
    </row>
    <row r="123" spans="1:24" hidden="1" x14ac:dyDescent="0.2">
      <c r="A123" s="103">
        <v>122</v>
      </c>
      <c r="B123" s="104">
        <v>87456087</v>
      </c>
      <c r="C123" s="128" t="s">
        <v>277</v>
      </c>
      <c r="D123" s="128" t="s">
        <v>434</v>
      </c>
      <c r="E123" s="128" t="s">
        <v>435</v>
      </c>
      <c r="F123" s="128" t="s">
        <v>142</v>
      </c>
      <c r="G123" s="129">
        <v>18</v>
      </c>
      <c r="H123" s="106" t="s">
        <v>99</v>
      </c>
      <c r="I123" s="106" t="s">
        <v>408</v>
      </c>
      <c r="J123" s="130">
        <v>45554</v>
      </c>
      <c r="K123" s="131">
        <v>32000</v>
      </c>
      <c r="L123" s="106" t="s">
        <v>138</v>
      </c>
      <c r="M123" s="106" t="s">
        <v>180</v>
      </c>
      <c r="N123" s="106" t="s">
        <v>109</v>
      </c>
      <c r="O123" s="108" t="s">
        <v>23</v>
      </c>
      <c r="P123" s="119">
        <v>31157</v>
      </c>
      <c r="Q123" s="126" t="s">
        <v>104</v>
      </c>
      <c r="R123" s="127" t="s">
        <v>436</v>
      </c>
      <c r="S123" s="105">
        <v>3148706366</v>
      </c>
      <c r="T123" s="137" t="s">
        <v>437</v>
      </c>
      <c r="U123" s="105" t="str">
        <f>IF(O123=CURSOS!$D$3,"DIPLOMADO EN ATENCION PRE-HOSPITALARIA",IF(O123=CURSOS!$D$4,"ACOMPAÑAMIENTO Y MANEJO DEL DUELO",IF(O123=CURSOS!$D$5,"ATENCION A VICTIMAS DE ATAQUE CON AGENTES QUIMICOS ",IF(O123=CURSOS!$D$6,"PRIMEROS AUXILIOS ",IF(O123=CURSOS!$D$7,"DIPLOMADO DE UNIDAD DE CUIDADOS INTENSIVOS (UCI)",IF(O123=CURSOS!$D$8,"MODELO DE ATENCION PARA EVENTOS EMERGENTES EN SALUD MENTAL (CODIGO VERDE)",IF(O123=CURSOS!$D$9,"HUMANIZACION EN EL SERVICIO DE LA SALUD Y BUENAS PRACTICAS EN PACIENTE ",IF(O123=CURSOS!$D$10,"CLINICA DE HERIDAS ",IF(O123=CURSOS!$D$11,"TOMA DE CITOLOGIA CERVICO VAGINAL ",IF(O123=CURSOS!$D$12,"SOPORTE CARDIOVASCULAR AVANZADO (ACLS) ",IF(O123=CURSOS!$D$13,"CAMILLERO ",IF(O123=CURSOS!$D$14,"TOMA DE MUESTRAS Y LABORATORIO ",IF(O123=CURSOS!$D$15,"SOPORTE VITAL BASICO (BLS)",IF(O123=CURSOS!$D$16,"ATENCION A VICTIMAS DE VIOLENCIA SEXUAL ",IF(O123=CURSOS!$D$17,"PROGRAMADO AMPLIADO DE INMUNIZACION (PAI - COVID 19)",IF(O123=CURSOS!$D$18,"ATENCION INTEGRAL EN ENFERMEDADES PREVALENTES EN PRIMERA INFANCIA (AIEPI)",IF(O123=CURSOS!$D$19,"ADMINISTRACION DE MEDICAMENTOS, INYECTOLOGIA  Y CANALIZACION ",IF(O123=CURSOS!$D$20,"OPERADOR DE VEHICULOS DE EMERGENCIA (OVE)",IF(O123=CURSOS!$D$21,"INSTITUCIONES AMIGAS DE LA MUJER Y LA INFANCIA (IAMI)",IF(O123=CURSOS!$D$22,"CUIDADO DEL DONANTE DE ORGANOS",IF(O123=CURSOS!$D$23,"ATENCION A VICTIMAS POR VIOLENCIA DE GENERO",IF(O123=CURSOS!$D$24,"IGUALDAD DE GENERO EN LA SALUD",IF(O123=CURSOS!$D$25,"BRIGADA DE EMERGENCIA",IF(O123=CURSOS!$D$26,"MANEJO DEL DOLOR Y CUIDADOS PALIATIVOS",IF(O123=CURSOS!$D$27,"TOMA DE MUESTRAS Y LABORATORIO POCT",IF(O123=CURSOS!$D$28,"IMPLANTE SUBDERMICO DE DISPOSITIVO INTRAUTERINO",IF(O123=CURSOS!$D$29,"SALUD MENTAL",IF(O123=CURSOS!$D$30,"PRIMEROS AUXILIOS PSICOLOGICOS",IF(O123=CURSOS!$D$31,"ATENCION A VICTIMAS POR CONFLICTO ARMADO",IF(O123=CURSOS!$D$32,"MANIPULACION DE ALIMENTOS Y BPM",IF(O123=CURSOS!$D$33,"ATENCION A PERSONAS CON DISCAPACIDAD",IF(O123=CURSOS!$D$34,"CUIDADO INTEGRAL DEL PACIENTE ADULTO",IF(O123=CURSOS!$D$35,"MANEJO DEFENSIVO",IF(O123=CURSOS!$D$36,"SOPORTE CARDIOVASCULAR AVANZADO NEONATAL",IF(O123=CURSOS!$D$37,"SEGURIDAD DEL PACIENTE",IF(O123=CURSOS!$D$38,"MANEJO Y USO DEL DEA",IF(O123=CURSOS!$D$39,"TRIAGE")))))))))))))))))))))))))))))))))))))</f>
        <v>ACOMPAÑAMIENTO Y MANEJO DEL DUELO</v>
      </c>
      <c r="V123" s="105" t="str">
        <f t="shared" si="17"/>
        <v>Dario Fernando Tapia Melo</v>
      </c>
      <c r="W123" s="105" t="str">
        <f t="shared" si="18"/>
        <v>Dario Fernando Tapia Melo</v>
      </c>
      <c r="X123" s="105" t="str">
        <f t="shared" si="19"/>
        <v>Dario Fernando Tapia Melo-87456087-DUELO</v>
      </c>
    </row>
    <row r="124" spans="1:24" x14ac:dyDescent="0.2">
      <c r="A124" s="103">
        <v>123</v>
      </c>
      <c r="B124" s="105">
        <v>85254561</v>
      </c>
      <c r="C124" s="128" t="s">
        <v>438</v>
      </c>
      <c r="D124" s="128" t="s">
        <v>328</v>
      </c>
      <c r="E124" s="128" t="s">
        <v>207</v>
      </c>
      <c r="F124" s="128" t="s">
        <v>439</v>
      </c>
      <c r="G124" s="129">
        <v>19</v>
      </c>
      <c r="H124" s="106" t="s">
        <v>99</v>
      </c>
      <c r="I124" s="106" t="s">
        <v>408</v>
      </c>
      <c r="J124" s="130">
        <v>45554</v>
      </c>
      <c r="K124" s="131">
        <v>130000</v>
      </c>
      <c r="L124" s="106" t="s">
        <v>103</v>
      </c>
      <c r="M124" s="106" t="s">
        <v>180</v>
      </c>
      <c r="N124" s="106" t="s">
        <v>98</v>
      </c>
      <c r="O124" s="108" t="s">
        <v>38</v>
      </c>
      <c r="P124" s="109">
        <v>31763</v>
      </c>
      <c r="Q124" s="126" t="s">
        <v>104</v>
      </c>
      <c r="R124" s="127" t="s">
        <v>440</v>
      </c>
      <c r="S124" s="105">
        <v>3015939114</v>
      </c>
      <c r="T124" s="105"/>
      <c r="U124" s="105" t="str">
        <f>IF(O124=CURSOS!$D$3,"DIPLOMADO EN ATENCION PRE-HOSPITALARIA",IF(O124=CURSOS!$D$4,"ACOMPAÑAMIENTO Y MANEJO DEL DUELO",IF(O124=CURSOS!$D$5,"ATENCION A VICTIMAS DE ATAQUE CON AGENTES QUIMICOS ",IF(O124=CURSOS!$D$6,"PRIMEROS AUXILIOS ",IF(O124=CURSOS!$D$7,"DIPLOMADO DE UNIDAD DE CUIDADOS INTENSIVOS (UCI)",IF(O124=CURSOS!$D$8,"MODELO DE ATENCION PARA EVENTOS EMERGENTES EN SALUD MENTAL (CODIGO VERDE)",IF(O124=CURSOS!$D$9,"HUMANIZACION EN EL SERVICIO DE LA SALUD Y BUENAS PRACTICAS EN PACIENTE ",IF(O124=CURSOS!$D$10,"CLINICA DE HERIDAS ",IF(O124=CURSOS!$D$11,"TOMA DE CITOLOGIA CERVICO VAGINAL ",IF(O124=CURSOS!$D$12,"SOPORTE CARDIOVASCULAR AVANZADO (ACLS) ",IF(O124=CURSOS!$D$13,"CAMILLERO ",IF(O124=CURSOS!$D$14,"TOMA DE MUESTRAS Y LABORATORIO ",IF(O124=CURSOS!$D$15,"SOPORTE VITAL BASICO (BLS)",IF(O124=CURSOS!$D$16,"ATENCION A VICTIMAS DE VIOLENCIA SEXUAL ",IF(O124=CURSOS!$D$17,"PROGRAMADO AMPLIADO DE INMUNIZACION (PAI - COVID 19)",IF(O124=CURSOS!$D$18,"ATENCION INTEGRAL EN ENFERMEDADES PREVALENTES EN PRIMERA INFANCIA (AIEPI)",IF(O124=CURSOS!$D$19,"ADMINISTRACION DE MEDICAMENTOS, INYECTOLOGIA  Y CANALIZACION ",IF(O124=CURSOS!$D$20,"OPERADOR DE VEHICULOS DE EMERGENCIA (OVE)",IF(O124=CURSOS!$D$21,"INSTITUCIONES AMIGAS DE LA MUJER Y LA INFANCIA (IAMI)",IF(O124=CURSOS!$D$22,"CUIDADO DEL DONANTE DE ORGANOS",IF(O124=CURSOS!$D$23,"ATENCION A VICTIMAS POR VIOLENCIA DE GENERO",IF(O124=CURSOS!$D$24,"IGUALDAD DE GENERO EN LA SALUD",IF(O124=CURSOS!$D$25,"BRIGADA DE EMERGENCIA",IF(O124=CURSOS!$D$26,"MANEJO DEL DOLOR Y CUIDADOS PALIATIVOS",IF(O124=CURSOS!$D$27,"TOMA DE MUESTRAS Y LABORATORIO POCT",IF(O124=CURSOS!$D$28,"IMPLANTE SUBDERMICO DE DISPOSITIVO INTRAUTERINO",IF(O124=CURSOS!$D$29,"SALUD MENTAL",IF(O124=CURSOS!$D$30,"PRIMEROS AUXILIOS PSICOLOGICOS",IF(O124=CURSOS!$D$31,"ATENCION A VICTIMAS POR CONFLICTO ARMADO",IF(O124=CURSOS!$D$32,"MANIPULACION DE ALIMENTOS Y BPM",IF(O124=CURSOS!$D$33,"ATENCION A PERSONAS CON DISCAPACIDAD",IF(O124=CURSOS!$D$34,"CUIDADO INTEGRAL DEL PACIENTE ADULTO",IF(O124=CURSOS!$D$35,"MANEJO DEFENSIVO",IF(O124=CURSOS!$D$36,"SOPORTE CARDIOVASCULAR AVANZADO NEONATAL",IF(O124=CURSOS!$D$37,"SEGURIDAD DEL PACIENTE",IF(O124=CURSOS!$D$38,"MANEJO Y USO DEL DEA",IF(O124=CURSOS!$D$39,"TRIAGE")))))))))))))))))))))))))))))))))))))</f>
        <v xml:space="preserve">SOPORTE CARDIOVASCULAR AVANZADO (ACLS) </v>
      </c>
      <c r="V124" s="105" t="str">
        <f t="shared" si="17"/>
        <v>Alberto Alonso Alvarado Lasso</v>
      </c>
      <c r="W124" s="105" t="str">
        <f t="shared" si="18"/>
        <v>Alberto Alonso Alvarado Lasso</v>
      </c>
      <c r="X124" s="105" t="str">
        <f t="shared" si="19"/>
        <v>Alberto Alonso Alvarado Lasso-85254561-ACLS</v>
      </c>
    </row>
    <row r="125" spans="1:24" s="37" customFormat="1" hidden="1" x14ac:dyDescent="0.2">
      <c r="A125" s="41">
        <v>124</v>
      </c>
      <c r="B125" s="44">
        <v>1085301199</v>
      </c>
      <c r="C125" s="74" t="s">
        <v>441</v>
      </c>
      <c r="D125" s="74" t="s">
        <v>90</v>
      </c>
      <c r="E125" s="74" t="s">
        <v>131</v>
      </c>
      <c r="F125" s="74" t="s">
        <v>442</v>
      </c>
      <c r="G125" s="69">
        <v>19</v>
      </c>
      <c r="H125" s="45" t="s">
        <v>99</v>
      </c>
      <c r="I125" s="45" t="s">
        <v>408</v>
      </c>
      <c r="J125" s="76">
        <v>45555</v>
      </c>
      <c r="K125" s="47">
        <v>35000</v>
      </c>
      <c r="L125" s="45" t="s">
        <v>216</v>
      </c>
      <c r="M125" s="45" t="s">
        <v>180</v>
      </c>
      <c r="N125" s="45" t="s">
        <v>98</v>
      </c>
      <c r="O125" s="48" t="s">
        <v>61</v>
      </c>
      <c r="P125" s="49">
        <v>33896</v>
      </c>
      <c r="Q125" s="62" t="s">
        <v>110</v>
      </c>
      <c r="R125" s="73" t="s">
        <v>123</v>
      </c>
      <c r="S125" s="44">
        <v>3124801291</v>
      </c>
      <c r="T125" s="44" t="s">
        <v>443</v>
      </c>
      <c r="U125" s="51" t="str">
        <f>IF(O125=CURSOS!$D$3,"DIPLOMADO EN ATENCION PRE-HOSPITALARIA",IF(O125=CURSOS!$D$4,"ACOMPAÑAMIENTO Y MANEJO DEL DUELO",IF(O125=CURSOS!$D$5,"ATENCION A VICTIMAS DE ATAQUE CON AGENTES QUIMICOS ",IF(O125=CURSOS!$D$6,"PRIMEROS AUXILIOS ",IF(O125=CURSOS!$D$7,"DIPLOMADO DE UNIDAD DE CUIDADOS INTENSIVOS (UCI)",IF(O125=CURSOS!$D$8,"MODELO DE ATENCION PARA EVENTOS EMERGENTES EN SALUD MENTAL (CODIGO VERDE)",IF(O125=CURSOS!$D$9,"HUMANIZACION EN EL SERVICIO DE LA SALUD Y BUENAS PRACTICAS EN PACIENTE ",IF(O125=CURSOS!$D$10,"CLINICA DE HERIDAS ",IF(O125=CURSOS!$D$11,"TOMA DE CITOLOGIA CERVICO VAGINAL ",IF(O125=CURSOS!$D$12,"SOPORTE CARDIOVASCULAR AVANZADO (ACLS) ",IF(O125=CURSOS!$D$13,"CAMILLERO ",IF(O125=CURSOS!$D$14,"TOMA DE MUESTRAS Y LABORATORIO ",IF(O125=CURSOS!$D$15,"SOPORTE VITAL BASICO (BLS)",IF(O125=CURSOS!$D$16,"ATENCION A VICTIMAS DE VIOLENCIA SEXUAL ",IF(O125=CURSOS!$D$17,"PROGRAMADO AMPLIADO DE INMUNIZACION (PAI - COVID 19)",IF(O125=CURSOS!$D$18,"ATENCION INTEGRAL EN ENFERMEDADES PREVALENTES EN PRIMERA INFANCIA (AIEPI)",IF(O125=CURSOS!$D$19,"ADMINISTRACION DE MEDICAMENTOS, INYECTOLOGIA  Y CANALIZACION ",IF(O125=CURSOS!$D$20,"OPERADOR DE VEHICULOS DE EMERGENCIA (OVE)",IF(O125=CURSOS!$D$21,"INSTITUCIONES AMIGAS DE LA MUJER Y LA INFANCIA (IAMI)",IF(O125=CURSOS!$D$22,"CUIDADO DEL DONANTE DE ORGANOS",IF(O125=CURSOS!$D$23,"ATENCION A VICTIMAS POR VIOLENCIA DE GENERO",IF(O125=CURSOS!$D$24,"IGUALDAD DE GENERO EN LA SALUD",IF(O125=CURSOS!$D$25,"BRIGADA DE EMERGENCIA",IF(O125=CURSOS!$D$26,"MANEJO DEL DOLOR Y CUIDADOS PALIATIVOS",IF(O125=CURSOS!$D$27,"TOMA DE MUESTRAS Y LABORATORIO POCT",IF(O125=CURSOS!$D$28,"IMPLANTE SUBDERMICO DE DISPOSITIVO INTRAUTERINO",IF(O125=CURSOS!$D$29,"SALUD MENTAL",IF(O125=CURSOS!$D$30,"PRIMEROS AUXILIOS PSICOLOGICOS",IF(O125=CURSOS!$D$31,"ATENCION A VICTIMAS POR CONFLICTO ARMADO",IF(O125=CURSOS!$D$32,"MANIPULACION DE ALIMENTOS Y BPM",IF(O125=CURSOS!$D$33,"ATENCION A PERSONAS CON DISCAPACIDAD",IF(O125=CURSOS!$D$34,"CUIDADO INTEGRAL DEL PACIENTE ADULTO",IF(O125=CURSOS!$D$35,"MANEJO DEFENSIVO",IF(O125=CURSOS!$D$36,"SOPORTE CARDIOVASCULAR AVANZADO NEONATAL",IF(O125=CURSOS!$D$37,"SEGURIDAD DEL PACIENTE",IF(O125=CURSOS!$D$38,"MANEJO Y USO DEL DEA",IF(O125=CURSOS!$D$39,"TRIAGE")))))))))))))))))))))))))))))))))))))</f>
        <v>MANEJO DEL DOLOR Y CUIDADOS PALIATIVOS</v>
      </c>
      <c r="V125" s="51" t="str">
        <f t="shared" si="17"/>
        <v>Diana Balvina Ayala Delgado</v>
      </c>
      <c r="W125" s="51" t="str">
        <f t="shared" si="18"/>
        <v>Diana Balvina Ayala Delgado</v>
      </c>
      <c r="X125" s="51" t="str">
        <f t="shared" si="19"/>
        <v>Diana Balvina Ayala Delgado-1085301199-PALIATIVOS</v>
      </c>
    </row>
    <row r="126" spans="1:24" hidden="1" x14ac:dyDescent="0.2">
      <c r="A126" s="103">
        <v>125</v>
      </c>
      <c r="B126" s="105">
        <v>1026279761</v>
      </c>
      <c r="C126" s="128" t="s">
        <v>289</v>
      </c>
      <c r="D126" s="128" t="s">
        <v>444</v>
      </c>
      <c r="E126" s="128" t="s">
        <v>330</v>
      </c>
      <c r="F126" s="128" t="s">
        <v>388</v>
      </c>
      <c r="G126" s="129">
        <v>19</v>
      </c>
      <c r="H126" s="106" t="s">
        <v>99</v>
      </c>
      <c r="I126" s="106" t="s">
        <v>408</v>
      </c>
      <c r="J126" s="130">
        <v>45555</v>
      </c>
      <c r="K126" s="88">
        <v>28000</v>
      </c>
      <c r="L126" s="130" t="s">
        <v>138</v>
      </c>
      <c r="M126" s="106" t="s">
        <v>180</v>
      </c>
      <c r="N126" s="106" t="s">
        <v>109</v>
      </c>
      <c r="O126" s="108" t="s">
        <v>43</v>
      </c>
      <c r="P126" s="109">
        <v>33758</v>
      </c>
      <c r="Q126" s="106" t="s">
        <v>110</v>
      </c>
      <c r="R126" s="127" t="s">
        <v>209</v>
      </c>
      <c r="S126" s="105">
        <v>3127532952</v>
      </c>
      <c r="T126" s="105" t="s">
        <v>445</v>
      </c>
      <c r="U126" s="105" t="str">
        <f>IF(O126=CURSOS!$D$3,"DIPLOMADO EN ATENCION PRE-HOSPITALARIA",IF(O126=CURSOS!$D$4,"ACOMPAÑAMIENTO Y MANEJO DEL DUELO",IF(O126=CURSOS!$D$5,"ATENCION A VICTIMAS DE ATAQUE CON AGENTES QUIMICOS ",IF(O126=CURSOS!$D$6,"PRIMEROS AUXILIOS ",IF(O126=CURSOS!$D$7,"DIPLOMADO DE UNIDAD DE CUIDADOS INTENSIVOS (UCI)",IF(O126=CURSOS!$D$8,"MODELO DE ATENCION PARA EVENTOS EMERGENTES EN SALUD MENTAL (CODIGO VERDE)",IF(O126=CURSOS!$D$9,"HUMANIZACION EN EL SERVICIO DE LA SALUD Y BUENAS PRACTICAS EN PACIENTE ",IF(O126=CURSOS!$D$10,"CLINICA DE HERIDAS ",IF(O126=CURSOS!$D$11,"TOMA DE CITOLOGIA CERVICO VAGINAL ",IF(O126=CURSOS!$D$12,"SOPORTE CARDIOVASCULAR AVANZADO (ACLS) ",IF(O126=CURSOS!$D$13,"CAMILLERO ",IF(O126=CURSOS!$D$14,"TOMA DE MUESTRAS Y LABORATORIO ",IF(O126=CURSOS!$D$15,"SOPORTE VITAL BASICO (BLS)",IF(O126=CURSOS!$D$16,"ATENCION A VICTIMAS DE VIOLENCIA SEXUAL ",IF(O126=CURSOS!$D$17,"PROGRAMADO AMPLIADO DE INMUNIZACION (PAI - COVID 19)",IF(O126=CURSOS!$D$18,"ATENCION INTEGRAL EN ENFERMEDADES PREVALENTES EN PRIMERA INFANCIA (AIEPI)",IF(O126=CURSOS!$D$19,"ADMINISTRACION DE MEDICAMENTOS, INYECTOLOGIA  Y CANALIZACION ",IF(O126=CURSOS!$D$20,"OPERADOR DE VEHICULOS DE EMERGENCIA (OVE)",IF(O126=CURSOS!$D$21,"INSTITUCIONES AMIGAS DE LA MUJER Y LA INFANCIA (IAMI)",IF(O126=CURSOS!$D$22,"CUIDADO DEL DONANTE DE ORGANOS",IF(O126=CURSOS!$D$23,"ATENCION A VICTIMAS POR VIOLENCIA DE GENERO",IF(O126=CURSOS!$D$24,"IGUALDAD DE GENERO EN LA SALUD",IF(O126=CURSOS!$D$25,"BRIGADA DE EMERGENCIA",IF(O126=CURSOS!$D$26,"MANEJO DEL DOLOR Y CUIDADOS PALIATIVOS",IF(O126=CURSOS!$D$27,"TOMA DE MUESTRAS Y LABORATORIO POCT",IF(O126=CURSOS!$D$28,"IMPLANTE SUBDERMICO DE DISPOSITIVO INTRAUTERINO",IF(O126=CURSOS!$D$29,"SALUD MENTAL",IF(O126=CURSOS!$D$30,"PRIMEROS AUXILIOS PSICOLOGICOS",IF(O126=CURSOS!$D$31,"ATENCION A VICTIMAS POR CONFLICTO ARMADO",IF(O126=CURSOS!$D$32,"MANIPULACION DE ALIMENTOS Y BPM",IF(O126=CURSOS!$D$33,"ATENCION A PERSONAS CON DISCAPACIDAD",IF(O126=CURSOS!$D$34,"CUIDADO INTEGRAL DEL PACIENTE ADULTO",IF(O126=CURSOS!$D$35,"MANEJO DEFENSIVO",IF(O126=CURSOS!$D$36,"SOPORTE CARDIOVASCULAR AVANZADO NEONATAL",IF(O126=CURSOS!$D$37,"SEGURIDAD DEL PACIENTE",IF(O126=CURSOS!$D$38,"MANEJO Y USO DEL DEA",IF(O126=CURSOS!$D$39,"TRIAGE")))))))))))))))))))))))))))))))))))))</f>
        <v xml:space="preserve">ATENCION A VICTIMAS DE VIOLENCIA SEXUAL </v>
      </c>
      <c r="V126" s="105" t="str">
        <f t="shared" si="17"/>
        <v>Maria Luisa Montenegro Solarte</v>
      </c>
      <c r="W126" s="105" t="str">
        <f t="shared" si="18"/>
        <v>Maria Luisa Montenegro Solarte</v>
      </c>
      <c r="X126" s="105" t="str">
        <f t="shared" si="19"/>
        <v>Maria Luisa Montenegro Solarte-1026279761-VIOLENCIA SEXUAL</v>
      </c>
    </row>
    <row r="127" spans="1:24" hidden="1" x14ac:dyDescent="0.2">
      <c r="A127" s="103">
        <v>126</v>
      </c>
      <c r="B127" s="105">
        <v>1026279761</v>
      </c>
      <c r="C127" s="128" t="s">
        <v>289</v>
      </c>
      <c r="D127" s="128" t="s">
        <v>444</v>
      </c>
      <c r="E127" s="128" t="s">
        <v>330</v>
      </c>
      <c r="F127" s="128" t="s">
        <v>388</v>
      </c>
      <c r="G127" s="129">
        <v>20</v>
      </c>
      <c r="H127" s="106" t="s">
        <v>99</v>
      </c>
      <c r="I127" s="106" t="s">
        <v>408</v>
      </c>
      <c r="J127" s="130">
        <v>45555</v>
      </c>
      <c r="K127" s="88">
        <v>28000</v>
      </c>
      <c r="L127" s="130" t="s">
        <v>138</v>
      </c>
      <c r="M127" s="106" t="s">
        <v>180</v>
      </c>
      <c r="N127" s="106" t="s">
        <v>109</v>
      </c>
      <c r="O127" s="108" t="s">
        <v>19</v>
      </c>
      <c r="P127" s="109">
        <v>33758</v>
      </c>
      <c r="Q127" s="106" t="s">
        <v>110</v>
      </c>
      <c r="R127" s="127" t="s">
        <v>209</v>
      </c>
      <c r="S127" s="105">
        <v>3127532952</v>
      </c>
      <c r="T127" s="105" t="s">
        <v>445</v>
      </c>
      <c r="U127" s="105" t="str">
        <f>IF(O127=CURSOS!$D$3,"DIPLOMADO EN ATENCION PRE-HOSPITALARIA",IF(O127=CURSOS!$D$4,"ACOMPAÑAMIENTO Y MANEJO DEL DUELO",IF(O127=CURSOS!$D$5,"ATENCION A VICTIMAS DE ATAQUE CON AGENTES QUIMICOS ",IF(O127=CURSOS!$D$6,"PRIMEROS AUXILIOS ",IF(O127=CURSOS!$D$7,"DIPLOMADO DE UNIDAD DE CUIDADOS INTENSIVOS (UCI)",IF(O127=CURSOS!$D$8,"MODELO DE ATENCION PARA EVENTOS EMERGENTES EN SALUD MENTAL (CODIGO VERDE)",IF(O127=CURSOS!$D$9,"HUMANIZACION EN EL SERVICIO DE LA SALUD Y BUENAS PRACTICAS EN PACIENTE ",IF(O127=CURSOS!$D$10,"CLINICA DE HERIDAS ",IF(O127=CURSOS!$D$11,"TOMA DE CITOLOGIA CERVICO VAGINAL ",IF(O127=CURSOS!$D$12,"SOPORTE CARDIOVASCULAR AVANZADO (ACLS) ",IF(O127=CURSOS!$D$13,"CAMILLERO ",IF(O127=CURSOS!$D$14,"TOMA DE MUESTRAS Y LABORATORIO ",IF(O127=CURSOS!$D$15,"SOPORTE VITAL BASICO (BLS)",IF(O127=CURSOS!$D$16,"ATENCION A VICTIMAS DE VIOLENCIA SEXUAL ",IF(O127=CURSOS!$D$17,"PROGRAMADO AMPLIADO DE INMUNIZACION (PAI - COVID 19)",IF(O127=CURSOS!$D$18,"ATENCION INTEGRAL EN ENFERMEDADES PREVALENTES EN PRIMERA INFANCIA (AIEPI)",IF(O127=CURSOS!$D$19,"ADMINISTRACION DE MEDICAMENTOS, INYECTOLOGIA  Y CANALIZACION ",IF(O127=CURSOS!$D$20,"OPERADOR DE VEHICULOS DE EMERGENCIA (OVE)",IF(O127=CURSOS!$D$21,"INSTITUCIONES AMIGAS DE LA MUJER Y LA INFANCIA (IAMI)",IF(O127=CURSOS!$D$22,"CUIDADO DEL DONANTE DE ORGANOS",IF(O127=CURSOS!$D$23,"ATENCION A VICTIMAS POR VIOLENCIA DE GENERO",IF(O127=CURSOS!$D$24,"IGUALDAD DE GENERO EN LA SALUD",IF(O127=CURSOS!$D$25,"BRIGADA DE EMERGENCIA",IF(O127=CURSOS!$D$26,"MANEJO DEL DOLOR Y CUIDADOS PALIATIVOS",IF(O127=CURSOS!$D$27,"TOMA DE MUESTRAS Y LABORATORIO POCT",IF(O127=CURSOS!$D$28,"IMPLANTE SUBDERMICO DE DISPOSITIVO INTRAUTERINO",IF(O127=CURSOS!$D$29,"SALUD MENTAL",IF(O127=CURSOS!$D$30,"PRIMEROS AUXILIOS PSICOLOGICOS",IF(O127=CURSOS!$D$31,"ATENCION A VICTIMAS POR CONFLICTO ARMADO",IF(O127=CURSOS!$D$32,"MANIPULACION DE ALIMENTOS Y BPM",IF(O127=CURSOS!$D$33,"ATENCION A PERSONAS CON DISCAPACIDAD",IF(O127=CURSOS!$D$34,"CUIDADO INTEGRAL DEL PACIENTE ADULTO",IF(O127=CURSOS!$D$35,"MANEJO DEFENSIVO",IF(O127=CURSOS!$D$36,"SOPORTE CARDIOVASCULAR AVANZADO NEONATAL",IF(O127=CURSOS!$D$37,"SEGURIDAD DEL PACIENTE",IF(O127=CURSOS!$D$38,"MANEJO Y USO DEL DEA",IF(O127=CURSOS!$D$39,"TRIAGE")))))))))))))))))))))))))))))))))))))</f>
        <v>SOPORTE VITAL BASICO (BLS)</v>
      </c>
      <c r="V127" s="105" t="str">
        <f t="shared" si="17"/>
        <v>Maria Luisa Montenegro Solarte</v>
      </c>
      <c r="W127" s="105" t="str">
        <f t="shared" si="18"/>
        <v>Maria Luisa Montenegro Solarte</v>
      </c>
      <c r="X127" s="105" t="str">
        <f t="shared" si="19"/>
        <v>Maria Luisa Montenegro Solarte-1026279761-BLS</v>
      </c>
    </row>
    <row r="128" spans="1:24" hidden="1" x14ac:dyDescent="0.2">
      <c r="A128" s="103">
        <v>127</v>
      </c>
      <c r="B128" s="105">
        <v>1127577221</v>
      </c>
      <c r="C128" s="128" t="s">
        <v>446</v>
      </c>
      <c r="D128" s="128" t="s">
        <v>447</v>
      </c>
      <c r="E128" s="128" t="s">
        <v>448</v>
      </c>
      <c r="F128" s="128" t="s">
        <v>449</v>
      </c>
      <c r="G128" s="129">
        <v>18</v>
      </c>
      <c r="H128" s="106" t="s">
        <v>99</v>
      </c>
      <c r="I128" s="106" t="s">
        <v>408</v>
      </c>
      <c r="J128" s="130">
        <v>45555</v>
      </c>
      <c r="K128" s="88">
        <v>28000</v>
      </c>
      <c r="L128" s="130" t="s">
        <v>138</v>
      </c>
      <c r="M128" s="106" t="s">
        <v>180</v>
      </c>
      <c r="N128" s="106" t="s">
        <v>109</v>
      </c>
      <c r="O128" s="108" t="s">
        <v>43</v>
      </c>
      <c r="P128" s="109">
        <v>32111</v>
      </c>
      <c r="Q128" s="126" t="s">
        <v>104</v>
      </c>
      <c r="R128" s="127" t="s">
        <v>436</v>
      </c>
      <c r="S128" s="105">
        <v>3115310496</v>
      </c>
      <c r="T128" s="111" t="s">
        <v>450</v>
      </c>
      <c r="U128" s="105" t="str">
        <f>IF(O128=CURSOS!$D$3,"DIPLOMADO EN ATENCION PRE-HOSPITALARIA",IF(O128=CURSOS!$D$4,"ACOMPAÑAMIENTO Y MANEJO DEL DUELO",IF(O128=CURSOS!$D$5,"ATENCION A VICTIMAS DE ATAQUE CON AGENTES QUIMICOS ",IF(O128=CURSOS!$D$6,"PRIMEROS AUXILIOS ",IF(O128=CURSOS!$D$7,"DIPLOMADO DE UNIDAD DE CUIDADOS INTENSIVOS (UCI)",IF(O128=CURSOS!$D$8,"MODELO DE ATENCION PARA EVENTOS EMERGENTES EN SALUD MENTAL (CODIGO VERDE)",IF(O128=CURSOS!$D$9,"HUMANIZACION EN EL SERVICIO DE LA SALUD Y BUENAS PRACTICAS EN PACIENTE ",IF(O128=CURSOS!$D$10,"CLINICA DE HERIDAS ",IF(O128=CURSOS!$D$11,"TOMA DE CITOLOGIA CERVICO VAGINAL ",IF(O128=CURSOS!$D$12,"SOPORTE CARDIOVASCULAR AVANZADO (ACLS) ",IF(O128=CURSOS!$D$13,"CAMILLERO ",IF(O128=CURSOS!$D$14,"TOMA DE MUESTRAS Y LABORATORIO ",IF(O128=CURSOS!$D$15,"SOPORTE VITAL BASICO (BLS)",IF(O128=CURSOS!$D$16,"ATENCION A VICTIMAS DE VIOLENCIA SEXUAL ",IF(O128=CURSOS!$D$17,"PROGRAMADO AMPLIADO DE INMUNIZACION (PAI - COVID 19)",IF(O128=CURSOS!$D$18,"ATENCION INTEGRAL EN ENFERMEDADES PREVALENTES EN PRIMERA INFANCIA (AIEPI)",IF(O128=CURSOS!$D$19,"ADMINISTRACION DE MEDICAMENTOS, INYECTOLOGIA  Y CANALIZACION ",IF(O128=CURSOS!$D$20,"OPERADOR DE VEHICULOS DE EMERGENCIA (OVE)",IF(O128=CURSOS!$D$21,"INSTITUCIONES AMIGAS DE LA MUJER Y LA INFANCIA (IAMI)",IF(O128=CURSOS!$D$22,"CUIDADO DEL DONANTE DE ORGANOS",IF(O128=CURSOS!$D$23,"ATENCION A VICTIMAS POR VIOLENCIA DE GENERO",IF(O128=CURSOS!$D$24,"IGUALDAD DE GENERO EN LA SALUD",IF(O128=CURSOS!$D$25,"BRIGADA DE EMERGENCIA",IF(O128=CURSOS!$D$26,"MANEJO DEL DOLOR Y CUIDADOS PALIATIVOS",IF(O128=CURSOS!$D$27,"TOMA DE MUESTRAS Y LABORATORIO POCT",IF(O128=CURSOS!$D$28,"IMPLANTE SUBDERMICO DE DISPOSITIVO INTRAUTERINO",IF(O128=CURSOS!$D$29,"SALUD MENTAL",IF(O128=CURSOS!$D$30,"PRIMEROS AUXILIOS PSICOLOGICOS",IF(O128=CURSOS!$D$31,"ATENCION A VICTIMAS POR CONFLICTO ARMADO",IF(O128=CURSOS!$D$32,"MANIPULACION DE ALIMENTOS Y BPM",IF(O128=CURSOS!$D$33,"ATENCION A PERSONAS CON DISCAPACIDAD",IF(O128=CURSOS!$D$34,"CUIDADO INTEGRAL DEL PACIENTE ADULTO",IF(O128=CURSOS!$D$35,"MANEJO DEFENSIVO",IF(O128=CURSOS!$D$36,"SOPORTE CARDIOVASCULAR AVANZADO NEONATAL",IF(O128=CURSOS!$D$37,"SEGURIDAD DEL PACIENTE",IF(O128=CURSOS!$D$38,"MANEJO Y USO DEL DEA",IF(O128=CURSOS!$D$39,"TRIAGE")))))))))))))))))))))))))))))))))))))</f>
        <v xml:space="preserve">ATENCION A VICTIMAS DE VIOLENCIA SEXUAL </v>
      </c>
      <c r="V128" s="105" t="str">
        <f t="shared" si="17"/>
        <v>Deiner Jose Carrillo Solano</v>
      </c>
      <c r="W128" s="105" t="str">
        <f t="shared" si="18"/>
        <v>Deiner Jose Carrillo Solano</v>
      </c>
      <c r="X128" s="105" t="str">
        <f t="shared" si="19"/>
        <v>Deiner Jose Carrillo Solano-1127577221-VIOLENCIA SEXUAL</v>
      </c>
    </row>
    <row r="129" spans="1:24" hidden="1" x14ac:dyDescent="0.2">
      <c r="A129" s="103">
        <v>128</v>
      </c>
      <c r="B129" s="105">
        <v>1127577221</v>
      </c>
      <c r="C129" s="128" t="s">
        <v>446</v>
      </c>
      <c r="D129" s="128" t="s">
        <v>447</v>
      </c>
      <c r="E129" s="128" t="s">
        <v>448</v>
      </c>
      <c r="F129" s="128" t="s">
        <v>449</v>
      </c>
      <c r="G129" s="129">
        <v>19</v>
      </c>
      <c r="H129" s="106" t="s">
        <v>99</v>
      </c>
      <c r="I129" s="106" t="s">
        <v>408</v>
      </c>
      <c r="J129" s="130">
        <v>45555</v>
      </c>
      <c r="K129" s="88">
        <v>28000</v>
      </c>
      <c r="L129" s="130" t="s">
        <v>138</v>
      </c>
      <c r="M129" s="106" t="s">
        <v>180</v>
      </c>
      <c r="N129" s="106" t="s">
        <v>109</v>
      </c>
      <c r="O129" s="108" t="s">
        <v>25</v>
      </c>
      <c r="P129" s="109">
        <v>32111</v>
      </c>
      <c r="Q129" s="126" t="s">
        <v>104</v>
      </c>
      <c r="R129" s="127" t="s">
        <v>436</v>
      </c>
      <c r="S129" s="105">
        <v>3115310496</v>
      </c>
      <c r="T129" s="111" t="s">
        <v>450</v>
      </c>
      <c r="U129" s="105" t="str">
        <f>IF(O129=CURSOS!$D$3,"DIPLOMADO EN ATENCION PRE-HOSPITALARIA",IF(O129=CURSOS!$D$4,"ACOMPAÑAMIENTO Y MANEJO DEL DUELO",IF(O129=CURSOS!$D$5,"ATENCION A VICTIMAS DE ATAQUE CON AGENTES QUIMICOS ",IF(O129=CURSOS!$D$6,"PRIMEROS AUXILIOS ",IF(O129=CURSOS!$D$7,"DIPLOMADO DE UNIDAD DE CUIDADOS INTENSIVOS (UCI)",IF(O129=CURSOS!$D$8,"MODELO DE ATENCION PARA EVENTOS EMERGENTES EN SALUD MENTAL (CODIGO VERDE)",IF(O129=CURSOS!$D$9,"HUMANIZACION EN EL SERVICIO DE LA SALUD Y BUENAS PRACTICAS EN PACIENTE ",IF(O129=CURSOS!$D$10,"CLINICA DE HERIDAS ",IF(O129=CURSOS!$D$11,"TOMA DE CITOLOGIA CERVICO VAGINAL ",IF(O129=CURSOS!$D$12,"SOPORTE CARDIOVASCULAR AVANZADO (ACLS) ",IF(O129=CURSOS!$D$13,"CAMILLERO ",IF(O129=CURSOS!$D$14,"TOMA DE MUESTRAS Y LABORATORIO ",IF(O129=CURSOS!$D$15,"SOPORTE VITAL BASICO (BLS)",IF(O129=CURSOS!$D$16,"ATENCION A VICTIMAS DE VIOLENCIA SEXUAL ",IF(O129=CURSOS!$D$17,"PROGRAMADO AMPLIADO DE INMUNIZACION (PAI - COVID 19)",IF(O129=CURSOS!$D$18,"ATENCION INTEGRAL EN ENFERMEDADES PREVALENTES EN PRIMERA INFANCIA (AIEPI)",IF(O129=CURSOS!$D$19,"ADMINISTRACION DE MEDICAMENTOS, INYECTOLOGIA  Y CANALIZACION ",IF(O129=CURSOS!$D$20,"OPERADOR DE VEHICULOS DE EMERGENCIA (OVE)",IF(O129=CURSOS!$D$21,"INSTITUCIONES AMIGAS DE LA MUJER Y LA INFANCIA (IAMI)",IF(O129=CURSOS!$D$22,"CUIDADO DEL DONANTE DE ORGANOS",IF(O129=CURSOS!$D$23,"ATENCION A VICTIMAS POR VIOLENCIA DE GENERO",IF(O129=CURSOS!$D$24,"IGUALDAD DE GENERO EN LA SALUD",IF(O129=CURSOS!$D$25,"BRIGADA DE EMERGENCIA",IF(O129=CURSOS!$D$26,"MANEJO DEL DOLOR Y CUIDADOS PALIATIVOS",IF(O129=CURSOS!$D$27,"TOMA DE MUESTRAS Y LABORATORIO POCT",IF(O129=CURSOS!$D$28,"IMPLANTE SUBDERMICO DE DISPOSITIVO INTRAUTERINO",IF(O129=CURSOS!$D$29,"SALUD MENTAL",IF(O129=CURSOS!$D$30,"PRIMEROS AUXILIOS PSICOLOGICOS",IF(O129=CURSOS!$D$31,"ATENCION A VICTIMAS POR CONFLICTO ARMADO",IF(O129=CURSOS!$D$32,"MANIPULACION DE ALIMENTOS Y BPM",IF(O129=CURSOS!$D$33,"ATENCION A PERSONAS CON DISCAPACIDAD",IF(O129=CURSOS!$D$34,"CUIDADO INTEGRAL DEL PACIENTE ADULTO",IF(O129=CURSOS!$D$35,"MANEJO DEFENSIVO",IF(O129=CURSOS!$D$36,"SOPORTE CARDIOVASCULAR AVANZADO NEONATAL",IF(O129=CURSOS!$D$37,"SEGURIDAD DEL PACIENTE",IF(O129=CURSOS!$D$38,"MANEJO Y USO DEL DEA",IF(O129=CURSOS!$D$39,"TRIAGE")))))))))))))))))))))))))))))))))))))</f>
        <v xml:space="preserve">ATENCION A VICTIMAS DE ATAQUE CON AGENTES QUIMICOS </v>
      </c>
      <c r="V129" s="105" t="str">
        <f t="shared" si="17"/>
        <v>Deiner Jose Carrillo Solano</v>
      </c>
      <c r="W129" s="105" t="str">
        <f t="shared" si="18"/>
        <v>Deiner Jose Carrillo Solano</v>
      </c>
      <c r="X129" s="105" t="str">
        <f t="shared" si="19"/>
        <v>Deiner Jose Carrillo Solano-1127577221-QUIMICOS</v>
      </c>
    </row>
    <row r="130" spans="1:24" hidden="1" x14ac:dyDescent="0.2">
      <c r="A130" s="103">
        <v>129</v>
      </c>
      <c r="B130" s="105">
        <v>59395431</v>
      </c>
      <c r="C130" s="128" t="s">
        <v>129</v>
      </c>
      <c r="D130" s="128" t="s">
        <v>130</v>
      </c>
      <c r="E130" s="128" t="s">
        <v>131</v>
      </c>
      <c r="F130" s="128" t="s">
        <v>132</v>
      </c>
      <c r="G130" s="129">
        <v>18</v>
      </c>
      <c r="H130" s="106" t="s">
        <v>99</v>
      </c>
      <c r="I130" s="106" t="s">
        <v>408</v>
      </c>
      <c r="J130" s="130">
        <v>45555</v>
      </c>
      <c r="K130" s="88">
        <v>28000</v>
      </c>
      <c r="L130" s="130" t="s">
        <v>138</v>
      </c>
      <c r="M130" s="106" t="s">
        <v>180</v>
      </c>
      <c r="N130" s="106" t="s">
        <v>109</v>
      </c>
      <c r="O130" s="108" t="s">
        <v>43</v>
      </c>
      <c r="P130" s="104">
        <v>3024790108</v>
      </c>
      <c r="Q130" s="106" t="s">
        <v>110</v>
      </c>
      <c r="R130" s="127" t="s">
        <v>123</v>
      </c>
      <c r="S130" s="105">
        <v>3024790108</v>
      </c>
      <c r="T130" s="111" t="s">
        <v>133</v>
      </c>
      <c r="U130" s="105" t="str">
        <f>IF(O130=CURSOS!$D$3,"DIPLOMADO EN ATENCION PRE-HOSPITALARIA",IF(O130=CURSOS!$D$4,"ACOMPAÑAMIENTO Y MANEJO DEL DUELO",IF(O130=CURSOS!$D$5,"ATENCION A VICTIMAS DE ATAQUE CON AGENTES QUIMICOS ",IF(O130=CURSOS!$D$6,"PRIMEROS AUXILIOS ",IF(O130=CURSOS!$D$7,"DIPLOMADO DE UNIDAD DE CUIDADOS INTENSIVOS (UCI)",IF(O130=CURSOS!$D$8,"MODELO DE ATENCION PARA EVENTOS EMERGENTES EN SALUD MENTAL (CODIGO VERDE)",IF(O130=CURSOS!$D$9,"HUMANIZACION EN EL SERVICIO DE LA SALUD Y BUENAS PRACTICAS EN PACIENTE ",IF(O130=CURSOS!$D$10,"CLINICA DE HERIDAS ",IF(O130=CURSOS!$D$11,"TOMA DE CITOLOGIA CERVICO VAGINAL ",IF(O130=CURSOS!$D$12,"SOPORTE CARDIOVASCULAR AVANZADO (ACLS) ",IF(O130=CURSOS!$D$13,"CAMILLERO ",IF(O130=CURSOS!$D$14,"TOMA DE MUESTRAS Y LABORATORIO ",IF(O130=CURSOS!$D$15,"SOPORTE VITAL BASICO (BLS)",IF(O130=CURSOS!$D$16,"ATENCION A VICTIMAS DE VIOLENCIA SEXUAL ",IF(O130=CURSOS!$D$17,"PROGRAMADO AMPLIADO DE INMUNIZACION (PAI - COVID 19)",IF(O130=CURSOS!$D$18,"ATENCION INTEGRAL EN ENFERMEDADES PREVALENTES EN PRIMERA INFANCIA (AIEPI)",IF(O130=CURSOS!$D$19,"ADMINISTRACION DE MEDICAMENTOS, INYECTOLOGIA  Y CANALIZACION ",IF(O130=CURSOS!$D$20,"OPERADOR DE VEHICULOS DE EMERGENCIA (OVE)",IF(O130=CURSOS!$D$21,"INSTITUCIONES AMIGAS DE LA MUJER Y LA INFANCIA (IAMI)",IF(O130=CURSOS!$D$22,"CUIDADO DEL DONANTE DE ORGANOS",IF(O130=CURSOS!$D$23,"ATENCION A VICTIMAS POR VIOLENCIA DE GENERO",IF(O130=CURSOS!$D$24,"IGUALDAD DE GENERO EN LA SALUD",IF(O130=CURSOS!$D$25,"BRIGADA DE EMERGENCIA",IF(O130=CURSOS!$D$26,"MANEJO DEL DOLOR Y CUIDADOS PALIATIVOS",IF(O130=CURSOS!$D$27,"TOMA DE MUESTRAS Y LABORATORIO POCT",IF(O130=CURSOS!$D$28,"IMPLANTE SUBDERMICO DE DISPOSITIVO INTRAUTERINO",IF(O130=CURSOS!$D$29,"SALUD MENTAL",IF(O130=CURSOS!$D$30,"PRIMEROS AUXILIOS PSICOLOGICOS",IF(O130=CURSOS!$D$31,"ATENCION A VICTIMAS POR CONFLICTO ARMADO",IF(O130=CURSOS!$D$32,"MANIPULACION DE ALIMENTOS Y BPM",IF(O130=CURSOS!$D$33,"ATENCION A PERSONAS CON DISCAPACIDAD",IF(O130=CURSOS!$D$34,"CUIDADO INTEGRAL DEL PACIENTE ADULTO",IF(O130=CURSOS!$D$35,"MANEJO DEFENSIVO",IF(O130=CURSOS!$D$36,"SOPORTE CARDIOVASCULAR AVANZADO NEONATAL",IF(O130=CURSOS!$D$37,"SEGURIDAD DEL PACIENTE",IF(O130=CURSOS!$D$38,"MANEJO Y USO DEL DEA",IF(O130=CURSOS!$D$39,"TRIAGE")))))))))))))))))))))))))))))))))))))</f>
        <v xml:space="preserve">ATENCION A VICTIMAS DE VIOLENCIA SEXUAL </v>
      </c>
      <c r="V130" s="105" t="str">
        <f t="shared" si="17"/>
        <v>Diana Patricia Martínez Castro</v>
      </c>
      <c r="W130" s="105" t="str">
        <f t="shared" si="18"/>
        <v>Diana Patricia Martínez Castro</v>
      </c>
      <c r="X130" s="105" t="str">
        <f t="shared" si="19"/>
        <v>Diana Patricia Martínez Castro-59395431-VIOLENCIA SEXUAL</v>
      </c>
    </row>
    <row r="131" spans="1:24" hidden="1" x14ac:dyDescent="0.2">
      <c r="A131" s="103">
        <v>130</v>
      </c>
      <c r="B131" s="105">
        <v>59395431</v>
      </c>
      <c r="C131" s="128" t="s">
        <v>129</v>
      </c>
      <c r="D131" s="128" t="s">
        <v>130</v>
      </c>
      <c r="E131" s="128" t="s">
        <v>131</v>
      </c>
      <c r="F131" s="128" t="s">
        <v>132</v>
      </c>
      <c r="G131" s="129">
        <v>19</v>
      </c>
      <c r="H131" s="106" t="s">
        <v>99</v>
      </c>
      <c r="I131" s="106" t="s">
        <v>408</v>
      </c>
      <c r="J131" s="130">
        <v>45555</v>
      </c>
      <c r="K131" s="88">
        <v>28000</v>
      </c>
      <c r="L131" s="130" t="s">
        <v>138</v>
      </c>
      <c r="M131" s="106" t="s">
        <v>180</v>
      </c>
      <c r="N131" s="106" t="s">
        <v>109</v>
      </c>
      <c r="O131" s="108" t="s">
        <v>25</v>
      </c>
      <c r="P131" s="104">
        <v>3024790108</v>
      </c>
      <c r="Q131" s="106" t="s">
        <v>110</v>
      </c>
      <c r="R131" s="127" t="s">
        <v>123</v>
      </c>
      <c r="S131" s="105">
        <v>3024790108</v>
      </c>
      <c r="T131" s="111" t="s">
        <v>133</v>
      </c>
      <c r="U131" s="105" t="str">
        <f>IF(O131=CURSOS!$D$3,"DIPLOMADO EN ATENCION PRE-HOSPITALARIA",IF(O131=CURSOS!$D$4,"ACOMPAÑAMIENTO Y MANEJO DEL DUELO",IF(O131=CURSOS!$D$5,"ATENCION A VICTIMAS DE ATAQUE CON AGENTES QUIMICOS ",IF(O131=CURSOS!$D$6,"PRIMEROS AUXILIOS ",IF(O131=CURSOS!$D$7,"DIPLOMADO DE UNIDAD DE CUIDADOS INTENSIVOS (UCI)",IF(O131=CURSOS!$D$8,"MODELO DE ATENCION PARA EVENTOS EMERGENTES EN SALUD MENTAL (CODIGO VERDE)",IF(O131=CURSOS!$D$9,"HUMANIZACION EN EL SERVICIO DE LA SALUD Y BUENAS PRACTICAS EN PACIENTE ",IF(O131=CURSOS!$D$10,"CLINICA DE HERIDAS ",IF(O131=CURSOS!$D$11,"TOMA DE CITOLOGIA CERVICO VAGINAL ",IF(O131=CURSOS!$D$12,"SOPORTE CARDIOVASCULAR AVANZADO (ACLS) ",IF(O131=CURSOS!$D$13,"CAMILLERO ",IF(O131=CURSOS!$D$14,"TOMA DE MUESTRAS Y LABORATORIO ",IF(O131=CURSOS!$D$15,"SOPORTE VITAL BASICO (BLS)",IF(O131=CURSOS!$D$16,"ATENCION A VICTIMAS DE VIOLENCIA SEXUAL ",IF(O131=CURSOS!$D$17,"PROGRAMADO AMPLIADO DE INMUNIZACION (PAI - COVID 19)",IF(O131=CURSOS!$D$18,"ATENCION INTEGRAL EN ENFERMEDADES PREVALENTES EN PRIMERA INFANCIA (AIEPI)",IF(O131=CURSOS!$D$19,"ADMINISTRACION DE MEDICAMENTOS, INYECTOLOGIA  Y CANALIZACION ",IF(O131=CURSOS!$D$20,"OPERADOR DE VEHICULOS DE EMERGENCIA (OVE)",IF(O131=CURSOS!$D$21,"INSTITUCIONES AMIGAS DE LA MUJER Y LA INFANCIA (IAMI)",IF(O131=CURSOS!$D$22,"CUIDADO DEL DONANTE DE ORGANOS",IF(O131=CURSOS!$D$23,"ATENCION A VICTIMAS POR VIOLENCIA DE GENERO",IF(O131=CURSOS!$D$24,"IGUALDAD DE GENERO EN LA SALUD",IF(O131=CURSOS!$D$25,"BRIGADA DE EMERGENCIA",IF(O131=CURSOS!$D$26,"MANEJO DEL DOLOR Y CUIDADOS PALIATIVOS",IF(O131=CURSOS!$D$27,"TOMA DE MUESTRAS Y LABORATORIO POCT",IF(O131=CURSOS!$D$28,"IMPLANTE SUBDERMICO DE DISPOSITIVO INTRAUTERINO",IF(O131=CURSOS!$D$29,"SALUD MENTAL",IF(O131=CURSOS!$D$30,"PRIMEROS AUXILIOS PSICOLOGICOS",IF(O131=CURSOS!$D$31,"ATENCION A VICTIMAS POR CONFLICTO ARMADO",IF(O131=CURSOS!$D$32,"MANIPULACION DE ALIMENTOS Y BPM",IF(O131=CURSOS!$D$33,"ATENCION A PERSONAS CON DISCAPACIDAD",IF(O131=CURSOS!$D$34,"CUIDADO INTEGRAL DEL PACIENTE ADULTO",IF(O131=CURSOS!$D$35,"MANEJO DEFENSIVO",IF(O131=CURSOS!$D$36,"SOPORTE CARDIOVASCULAR AVANZADO NEONATAL",IF(O131=CURSOS!$D$37,"SEGURIDAD DEL PACIENTE",IF(O131=CURSOS!$D$38,"MANEJO Y USO DEL DEA",IF(O131=CURSOS!$D$39,"TRIAGE")))))))))))))))))))))))))))))))))))))</f>
        <v xml:space="preserve">ATENCION A VICTIMAS DE ATAQUE CON AGENTES QUIMICOS </v>
      </c>
      <c r="V131" s="105" t="str">
        <f t="shared" si="17"/>
        <v>Diana Patricia Martínez Castro</v>
      </c>
      <c r="W131" s="105" t="str">
        <f t="shared" si="18"/>
        <v>Diana Patricia Martínez Castro</v>
      </c>
      <c r="X131" s="105" t="str">
        <f t="shared" si="19"/>
        <v>Diana Patricia Martínez Castro-59395431-QUIMICOS</v>
      </c>
    </row>
    <row r="132" spans="1:24" hidden="1" x14ac:dyDescent="0.2">
      <c r="A132" s="103">
        <v>131</v>
      </c>
      <c r="B132" s="105">
        <v>1088736872</v>
      </c>
      <c r="C132" s="128" t="s">
        <v>119</v>
      </c>
      <c r="D132" s="128" t="s">
        <v>451</v>
      </c>
      <c r="E132" s="128" t="s">
        <v>452</v>
      </c>
      <c r="F132" s="128" t="s">
        <v>86</v>
      </c>
      <c r="G132" s="129">
        <v>18</v>
      </c>
      <c r="H132" s="106" t="s">
        <v>99</v>
      </c>
      <c r="I132" s="106" t="s">
        <v>408</v>
      </c>
      <c r="J132" s="130">
        <v>45555</v>
      </c>
      <c r="K132" s="88">
        <v>28000</v>
      </c>
      <c r="L132" s="130" t="s">
        <v>138</v>
      </c>
      <c r="M132" s="106" t="s">
        <v>180</v>
      </c>
      <c r="N132" s="106" t="s">
        <v>109</v>
      </c>
      <c r="O132" s="108" t="s">
        <v>43</v>
      </c>
      <c r="P132" s="104">
        <v>3104233394</v>
      </c>
      <c r="Q132" s="106" t="s">
        <v>110</v>
      </c>
      <c r="R132" s="127" t="s">
        <v>346</v>
      </c>
      <c r="S132" s="105">
        <v>3104233394</v>
      </c>
      <c r="T132" s="111" t="s">
        <v>133</v>
      </c>
      <c r="U132" s="105" t="str">
        <f>IF(O132=CURSOS!$D$3,"DIPLOMADO EN ATENCION PRE-HOSPITALARIA",IF(O132=CURSOS!$D$4,"ACOMPAÑAMIENTO Y MANEJO DEL DUELO",IF(O132=CURSOS!$D$5,"ATENCION A VICTIMAS DE ATAQUE CON AGENTES QUIMICOS ",IF(O132=CURSOS!$D$6,"PRIMEROS AUXILIOS ",IF(O132=CURSOS!$D$7,"DIPLOMADO DE UNIDAD DE CUIDADOS INTENSIVOS (UCI)",IF(O132=CURSOS!$D$8,"MODELO DE ATENCION PARA EVENTOS EMERGENTES EN SALUD MENTAL (CODIGO VERDE)",IF(O132=CURSOS!$D$9,"HUMANIZACION EN EL SERVICIO DE LA SALUD Y BUENAS PRACTICAS EN PACIENTE ",IF(O132=CURSOS!$D$10,"CLINICA DE HERIDAS ",IF(O132=CURSOS!$D$11,"TOMA DE CITOLOGIA CERVICO VAGINAL ",IF(O132=CURSOS!$D$12,"SOPORTE CARDIOVASCULAR AVANZADO (ACLS) ",IF(O132=CURSOS!$D$13,"CAMILLERO ",IF(O132=CURSOS!$D$14,"TOMA DE MUESTRAS Y LABORATORIO ",IF(O132=CURSOS!$D$15,"SOPORTE VITAL BASICO (BLS)",IF(O132=CURSOS!$D$16,"ATENCION A VICTIMAS DE VIOLENCIA SEXUAL ",IF(O132=CURSOS!$D$17,"PROGRAMADO AMPLIADO DE INMUNIZACION (PAI - COVID 19)",IF(O132=CURSOS!$D$18,"ATENCION INTEGRAL EN ENFERMEDADES PREVALENTES EN PRIMERA INFANCIA (AIEPI)",IF(O132=CURSOS!$D$19,"ADMINISTRACION DE MEDICAMENTOS, INYECTOLOGIA  Y CANALIZACION ",IF(O132=CURSOS!$D$20,"OPERADOR DE VEHICULOS DE EMERGENCIA (OVE)",IF(O132=CURSOS!$D$21,"INSTITUCIONES AMIGAS DE LA MUJER Y LA INFANCIA (IAMI)",IF(O132=CURSOS!$D$22,"CUIDADO DEL DONANTE DE ORGANOS",IF(O132=CURSOS!$D$23,"ATENCION A VICTIMAS POR VIOLENCIA DE GENERO",IF(O132=CURSOS!$D$24,"IGUALDAD DE GENERO EN LA SALUD",IF(O132=CURSOS!$D$25,"BRIGADA DE EMERGENCIA",IF(O132=CURSOS!$D$26,"MANEJO DEL DOLOR Y CUIDADOS PALIATIVOS",IF(O132=CURSOS!$D$27,"TOMA DE MUESTRAS Y LABORATORIO POCT",IF(O132=CURSOS!$D$28,"IMPLANTE SUBDERMICO DE DISPOSITIVO INTRAUTERINO",IF(O132=CURSOS!$D$29,"SALUD MENTAL",IF(O132=CURSOS!$D$30,"PRIMEROS AUXILIOS PSICOLOGICOS",IF(O132=CURSOS!$D$31,"ATENCION A VICTIMAS POR CONFLICTO ARMADO",IF(O132=CURSOS!$D$32,"MANIPULACION DE ALIMENTOS Y BPM",IF(O132=CURSOS!$D$33,"ATENCION A PERSONAS CON DISCAPACIDAD",IF(O132=CURSOS!$D$34,"CUIDADO INTEGRAL DEL PACIENTE ADULTO",IF(O132=CURSOS!$D$35,"MANEJO DEFENSIVO",IF(O132=CURSOS!$D$36,"SOPORTE CARDIOVASCULAR AVANZADO NEONATAL",IF(O132=CURSOS!$D$37,"SEGURIDAD DEL PACIENTE",IF(O132=CURSOS!$D$38,"MANEJO Y USO DEL DEA",IF(O132=CURSOS!$D$39,"TRIAGE")))))))))))))))))))))))))))))))))))))</f>
        <v xml:space="preserve">ATENCION A VICTIMAS DE VIOLENCIA SEXUAL </v>
      </c>
      <c r="V132" s="105" t="str">
        <f t="shared" si="17"/>
        <v>Camila Alejandra Pantoja Rojas</v>
      </c>
      <c r="W132" s="105" t="str">
        <f t="shared" si="18"/>
        <v>Camila Alejandra Pantoja Rojas</v>
      </c>
      <c r="X132" s="105" t="str">
        <f t="shared" si="19"/>
        <v>Camila Alejandra Pantoja Rojas-1088736872-VIOLENCIA SEXUAL</v>
      </c>
    </row>
    <row r="133" spans="1:24" hidden="1" x14ac:dyDescent="0.2">
      <c r="A133" s="103">
        <v>132</v>
      </c>
      <c r="B133" s="105">
        <v>1088736872</v>
      </c>
      <c r="C133" s="128" t="s">
        <v>119</v>
      </c>
      <c r="D133" s="128" t="s">
        <v>451</v>
      </c>
      <c r="E133" s="128" t="s">
        <v>452</v>
      </c>
      <c r="F133" s="128" t="s">
        <v>86</v>
      </c>
      <c r="G133" s="129">
        <v>19</v>
      </c>
      <c r="H133" s="106" t="s">
        <v>99</v>
      </c>
      <c r="I133" s="106" t="s">
        <v>408</v>
      </c>
      <c r="J133" s="130">
        <v>45555</v>
      </c>
      <c r="K133" s="88">
        <v>28000</v>
      </c>
      <c r="L133" s="130" t="s">
        <v>138</v>
      </c>
      <c r="M133" s="106" t="s">
        <v>180</v>
      </c>
      <c r="N133" s="106" t="s">
        <v>109</v>
      </c>
      <c r="O133" s="120" t="s">
        <v>25</v>
      </c>
      <c r="P133" s="104">
        <v>3104233394</v>
      </c>
      <c r="Q133" s="106" t="s">
        <v>110</v>
      </c>
      <c r="R133" s="127" t="s">
        <v>346</v>
      </c>
      <c r="S133" s="105">
        <v>3104233394</v>
      </c>
      <c r="T133" s="111" t="s">
        <v>133</v>
      </c>
      <c r="U133" s="105" t="str">
        <f>IF(O133=CURSOS!$D$3,"DIPLOMADO EN ATENCION PRE-HOSPITALARIA",IF(O133=CURSOS!$D$4,"ACOMPAÑAMIENTO Y MANEJO DEL DUELO",IF(O133=CURSOS!$D$5,"ATENCION A VICTIMAS DE ATAQUE CON AGENTES QUIMICOS ",IF(O133=CURSOS!$D$6,"PRIMEROS AUXILIOS ",IF(O133=CURSOS!$D$7,"DIPLOMADO DE UNIDAD DE CUIDADOS INTENSIVOS (UCI)",IF(O133=CURSOS!$D$8,"MODELO DE ATENCION PARA EVENTOS EMERGENTES EN SALUD MENTAL (CODIGO VERDE)",IF(O133=CURSOS!$D$9,"HUMANIZACION EN EL SERVICIO DE LA SALUD Y BUENAS PRACTICAS EN PACIENTE ",IF(O133=CURSOS!$D$10,"CLINICA DE HERIDAS ",IF(O133=CURSOS!$D$11,"TOMA DE CITOLOGIA CERVICO VAGINAL ",IF(O133=CURSOS!$D$12,"SOPORTE CARDIOVASCULAR AVANZADO (ACLS) ",IF(O133=CURSOS!$D$13,"CAMILLERO ",IF(O133=CURSOS!$D$14,"TOMA DE MUESTRAS Y LABORATORIO ",IF(O133=CURSOS!$D$15,"SOPORTE VITAL BASICO (BLS)",IF(O133=CURSOS!$D$16,"ATENCION A VICTIMAS DE VIOLENCIA SEXUAL ",IF(O133=CURSOS!$D$17,"PROGRAMADO AMPLIADO DE INMUNIZACION (PAI - COVID 19)",IF(O133=CURSOS!$D$18,"ATENCION INTEGRAL EN ENFERMEDADES PREVALENTES EN PRIMERA INFANCIA (AIEPI)",IF(O133=CURSOS!$D$19,"ADMINISTRACION DE MEDICAMENTOS, INYECTOLOGIA  Y CANALIZACION ",IF(O133=CURSOS!$D$20,"OPERADOR DE VEHICULOS DE EMERGENCIA (OVE)",IF(O133=CURSOS!$D$21,"INSTITUCIONES AMIGAS DE LA MUJER Y LA INFANCIA (IAMI)",IF(O133=CURSOS!$D$22,"CUIDADO DEL DONANTE DE ORGANOS",IF(O133=CURSOS!$D$23,"ATENCION A VICTIMAS POR VIOLENCIA DE GENERO",IF(O133=CURSOS!$D$24,"IGUALDAD DE GENERO EN LA SALUD",IF(O133=CURSOS!$D$25,"BRIGADA DE EMERGENCIA",IF(O133=CURSOS!$D$26,"MANEJO DEL DOLOR Y CUIDADOS PALIATIVOS",IF(O133=CURSOS!$D$27,"TOMA DE MUESTRAS Y LABORATORIO POCT",IF(O133=CURSOS!$D$28,"IMPLANTE SUBDERMICO DE DISPOSITIVO INTRAUTERINO",IF(O133=CURSOS!$D$29,"SALUD MENTAL",IF(O133=CURSOS!$D$30,"PRIMEROS AUXILIOS PSICOLOGICOS",IF(O133=CURSOS!$D$31,"ATENCION A VICTIMAS POR CONFLICTO ARMADO",IF(O133=CURSOS!$D$32,"MANIPULACION DE ALIMENTOS Y BPM",IF(O133=CURSOS!$D$33,"ATENCION A PERSONAS CON DISCAPACIDAD",IF(O133=CURSOS!$D$34,"CUIDADO INTEGRAL DEL PACIENTE ADULTO",IF(O133=CURSOS!$D$35,"MANEJO DEFENSIVO",IF(O133=CURSOS!$D$36,"SOPORTE CARDIOVASCULAR AVANZADO NEONATAL",IF(O133=CURSOS!$D$37,"SEGURIDAD DEL PACIENTE",IF(O133=CURSOS!$D$38,"MANEJO Y USO DEL DEA",IF(O133=CURSOS!$D$39,"TRIAGE")))))))))))))))))))))))))))))))))))))</f>
        <v xml:space="preserve">ATENCION A VICTIMAS DE ATAQUE CON AGENTES QUIMICOS </v>
      </c>
      <c r="V133" s="105" t="str">
        <f t="shared" si="17"/>
        <v>Camila Alejandra Pantoja Rojas</v>
      </c>
      <c r="W133" s="105" t="str">
        <f t="shared" si="18"/>
        <v>Camila Alejandra Pantoja Rojas</v>
      </c>
      <c r="X133" s="105" t="str">
        <f t="shared" si="19"/>
        <v>Camila Alejandra Pantoja Rojas-1088736872-QUIMICOS</v>
      </c>
    </row>
    <row r="134" spans="1:24" hidden="1" x14ac:dyDescent="0.2">
      <c r="A134" s="103">
        <v>133</v>
      </c>
      <c r="B134" s="105">
        <v>1088736872</v>
      </c>
      <c r="C134" s="128" t="s">
        <v>119</v>
      </c>
      <c r="D134" s="128" t="s">
        <v>451</v>
      </c>
      <c r="E134" s="128" t="s">
        <v>452</v>
      </c>
      <c r="F134" s="128" t="s">
        <v>86</v>
      </c>
      <c r="G134" s="129">
        <v>20</v>
      </c>
      <c r="H134" s="106" t="s">
        <v>99</v>
      </c>
      <c r="I134" s="106" t="s">
        <v>408</v>
      </c>
      <c r="J134" s="130">
        <v>45555</v>
      </c>
      <c r="K134" s="88">
        <v>28000</v>
      </c>
      <c r="L134" s="130" t="s">
        <v>138</v>
      </c>
      <c r="M134" s="106" t="s">
        <v>180</v>
      </c>
      <c r="N134" s="106" t="s">
        <v>109</v>
      </c>
      <c r="O134" s="108" t="s">
        <v>23</v>
      </c>
      <c r="P134" s="104">
        <v>3104233394</v>
      </c>
      <c r="Q134" s="106" t="s">
        <v>110</v>
      </c>
      <c r="R134" s="127" t="s">
        <v>346</v>
      </c>
      <c r="S134" s="105">
        <v>3104233394</v>
      </c>
      <c r="T134" s="111" t="s">
        <v>133</v>
      </c>
      <c r="U134" s="105" t="str">
        <f>IF(O134=CURSOS!$D$3,"DIPLOMADO EN ATENCION PRE-HOSPITALARIA",IF(O134=CURSOS!$D$4,"ACOMPAÑAMIENTO Y MANEJO DEL DUELO",IF(O134=CURSOS!$D$5,"ATENCION A VICTIMAS DE ATAQUE CON AGENTES QUIMICOS ",IF(O134=CURSOS!$D$6,"PRIMEROS AUXILIOS ",IF(O134=CURSOS!$D$7,"DIPLOMADO DE UNIDAD DE CUIDADOS INTENSIVOS (UCI)",IF(O134=CURSOS!$D$8,"MODELO DE ATENCION PARA EVENTOS EMERGENTES EN SALUD MENTAL (CODIGO VERDE)",IF(O134=CURSOS!$D$9,"HUMANIZACION EN EL SERVICIO DE LA SALUD Y BUENAS PRACTICAS EN PACIENTE ",IF(O134=CURSOS!$D$10,"CLINICA DE HERIDAS ",IF(O134=CURSOS!$D$11,"TOMA DE CITOLOGIA CERVICO VAGINAL ",IF(O134=CURSOS!$D$12,"SOPORTE CARDIOVASCULAR AVANZADO (ACLS) ",IF(O134=CURSOS!$D$13,"CAMILLERO ",IF(O134=CURSOS!$D$14,"TOMA DE MUESTRAS Y LABORATORIO ",IF(O134=CURSOS!$D$15,"SOPORTE VITAL BASICO (BLS)",IF(O134=CURSOS!$D$16,"ATENCION A VICTIMAS DE VIOLENCIA SEXUAL ",IF(O134=CURSOS!$D$17,"PROGRAMADO AMPLIADO DE INMUNIZACION (PAI - COVID 19)",IF(O134=CURSOS!$D$18,"ATENCION INTEGRAL EN ENFERMEDADES PREVALENTES EN PRIMERA INFANCIA (AIEPI)",IF(O134=CURSOS!$D$19,"ADMINISTRACION DE MEDICAMENTOS, INYECTOLOGIA  Y CANALIZACION ",IF(O134=CURSOS!$D$20,"OPERADOR DE VEHICULOS DE EMERGENCIA (OVE)",IF(O134=CURSOS!$D$21,"INSTITUCIONES AMIGAS DE LA MUJER Y LA INFANCIA (IAMI)",IF(O134=CURSOS!$D$22,"CUIDADO DEL DONANTE DE ORGANOS",IF(O134=CURSOS!$D$23,"ATENCION A VICTIMAS POR VIOLENCIA DE GENERO",IF(O134=CURSOS!$D$24,"IGUALDAD DE GENERO EN LA SALUD",IF(O134=CURSOS!$D$25,"BRIGADA DE EMERGENCIA",IF(O134=CURSOS!$D$26,"MANEJO DEL DOLOR Y CUIDADOS PALIATIVOS",IF(O134=CURSOS!$D$27,"TOMA DE MUESTRAS Y LABORATORIO POCT",IF(O134=CURSOS!$D$28,"IMPLANTE SUBDERMICO DE DISPOSITIVO INTRAUTERINO",IF(O134=CURSOS!$D$29,"SALUD MENTAL",IF(O134=CURSOS!$D$30,"PRIMEROS AUXILIOS PSICOLOGICOS",IF(O134=CURSOS!$D$31,"ATENCION A VICTIMAS POR CONFLICTO ARMADO",IF(O134=CURSOS!$D$32,"MANIPULACION DE ALIMENTOS Y BPM",IF(O134=CURSOS!$D$33,"ATENCION A PERSONAS CON DISCAPACIDAD",IF(O134=CURSOS!$D$34,"CUIDADO INTEGRAL DEL PACIENTE ADULTO",IF(O134=CURSOS!$D$35,"MANEJO DEFENSIVO",IF(O134=CURSOS!$D$36,"SOPORTE CARDIOVASCULAR AVANZADO NEONATAL",IF(O134=CURSOS!$D$37,"SEGURIDAD DEL PACIENTE",IF(O134=CURSOS!$D$38,"MANEJO Y USO DEL DEA",IF(O134=CURSOS!$D$39,"TRIAGE")))))))))))))))))))))))))))))))))))))</f>
        <v>ACOMPAÑAMIENTO Y MANEJO DEL DUELO</v>
      </c>
      <c r="V134" s="105" t="str">
        <f t="shared" si="17"/>
        <v>Camila Alejandra Pantoja Rojas</v>
      </c>
      <c r="W134" s="105" t="str">
        <f t="shared" si="18"/>
        <v>Camila Alejandra Pantoja Rojas</v>
      </c>
      <c r="X134" s="105" t="str">
        <f t="shared" si="19"/>
        <v>Camila Alejandra Pantoja Rojas-1088736872-DUELO</v>
      </c>
    </row>
    <row r="135" spans="1:24" hidden="1" x14ac:dyDescent="0.2">
      <c r="A135" s="103">
        <v>134</v>
      </c>
      <c r="B135" s="105">
        <v>1088736872</v>
      </c>
      <c r="C135" s="128" t="s">
        <v>119</v>
      </c>
      <c r="D135" s="128" t="s">
        <v>451</v>
      </c>
      <c r="E135" s="128" t="s">
        <v>452</v>
      </c>
      <c r="F135" s="128" t="s">
        <v>86</v>
      </c>
      <c r="G135" s="129">
        <v>20</v>
      </c>
      <c r="H135" s="106" t="s">
        <v>99</v>
      </c>
      <c r="I135" s="106" t="s">
        <v>408</v>
      </c>
      <c r="J135" s="130">
        <v>45555</v>
      </c>
      <c r="K135" s="88">
        <v>28000</v>
      </c>
      <c r="L135" s="130" t="s">
        <v>138</v>
      </c>
      <c r="M135" s="106" t="s">
        <v>180</v>
      </c>
      <c r="N135" s="106" t="s">
        <v>109</v>
      </c>
      <c r="O135" s="108" t="s">
        <v>46</v>
      </c>
      <c r="P135" s="104">
        <v>3104233394</v>
      </c>
      <c r="Q135" s="106" t="s">
        <v>110</v>
      </c>
      <c r="R135" s="127" t="s">
        <v>346</v>
      </c>
      <c r="S135" s="105">
        <v>3104233394</v>
      </c>
      <c r="T135" s="111" t="s">
        <v>133</v>
      </c>
      <c r="U135" s="105" t="str">
        <f>IF(O135=CURSOS!$D$3,"DIPLOMADO EN ATENCION PRE-HOSPITALARIA",IF(O135=CURSOS!$D$4,"ACOMPAÑAMIENTO Y MANEJO DEL DUELO",IF(O135=CURSOS!$D$5,"ATENCION A VICTIMAS DE ATAQUE CON AGENTES QUIMICOS ",IF(O135=CURSOS!$D$6,"PRIMEROS AUXILIOS ",IF(O135=CURSOS!$D$7,"DIPLOMADO DE UNIDAD DE CUIDADOS INTENSIVOS (UCI)",IF(O135=CURSOS!$D$8,"MODELO DE ATENCION PARA EVENTOS EMERGENTES EN SALUD MENTAL (CODIGO VERDE)",IF(O135=CURSOS!$D$9,"HUMANIZACION EN EL SERVICIO DE LA SALUD Y BUENAS PRACTICAS EN PACIENTE ",IF(O135=CURSOS!$D$10,"CLINICA DE HERIDAS ",IF(O135=CURSOS!$D$11,"TOMA DE CITOLOGIA CERVICO VAGINAL ",IF(O135=CURSOS!$D$12,"SOPORTE CARDIOVASCULAR AVANZADO (ACLS) ",IF(O135=CURSOS!$D$13,"CAMILLERO ",IF(O135=CURSOS!$D$14,"TOMA DE MUESTRAS Y LABORATORIO ",IF(O135=CURSOS!$D$15,"SOPORTE VITAL BASICO (BLS)",IF(O135=CURSOS!$D$16,"ATENCION A VICTIMAS DE VIOLENCIA SEXUAL ",IF(O135=CURSOS!$D$17,"PROGRAMADO AMPLIADO DE INMUNIZACION (PAI - COVID 19)",IF(O135=CURSOS!$D$18,"ATENCION INTEGRAL EN ENFERMEDADES PREVALENTES EN PRIMERA INFANCIA (AIEPI)",IF(O135=CURSOS!$D$19,"ADMINISTRACION DE MEDICAMENTOS, INYECTOLOGIA  Y CANALIZACION ",IF(O135=CURSOS!$D$20,"OPERADOR DE VEHICULOS DE EMERGENCIA (OVE)",IF(O135=CURSOS!$D$21,"INSTITUCIONES AMIGAS DE LA MUJER Y LA INFANCIA (IAMI)",IF(O135=CURSOS!$D$22,"CUIDADO DEL DONANTE DE ORGANOS",IF(O135=CURSOS!$D$23,"ATENCION A VICTIMAS POR VIOLENCIA DE GENERO",IF(O135=CURSOS!$D$24,"IGUALDAD DE GENERO EN LA SALUD",IF(O135=CURSOS!$D$25,"BRIGADA DE EMERGENCIA",IF(O135=CURSOS!$D$26,"MANEJO DEL DOLOR Y CUIDADOS PALIATIVOS",IF(O135=CURSOS!$D$27,"TOMA DE MUESTRAS Y LABORATORIO POCT",IF(O135=CURSOS!$D$28,"IMPLANTE SUBDERMICO DE DISPOSITIVO INTRAUTERINO",IF(O135=CURSOS!$D$29,"SALUD MENTAL",IF(O135=CURSOS!$D$30,"PRIMEROS AUXILIOS PSICOLOGICOS",IF(O135=CURSOS!$D$31,"ATENCION A VICTIMAS POR CONFLICTO ARMADO",IF(O135=CURSOS!$D$32,"MANIPULACION DE ALIMENTOS Y BPM",IF(O135=CURSOS!$D$33,"ATENCION A PERSONAS CON DISCAPACIDAD",IF(O135=CURSOS!$D$34,"CUIDADO INTEGRAL DEL PACIENTE ADULTO",IF(O135=CURSOS!$D$35,"MANEJO DEFENSIVO",IF(O135=CURSOS!$D$36,"SOPORTE CARDIOVASCULAR AVANZADO NEONATAL",IF(O135=CURSOS!$D$37,"SEGURIDAD DEL PACIENTE",IF(O135=CURSOS!$D$38,"MANEJO Y USO DEL DEA",IF(O135=CURSOS!$D$39,"TRIAGE")))))))))))))))))))))))))))))))))))))</f>
        <v>ATENCION INTEGRAL EN ENFERMEDADES PREVALENTES EN PRIMERA INFANCIA (AIEPI)</v>
      </c>
      <c r="V135" s="105" t="str">
        <f t="shared" ref="V135" si="20">CONCATENATE(E135," ",F135," ",C135," ",D135)</f>
        <v>Camila Alejandra Pantoja Rojas</v>
      </c>
      <c r="W135" s="105" t="str">
        <f t="shared" ref="W135" si="21">+PROPER(V135)</f>
        <v>Camila Alejandra Pantoja Rojas</v>
      </c>
      <c r="X135" s="105" t="str">
        <f t="shared" ref="X135" si="22">CONCATENATE(V135,"-",B135,"-",O135)</f>
        <v>Camila Alejandra Pantoja Rojas-1088736872-AIEPI</v>
      </c>
    </row>
    <row r="136" spans="1:24" hidden="1" x14ac:dyDescent="0.2">
      <c r="A136" s="103">
        <v>135</v>
      </c>
      <c r="B136" s="105">
        <v>1088737698</v>
      </c>
      <c r="C136" s="128" t="s">
        <v>119</v>
      </c>
      <c r="D136" s="128" t="s">
        <v>377</v>
      </c>
      <c r="E136" s="128" t="s">
        <v>453</v>
      </c>
      <c r="F136" s="128" t="s">
        <v>454</v>
      </c>
      <c r="G136" s="129">
        <v>19</v>
      </c>
      <c r="H136" s="106" t="s">
        <v>99</v>
      </c>
      <c r="I136" s="106" t="s">
        <v>408</v>
      </c>
      <c r="J136" s="130">
        <v>45558</v>
      </c>
      <c r="K136" s="88">
        <v>28000</v>
      </c>
      <c r="L136" s="130" t="s">
        <v>138</v>
      </c>
      <c r="M136" s="106" t="s">
        <v>180</v>
      </c>
      <c r="N136" s="106" t="s">
        <v>109</v>
      </c>
      <c r="O136" s="108" t="s">
        <v>25</v>
      </c>
      <c r="P136" s="104">
        <v>3103338848</v>
      </c>
      <c r="Q136" s="106" t="s">
        <v>110</v>
      </c>
      <c r="R136" s="127" t="s">
        <v>123</v>
      </c>
      <c r="S136" s="105">
        <v>3103338848</v>
      </c>
      <c r="T136" s="105" t="s">
        <v>455</v>
      </c>
      <c r="U136" s="105" t="str">
        <f>IF(O136=CURSOS!$D$3,"DIPLOMADO EN ATENCION PRE-HOSPITALARIA",IF(O136=CURSOS!$D$4,"ACOMPAÑAMIENTO Y MANEJO DEL DUELO",IF(O136=CURSOS!$D$5,"ATENCION A VICTIMAS DE ATAQUE CON AGENTES QUIMICOS ",IF(O136=CURSOS!$D$6,"PRIMEROS AUXILIOS ",IF(O136=CURSOS!$D$7,"DIPLOMADO DE UNIDAD DE CUIDADOS INTENSIVOS (UCI)",IF(O136=CURSOS!$D$8,"MODELO DE ATENCION PARA EVENTOS EMERGENTES EN SALUD MENTAL (CODIGO VERDE)",IF(O136=CURSOS!$D$9,"HUMANIZACION EN EL SERVICIO DE LA SALUD Y BUENAS PRACTICAS EN PACIENTE ",IF(O136=CURSOS!$D$10,"CLINICA DE HERIDAS ",IF(O136=CURSOS!$D$11,"TOMA DE CITOLOGIA CERVICO VAGINAL ",IF(O136=CURSOS!$D$12,"SOPORTE CARDIOVASCULAR AVANZADO (ACLS) ",IF(O136=CURSOS!$D$13,"CAMILLERO ",IF(O136=CURSOS!$D$14,"TOMA DE MUESTRAS Y LABORATORIO ",IF(O136=CURSOS!$D$15,"SOPORTE VITAL BASICO (BLS)",IF(O136=CURSOS!$D$16,"ATENCION A VICTIMAS DE VIOLENCIA SEXUAL ",IF(O136=CURSOS!$D$17,"PROGRAMADO AMPLIADO DE INMUNIZACION (PAI - COVID 19)",IF(O136=CURSOS!$D$18,"ATENCION INTEGRAL EN ENFERMEDADES PREVALENTES EN PRIMERA INFANCIA (AIEPI)",IF(O136=CURSOS!$D$19,"ADMINISTRACION DE MEDICAMENTOS, INYECTOLOGIA  Y CANALIZACION ",IF(O136=CURSOS!$D$20,"OPERADOR DE VEHICULOS DE EMERGENCIA (OVE)",IF(O136=CURSOS!$D$21,"INSTITUCIONES AMIGAS DE LA MUJER Y LA INFANCIA (IAMI)",IF(O136=CURSOS!$D$22,"CUIDADO DEL DONANTE DE ORGANOS",IF(O136=CURSOS!$D$23,"ATENCION A VICTIMAS POR VIOLENCIA DE GENERO",IF(O136=CURSOS!$D$24,"IGUALDAD DE GENERO EN LA SALUD",IF(O136=CURSOS!$D$25,"BRIGADA DE EMERGENCIA",IF(O136=CURSOS!$D$26,"MANEJO DEL DOLOR Y CUIDADOS PALIATIVOS",IF(O136=CURSOS!$D$27,"TOMA DE MUESTRAS Y LABORATORIO POCT",IF(O136=CURSOS!$D$28,"IMPLANTE SUBDERMICO DE DISPOSITIVO INTRAUTERINO",IF(O136=CURSOS!$D$29,"SALUD MENTAL",IF(O136=CURSOS!$D$30,"PRIMEROS AUXILIOS PSICOLOGICOS",IF(O136=CURSOS!$D$31,"ATENCION A VICTIMAS POR CONFLICTO ARMADO",IF(O136=CURSOS!$D$32,"MANIPULACION DE ALIMENTOS Y BPM",IF(O136=CURSOS!$D$33,"ATENCION A PERSONAS CON DISCAPACIDAD",IF(O136=CURSOS!$D$34,"CUIDADO INTEGRAL DEL PACIENTE ADULTO",IF(O136=CURSOS!$D$35,"MANEJO DEFENSIVO",IF(O136=CURSOS!$D$36,"SOPORTE CARDIOVASCULAR AVANZADO NEONATAL",IF(O136=CURSOS!$D$37,"SEGURIDAD DEL PACIENTE",IF(O136=CURSOS!$D$38,"MANEJO Y USO DEL DEA",IF(O136=CURSOS!$D$39,"TRIAGE")))))))))))))))))))))))))))))))))))))</f>
        <v xml:space="preserve">ATENCION A VICTIMAS DE ATAQUE CON AGENTES QUIMICOS </v>
      </c>
      <c r="V136" s="105" t="str">
        <f>CONCATENATE(E136," ",F136," ",C136," ",D136)</f>
        <v>Elisabeth Yamile Pantoja Narváez</v>
      </c>
      <c r="W136" s="105" t="str">
        <f>+PROPER(V136)</f>
        <v>Elisabeth Yamile Pantoja Narváez</v>
      </c>
      <c r="X136" s="105" t="str">
        <f>CONCATENATE(V136,"-",B136,"-",O136)</f>
        <v>Elisabeth Yamile Pantoja Narváez-1088737698-QUIMICOS</v>
      </c>
    </row>
    <row r="137" spans="1:24" hidden="1" x14ac:dyDescent="0.2">
      <c r="A137" s="103">
        <v>136</v>
      </c>
      <c r="B137" s="105">
        <v>1088737698</v>
      </c>
      <c r="C137" s="128" t="s">
        <v>119</v>
      </c>
      <c r="D137" s="128" t="s">
        <v>377</v>
      </c>
      <c r="E137" s="128" t="s">
        <v>453</v>
      </c>
      <c r="F137" s="128" t="s">
        <v>454</v>
      </c>
      <c r="G137" s="129">
        <v>20</v>
      </c>
      <c r="H137" s="106" t="s">
        <v>99</v>
      </c>
      <c r="I137" s="106" t="s">
        <v>408</v>
      </c>
      <c r="J137" s="130">
        <v>45558</v>
      </c>
      <c r="K137" s="88">
        <v>28000</v>
      </c>
      <c r="L137" s="130" t="s">
        <v>138</v>
      </c>
      <c r="M137" s="106" t="s">
        <v>180</v>
      </c>
      <c r="N137" s="106" t="s">
        <v>109</v>
      </c>
      <c r="O137" s="108" t="s">
        <v>23</v>
      </c>
      <c r="P137" s="104">
        <v>3103338848</v>
      </c>
      <c r="Q137" s="126" t="s">
        <v>110</v>
      </c>
      <c r="R137" s="127" t="s">
        <v>123</v>
      </c>
      <c r="S137" s="105">
        <v>3103338848</v>
      </c>
      <c r="T137" s="105" t="s">
        <v>455</v>
      </c>
      <c r="U137" s="105" t="str">
        <f>IF(O137=CURSOS!$D$3,"DIPLOMADO EN ATENCION PRE-HOSPITALARIA",IF(O137=CURSOS!$D$4,"ACOMPAÑAMIENTO Y MANEJO DEL DUELO",IF(O137=CURSOS!$D$5,"ATENCION A VICTIMAS DE ATAQUE CON AGENTES QUIMICOS ",IF(O137=CURSOS!$D$6,"PRIMEROS AUXILIOS ",IF(O137=CURSOS!$D$7,"DIPLOMADO DE UNIDAD DE CUIDADOS INTENSIVOS (UCI)",IF(O137=CURSOS!$D$8,"MODELO DE ATENCION PARA EVENTOS EMERGENTES EN SALUD MENTAL (CODIGO VERDE)",IF(O137=CURSOS!$D$9,"HUMANIZACION EN EL SERVICIO DE LA SALUD Y BUENAS PRACTICAS EN PACIENTE ",IF(O137=CURSOS!$D$10,"CLINICA DE HERIDAS ",IF(O137=CURSOS!$D$11,"TOMA DE CITOLOGIA CERVICO VAGINAL ",IF(O137=CURSOS!$D$12,"SOPORTE CARDIOVASCULAR AVANZADO (ACLS) ",IF(O137=CURSOS!$D$13,"CAMILLERO ",IF(O137=CURSOS!$D$14,"TOMA DE MUESTRAS Y LABORATORIO ",IF(O137=CURSOS!$D$15,"SOPORTE VITAL BASICO (BLS)",IF(O137=CURSOS!$D$16,"ATENCION A VICTIMAS DE VIOLENCIA SEXUAL ",IF(O137=CURSOS!$D$17,"PROGRAMADO AMPLIADO DE INMUNIZACION (PAI - COVID 19)",IF(O137=CURSOS!$D$18,"ATENCION INTEGRAL EN ENFERMEDADES PREVALENTES EN PRIMERA INFANCIA (AIEPI)",IF(O137=CURSOS!$D$19,"ADMINISTRACION DE MEDICAMENTOS, INYECTOLOGIA  Y CANALIZACION ",IF(O137=CURSOS!$D$20,"OPERADOR DE VEHICULOS DE EMERGENCIA (OVE)",IF(O137=CURSOS!$D$21,"INSTITUCIONES AMIGAS DE LA MUJER Y LA INFANCIA (IAMI)",IF(O137=CURSOS!$D$22,"CUIDADO DEL DONANTE DE ORGANOS",IF(O137=CURSOS!$D$23,"ATENCION A VICTIMAS POR VIOLENCIA DE GENERO",IF(O137=CURSOS!$D$24,"IGUALDAD DE GENERO EN LA SALUD",IF(O137=CURSOS!$D$25,"BRIGADA DE EMERGENCIA",IF(O137=CURSOS!$D$26,"MANEJO DEL DOLOR Y CUIDADOS PALIATIVOS",IF(O137=CURSOS!$D$27,"TOMA DE MUESTRAS Y LABORATORIO POCT",IF(O137=CURSOS!$D$28,"IMPLANTE SUBDERMICO DE DISPOSITIVO INTRAUTERINO",IF(O137=CURSOS!$D$29,"SALUD MENTAL",IF(O137=CURSOS!$D$30,"PRIMEROS AUXILIOS PSICOLOGICOS",IF(O137=CURSOS!$D$31,"ATENCION A VICTIMAS POR CONFLICTO ARMADO",IF(O137=CURSOS!$D$32,"MANIPULACION DE ALIMENTOS Y BPM",IF(O137=CURSOS!$D$33,"ATENCION A PERSONAS CON DISCAPACIDAD",IF(O137=CURSOS!$D$34,"CUIDADO INTEGRAL DEL PACIENTE ADULTO",IF(O137=CURSOS!$D$35,"MANEJO DEFENSIVO",IF(O137=CURSOS!$D$36,"SOPORTE CARDIOVASCULAR AVANZADO NEONATAL",IF(O137=CURSOS!$D$37,"SEGURIDAD DEL PACIENTE",IF(O137=CURSOS!$D$38,"MANEJO Y USO DEL DEA",IF(O137=CURSOS!$D$39,"TRIAGE")))))))))))))))))))))))))))))))))))))</f>
        <v>ACOMPAÑAMIENTO Y MANEJO DEL DUELO</v>
      </c>
      <c r="V137" s="105" t="str">
        <f>CONCATENATE(E137," ",F137," ",C137," ",D137)</f>
        <v>Elisabeth Yamile Pantoja Narváez</v>
      </c>
      <c r="W137" s="105" t="str">
        <f>+PROPER(V137)</f>
        <v>Elisabeth Yamile Pantoja Narváez</v>
      </c>
      <c r="X137" s="105" t="str">
        <f>CONCATENATE(V137,"-",B137,"-",O137)</f>
        <v>Elisabeth Yamile Pantoja Narváez-1088737698-DUELO</v>
      </c>
    </row>
    <row r="138" spans="1:24" hidden="1" x14ac:dyDescent="0.2">
      <c r="A138" s="103">
        <v>137</v>
      </c>
      <c r="B138" s="105">
        <v>1026279761</v>
      </c>
      <c r="C138" s="128" t="s">
        <v>289</v>
      </c>
      <c r="D138" s="128" t="s">
        <v>444</v>
      </c>
      <c r="E138" s="128" t="s">
        <v>330</v>
      </c>
      <c r="F138" s="128" t="s">
        <v>388</v>
      </c>
      <c r="G138" s="129">
        <v>19</v>
      </c>
      <c r="H138" s="106" t="s">
        <v>99</v>
      </c>
      <c r="I138" s="106" t="s">
        <v>408</v>
      </c>
      <c r="J138" s="130">
        <v>45555</v>
      </c>
      <c r="K138" s="88">
        <v>28000</v>
      </c>
      <c r="L138" s="130" t="s">
        <v>138</v>
      </c>
      <c r="M138" s="106" t="s">
        <v>180</v>
      </c>
      <c r="N138" s="106" t="s">
        <v>109</v>
      </c>
      <c r="O138" s="108" t="s">
        <v>25</v>
      </c>
      <c r="P138" s="109">
        <v>33758</v>
      </c>
      <c r="Q138" s="106" t="s">
        <v>110</v>
      </c>
      <c r="R138" s="127" t="s">
        <v>209</v>
      </c>
      <c r="S138" s="105">
        <v>3127532952</v>
      </c>
      <c r="T138" s="105" t="s">
        <v>445</v>
      </c>
      <c r="U138" s="105" t="str">
        <f>IF(O138=CURSOS!$D$3,"DIPLOMADO EN ATENCION PRE-HOSPITALARIA",IF(O138=CURSOS!$D$4,"ACOMPAÑAMIENTO Y MANEJO DEL DUELO",IF(O138=CURSOS!$D$5,"ATENCION A VICTIMAS DE ATAQUE CON AGENTES QUIMICOS ",IF(O138=CURSOS!$D$6,"PRIMEROS AUXILIOS ",IF(O138=CURSOS!$D$7,"DIPLOMADO DE UNIDAD DE CUIDADOS INTENSIVOS (UCI)",IF(O138=CURSOS!$D$8,"MODELO DE ATENCION PARA EVENTOS EMERGENTES EN SALUD MENTAL (CODIGO VERDE)",IF(O138=CURSOS!$D$9,"HUMANIZACION EN EL SERVICIO DE LA SALUD Y BUENAS PRACTICAS EN PACIENTE ",IF(O138=CURSOS!$D$10,"CLINICA DE HERIDAS ",IF(O138=CURSOS!$D$11,"TOMA DE CITOLOGIA CERVICO VAGINAL ",IF(O138=CURSOS!$D$12,"SOPORTE CARDIOVASCULAR AVANZADO (ACLS) ",IF(O138=CURSOS!$D$13,"CAMILLERO ",IF(O138=CURSOS!$D$14,"TOMA DE MUESTRAS Y LABORATORIO ",IF(O138=CURSOS!$D$15,"SOPORTE VITAL BASICO (BLS)",IF(O138=CURSOS!$D$16,"ATENCION A VICTIMAS DE VIOLENCIA SEXUAL ",IF(O138=CURSOS!$D$17,"PROGRAMADO AMPLIADO DE INMUNIZACION (PAI - COVID 19)",IF(O138=CURSOS!$D$18,"ATENCION INTEGRAL EN ENFERMEDADES PREVALENTES EN PRIMERA INFANCIA (AIEPI)",IF(O138=CURSOS!$D$19,"ADMINISTRACION DE MEDICAMENTOS, INYECTOLOGIA  Y CANALIZACION ",IF(O138=CURSOS!$D$20,"OPERADOR DE VEHICULOS DE EMERGENCIA (OVE)",IF(O138=CURSOS!$D$21,"INSTITUCIONES AMIGAS DE LA MUJER Y LA INFANCIA (IAMI)",IF(O138=CURSOS!$D$22,"CUIDADO DEL DONANTE DE ORGANOS",IF(O138=CURSOS!$D$23,"ATENCION A VICTIMAS POR VIOLENCIA DE GENERO",IF(O138=CURSOS!$D$24,"IGUALDAD DE GENERO EN LA SALUD",IF(O138=CURSOS!$D$25,"BRIGADA DE EMERGENCIA",IF(O138=CURSOS!$D$26,"MANEJO DEL DOLOR Y CUIDADOS PALIATIVOS",IF(O138=CURSOS!$D$27,"TOMA DE MUESTRAS Y LABORATORIO POCT",IF(O138=CURSOS!$D$28,"IMPLANTE SUBDERMICO DE DISPOSITIVO INTRAUTERINO",IF(O138=CURSOS!$D$29,"SALUD MENTAL",IF(O138=CURSOS!$D$30,"PRIMEROS AUXILIOS PSICOLOGICOS",IF(O138=CURSOS!$D$31,"ATENCION A VICTIMAS POR CONFLICTO ARMADO",IF(O138=CURSOS!$D$32,"MANIPULACION DE ALIMENTOS Y BPM",IF(O138=CURSOS!$D$33,"ATENCION A PERSONAS CON DISCAPACIDAD",IF(O138=CURSOS!$D$34,"CUIDADO INTEGRAL DEL PACIENTE ADULTO",IF(O138=CURSOS!$D$35,"MANEJO DEFENSIVO",IF(O138=CURSOS!$D$36,"SOPORTE CARDIOVASCULAR AVANZADO NEONATAL",IF(O138=CURSOS!$D$37,"SEGURIDAD DEL PACIENTE",IF(O138=CURSOS!$D$38,"MANEJO Y USO DEL DEA",IF(O138=CURSOS!$D$39,"TRIAGE")))))))))))))))))))))))))))))))))))))</f>
        <v xml:space="preserve">ATENCION A VICTIMAS DE ATAQUE CON AGENTES QUIMICOS </v>
      </c>
      <c r="V138" s="105" t="str">
        <f t="shared" si="17"/>
        <v>Maria Luisa Montenegro Solarte</v>
      </c>
      <c r="W138" s="105" t="str">
        <f t="shared" si="18"/>
        <v>Maria Luisa Montenegro Solarte</v>
      </c>
      <c r="X138" s="105" t="str">
        <f t="shared" si="19"/>
        <v>Maria Luisa Montenegro Solarte-1026279761-QUIMICOS</v>
      </c>
    </row>
    <row r="139" spans="1:24" x14ac:dyDescent="0.2">
      <c r="A139" s="103">
        <v>138</v>
      </c>
      <c r="B139" s="105">
        <v>1030632213</v>
      </c>
      <c r="C139" s="105" t="s">
        <v>210</v>
      </c>
      <c r="D139" s="105" t="s">
        <v>456</v>
      </c>
      <c r="E139" s="128" t="s">
        <v>457</v>
      </c>
      <c r="F139" s="105" t="s">
        <v>86</v>
      </c>
      <c r="G139" s="129">
        <v>20</v>
      </c>
      <c r="H139" s="106" t="s">
        <v>99</v>
      </c>
      <c r="I139" s="106" t="s">
        <v>408</v>
      </c>
      <c r="J139" s="130">
        <v>45555</v>
      </c>
      <c r="K139" s="88">
        <v>80000</v>
      </c>
      <c r="L139" s="106" t="s">
        <v>103</v>
      </c>
      <c r="M139" s="106" t="s">
        <v>180</v>
      </c>
      <c r="N139" s="106" t="s">
        <v>98</v>
      </c>
      <c r="O139" s="108" t="s">
        <v>23</v>
      </c>
      <c r="P139" s="109">
        <v>34260</v>
      </c>
      <c r="Q139" s="126" t="s">
        <v>110</v>
      </c>
      <c r="R139" s="105" t="s">
        <v>123</v>
      </c>
      <c r="S139" s="105">
        <v>3102708393</v>
      </c>
      <c r="T139" s="105"/>
      <c r="U139" s="105" t="str">
        <f>IF(O139=CURSOS!$D$3,"DIPLOMADO EN ATENCION PRE-HOSPITALARIA",IF(O139=CURSOS!$D$4,"ACOMPAÑAMIENTO Y MANEJO DEL DUELO",IF(O139=CURSOS!$D$5,"ATENCION A VICTIMAS DE ATAQUE CON AGENTES QUIMICOS ",IF(O139=CURSOS!$D$6,"PRIMEROS AUXILIOS ",IF(O139=CURSOS!$D$7,"DIPLOMADO DE UNIDAD DE CUIDADOS INTENSIVOS (UCI)",IF(O139=CURSOS!$D$8,"MODELO DE ATENCION PARA EVENTOS EMERGENTES EN SALUD MENTAL (CODIGO VERDE)",IF(O139=CURSOS!$D$9,"HUMANIZACION EN EL SERVICIO DE LA SALUD Y BUENAS PRACTICAS EN PACIENTE ",IF(O139=CURSOS!$D$10,"CLINICA DE HERIDAS ",IF(O139=CURSOS!$D$11,"TOMA DE CITOLOGIA CERVICO VAGINAL ",IF(O139=CURSOS!$D$12,"SOPORTE CARDIOVASCULAR AVANZADO (ACLS) ",IF(O139=CURSOS!$D$13,"CAMILLERO ",IF(O139=CURSOS!$D$14,"TOMA DE MUESTRAS Y LABORATORIO ",IF(O139=CURSOS!$D$15,"SOPORTE VITAL BASICO (BLS)",IF(O139=CURSOS!$D$16,"ATENCION A VICTIMAS DE VIOLENCIA SEXUAL ",IF(O139=CURSOS!$D$17,"PROGRAMADO AMPLIADO DE INMUNIZACION (PAI - COVID 19)",IF(O139=CURSOS!$D$18,"ATENCION INTEGRAL EN ENFERMEDADES PREVALENTES EN PRIMERA INFANCIA (AIEPI)",IF(O139=CURSOS!$D$19,"ADMINISTRACION DE MEDICAMENTOS, INYECTOLOGIA  Y CANALIZACION ",IF(O139=CURSOS!$D$20,"OPERADOR DE VEHICULOS DE EMERGENCIA (OVE)",IF(O139=CURSOS!$D$21,"INSTITUCIONES AMIGAS DE LA MUJER Y LA INFANCIA (IAMI)",IF(O139=CURSOS!$D$22,"CUIDADO DEL DONANTE DE ORGANOS",IF(O139=CURSOS!$D$23,"ATENCION A VICTIMAS POR VIOLENCIA DE GENERO",IF(O139=CURSOS!$D$24,"IGUALDAD DE GENERO EN LA SALUD",IF(O139=CURSOS!$D$25,"BRIGADA DE EMERGENCIA",IF(O139=CURSOS!$D$26,"MANEJO DEL DOLOR Y CUIDADOS PALIATIVOS",IF(O139=CURSOS!$D$27,"TOMA DE MUESTRAS Y LABORATORIO POCT",IF(O139=CURSOS!$D$28,"IMPLANTE SUBDERMICO DE DISPOSITIVO INTRAUTERINO",IF(O139=CURSOS!$D$29,"SALUD MENTAL",IF(O139=CURSOS!$D$30,"PRIMEROS AUXILIOS PSICOLOGICOS",IF(O139=CURSOS!$D$31,"ATENCION A VICTIMAS POR CONFLICTO ARMADO",IF(O139=CURSOS!$D$32,"MANIPULACION DE ALIMENTOS Y BPM",IF(O139=CURSOS!$D$33,"ATENCION A PERSONAS CON DISCAPACIDAD",IF(O139=CURSOS!$D$34,"CUIDADO INTEGRAL DEL PACIENTE ADULTO",IF(O139=CURSOS!$D$35,"MANEJO DEFENSIVO",IF(O139=CURSOS!$D$36,"SOPORTE CARDIOVASCULAR AVANZADO NEONATAL",IF(O139=CURSOS!$D$37,"SEGURIDAD DEL PACIENTE",IF(O139=CURSOS!$D$38,"MANEJO Y USO DEL DEA",IF(O139=CURSOS!$D$39,"TRIAGE")))))))))))))))))))))))))))))))))))))</f>
        <v>ACOMPAÑAMIENTO Y MANEJO DEL DUELO</v>
      </c>
      <c r="V139" s="105" t="str">
        <f t="shared" si="17"/>
        <v>Adriana Alejandra Rodríguez Reyes</v>
      </c>
      <c r="W139" s="105" t="str">
        <f t="shared" si="18"/>
        <v>Adriana Alejandra Rodríguez Reyes</v>
      </c>
      <c r="X139" s="105" t="str">
        <f t="shared" si="19"/>
        <v>Adriana Alejandra Rodríguez Reyes-1030632213-DUELO</v>
      </c>
    </row>
    <row r="140" spans="1:24" hidden="1" x14ac:dyDescent="0.2">
      <c r="A140" s="103">
        <v>139</v>
      </c>
      <c r="B140" s="105">
        <v>1032409516</v>
      </c>
      <c r="C140" s="105" t="s">
        <v>391</v>
      </c>
      <c r="D140" s="105" t="s">
        <v>118</v>
      </c>
      <c r="E140" s="105" t="s">
        <v>167</v>
      </c>
      <c r="F140" s="105" t="s">
        <v>168</v>
      </c>
      <c r="G140" s="106">
        <v>21</v>
      </c>
      <c r="H140" s="106" t="s">
        <v>99</v>
      </c>
      <c r="I140" s="106" t="s">
        <v>408</v>
      </c>
      <c r="J140" s="107">
        <v>45558</v>
      </c>
      <c r="K140" s="88">
        <v>32000</v>
      </c>
      <c r="L140" s="106" t="s">
        <v>138</v>
      </c>
      <c r="M140" s="106" t="s">
        <v>85</v>
      </c>
      <c r="N140" s="106" t="s">
        <v>109</v>
      </c>
      <c r="O140" s="108" t="s">
        <v>43</v>
      </c>
      <c r="P140" s="109">
        <v>32074</v>
      </c>
      <c r="Q140" s="106" t="s">
        <v>110</v>
      </c>
      <c r="R140" s="110" t="s">
        <v>105</v>
      </c>
      <c r="S140" s="105">
        <v>3113564665</v>
      </c>
      <c r="T140" s="111" t="s">
        <v>458</v>
      </c>
      <c r="U140" s="105" t="str">
        <f>IF(O140=CURSOS!$D$3,"DIPLOMADO EN ATENCION PRE-HOSPITALARIA",IF(O140=CURSOS!$D$4,"ACOMPAÑAMIENTO Y MANEJO DEL DUELO",IF(O140=CURSOS!$D$5,"ATENCION A VICTIMAS DE ATAQUE CON AGENTES QUIMICOS ",IF(O140=CURSOS!$D$6,"PRIMEROS AUXILIOS ",IF(O140=CURSOS!$D$7,"DIPLOMADO DE UNIDAD DE CUIDADOS INTENSIVOS (UCI)",IF(O140=CURSOS!$D$8,"MODELO DE ATENCION PARA EVENTOS EMERGENTES EN SALUD MENTAL (CODIGO VERDE)",IF(O140=CURSOS!$D$9,"HUMANIZACION EN EL SERVICIO DE LA SALUD Y BUENAS PRACTICAS EN PACIENTE ",IF(O140=CURSOS!$D$10,"CLINICA DE HERIDAS ",IF(O140=CURSOS!$D$11,"TOMA DE CITOLOGIA CERVICO VAGINAL ",IF(O140=CURSOS!$D$12,"SOPORTE CARDIOVASCULAR AVANZADO (ACLS) ",IF(O140=CURSOS!$D$13,"CAMILLERO ",IF(O140=CURSOS!$D$14,"TOMA DE MUESTRAS Y LABORATORIO ",IF(O140=CURSOS!$D$15,"SOPORTE VITAL BASICO (BLS)",IF(O140=CURSOS!$D$16,"ATENCION A VICTIMAS DE VIOLENCIA SEXUAL ",IF(O140=CURSOS!$D$17,"PROGRAMADO AMPLIADO DE INMUNIZACION (PAI - COVID 19)",IF(O140=CURSOS!$D$18,"ATENCION INTEGRAL EN ENFERMEDADES PREVALENTES EN PRIMERA INFANCIA (AIEPI)",IF(O140=CURSOS!$D$19,"ADMINISTRACION DE MEDICAMENTOS, INYECTOLOGIA  Y CANALIZACION ",IF(O140=CURSOS!$D$20,"OPERADOR DE VEHICULOS DE EMERGENCIA (OVE)",IF(O140=CURSOS!$D$21,"INSTITUCIONES AMIGAS DE LA MUJER Y LA INFANCIA (IAMI)",IF(O140=CURSOS!$D$22,"CUIDADO DEL DONANTE DE ORGANOS",IF(O140=CURSOS!$D$23,"ATENCION A VICTIMAS POR VIOLENCIA DE GENERO",IF(O140=CURSOS!$D$24,"IGUALDAD DE GENERO EN LA SALUD",IF(O140=CURSOS!$D$25,"BRIGADA DE EMERGENCIA",IF(O140=CURSOS!$D$26,"MANEJO DEL DOLOR Y CUIDADOS PALIATIVOS",IF(O140=CURSOS!$D$27,"TOMA DE MUESTRAS Y LABORATORIO POCT",IF(O140=CURSOS!$D$28,"IMPLANTE SUBDERMICO DE DISPOSITIVO INTRAUTERINO",IF(O140=CURSOS!$D$29,"SALUD MENTAL",IF(O140=CURSOS!$D$30,"PRIMEROS AUXILIOS PSICOLOGICOS",IF(O140=CURSOS!$D$31,"ATENCION A VICTIMAS POR CONFLICTO ARMADO",IF(O140=CURSOS!$D$32,"MANIPULACION DE ALIMENTOS Y BPM",IF(O140=CURSOS!$D$33,"ATENCION A PERSONAS CON DISCAPACIDAD",IF(O140=CURSOS!$D$34,"CUIDADO INTEGRAL DEL PACIENTE ADULTO",IF(O140=CURSOS!$D$35,"MANEJO DEFENSIVO",IF(O140=CURSOS!$D$36,"SOPORTE CARDIOVASCULAR AVANZADO NEONATAL",IF(O140=CURSOS!$D$37,"SEGURIDAD DEL PACIENTE",IF(O140=CURSOS!$D$38,"MANEJO Y USO DEL DEA",IF(O140=CURSOS!$D$39,"TRIAGE")))))))))))))))))))))))))))))))))))))</f>
        <v xml:space="preserve">ATENCION A VICTIMAS DE VIOLENCIA SEXUAL </v>
      </c>
      <c r="V140" s="105" t="str">
        <f t="shared" si="17"/>
        <v>Paola Andrea Romo Arteaga</v>
      </c>
      <c r="W140" s="105" t="str">
        <f t="shared" si="18"/>
        <v>Paola Andrea Romo Arteaga</v>
      </c>
      <c r="X140" s="105" t="str">
        <f t="shared" si="19"/>
        <v>Paola Andrea Romo Arteaga-1032409516-VIOLENCIA SEXUAL</v>
      </c>
    </row>
    <row r="141" spans="1:24" hidden="1" x14ac:dyDescent="0.2">
      <c r="A141" s="103">
        <v>140</v>
      </c>
      <c r="B141" s="105">
        <v>1126564505</v>
      </c>
      <c r="C141" s="105" t="s">
        <v>459</v>
      </c>
      <c r="D141" s="105" t="s">
        <v>460</v>
      </c>
      <c r="E141" s="105" t="s">
        <v>341</v>
      </c>
      <c r="F141" s="105" t="s">
        <v>461</v>
      </c>
      <c r="G141" s="106">
        <v>21</v>
      </c>
      <c r="H141" s="106" t="s">
        <v>99</v>
      </c>
      <c r="I141" s="106" t="s">
        <v>408</v>
      </c>
      <c r="J141" s="107">
        <v>45558</v>
      </c>
      <c r="K141" s="88">
        <v>32000</v>
      </c>
      <c r="L141" s="106" t="s">
        <v>138</v>
      </c>
      <c r="M141" s="106" t="s">
        <v>85</v>
      </c>
      <c r="N141" s="106" t="s">
        <v>109</v>
      </c>
      <c r="O141" s="108" t="s">
        <v>25</v>
      </c>
      <c r="P141" s="109">
        <v>32584</v>
      </c>
      <c r="Q141" s="106" t="s">
        <v>104</v>
      </c>
      <c r="R141" s="105"/>
      <c r="S141" s="105">
        <v>3147675187</v>
      </c>
      <c r="T141" s="111" t="s">
        <v>462</v>
      </c>
      <c r="U141" s="105" t="str">
        <f>IF(O141=CURSOS!$D$3,"DIPLOMADO EN ATENCION PRE-HOSPITALARIA",IF(O141=CURSOS!$D$4,"ACOMPAÑAMIENTO Y MANEJO DEL DUELO",IF(O141=CURSOS!$D$5,"ATENCION A VICTIMAS DE ATAQUE CON AGENTES QUIMICOS ",IF(O141=CURSOS!$D$6,"PRIMEROS AUXILIOS ",IF(O141=CURSOS!$D$7,"DIPLOMADO DE UNIDAD DE CUIDADOS INTENSIVOS (UCI)",IF(O141=CURSOS!$D$8,"MODELO DE ATENCION PARA EVENTOS EMERGENTES EN SALUD MENTAL (CODIGO VERDE)",IF(O141=CURSOS!$D$9,"HUMANIZACION EN EL SERVICIO DE LA SALUD Y BUENAS PRACTICAS EN PACIENTE ",IF(O141=CURSOS!$D$10,"CLINICA DE HERIDAS ",IF(O141=CURSOS!$D$11,"TOMA DE CITOLOGIA CERVICO VAGINAL ",IF(O141=CURSOS!$D$12,"SOPORTE CARDIOVASCULAR AVANZADO (ACLS) ",IF(O141=CURSOS!$D$13,"CAMILLERO ",IF(O141=CURSOS!$D$14,"TOMA DE MUESTRAS Y LABORATORIO ",IF(O141=CURSOS!$D$15,"SOPORTE VITAL BASICO (BLS)",IF(O141=CURSOS!$D$16,"ATENCION A VICTIMAS DE VIOLENCIA SEXUAL ",IF(O141=CURSOS!$D$17,"PROGRAMADO AMPLIADO DE INMUNIZACION (PAI - COVID 19)",IF(O141=CURSOS!$D$18,"ATENCION INTEGRAL EN ENFERMEDADES PREVALENTES EN PRIMERA INFANCIA (AIEPI)",IF(O141=CURSOS!$D$19,"ADMINISTRACION DE MEDICAMENTOS, INYECTOLOGIA  Y CANALIZACION ",IF(O141=CURSOS!$D$20,"OPERADOR DE VEHICULOS DE EMERGENCIA (OVE)",IF(O141=CURSOS!$D$21,"INSTITUCIONES AMIGAS DE LA MUJER Y LA INFANCIA (IAMI)",IF(O141=CURSOS!$D$22,"CUIDADO DEL DONANTE DE ORGANOS",IF(O141=CURSOS!$D$23,"ATENCION A VICTIMAS POR VIOLENCIA DE GENERO",IF(O141=CURSOS!$D$24,"IGUALDAD DE GENERO EN LA SALUD",IF(O141=CURSOS!$D$25,"BRIGADA DE EMERGENCIA",IF(O141=CURSOS!$D$26,"MANEJO DEL DOLOR Y CUIDADOS PALIATIVOS",IF(O141=CURSOS!$D$27,"TOMA DE MUESTRAS Y LABORATORIO POCT",IF(O141=CURSOS!$D$28,"IMPLANTE SUBDERMICO DE DISPOSITIVO INTRAUTERINO",IF(O141=CURSOS!$D$29,"SALUD MENTAL",IF(O141=CURSOS!$D$30,"PRIMEROS AUXILIOS PSICOLOGICOS",IF(O141=CURSOS!$D$31,"ATENCION A VICTIMAS POR CONFLICTO ARMADO",IF(O141=CURSOS!$D$32,"MANIPULACION DE ALIMENTOS Y BPM",IF(O141=CURSOS!$D$33,"ATENCION A PERSONAS CON DISCAPACIDAD",IF(O141=CURSOS!$D$34,"CUIDADO INTEGRAL DEL PACIENTE ADULTO",IF(O141=CURSOS!$D$35,"MANEJO DEFENSIVO",IF(O141=CURSOS!$D$36,"SOPORTE CARDIOVASCULAR AVANZADO NEONATAL",IF(O141=CURSOS!$D$37,"SEGURIDAD DEL PACIENTE",IF(O141=CURSOS!$D$38,"MANEJO Y USO DEL DEA",IF(O141=CURSOS!$D$39,"TRIAGE")))))))))))))))))))))))))))))))))))))</f>
        <v xml:space="preserve">ATENCION A VICTIMAS DE ATAQUE CON AGENTES QUIMICOS </v>
      </c>
      <c r="V141" s="105" t="str">
        <f t="shared" si="17"/>
        <v>Jorge Mauricio Obando Campaña</v>
      </c>
      <c r="W141" s="105" t="str">
        <f t="shared" si="18"/>
        <v>Jorge Mauricio Obando Campaña</v>
      </c>
      <c r="X141" s="105" t="str">
        <f t="shared" si="19"/>
        <v>Jorge Mauricio Obando Campaña-1126564505-QUIMICOS</v>
      </c>
    </row>
    <row r="142" spans="1:24" hidden="1" x14ac:dyDescent="0.2">
      <c r="A142" s="103">
        <v>141</v>
      </c>
      <c r="B142" s="105">
        <v>1126564505</v>
      </c>
      <c r="C142" s="105" t="s">
        <v>459</v>
      </c>
      <c r="D142" s="105" t="s">
        <v>460</v>
      </c>
      <c r="E142" s="105" t="s">
        <v>341</v>
      </c>
      <c r="F142" s="105" t="s">
        <v>461</v>
      </c>
      <c r="G142" s="106">
        <v>21</v>
      </c>
      <c r="H142" s="106" t="s">
        <v>99</v>
      </c>
      <c r="I142" s="106" t="s">
        <v>408</v>
      </c>
      <c r="J142" s="107">
        <v>45558</v>
      </c>
      <c r="K142" s="88">
        <v>32000</v>
      </c>
      <c r="L142" s="106" t="s">
        <v>138</v>
      </c>
      <c r="M142" s="106" t="s">
        <v>85</v>
      </c>
      <c r="N142" s="106" t="s">
        <v>109</v>
      </c>
      <c r="O142" s="108" t="s">
        <v>23</v>
      </c>
      <c r="P142" s="109">
        <v>32584</v>
      </c>
      <c r="Q142" s="106" t="s">
        <v>104</v>
      </c>
      <c r="R142" s="105"/>
      <c r="S142" s="105">
        <v>3147675187</v>
      </c>
      <c r="T142" s="111" t="s">
        <v>462</v>
      </c>
      <c r="U142" s="105" t="str">
        <f>IF(O142=CURSOS!$D$3,"DIPLOMADO EN ATENCION PRE-HOSPITALARIA",IF(O142=CURSOS!$D$4,"ACOMPAÑAMIENTO Y MANEJO DEL DUELO",IF(O142=CURSOS!$D$5,"ATENCION A VICTIMAS DE ATAQUE CON AGENTES QUIMICOS ",IF(O142=CURSOS!$D$6,"PRIMEROS AUXILIOS ",IF(O142=CURSOS!$D$7,"DIPLOMADO DE UNIDAD DE CUIDADOS INTENSIVOS (UCI)",IF(O142=CURSOS!$D$8,"MODELO DE ATENCION PARA EVENTOS EMERGENTES EN SALUD MENTAL (CODIGO VERDE)",IF(O142=CURSOS!$D$9,"HUMANIZACION EN EL SERVICIO DE LA SALUD Y BUENAS PRACTICAS EN PACIENTE ",IF(O142=CURSOS!$D$10,"CLINICA DE HERIDAS ",IF(O142=CURSOS!$D$11,"TOMA DE CITOLOGIA CERVICO VAGINAL ",IF(O142=CURSOS!$D$12,"SOPORTE CARDIOVASCULAR AVANZADO (ACLS) ",IF(O142=CURSOS!$D$13,"CAMILLERO ",IF(O142=CURSOS!$D$14,"TOMA DE MUESTRAS Y LABORATORIO ",IF(O142=CURSOS!$D$15,"SOPORTE VITAL BASICO (BLS)",IF(O142=CURSOS!$D$16,"ATENCION A VICTIMAS DE VIOLENCIA SEXUAL ",IF(O142=CURSOS!$D$17,"PROGRAMADO AMPLIADO DE INMUNIZACION (PAI - COVID 19)",IF(O142=CURSOS!$D$18,"ATENCION INTEGRAL EN ENFERMEDADES PREVALENTES EN PRIMERA INFANCIA (AIEPI)",IF(O142=CURSOS!$D$19,"ADMINISTRACION DE MEDICAMENTOS, INYECTOLOGIA  Y CANALIZACION ",IF(O142=CURSOS!$D$20,"OPERADOR DE VEHICULOS DE EMERGENCIA (OVE)",IF(O142=CURSOS!$D$21,"INSTITUCIONES AMIGAS DE LA MUJER Y LA INFANCIA (IAMI)",IF(O142=CURSOS!$D$22,"CUIDADO DEL DONANTE DE ORGANOS",IF(O142=CURSOS!$D$23,"ATENCION A VICTIMAS POR VIOLENCIA DE GENERO",IF(O142=CURSOS!$D$24,"IGUALDAD DE GENERO EN LA SALUD",IF(O142=CURSOS!$D$25,"BRIGADA DE EMERGENCIA",IF(O142=CURSOS!$D$26,"MANEJO DEL DOLOR Y CUIDADOS PALIATIVOS",IF(O142=CURSOS!$D$27,"TOMA DE MUESTRAS Y LABORATORIO POCT",IF(O142=CURSOS!$D$28,"IMPLANTE SUBDERMICO DE DISPOSITIVO INTRAUTERINO",IF(O142=CURSOS!$D$29,"SALUD MENTAL",IF(O142=CURSOS!$D$30,"PRIMEROS AUXILIOS PSICOLOGICOS",IF(O142=CURSOS!$D$31,"ATENCION A VICTIMAS POR CONFLICTO ARMADO",IF(O142=CURSOS!$D$32,"MANIPULACION DE ALIMENTOS Y BPM",IF(O142=CURSOS!$D$33,"ATENCION A PERSONAS CON DISCAPACIDAD",IF(O142=CURSOS!$D$34,"CUIDADO INTEGRAL DEL PACIENTE ADULTO",IF(O142=CURSOS!$D$35,"MANEJO DEFENSIVO",IF(O142=CURSOS!$D$36,"SOPORTE CARDIOVASCULAR AVANZADO NEONATAL",IF(O142=CURSOS!$D$37,"SEGURIDAD DEL PACIENTE",IF(O142=CURSOS!$D$38,"MANEJO Y USO DEL DEA",IF(O142=CURSOS!$D$39,"TRIAGE")))))))))))))))))))))))))))))))))))))</f>
        <v>ACOMPAÑAMIENTO Y MANEJO DEL DUELO</v>
      </c>
      <c r="V142" s="105" t="str">
        <f t="shared" si="17"/>
        <v>Jorge Mauricio Obando Campaña</v>
      </c>
      <c r="W142" s="105" t="str">
        <f t="shared" si="18"/>
        <v>Jorge Mauricio Obando Campaña</v>
      </c>
      <c r="X142" s="105" t="str">
        <f t="shared" si="19"/>
        <v>Jorge Mauricio Obando Campaña-1126564505-DUELO</v>
      </c>
    </row>
    <row r="143" spans="1:24" hidden="1" x14ac:dyDescent="0.2">
      <c r="A143" s="103">
        <v>142</v>
      </c>
      <c r="B143" s="105">
        <v>1085268924</v>
      </c>
      <c r="C143" s="105" t="s">
        <v>463</v>
      </c>
      <c r="D143" s="105" t="s">
        <v>464</v>
      </c>
      <c r="E143" s="105" t="s">
        <v>465</v>
      </c>
      <c r="F143" s="105"/>
      <c r="G143" s="106">
        <v>23</v>
      </c>
      <c r="H143" s="106" t="s">
        <v>99</v>
      </c>
      <c r="I143" s="106" t="s">
        <v>408</v>
      </c>
      <c r="J143" s="130">
        <v>45558</v>
      </c>
      <c r="K143" s="88">
        <v>40000</v>
      </c>
      <c r="L143" s="106" t="s">
        <v>138</v>
      </c>
      <c r="M143" s="106" t="s">
        <v>180</v>
      </c>
      <c r="N143" s="106" t="s">
        <v>98</v>
      </c>
      <c r="O143" s="108" t="s">
        <v>19</v>
      </c>
      <c r="P143" s="109">
        <v>32444</v>
      </c>
      <c r="Q143" s="106" t="s">
        <v>110</v>
      </c>
      <c r="R143" s="105" t="s">
        <v>123</v>
      </c>
      <c r="S143" s="105">
        <v>3216181953</v>
      </c>
      <c r="T143" s="105" t="s">
        <v>466</v>
      </c>
      <c r="U143" s="105" t="str">
        <f>IF(O143=CURSOS!$D$3,"DIPLOMADO EN ATENCION PRE-HOSPITALARIA",IF(O143=CURSOS!$D$4,"ACOMPAÑAMIENTO Y MANEJO DEL DUELO",IF(O143=CURSOS!$D$5,"ATENCION A VICTIMAS DE ATAQUE CON AGENTES QUIMICOS ",IF(O143=CURSOS!$D$6,"PRIMEROS AUXILIOS ",IF(O143=CURSOS!$D$7,"DIPLOMADO DE UNIDAD DE CUIDADOS INTENSIVOS (UCI)",IF(O143=CURSOS!$D$8,"MODELO DE ATENCION PARA EVENTOS EMERGENTES EN SALUD MENTAL (CODIGO VERDE)",IF(O143=CURSOS!$D$9,"HUMANIZACION EN EL SERVICIO DE LA SALUD Y BUENAS PRACTICAS EN PACIENTE ",IF(O143=CURSOS!$D$10,"CLINICA DE HERIDAS ",IF(O143=CURSOS!$D$11,"TOMA DE CITOLOGIA CERVICO VAGINAL ",IF(O143=CURSOS!$D$12,"SOPORTE CARDIOVASCULAR AVANZADO (ACLS) ",IF(O143=CURSOS!$D$13,"CAMILLERO ",IF(O143=CURSOS!$D$14,"TOMA DE MUESTRAS Y LABORATORIO ",IF(O143=CURSOS!$D$15,"SOPORTE VITAL BASICO (BLS)",IF(O143=CURSOS!$D$16,"ATENCION A VICTIMAS DE VIOLENCIA SEXUAL ",IF(O143=CURSOS!$D$17,"PROGRAMADO AMPLIADO DE INMUNIZACION (PAI - COVID 19)",IF(O143=CURSOS!$D$18,"ATENCION INTEGRAL EN ENFERMEDADES PREVALENTES EN PRIMERA INFANCIA (AIEPI)",IF(O143=CURSOS!$D$19,"ADMINISTRACION DE MEDICAMENTOS, INYECTOLOGIA  Y CANALIZACION ",IF(O143=CURSOS!$D$20,"OPERADOR DE VEHICULOS DE EMERGENCIA (OVE)",IF(O143=CURSOS!$D$21,"INSTITUCIONES AMIGAS DE LA MUJER Y LA INFANCIA (IAMI)",IF(O143=CURSOS!$D$22,"CUIDADO DEL DONANTE DE ORGANOS",IF(O143=CURSOS!$D$23,"ATENCION A VICTIMAS POR VIOLENCIA DE GENERO",IF(O143=CURSOS!$D$24,"IGUALDAD DE GENERO EN LA SALUD",IF(O143=CURSOS!$D$25,"BRIGADA DE EMERGENCIA",IF(O143=CURSOS!$D$26,"MANEJO DEL DOLOR Y CUIDADOS PALIATIVOS",IF(O143=CURSOS!$D$27,"TOMA DE MUESTRAS Y LABORATORIO POCT",IF(O143=CURSOS!$D$28,"IMPLANTE SUBDERMICO DE DISPOSITIVO INTRAUTERINO",IF(O143=CURSOS!$D$29,"SALUD MENTAL",IF(O143=CURSOS!$D$30,"PRIMEROS AUXILIOS PSICOLOGICOS",IF(O143=CURSOS!$D$31,"ATENCION A VICTIMAS POR CONFLICTO ARMADO",IF(O143=CURSOS!$D$32,"MANIPULACION DE ALIMENTOS Y BPM",IF(O143=CURSOS!$D$33,"ATENCION A PERSONAS CON DISCAPACIDAD",IF(O143=CURSOS!$D$34,"CUIDADO INTEGRAL DEL PACIENTE ADULTO",IF(O143=CURSOS!$D$35,"MANEJO DEFENSIVO",IF(O143=CURSOS!$D$36,"SOPORTE CARDIOVASCULAR AVANZADO NEONATAL",IF(O143=CURSOS!$D$37,"SEGURIDAD DEL PACIENTE",IF(O143=CURSOS!$D$38,"MANEJO Y USO DEL DEA",IF(O143=CURSOS!$D$39,"TRIAGE")))))))))))))))))))))))))))))))))))))</f>
        <v>SOPORTE VITAL BASICO (BLS)</v>
      </c>
      <c r="V143" s="105" t="str">
        <f t="shared" si="17"/>
        <v>Jennifer  Portilla Chaucanes</v>
      </c>
      <c r="W143" s="105" t="str">
        <f t="shared" si="18"/>
        <v>Jennifer  Portilla Chaucanes</v>
      </c>
      <c r="X143" s="105" t="str">
        <f t="shared" si="19"/>
        <v>Jennifer  Portilla Chaucanes-1085268924-BLS</v>
      </c>
    </row>
    <row r="144" spans="1:24" hidden="1" x14ac:dyDescent="0.2">
      <c r="A144" s="103">
        <v>143</v>
      </c>
      <c r="B144" s="105">
        <v>1087423618</v>
      </c>
      <c r="C144" s="105" t="s">
        <v>317</v>
      </c>
      <c r="D144" s="105" t="s">
        <v>101</v>
      </c>
      <c r="E144" s="105" t="s">
        <v>467</v>
      </c>
      <c r="F144" s="105" t="s">
        <v>468</v>
      </c>
      <c r="G144" s="106">
        <v>21</v>
      </c>
      <c r="H144" s="106" t="s">
        <v>99</v>
      </c>
      <c r="I144" s="106" t="s">
        <v>408</v>
      </c>
      <c r="J144" s="130">
        <v>45558</v>
      </c>
      <c r="K144" s="88">
        <v>32000</v>
      </c>
      <c r="L144" s="106" t="s">
        <v>138</v>
      </c>
      <c r="M144" s="106" t="s">
        <v>180</v>
      </c>
      <c r="N144" s="106" t="s">
        <v>109</v>
      </c>
      <c r="O144" s="108" t="s">
        <v>25</v>
      </c>
      <c r="P144" s="109" t="s">
        <v>469</v>
      </c>
      <c r="Q144" s="106" t="s">
        <v>110</v>
      </c>
      <c r="R144" s="105" t="s">
        <v>123</v>
      </c>
      <c r="S144" s="105">
        <v>3116287103</v>
      </c>
      <c r="T144" s="105" t="s">
        <v>470</v>
      </c>
      <c r="U144" s="105" t="str">
        <f>IF(O144=CURSOS!$D$3,"DIPLOMADO EN ATENCION PRE-HOSPITALARIA",IF(O144=CURSOS!$D$4,"ACOMPAÑAMIENTO Y MANEJO DEL DUELO",IF(O144=CURSOS!$D$5,"ATENCION A VICTIMAS DE ATAQUE CON AGENTES QUIMICOS ",IF(O144=CURSOS!$D$6,"PRIMEROS AUXILIOS ",IF(O144=CURSOS!$D$7,"DIPLOMADO DE UNIDAD DE CUIDADOS INTENSIVOS (UCI)",IF(O144=CURSOS!$D$8,"MODELO DE ATENCION PARA EVENTOS EMERGENTES EN SALUD MENTAL (CODIGO VERDE)",IF(O144=CURSOS!$D$9,"HUMANIZACION EN EL SERVICIO DE LA SALUD Y BUENAS PRACTICAS EN PACIENTE ",IF(O144=CURSOS!$D$10,"CLINICA DE HERIDAS ",IF(O144=CURSOS!$D$11,"TOMA DE CITOLOGIA CERVICO VAGINAL ",IF(O144=CURSOS!$D$12,"SOPORTE CARDIOVASCULAR AVANZADO (ACLS) ",IF(O144=CURSOS!$D$13,"CAMILLERO ",IF(O144=CURSOS!$D$14,"TOMA DE MUESTRAS Y LABORATORIO ",IF(O144=CURSOS!$D$15,"SOPORTE VITAL BASICO (BLS)",IF(O144=CURSOS!$D$16,"ATENCION A VICTIMAS DE VIOLENCIA SEXUAL ",IF(O144=CURSOS!$D$17,"PROGRAMADO AMPLIADO DE INMUNIZACION (PAI - COVID 19)",IF(O144=CURSOS!$D$18,"ATENCION INTEGRAL EN ENFERMEDADES PREVALENTES EN PRIMERA INFANCIA (AIEPI)",IF(O144=CURSOS!$D$19,"ADMINISTRACION DE MEDICAMENTOS, INYECTOLOGIA  Y CANALIZACION ",IF(O144=CURSOS!$D$20,"OPERADOR DE VEHICULOS DE EMERGENCIA (OVE)",IF(O144=CURSOS!$D$21,"INSTITUCIONES AMIGAS DE LA MUJER Y LA INFANCIA (IAMI)",IF(O144=CURSOS!$D$22,"CUIDADO DEL DONANTE DE ORGANOS",IF(O144=CURSOS!$D$23,"ATENCION A VICTIMAS POR VIOLENCIA DE GENERO",IF(O144=CURSOS!$D$24,"IGUALDAD DE GENERO EN LA SALUD",IF(O144=CURSOS!$D$25,"BRIGADA DE EMERGENCIA",IF(O144=CURSOS!$D$26,"MANEJO DEL DOLOR Y CUIDADOS PALIATIVOS",IF(O144=CURSOS!$D$27,"TOMA DE MUESTRAS Y LABORATORIO POCT",IF(O144=CURSOS!$D$28,"IMPLANTE SUBDERMICO DE DISPOSITIVO INTRAUTERINO",IF(O144=CURSOS!$D$29,"SALUD MENTAL",IF(O144=CURSOS!$D$30,"PRIMEROS AUXILIOS PSICOLOGICOS",IF(O144=CURSOS!$D$31,"ATENCION A VICTIMAS POR CONFLICTO ARMADO",IF(O144=CURSOS!$D$32,"MANIPULACION DE ALIMENTOS Y BPM",IF(O144=CURSOS!$D$33,"ATENCION A PERSONAS CON DISCAPACIDAD",IF(O144=CURSOS!$D$34,"CUIDADO INTEGRAL DEL PACIENTE ADULTO",IF(O144=CURSOS!$D$35,"MANEJO DEFENSIVO",IF(O144=CURSOS!$D$36,"SOPORTE CARDIOVASCULAR AVANZADO NEONATAL",IF(O144=CURSOS!$D$37,"SEGURIDAD DEL PACIENTE",IF(O144=CURSOS!$D$38,"MANEJO Y USO DEL DEA",IF(O144=CURSOS!$D$39,"TRIAGE")))))))))))))))))))))))))))))))))))))</f>
        <v xml:space="preserve">ATENCION A VICTIMAS DE ATAQUE CON AGENTES QUIMICOS </v>
      </c>
      <c r="V144" s="105" t="str">
        <f t="shared" si="17"/>
        <v>Lenis Arledi Lopez Rodriguez</v>
      </c>
      <c r="W144" s="105" t="str">
        <f t="shared" si="18"/>
        <v>Lenis Arledi Lopez Rodriguez</v>
      </c>
      <c r="X144" s="105" t="str">
        <f t="shared" si="19"/>
        <v>Lenis Arledi Lopez Rodriguez-1087423618-QUIMICOS</v>
      </c>
    </row>
    <row r="145" spans="1:24" hidden="1" x14ac:dyDescent="0.2">
      <c r="A145" s="103">
        <v>144</v>
      </c>
      <c r="B145" s="105">
        <v>1087423618</v>
      </c>
      <c r="C145" s="105" t="s">
        <v>317</v>
      </c>
      <c r="D145" s="105" t="s">
        <v>101</v>
      </c>
      <c r="E145" s="105" t="s">
        <v>467</v>
      </c>
      <c r="F145" s="105" t="s">
        <v>468</v>
      </c>
      <c r="G145" s="106">
        <v>23</v>
      </c>
      <c r="H145" s="106" t="s">
        <v>99</v>
      </c>
      <c r="I145" s="106" t="s">
        <v>408</v>
      </c>
      <c r="J145" s="130">
        <v>45558</v>
      </c>
      <c r="K145" s="88">
        <v>32000</v>
      </c>
      <c r="L145" s="106" t="s">
        <v>138</v>
      </c>
      <c r="M145" s="106" t="s">
        <v>180</v>
      </c>
      <c r="N145" s="106" t="s">
        <v>109</v>
      </c>
      <c r="O145" s="108" t="s">
        <v>23</v>
      </c>
      <c r="P145" s="109" t="s">
        <v>469</v>
      </c>
      <c r="Q145" s="106" t="s">
        <v>110</v>
      </c>
      <c r="R145" s="105" t="s">
        <v>123</v>
      </c>
      <c r="S145" s="105">
        <v>3116287103</v>
      </c>
      <c r="T145" s="105" t="s">
        <v>470</v>
      </c>
      <c r="U145" s="105" t="str">
        <f>IF(O145=CURSOS!$D$3,"DIPLOMADO EN ATENCION PRE-HOSPITALARIA",IF(O145=CURSOS!$D$4,"ACOMPAÑAMIENTO Y MANEJO DEL DUELO",IF(O145=CURSOS!$D$5,"ATENCION A VICTIMAS DE ATAQUE CON AGENTES QUIMICOS ",IF(O145=CURSOS!$D$6,"PRIMEROS AUXILIOS ",IF(O145=CURSOS!$D$7,"DIPLOMADO DE UNIDAD DE CUIDADOS INTENSIVOS (UCI)",IF(O145=CURSOS!$D$8,"MODELO DE ATENCION PARA EVENTOS EMERGENTES EN SALUD MENTAL (CODIGO VERDE)",IF(O145=CURSOS!$D$9,"HUMANIZACION EN EL SERVICIO DE LA SALUD Y BUENAS PRACTICAS EN PACIENTE ",IF(O145=CURSOS!$D$10,"CLINICA DE HERIDAS ",IF(O145=CURSOS!$D$11,"TOMA DE CITOLOGIA CERVICO VAGINAL ",IF(O145=CURSOS!$D$12,"SOPORTE CARDIOVASCULAR AVANZADO (ACLS) ",IF(O145=CURSOS!$D$13,"CAMILLERO ",IF(O145=CURSOS!$D$14,"TOMA DE MUESTRAS Y LABORATORIO ",IF(O145=CURSOS!$D$15,"SOPORTE VITAL BASICO (BLS)",IF(O145=CURSOS!$D$16,"ATENCION A VICTIMAS DE VIOLENCIA SEXUAL ",IF(O145=CURSOS!$D$17,"PROGRAMADO AMPLIADO DE INMUNIZACION (PAI - COVID 19)",IF(O145=CURSOS!$D$18,"ATENCION INTEGRAL EN ENFERMEDADES PREVALENTES EN PRIMERA INFANCIA (AIEPI)",IF(O145=CURSOS!$D$19,"ADMINISTRACION DE MEDICAMENTOS, INYECTOLOGIA  Y CANALIZACION ",IF(O145=CURSOS!$D$20,"OPERADOR DE VEHICULOS DE EMERGENCIA (OVE)",IF(O145=CURSOS!$D$21,"INSTITUCIONES AMIGAS DE LA MUJER Y LA INFANCIA (IAMI)",IF(O145=CURSOS!$D$22,"CUIDADO DEL DONANTE DE ORGANOS",IF(O145=CURSOS!$D$23,"ATENCION A VICTIMAS POR VIOLENCIA DE GENERO",IF(O145=CURSOS!$D$24,"IGUALDAD DE GENERO EN LA SALUD",IF(O145=CURSOS!$D$25,"BRIGADA DE EMERGENCIA",IF(O145=CURSOS!$D$26,"MANEJO DEL DOLOR Y CUIDADOS PALIATIVOS",IF(O145=CURSOS!$D$27,"TOMA DE MUESTRAS Y LABORATORIO POCT",IF(O145=CURSOS!$D$28,"IMPLANTE SUBDERMICO DE DISPOSITIVO INTRAUTERINO",IF(O145=CURSOS!$D$29,"SALUD MENTAL",IF(O145=CURSOS!$D$30,"PRIMEROS AUXILIOS PSICOLOGICOS",IF(O145=CURSOS!$D$31,"ATENCION A VICTIMAS POR CONFLICTO ARMADO",IF(O145=CURSOS!$D$32,"MANIPULACION DE ALIMENTOS Y BPM",IF(O145=CURSOS!$D$33,"ATENCION A PERSONAS CON DISCAPACIDAD",IF(O145=CURSOS!$D$34,"CUIDADO INTEGRAL DEL PACIENTE ADULTO",IF(O145=CURSOS!$D$35,"MANEJO DEFENSIVO",IF(O145=CURSOS!$D$36,"SOPORTE CARDIOVASCULAR AVANZADO NEONATAL",IF(O145=CURSOS!$D$37,"SEGURIDAD DEL PACIENTE",IF(O145=CURSOS!$D$38,"MANEJO Y USO DEL DEA",IF(O145=CURSOS!$D$39,"TRIAGE")))))))))))))))))))))))))))))))))))))</f>
        <v>ACOMPAÑAMIENTO Y MANEJO DEL DUELO</v>
      </c>
      <c r="V145" s="105" t="str">
        <f t="shared" si="17"/>
        <v>Lenis Arledi Lopez Rodriguez</v>
      </c>
      <c r="W145" s="105" t="str">
        <f t="shared" si="18"/>
        <v>Lenis Arledi Lopez Rodriguez</v>
      </c>
      <c r="X145" s="105" t="str">
        <f t="shared" si="19"/>
        <v>Lenis Arledi Lopez Rodriguez-1087423618-DUELO</v>
      </c>
    </row>
    <row r="146" spans="1:24" hidden="1" x14ac:dyDescent="0.2">
      <c r="A146" s="103">
        <v>145</v>
      </c>
      <c r="B146" s="105">
        <v>1088729515</v>
      </c>
      <c r="C146" s="105" t="s">
        <v>471</v>
      </c>
      <c r="D146" s="105" t="s">
        <v>471</v>
      </c>
      <c r="E146" s="105" t="s">
        <v>472</v>
      </c>
      <c r="F146" s="105" t="s">
        <v>473</v>
      </c>
      <c r="G146" s="106">
        <v>21</v>
      </c>
      <c r="H146" s="106" t="s">
        <v>99</v>
      </c>
      <c r="I146" s="106" t="s">
        <v>408</v>
      </c>
      <c r="J146" s="130">
        <v>45519</v>
      </c>
      <c r="K146" s="88">
        <v>20000</v>
      </c>
      <c r="L146" s="106" t="s">
        <v>405</v>
      </c>
      <c r="M146" s="106"/>
      <c r="N146" s="106"/>
      <c r="O146" s="108" t="s">
        <v>43</v>
      </c>
      <c r="P146" s="109"/>
      <c r="Q146" s="106"/>
      <c r="R146" s="105"/>
      <c r="S146" s="105"/>
      <c r="T146" s="105"/>
      <c r="U146" s="105" t="str">
        <f>IF(O146=CURSOS!$D$3,"DIPLOMADO EN ATENCION PRE-HOSPITALARIA",IF(O146=CURSOS!$D$4,"ACOMPAÑAMIENTO Y MANEJO DEL DUELO",IF(O146=CURSOS!$D$5,"ATENCION A VICTIMAS DE ATAQUE CON AGENTES QUIMICOS ",IF(O146=CURSOS!$D$6,"PRIMEROS AUXILIOS ",IF(O146=CURSOS!$D$7,"DIPLOMADO DE UNIDAD DE CUIDADOS INTENSIVOS (UCI)",IF(O146=CURSOS!$D$8,"MODELO DE ATENCION PARA EVENTOS EMERGENTES EN SALUD MENTAL (CODIGO VERDE)",IF(O146=CURSOS!$D$9,"HUMANIZACION EN EL SERVICIO DE LA SALUD Y BUENAS PRACTICAS EN PACIENTE ",IF(O146=CURSOS!$D$10,"CLINICA DE HERIDAS ",IF(O146=CURSOS!$D$11,"TOMA DE CITOLOGIA CERVICO VAGINAL ",IF(O146=CURSOS!$D$12,"SOPORTE CARDIOVASCULAR AVANZADO (ACLS) ",IF(O146=CURSOS!$D$13,"CAMILLERO ",IF(O146=CURSOS!$D$14,"TOMA DE MUESTRAS Y LABORATORIO ",IF(O146=CURSOS!$D$15,"SOPORTE VITAL BASICO (BLS)",IF(O146=CURSOS!$D$16,"ATENCION A VICTIMAS DE VIOLENCIA SEXUAL ",IF(O146=CURSOS!$D$17,"PROGRAMADO AMPLIADO DE INMUNIZACION (PAI - COVID 19)",IF(O146=CURSOS!$D$18,"ATENCION INTEGRAL EN ENFERMEDADES PREVALENTES EN PRIMERA INFANCIA (AIEPI)",IF(O146=CURSOS!$D$19,"ADMINISTRACION DE MEDICAMENTOS, INYECTOLOGIA  Y CANALIZACION ",IF(O146=CURSOS!$D$20,"OPERADOR DE VEHICULOS DE EMERGENCIA (OVE)",IF(O146=CURSOS!$D$21,"INSTITUCIONES AMIGAS DE LA MUJER Y LA INFANCIA (IAMI)",IF(O146=CURSOS!$D$22,"CUIDADO DEL DONANTE DE ORGANOS",IF(O146=CURSOS!$D$23,"ATENCION A VICTIMAS POR VIOLENCIA DE GENERO",IF(O146=CURSOS!$D$24,"IGUALDAD DE GENERO EN LA SALUD",IF(O146=CURSOS!$D$25,"BRIGADA DE EMERGENCIA",IF(O146=CURSOS!$D$26,"MANEJO DEL DOLOR Y CUIDADOS PALIATIVOS",IF(O146=CURSOS!$D$27,"TOMA DE MUESTRAS Y LABORATORIO POCT",IF(O146=CURSOS!$D$28,"IMPLANTE SUBDERMICO DE DISPOSITIVO INTRAUTERINO",IF(O146=CURSOS!$D$29,"SALUD MENTAL",IF(O146=CURSOS!$D$30,"PRIMEROS AUXILIOS PSICOLOGICOS",IF(O146=CURSOS!$D$31,"ATENCION A VICTIMAS POR CONFLICTO ARMADO",IF(O146=CURSOS!$D$32,"MANIPULACION DE ALIMENTOS Y BPM",IF(O146=CURSOS!$D$33,"ATENCION A PERSONAS CON DISCAPACIDAD",IF(O146=CURSOS!$D$34,"CUIDADO INTEGRAL DEL PACIENTE ADULTO",IF(O146=CURSOS!$D$35,"MANEJO DEFENSIVO",IF(O146=CURSOS!$D$36,"SOPORTE CARDIOVASCULAR AVANZADO NEONATAL",IF(O146=CURSOS!$D$37,"SEGURIDAD DEL PACIENTE",IF(O146=CURSOS!$D$38,"MANEJO Y USO DEL DEA",IF(O146=CURSOS!$D$39,"TRIAGE")))))))))))))))))))))))))))))))))))))</f>
        <v xml:space="preserve">ATENCION A VICTIMAS DE VIOLENCIA SEXUAL </v>
      </c>
      <c r="V146" s="105" t="str">
        <f t="shared" si="17"/>
        <v>MAYERLI DEL CARMEN SALAZAR SALAZAR</v>
      </c>
      <c r="W146" s="105" t="str">
        <f t="shared" si="18"/>
        <v>Mayerli Del Carmen Salazar Salazar</v>
      </c>
      <c r="X146" s="105" t="str">
        <f t="shared" si="19"/>
        <v>MAYERLI DEL CARMEN SALAZAR SALAZAR-1088729515-VIOLENCIA SEXUAL</v>
      </c>
    </row>
    <row r="147" spans="1:24" hidden="1" x14ac:dyDescent="0.2">
      <c r="A147" s="103">
        <v>146</v>
      </c>
      <c r="B147" s="105">
        <v>1088736947</v>
      </c>
      <c r="C147" s="105" t="s">
        <v>210</v>
      </c>
      <c r="D147" s="105" t="s">
        <v>474</v>
      </c>
      <c r="E147" s="105" t="s">
        <v>475</v>
      </c>
      <c r="F147" s="105" t="s">
        <v>476</v>
      </c>
      <c r="G147" s="106">
        <v>23</v>
      </c>
      <c r="H147" s="106" t="s">
        <v>99</v>
      </c>
      <c r="I147" s="106" t="s">
        <v>408</v>
      </c>
      <c r="J147" s="130">
        <v>45558</v>
      </c>
      <c r="K147" s="88">
        <v>32000</v>
      </c>
      <c r="L147" s="106" t="s">
        <v>138</v>
      </c>
      <c r="M147" s="106" t="s">
        <v>85</v>
      </c>
      <c r="N147" s="106" t="s">
        <v>109</v>
      </c>
      <c r="O147" s="108" t="s">
        <v>19</v>
      </c>
      <c r="P147" s="109">
        <v>34692</v>
      </c>
      <c r="Q147" s="106" t="s">
        <v>110</v>
      </c>
      <c r="R147" s="105" t="s">
        <v>123</v>
      </c>
      <c r="S147" s="105">
        <v>3103673822</v>
      </c>
      <c r="T147" s="105" t="s">
        <v>477</v>
      </c>
      <c r="U147" s="105" t="str">
        <f>IF(O147=CURSOS!$D$3,"DIPLOMADO EN ATENCION PRE-HOSPITALARIA",IF(O147=CURSOS!$D$4,"ACOMPAÑAMIENTO Y MANEJO DEL DUELO",IF(O147=CURSOS!$D$5,"ATENCION A VICTIMAS DE ATAQUE CON AGENTES QUIMICOS ",IF(O147=CURSOS!$D$6,"PRIMEROS AUXILIOS ",IF(O147=CURSOS!$D$7,"DIPLOMADO DE UNIDAD DE CUIDADOS INTENSIVOS (UCI)",IF(O147=CURSOS!$D$8,"MODELO DE ATENCION PARA EVENTOS EMERGENTES EN SALUD MENTAL (CODIGO VERDE)",IF(O147=CURSOS!$D$9,"HUMANIZACION EN EL SERVICIO DE LA SALUD Y BUENAS PRACTICAS EN PACIENTE ",IF(O147=CURSOS!$D$10,"CLINICA DE HERIDAS ",IF(O147=CURSOS!$D$11,"TOMA DE CITOLOGIA CERVICO VAGINAL ",IF(O147=CURSOS!$D$12,"SOPORTE CARDIOVASCULAR AVANZADO (ACLS) ",IF(O147=CURSOS!$D$13,"CAMILLERO ",IF(O147=CURSOS!$D$14,"TOMA DE MUESTRAS Y LABORATORIO ",IF(O147=CURSOS!$D$15,"SOPORTE VITAL BASICO (BLS)",IF(O147=CURSOS!$D$16,"ATENCION A VICTIMAS DE VIOLENCIA SEXUAL ",IF(O147=CURSOS!$D$17,"PROGRAMADO AMPLIADO DE INMUNIZACION (PAI - COVID 19)",IF(O147=CURSOS!$D$18,"ATENCION INTEGRAL EN ENFERMEDADES PREVALENTES EN PRIMERA INFANCIA (AIEPI)",IF(O147=CURSOS!$D$19,"ADMINISTRACION DE MEDICAMENTOS, INYECTOLOGIA  Y CANALIZACION ",IF(O147=CURSOS!$D$20,"OPERADOR DE VEHICULOS DE EMERGENCIA (OVE)",IF(O147=CURSOS!$D$21,"INSTITUCIONES AMIGAS DE LA MUJER Y LA INFANCIA (IAMI)",IF(O147=CURSOS!$D$22,"CUIDADO DEL DONANTE DE ORGANOS",IF(O147=CURSOS!$D$23,"ATENCION A VICTIMAS POR VIOLENCIA DE GENERO",IF(O147=CURSOS!$D$24,"IGUALDAD DE GENERO EN LA SALUD",IF(O147=CURSOS!$D$25,"BRIGADA DE EMERGENCIA",IF(O147=CURSOS!$D$26,"MANEJO DEL DOLOR Y CUIDADOS PALIATIVOS",IF(O147=CURSOS!$D$27,"TOMA DE MUESTRAS Y LABORATORIO POCT",IF(O147=CURSOS!$D$28,"IMPLANTE SUBDERMICO DE DISPOSITIVO INTRAUTERINO",IF(O147=CURSOS!$D$29,"SALUD MENTAL",IF(O147=CURSOS!$D$30,"PRIMEROS AUXILIOS PSICOLOGICOS",IF(O147=CURSOS!$D$31,"ATENCION A VICTIMAS POR CONFLICTO ARMADO",IF(O147=CURSOS!$D$32,"MANIPULACION DE ALIMENTOS Y BPM",IF(O147=CURSOS!$D$33,"ATENCION A PERSONAS CON DISCAPACIDAD",IF(O147=CURSOS!$D$34,"CUIDADO INTEGRAL DEL PACIENTE ADULTO",IF(O147=CURSOS!$D$35,"MANEJO DEFENSIVO",IF(O147=CURSOS!$D$36,"SOPORTE CARDIOVASCULAR AVANZADO NEONATAL",IF(O147=CURSOS!$D$37,"SEGURIDAD DEL PACIENTE",IF(O147=CURSOS!$D$38,"MANEJO Y USO DEL DEA",IF(O147=CURSOS!$D$39,"TRIAGE")))))))))))))))))))))))))))))))))))))</f>
        <v>SOPORTE VITAL BASICO (BLS)</v>
      </c>
      <c r="V147" s="105" t="str">
        <f t="shared" si="17"/>
        <v>Yurany Natalia Rodríguez Vaca</v>
      </c>
      <c r="W147" s="105" t="str">
        <f t="shared" si="18"/>
        <v>Yurany Natalia Rodríguez Vaca</v>
      </c>
      <c r="X147" s="105" t="str">
        <f t="shared" si="19"/>
        <v>Yurany Natalia Rodríguez Vaca-1088736947-BLS</v>
      </c>
    </row>
    <row r="148" spans="1:24" hidden="1" x14ac:dyDescent="0.2">
      <c r="A148" s="103">
        <v>147</v>
      </c>
      <c r="B148" s="105">
        <v>1088738633</v>
      </c>
      <c r="C148" s="105" t="s">
        <v>119</v>
      </c>
      <c r="D148" s="105" t="s">
        <v>156</v>
      </c>
      <c r="E148" s="105" t="s">
        <v>478</v>
      </c>
      <c r="F148" s="105" t="s">
        <v>479</v>
      </c>
      <c r="G148" s="106">
        <v>23</v>
      </c>
      <c r="H148" s="106" t="s">
        <v>99</v>
      </c>
      <c r="I148" s="106" t="s">
        <v>408</v>
      </c>
      <c r="J148" s="107">
        <v>45558</v>
      </c>
      <c r="K148" s="88">
        <v>32000</v>
      </c>
      <c r="L148" s="106" t="s">
        <v>138</v>
      </c>
      <c r="M148" s="106" t="s">
        <v>85</v>
      </c>
      <c r="N148" s="106" t="s">
        <v>109</v>
      </c>
      <c r="O148" s="108" t="s">
        <v>19</v>
      </c>
      <c r="P148" s="109">
        <v>35916</v>
      </c>
      <c r="Q148" s="106" t="s">
        <v>104</v>
      </c>
      <c r="R148" s="127" t="s">
        <v>123</v>
      </c>
      <c r="S148" s="105">
        <v>3225369418</v>
      </c>
      <c r="T148" s="105" t="s">
        <v>480</v>
      </c>
      <c r="U148" s="105" t="str">
        <f>IF(O148=CURSOS!$D$3,"DIPLOMADO EN ATENCION PRE-HOSPITALARIA",IF(O148=CURSOS!$D$4,"ACOMPAÑAMIENTO Y MANEJO DEL DUELO",IF(O148=CURSOS!$D$5,"ATENCION A VICTIMAS DE ATAQUE CON AGENTES QUIMICOS ",IF(O148=CURSOS!$D$6,"PRIMEROS AUXILIOS ",IF(O148=CURSOS!$D$7,"DIPLOMADO DE UNIDAD DE CUIDADOS INTENSIVOS (UCI)",IF(O148=CURSOS!$D$8,"MODELO DE ATENCION PARA EVENTOS EMERGENTES EN SALUD MENTAL (CODIGO VERDE)",IF(O148=CURSOS!$D$9,"HUMANIZACION EN EL SERVICIO DE LA SALUD Y BUENAS PRACTICAS EN PACIENTE ",IF(O148=CURSOS!$D$10,"CLINICA DE HERIDAS ",IF(O148=CURSOS!$D$11,"TOMA DE CITOLOGIA CERVICO VAGINAL ",IF(O148=CURSOS!$D$12,"SOPORTE CARDIOVASCULAR AVANZADO (ACLS) ",IF(O148=CURSOS!$D$13,"CAMILLERO ",IF(O148=CURSOS!$D$14,"TOMA DE MUESTRAS Y LABORATORIO ",IF(O148=CURSOS!$D$15,"SOPORTE VITAL BASICO (BLS)",IF(O148=CURSOS!$D$16,"ATENCION A VICTIMAS DE VIOLENCIA SEXUAL ",IF(O148=CURSOS!$D$17,"PROGRAMADO AMPLIADO DE INMUNIZACION (PAI - COVID 19)",IF(O148=CURSOS!$D$18,"ATENCION INTEGRAL EN ENFERMEDADES PREVALENTES EN PRIMERA INFANCIA (AIEPI)",IF(O148=CURSOS!$D$19,"ADMINISTRACION DE MEDICAMENTOS, INYECTOLOGIA  Y CANALIZACION ",IF(O148=CURSOS!$D$20,"OPERADOR DE VEHICULOS DE EMERGENCIA (OVE)",IF(O148=CURSOS!$D$21,"INSTITUCIONES AMIGAS DE LA MUJER Y LA INFANCIA (IAMI)",IF(O148=CURSOS!$D$22,"CUIDADO DEL DONANTE DE ORGANOS",IF(O148=CURSOS!$D$23,"ATENCION A VICTIMAS POR VIOLENCIA DE GENERO",IF(O148=CURSOS!$D$24,"IGUALDAD DE GENERO EN LA SALUD",IF(O148=CURSOS!$D$25,"BRIGADA DE EMERGENCIA",IF(O148=CURSOS!$D$26,"MANEJO DEL DOLOR Y CUIDADOS PALIATIVOS",IF(O148=CURSOS!$D$27,"TOMA DE MUESTRAS Y LABORATORIO POCT",IF(O148=CURSOS!$D$28,"IMPLANTE SUBDERMICO DE DISPOSITIVO INTRAUTERINO",IF(O148=CURSOS!$D$29,"SALUD MENTAL",IF(O148=CURSOS!$D$30,"PRIMEROS AUXILIOS PSICOLOGICOS",IF(O148=CURSOS!$D$31,"ATENCION A VICTIMAS POR CONFLICTO ARMADO",IF(O148=CURSOS!$D$32,"MANIPULACION DE ALIMENTOS Y BPM",IF(O148=CURSOS!$D$33,"ATENCION A PERSONAS CON DISCAPACIDAD",IF(O148=CURSOS!$D$34,"CUIDADO INTEGRAL DEL PACIENTE ADULTO",IF(O148=CURSOS!$D$35,"MANEJO DEFENSIVO",IF(O148=CURSOS!$D$36,"SOPORTE CARDIOVASCULAR AVANZADO NEONATAL",IF(O148=CURSOS!$D$37,"SEGURIDAD DEL PACIENTE",IF(O148=CURSOS!$D$38,"MANEJO Y USO DEL DEA",IF(O148=CURSOS!$D$39,"TRIAGE")))))))))))))))))))))))))))))))))))))</f>
        <v>SOPORTE VITAL BASICO (BLS)</v>
      </c>
      <c r="V148" s="105" t="str">
        <f t="shared" si="17"/>
        <v>Faber Danilo Pantoja Cadena</v>
      </c>
      <c r="W148" s="105" t="str">
        <f t="shared" si="18"/>
        <v>Faber Danilo Pantoja Cadena</v>
      </c>
      <c r="X148" s="105" t="str">
        <f t="shared" si="19"/>
        <v>Faber Danilo Pantoja Cadena-1088738633-BLS</v>
      </c>
    </row>
    <row r="149" spans="1:24" hidden="1" x14ac:dyDescent="0.2">
      <c r="A149" s="103">
        <v>148</v>
      </c>
      <c r="B149" s="105">
        <v>1085338867</v>
      </c>
      <c r="C149" s="105" t="s">
        <v>119</v>
      </c>
      <c r="D149" s="105" t="s">
        <v>307</v>
      </c>
      <c r="E149" s="105" t="s">
        <v>482</v>
      </c>
      <c r="F149" s="105" t="s">
        <v>481</v>
      </c>
      <c r="G149" s="106">
        <v>23</v>
      </c>
      <c r="H149" s="106" t="s">
        <v>99</v>
      </c>
      <c r="I149" s="106" t="s">
        <v>408</v>
      </c>
      <c r="J149" s="107">
        <v>45560</v>
      </c>
      <c r="K149" s="88">
        <v>30000</v>
      </c>
      <c r="L149" s="106" t="s">
        <v>138</v>
      </c>
      <c r="M149" s="106" t="s">
        <v>85</v>
      </c>
      <c r="N149" s="106" t="s">
        <v>109</v>
      </c>
      <c r="O149" s="108" t="s">
        <v>23</v>
      </c>
      <c r="P149" s="109">
        <v>35834</v>
      </c>
      <c r="Q149" s="106" t="s">
        <v>110</v>
      </c>
      <c r="R149" s="105" t="s">
        <v>123</v>
      </c>
      <c r="S149" s="105">
        <v>3205170605</v>
      </c>
      <c r="T149" s="105" t="s">
        <v>483</v>
      </c>
      <c r="U149" s="105" t="str">
        <f>IF(O149=CURSOS!$D$3,"DIPLOMADO EN ATENCION PRE-HOSPITALARIA",IF(O149=CURSOS!$D$4,"ACOMPAÑAMIENTO Y MANEJO DEL DUELO",IF(O149=CURSOS!$D$5,"ATENCION A VICTIMAS DE ATAQUE CON AGENTES QUIMICOS ",IF(O149=CURSOS!$D$6,"PRIMEROS AUXILIOS ",IF(O149=CURSOS!$D$7,"DIPLOMADO DE UNIDAD DE CUIDADOS INTENSIVOS (UCI)",IF(O149=CURSOS!$D$8,"MODELO DE ATENCION PARA EVENTOS EMERGENTES EN SALUD MENTAL (CODIGO VERDE)",IF(O149=CURSOS!$D$9,"HUMANIZACION EN EL SERVICIO DE LA SALUD Y BUENAS PRACTICAS EN PACIENTE ",IF(O149=CURSOS!$D$10,"CLINICA DE HERIDAS ",IF(O149=CURSOS!$D$11,"TOMA DE CITOLOGIA CERVICO VAGINAL ",IF(O149=CURSOS!$D$12,"SOPORTE CARDIOVASCULAR AVANZADO (ACLS) ",IF(O149=CURSOS!$D$13,"CAMILLERO ",IF(O149=CURSOS!$D$14,"TOMA DE MUESTRAS Y LABORATORIO ",IF(O149=CURSOS!$D$15,"SOPORTE VITAL BASICO (BLS)",IF(O149=CURSOS!$D$16,"ATENCION A VICTIMAS DE VIOLENCIA SEXUAL ",IF(O149=CURSOS!$D$17,"PROGRAMADO AMPLIADO DE INMUNIZACION (PAI - COVID 19)",IF(O149=CURSOS!$D$18,"ATENCION INTEGRAL EN ENFERMEDADES PREVALENTES EN PRIMERA INFANCIA (AIEPI)",IF(O149=CURSOS!$D$19,"ADMINISTRACION DE MEDICAMENTOS, INYECTOLOGIA  Y CANALIZACION ",IF(O149=CURSOS!$D$20,"OPERADOR DE VEHICULOS DE EMERGENCIA (OVE)",IF(O149=CURSOS!$D$21,"INSTITUCIONES AMIGAS DE LA MUJER Y LA INFANCIA (IAMI)",IF(O149=CURSOS!$D$22,"CUIDADO DEL DONANTE DE ORGANOS",IF(O149=CURSOS!$D$23,"ATENCION A VICTIMAS POR VIOLENCIA DE GENERO",IF(O149=CURSOS!$D$24,"IGUALDAD DE GENERO EN LA SALUD",IF(O149=CURSOS!$D$25,"BRIGADA DE EMERGENCIA",IF(O149=CURSOS!$D$26,"MANEJO DEL DOLOR Y CUIDADOS PALIATIVOS",IF(O149=CURSOS!$D$27,"TOMA DE MUESTRAS Y LABORATORIO POCT",IF(O149=CURSOS!$D$28,"IMPLANTE SUBDERMICO DE DISPOSITIVO INTRAUTERINO",IF(O149=CURSOS!$D$29,"SALUD MENTAL",IF(O149=CURSOS!$D$30,"PRIMEROS AUXILIOS PSICOLOGICOS",IF(O149=CURSOS!$D$31,"ATENCION A VICTIMAS POR CONFLICTO ARMADO",IF(O149=CURSOS!$D$32,"MANIPULACION DE ALIMENTOS Y BPM",IF(O149=CURSOS!$D$33,"ATENCION A PERSONAS CON DISCAPACIDAD",IF(O149=CURSOS!$D$34,"CUIDADO INTEGRAL DEL PACIENTE ADULTO",IF(O149=CURSOS!$D$35,"MANEJO DEFENSIVO",IF(O149=CURSOS!$D$36,"SOPORTE CARDIOVASCULAR AVANZADO NEONATAL",IF(O149=CURSOS!$D$37,"SEGURIDAD DEL PACIENTE",IF(O149=CURSOS!$D$38,"MANEJO Y USO DEL DEA",IF(O149=CURSOS!$D$39,"TRIAGE")))))))))))))))))))))))))))))))))))))</f>
        <v>ACOMPAÑAMIENTO Y MANEJO DEL DUELO</v>
      </c>
      <c r="V149" s="105" t="str">
        <f t="shared" si="17"/>
        <v>Brigid Tatiana Pantoja Erazo</v>
      </c>
      <c r="W149" s="105" t="str">
        <f t="shared" si="18"/>
        <v>Brigid Tatiana Pantoja Erazo</v>
      </c>
      <c r="X149" s="105" t="str">
        <f t="shared" si="19"/>
        <v>Brigid Tatiana Pantoja Erazo-1085338867-DUELO</v>
      </c>
    </row>
    <row r="150" spans="1:24" hidden="1" x14ac:dyDescent="0.2">
      <c r="A150" s="103">
        <v>149</v>
      </c>
      <c r="B150" s="147">
        <v>1085268924</v>
      </c>
      <c r="C150" s="105" t="s">
        <v>463</v>
      </c>
      <c r="D150" s="105" t="s">
        <v>464</v>
      </c>
      <c r="E150" s="105" t="s">
        <v>465</v>
      </c>
      <c r="F150" s="105"/>
      <c r="G150" s="106">
        <v>23</v>
      </c>
      <c r="H150" s="106" t="s">
        <v>99</v>
      </c>
      <c r="I150" s="106" t="s">
        <v>408</v>
      </c>
      <c r="J150" s="107">
        <v>45558</v>
      </c>
      <c r="K150" s="88">
        <v>40000</v>
      </c>
      <c r="L150" s="106" t="s">
        <v>138</v>
      </c>
      <c r="M150" s="106" t="s">
        <v>85</v>
      </c>
      <c r="N150" s="106" t="s">
        <v>98</v>
      </c>
      <c r="O150" s="108" t="s">
        <v>19</v>
      </c>
      <c r="P150" s="148">
        <v>32444</v>
      </c>
      <c r="Q150" s="106" t="s">
        <v>110</v>
      </c>
      <c r="R150" s="105" t="s">
        <v>123</v>
      </c>
      <c r="S150" s="147">
        <v>3216181953</v>
      </c>
      <c r="T150" s="149" t="s">
        <v>466</v>
      </c>
      <c r="U150" s="105" t="str">
        <f>IF(O150=CURSOS!$D$3,"DIPLOMADO EN ATENCION PRE-HOSPITALARIA",IF(O150=CURSOS!$D$4,"ACOMPAÑAMIENTO Y MANEJO DEL DUELO",IF(O150=CURSOS!$D$5,"ATENCION A VICTIMAS DE ATAQUE CON AGENTES QUIMICOS ",IF(O150=CURSOS!$D$6,"PRIMEROS AUXILIOS ",IF(O150=CURSOS!$D$7,"DIPLOMADO DE UNIDAD DE CUIDADOS INTENSIVOS (UCI)",IF(O150=CURSOS!$D$8,"MODELO DE ATENCION PARA EVENTOS EMERGENTES EN SALUD MENTAL (CODIGO VERDE)",IF(O150=CURSOS!$D$9,"HUMANIZACION EN EL SERVICIO DE LA SALUD Y BUENAS PRACTICAS EN PACIENTE ",IF(O150=CURSOS!$D$10,"CLINICA DE HERIDAS ",IF(O150=CURSOS!$D$11,"TOMA DE CITOLOGIA CERVICO VAGINAL ",IF(O150=CURSOS!$D$12,"SOPORTE CARDIOVASCULAR AVANZADO (ACLS) ",IF(O150=CURSOS!$D$13,"CAMILLERO ",IF(O150=CURSOS!$D$14,"TOMA DE MUESTRAS Y LABORATORIO ",IF(O150=CURSOS!$D$15,"SOPORTE VITAL BASICO (BLS)",IF(O150=CURSOS!$D$16,"ATENCION A VICTIMAS DE VIOLENCIA SEXUAL ",IF(O150=CURSOS!$D$17,"PROGRAMADO AMPLIADO DE INMUNIZACION (PAI - COVID 19)",IF(O150=CURSOS!$D$18,"ATENCION INTEGRAL EN ENFERMEDADES PREVALENTES EN PRIMERA INFANCIA (AIEPI)",IF(O150=CURSOS!$D$19,"ADMINISTRACION DE MEDICAMENTOS, INYECTOLOGIA  Y CANALIZACION ",IF(O150=CURSOS!$D$20,"OPERADOR DE VEHICULOS DE EMERGENCIA (OVE)",IF(O150=CURSOS!$D$21,"INSTITUCIONES AMIGAS DE LA MUJER Y LA INFANCIA (IAMI)",IF(O150=CURSOS!$D$22,"CUIDADO DEL DONANTE DE ORGANOS",IF(O150=CURSOS!$D$23,"ATENCION A VICTIMAS POR VIOLENCIA DE GENERO",IF(O150=CURSOS!$D$24,"IGUALDAD DE GENERO EN LA SALUD",IF(O150=CURSOS!$D$25,"BRIGADA DE EMERGENCIA",IF(O150=CURSOS!$D$26,"MANEJO DEL DOLOR Y CUIDADOS PALIATIVOS",IF(O150=CURSOS!$D$27,"TOMA DE MUESTRAS Y LABORATORIO POCT",IF(O150=CURSOS!$D$28,"IMPLANTE SUBDERMICO DE DISPOSITIVO INTRAUTERINO",IF(O150=CURSOS!$D$29,"SALUD MENTAL",IF(O150=CURSOS!$D$30,"PRIMEROS AUXILIOS PSICOLOGICOS",IF(O150=CURSOS!$D$31,"ATENCION A VICTIMAS POR CONFLICTO ARMADO",IF(O150=CURSOS!$D$32,"MANIPULACION DE ALIMENTOS Y BPM",IF(O150=CURSOS!$D$33,"ATENCION A PERSONAS CON DISCAPACIDAD",IF(O150=CURSOS!$D$34,"CUIDADO INTEGRAL DEL PACIENTE ADULTO",IF(O150=CURSOS!$D$35,"MANEJO DEFENSIVO",IF(O150=CURSOS!$D$36,"SOPORTE CARDIOVASCULAR AVANZADO NEONATAL",IF(O150=CURSOS!$D$37,"SEGURIDAD DEL PACIENTE",IF(O150=CURSOS!$D$38,"MANEJO Y USO DEL DEA",IF(O150=CURSOS!$D$39,"TRIAGE")))))))))))))))))))))))))))))))))))))</f>
        <v>SOPORTE VITAL BASICO (BLS)</v>
      </c>
      <c r="V150" s="105" t="str">
        <f t="shared" si="17"/>
        <v>Jennifer  Portilla Chaucanes</v>
      </c>
      <c r="W150" s="105" t="str">
        <f t="shared" si="18"/>
        <v>Jennifer  Portilla Chaucanes</v>
      </c>
      <c r="X150" s="105" t="str">
        <f t="shared" si="19"/>
        <v>Jennifer  Portilla Chaucanes-1085268924-BLS</v>
      </c>
    </row>
    <row r="151" spans="1:24" hidden="1" x14ac:dyDescent="0.2">
      <c r="A151" s="103">
        <v>150</v>
      </c>
      <c r="B151" s="105">
        <v>1087406886</v>
      </c>
      <c r="C151" s="105" t="s">
        <v>119</v>
      </c>
      <c r="D151" s="105" t="s">
        <v>484</v>
      </c>
      <c r="E151" s="105" t="s">
        <v>266</v>
      </c>
      <c r="F151" s="105" t="s">
        <v>485</v>
      </c>
      <c r="G151" s="106">
        <v>23</v>
      </c>
      <c r="H151" s="106" t="s">
        <v>99</v>
      </c>
      <c r="I151" s="106" t="s">
        <v>408</v>
      </c>
      <c r="J151" s="130">
        <v>45558</v>
      </c>
      <c r="K151" s="88">
        <v>32000</v>
      </c>
      <c r="L151" s="106" t="s">
        <v>138</v>
      </c>
      <c r="M151" s="106" t="s">
        <v>85</v>
      </c>
      <c r="N151" s="106" t="s">
        <v>109</v>
      </c>
      <c r="O151" s="108" t="s">
        <v>19</v>
      </c>
      <c r="P151" s="109">
        <v>36437</v>
      </c>
      <c r="Q151" s="106" t="s">
        <v>110</v>
      </c>
      <c r="R151" s="105" t="s">
        <v>123</v>
      </c>
      <c r="S151" s="105">
        <v>3176009857</v>
      </c>
      <c r="T151" s="105" t="s">
        <v>486</v>
      </c>
      <c r="U151" s="105" t="str">
        <f>IF(O151=CURSOS!$D$3,"DIPLOMADO EN ATENCION PRE-HOSPITALARIA",IF(O151=CURSOS!$D$4,"ACOMPAÑAMIENTO Y MANEJO DEL DUELO",IF(O151=CURSOS!$D$5,"ATENCION A VICTIMAS DE ATAQUE CON AGENTES QUIMICOS ",IF(O151=CURSOS!$D$6,"PRIMEROS AUXILIOS ",IF(O151=CURSOS!$D$7,"DIPLOMADO DE UNIDAD DE CUIDADOS INTENSIVOS (UCI)",IF(O151=CURSOS!$D$8,"MODELO DE ATENCION PARA EVENTOS EMERGENTES EN SALUD MENTAL (CODIGO VERDE)",IF(O151=CURSOS!$D$9,"HUMANIZACION EN EL SERVICIO DE LA SALUD Y BUENAS PRACTICAS EN PACIENTE ",IF(O151=CURSOS!$D$10,"CLINICA DE HERIDAS ",IF(O151=CURSOS!$D$11,"TOMA DE CITOLOGIA CERVICO VAGINAL ",IF(O151=CURSOS!$D$12,"SOPORTE CARDIOVASCULAR AVANZADO (ACLS) ",IF(O151=CURSOS!$D$13,"CAMILLERO ",IF(O151=CURSOS!$D$14,"TOMA DE MUESTRAS Y LABORATORIO ",IF(O151=CURSOS!$D$15,"SOPORTE VITAL BASICO (BLS)",IF(O151=CURSOS!$D$16,"ATENCION A VICTIMAS DE VIOLENCIA SEXUAL ",IF(O151=CURSOS!$D$17,"PROGRAMADO AMPLIADO DE INMUNIZACION (PAI - COVID 19)",IF(O151=CURSOS!$D$18,"ATENCION INTEGRAL EN ENFERMEDADES PREVALENTES EN PRIMERA INFANCIA (AIEPI)",IF(O151=CURSOS!$D$19,"ADMINISTRACION DE MEDICAMENTOS, INYECTOLOGIA  Y CANALIZACION ",IF(O151=CURSOS!$D$20,"OPERADOR DE VEHICULOS DE EMERGENCIA (OVE)",IF(O151=CURSOS!$D$21,"INSTITUCIONES AMIGAS DE LA MUJER Y LA INFANCIA (IAMI)",IF(O151=CURSOS!$D$22,"CUIDADO DEL DONANTE DE ORGANOS",IF(O151=CURSOS!$D$23,"ATENCION A VICTIMAS POR VIOLENCIA DE GENERO",IF(O151=CURSOS!$D$24,"IGUALDAD DE GENERO EN LA SALUD",IF(O151=CURSOS!$D$25,"BRIGADA DE EMERGENCIA",IF(O151=CURSOS!$D$26,"MANEJO DEL DOLOR Y CUIDADOS PALIATIVOS",IF(O151=CURSOS!$D$27,"TOMA DE MUESTRAS Y LABORATORIO POCT",IF(O151=CURSOS!$D$28,"IMPLANTE SUBDERMICO DE DISPOSITIVO INTRAUTERINO",IF(O151=CURSOS!$D$29,"SALUD MENTAL",IF(O151=CURSOS!$D$30,"PRIMEROS AUXILIOS PSICOLOGICOS",IF(O151=CURSOS!$D$31,"ATENCION A VICTIMAS POR CONFLICTO ARMADO",IF(O151=CURSOS!$D$32,"MANIPULACION DE ALIMENTOS Y BPM",IF(O151=CURSOS!$D$33,"ATENCION A PERSONAS CON DISCAPACIDAD",IF(O151=CURSOS!$D$34,"CUIDADO INTEGRAL DEL PACIENTE ADULTO",IF(O151=CURSOS!$D$35,"MANEJO DEFENSIVO",IF(O151=CURSOS!$D$36,"SOPORTE CARDIOVASCULAR AVANZADO NEONATAL",IF(O151=CURSOS!$D$37,"SEGURIDAD DEL PACIENTE",IF(O151=CURSOS!$D$38,"MANEJO Y USO DEL DEA",IF(O151=CURSOS!$D$39,"TRIAGE")))))))))))))))))))))))))))))))))))))</f>
        <v>SOPORTE VITAL BASICO (BLS)</v>
      </c>
      <c r="V151" s="105" t="str">
        <f t="shared" si="17"/>
        <v>Ana Giselly Pantoja Sanchez</v>
      </c>
      <c r="W151" s="105" t="str">
        <f t="shared" si="18"/>
        <v>Ana Giselly Pantoja Sanchez</v>
      </c>
      <c r="X151" s="105" t="str">
        <f t="shared" si="19"/>
        <v>Ana Giselly Pantoja Sanchez-1087406886-BLS</v>
      </c>
    </row>
    <row r="152" spans="1:24" x14ac:dyDescent="0.2">
      <c r="A152" s="103">
        <v>151</v>
      </c>
      <c r="B152" s="105">
        <v>1085326769</v>
      </c>
      <c r="C152" s="105" t="s">
        <v>177</v>
      </c>
      <c r="D152" s="105" t="s">
        <v>134</v>
      </c>
      <c r="E152" s="105" t="s">
        <v>172</v>
      </c>
      <c r="F152" s="105" t="s">
        <v>487</v>
      </c>
      <c r="G152" s="106">
        <v>23</v>
      </c>
      <c r="H152" s="106" t="s">
        <v>99</v>
      </c>
      <c r="I152" s="106" t="s">
        <v>408</v>
      </c>
      <c r="J152" s="107">
        <v>45558</v>
      </c>
      <c r="K152" s="88">
        <v>40000</v>
      </c>
      <c r="L152" s="106" t="s">
        <v>103</v>
      </c>
      <c r="M152" s="106" t="s">
        <v>85</v>
      </c>
      <c r="N152" s="106" t="s">
        <v>98</v>
      </c>
      <c r="O152" s="108" t="s">
        <v>61</v>
      </c>
      <c r="P152" s="109">
        <v>35095</v>
      </c>
      <c r="Q152" s="106" t="s">
        <v>110</v>
      </c>
      <c r="R152" s="105" t="s">
        <v>488</v>
      </c>
      <c r="S152" s="105">
        <v>3113865211</v>
      </c>
      <c r="T152" s="111" t="s">
        <v>489</v>
      </c>
      <c r="U152" s="105" t="str">
        <f>IF(O152=CURSOS!$D$3,"DIPLOMADO EN ATENCION PRE-HOSPITALARIA",IF(O152=CURSOS!$D$4,"ACOMPAÑAMIENTO Y MANEJO DEL DUELO",IF(O152=CURSOS!$D$5,"ATENCION A VICTIMAS DE ATAQUE CON AGENTES QUIMICOS ",IF(O152=CURSOS!$D$6,"PRIMEROS AUXILIOS ",IF(O152=CURSOS!$D$7,"DIPLOMADO DE UNIDAD DE CUIDADOS INTENSIVOS (UCI)",IF(O152=CURSOS!$D$8,"MODELO DE ATENCION PARA EVENTOS EMERGENTES EN SALUD MENTAL (CODIGO VERDE)",IF(O152=CURSOS!$D$9,"HUMANIZACION EN EL SERVICIO DE LA SALUD Y BUENAS PRACTICAS EN PACIENTE ",IF(O152=CURSOS!$D$10,"CLINICA DE HERIDAS ",IF(O152=CURSOS!$D$11,"TOMA DE CITOLOGIA CERVICO VAGINAL ",IF(O152=CURSOS!$D$12,"SOPORTE CARDIOVASCULAR AVANZADO (ACLS) ",IF(O152=CURSOS!$D$13,"CAMILLERO ",IF(O152=CURSOS!$D$14,"TOMA DE MUESTRAS Y LABORATORIO ",IF(O152=CURSOS!$D$15,"SOPORTE VITAL BASICO (BLS)",IF(O152=CURSOS!$D$16,"ATENCION A VICTIMAS DE VIOLENCIA SEXUAL ",IF(O152=CURSOS!$D$17,"PROGRAMADO AMPLIADO DE INMUNIZACION (PAI - COVID 19)",IF(O152=CURSOS!$D$18,"ATENCION INTEGRAL EN ENFERMEDADES PREVALENTES EN PRIMERA INFANCIA (AIEPI)",IF(O152=CURSOS!$D$19,"ADMINISTRACION DE MEDICAMENTOS, INYECTOLOGIA  Y CANALIZACION ",IF(O152=CURSOS!$D$20,"OPERADOR DE VEHICULOS DE EMERGENCIA (OVE)",IF(O152=CURSOS!$D$21,"INSTITUCIONES AMIGAS DE LA MUJER Y LA INFANCIA (IAMI)",IF(O152=CURSOS!$D$22,"CUIDADO DEL DONANTE DE ORGANOS",IF(O152=CURSOS!$D$23,"ATENCION A VICTIMAS POR VIOLENCIA DE GENERO",IF(O152=CURSOS!$D$24,"IGUALDAD DE GENERO EN LA SALUD",IF(O152=CURSOS!$D$25,"BRIGADA DE EMERGENCIA",IF(O152=CURSOS!$D$26,"MANEJO DEL DOLOR Y CUIDADOS PALIATIVOS",IF(O152=CURSOS!$D$27,"TOMA DE MUESTRAS Y LABORATORIO POCT",IF(O152=CURSOS!$D$28,"IMPLANTE SUBDERMICO DE DISPOSITIVO INTRAUTERINO",IF(O152=CURSOS!$D$29,"SALUD MENTAL",IF(O152=CURSOS!$D$30,"PRIMEROS AUXILIOS PSICOLOGICOS",IF(O152=CURSOS!$D$31,"ATENCION A VICTIMAS POR CONFLICTO ARMADO",IF(O152=CURSOS!$D$32,"MANIPULACION DE ALIMENTOS Y BPM",IF(O152=CURSOS!$D$33,"ATENCION A PERSONAS CON DISCAPACIDAD",IF(O152=CURSOS!$D$34,"CUIDADO INTEGRAL DEL PACIENTE ADULTO",IF(O152=CURSOS!$D$35,"MANEJO DEFENSIVO",IF(O152=CURSOS!$D$36,"SOPORTE CARDIOVASCULAR AVANZADO NEONATAL",IF(O152=CURSOS!$D$37,"SEGURIDAD DEL PACIENTE",IF(O152=CURSOS!$D$38,"MANEJO Y USO DEL DEA",IF(O152=CURSOS!$D$39,"TRIAGE")))))))))))))))))))))))))))))))))))))</f>
        <v>MANEJO DEL DOLOR Y CUIDADOS PALIATIVOS</v>
      </c>
      <c r="V152" s="105" t="str">
        <f t="shared" si="17"/>
        <v>Johana Carolina Guerrero Zambrano</v>
      </c>
      <c r="W152" s="105" t="str">
        <f t="shared" si="18"/>
        <v>Johana Carolina Guerrero Zambrano</v>
      </c>
      <c r="X152" s="105" t="str">
        <f t="shared" si="19"/>
        <v>Johana Carolina Guerrero Zambrano-1085326769-PALIATIVOS</v>
      </c>
    </row>
    <row r="153" spans="1:24" hidden="1" x14ac:dyDescent="0.2">
      <c r="A153" s="103">
        <v>152</v>
      </c>
      <c r="B153" s="105">
        <v>1032424255</v>
      </c>
      <c r="C153" s="105" t="s">
        <v>210</v>
      </c>
      <c r="D153" s="105" t="s">
        <v>165</v>
      </c>
      <c r="E153" s="105" t="s">
        <v>490</v>
      </c>
      <c r="F153" s="105"/>
      <c r="G153" s="106">
        <v>23</v>
      </c>
      <c r="H153" s="106" t="s">
        <v>99</v>
      </c>
      <c r="I153" s="106" t="s">
        <v>408</v>
      </c>
      <c r="J153" s="107">
        <v>45558</v>
      </c>
      <c r="K153" s="88">
        <v>32000</v>
      </c>
      <c r="L153" s="106" t="s">
        <v>138</v>
      </c>
      <c r="M153" s="106" t="s">
        <v>85</v>
      </c>
      <c r="N153" s="106" t="s">
        <v>109</v>
      </c>
      <c r="O153" s="108" t="s">
        <v>25</v>
      </c>
      <c r="P153" s="150">
        <v>32274</v>
      </c>
      <c r="Q153" s="106" t="s">
        <v>110</v>
      </c>
      <c r="R153" s="110" t="s">
        <v>105</v>
      </c>
      <c r="S153" s="105">
        <v>3103725703</v>
      </c>
      <c r="T153" s="111" t="s">
        <v>491</v>
      </c>
      <c r="U153" s="105" t="str">
        <f>IF(O153=CURSOS!$D$3,"DIPLOMADO EN ATENCION PRE-HOSPITALARIA",IF(O153=CURSOS!$D$4,"ACOMPAÑAMIENTO Y MANEJO DEL DUELO",IF(O153=CURSOS!$D$5,"ATENCION A VICTIMAS DE ATAQUE CON AGENTES QUIMICOS ",IF(O153=CURSOS!$D$6,"PRIMEROS AUXILIOS ",IF(O153=CURSOS!$D$7,"DIPLOMADO DE UNIDAD DE CUIDADOS INTENSIVOS (UCI)",IF(O153=CURSOS!$D$8,"MODELO DE ATENCION PARA EVENTOS EMERGENTES EN SALUD MENTAL (CODIGO VERDE)",IF(O153=CURSOS!$D$9,"HUMANIZACION EN EL SERVICIO DE LA SALUD Y BUENAS PRACTICAS EN PACIENTE ",IF(O153=CURSOS!$D$10,"CLINICA DE HERIDAS ",IF(O153=CURSOS!$D$11,"TOMA DE CITOLOGIA CERVICO VAGINAL ",IF(O153=CURSOS!$D$12,"SOPORTE CARDIOVASCULAR AVANZADO (ACLS) ",IF(O153=CURSOS!$D$13,"CAMILLERO ",IF(O153=CURSOS!$D$14,"TOMA DE MUESTRAS Y LABORATORIO ",IF(O153=CURSOS!$D$15,"SOPORTE VITAL BASICO (BLS)",IF(O153=CURSOS!$D$16,"ATENCION A VICTIMAS DE VIOLENCIA SEXUAL ",IF(O153=CURSOS!$D$17,"PROGRAMADO AMPLIADO DE INMUNIZACION (PAI - COVID 19)",IF(O153=CURSOS!$D$18,"ATENCION INTEGRAL EN ENFERMEDADES PREVALENTES EN PRIMERA INFANCIA (AIEPI)",IF(O153=CURSOS!$D$19,"ADMINISTRACION DE MEDICAMENTOS, INYECTOLOGIA  Y CANALIZACION ",IF(O153=CURSOS!$D$20,"OPERADOR DE VEHICULOS DE EMERGENCIA (OVE)",IF(O153=CURSOS!$D$21,"INSTITUCIONES AMIGAS DE LA MUJER Y LA INFANCIA (IAMI)",IF(O153=CURSOS!$D$22,"CUIDADO DEL DONANTE DE ORGANOS",IF(O153=CURSOS!$D$23,"ATENCION A VICTIMAS POR VIOLENCIA DE GENERO",IF(O153=CURSOS!$D$24,"IGUALDAD DE GENERO EN LA SALUD",IF(O153=CURSOS!$D$25,"BRIGADA DE EMERGENCIA",IF(O153=CURSOS!$D$26,"MANEJO DEL DOLOR Y CUIDADOS PALIATIVOS",IF(O153=CURSOS!$D$27,"TOMA DE MUESTRAS Y LABORATORIO POCT",IF(O153=CURSOS!$D$28,"IMPLANTE SUBDERMICO DE DISPOSITIVO INTRAUTERINO",IF(O153=CURSOS!$D$29,"SALUD MENTAL",IF(O153=CURSOS!$D$30,"PRIMEROS AUXILIOS PSICOLOGICOS",IF(O153=CURSOS!$D$31,"ATENCION A VICTIMAS POR CONFLICTO ARMADO",IF(O153=CURSOS!$D$32,"MANIPULACION DE ALIMENTOS Y BPM",IF(O153=CURSOS!$D$33,"ATENCION A PERSONAS CON DISCAPACIDAD",IF(O153=CURSOS!$D$34,"CUIDADO INTEGRAL DEL PACIENTE ADULTO",IF(O153=CURSOS!$D$35,"MANEJO DEFENSIVO",IF(O153=CURSOS!$D$36,"SOPORTE CARDIOVASCULAR AVANZADO NEONATAL",IF(O153=CURSOS!$D$37,"SEGURIDAD DEL PACIENTE",IF(O153=CURSOS!$D$38,"MANEJO Y USO DEL DEA",IF(O153=CURSOS!$D$39,"TRIAGE")))))))))))))))))))))))))))))))))))))</f>
        <v xml:space="preserve">ATENCION A VICTIMAS DE ATAQUE CON AGENTES QUIMICOS </v>
      </c>
      <c r="V153" s="105" t="str">
        <f t="shared" si="17"/>
        <v>Floribet  Rodríguez Espinosa</v>
      </c>
      <c r="W153" s="105" t="str">
        <f t="shared" si="18"/>
        <v>Floribet  Rodríguez Espinosa</v>
      </c>
      <c r="X153" s="105" t="str">
        <f t="shared" si="19"/>
        <v>Floribet  Rodríguez Espinosa-1032424255-QUIMICOS</v>
      </c>
    </row>
    <row r="154" spans="1:24" hidden="1" x14ac:dyDescent="0.2">
      <c r="A154" s="103">
        <v>153</v>
      </c>
      <c r="B154" s="105">
        <v>87712381</v>
      </c>
      <c r="C154" s="105" t="s">
        <v>492</v>
      </c>
      <c r="D154" s="105" t="s">
        <v>493</v>
      </c>
      <c r="E154" s="105" t="s">
        <v>152</v>
      </c>
      <c r="F154" s="105" t="s">
        <v>341</v>
      </c>
      <c r="G154" s="106">
        <v>23</v>
      </c>
      <c r="H154" s="106" t="s">
        <v>99</v>
      </c>
      <c r="I154" s="106" t="s">
        <v>408</v>
      </c>
      <c r="J154" s="107">
        <v>45560</v>
      </c>
      <c r="K154" s="88">
        <v>30000</v>
      </c>
      <c r="L154" s="106" t="s">
        <v>138</v>
      </c>
      <c r="M154" s="106" t="s">
        <v>180</v>
      </c>
      <c r="N154" s="106" t="s">
        <v>109</v>
      </c>
      <c r="O154" s="108" t="s">
        <v>19</v>
      </c>
      <c r="P154" s="109">
        <v>26240</v>
      </c>
      <c r="Q154" s="106" t="s">
        <v>104</v>
      </c>
      <c r="R154" s="105" t="s">
        <v>123</v>
      </c>
      <c r="S154" s="105">
        <v>3187091030</v>
      </c>
      <c r="T154" s="111" t="s">
        <v>494</v>
      </c>
      <c r="U154" s="105" t="str">
        <f>IF(O154=CURSOS!$D$3,"DIPLOMADO EN ATENCION PRE-HOSPITALARIA",IF(O154=CURSOS!$D$4,"ACOMPAÑAMIENTO Y MANEJO DEL DUELO",IF(O154=CURSOS!$D$5,"ATENCION A VICTIMAS DE ATAQUE CON AGENTES QUIMICOS ",IF(O154=CURSOS!$D$6,"PRIMEROS AUXILIOS ",IF(O154=CURSOS!$D$7,"DIPLOMADO DE UNIDAD DE CUIDADOS INTENSIVOS (UCI)",IF(O154=CURSOS!$D$8,"MODELO DE ATENCION PARA EVENTOS EMERGENTES EN SALUD MENTAL (CODIGO VERDE)",IF(O154=CURSOS!$D$9,"HUMANIZACION EN EL SERVICIO DE LA SALUD Y BUENAS PRACTICAS EN PACIENTE ",IF(O154=CURSOS!$D$10,"CLINICA DE HERIDAS ",IF(O154=CURSOS!$D$11,"TOMA DE CITOLOGIA CERVICO VAGINAL ",IF(O154=CURSOS!$D$12,"SOPORTE CARDIOVASCULAR AVANZADO (ACLS) ",IF(O154=CURSOS!$D$13,"CAMILLERO ",IF(O154=CURSOS!$D$14,"TOMA DE MUESTRAS Y LABORATORIO ",IF(O154=CURSOS!$D$15,"SOPORTE VITAL BASICO (BLS)",IF(O154=CURSOS!$D$16,"ATENCION A VICTIMAS DE VIOLENCIA SEXUAL ",IF(O154=CURSOS!$D$17,"PROGRAMADO AMPLIADO DE INMUNIZACION (PAI - COVID 19)",IF(O154=CURSOS!$D$18,"ATENCION INTEGRAL EN ENFERMEDADES PREVALENTES EN PRIMERA INFANCIA (AIEPI)",IF(O154=CURSOS!$D$19,"ADMINISTRACION DE MEDICAMENTOS, INYECTOLOGIA  Y CANALIZACION ",IF(O154=CURSOS!$D$20,"OPERADOR DE VEHICULOS DE EMERGENCIA (OVE)",IF(O154=CURSOS!$D$21,"INSTITUCIONES AMIGAS DE LA MUJER Y LA INFANCIA (IAMI)",IF(O154=CURSOS!$D$22,"CUIDADO DEL DONANTE DE ORGANOS",IF(O154=CURSOS!$D$23,"ATENCION A VICTIMAS POR VIOLENCIA DE GENERO",IF(O154=CURSOS!$D$24,"IGUALDAD DE GENERO EN LA SALUD",IF(O154=CURSOS!$D$25,"BRIGADA DE EMERGENCIA",IF(O154=CURSOS!$D$26,"MANEJO DEL DOLOR Y CUIDADOS PALIATIVOS",IF(O154=CURSOS!$D$27,"TOMA DE MUESTRAS Y LABORATORIO POCT",IF(O154=CURSOS!$D$28,"IMPLANTE SUBDERMICO DE DISPOSITIVO INTRAUTERINO",IF(O154=CURSOS!$D$29,"SALUD MENTAL",IF(O154=CURSOS!$D$30,"PRIMEROS AUXILIOS PSICOLOGICOS",IF(O154=CURSOS!$D$31,"ATENCION A VICTIMAS POR CONFLICTO ARMADO",IF(O154=CURSOS!$D$32,"MANIPULACION DE ALIMENTOS Y BPM",IF(O154=CURSOS!$D$33,"ATENCION A PERSONAS CON DISCAPACIDAD",IF(O154=CURSOS!$D$34,"CUIDADO INTEGRAL DEL PACIENTE ADULTO",IF(O154=CURSOS!$D$35,"MANEJO DEFENSIVO",IF(O154=CURSOS!$D$36,"SOPORTE CARDIOVASCULAR AVANZADO NEONATAL",IF(O154=CURSOS!$D$37,"SEGURIDAD DEL PACIENTE",IF(O154=CURSOS!$D$38,"MANEJO Y USO DEL DEA",IF(O154=CURSOS!$D$39,"TRIAGE")))))))))))))))))))))))))))))))))))))</f>
        <v>SOPORTE VITAL BASICO (BLS)</v>
      </c>
      <c r="V154" s="105" t="str">
        <f t="shared" si="17"/>
        <v>Humberto Jorge Fuertes Mejia</v>
      </c>
      <c r="W154" s="105" t="str">
        <f t="shared" si="18"/>
        <v>Humberto Jorge Fuertes Mejia</v>
      </c>
      <c r="X154" s="105" t="str">
        <f t="shared" si="19"/>
        <v>Humberto Jorge Fuertes Mejia-87712381-BLS</v>
      </c>
    </row>
    <row r="155" spans="1:24" hidden="1" x14ac:dyDescent="0.2">
      <c r="A155" s="103">
        <v>154</v>
      </c>
      <c r="B155" s="105">
        <v>1085338867</v>
      </c>
      <c r="C155" s="105" t="s">
        <v>119</v>
      </c>
      <c r="D155" s="105" t="s">
        <v>307</v>
      </c>
      <c r="E155" s="105" t="s">
        <v>482</v>
      </c>
      <c r="F155" s="105" t="s">
        <v>481</v>
      </c>
      <c r="G155" s="106">
        <v>25</v>
      </c>
      <c r="H155" s="106" t="s">
        <v>99</v>
      </c>
      <c r="I155" s="106" t="s">
        <v>408</v>
      </c>
      <c r="J155" s="107">
        <v>45560</v>
      </c>
      <c r="K155" s="88">
        <v>30000</v>
      </c>
      <c r="L155" s="106" t="s">
        <v>138</v>
      </c>
      <c r="M155" s="106" t="s">
        <v>85</v>
      </c>
      <c r="N155" s="106" t="s">
        <v>109</v>
      </c>
      <c r="O155" s="108" t="s">
        <v>19</v>
      </c>
      <c r="P155" s="109">
        <v>35834</v>
      </c>
      <c r="Q155" s="106" t="s">
        <v>110</v>
      </c>
      <c r="R155" s="105" t="s">
        <v>123</v>
      </c>
      <c r="S155" s="105">
        <v>3205170605</v>
      </c>
      <c r="T155" s="111" t="s">
        <v>483</v>
      </c>
      <c r="U155" s="105" t="str">
        <f>IF(O155=CURSOS!$D$3,"DIPLOMADO EN ATENCION PRE-HOSPITALARIA",IF(O155=CURSOS!$D$4,"ACOMPAÑAMIENTO Y MANEJO DEL DUELO",IF(O155=CURSOS!$D$5,"ATENCION A VICTIMAS DE ATAQUE CON AGENTES QUIMICOS ",IF(O155=CURSOS!$D$6,"PRIMEROS AUXILIOS ",IF(O155=CURSOS!$D$7,"DIPLOMADO DE UNIDAD DE CUIDADOS INTENSIVOS (UCI)",IF(O155=CURSOS!$D$8,"MODELO DE ATENCION PARA EVENTOS EMERGENTES EN SALUD MENTAL (CODIGO VERDE)",IF(O155=CURSOS!$D$9,"HUMANIZACION EN EL SERVICIO DE LA SALUD Y BUENAS PRACTICAS EN PACIENTE ",IF(O155=CURSOS!$D$10,"CLINICA DE HERIDAS ",IF(O155=CURSOS!$D$11,"TOMA DE CITOLOGIA CERVICO VAGINAL ",IF(O155=CURSOS!$D$12,"SOPORTE CARDIOVASCULAR AVANZADO (ACLS) ",IF(O155=CURSOS!$D$13,"CAMILLERO ",IF(O155=CURSOS!$D$14,"TOMA DE MUESTRAS Y LABORATORIO ",IF(O155=CURSOS!$D$15,"SOPORTE VITAL BASICO (BLS)",IF(O155=CURSOS!$D$16,"ATENCION A VICTIMAS DE VIOLENCIA SEXUAL ",IF(O155=CURSOS!$D$17,"PROGRAMADO AMPLIADO DE INMUNIZACION (PAI - COVID 19)",IF(O155=CURSOS!$D$18,"ATENCION INTEGRAL EN ENFERMEDADES PREVALENTES EN PRIMERA INFANCIA (AIEPI)",IF(O155=CURSOS!$D$19,"ADMINISTRACION DE MEDICAMENTOS, INYECTOLOGIA  Y CANALIZACION ",IF(O155=CURSOS!$D$20,"OPERADOR DE VEHICULOS DE EMERGENCIA (OVE)",IF(O155=CURSOS!$D$21,"INSTITUCIONES AMIGAS DE LA MUJER Y LA INFANCIA (IAMI)",IF(O155=CURSOS!$D$22,"CUIDADO DEL DONANTE DE ORGANOS",IF(O155=CURSOS!$D$23,"ATENCION A VICTIMAS POR VIOLENCIA DE GENERO",IF(O155=CURSOS!$D$24,"IGUALDAD DE GENERO EN LA SALUD",IF(O155=CURSOS!$D$25,"BRIGADA DE EMERGENCIA",IF(O155=CURSOS!$D$26,"MANEJO DEL DOLOR Y CUIDADOS PALIATIVOS",IF(O155=CURSOS!$D$27,"TOMA DE MUESTRAS Y LABORATORIO POCT",IF(O155=CURSOS!$D$28,"IMPLANTE SUBDERMICO DE DISPOSITIVO INTRAUTERINO",IF(O155=CURSOS!$D$29,"SALUD MENTAL",IF(O155=CURSOS!$D$30,"PRIMEROS AUXILIOS PSICOLOGICOS",IF(O155=CURSOS!$D$31,"ATENCION A VICTIMAS POR CONFLICTO ARMADO",IF(O155=CURSOS!$D$32,"MANIPULACION DE ALIMENTOS Y BPM",IF(O155=CURSOS!$D$33,"ATENCION A PERSONAS CON DISCAPACIDAD",IF(O155=CURSOS!$D$34,"CUIDADO INTEGRAL DEL PACIENTE ADULTO",IF(O155=CURSOS!$D$35,"MANEJO DEFENSIVO",IF(O155=CURSOS!$D$36,"SOPORTE CARDIOVASCULAR AVANZADO NEONATAL",IF(O155=CURSOS!$D$37,"SEGURIDAD DEL PACIENTE",IF(O155=CURSOS!$D$38,"MANEJO Y USO DEL DEA",IF(O155=CURSOS!$D$39,"TRIAGE")))))))))))))))))))))))))))))))))))))</f>
        <v>SOPORTE VITAL BASICO (BLS)</v>
      </c>
      <c r="V155" s="105" t="str">
        <f t="shared" si="17"/>
        <v>Brigid Tatiana Pantoja Erazo</v>
      </c>
      <c r="W155" s="105" t="str">
        <f t="shared" si="18"/>
        <v>Brigid Tatiana Pantoja Erazo</v>
      </c>
      <c r="X155" s="105" t="str">
        <f t="shared" si="19"/>
        <v>Brigid Tatiana Pantoja Erazo-1085338867-BLS</v>
      </c>
    </row>
    <row r="156" spans="1:24" hidden="1" x14ac:dyDescent="0.2">
      <c r="A156" s="103">
        <v>155</v>
      </c>
      <c r="B156" s="105">
        <v>1085338867</v>
      </c>
      <c r="C156" s="105" t="s">
        <v>119</v>
      </c>
      <c r="D156" s="105" t="s">
        <v>307</v>
      </c>
      <c r="E156" s="105" t="s">
        <v>482</v>
      </c>
      <c r="F156" s="105" t="s">
        <v>481</v>
      </c>
      <c r="G156" s="106">
        <v>24</v>
      </c>
      <c r="H156" s="106" t="s">
        <v>99</v>
      </c>
      <c r="I156" s="106" t="s">
        <v>408</v>
      </c>
      <c r="J156" s="107">
        <v>45560</v>
      </c>
      <c r="K156" s="88">
        <v>30000</v>
      </c>
      <c r="L156" s="106" t="s">
        <v>138</v>
      </c>
      <c r="M156" s="106" t="s">
        <v>85</v>
      </c>
      <c r="N156" s="106" t="s">
        <v>109</v>
      </c>
      <c r="O156" s="108" t="s">
        <v>25</v>
      </c>
      <c r="P156" s="109">
        <v>35834</v>
      </c>
      <c r="Q156" s="106" t="s">
        <v>110</v>
      </c>
      <c r="R156" s="105" t="s">
        <v>123</v>
      </c>
      <c r="S156" s="105">
        <v>3205170605</v>
      </c>
      <c r="T156" s="111" t="s">
        <v>483</v>
      </c>
      <c r="U156" s="105" t="str">
        <f>IF(O156=CURSOS!$D$3,"DIPLOMADO EN ATENCION PRE-HOSPITALARIA",IF(O156=CURSOS!$D$4,"ACOMPAÑAMIENTO Y MANEJO DEL DUELO",IF(O156=CURSOS!$D$5,"ATENCION A VICTIMAS DE ATAQUE CON AGENTES QUIMICOS ",IF(O156=CURSOS!$D$6,"PRIMEROS AUXILIOS ",IF(O156=CURSOS!$D$7,"DIPLOMADO DE UNIDAD DE CUIDADOS INTENSIVOS (UCI)",IF(O156=CURSOS!$D$8,"MODELO DE ATENCION PARA EVENTOS EMERGENTES EN SALUD MENTAL (CODIGO VERDE)",IF(O156=CURSOS!$D$9,"HUMANIZACION EN EL SERVICIO DE LA SALUD Y BUENAS PRACTICAS EN PACIENTE ",IF(O156=CURSOS!$D$10,"CLINICA DE HERIDAS ",IF(O156=CURSOS!$D$11,"TOMA DE CITOLOGIA CERVICO VAGINAL ",IF(O156=CURSOS!$D$12,"SOPORTE CARDIOVASCULAR AVANZADO (ACLS) ",IF(O156=CURSOS!$D$13,"CAMILLERO ",IF(O156=CURSOS!$D$14,"TOMA DE MUESTRAS Y LABORATORIO ",IF(O156=CURSOS!$D$15,"SOPORTE VITAL BASICO (BLS)",IF(O156=CURSOS!$D$16,"ATENCION A VICTIMAS DE VIOLENCIA SEXUAL ",IF(O156=CURSOS!$D$17,"PROGRAMADO AMPLIADO DE INMUNIZACION (PAI - COVID 19)",IF(O156=CURSOS!$D$18,"ATENCION INTEGRAL EN ENFERMEDADES PREVALENTES EN PRIMERA INFANCIA (AIEPI)",IF(O156=CURSOS!$D$19,"ADMINISTRACION DE MEDICAMENTOS, INYECTOLOGIA  Y CANALIZACION ",IF(O156=CURSOS!$D$20,"OPERADOR DE VEHICULOS DE EMERGENCIA (OVE)",IF(O156=CURSOS!$D$21,"INSTITUCIONES AMIGAS DE LA MUJER Y LA INFANCIA (IAMI)",IF(O156=CURSOS!$D$22,"CUIDADO DEL DONANTE DE ORGANOS",IF(O156=CURSOS!$D$23,"ATENCION A VICTIMAS POR VIOLENCIA DE GENERO",IF(O156=CURSOS!$D$24,"IGUALDAD DE GENERO EN LA SALUD",IF(O156=CURSOS!$D$25,"BRIGADA DE EMERGENCIA",IF(O156=CURSOS!$D$26,"MANEJO DEL DOLOR Y CUIDADOS PALIATIVOS",IF(O156=CURSOS!$D$27,"TOMA DE MUESTRAS Y LABORATORIO POCT",IF(O156=CURSOS!$D$28,"IMPLANTE SUBDERMICO DE DISPOSITIVO INTRAUTERINO",IF(O156=CURSOS!$D$29,"SALUD MENTAL",IF(O156=CURSOS!$D$30,"PRIMEROS AUXILIOS PSICOLOGICOS",IF(O156=CURSOS!$D$31,"ATENCION A VICTIMAS POR CONFLICTO ARMADO",IF(O156=CURSOS!$D$32,"MANIPULACION DE ALIMENTOS Y BPM",IF(O156=CURSOS!$D$33,"ATENCION A PERSONAS CON DISCAPACIDAD",IF(O156=CURSOS!$D$34,"CUIDADO INTEGRAL DEL PACIENTE ADULTO",IF(O156=CURSOS!$D$35,"MANEJO DEFENSIVO",IF(O156=CURSOS!$D$36,"SOPORTE CARDIOVASCULAR AVANZADO NEONATAL",IF(O156=CURSOS!$D$37,"SEGURIDAD DEL PACIENTE",IF(O156=CURSOS!$D$38,"MANEJO Y USO DEL DEA",IF(O156=CURSOS!$D$39,"TRIAGE")))))))))))))))))))))))))))))))))))))</f>
        <v xml:space="preserve">ATENCION A VICTIMAS DE ATAQUE CON AGENTES QUIMICOS </v>
      </c>
      <c r="V156" s="105" t="str">
        <f t="shared" si="17"/>
        <v>Brigid Tatiana Pantoja Erazo</v>
      </c>
      <c r="W156" s="105" t="str">
        <f t="shared" si="18"/>
        <v>Brigid Tatiana Pantoja Erazo</v>
      </c>
      <c r="X156" s="105" t="str">
        <f t="shared" si="19"/>
        <v>Brigid Tatiana Pantoja Erazo-1085338867-QUIMICOS</v>
      </c>
    </row>
    <row r="157" spans="1:24" hidden="1" x14ac:dyDescent="0.2">
      <c r="A157" s="103">
        <v>156</v>
      </c>
      <c r="B157" s="105">
        <v>1085338867</v>
      </c>
      <c r="C157" s="105" t="s">
        <v>119</v>
      </c>
      <c r="D157" s="105" t="s">
        <v>307</v>
      </c>
      <c r="E157" s="105" t="s">
        <v>482</v>
      </c>
      <c r="F157" s="105" t="s">
        <v>481</v>
      </c>
      <c r="G157" s="106">
        <v>24</v>
      </c>
      <c r="H157" s="106" t="s">
        <v>99</v>
      </c>
      <c r="I157" s="106" t="s">
        <v>408</v>
      </c>
      <c r="J157" s="107">
        <v>45560</v>
      </c>
      <c r="K157" s="88">
        <v>30000</v>
      </c>
      <c r="L157" s="106" t="s">
        <v>138</v>
      </c>
      <c r="M157" s="106" t="s">
        <v>85</v>
      </c>
      <c r="N157" s="106" t="s">
        <v>109</v>
      </c>
      <c r="O157" s="108" t="s">
        <v>43</v>
      </c>
      <c r="P157" s="109">
        <v>35834</v>
      </c>
      <c r="Q157" s="106" t="s">
        <v>110</v>
      </c>
      <c r="R157" s="105" t="s">
        <v>123</v>
      </c>
      <c r="S157" s="105">
        <v>3205170605</v>
      </c>
      <c r="T157" s="111" t="s">
        <v>483</v>
      </c>
      <c r="U157" s="105" t="str">
        <f>IF(O157=CURSOS!$D$3,"DIPLOMADO EN ATENCION PRE-HOSPITALARIA",IF(O157=CURSOS!$D$4,"ACOMPAÑAMIENTO Y MANEJO DEL DUELO",IF(O157=CURSOS!$D$5,"ATENCION A VICTIMAS DE ATAQUE CON AGENTES QUIMICOS ",IF(O157=CURSOS!$D$6,"PRIMEROS AUXILIOS ",IF(O157=CURSOS!$D$7,"DIPLOMADO DE UNIDAD DE CUIDADOS INTENSIVOS (UCI)",IF(O157=CURSOS!$D$8,"MODELO DE ATENCION PARA EVENTOS EMERGENTES EN SALUD MENTAL (CODIGO VERDE)",IF(O157=CURSOS!$D$9,"HUMANIZACION EN EL SERVICIO DE LA SALUD Y BUENAS PRACTICAS EN PACIENTE ",IF(O157=CURSOS!$D$10,"CLINICA DE HERIDAS ",IF(O157=CURSOS!$D$11,"TOMA DE CITOLOGIA CERVICO VAGINAL ",IF(O157=CURSOS!$D$12,"SOPORTE CARDIOVASCULAR AVANZADO (ACLS) ",IF(O157=CURSOS!$D$13,"CAMILLERO ",IF(O157=CURSOS!$D$14,"TOMA DE MUESTRAS Y LABORATORIO ",IF(O157=CURSOS!$D$15,"SOPORTE VITAL BASICO (BLS)",IF(O157=CURSOS!$D$16,"ATENCION A VICTIMAS DE VIOLENCIA SEXUAL ",IF(O157=CURSOS!$D$17,"PROGRAMADO AMPLIADO DE INMUNIZACION (PAI - COVID 19)",IF(O157=CURSOS!$D$18,"ATENCION INTEGRAL EN ENFERMEDADES PREVALENTES EN PRIMERA INFANCIA (AIEPI)",IF(O157=CURSOS!$D$19,"ADMINISTRACION DE MEDICAMENTOS, INYECTOLOGIA  Y CANALIZACION ",IF(O157=CURSOS!$D$20,"OPERADOR DE VEHICULOS DE EMERGENCIA (OVE)",IF(O157=CURSOS!$D$21,"INSTITUCIONES AMIGAS DE LA MUJER Y LA INFANCIA (IAMI)",IF(O157=CURSOS!$D$22,"CUIDADO DEL DONANTE DE ORGANOS",IF(O157=CURSOS!$D$23,"ATENCION A VICTIMAS POR VIOLENCIA DE GENERO",IF(O157=CURSOS!$D$24,"IGUALDAD DE GENERO EN LA SALUD",IF(O157=CURSOS!$D$25,"BRIGADA DE EMERGENCIA",IF(O157=CURSOS!$D$26,"MANEJO DEL DOLOR Y CUIDADOS PALIATIVOS",IF(O157=CURSOS!$D$27,"TOMA DE MUESTRAS Y LABORATORIO POCT",IF(O157=CURSOS!$D$28,"IMPLANTE SUBDERMICO DE DISPOSITIVO INTRAUTERINO",IF(O157=CURSOS!$D$29,"SALUD MENTAL",IF(O157=CURSOS!$D$30,"PRIMEROS AUXILIOS PSICOLOGICOS",IF(O157=CURSOS!$D$31,"ATENCION A VICTIMAS POR CONFLICTO ARMADO",IF(O157=CURSOS!$D$32,"MANIPULACION DE ALIMENTOS Y BPM",IF(O157=CURSOS!$D$33,"ATENCION A PERSONAS CON DISCAPACIDAD",IF(O157=CURSOS!$D$34,"CUIDADO INTEGRAL DEL PACIENTE ADULTO",IF(O157=CURSOS!$D$35,"MANEJO DEFENSIVO",IF(O157=CURSOS!$D$36,"SOPORTE CARDIOVASCULAR AVANZADO NEONATAL",IF(O157=CURSOS!$D$37,"SEGURIDAD DEL PACIENTE",IF(O157=CURSOS!$D$38,"MANEJO Y USO DEL DEA",IF(O157=CURSOS!$D$39,"TRIAGE")))))))))))))))))))))))))))))))))))))</f>
        <v xml:space="preserve">ATENCION A VICTIMAS DE VIOLENCIA SEXUAL </v>
      </c>
      <c r="V157" s="105" t="str">
        <f t="shared" si="17"/>
        <v>Brigid Tatiana Pantoja Erazo</v>
      </c>
      <c r="W157" s="105" t="str">
        <f t="shared" si="18"/>
        <v>Brigid Tatiana Pantoja Erazo</v>
      </c>
      <c r="X157" s="105" t="str">
        <f t="shared" si="19"/>
        <v>Brigid Tatiana Pantoja Erazo-1085338867-VIOLENCIA SEXUAL</v>
      </c>
    </row>
    <row r="158" spans="1:24" x14ac:dyDescent="0.2">
      <c r="A158" s="103">
        <v>157</v>
      </c>
      <c r="B158" s="104">
        <v>9145323</v>
      </c>
      <c r="C158" s="105" t="s">
        <v>495</v>
      </c>
      <c r="D158" s="105" t="s">
        <v>183</v>
      </c>
      <c r="E158" s="105" t="s">
        <v>142</v>
      </c>
      <c r="F158" s="105" t="s">
        <v>496</v>
      </c>
      <c r="G158" s="106">
        <v>23</v>
      </c>
      <c r="H158" s="106" t="s">
        <v>99</v>
      </c>
      <c r="I158" s="106" t="s">
        <v>408</v>
      </c>
      <c r="J158" s="107">
        <v>45560</v>
      </c>
      <c r="K158" s="88">
        <v>27500</v>
      </c>
      <c r="L158" s="106" t="s">
        <v>103</v>
      </c>
      <c r="M158" s="106" t="s">
        <v>85</v>
      </c>
      <c r="N158" s="106" t="s">
        <v>98</v>
      </c>
      <c r="O158" s="108" t="s">
        <v>19</v>
      </c>
      <c r="P158" s="109">
        <v>29505</v>
      </c>
      <c r="Q158" s="106" t="s">
        <v>104</v>
      </c>
      <c r="R158" s="105" t="s">
        <v>123</v>
      </c>
      <c r="S158" s="105">
        <v>3217829607</v>
      </c>
      <c r="T158" s="111" t="s">
        <v>497</v>
      </c>
      <c r="U158" s="105" t="str">
        <f>IF(O158=CURSOS!$D$3,"DIPLOMADO EN ATENCION PRE-HOSPITALARIA",IF(O158=CURSOS!$D$4,"ACOMPAÑAMIENTO Y MANEJO DEL DUELO",IF(O158=CURSOS!$D$5,"ATENCION A VICTIMAS DE ATAQUE CON AGENTES QUIMICOS ",IF(O158=CURSOS!$D$6,"PRIMEROS AUXILIOS ",IF(O158=CURSOS!$D$7,"DIPLOMADO DE UNIDAD DE CUIDADOS INTENSIVOS (UCI)",IF(O158=CURSOS!$D$8,"MODELO DE ATENCION PARA EVENTOS EMERGENTES EN SALUD MENTAL (CODIGO VERDE)",IF(O158=CURSOS!$D$9,"HUMANIZACION EN EL SERVICIO DE LA SALUD Y BUENAS PRACTICAS EN PACIENTE ",IF(O158=CURSOS!$D$10,"CLINICA DE HERIDAS ",IF(O158=CURSOS!$D$11,"TOMA DE CITOLOGIA CERVICO VAGINAL ",IF(O158=CURSOS!$D$12,"SOPORTE CARDIOVASCULAR AVANZADO (ACLS) ",IF(O158=CURSOS!$D$13,"CAMILLERO ",IF(O158=CURSOS!$D$14,"TOMA DE MUESTRAS Y LABORATORIO ",IF(O158=CURSOS!$D$15,"SOPORTE VITAL BASICO (BLS)",IF(O158=CURSOS!$D$16,"ATENCION A VICTIMAS DE VIOLENCIA SEXUAL ",IF(O158=CURSOS!$D$17,"PROGRAMADO AMPLIADO DE INMUNIZACION (PAI - COVID 19)",IF(O158=CURSOS!$D$18,"ATENCION INTEGRAL EN ENFERMEDADES PREVALENTES EN PRIMERA INFANCIA (AIEPI)",IF(O158=CURSOS!$D$19,"ADMINISTRACION DE MEDICAMENTOS, INYECTOLOGIA  Y CANALIZACION ",IF(O158=CURSOS!$D$20,"OPERADOR DE VEHICULOS DE EMERGENCIA (OVE)",IF(O158=CURSOS!$D$21,"INSTITUCIONES AMIGAS DE LA MUJER Y LA INFANCIA (IAMI)",IF(O158=CURSOS!$D$22,"CUIDADO DEL DONANTE DE ORGANOS",IF(O158=CURSOS!$D$23,"ATENCION A VICTIMAS POR VIOLENCIA DE GENERO",IF(O158=CURSOS!$D$24,"IGUALDAD DE GENERO EN LA SALUD",IF(O158=CURSOS!$D$25,"BRIGADA DE EMERGENCIA",IF(O158=CURSOS!$D$26,"MANEJO DEL DOLOR Y CUIDADOS PALIATIVOS",IF(O158=CURSOS!$D$27,"TOMA DE MUESTRAS Y LABORATORIO POCT",IF(O158=CURSOS!$D$28,"IMPLANTE SUBDERMICO DE DISPOSITIVO INTRAUTERINO",IF(O158=CURSOS!$D$29,"SALUD MENTAL",IF(O158=CURSOS!$D$30,"PRIMEROS AUXILIOS PSICOLOGICOS",IF(O158=CURSOS!$D$31,"ATENCION A VICTIMAS POR CONFLICTO ARMADO",IF(O158=CURSOS!$D$32,"MANIPULACION DE ALIMENTOS Y BPM",IF(O158=CURSOS!$D$33,"ATENCION A PERSONAS CON DISCAPACIDAD",IF(O158=CURSOS!$D$34,"CUIDADO INTEGRAL DEL PACIENTE ADULTO",IF(O158=CURSOS!$D$35,"MANEJO DEFENSIVO",IF(O158=CURSOS!$D$36,"SOPORTE CARDIOVASCULAR AVANZADO NEONATAL",IF(O158=CURSOS!$D$37,"SEGURIDAD DEL PACIENTE",IF(O158=CURSOS!$D$38,"MANEJO Y USO DEL DEA",IF(O158=CURSOS!$D$39,"TRIAGE")))))))))))))))))))))))))))))))))))))</f>
        <v>SOPORTE VITAL BASICO (BLS)</v>
      </c>
      <c r="V158" s="105" t="str">
        <f t="shared" si="17"/>
        <v>Fernando Rafael De la cruz Perez</v>
      </c>
      <c r="W158" s="105" t="str">
        <f t="shared" si="18"/>
        <v>Fernando Rafael De La Cruz Perez</v>
      </c>
      <c r="X158" s="105" t="str">
        <f t="shared" si="19"/>
        <v>Fernando Rafael De la cruz Perez-9145323-BLS</v>
      </c>
    </row>
    <row r="159" spans="1:24" x14ac:dyDescent="0.2">
      <c r="A159" s="103">
        <v>158</v>
      </c>
      <c r="B159" s="104">
        <v>9145323</v>
      </c>
      <c r="C159" s="105" t="s">
        <v>495</v>
      </c>
      <c r="D159" s="105" t="s">
        <v>183</v>
      </c>
      <c r="E159" s="105" t="s">
        <v>142</v>
      </c>
      <c r="F159" s="105" t="s">
        <v>496</v>
      </c>
      <c r="G159" s="106">
        <v>24</v>
      </c>
      <c r="H159" s="106" t="s">
        <v>99</v>
      </c>
      <c r="I159" s="106" t="s">
        <v>408</v>
      </c>
      <c r="J159" s="107">
        <v>45560</v>
      </c>
      <c r="K159" s="88">
        <v>27500</v>
      </c>
      <c r="L159" s="106" t="s">
        <v>103</v>
      </c>
      <c r="M159" s="106" t="s">
        <v>85</v>
      </c>
      <c r="N159" s="106" t="s">
        <v>98</v>
      </c>
      <c r="O159" s="108" t="s">
        <v>43</v>
      </c>
      <c r="P159" s="109">
        <v>29505</v>
      </c>
      <c r="Q159" s="106" t="s">
        <v>104</v>
      </c>
      <c r="R159" s="105" t="s">
        <v>123</v>
      </c>
      <c r="S159" s="105">
        <v>3217829607</v>
      </c>
      <c r="T159" s="111" t="s">
        <v>497</v>
      </c>
      <c r="U159" s="105" t="str">
        <f>IF(O159=CURSOS!$D$3,"DIPLOMADO EN ATENCION PRE-HOSPITALARIA",IF(O159=CURSOS!$D$4,"ACOMPAÑAMIENTO Y MANEJO DEL DUELO",IF(O159=CURSOS!$D$5,"ATENCION A VICTIMAS DE ATAQUE CON AGENTES QUIMICOS ",IF(O159=CURSOS!$D$6,"PRIMEROS AUXILIOS ",IF(O159=CURSOS!$D$7,"DIPLOMADO DE UNIDAD DE CUIDADOS INTENSIVOS (UCI)",IF(O159=CURSOS!$D$8,"MODELO DE ATENCION PARA EVENTOS EMERGENTES EN SALUD MENTAL (CODIGO VERDE)",IF(O159=CURSOS!$D$9,"HUMANIZACION EN EL SERVICIO DE LA SALUD Y BUENAS PRACTICAS EN PACIENTE ",IF(O159=CURSOS!$D$10,"CLINICA DE HERIDAS ",IF(O159=CURSOS!$D$11,"TOMA DE CITOLOGIA CERVICO VAGINAL ",IF(O159=CURSOS!$D$12,"SOPORTE CARDIOVASCULAR AVANZADO (ACLS) ",IF(O159=CURSOS!$D$13,"CAMILLERO ",IF(O159=CURSOS!$D$14,"TOMA DE MUESTRAS Y LABORATORIO ",IF(O159=CURSOS!$D$15,"SOPORTE VITAL BASICO (BLS)",IF(O159=CURSOS!$D$16,"ATENCION A VICTIMAS DE VIOLENCIA SEXUAL ",IF(O159=CURSOS!$D$17,"PROGRAMADO AMPLIADO DE INMUNIZACION (PAI - COVID 19)",IF(O159=CURSOS!$D$18,"ATENCION INTEGRAL EN ENFERMEDADES PREVALENTES EN PRIMERA INFANCIA (AIEPI)",IF(O159=CURSOS!$D$19,"ADMINISTRACION DE MEDICAMENTOS, INYECTOLOGIA  Y CANALIZACION ",IF(O159=CURSOS!$D$20,"OPERADOR DE VEHICULOS DE EMERGENCIA (OVE)",IF(O159=CURSOS!$D$21,"INSTITUCIONES AMIGAS DE LA MUJER Y LA INFANCIA (IAMI)",IF(O159=CURSOS!$D$22,"CUIDADO DEL DONANTE DE ORGANOS",IF(O159=CURSOS!$D$23,"ATENCION A VICTIMAS POR VIOLENCIA DE GENERO",IF(O159=CURSOS!$D$24,"IGUALDAD DE GENERO EN LA SALUD",IF(O159=CURSOS!$D$25,"BRIGADA DE EMERGENCIA",IF(O159=CURSOS!$D$26,"MANEJO DEL DOLOR Y CUIDADOS PALIATIVOS",IF(O159=CURSOS!$D$27,"TOMA DE MUESTRAS Y LABORATORIO POCT",IF(O159=CURSOS!$D$28,"IMPLANTE SUBDERMICO DE DISPOSITIVO INTRAUTERINO",IF(O159=CURSOS!$D$29,"SALUD MENTAL",IF(O159=CURSOS!$D$30,"PRIMEROS AUXILIOS PSICOLOGICOS",IF(O159=CURSOS!$D$31,"ATENCION A VICTIMAS POR CONFLICTO ARMADO",IF(O159=CURSOS!$D$32,"MANIPULACION DE ALIMENTOS Y BPM",IF(O159=CURSOS!$D$33,"ATENCION A PERSONAS CON DISCAPACIDAD",IF(O159=CURSOS!$D$34,"CUIDADO INTEGRAL DEL PACIENTE ADULTO",IF(O159=CURSOS!$D$35,"MANEJO DEFENSIVO",IF(O159=CURSOS!$D$36,"SOPORTE CARDIOVASCULAR AVANZADO NEONATAL",IF(O159=CURSOS!$D$37,"SEGURIDAD DEL PACIENTE",IF(O159=CURSOS!$D$38,"MANEJO Y USO DEL DEA",IF(O159=CURSOS!$D$39,"TRIAGE")))))))))))))))))))))))))))))))))))))</f>
        <v xml:space="preserve">ATENCION A VICTIMAS DE VIOLENCIA SEXUAL </v>
      </c>
      <c r="V159" s="105" t="str">
        <f t="shared" si="17"/>
        <v>Fernando Rafael De la cruz Perez</v>
      </c>
      <c r="W159" s="105" t="str">
        <f t="shared" si="18"/>
        <v>Fernando Rafael De La Cruz Perez</v>
      </c>
      <c r="X159" s="105" t="str">
        <f t="shared" si="19"/>
        <v>Fernando Rafael De la cruz Perez-9145323-VIOLENCIA SEXUAL</v>
      </c>
    </row>
    <row r="160" spans="1:24" x14ac:dyDescent="0.2">
      <c r="A160" s="103">
        <v>159</v>
      </c>
      <c r="B160" s="104">
        <v>9145323</v>
      </c>
      <c r="C160" s="105" t="s">
        <v>495</v>
      </c>
      <c r="D160" s="105" t="s">
        <v>183</v>
      </c>
      <c r="E160" s="105" t="s">
        <v>142</v>
      </c>
      <c r="F160" s="105" t="s">
        <v>496</v>
      </c>
      <c r="G160" s="106">
        <v>25</v>
      </c>
      <c r="H160" s="106" t="s">
        <v>99</v>
      </c>
      <c r="I160" s="106" t="s">
        <v>408</v>
      </c>
      <c r="J160" s="107">
        <v>45560</v>
      </c>
      <c r="K160" s="88">
        <v>27500</v>
      </c>
      <c r="L160" s="106" t="s">
        <v>103</v>
      </c>
      <c r="M160" s="106" t="s">
        <v>85</v>
      </c>
      <c r="N160" s="106" t="s">
        <v>98</v>
      </c>
      <c r="O160" s="108" t="s">
        <v>23</v>
      </c>
      <c r="P160" s="109">
        <v>29505</v>
      </c>
      <c r="Q160" s="106" t="s">
        <v>104</v>
      </c>
      <c r="R160" s="105" t="s">
        <v>123</v>
      </c>
      <c r="S160" s="105">
        <v>3217829607</v>
      </c>
      <c r="T160" s="111" t="s">
        <v>497</v>
      </c>
      <c r="U160" s="105" t="str">
        <f>IF(O160=CURSOS!$D$3,"DIPLOMADO EN ATENCION PRE-HOSPITALARIA",IF(O160=CURSOS!$D$4,"ACOMPAÑAMIENTO Y MANEJO DEL DUELO",IF(O160=CURSOS!$D$5,"ATENCION A VICTIMAS DE ATAQUE CON AGENTES QUIMICOS ",IF(O160=CURSOS!$D$6,"PRIMEROS AUXILIOS ",IF(O160=CURSOS!$D$7,"DIPLOMADO DE UNIDAD DE CUIDADOS INTENSIVOS (UCI)",IF(O160=CURSOS!$D$8,"MODELO DE ATENCION PARA EVENTOS EMERGENTES EN SALUD MENTAL (CODIGO VERDE)",IF(O160=CURSOS!$D$9,"HUMANIZACION EN EL SERVICIO DE LA SALUD Y BUENAS PRACTICAS EN PACIENTE ",IF(O160=CURSOS!$D$10,"CLINICA DE HERIDAS ",IF(O160=CURSOS!$D$11,"TOMA DE CITOLOGIA CERVICO VAGINAL ",IF(O160=CURSOS!$D$12,"SOPORTE CARDIOVASCULAR AVANZADO (ACLS) ",IF(O160=CURSOS!$D$13,"CAMILLERO ",IF(O160=CURSOS!$D$14,"TOMA DE MUESTRAS Y LABORATORIO ",IF(O160=CURSOS!$D$15,"SOPORTE VITAL BASICO (BLS)",IF(O160=CURSOS!$D$16,"ATENCION A VICTIMAS DE VIOLENCIA SEXUAL ",IF(O160=CURSOS!$D$17,"PROGRAMADO AMPLIADO DE INMUNIZACION (PAI - COVID 19)",IF(O160=CURSOS!$D$18,"ATENCION INTEGRAL EN ENFERMEDADES PREVALENTES EN PRIMERA INFANCIA (AIEPI)",IF(O160=CURSOS!$D$19,"ADMINISTRACION DE MEDICAMENTOS, INYECTOLOGIA  Y CANALIZACION ",IF(O160=CURSOS!$D$20,"OPERADOR DE VEHICULOS DE EMERGENCIA (OVE)",IF(O160=CURSOS!$D$21,"INSTITUCIONES AMIGAS DE LA MUJER Y LA INFANCIA (IAMI)",IF(O160=CURSOS!$D$22,"CUIDADO DEL DONANTE DE ORGANOS",IF(O160=CURSOS!$D$23,"ATENCION A VICTIMAS POR VIOLENCIA DE GENERO",IF(O160=CURSOS!$D$24,"IGUALDAD DE GENERO EN LA SALUD",IF(O160=CURSOS!$D$25,"BRIGADA DE EMERGENCIA",IF(O160=CURSOS!$D$26,"MANEJO DEL DOLOR Y CUIDADOS PALIATIVOS",IF(O160=CURSOS!$D$27,"TOMA DE MUESTRAS Y LABORATORIO POCT",IF(O160=CURSOS!$D$28,"IMPLANTE SUBDERMICO DE DISPOSITIVO INTRAUTERINO",IF(O160=CURSOS!$D$29,"SALUD MENTAL",IF(O160=CURSOS!$D$30,"PRIMEROS AUXILIOS PSICOLOGICOS",IF(O160=CURSOS!$D$31,"ATENCION A VICTIMAS POR CONFLICTO ARMADO",IF(O160=CURSOS!$D$32,"MANIPULACION DE ALIMENTOS Y BPM",IF(O160=CURSOS!$D$33,"ATENCION A PERSONAS CON DISCAPACIDAD",IF(O160=CURSOS!$D$34,"CUIDADO INTEGRAL DEL PACIENTE ADULTO",IF(O160=CURSOS!$D$35,"MANEJO DEFENSIVO",IF(O160=CURSOS!$D$36,"SOPORTE CARDIOVASCULAR AVANZADO NEONATAL",IF(O160=CURSOS!$D$37,"SEGURIDAD DEL PACIENTE",IF(O160=CURSOS!$D$38,"MANEJO Y USO DEL DEA",IF(O160=CURSOS!$D$39,"TRIAGE")))))))))))))))))))))))))))))))))))))</f>
        <v>ACOMPAÑAMIENTO Y MANEJO DEL DUELO</v>
      </c>
      <c r="V160" s="105" t="str">
        <f t="shared" si="17"/>
        <v>Fernando Rafael De la cruz Perez</v>
      </c>
      <c r="W160" s="105" t="str">
        <f t="shared" si="18"/>
        <v>Fernando Rafael De La Cruz Perez</v>
      </c>
      <c r="X160" s="105" t="str">
        <f t="shared" si="19"/>
        <v>Fernando Rafael De la cruz Perez-9145323-DUELO</v>
      </c>
    </row>
    <row r="161" spans="1:24" x14ac:dyDescent="0.2">
      <c r="A161" s="103">
        <v>160</v>
      </c>
      <c r="B161" s="104">
        <v>9145323</v>
      </c>
      <c r="C161" s="105" t="s">
        <v>495</v>
      </c>
      <c r="D161" s="105" t="s">
        <v>183</v>
      </c>
      <c r="E161" s="105" t="s">
        <v>142</v>
      </c>
      <c r="F161" s="105" t="s">
        <v>496</v>
      </c>
      <c r="G161" s="106">
        <v>24</v>
      </c>
      <c r="H161" s="106" t="s">
        <v>99</v>
      </c>
      <c r="I161" s="106" t="s">
        <v>408</v>
      </c>
      <c r="J161" s="107">
        <v>45560</v>
      </c>
      <c r="K161" s="88">
        <v>27500</v>
      </c>
      <c r="L161" s="106" t="s">
        <v>103</v>
      </c>
      <c r="M161" s="106" t="s">
        <v>85</v>
      </c>
      <c r="N161" s="106" t="s">
        <v>98</v>
      </c>
      <c r="O161" s="108" t="s">
        <v>25</v>
      </c>
      <c r="P161" s="109">
        <v>29505</v>
      </c>
      <c r="Q161" s="106" t="s">
        <v>104</v>
      </c>
      <c r="R161" s="105" t="s">
        <v>123</v>
      </c>
      <c r="S161" s="105">
        <v>3217829607</v>
      </c>
      <c r="T161" s="111" t="s">
        <v>497</v>
      </c>
      <c r="U161" s="105" t="str">
        <f>IF(O161=CURSOS!$D$3,"DIPLOMADO EN ATENCION PRE-HOSPITALARIA",IF(O161=CURSOS!$D$4,"ACOMPAÑAMIENTO Y MANEJO DEL DUELO",IF(O161=CURSOS!$D$5,"ATENCION A VICTIMAS DE ATAQUE CON AGENTES QUIMICOS ",IF(O161=CURSOS!$D$6,"PRIMEROS AUXILIOS ",IF(O161=CURSOS!$D$7,"DIPLOMADO DE UNIDAD DE CUIDADOS INTENSIVOS (UCI)",IF(O161=CURSOS!$D$8,"MODELO DE ATENCION PARA EVENTOS EMERGENTES EN SALUD MENTAL (CODIGO VERDE)",IF(O161=CURSOS!$D$9,"HUMANIZACION EN EL SERVICIO DE LA SALUD Y BUENAS PRACTICAS EN PACIENTE ",IF(O161=CURSOS!$D$10,"CLINICA DE HERIDAS ",IF(O161=CURSOS!$D$11,"TOMA DE CITOLOGIA CERVICO VAGINAL ",IF(O161=CURSOS!$D$12,"SOPORTE CARDIOVASCULAR AVANZADO (ACLS) ",IF(O161=CURSOS!$D$13,"CAMILLERO ",IF(O161=CURSOS!$D$14,"TOMA DE MUESTRAS Y LABORATORIO ",IF(O161=CURSOS!$D$15,"SOPORTE VITAL BASICO (BLS)",IF(O161=CURSOS!$D$16,"ATENCION A VICTIMAS DE VIOLENCIA SEXUAL ",IF(O161=CURSOS!$D$17,"PROGRAMADO AMPLIADO DE INMUNIZACION (PAI - COVID 19)",IF(O161=CURSOS!$D$18,"ATENCION INTEGRAL EN ENFERMEDADES PREVALENTES EN PRIMERA INFANCIA (AIEPI)",IF(O161=CURSOS!$D$19,"ADMINISTRACION DE MEDICAMENTOS, INYECTOLOGIA  Y CANALIZACION ",IF(O161=CURSOS!$D$20,"OPERADOR DE VEHICULOS DE EMERGENCIA (OVE)",IF(O161=CURSOS!$D$21,"INSTITUCIONES AMIGAS DE LA MUJER Y LA INFANCIA (IAMI)",IF(O161=CURSOS!$D$22,"CUIDADO DEL DONANTE DE ORGANOS",IF(O161=CURSOS!$D$23,"ATENCION A VICTIMAS POR VIOLENCIA DE GENERO",IF(O161=CURSOS!$D$24,"IGUALDAD DE GENERO EN LA SALUD",IF(O161=CURSOS!$D$25,"BRIGADA DE EMERGENCIA",IF(O161=CURSOS!$D$26,"MANEJO DEL DOLOR Y CUIDADOS PALIATIVOS",IF(O161=CURSOS!$D$27,"TOMA DE MUESTRAS Y LABORATORIO POCT",IF(O161=CURSOS!$D$28,"IMPLANTE SUBDERMICO DE DISPOSITIVO INTRAUTERINO",IF(O161=CURSOS!$D$29,"SALUD MENTAL",IF(O161=CURSOS!$D$30,"PRIMEROS AUXILIOS PSICOLOGICOS",IF(O161=CURSOS!$D$31,"ATENCION A VICTIMAS POR CONFLICTO ARMADO",IF(O161=CURSOS!$D$32,"MANIPULACION DE ALIMENTOS Y BPM",IF(O161=CURSOS!$D$33,"ATENCION A PERSONAS CON DISCAPACIDAD",IF(O161=CURSOS!$D$34,"CUIDADO INTEGRAL DEL PACIENTE ADULTO",IF(O161=CURSOS!$D$35,"MANEJO DEFENSIVO",IF(O161=CURSOS!$D$36,"SOPORTE CARDIOVASCULAR AVANZADO NEONATAL",IF(O161=CURSOS!$D$37,"SEGURIDAD DEL PACIENTE",IF(O161=CURSOS!$D$38,"MANEJO Y USO DEL DEA",IF(O161=CURSOS!$D$39,"TRIAGE")))))))))))))))))))))))))))))))))))))</f>
        <v xml:space="preserve">ATENCION A VICTIMAS DE ATAQUE CON AGENTES QUIMICOS </v>
      </c>
      <c r="V161" s="105" t="str">
        <f t="shared" si="17"/>
        <v>Fernando Rafael De la cruz Perez</v>
      </c>
      <c r="W161" s="105" t="str">
        <f t="shared" si="18"/>
        <v>Fernando Rafael De La Cruz Perez</v>
      </c>
      <c r="X161" s="105" t="str">
        <f t="shared" si="19"/>
        <v>Fernando Rafael De la cruz Perez-9145323-QUIMICOS</v>
      </c>
    </row>
    <row r="162" spans="1:24" ht="15.75" x14ac:dyDescent="0.25">
      <c r="A162" s="103">
        <v>161</v>
      </c>
      <c r="B162" s="105">
        <v>1085287535</v>
      </c>
      <c r="C162" s="105" t="s">
        <v>428</v>
      </c>
      <c r="D162" s="105" t="s">
        <v>498</v>
      </c>
      <c r="E162" s="105" t="s">
        <v>131</v>
      </c>
      <c r="F162" s="105" t="s">
        <v>499</v>
      </c>
      <c r="G162" s="106">
        <v>25</v>
      </c>
      <c r="H162" s="106" t="s">
        <v>99</v>
      </c>
      <c r="I162" s="106" t="s">
        <v>408</v>
      </c>
      <c r="J162" s="107">
        <v>45560</v>
      </c>
      <c r="K162" s="88">
        <v>33000</v>
      </c>
      <c r="L162" s="106" t="s">
        <v>103</v>
      </c>
      <c r="M162" s="106" t="s">
        <v>85</v>
      </c>
      <c r="N162" s="106" t="s">
        <v>98</v>
      </c>
      <c r="O162" s="108" t="s">
        <v>51</v>
      </c>
      <c r="P162" s="109">
        <v>33328</v>
      </c>
      <c r="Q162" s="106" t="s">
        <v>110</v>
      </c>
      <c r="R162" s="138" t="s">
        <v>105</v>
      </c>
      <c r="S162" s="105">
        <v>3104582187</v>
      </c>
      <c r="T162" s="105" t="s">
        <v>500</v>
      </c>
      <c r="U162" s="105" t="str">
        <f>IF(O162=CURSOS!$D$3,"DIPLOMADO EN ATENCION PRE-HOSPITALARIA",IF(O162=CURSOS!$D$4,"ACOMPAÑAMIENTO Y MANEJO DEL DUELO",IF(O162=CURSOS!$D$5,"ATENCION A VICTIMAS DE ATAQUE CON AGENTES QUIMICOS ",IF(O162=CURSOS!$D$6,"PRIMEROS AUXILIOS ",IF(O162=CURSOS!$D$7,"DIPLOMADO DE UNIDAD DE CUIDADOS INTENSIVOS (UCI)",IF(O162=CURSOS!$D$8,"MODELO DE ATENCION PARA EVENTOS EMERGENTES EN SALUD MENTAL (CODIGO VERDE)",IF(O162=CURSOS!$D$9,"HUMANIZACION EN EL SERVICIO DE LA SALUD Y BUENAS PRACTICAS EN PACIENTE ",IF(O162=CURSOS!$D$10,"CLINICA DE HERIDAS ",IF(O162=CURSOS!$D$11,"TOMA DE CITOLOGIA CERVICO VAGINAL ",IF(O162=CURSOS!$D$12,"SOPORTE CARDIOVASCULAR AVANZADO (ACLS) ",IF(O162=CURSOS!$D$13,"CAMILLERO ",IF(O162=CURSOS!$D$14,"TOMA DE MUESTRAS Y LABORATORIO ",IF(O162=CURSOS!$D$15,"SOPORTE VITAL BASICO (BLS)",IF(O162=CURSOS!$D$16,"ATENCION A VICTIMAS DE VIOLENCIA SEXUAL ",IF(O162=CURSOS!$D$17,"PROGRAMADO AMPLIADO DE INMUNIZACION (PAI - COVID 19)",IF(O162=CURSOS!$D$18,"ATENCION INTEGRAL EN ENFERMEDADES PREVALENTES EN PRIMERA INFANCIA (AIEPI)",IF(O162=CURSOS!$D$19,"ADMINISTRACION DE MEDICAMENTOS, INYECTOLOGIA  Y CANALIZACION ",IF(O162=CURSOS!$D$20,"OPERADOR DE VEHICULOS DE EMERGENCIA (OVE)",IF(O162=CURSOS!$D$21,"INSTITUCIONES AMIGAS DE LA MUJER Y LA INFANCIA (IAMI)",IF(O162=CURSOS!$D$22,"CUIDADO DEL DONANTE DE ORGANOS",IF(O162=CURSOS!$D$23,"ATENCION A VICTIMAS POR VIOLENCIA DE GENERO",IF(O162=CURSOS!$D$24,"IGUALDAD DE GENERO EN LA SALUD",IF(O162=CURSOS!$D$25,"BRIGADA DE EMERGENCIA",IF(O162=CURSOS!$D$26,"MANEJO DEL DOLOR Y CUIDADOS PALIATIVOS",IF(O162=CURSOS!$D$27,"TOMA DE MUESTRAS Y LABORATORIO POCT",IF(O162=CURSOS!$D$28,"IMPLANTE SUBDERMICO DE DISPOSITIVO INTRAUTERINO",IF(O162=CURSOS!$D$29,"SALUD MENTAL",IF(O162=CURSOS!$D$30,"PRIMEROS AUXILIOS PSICOLOGICOS",IF(O162=CURSOS!$D$31,"ATENCION A VICTIMAS POR CONFLICTO ARMADO",IF(O162=CURSOS!$D$32,"MANIPULACION DE ALIMENTOS Y BPM",IF(O162=CURSOS!$D$33,"ATENCION A PERSONAS CON DISCAPACIDAD",IF(O162=CURSOS!$D$34,"CUIDADO INTEGRAL DEL PACIENTE ADULTO",IF(O162=CURSOS!$D$35,"MANEJO DEFENSIVO",IF(O162=CURSOS!$D$36,"SOPORTE CARDIOVASCULAR AVANZADO NEONATAL",IF(O162=CURSOS!$D$37,"SEGURIDAD DEL PACIENTE",IF(O162=CURSOS!$D$38,"MANEJO Y USO DEL DEA",IF(O162=CURSOS!$D$39,"TRIAGE")))))))))))))))))))))))))))))))))))))</f>
        <v>INSTITUCIONES AMIGAS DE LA MUJER Y LA INFANCIA (IAMI)</v>
      </c>
      <c r="V162" s="105" t="str">
        <f t="shared" si="17"/>
        <v>Diana Lucia Bolaños Giron</v>
      </c>
      <c r="W162" s="105" t="str">
        <f t="shared" si="18"/>
        <v>Diana Lucia Bolaños Giron</v>
      </c>
      <c r="X162" s="105" t="str">
        <f t="shared" si="19"/>
        <v>Diana Lucia Bolaños Giron-1085287535-IAMI</v>
      </c>
    </row>
    <row r="163" spans="1:24" ht="15.75" x14ac:dyDescent="0.25">
      <c r="A163" s="103">
        <v>162</v>
      </c>
      <c r="B163" s="105">
        <v>1085287535</v>
      </c>
      <c r="C163" s="105" t="s">
        <v>428</v>
      </c>
      <c r="D163" s="105" t="s">
        <v>498</v>
      </c>
      <c r="E163" s="105" t="s">
        <v>131</v>
      </c>
      <c r="F163" s="105" t="s">
        <v>499</v>
      </c>
      <c r="G163" s="106">
        <v>25</v>
      </c>
      <c r="H163" s="106" t="s">
        <v>99</v>
      </c>
      <c r="I163" s="106" t="s">
        <v>408</v>
      </c>
      <c r="J163" s="107">
        <v>45560</v>
      </c>
      <c r="K163" s="88">
        <v>33000</v>
      </c>
      <c r="L163" s="106" t="s">
        <v>103</v>
      </c>
      <c r="M163" s="106" t="s">
        <v>85</v>
      </c>
      <c r="N163" s="106" t="s">
        <v>98</v>
      </c>
      <c r="O163" s="108" t="s">
        <v>46</v>
      </c>
      <c r="P163" s="109">
        <v>33328</v>
      </c>
      <c r="Q163" s="106" t="s">
        <v>110</v>
      </c>
      <c r="R163" s="138" t="s">
        <v>105</v>
      </c>
      <c r="S163" s="105">
        <v>3104582187</v>
      </c>
      <c r="T163" s="105" t="s">
        <v>500</v>
      </c>
      <c r="U163" s="105" t="str">
        <f>IF(O163=CURSOS!$D$3,"DIPLOMADO EN ATENCION PRE-HOSPITALARIA",IF(O163=CURSOS!$D$4,"ACOMPAÑAMIENTO Y MANEJO DEL DUELO",IF(O163=CURSOS!$D$5,"ATENCION A VICTIMAS DE ATAQUE CON AGENTES QUIMICOS ",IF(O163=CURSOS!$D$6,"PRIMEROS AUXILIOS ",IF(O163=CURSOS!$D$7,"DIPLOMADO DE UNIDAD DE CUIDADOS INTENSIVOS (UCI)",IF(O163=CURSOS!$D$8,"MODELO DE ATENCION PARA EVENTOS EMERGENTES EN SALUD MENTAL (CODIGO VERDE)",IF(O163=CURSOS!$D$9,"HUMANIZACION EN EL SERVICIO DE LA SALUD Y BUENAS PRACTICAS EN PACIENTE ",IF(O163=CURSOS!$D$10,"CLINICA DE HERIDAS ",IF(O163=CURSOS!$D$11,"TOMA DE CITOLOGIA CERVICO VAGINAL ",IF(O163=CURSOS!$D$12,"SOPORTE CARDIOVASCULAR AVANZADO (ACLS) ",IF(O163=CURSOS!$D$13,"CAMILLERO ",IF(O163=CURSOS!$D$14,"TOMA DE MUESTRAS Y LABORATORIO ",IF(O163=CURSOS!$D$15,"SOPORTE VITAL BASICO (BLS)",IF(O163=CURSOS!$D$16,"ATENCION A VICTIMAS DE VIOLENCIA SEXUAL ",IF(O163=CURSOS!$D$17,"PROGRAMADO AMPLIADO DE INMUNIZACION (PAI - COVID 19)",IF(O163=CURSOS!$D$18,"ATENCION INTEGRAL EN ENFERMEDADES PREVALENTES EN PRIMERA INFANCIA (AIEPI)",IF(O163=CURSOS!$D$19,"ADMINISTRACION DE MEDICAMENTOS, INYECTOLOGIA  Y CANALIZACION ",IF(O163=CURSOS!$D$20,"OPERADOR DE VEHICULOS DE EMERGENCIA (OVE)",IF(O163=CURSOS!$D$21,"INSTITUCIONES AMIGAS DE LA MUJER Y LA INFANCIA (IAMI)",IF(O163=CURSOS!$D$22,"CUIDADO DEL DONANTE DE ORGANOS",IF(O163=CURSOS!$D$23,"ATENCION A VICTIMAS POR VIOLENCIA DE GENERO",IF(O163=CURSOS!$D$24,"IGUALDAD DE GENERO EN LA SALUD",IF(O163=CURSOS!$D$25,"BRIGADA DE EMERGENCIA",IF(O163=CURSOS!$D$26,"MANEJO DEL DOLOR Y CUIDADOS PALIATIVOS",IF(O163=CURSOS!$D$27,"TOMA DE MUESTRAS Y LABORATORIO POCT",IF(O163=CURSOS!$D$28,"IMPLANTE SUBDERMICO DE DISPOSITIVO INTRAUTERINO",IF(O163=CURSOS!$D$29,"SALUD MENTAL",IF(O163=CURSOS!$D$30,"PRIMEROS AUXILIOS PSICOLOGICOS",IF(O163=CURSOS!$D$31,"ATENCION A VICTIMAS POR CONFLICTO ARMADO",IF(O163=CURSOS!$D$32,"MANIPULACION DE ALIMENTOS Y BPM",IF(O163=CURSOS!$D$33,"ATENCION A PERSONAS CON DISCAPACIDAD",IF(O163=CURSOS!$D$34,"CUIDADO INTEGRAL DEL PACIENTE ADULTO",IF(O163=CURSOS!$D$35,"MANEJO DEFENSIVO",IF(O163=CURSOS!$D$36,"SOPORTE CARDIOVASCULAR AVANZADO NEONATAL",IF(O163=CURSOS!$D$37,"SEGURIDAD DEL PACIENTE",IF(O163=CURSOS!$D$38,"MANEJO Y USO DEL DEA",IF(O163=CURSOS!$D$39,"TRIAGE")))))))))))))))))))))))))))))))))))))</f>
        <v>ATENCION INTEGRAL EN ENFERMEDADES PREVALENTES EN PRIMERA INFANCIA (AIEPI)</v>
      </c>
      <c r="V163" s="105" t="str">
        <f t="shared" si="17"/>
        <v>Diana Lucia Bolaños Giron</v>
      </c>
      <c r="W163" s="105" t="str">
        <f t="shared" si="18"/>
        <v>Diana Lucia Bolaños Giron</v>
      </c>
      <c r="X163" s="105" t="str">
        <f t="shared" si="19"/>
        <v>Diana Lucia Bolaños Giron-1085287535-AIEPI</v>
      </c>
    </row>
    <row r="164" spans="1:24" ht="15.75" x14ac:dyDescent="0.25">
      <c r="A164" s="103">
        <v>163</v>
      </c>
      <c r="B164" s="105">
        <v>1085287535</v>
      </c>
      <c r="C164" s="105" t="s">
        <v>428</v>
      </c>
      <c r="D164" s="105" t="s">
        <v>498</v>
      </c>
      <c r="E164" s="105" t="s">
        <v>131</v>
      </c>
      <c r="F164" s="105" t="s">
        <v>499</v>
      </c>
      <c r="G164" s="106">
        <v>25</v>
      </c>
      <c r="H164" s="106" t="s">
        <v>99</v>
      </c>
      <c r="I164" s="106" t="s">
        <v>408</v>
      </c>
      <c r="J164" s="107">
        <v>45560</v>
      </c>
      <c r="K164" s="88">
        <v>33000</v>
      </c>
      <c r="L164" s="106" t="s">
        <v>103</v>
      </c>
      <c r="M164" s="106" t="s">
        <v>85</v>
      </c>
      <c r="N164" s="106" t="s">
        <v>98</v>
      </c>
      <c r="O164" s="108" t="s">
        <v>43</v>
      </c>
      <c r="P164" s="109">
        <v>33328</v>
      </c>
      <c r="Q164" s="106" t="s">
        <v>110</v>
      </c>
      <c r="R164" s="138" t="s">
        <v>105</v>
      </c>
      <c r="S164" s="105">
        <v>3104582187</v>
      </c>
      <c r="T164" s="105" t="s">
        <v>500</v>
      </c>
      <c r="U164" s="105" t="str">
        <f>IF(O164=CURSOS!$D$3,"DIPLOMADO EN ATENCION PRE-HOSPITALARIA",IF(O164=CURSOS!$D$4,"ACOMPAÑAMIENTO Y MANEJO DEL DUELO",IF(O164=CURSOS!$D$5,"ATENCION A VICTIMAS DE ATAQUE CON AGENTES QUIMICOS ",IF(O164=CURSOS!$D$6,"PRIMEROS AUXILIOS ",IF(O164=CURSOS!$D$7,"DIPLOMADO DE UNIDAD DE CUIDADOS INTENSIVOS (UCI)",IF(O164=CURSOS!$D$8,"MODELO DE ATENCION PARA EVENTOS EMERGENTES EN SALUD MENTAL (CODIGO VERDE)",IF(O164=CURSOS!$D$9,"HUMANIZACION EN EL SERVICIO DE LA SALUD Y BUENAS PRACTICAS EN PACIENTE ",IF(O164=CURSOS!$D$10,"CLINICA DE HERIDAS ",IF(O164=CURSOS!$D$11,"TOMA DE CITOLOGIA CERVICO VAGINAL ",IF(O164=CURSOS!$D$12,"SOPORTE CARDIOVASCULAR AVANZADO (ACLS) ",IF(O164=CURSOS!$D$13,"CAMILLERO ",IF(O164=CURSOS!$D$14,"TOMA DE MUESTRAS Y LABORATORIO ",IF(O164=CURSOS!$D$15,"SOPORTE VITAL BASICO (BLS)",IF(O164=CURSOS!$D$16,"ATENCION A VICTIMAS DE VIOLENCIA SEXUAL ",IF(O164=CURSOS!$D$17,"PROGRAMADO AMPLIADO DE INMUNIZACION (PAI - COVID 19)",IF(O164=CURSOS!$D$18,"ATENCION INTEGRAL EN ENFERMEDADES PREVALENTES EN PRIMERA INFANCIA (AIEPI)",IF(O164=CURSOS!$D$19,"ADMINISTRACION DE MEDICAMENTOS, INYECTOLOGIA  Y CANALIZACION ",IF(O164=CURSOS!$D$20,"OPERADOR DE VEHICULOS DE EMERGENCIA (OVE)",IF(O164=CURSOS!$D$21,"INSTITUCIONES AMIGAS DE LA MUJER Y LA INFANCIA (IAMI)",IF(O164=CURSOS!$D$22,"CUIDADO DEL DONANTE DE ORGANOS",IF(O164=CURSOS!$D$23,"ATENCION A VICTIMAS POR VIOLENCIA DE GENERO",IF(O164=CURSOS!$D$24,"IGUALDAD DE GENERO EN LA SALUD",IF(O164=CURSOS!$D$25,"BRIGADA DE EMERGENCIA",IF(O164=CURSOS!$D$26,"MANEJO DEL DOLOR Y CUIDADOS PALIATIVOS",IF(O164=CURSOS!$D$27,"TOMA DE MUESTRAS Y LABORATORIO POCT",IF(O164=CURSOS!$D$28,"IMPLANTE SUBDERMICO DE DISPOSITIVO INTRAUTERINO",IF(O164=CURSOS!$D$29,"SALUD MENTAL",IF(O164=CURSOS!$D$30,"PRIMEROS AUXILIOS PSICOLOGICOS",IF(O164=CURSOS!$D$31,"ATENCION A VICTIMAS POR CONFLICTO ARMADO",IF(O164=CURSOS!$D$32,"MANIPULACION DE ALIMENTOS Y BPM",IF(O164=CURSOS!$D$33,"ATENCION A PERSONAS CON DISCAPACIDAD",IF(O164=CURSOS!$D$34,"CUIDADO INTEGRAL DEL PACIENTE ADULTO",IF(O164=CURSOS!$D$35,"MANEJO DEFENSIVO",IF(O164=CURSOS!$D$36,"SOPORTE CARDIOVASCULAR AVANZADO NEONATAL",IF(O164=CURSOS!$D$37,"SEGURIDAD DEL PACIENTE",IF(O164=CURSOS!$D$38,"MANEJO Y USO DEL DEA",IF(O164=CURSOS!$D$39,"TRIAGE")))))))))))))))))))))))))))))))))))))</f>
        <v xml:space="preserve">ATENCION A VICTIMAS DE VIOLENCIA SEXUAL </v>
      </c>
      <c r="V164" s="105" t="str">
        <f t="shared" si="17"/>
        <v>Diana Lucia Bolaños Giron</v>
      </c>
      <c r="W164" s="105" t="str">
        <f t="shared" si="18"/>
        <v>Diana Lucia Bolaños Giron</v>
      </c>
      <c r="X164" s="105" t="str">
        <f t="shared" si="19"/>
        <v>Diana Lucia Bolaños Giron-1085287535-VIOLENCIA SEXUAL</v>
      </c>
    </row>
    <row r="165" spans="1:24" hidden="1" x14ac:dyDescent="0.2">
      <c r="A165" s="103">
        <v>164</v>
      </c>
      <c r="B165" s="104">
        <v>1004714482</v>
      </c>
      <c r="C165" s="105" t="s">
        <v>510</v>
      </c>
      <c r="D165" s="105" t="s">
        <v>511</v>
      </c>
      <c r="E165" s="105" t="s">
        <v>412</v>
      </c>
      <c r="F165" s="105" t="s">
        <v>512</v>
      </c>
      <c r="G165" s="106">
        <v>24</v>
      </c>
      <c r="H165" s="106" t="s">
        <v>99</v>
      </c>
      <c r="I165" s="106" t="s">
        <v>408</v>
      </c>
      <c r="J165" s="107">
        <v>45560</v>
      </c>
      <c r="K165" s="88">
        <v>30000</v>
      </c>
      <c r="L165" s="106" t="s">
        <v>138</v>
      </c>
      <c r="M165" s="106" t="s">
        <v>85</v>
      </c>
      <c r="N165" s="106" t="s">
        <v>109</v>
      </c>
      <c r="O165" s="108" t="s">
        <v>19</v>
      </c>
      <c r="P165" s="109">
        <v>36667</v>
      </c>
      <c r="Q165" s="106" t="s">
        <v>110</v>
      </c>
      <c r="R165" s="105" t="s">
        <v>123</v>
      </c>
      <c r="S165" s="105">
        <v>3207204074</v>
      </c>
      <c r="T165" s="105" t="s">
        <v>513</v>
      </c>
      <c r="U165" s="105" t="str">
        <f>IF(O165=CURSOS!$D$3,"DIPLOMADO EN ATENCION PRE-HOSPITALARIA",IF(O165=CURSOS!$D$4,"ACOMPAÑAMIENTO Y MANEJO DEL DUELO",IF(O165=CURSOS!$D$5,"ATENCION A VICTIMAS DE ATAQUE CON AGENTES QUIMICOS ",IF(O165=CURSOS!$D$6,"PRIMEROS AUXILIOS ",IF(O165=CURSOS!$D$7,"DIPLOMADO DE UNIDAD DE CUIDADOS INTENSIVOS (UCI)",IF(O165=CURSOS!$D$8,"MODELO DE ATENCION PARA EVENTOS EMERGENTES EN SALUD MENTAL (CODIGO VERDE)",IF(O165=CURSOS!$D$9,"HUMANIZACION EN EL SERVICIO DE LA SALUD Y BUENAS PRACTICAS EN PACIENTE ",IF(O165=CURSOS!$D$10,"CLINICA DE HERIDAS ",IF(O165=CURSOS!$D$11,"TOMA DE CITOLOGIA CERVICO VAGINAL ",IF(O165=CURSOS!$D$12,"SOPORTE CARDIOVASCULAR AVANZADO (ACLS) ",IF(O165=CURSOS!$D$13,"CAMILLERO ",IF(O165=CURSOS!$D$14,"TOMA DE MUESTRAS Y LABORATORIO ",IF(O165=CURSOS!$D$15,"SOPORTE VITAL BASICO (BLS)",IF(O165=CURSOS!$D$16,"ATENCION A VICTIMAS DE VIOLENCIA SEXUAL ",IF(O165=CURSOS!$D$17,"PROGRAMADO AMPLIADO DE INMUNIZACION (PAI - COVID 19)",IF(O165=CURSOS!$D$18,"ATENCION INTEGRAL EN ENFERMEDADES PREVALENTES EN PRIMERA INFANCIA (AIEPI)",IF(O165=CURSOS!$D$19,"ADMINISTRACION DE MEDICAMENTOS, INYECTOLOGIA  Y CANALIZACION ",IF(O165=CURSOS!$D$20,"OPERADOR DE VEHICULOS DE EMERGENCIA (OVE)",IF(O165=CURSOS!$D$21,"INSTITUCIONES AMIGAS DE LA MUJER Y LA INFANCIA (IAMI)",IF(O165=CURSOS!$D$22,"CUIDADO DEL DONANTE DE ORGANOS",IF(O165=CURSOS!$D$23,"ATENCION A VICTIMAS POR VIOLENCIA DE GENERO",IF(O165=CURSOS!$D$24,"IGUALDAD DE GENERO EN LA SALUD",IF(O165=CURSOS!$D$25,"BRIGADA DE EMERGENCIA",IF(O165=CURSOS!$D$26,"MANEJO DEL DOLOR Y CUIDADOS PALIATIVOS",IF(O165=CURSOS!$D$27,"TOMA DE MUESTRAS Y LABORATORIO POCT",IF(O165=CURSOS!$D$28,"IMPLANTE SUBDERMICO DE DISPOSITIVO INTRAUTERINO",IF(O165=CURSOS!$D$29,"SALUD MENTAL",IF(O165=CURSOS!$D$30,"PRIMEROS AUXILIOS PSICOLOGICOS",IF(O165=CURSOS!$D$31,"ATENCION A VICTIMAS POR CONFLICTO ARMADO",IF(O165=CURSOS!$D$32,"MANIPULACION DE ALIMENTOS Y BPM",IF(O165=CURSOS!$D$33,"ATENCION A PERSONAS CON DISCAPACIDAD",IF(O165=CURSOS!$D$34,"CUIDADO INTEGRAL DEL PACIENTE ADULTO",IF(O165=CURSOS!$D$35,"MANEJO DEFENSIVO",IF(O165=CURSOS!$D$36,"SOPORTE CARDIOVASCULAR AVANZADO NEONATAL",IF(O165=CURSOS!$D$37,"SEGURIDAD DEL PACIENTE",IF(O165=CURSOS!$D$38,"MANEJO Y USO DEL DEA",IF(O165=CURSOS!$D$39,"TRIAGE")))))))))))))))))))))))))))))))))))))</f>
        <v>SOPORTE VITAL BASICO (BLS)</v>
      </c>
      <c r="V165" s="105" t="str">
        <f t="shared" si="17"/>
        <v>Daniela María Alicia Ruiz Yela</v>
      </c>
      <c r="W165" s="105" t="str">
        <f t="shared" si="18"/>
        <v>Daniela María Alicia Ruiz Yela</v>
      </c>
      <c r="X165" s="105" t="str">
        <f t="shared" si="19"/>
        <v>Daniela María Alicia Ruiz Yela-1004714482-BLS</v>
      </c>
    </row>
    <row r="166" spans="1:24" hidden="1" x14ac:dyDescent="0.2">
      <c r="A166" s="103">
        <v>165</v>
      </c>
      <c r="B166" s="104">
        <v>1004714482</v>
      </c>
      <c r="C166" s="105" t="s">
        <v>510</v>
      </c>
      <c r="D166" s="105" t="s">
        <v>511</v>
      </c>
      <c r="E166" s="105" t="s">
        <v>412</v>
      </c>
      <c r="F166" s="105" t="s">
        <v>512</v>
      </c>
      <c r="G166" s="106">
        <v>25</v>
      </c>
      <c r="H166" s="106" t="s">
        <v>99</v>
      </c>
      <c r="I166" s="106" t="s">
        <v>408</v>
      </c>
      <c r="J166" s="107">
        <v>45560</v>
      </c>
      <c r="K166" s="88">
        <v>30000</v>
      </c>
      <c r="L166" s="106" t="s">
        <v>138</v>
      </c>
      <c r="M166" s="106" t="s">
        <v>85</v>
      </c>
      <c r="N166" s="106" t="s">
        <v>109</v>
      </c>
      <c r="O166" s="108" t="s">
        <v>25</v>
      </c>
      <c r="P166" s="109">
        <v>36667</v>
      </c>
      <c r="Q166" s="106" t="s">
        <v>110</v>
      </c>
      <c r="R166" s="105" t="s">
        <v>123</v>
      </c>
      <c r="S166" s="105">
        <v>3207204074</v>
      </c>
      <c r="T166" s="105" t="s">
        <v>513</v>
      </c>
      <c r="U166" s="105" t="str">
        <f>IF(O166=CURSOS!$D$3,"DIPLOMADO EN ATENCION PRE-HOSPITALARIA",IF(O166=CURSOS!$D$4,"ACOMPAÑAMIENTO Y MANEJO DEL DUELO",IF(O166=CURSOS!$D$5,"ATENCION A VICTIMAS DE ATAQUE CON AGENTES QUIMICOS ",IF(O166=CURSOS!$D$6,"PRIMEROS AUXILIOS ",IF(O166=CURSOS!$D$7,"DIPLOMADO DE UNIDAD DE CUIDADOS INTENSIVOS (UCI)",IF(O166=CURSOS!$D$8,"MODELO DE ATENCION PARA EVENTOS EMERGENTES EN SALUD MENTAL (CODIGO VERDE)",IF(O166=CURSOS!$D$9,"HUMANIZACION EN EL SERVICIO DE LA SALUD Y BUENAS PRACTICAS EN PACIENTE ",IF(O166=CURSOS!$D$10,"CLINICA DE HERIDAS ",IF(O166=CURSOS!$D$11,"TOMA DE CITOLOGIA CERVICO VAGINAL ",IF(O166=CURSOS!$D$12,"SOPORTE CARDIOVASCULAR AVANZADO (ACLS) ",IF(O166=CURSOS!$D$13,"CAMILLERO ",IF(O166=CURSOS!$D$14,"TOMA DE MUESTRAS Y LABORATORIO ",IF(O166=CURSOS!$D$15,"SOPORTE VITAL BASICO (BLS)",IF(O166=CURSOS!$D$16,"ATENCION A VICTIMAS DE VIOLENCIA SEXUAL ",IF(O166=CURSOS!$D$17,"PROGRAMADO AMPLIADO DE INMUNIZACION (PAI - COVID 19)",IF(O166=CURSOS!$D$18,"ATENCION INTEGRAL EN ENFERMEDADES PREVALENTES EN PRIMERA INFANCIA (AIEPI)",IF(O166=CURSOS!$D$19,"ADMINISTRACION DE MEDICAMENTOS, INYECTOLOGIA  Y CANALIZACION ",IF(O166=CURSOS!$D$20,"OPERADOR DE VEHICULOS DE EMERGENCIA (OVE)",IF(O166=CURSOS!$D$21,"INSTITUCIONES AMIGAS DE LA MUJER Y LA INFANCIA (IAMI)",IF(O166=CURSOS!$D$22,"CUIDADO DEL DONANTE DE ORGANOS",IF(O166=CURSOS!$D$23,"ATENCION A VICTIMAS POR VIOLENCIA DE GENERO",IF(O166=CURSOS!$D$24,"IGUALDAD DE GENERO EN LA SALUD",IF(O166=CURSOS!$D$25,"BRIGADA DE EMERGENCIA",IF(O166=CURSOS!$D$26,"MANEJO DEL DOLOR Y CUIDADOS PALIATIVOS",IF(O166=CURSOS!$D$27,"TOMA DE MUESTRAS Y LABORATORIO POCT",IF(O166=CURSOS!$D$28,"IMPLANTE SUBDERMICO DE DISPOSITIVO INTRAUTERINO",IF(O166=CURSOS!$D$29,"SALUD MENTAL",IF(O166=CURSOS!$D$30,"PRIMEROS AUXILIOS PSICOLOGICOS",IF(O166=CURSOS!$D$31,"ATENCION A VICTIMAS POR CONFLICTO ARMADO",IF(O166=CURSOS!$D$32,"MANIPULACION DE ALIMENTOS Y BPM",IF(O166=CURSOS!$D$33,"ATENCION A PERSONAS CON DISCAPACIDAD",IF(O166=CURSOS!$D$34,"CUIDADO INTEGRAL DEL PACIENTE ADULTO",IF(O166=CURSOS!$D$35,"MANEJO DEFENSIVO",IF(O166=CURSOS!$D$36,"SOPORTE CARDIOVASCULAR AVANZADO NEONATAL",IF(O166=CURSOS!$D$37,"SEGURIDAD DEL PACIENTE",IF(O166=CURSOS!$D$38,"MANEJO Y USO DEL DEA",IF(O166=CURSOS!$D$39,"TRIAGE")))))))))))))))))))))))))))))))))))))</f>
        <v xml:space="preserve">ATENCION A VICTIMAS DE ATAQUE CON AGENTES QUIMICOS </v>
      </c>
      <c r="V166" s="105" t="str">
        <f t="shared" si="17"/>
        <v>Daniela María Alicia Ruiz Yela</v>
      </c>
      <c r="W166" s="105" t="str">
        <f t="shared" si="18"/>
        <v>Daniela María Alicia Ruiz Yela</v>
      </c>
      <c r="X166" s="105" t="str">
        <f t="shared" si="19"/>
        <v>Daniela María Alicia Ruiz Yela-1004714482-QUIMICOS</v>
      </c>
    </row>
    <row r="167" spans="1:24" hidden="1" x14ac:dyDescent="0.2">
      <c r="A167" s="103">
        <v>166</v>
      </c>
      <c r="B167" s="104">
        <v>1004714482</v>
      </c>
      <c r="C167" s="105" t="s">
        <v>510</v>
      </c>
      <c r="D167" s="105" t="s">
        <v>511</v>
      </c>
      <c r="E167" s="105" t="s">
        <v>412</v>
      </c>
      <c r="F167" s="105" t="s">
        <v>512</v>
      </c>
      <c r="G167" s="106">
        <v>23</v>
      </c>
      <c r="H167" s="106" t="s">
        <v>99</v>
      </c>
      <c r="I167" s="106" t="s">
        <v>408</v>
      </c>
      <c r="J167" s="107">
        <v>45560</v>
      </c>
      <c r="K167" s="88">
        <v>30000</v>
      </c>
      <c r="L167" s="106" t="s">
        <v>138</v>
      </c>
      <c r="M167" s="106" t="s">
        <v>85</v>
      </c>
      <c r="N167" s="106" t="s">
        <v>109</v>
      </c>
      <c r="O167" s="108" t="s">
        <v>43</v>
      </c>
      <c r="P167" s="109">
        <v>36667</v>
      </c>
      <c r="Q167" s="106" t="s">
        <v>110</v>
      </c>
      <c r="R167" s="105" t="s">
        <v>123</v>
      </c>
      <c r="S167" s="105">
        <v>3207204074</v>
      </c>
      <c r="T167" s="105" t="s">
        <v>513</v>
      </c>
      <c r="U167" s="105" t="str">
        <f>IF(O167=CURSOS!$D$3,"DIPLOMADO EN ATENCION PRE-HOSPITALARIA",IF(O167=CURSOS!$D$4,"ACOMPAÑAMIENTO Y MANEJO DEL DUELO",IF(O167=CURSOS!$D$5,"ATENCION A VICTIMAS DE ATAQUE CON AGENTES QUIMICOS ",IF(O167=CURSOS!$D$6,"PRIMEROS AUXILIOS ",IF(O167=CURSOS!$D$7,"DIPLOMADO DE UNIDAD DE CUIDADOS INTENSIVOS (UCI)",IF(O167=CURSOS!$D$8,"MODELO DE ATENCION PARA EVENTOS EMERGENTES EN SALUD MENTAL (CODIGO VERDE)",IF(O167=CURSOS!$D$9,"HUMANIZACION EN EL SERVICIO DE LA SALUD Y BUENAS PRACTICAS EN PACIENTE ",IF(O167=CURSOS!$D$10,"CLINICA DE HERIDAS ",IF(O167=CURSOS!$D$11,"TOMA DE CITOLOGIA CERVICO VAGINAL ",IF(O167=CURSOS!$D$12,"SOPORTE CARDIOVASCULAR AVANZADO (ACLS) ",IF(O167=CURSOS!$D$13,"CAMILLERO ",IF(O167=CURSOS!$D$14,"TOMA DE MUESTRAS Y LABORATORIO ",IF(O167=CURSOS!$D$15,"SOPORTE VITAL BASICO (BLS)",IF(O167=CURSOS!$D$16,"ATENCION A VICTIMAS DE VIOLENCIA SEXUAL ",IF(O167=CURSOS!$D$17,"PROGRAMADO AMPLIADO DE INMUNIZACION (PAI - COVID 19)",IF(O167=CURSOS!$D$18,"ATENCION INTEGRAL EN ENFERMEDADES PREVALENTES EN PRIMERA INFANCIA (AIEPI)",IF(O167=CURSOS!$D$19,"ADMINISTRACION DE MEDICAMENTOS, INYECTOLOGIA  Y CANALIZACION ",IF(O167=CURSOS!$D$20,"OPERADOR DE VEHICULOS DE EMERGENCIA (OVE)",IF(O167=CURSOS!$D$21,"INSTITUCIONES AMIGAS DE LA MUJER Y LA INFANCIA (IAMI)",IF(O167=CURSOS!$D$22,"CUIDADO DEL DONANTE DE ORGANOS",IF(O167=CURSOS!$D$23,"ATENCION A VICTIMAS POR VIOLENCIA DE GENERO",IF(O167=CURSOS!$D$24,"IGUALDAD DE GENERO EN LA SALUD",IF(O167=CURSOS!$D$25,"BRIGADA DE EMERGENCIA",IF(O167=CURSOS!$D$26,"MANEJO DEL DOLOR Y CUIDADOS PALIATIVOS",IF(O167=CURSOS!$D$27,"TOMA DE MUESTRAS Y LABORATORIO POCT",IF(O167=CURSOS!$D$28,"IMPLANTE SUBDERMICO DE DISPOSITIVO INTRAUTERINO",IF(O167=CURSOS!$D$29,"SALUD MENTAL",IF(O167=CURSOS!$D$30,"PRIMEROS AUXILIOS PSICOLOGICOS",IF(O167=CURSOS!$D$31,"ATENCION A VICTIMAS POR CONFLICTO ARMADO",IF(O167=CURSOS!$D$32,"MANIPULACION DE ALIMENTOS Y BPM",IF(O167=CURSOS!$D$33,"ATENCION A PERSONAS CON DISCAPACIDAD",IF(O167=CURSOS!$D$34,"CUIDADO INTEGRAL DEL PACIENTE ADULTO",IF(O167=CURSOS!$D$35,"MANEJO DEFENSIVO",IF(O167=CURSOS!$D$36,"SOPORTE CARDIOVASCULAR AVANZADO NEONATAL",IF(O167=CURSOS!$D$37,"SEGURIDAD DEL PACIENTE",IF(O167=CURSOS!$D$38,"MANEJO Y USO DEL DEA",IF(O167=CURSOS!$D$39,"TRIAGE")))))))))))))))))))))))))))))))))))))</f>
        <v xml:space="preserve">ATENCION A VICTIMAS DE VIOLENCIA SEXUAL </v>
      </c>
      <c r="V167" s="105" t="str">
        <f t="shared" si="17"/>
        <v>Daniela María Alicia Ruiz Yela</v>
      </c>
      <c r="W167" s="105" t="str">
        <f t="shared" si="18"/>
        <v>Daniela María Alicia Ruiz Yela</v>
      </c>
      <c r="X167" s="105" t="str">
        <f t="shared" si="19"/>
        <v>Daniela María Alicia Ruiz Yela-1004714482-VIOLENCIA SEXUAL</v>
      </c>
    </row>
    <row r="168" spans="1:24" hidden="1" x14ac:dyDescent="0.2">
      <c r="A168" s="103">
        <v>167</v>
      </c>
      <c r="B168" s="104">
        <v>1004714482</v>
      </c>
      <c r="C168" s="105" t="s">
        <v>510</v>
      </c>
      <c r="D168" s="105" t="s">
        <v>511</v>
      </c>
      <c r="E168" s="105" t="s">
        <v>412</v>
      </c>
      <c r="F168" s="105" t="s">
        <v>512</v>
      </c>
      <c r="G168" s="106">
        <v>24</v>
      </c>
      <c r="H168" s="106" t="s">
        <v>99</v>
      </c>
      <c r="I168" s="106" t="s">
        <v>408</v>
      </c>
      <c r="J168" s="107">
        <v>45560</v>
      </c>
      <c r="K168" s="88">
        <v>30000</v>
      </c>
      <c r="L168" s="106" t="s">
        <v>138</v>
      </c>
      <c r="M168" s="106" t="s">
        <v>85</v>
      </c>
      <c r="N168" s="106" t="s">
        <v>109</v>
      </c>
      <c r="O168" s="108" t="s">
        <v>23</v>
      </c>
      <c r="P168" s="109">
        <v>36667</v>
      </c>
      <c r="Q168" s="106" t="s">
        <v>110</v>
      </c>
      <c r="R168" s="105" t="s">
        <v>123</v>
      </c>
      <c r="S168" s="105">
        <v>3207204074</v>
      </c>
      <c r="T168" s="105" t="s">
        <v>513</v>
      </c>
      <c r="U168" s="105" t="str">
        <f>IF(O168=CURSOS!$D$3,"DIPLOMADO EN ATENCION PRE-HOSPITALARIA",IF(O168=CURSOS!$D$4,"ACOMPAÑAMIENTO Y MANEJO DEL DUELO",IF(O168=CURSOS!$D$5,"ATENCION A VICTIMAS DE ATAQUE CON AGENTES QUIMICOS ",IF(O168=CURSOS!$D$6,"PRIMEROS AUXILIOS ",IF(O168=CURSOS!$D$7,"DIPLOMADO DE UNIDAD DE CUIDADOS INTENSIVOS (UCI)",IF(O168=CURSOS!$D$8,"MODELO DE ATENCION PARA EVENTOS EMERGENTES EN SALUD MENTAL (CODIGO VERDE)",IF(O168=CURSOS!$D$9,"HUMANIZACION EN EL SERVICIO DE LA SALUD Y BUENAS PRACTICAS EN PACIENTE ",IF(O168=CURSOS!$D$10,"CLINICA DE HERIDAS ",IF(O168=CURSOS!$D$11,"TOMA DE CITOLOGIA CERVICO VAGINAL ",IF(O168=CURSOS!$D$12,"SOPORTE CARDIOVASCULAR AVANZADO (ACLS) ",IF(O168=CURSOS!$D$13,"CAMILLERO ",IF(O168=CURSOS!$D$14,"TOMA DE MUESTRAS Y LABORATORIO ",IF(O168=CURSOS!$D$15,"SOPORTE VITAL BASICO (BLS)",IF(O168=CURSOS!$D$16,"ATENCION A VICTIMAS DE VIOLENCIA SEXUAL ",IF(O168=CURSOS!$D$17,"PROGRAMADO AMPLIADO DE INMUNIZACION (PAI - COVID 19)",IF(O168=CURSOS!$D$18,"ATENCION INTEGRAL EN ENFERMEDADES PREVALENTES EN PRIMERA INFANCIA (AIEPI)",IF(O168=CURSOS!$D$19,"ADMINISTRACION DE MEDICAMENTOS, INYECTOLOGIA  Y CANALIZACION ",IF(O168=CURSOS!$D$20,"OPERADOR DE VEHICULOS DE EMERGENCIA (OVE)",IF(O168=CURSOS!$D$21,"INSTITUCIONES AMIGAS DE LA MUJER Y LA INFANCIA (IAMI)",IF(O168=CURSOS!$D$22,"CUIDADO DEL DONANTE DE ORGANOS",IF(O168=CURSOS!$D$23,"ATENCION A VICTIMAS POR VIOLENCIA DE GENERO",IF(O168=CURSOS!$D$24,"IGUALDAD DE GENERO EN LA SALUD",IF(O168=CURSOS!$D$25,"BRIGADA DE EMERGENCIA",IF(O168=CURSOS!$D$26,"MANEJO DEL DOLOR Y CUIDADOS PALIATIVOS",IF(O168=CURSOS!$D$27,"TOMA DE MUESTRAS Y LABORATORIO POCT",IF(O168=CURSOS!$D$28,"IMPLANTE SUBDERMICO DE DISPOSITIVO INTRAUTERINO",IF(O168=CURSOS!$D$29,"SALUD MENTAL",IF(O168=CURSOS!$D$30,"PRIMEROS AUXILIOS PSICOLOGICOS",IF(O168=CURSOS!$D$31,"ATENCION A VICTIMAS POR CONFLICTO ARMADO",IF(O168=CURSOS!$D$32,"MANIPULACION DE ALIMENTOS Y BPM",IF(O168=CURSOS!$D$33,"ATENCION A PERSONAS CON DISCAPACIDAD",IF(O168=CURSOS!$D$34,"CUIDADO INTEGRAL DEL PACIENTE ADULTO",IF(O168=CURSOS!$D$35,"MANEJO DEFENSIVO",IF(O168=CURSOS!$D$36,"SOPORTE CARDIOVASCULAR AVANZADO NEONATAL",IF(O168=CURSOS!$D$37,"SEGURIDAD DEL PACIENTE",IF(O168=CURSOS!$D$38,"MANEJO Y USO DEL DEA",IF(O168=CURSOS!$D$39,"TRIAGE")))))))))))))))))))))))))))))))))))))</f>
        <v>ACOMPAÑAMIENTO Y MANEJO DEL DUELO</v>
      </c>
      <c r="V168" s="105" t="str">
        <f t="shared" si="17"/>
        <v>Daniela María Alicia Ruiz Yela</v>
      </c>
      <c r="W168" s="105" t="str">
        <f t="shared" si="18"/>
        <v>Daniela María Alicia Ruiz Yela</v>
      </c>
      <c r="X168" s="105" t="str">
        <f t="shared" si="19"/>
        <v>Daniela María Alicia Ruiz Yela-1004714482-DUELO</v>
      </c>
    </row>
    <row r="169" spans="1:24" hidden="1" x14ac:dyDescent="0.2">
      <c r="A169" s="103">
        <v>168</v>
      </c>
      <c r="B169" s="105">
        <v>1233188280</v>
      </c>
      <c r="C169" s="105" t="s">
        <v>501</v>
      </c>
      <c r="D169" s="105" t="s">
        <v>502</v>
      </c>
      <c r="E169" s="105" t="s">
        <v>503</v>
      </c>
      <c r="F169" s="105" t="s">
        <v>504</v>
      </c>
      <c r="G169" s="106">
        <v>27</v>
      </c>
      <c r="H169" s="106" t="s">
        <v>99</v>
      </c>
      <c r="I169" s="106" t="s">
        <v>409</v>
      </c>
      <c r="J169" s="107">
        <v>45562</v>
      </c>
      <c r="K169" s="88">
        <v>70000</v>
      </c>
      <c r="L169" s="106" t="s">
        <v>405</v>
      </c>
      <c r="M169" s="106" t="s">
        <v>180</v>
      </c>
      <c r="N169" s="106" t="s">
        <v>98</v>
      </c>
      <c r="O169" s="108" t="s">
        <v>48</v>
      </c>
      <c r="P169" s="109"/>
      <c r="Q169" s="106"/>
      <c r="R169" s="105"/>
      <c r="S169" s="105"/>
      <c r="T169" s="105"/>
      <c r="U169" s="105" t="str">
        <f>IF(O169=CURSOS!$D$3,"DIPLOMADO EN ATENCION PRE-HOSPITALARIA",IF(O169=CURSOS!$D$4,"ACOMPAÑAMIENTO Y MANEJO DEL DUELO",IF(O169=CURSOS!$D$5,"ATENCION A VICTIMAS DE ATAQUE CON AGENTES QUIMICOS ",IF(O169=CURSOS!$D$6,"PRIMEROS AUXILIOS ",IF(O169=CURSOS!$D$7,"DIPLOMADO DE UNIDAD DE CUIDADOS INTENSIVOS (UCI)",IF(O169=CURSOS!$D$8,"MODELO DE ATENCION PARA EVENTOS EMERGENTES EN SALUD MENTAL (CODIGO VERDE)",IF(O169=CURSOS!$D$9,"HUMANIZACION EN EL SERVICIO DE LA SALUD Y BUENAS PRACTICAS EN PACIENTE ",IF(O169=CURSOS!$D$10,"CLINICA DE HERIDAS ",IF(O169=CURSOS!$D$11,"TOMA DE CITOLOGIA CERVICO VAGINAL ",IF(O169=CURSOS!$D$12,"SOPORTE CARDIOVASCULAR AVANZADO (ACLS) ",IF(O169=CURSOS!$D$13,"CAMILLERO ",IF(O169=CURSOS!$D$14,"TOMA DE MUESTRAS Y LABORATORIO ",IF(O169=CURSOS!$D$15,"SOPORTE VITAL BASICO (BLS)",IF(O169=CURSOS!$D$16,"ATENCION A VICTIMAS DE VIOLENCIA SEXUAL ",IF(O169=CURSOS!$D$17,"PROGRAMADO AMPLIADO DE INMUNIZACION (PAI - COVID 19)",IF(O169=CURSOS!$D$18,"ATENCION INTEGRAL EN ENFERMEDADES PREVALENTES EN PRIMERA INFANCIA (AIEPI)",IF(O169=CURSOS!$D$19,"ADMINISTRACION DE MEDICAMENTOS, INYECTOLOGIA  Y CANALIZACION ",IF(O169=CURSOS!$D$20,"OPERADOR DE VEHICULOS DE EMERGENCIA (OVE)",IF(O169=CURSOS!$D$21,"INSTITUCIONES AMIGAS DE LA MUJER Y LA INFANCIA (IAMI)",IF(O169=CURSOS!$D$22,"CUIDADO DEL DONANTE DE ORGANOS",IF(O169=CURSOS!$D$23,"ATENCION A VICTIMAS POR VIOLENCIA DE GENERO",IF(O169=CURSOS!$D$24,"IGUALDAD DE GENERO EN LA SALUD",IF(O169=CURSOS!$D$25,"BRIGADA DE EMERGENCIA",IF(O169=CURSOS!$D$26,"MANEJO DEL DOLOR Y CUIDADOS PALIATIVOS",IF(O169=CURSOS!$D$27,"TOMA DE MUESTRAS Y LABORATORIO POCT",IF(O169=CURSOS!$D$28,"IMPLANTE SUBDERMICO DE DISPOSITIVO INTRAUTERINO",IF(O169=CURSOS!$D$29,"SALUD MENTAL",IF(O169=CURSOS!$D$30,"PRIMEROS AUXILIOS PSICOLOGICOS",IF(O169=CURSOS!$D$31,"ATENCION A VICTIMAS POR CONFLICTO ARMADO",IF(O169=CURSOS!$D$32,"MANIPULACION DE ALIMENTOS Y BPM",IF(O169=CURSOS!$D$33,"ATENCION A PERSONAS CON DISCAPACIDAD",IF(O169=CURSOS!$D$34,"CUIDADO INTEGRAL DEL PACIENTE ADULTO",IF(O169=CURSOS!$D$35,"MANEJO DEFENSIVO",IF(O169=CURSOS!$D$36,"SOPORTE CARDIOVASCULAR AVANZADO NEONATAL",IF(O169=CURSOS!$D$37,"SEGURIDAD DEL PACIENTE",IF(O169=CURSOS!$D$38,"MANEJO Y USO DEL DEA",IF(O169=CURSOS!$D$39,"TRIAGE")))))))))))))))))))))))))))))))))))))</f>
        <v xml:space="preserve">ADMINISTRACION DE MEDICAMENTOS, INYECTOLOGIA  Y CANALIZACION </v>
      </c>
      <c r="V169" s="105" t="str">
        <f t="shared" ref="V169:V194" si="23">CONCATENATE(E169," ",F169," ",C169," ",D169)</f>
        <v>Carol  Viviana Ocaña Chavez</v>
      </c>
      <c r="W169" s="105" t="str">
        <f t="shared" ref="W169:W194" si="24">+PROPER(V169)</f>
        <v>Carol  Viviana Ocaña Chavez</v>
      </c>
      <c r="X169" s="105" t="str">
        <f t="shared" ref="X169:X194" si="25">CONCATENATE(V169,"-",B169,"-",O169)</f>
        <v>Carol  Viviana Ocaña Chavez-1233188280-ADMON DE MEDICAMENTOS</v>
      </c>
    </row>
    <row r="170" spans="1:24" hidden="1" x14ac:dyDescent="0.2">
      <c r="A170" s="103">
        <v>169</v>
      </c>
      <c r="B170" s="104">
        <v>1085294516</v>
      </c>
      <c r="C170" s="105" t="s">
        <v>368</v>
      </c>
      <c r="D170" s="105" t="s">
        <v>514</v>
      </c>
      <c r="E170" s="105" t="s">
        <v>392</v>
      </c>
      <c r="F170" s="105" t="s">
        <v>506</v>
      </c>
      <c r="G170" s="106">
        <v>27</v>
      </c>
      <c r="H170" s="106" t="s">
        <v>99</v>
      </c>
      <c r="I170" s="106" t="s">
        <v>409</v>
      </c>
      <c r="J170" s="107">
        <v>45562</v>
      </c>
      <c r="K170" s="88">
        <v>70000</v>
      </c>
      <c r="L170" s="106" t="s">
        <v>405</v>
      </c>
      <c r="M170" s="106" t="s">
        <v>180</v>
      </c>
      <c r="N170" s="106" t="s">
        <v>98</v>
      </c>
      <c r="O170" s="108" t="s">
        <v>48</v>
      </c>
      <c r="P170" s="109"/>
      <c r="Q170" s="106"/>
      <c r="R170" s="105"/>
      <c r="S170" s="105"/>
      <c r="T170" s="105"/>
      <c r="U170" s="105" t="str">
        <f>IF(O170=CURSOS!$D$3,"DIPLOMADO EN ATENCION PRE-HOSPITALARIA",IF(O170=CURSOS!$D$4,"ACOMPAÑAMIENTO Y MANEJO DEL DUELO",IF(O170=CURSOS!$D$5,"ATENCION A VICTIMAS DE ATAQUE CON AGENTES QUIMICOS ",IF(O170=CURSOS!$D$6,"PRIMEROS AUXILIOS ",IF(O170=CURSOS!$D$7,"DIPLOMADO DE UNIDAD DE CUIDADOS INTENSIVOS (UCI)",IF(O170=CURSOS!$D$8,"MODELO DE ATENCION PARA EVENTOS EMERGENTES EN SALUD MENTAL (CODIGO VERDE)",IF(O170=CURSOS!$D$9,"HUMANIZACION EN EL SERVICIO DE LA SALUD Y BUENAS PRACTICAS EN PACIENTE ",IF(O170=CURSOS!$D$10,"CLINICA DE HERIDAS ",IF(O170=CURSOS!$D$11,"TOMA DE CITOLOGIA CERVICO VAGINAL ",IF(O170=CURSOS!$D$12,"SOPORTE CARDIOVASCULAR AVANZADO (ACLS) ",IF(O170=CURSOS!$D$13,"CAMILLERO ",IF(O170=CURSOS!$D$14,"TOMA DE MUESTRAS Y LABORATORIO ",IF(O170=CURSOS!$D$15,"SOPORTE VITAL BASICO (BLS)",IF(O170=CURSOS!$D$16,"ATENCION A VICTIMAS DE VIOLENCIA SEXUAL ",IF(O170=CURSOS!$D$17,"PROGRAMADO AMPLIADO DE INMUNIZACION (PAI - COVID 19)",IF(O170=CURSOS!$D$18,"ATENCION INTEGRAL EN ENFERMEDADES PREVALENTES EN PRIMERA INFANCIA (AIEPI)",IF(O170=CURSOS!$D$19,"ADMINISTRACION DE MEDICAMENTOS, INYECTOLOGIA  Y CANALIZACION ",IF(O170=CURSOS!$D$20,"OPERADOR DE VEHICULOS DE EMERGENCIA (OVE)",IF(O170=CURSOS!$D$21,"INSTITUCIONES AMIGAS DE LA MUJER Y LA INFANCIA (IAMI)",IF(O170=CURSOS!$D$22,"CUIDADO DEL DONANTE DE ORGANOS",IF(O170=CURSOS!$D$23,"ATENCION A VICTIMAS POR VIOLENCIA DE GENERO",IF(O170=CURSOS!$D$24,"IGUALDAD DE GENERO EN LA SALUD",IF(O170=CURSOS!$D$25,"BRIGADA DE EMERGENCIA",IF(O170=CURSOS!$D$26,"MANEJO DEL DOLOR Y CUIDADOS PALIATIVOS",IF(O170=CURSOS!$D$27,"TOMA DE MUESTRAS Y LABORATORIO POCT",IF(O170=CURSOS!$D$28,"IMPLANTE SUBDERMICO DE DISPOSITIVO INTRAUTERINO",IF(O170=CURSOS!$D$29,"SALUD MENTAL",IF(O170=CURSOS!$D$30,"PRIMEROS AUXILIOS PSICOLOGICOS",IF(O170=CURSOS!$D$31,"ATENCION A VICTIMAS POR CONFLICTO ARMADO",IF(O170=CURSOS!$D$32,"MANIPULACION DE ALIMENTOS Y BPM",IF(O170=CURSOS!$D$33,"ATENCION A PERSONAS CON DISCAPACIDAD",IF(O170=CURSOS!$D$34,"CUIDADO INTEGRAL DEL PACIENTE ADULTO",IF(O170=CURSOS!$D$35,"MANEJO DEFENSIVO",IF(O170=CURSOS!$D$36,"SOPORTE CARDIOVASCULAR AVANZADO NEONATAL",IF(O170=CURSOS!$D$37,"SEGURIDAD DEL PACIENTE",IF(O170=CURSOS!$D$38,"MANEJO Y USO DEL DEA",IF(O170=CURSOS!$D$39,"TRIAGE")))))))))))))))))))))))))))))))))))))</f>
        <v xml:space="preserve">ADMINISTRACION DE MEDICAMENTOS, INYECTOLOGIA  Y CANALIZACION </v>
      </c>
      <c r="V170" s="105" t="str">
        <f t="shared" si="23"/>
        <v>Mónica Yurlei Torres Árevalo</v>
      </c>
      <c r="W170" s="105" t="str">
        <f t="shared" si="24"/>
        <v>Mónica Yurlei Torres Árevalo</v>
      </c>
      <c r="X170" s="105" t="str">
        <f t="shared" si="25"/>
        <v>Mónica Yurlei Torres Árevalo-1085294516-ADMON DE MEDICAMENTOS</v>
      </c>
    </row>
    <row r="171" spans="1:24" hidden="1" x14ac:dyDescent="0.2">
      <c r="A171" s="103">
        <v>170</v>
      </c>
      <c r="B171" s="104">
        <v>30745533</v>
      </c>
      <c r="C171" s="105" t="s">
        <v>505</v>
      </c>
      <c r="D171" s="105" t="s">
        <v>507</v>
      </c>
      <c r="E171" s="105" t="s">
        <v>132</v>
      </c>
      <c r="F171" s="105" t="s">
        <v>508</v>
      </c>
      <c r="G171" s="106">
        <v>27</v>
      </c>
      <c r="H171" s="106" t="s">
        <v>99</v>
      </c>
      <c r="I171" s="106" t="s">
        <v>409</v>
      </c>
      <c r="J171" s="107">
        <v>45562</v>
      </c>
      <c r="K171" s="88">
        <v>70000</v>
      </c>
      <c r="L171" s="106" t="s">
        <v>405</v>
      </c>
      <c r="M171" s="106" t="s">
        <v>180</v>
      </c>
      <c r="N171" s="106" t="s">
        <v>98</v>
      </c>
      <c r="O171" s="108" t="s">
        <v>48</v>
      </c>
      <c r="P171" s="109"/>
      <c r="Q171" s="106"/>
      <c r="R171" s="105"/>
      <c r="S171" s="105"/>
      <c r="T171" s="105"/>
      <c r="U171" s="105" t="str">
        <f>IF(O171=CURSOS!$D$3,"DIPLOMADO EN ATENCION PRE-HOSPITALARIA",IF(O171=CURSOS!$D$4,"ACOMPAÑAMIENTO Y MANEJO DEL DUELO",IF(O171=CURSOS!$D$5,"ATENCION A VICTIMAS DE ATAQUE CON AGENTES QUIMICOS ",IF(O171=CURSOS!$D$6,"PRIMEROS AUXILIOS ",IF(O171=CURSOS!$D$7,"DIPLOMADO DE UNIDAD DE CUIDADOS INTENSIVOS (UCI)",IF(O171=CURSOS!$D$8,"MODELO DE ATENCION PARA EVENTOS EMERGENTES EN SALUD MENTAL (CODIGO VERDE)",IF(O171=CURSOS!$D$9,"HUMANIZACION EN EL SERVICIO DE LA SALUD Y BUENAS PRACTICAS EN PACIENTE ",IF(O171=CURSOS!$D$10,"CLINICA DE HERIDAS ",IF(O171=CURSOS!$D$11,"TOMA DE CITOLOGIA CERVICO VAGINAL ",IF(O171=CURSOS!$D$12,"SOPORTE CARDIOVASCULAR AVANZADO (ACLS) ",IF(O171=CURSOS!$D$13,"CAMILLERO ",IF(O171=CURSOS!$D$14,"TOMA DE MUESTRAS Y LABORATORIO ",IF(O171=CURSOS!$D$15,"SOPORTE VITAL BASICO (BLS)",IF(O171=CURSOS!$D$16,"ATENCION A VICTIMAS DE VIOLENCIA SEXUAL ",IF(O171=CURSOS!$D$17,"PROGRAMADO AMPLIADO DE INMUNIZACION (PAI - COVID 19)",IF(O171=CURSOS!$D$18,"ATENCION INTEGRAL EN ENFERMEDADES PREVALENTES EN PRIMERA INFANCIA (AIEPI)",IF(O171=CURSOS!$D$19,"ADMINISTRACION DE MEDICAMENTOS, INYECTOLOGIA  Y CANALIZACION ",IF(O171=CURSOS!$D$20,"OPERADOR DE VEHICULOS DE EMERGENCIA (OVE)",IF(O171=CURSOS!$D$21,"INSTITUCIONES AMIGAS DE LA MUJER Y LA INFANCIA (IAMI)",IF(O171=CURSOS!$D$22,"CUIDADO DEL DONANTE DE ORGANOS",IF(O171=CURSOS!$D$23,"ATENCION A VICTIMAS POR VIOLENCIA DE GENERO",IF(O171=CURSOS!$D$24,"IGUALDAD DE GENERO EN LA SALUD",IF(O171=CURSOS!$D$25,"BRIGADA DE EMERGENCIA",IF(O171=CURSOS!$D$26,"MANEJO DEL DOLOR Y CUIDADOS PALIATIVOS",IF(O171=CURSOS!$D$27,"TOMA DE MUESTRAS Y LABORATORIO POCT",IF(O171=CURSOS!$D$28,"IMPLANTE SUBDERMICO DE DISPOSITIVO INTRAUTERINO",IF(O171=CURSOS!$D$29,"SALUD MENTAL",IF(O171=CURSOS!$D$30,"PRIMEROS AUXILIOS PSICOLOGICOS",IF(O171=CURSOS!$D$31,"ATENCION A VICTIMAS POR CONFLICTO ARMADO",IF(O171=CURSOS!$D$32,"MANIPULACION DE ALIMENTOS Y BPM",IF(O171=CURSOS!$D$33,"ATENCION A PERSONAS CON DISCAPACIDAD",IF(O171=CURSOS!$D$34,"CUIDADO INTEGRAL DEL PACIENTE ADULTO",IF(O171=CURSOS!$D$35,"MANEJO DEFENSIVO",IF(O171=CURSOS!$D$36,"SOPORTE CARDIOVASCULAR AVANZADO NEONATAL",IF(O171=CURSOS!$D$37,"SEGURIDAD DEL PACIENTE",IF(O171=CURSOS!$D$38,"MANEJO Y USO DEL DEA",IF(O171=CURSOS!$D$39,"TRIAGE")))))))))))))))))))))))))))))))))))))</f>
        <v xml:space="preserve">ADMINISTRACION DE MEDICAMENTOS, INYECTOLOGIA  Y CANALIZACION </v>
      </c>
      <c r="V171" s="105" t="str">
        <f t="shared" si="23"/>
        <v>Patricia Del Pilar Arevalo Moncayo</v>
      </c>
      <c r="W171" s="105" t="str">
        <f t="shared" si="24"/>
        <v>Patricia Del Pilar Arevalo Moncayo</v>
      </c>
      <c r="X171" s="105" t="str">
        <f t="shared" si="25"/>
        <v>Patricia Del Pilar Arevalo Moncayo-30745533-ADMON DE MEDICAMENTOS</v>
      </c>
    </row>
    <row r="172" spans="1:24" x14ac:dyDescent="0.2">
      <c r="A172" s="103">
        <v>171</v>
      </c>
      <c r="B172" s="122">
        <v>1080040338</v>
      </c>
      <c r="C172" s="128" t="s">
        <v>410</v>
      </c>
      <c r="D172" s="128" t="s">
        <v>411</v>
      </c>
      <c r="E172" s="128" t="s">
        <v>509</v>
      </c>
      <c r="F172" s="128" t="s">
        <v>412</v>
      </c>
      <c r="G172" s="129">
        <v>17</v>
      </c>
      <c r="H172" s="106" t="s">
        <v>99</v>
      </c>
      <c r="I172" s="106" t="s">
        <v>409</v>
      </c>
      <c r="J172" s="139">
        <v>45553</v>
      </c>
      <c r="K172" s="131">
        <v>37666</v>
      </c>
      <c r="L172" s="129" t="s">
        <v>103</v>
      </c>
      <c r="M172" s="106" t="s">
        <v>85</v>
      </c>
      <c r="N172" s="106" t="s">
        <v>98</v>
      </c>
      <c r="O172" s="120" t="s">
        <v>43</v>
      </c>
      <c r="P172" s="132">
        <v>38027</v>
      </c>
      <c r="Q172" s="133" t="s">
        <v>110</v>
      </c>
      <c r="R172" s="127" t="s">
        <v>123</v>
      </c>
      <c r="S172" s="128">
        <v>3043228853</v>
      </c>
      <c r="T172" s="134" t="s">
        <v>413</v>
      </c>
      <c r="U172" s="105" t="str">
        <f>IF(O172=CURSOS!$D$3,"DIPLOMADO EN ATENCION PRE-HOSPITALARIA",IF(O172=CURSOS!$D$4,"ACOMPAÑAMIENTO Y MANEJO DEL DUELO",IF(O172=CURSOS!$D$5,"ATENCION A VICTIMAS DE ATAQUE CON AGENTES QUIMICOS ",IF(O172=CURSOS!$D$6,"PRIMEROS AUXILIOS ",IF(O172=CURSOS!$D$7,"DIPLOMADO DE UNIDAD DE CUIDADOS INTENSIVOS (UCI)",IF(O172=CURSOS!$D$8,"MODELO DE ATENCION PARA EVENTOS EMERGENTES EN SALUD MENTAL (CODIGO VERDE)",IF(O172=CURSOS!$D$9,"HUMANIZACION EN EL SERVICIO DE LA SALUD Y BUENAS PRACTICAS EN PACIENTE ",IF(O172=CURSOS!$D$10,"CLINICA DE HERIDAS ",IF(O172=CURSOS!$D$11,"TOMA DE CITOLOGIA CERVICO VAGINAL ",IF(O172=CURSOS!$D$12,"SOPORTE CARDIOVASCULAR AVANZADO (ACLS) ",IF(O172=CURSOS!$D$13,"CAMILLERO ",IF(O172=CURSOS!$D$14,"TOMA DE MUESTRAS Y LABORATORIO ",IF(O172=CURSOS!$D$15,"SOPORTE VITAL BASICO (BLS)",IF(O172=CURSOS!$D$16,"ATENCION A VICTIMAS DE VIOLENCIA SEXUAL ",IF(O172=CURSOS!$D$17,"PROGRAMADO AMPLIADO DE INMUNIZACION (PAI - COVID 19)",IF(O172=CURSOS!$D$18,"ATENCION INTEGRAL EN ENFERMEDADES PREVALENTES EN PRIMERA INFANCIA (AIEPI)",IF(O172=CURSOS!$D$19,"ADMINISTRACION DE MEDICAMENTOS, INYECTOLOGIA  Y CANALIZACION ",IF(O172=CURSOS!$D$20,"OPERADOR DE VEHICULOS DE EMERGENCIA (OVE)",IF(O172=CURSOS!$D$21,"INSTITUCIONES AMIGAS DE LA MUJER Y LA INFANCIA (IAMI)",IF(O172=CURSOS!$D$22,"CUIDADO DEL DONANTE DE ORGANOS",IF(O172=CURSOS!$D$23,"ATENCION A VICTIMAS POR VIOLENCIA DE GENERO",IF(O172=CURSOS!$D$24,"IGUALDAD DE GENERO EN LA SALUD",IF(O172=CURSOS!$D$25,"BRIGADA DE EMERGENCIA",IF(O172=CURSOS!$D$26,"MANEJO DEL DOLOR Y CUIDADOS PALIATIVOS",IF(O172=CURSOS!$D$27,"TOMA DE MUESTRAS Y LABORATORIO POCT",IF(O172=CURSOS!$D$28,"IMPLANTE SUBDERMICO DE DISPOSITIVO INTRAUTERINO",IF(O172=CURSOS!$D$29,"SALUD MENTAL",IF(O172=CURSOS!$D$30,"PRIMEROS AUXILIOS PSICOLOGICOS",IF(O172=CURSOS!$D$31,"ATENCION A VICTIMAS POR CONFLICTO ARMADO",IF(O172=CURSOS!$D$32,"MANIPULACION DE ALIMENTOS Y BPM",IF(O172=CURSOS!$D$33,"ATENCION A PERSONAS CON DISCAPACIDAD",IF(O172=CURSOS!$D$34,"CUIDADO INTEGRAL DEL PACIENTE ADULTO",IF(O172=CURSOS!$D$35,"MANEJO DEFENSIVO",IF(O172=CURSOS!$D$36,"SOPORTE CARDIOVASCULAR AVANZADO NEONATAL",IF(O172=CURSOS!$D$37,"SEGURIDAD DEL PACIENTE",IF(O172=CURSOS!$D$38,"MANEJO Y USO DEL DEA",IF(O172=CURSOS!$D$39,"TRIAGE")))))))))))))))))))))))))))))))))))))</f>
        <v xml:space="preserve">ATENCION A VICTIMAS DE VIOLENCIA SEXUAL </v>
      </c>
      <c r="V172" s="105" t="str">
        <f t="shared" si="23"/>
        <v>Nicole Daniela Miramag Montanchez</v>
      </c>
      <c r="W172" s="105" t="str">
        <f t="shared" si="24"/>
        <v>Nicole Daniela Miramag Montanchez</v>
      </c>
      <c r="X172" s="105" t="str">
        <f t="shared" si="25"/>
        <v>Nicole Daniela Miramag Montanchez-1080040338-VIOLENCIA SEXUAL</v>
      </c>
    </row>
    <row r="173" spans="1:24" x14ac:dyDescent="0.2">
      <c r="A173" s="103">
        <v>172</v>
      </c>
      <c r="B173" s="122">
        <v>1080040338</v>
      </c>
      <c r="C173" s="128" t="s">
        <v>410</v>
      </c>
      <c r="D173" s="128" t="s">
        <v>411</v>
      </c>
      <c r="E173" s="128" t="s">
        <v>509</v>
      </c>
      <c r="F173" s="128" t="s">
        <v>412</v>
      </c>
      <c r="G173" s="129">
        <v>18</v>
      </c>
      <c r="H173" s="106" t="s">
        <v>99</v>
      </c>
      <c r="I173" s="106" t="s">
        <v>409</v>
      </c>
      <c r="J173" s="139">
        <v>45553</v>
      </c>
      <c r="K173" s="131">
        <v>37666</v>
      </c>
      <c r="L173" s="129" t="s">
        <v>103</v>
      </c>
      <c r="M173" s="106" t="s">
        <v>85</v>
      </c>
      <c r="N173" s="106" t="s">
        <v>98</v>
      </c>
      <c r="O173" s="120" t="s">
        <v>23</v>
      </c>
      <c r="P173" s="132">
        <v>38027</v>
      </c>
      <c r="Q173" s="133" t="s">
        <v>110</v>
      </c>
      <c r="R173" s="127" t="s">
        <v>123</v>
      </c>
      <c r="S173" s="128">
        <v>3043228853</v>
      </c>
      <c r="T173" s="134" t="s">
        <v>413</v>
      </c>
      <c r="U173" s="105" t="str">
        <f>IF(O173=CURSOS!$D$3,"DIPLOMADO EN ATENCION PRE-HOSPITALARIA",IF(O173=CURSOS!$D$4,"ACOMPAÑAMIENTO Y MANEJO DEL DUELO",IF(O173=CURSOS!$D$5,"ATENCION A VICTIMAS DE ATAQUE CON AGENTES QUIMICOS ",IF(O173=CURSOS!$D$6,"PRIMEROS AUXILIOS ",IF(O173=CURSOS!$D$7,"DIPLOMADO DE UNIDAD DE CUIDADOS INTENSIVOS (UCI)",IF(O173=CURSOS!$D$8,"MODELO DE ATENCION PARA EVENTOS EMERGENTES EN SALUD MENTAL (CODIGO VERDE)",IF(O173=CURSOS!$D$9,"HUMANIZACION EN EL SERVICIO DE LA SALUD Y BUENAS PRACTICAS EN PACIENTE ",IF(O173=CURSOS!$D$10,"CLINICA DE HERIDAS ",IF(O173=CURSOS!$D$11,"TOMA DE CITOLOGIA CERVICO VAGINAL ",IF(O173=CURSOS!$D$12,"SOPORTE CARDIOVASCULAR AVANZADO (ACLS) ",IF(O173=CURSOS!$D$13,"CAMILLERO ",IF(O173=CURSOS!$D$14,"TOMA DE MUESTRAS Y LABORATORIO ",IF(O173=CURSOS!$D$15,"SOPORTE VITAL BASICO (BLS)",IF(O173=CURSOS!$D$16,"ATENCION A VICTIMAS DE VIOLENCIA SEXUAL ",IF(O173=CURSOS!$D$17,"PROGRAMADO AMPLIADO DE INMUNIZACION (PAI - COVID 19)",IF(O173=CURSOS!$D$18,"ATENCION INTEGRAL EN ENFERMEDADES PREVALENTES EN PRIMERA INFANCIA (AIEPI)",IF(O173=CURSOS!$D$19,"ADMINISTRACION DE MEDICAMENTOS, INYECTOLOGIA  Y CANALIZACION ",IF(O173=CURSOS!$D$20,"OPERADOR DE VEHICULOS DE EMERGENCIA (OVE)",IF(O173=CURSOS!$D$21,"INSTITUCIONES AMIGAS DE LA MUJER Y LA INFANCIA (IAMI)",IF(O173=CURSOS!$D$22,"CUIDADO DEL DONANTE DE ORGANOS",IF(O173=CURSOS!$D$23,"ATENCION A VICTIMAS POR VIOLENCIA DE GENERO",IF(O173=CURSOS!$D$24,"IGUALDAD DE GENERO EN LA SALUD",IF(O173=CURSOS!$D$25,"BRIGADA DE EMERGENCIA",IF(O173=CURSOS!$D$26,"MANEJO DEL DOLOR Y CUIDADOS PALIATIVOS",IF(O173=CURSOS!$D$27,"TOMA DE MUESTRAS Y LABORATORIO POCT",IF(O173=CURSOS!$D$28,"IMPLANTE SUBDERMICO DE DISPOSITIVO INTRAUTERINO",IF(O173=CURSOS!$D$29,"SALUD MENTAL",IF(O173=CURSOS!$D$30,"PRIMEROS AUXILIOS PSICOLOGICOS",IF(O173=CURSOS!$D$31,"ATENCION A VICTIMAS POR CONFLICTO ARMADO",IF(O173=CURSOS!$D$32,"MANIPULACION DE ALIMENTOS Y BPM",IF(O173=CURSOS!$D$33,"ATENCION A PERSONAS CON DISCAPACIDAD",IF(O173=CURSOS!$D$34,"CUIDADO INTEGRAL DEL PACIENTE ADULTO",IF(O173=CURSOS!$D$35,"MANEJO DEFENSIVO",IF(O173=CURSOS!$D$36,"SOPORTE CARDIOVASCULAR AVANZADO NEONATAL",IF(O173=CURSOS!$D$37,"SEGURIDAD DEL PACIENTE",IF(O173=CURSOS!$D$38,"MANEJO Y USO DEL DEA",IF(O173=CURSOS!$D$39,"TRIAGE")))))))))))))))))))))))))))))))))))))</f>
        <v>ACOMPAÑAMIENTO Y MANEJO DEL DUELO</v>
      </c>
      <c r="V173" s="105" t="str">
        <f t="shared" si="23"/>
        <v>Nicole Daniela Miramag Montanchez</v>
      </c>
      <c r="W173" s="105" t="str">
        <f t="shared" si="24"/>
        <v>Nicole Daniela Miramag Montanchez</v>
      </c>
      <c r="X173" s="105" t="str">
        <f t="shared" si="25"/>
        <v>Nicole Daniela Miramag Montanchez-1080040338-DUELO</v>
      </c>
    </row>
    <row r="174" spans="1:24" x14ac:dyDescent="0.2">
      <c r="A174" s="103">
        <v>173</v>
      </c>
      <c r="B174" s="122">
        <v>1080040338</v>
      </c>
      <c r="C174" s="128" t="s">
        <v>410</v>
      </c>
      <c r="D174" s="128" t="s">
        <v>411</v>
      </c>
      <c r="E174" s="128" t="s">
        <v>509</v>
      </c>
      <c r="F174" s="128" t="s">
        <v>412</v>
      </c>
      <c r="G174" s="129">
        <v>19</v>
      </c>
      <c r="H174" s="106" t="s">
        <v>99</v>
      </c>
      <c r="I174" s="106" t="s">
        <v>409</v>
      </c>
      <c r="J174" s="139">
        <v>45553</v>
      </c>
      <c r="K174" s="131">
        <v>37666</v>
      </c>
      <c r="L174" s="129" t="s">
        <v>103</v>
      </c>
      <c r="M174" s="106" t="s">
        <v>85</v>
      </c>
      <c r="N174" s="106" t="s">
        <v>98</v>
      </c>
      <c r="O174" s="120" t="s">
        <v>25</v>
      </c>
      <c r="P174" s="132">
        <v>38027</v>
      </c>
      <c r="Q174" s="133" t="s">
        <v>110</v>
      </c>
      <c r="R174" s="127" t="s">
        <v>123</v>
      </c>
      <c r="S174" s="128">
        <v>3043228853</v>
      </c>
      <c r="T174" s="134" t="s">
        <v>413</v>
      </c>
      <c r="U174" s="105" t="str">
        <f>IF(O174=CURSOS!$D$3,"DIPLOMADO EN ATENCION PRE-HOSPITALARIA",IF(O174=CURSOS!$D$4,"ACOMPAÑAMIENTO Y MANEJO DEL DUELO",IF(O174=CURSOS!$D$5,"ATENCION A VICTIMAS DE ATAQUE CON AGENTES QUIMICOS ",IF(O174=CURSOS!$D$6,"PRIMEROS AUXILIOS ",IF(O174=CURSOS!$D$7,"DIPLOMADO DE UNIDAD DE CUIDADOS INTENSIVOS (UCI)",IF(O174=CURSOS!$D$8,"MODELO DE ATENCION PARA EVENTOS EMERGENTES EN SALUD MENTAL (CODIGO VERDE)",IF(O174=CURSOS!$D$9,"HUMANIZACION EN EL SERVICIO DE LA SALUD Y BUENAS PRACTICAS EN PACIENTE ",IF(O174=CURSOS!$D$10,"CLINICA DE HERIDAS ",IF(O174=CURSOS!$D$11,"TOMA DE CITOLOGIA CERVICO VAGINAL ",IF(O174=CURSOS!$D$12,"SOPORTE CARDIOVASCULAR AVANZADO (ACLS) ",IF(O174=CURSOS!$D$13,"CAMILLERO ",IF(O174=CURSOS!$D$14,"TOMA DE MUESTRAS Y LABORATORIO ",IF(O174=CURSOS!$D$15,"SOPORTE VITAL BASICO (BLS)",IF(O174=CURSOS!$D$16,"ATENCION A VICTIMAS DE VIOLENCIA SEXUAL ",IF(O174=CURSOS!$D$17,"PROGRAMADO AMPLIADO DE INMUNIZACION (PAI - COVID 19)",IF(O174=CURSOS!$D$18,"ATENCION INTEGRAL EN ENFERMEDADES PREVALENTES EN PRIMERA INFANCIA (AIEPI)",IF(O174=CURSOS!$D$19,"ADMINISTRACION DE MEDICAMENTOS, INYECTOLOGIA  Y CANALIZACION ",IF(O174=CURSOS!$D$20,"OPERADOR DE VEHICULOS DE EMERGENCIA (OVE)",IF(O174=CURSOS!$D$21,"INSTITUCIONES AMIGAS DE LA MUJER Y LA INFANCIA (IAMI)",IF(O174=CURSOS!$D$22,"CUIDADO DEL DONANTE DE ORGANOS",IF(O174=CURSOS!$D$23,"ATENCION A VICTIMAS POR VIOLENCIA DE GENERO",IF(O174=CURSOS!$D$24,"IGUALDAD DE GENERO EN LA SALUD",IF(O174=CURSOS!$D$25,"BRIGADA DE EMERGENCIA",IF(O174=CURSOS!$D$26,"MANEJO DEL DOLOR Y CUIDADOS PALIATIVOS",IF(O174=CURSOS!$D$27,"TOMA DE MUESTRAS Y LABORATORIO POCT",IF(O174=CURSOS!$D$28,"IMPLANTE SUBDERMICO DE DISPOSITIVO INTRAUTERINO",IF(O174=CURSOS!$D$29,"SALUD MENTAL",IF(O174=CURSOS!$D$30,"PRIMEROS AUXILIOS PSICOLOGICOS",IF(O174=CURSOS!$D$31,"ATENCION A VICTIMAS POR CONFLICTO ARMADO",IF(O174=CURSOS!$D$32,"MANIPULACION DE ALIMENTOS Y BPM",IF(O174=CURSOS!$D$33,"ATENCION A PERSONAS CON DISCAPACIDAD",IF(O174=CURSOS!$D$34,"CUIDADO INTEGRAL DEL PACIENTE ADULTO",IF(O174=CURSOS!$D$35,"MANEJO DEFENSIVO",IF(O174=CURSOS!$D$36,"SOPORTE CARDIOVASCULAR AVANZADO NEONATAL",IF(O174=CURSOS!$D$37,"SEGURIDAD DEL PACIENTE",IF(O174=CURSOS!$D$38,"MANEJO Y USO DEL DEA",IF(O174=CURSOS!$D$39,"TRIAGE")))))))))))))))))))))))))))))))))))))</f>
        <v xml:space="preserve">ATENCION A VICTIMAS DE ATAQUE CON AGENTES QUIMICOS </v>
      </c>
      <c r="V174" s="105" t="str">
        <f t="shared" si="23"/>
        <v>Nicole Daniela Miramag Montanchez</v>
      </c>
      <c r="W174" s="105" t="str">
        <f t="shared" si="24"/>
        <v>Nicole Daniela Miramag Montanchez</v>
      </c>
      <c r="X174" s="105" t="str">
        <f t="shared" si="25"/>
        <v>Nicole Daniela Miramag Montanchez-1080040338-QUIMICOS</v>
      </c>
    </row>
    <row r="175" spans="1:24" x14ac:dyDescent="0.2">
      <c r="A175" s="103">
        <v>174</v>
      </c>
      <c r="B175" s="122">
        <v>1080040338</v>
      </c>
      <c r="C175" s="128" t="s">
        <v>410</v>
      </c>
      <c r="D175" s="128" t="s">
        <v>411</v>
      </c>
      <c r="E175" s="128" t="s">
        <v>509</v>
      </c>
      <c r="F175" s="128" t="s">
        <v>412</v>
      </c>
      <c r="G175" s="129">
        <v>20</v>
      </c>
      <c r="H175" s="106" t="s">
        <v>99</v>
      </c>
      <c r="I175" s="106" t="s">
        <v>409</v>
      </c>
      <c r="J175" s="139">
        <v>45565</v>
      </c>
      <c r="K175" s="131">
        <v>56500</v>
      </c>
      <c r="L175" s="129" t="s">
        <v>103</v>
      </c>
      <c r="M175" s="106" t="s">
        <v>85</v>
      </c>
      <c r="N175" s="106" t="s">
        <v>98</v>
      </c>
      <c r="O175" s="120" t="s">
        <v>19</v>
      </c>
      <c r="P175" s="132">
        <v>38027</v>
      </c>
      <c r="Q175" s="133" t="s">
        <v>110</v>
      </c>
      <c r="R175" s="127" t="s">
        <v>123</v>
      </c>
      <c r="S175" s="128">
        <v>3043228853</v>
      </c>
      <c r="T175" s="134" t="s">
        <v>413</v>
      </c>
      <c r="U175" s="105" t="str">
        <f>IF(O175=CURSOS!$D$3,"DIPLOMADO EN ATENCION PRE-HOSPITALARIA",IF(O175=CURSOS!$D$4,"ACOMPAÑAMIENTO Y MANEJO DEL DUELO",IF(O175=CURSOS!$D$5,"ATENCION A VICTIMAS DE ATAQUE CON AGENTES QUIMICOS ",IF(O175=CURSOS!$D$6,"PRIMEROS AUXILIOS ",IF(O175=CURSOS!$D$7,"DIPLOMADO DE UNIDAD DE CUIDADOS INTENSIVOS (UCI)",IF(O175=CURSOS!$D$8,"MODELO DE ATENCION PARA EVENTOS EMERGENTES EN SALUD MENTAL (CODIGO VERDE)",IF(O175=CURSOS!$D$9,"HUMANIZACION EN EL SERVICIO DE LA SALUD Y BUENAS PRACTICAS EN PACIENTE ",IF(O175=CURSOS!$D$10,"CLINICA DE HERIDAS ",IF(O175=CURSOS!$D$11,"TOMA DE CITOLOGIA CERVICO VAGINAL ",IF(O175=CURSOS!$D$12,"SOPORTE CARDIOVASCULAR AVANZADO (ACLS) ",IF(O175=CURSOS!$D$13,"CAMILLERO ",IF(O175=CURSOS!$D$14,"TOMA DE MUESTRAS Y LABORATORIO ",IF(O175=CURSOS!$D$15,"SOPORTE VITAL BASICO (BLS)",IF(O175=CURSOS!$D$16,"ATENCION A VICTIMAS DE VIOLENCIA SEXUAL ",IF(O175=CURSOS!$D$17,"PROGRAMADO AMPLIADO DE INMUNIZACION (PAI - COVID 19)",IF(O175=CURSOS!$D$18,"ATENCION INTEGRAL EN ENFERMEDADES PREVALENTES EN PRIMERA INFANCIA (AIEPI)",IF(O175=CURSOS!$D$19,"ADMINISTRACION DE MEDICAMENTOS, INYECTOLOGIA  Y CANALIZACION ",IF(O175=CURSOS!$D$20,"OPERADOR DE VEHICULOS DE EMERGENCIA (OVE)",IF(O175=CURSOS!$D$21,"INSTITUCIONES AMIGAS DE LA MUJER Y LA INFANCIA (IAMI)",IF(O175=CURSOS!$D$22,"CUIDADO DEL DONANTE DE ORGANOS",IF(O175=CURSOS!$D$23,"ATENCION A VICTIMAS POR VIOLENCIA DE GENERO",IF(O175=CURSOS!$D$24,"IGUALDAD DE GENERO EN LA SALUD",IF(O175=CURSOS!$D$25,"BRIGADA DE EMERGENCIA",IF(O175=CURSOS!$D$26,"MANEJO DEL DOLOR Y CUIDADOS PALIATIVOS",IF(O175=CURSOS!$D$27,"TOMA DE MUESTRAS Y LABORATORIO POCT",IF(O175=CURSOS!$D$28,"IMPLANTE SUBDERMICO DE DISPOSITIVO INTRAUTERINO",IF(O175=CURSOS!$D$29,"SALUD MENTAL",IF(O175=CURSOS!$D$30,"PRIMEROS AUXILIOS PSICOLOGICOS",IF(O175=CURSOS!$D$31,"ATENCION A VICTIMAS POR CONFLICTO ARMADO",IF(O175=CURSOS!$D$32,"MANIPULACION DE ALIMENTOS Y BPM",IF(O175=CURSOS!$D$33,"ATENCION A PERSONAS CON DISCAPACIDAD",IF(O175=CURSOS!$D$34,"CUIDADO INTEGRAL DEL PACIENTE ADULTO",IF(O175=CURSOS!$D$35,"MANEJO DEFENSIVO",IF(O175=CURSOS!$D$36,"SOPORTE CARDIOVASCULAR AVANZADO NEONATAL",IF(O175=CURSOS!$D$37,"SEGURIDAD DEL PACIENTE",IF(O175=CURSOS!$D$38,"MANEJO Y USO DEL DEA",IF(O175=CURSOS!$D$39,"TRIAGE")))))))))))))))))))))))))))))))))))))</f>
        <v>SOPORTE VITAL BASICO (BLS)</v>
      </c>
      <c r="V175" s="105" t="str">
        <f t="shared" si="23"/>
        <v>Nicole Daniela Miramag Montanchez</v>
      </c>
      <c r="W175" s="105" t="str">
        <f t="shared" si="24"/>
        <v>Nicole Daniela Miramag Montanchez</v>
      </c>
      <c r="X175" s="105" t="str">
        <f t="shared" si="25"/>
        <v>Nicole Daniela Miramag Montanchez-1080040338-BLS</v>
      </c>
    </row>
    <row r="176" spans="1:24" x14ac:dyDescent="0.2">
      <c r="A176" s="103">
        <v>175</v>
      </c>
      <c r="B176" s="122">
        <v>1080040338</v>
      </c>
      <c r="C176" s="128" t="s">
        <v>410</v>
      </c>
      <c r="D176" s="128" t="s">
        <v>411</v>
      </c>
      <c r="E176" s="128" t="s">
        <v>509</v>
      </c>
      <c r="F176" s="128" t="s">
        <v>412</v>
      </c>
      <c r="G176" s="129">
        <v>27</v>
      </c>
      <c r="H176" s="106" t="s">
        <v>99</v>
      </c>
      <c r="I176" s="106" t="s">
        <v>409</v>
      </c>
      <c r="J176" s="139">
        <v>45565</v>
      </c>
      <c r="K176" s="131">
        <v>56500</v>
      </c>
      <c r="L176" s="129" t="s">
        <v>103</v>
      </c>
      <c r="M176" s="106" t="s">
        <v>85</v>
      </c>
      <c r="N176" s="106" t="s">
        <v>98</v>
      </c>
      <c r="O176" s="120" t="s">
        <v>48</v>
      </c>
      <c r="P176" s="132">
        <v>38027</v>
      </c>
      <c r="Q176" s="133" t="s">
        <v>110</v>
      </c>
      <c r="R176" s="127" t="s">
        <v>123</v>
      </c>
      <c r="S176" s="128">
        <v>3043228853</v>
      </c>
      <c r="T176" s="134" t="s">
        <v>413</v>
      </c>
      <c r="U176" s="105" t="str">
        <f>IF(O176=CURSOS!$D$3,"DIPLOMADO EN ATENCION PRE-HOSPITALARIA",IF(O176=CURSOS!$D$4,"ACOMPAÑAMIENTO Y MANEJO DEL DUELO",IF(O176=CURSOS!$D$5,"ATENCION A VICTIMAS DE ATAQUE CON AGENTES QUIMICOS ",IF(O176=CURSOS!$D$6,"PRIMEROS AUXILIOS ",IF(O176=CURSOS!$D$7,"DIPLOMADO DE UNIDAD DE CUIDADOS INTENSIVOS (UCI)",IF(O176=CURSOS!$D$8,"MODELO DE ATENCION PARA EVENTOS EMERGENTES EN SALUD MENTAL (CODIGO VERDE)",IF(O176=CURSOS!$D$9,"HUMANIZACION EN EL SERVICIO DE LA SALUD Y BUENAS PRACTICAS EN PACIENTE ",IF(O176=CURSOS!$D$10,"CLINICA DE HERIDAS ",IF(O176=CURSOS!$D$11,"TOMA DE CITOLOGIA CERVICO VAGINAL ",IF(O176=CURSOS!$D$12,"SOPORTE CARDIOVASCULAR AVANZADO (ACLS) ",IF(O176=CURSOS!$D$13,"CAMILLERO ",IF(O176=CURSOS!$D$14,"TOMA DE MUESTRAS Y LABORATORIO ",IF(O176=CURSOS!$D$15,"SOPORTE VITAL BASICO (BLS)",IF(O176=CURSOS!$D$16,"ATENCION A VICTIMAS DE VIOLENCIA SEXUAL ",IF(O176=CURSOS!$D$17,"PROGRAMADO AMPLIADO DE INMUNIZACION (PAI - COVID 19)",IF(O176=CURSOS!$D$18,"ATENCION INTEGRAL EN ENFERMEDADES PREVALENTES EN PRIMERA INFANCIA (AIEPI)",IF(O176=CURSOS!$D$19,"ADMINISTRACION DE MEDICAMENTOS, INYECTOLOGIA  Y CANALIZACION ",IF(O176=CURSOS!$D$20,"OPERADOR DE VEHICULOS DE EMERGENCIA (OVE)",IF(O176=CURSOS!$D$21,"INSTITUCIONES AMIGAS DE LA MUJER Y LA INFANCIA (IAMI)",IF(O176=CURSOS!$D$22,"CUIDADO DEL DONANTE DE ORGANOS",IF(O176=CURSOS!$D$23,"ATENCION A VICTIMAS POR VIOLENCIA DE GENERO",IF(O176=CURSOS!$D$24,"IGUALDAD DE GENERO EN LA SALUD",IF(O176=CURSOS!$D$25,"BRIGADA DE EMERGENCIA",IF(O176=CURSOS!$D$26,"MANEJO DEL DOLOR Y CUIDADOS PALIATIVOS",IF(O176=CURSOS!$D$27,"TOMA DE MUESTRAS Y LABORATORIO POCT",IF(O176=CURSOS!$D$28,"IMPLANTE SUBDERMICO DE DISPOSITIVO INTRAUTERINO",IF(O176=CURSOS!$D$29,"SALUD MENTAL",IF(O176=CURSOS!$D$30,"PRIMEROS AUXILIOS PSICOLOGICOS",IF(O176=CURSOS!$D$31,"ATENCION A VICTIMAS POR CONFLICTO ARMADO",IF(O176=CURSOS!$D$32,"MANIPULACION DE ALIMENTOS Y BPM",IF(O176=CURSOS!$D$33,"ATENCION A PERSONAS CON DISCAPACIDAD",IF(O176=CURSOS!$D$34,"CUIDADO INTEGRAL DEL PACIENTE ADULTO",IF(O176=CURSOS!$D$35,"MANEJO DEFENSIVO",IF(O176=CURSOS!$D$36,"SOPORTE CARDIOVASCULAR AVANZADO NEONATAL",IF(O176=CURSOS!$D$37,"SEGURIDAD DEL PACIENTE",IF(O176=CURSOS!$D$38,"MANEJO Y USO DEL DEA",IF(O176=CURSOS!$D$39,"TRIAGE")))))))))))))))))))))))))))))))))))))</f>
        <v xml:space="preserve">ADMINISTRACION DE MEDICAMENTOS, INYECTOLOGIA  Y CANALIZACION </v>
      </c>
      <c r="V176" s="105" t="str">
        <f t="shared" si="23"/>
        <v>Nicole Daniela Miramag Montanchez</v>
      </c>
      <c r="W176" s="105" t="str">
        <f t="shared" si="24"/>
        <v>Nicole Daniela Miramag Montanchez</v>
      </c>
      <c r="X176" s="105" t="str">
        <f t="shared" si="25"/>
        <v>Nicole Daniela Miramag Montanchez-1080040338-ADMON DE MEDICAMENTOS</v>
      </c>
    </row>
    <row r="177" spans="1:24" ht="15.75" hidden="1" x14ac:dyDescent="0.25">
      <c r="A177" s="103">
        <v>176</v>
      </c>
      <c r="B177" s="104">
        <v>1085263279</v>
      </c>
      <c r="C177" s="104" t="s">
        <v>515</v>
      </c>
      <c r="D177" s="104" t="s">
        <v>516</v>
      </c>
      <c r="E177" s="104" t="s">
        <v>151</v>
      </c>
      <c r="F177" s="104" t="s">
        <v>274</v>
      </c>
      <c r="G177" s="114">
        <v>28</v>
      </c>
      <c r="H177" s="114" t="s">
        <v>99</v>
      </c>
      <c r="I177" s="106" t="s">
        <v>409</v>
      </c>
      <c r="J177" s="107">
        <v>45566</v>
      </c>
      <c r="K177" s="88">
        <v>30000</v>
      </c>
      <c r="L177" s="114" t="s">
        <v>138</v>
      </c>
      <c r="M177" s="114" t="s">
        <v>85</v>
      </c>
      <c r="N177" s="114" t="s">
        <v>517</v>
      </c>
      <c r="O177" s="115" t="s">
        <v>27</v>
      </c>
      <c r="P177" s="109">
        <v>32098</v>
      </c>
      <c r="Q177" s="114" t="s">
        <v>104</v>
      </c>
      <c r="R177" s="104"/>
      <c r="S177" s="104">
        <v>3122904295</v>
      </c>
      <c r="T177" s="151" t="s">
        <v>518</v>
      </c>
      <c r="U177" s="105" t="str">
        <f>IF(O177=CURSOS!$D$3,"DIPLOMADO EN ATENCION PRE-HOSPITALARIA",IF(O177=CURSOS!$D$4,"ACOMPAÑAMIENTO Y MANEJO DEL DUELO",IF(O177=CURSOS!$D$5,"ATENCION A VICTIMAS DE ATAQUE CON AGENTES QUIMICOS ",IF(O177=CURSOS!$D$6,"PRIMEROS AUXILIOS ",IF(O177=CURSOS!$D$7,"DIPLOMADO DE UNIDAD DE CUIDADOS INTENSIVOS (UCI)",IF(O177=CURSOS!$D$8,"MODELO DE ATENCION PARA EVENTOS EMERGENTES EN SALUD MENTAL (CODIGO VERDE)",IF(O177=CURSOS!$D$9,"HUMANIZACION EN EL SERVICIO DE LA SALUD Y BUENAS PRACTICAS EN PACIENTE ",IF(O177=CURSOS!$D$10,"CLINICA DE HERIDAS ",IF(O177=CURSOS!$D$11,"TOMA DE CITOLOGIA CERVICO VAGINAL ",IF(O177=CURSOS!$D$12,"SOPORTE CARDIOVASCULAR AVANZADO (ACLS) ",IF(O177=CURSOS!$D$13,"CAMILLERO ",IF(O177=CURSOS!$D$14,"TOMA DE MUESTRAS Y LABORATORIO ",IF(O177=CURSOS!$D$15,"SOPORTE VITAL BASICO (BLS)",IF(O177=CURSOS!$D$16,"ATENCION A VICTIMAS DE VIOLENCIA SEXUAL ",IF(O177=CURSOS!$D$17,"PROGRAMADO AMPLIADO DE INMUNIZACION (PAI - COVID 19)",IF(O177=CURSOS!$D$18,"ATENCION INTEGRAL EN ENFERMEDADES PREVALENTES EN PRIMERA INFANCIA (AIEPI)",IF(O177=CURSOS!$D$19,"ADMINISTRACION DE MEDICAMENTOS, INYECTOLOGIA  Y CANALIZACION ",IF(O177=CURSOS!$D$20,"OPERADOR DE VEHICULOS DE EMERGENCIA (OVE)",IF(O177=CURSOS!$D$21,"INSTITUCIONES AMIGAS DE LA MUJER Y LA INFANCIA (IAMI)",IF(O177=CURSOS!$D$22,"CUIDADO DEL DONANTE DE ORGANOS",IF(O177=CURSOS!$D$23,"ATENCION A VICTIMAS POR VIOLENCIA DE GENERO",IF(O177=CURSOS!$D$24,"IGUALDAD DE GENERO EN LA SALUD",IF(O177=CURSOS!$D$25,"BRIGADA DE EMERGENCIA",IF(O177=CURSOS!$D$26,"MANEJO DEL DOLOR Y CUIDADOS PALIATIVOS",IF(O177=CURSOS!$D$27,"TOMA DE MUESTRAS Y LABORATORIO POCT",IF(O177=CURSOS!$D$28,"IMPLANTE SUBDERMICO DE DISPOSITIVO INTRAUTERINO",IF(O177=CURSOS!$D$29,"SALUD MENTAL",IF(O177=CURSOS!$D$30,"PRIMEROS AUXILIOS PSICOLOGICOS",IF(O177=CURSOS!$D$31,"ATENCION A VICTIMAS POR CONFLICTO ARMADO",IF(O177=CURSOS!$D$32,"MANIPULACION DE ALIMENTOS Y BPM",IF(O177=CURSOS!$D$33,"ATENCION A PERSONAS CON DISCAPACIDAD",IF(O177=CURSOS!$D$34,"CUIDADO INTEGRAL DEL PACIENTE ADULTO",IF(O177=CURSOS!$D$35,"MANEJO DEFENSIVO",IF(O177=CURSOS!$D$36,"SOPORTE CARDIOVASCULAR AVANZADO NEONATAL",IF(O177=CURSOS!$D$37,"SEGURIDAD DEL PACIENTE",IF(O177=CURSOS!$D$38,"MANEJO Y USO DEL DEA",IF(O177=CURSOS!$D$39,"TRIAGE")))))))))))))))))))))))))))))))))))))</f>
        <v xml:space="preserve">PRIMEROS AUXILIOS </v>
      </c>
      <c r="V177" s="105" t="str">
        <f t="shared" si="23"/>
        <v>Carlos Andrés Juajinoy Timaran</v>
      </c>
      <c r="W177" s="105" t="str">
        <f t="shared" si="24"/>
        <v>Carlos Andrés Juajinoy Timaran</v>
      </c>
      <c r="X177" s="105" t="str">
        <f t="shared" si="25"/>
        <v>Carlos Andrés Juajinoy Timaran-1085263279-PRIMEROS AUXILIOS</v>
      </c>
    </row>
    <row r="178" spans="1:24" ht="15.75" hidden="1" x14ac:dyDescent="0.25">
      <c r="A178" s="103">
        <v>177</v>
      </c>
      <c r="B178" s="104">
        <v>1085307303</v>
      </c>
      <c r="C178" s="104" t="s">
        <v>515</v>
      </c>
      <c r="D178" s="104" t="s">
        <v>516</v>
      </c>
      <c r="E178" s="104" t="s">
        <v>266</v>
      </c>
      <c r="F178" s="104" t="s">
        <v>108</v>
      </c>
      <c r="G178" s="114">
        <v>28</v>
      </c>
      <c r="H178" s="114" t="s">
        <v>99</v>
      </c>
      <c r="I178" s="106" t="s">
        <v>409</v>
      </c>
      <c r="J178" s="107">
        <v>45566</v>
      </c>
      <c r="K178" s="88">
        <v>30000</v>
      </c>
      <c r="L178" s="114" t="s">
        <v>138</v>
      </c>
      <c r="M178" s="114" t="s">
        <v>85</v>
      </c>
      <c r="N178" s="114" t="s">
        <v>517</v>
      </c>
      <c r="O178" s="115" t="s">
        <v>27</v>
      </c>
      <c r="P178" s="109">
        <v>34216</v>
      </c>
      <c r="Q178" s="114" t="s">
        <v>110</v>
      </c>
      <c r="R178" s="104" t="s">
        <v>116</v>
      </c>
      <c r="S178" s="104">
        <v>3215029997</v>
      </c>
      <c r="T178" s="151" t="s">
        <v>519</v>
      </c>
      <c r="U178" s="105" t="str">
        <f>IF(O178=CURSOS!$D$3,"DIPLOMADO EN ATENCION PRE-HOSPITALARIA",IF(O178=CURSOS!$D$4,"ACOMPAÑAMIENTO Y MANEJO DEL DUELO",IF(O178=CURSOS!$D$5,"ATENCION A VICTIMAS DE ATAQUE CON AGENTES QUIMICOS ",IF(O178=CURSOS!$D$6,"PRIMEROS AUXILIOS ",IF(O178=CURSOS!$D$7,"DIPLOMADO DE UNIDAD DE CUIDADOS INTENSIVOS (UCI)",IF(O178=CURSOS!$D$8,"MODELO DE ATENCION PARA EVENTOS EMERGENTES EN SALUD MENTAL (CODIGO VERDE)",IF(O178=CURSOS!$D$9,"HUMANIZACION EN EL SERVICIO DE LA SALUD Y BUENAS PRACTICAS EN PACIENTE ",IF(O178=CURSOS!$D$10,"CLINICA DE HERIDAS ",IF(O178=CURSOS!$D$11,"TOMA DE CITOLOGIA CERVICO VAGINAL ",IF(O178=CURSOS!$D$12,"SOPORTE CARDIOVASCULAR AVANZADO (ACLS) ",IF(O178=CURSOS!$D$13,"CAMILLERO ",IF(O178=CURSOS!$D$14,"TOMA DE MUESTRAS Y LABORATORIO ",IF(O178=CURSOS!$D$15,"SOPORTE VITAL BASICO (BLS)",IF(O178=CURSOS!$D$16,"ATENCION A VICTIMAS DE VIOLENCIA SEXUAL ",IF(O178=CURSOS!$D$17,"PROGRAMADO AMPLIADO DE INMUNIZACION (PAI - COVID 19)",IF(O178=CURSOS!$D$18,"ATENCION INTEGRAL EN ENFERMEDADES PREVALENTES EN PRIMERA INFANCIA (AIEPI)",IF(O178=CURSOS!$D$19,"ADMINISTRACION DE MEDICAMENTOS, INYECTOLOGIA  Y CANALIZACION ",IF(O178=CURSOS!$D$20,"OPERADOR DE VEHICULOS DE EMERGENCIA (OVE)",IF(O178=CURSOS!$D$21,"INSTITUCIONES AMIGAS DE LA MUJER Y LA INFANCIA (IAMI)",IF(O178=CURSOS!$D$22,"CUIDADO DEL DONANTE DE ORGANOS",IF(O178=CURSOS!$D$23,"ATENCION A VICTIMAS POR VIOLENCIA DE GENERO",IF(O178=CURSOS!$D$24,"IGUALDAD DE GENERO EN LA SALUD",IF(O178=CURSOS!$D$25,"BRIGADA DE EMERGENCIA",IF(O178=CURSOS!$D$26,"MANEJO DEL DOLOR Y CUIDADOS PALIATIVOS",IF(O178=CURSOS!$D$27,"TOMA DE MUESTRAS Y LABORATORIO POCT",IF(O178=CURSOS!$D$28,"IMPLANTE SUBDERMICO DE DISPOSITIVO INTRAUTERINO",IF(O178=CURSOS!$D$29,"SALUD MENTAL",IF(O178=CURSOS!$D$30,"PRIMEROS AUXILIOS PSICOLOGICOS",IF(O178=CURSOS!$D$31,"ATENCION A VICTIMAS POR CONFLICTO ARMADO",IF(O178=CURSOS!$D$32,"MANIPULACION DE ALIMENTOS Y BPM",IF(O178=CURSOS!$D$33,"ATENCION A PERSONAS CON DISCAPACIDAD",IF(O178=CURSOS!$D$34,"CUIDADO INTEGRAL DEL PACIENTE ADULTO",IF(O178=CURSOS!$D$35,"MANEJO DEFENSIVO",IF(O178=CURSOS!$D$36,"SOPORTE CARDIOVASCULAR AVANZADO NEONATAL",IF(O178=CURSOS!$D$37,"SEGURIDAD DEL PACIENTE",IF(O178=CURSOS!$D$38,"MANEJO Y USO DEL DEA",IF(O178=CURSOS!$D$39,"TRIAGE")))))))))))))))))))))))))))))))))))))</f>
        <v xml:space="preserve">PRIMEROS AUXILIOS </v>
      </c>
      <c r="V178" s="105" t="str">
        <f t="shared" si="23"/>
        <v>Ana María Juajinoy Timaran</v>
      </c>
      <c r="W178" s="105" t="str">
        <f t="shared" si="24"/>
        <v>Ana María Juajinoy Timaran</v>
      </c>
      <c r="X178" s="105" t="str">
        <f t="shared" si="25"/>
        <v>Ana María Juajinoy Timaran-1085307303-PRIMEROS AUXILIOS</v>
      </c>
    </row>
    <row r="179" spans="1:24" ht="15.75" hidden="1" x14ac:dyDescent="0.25">
      <c r="A179" s="103">
        <v>178</v>
      </c>
      <c r="B179" s="104">
        <v>1085334688</v>
      </c>
      <c r="C179" s="104" t="s">
        <v>520</v>
      </c>
      <c r="D179" s="104" t="s">
        <v>521</v>
      </c>
      <c r="E179" s="104" t="s">
        <v>248</v>
      </c>
      <c r="F179" s="104" t="s">
        <v>522</v>
      </c>
      <c r="G179" s="114">
        <v>28</v>
      </c>
      <c r="H179" s="114" t="s">
        <v>99</v>
      </c>
      <c r="I179" s="106" t="s">
        <v>409</v>
      </c>
      <c r="J179" s="107">
        <v>45566</v>
      </c>
      <c r="K179" s="88">
        <v>30000</v>
      </c>
      <c r="L179" s="114" t="s">
        <v>138</v>
      </c>
      <c r="M179" s="114" t="s">
        <v>85</v>
      </c>
      <c r="N179" s="114" t="s">
        <v>517</v>
      </c>
      <c r="O179" s="115" t="s">
        <v>27</v>
      </c>
      <c r="P179" s="109">
        <v>35501</v>
      </c>
      <c r="Q179" s="114" t="s">
        <v>104</v>
      </c>
      <c r="R179" s="104" t="s">
        <v>523</v>
      </c>
      <c r="S179" s="104">
        <v>3106278491</v>
      </c>
      <c r="T179" s="151" t="s">
        <v>524</v>
      </c>
      <c r="U179" s="105" t="str">
        <f>IF(O179=CURSOS!$D$3,"DIPLOMADO EN ATENCION PRE-HOSPITALARIA",IF(O179=CURSOS!$D$4,"ACOMPAÑAMIENTO Y MANEJO DEL DUELO",IF(O179=CURSOS!$D$5,"ATENCION A VICTIMAS DE ATAQUE CON AGENTES QUIMICOS ",IF(O179=CURSOS!$D$6,"PRIMEROS AUXILIOS ",IF(O179=CURSOS!$D$7,"DIPLOMADO DE UNIDAD DE CUIDADOS INTENSIVOS (UCI)",IF(O179=CURSOS!$D$8,"MODELO DE ATENCION PARA EVENTOS EMERGENTES EN SALUD MENTAL (CODIGO VERDE)",IF(O179=CURSOS!$D$9,"HUMANIZACION EN EL SERVICIO DE LA SALUD Y BUENAS PRACTICAS EN PACIENTE ",IF(O179=CURSOS!$D$10,"CLINICA DE HERIDAS ",IF(O179=CURSOS!$D$11,"TOMA DE CITOLOGIA CERVICO VAGINAL ",IF(O179=CURSOS!$D$12,"SOPORTE CARDIOVASCULAR AVANZADO (ACLS) ",IF(O179=CURSOS!$D$13,"CAMILLERO ",IF(O179=CURSOS!$D$14,"TOMA DE MUESTRAS Y LABORATORIO ",IF(O179=CURSOS!$D$15,"SOPORTE VITAL BASICO (BLS)",IF(O179=CURSOS!$D$16,"ATENCION A VICTIMAS DE VIOLENCIA SEXUAL ",IF(O179=CURSOS!$D$17,"PROGRAMADO AMPLIADO DE INMUNIZACION (PAI - COVID 19)",IF(O179=CURSOS!$D$18,"ATENCION INTEGRAL EN ENFERMEDADES PREVALENTES EN PRIMERA INFANCIA (AIEPI)",IF(O179=CURSOS!$D$19,"ADMINISTRACION DE MEDICAMENTOS, INYECTOLOGIA  Y CANALIZACION ",IF(O179=CURSOS!$D$20,"OPERADOR DE VEHICULOS DE EMERGENCIA (OVE)",IF(O179=CURSOS!$D$21,"INSTITUCIONES AMIGAS DE LA MUJER Y LA INFANCIA (IAMI)",IF(O179=CURSOS!$D$22,"CUIDADO DEL DONANTE DE ORGANOS",IF(O179=CURSOS!$D$23,"ATENCION A VICTIMAS POR VIOLENCIA DE GENERO",IF(O179=CURSOS!$D$24,"IGUALDAD DE GENERO EN LA SALUD",IF(O179=CURSOS!$D$25,"BRIGADA DE EMERGENCIA",IF(O179=CURSOS!$D$26,"MANEJO DEL DOLOR Y CUIDADOS PALIATIVOS",IF(O179=CURSOS!$D$27,"TOMA DE MUESTRAS Y LABORATORIO POCT",IF(O179=CURSOS!$D$28,"IMPLANTE SUBDERMICO DE DISPOSITIVO INTRAUTERINO",IF(O179=CURSOS!$D$29,"SALUD MENTAL",IF(O179=CURSOS!$D$30,"PRIMEROS AUXILIOS PSICOLOGICOS",IF(O179=CURSOS!$D$31,"ATENCION A VICTIMAS POR CONFLICTO ARMADO",IF(O179=CURSOS!$D$32,"MANIPULACION DE ALIMENTOS Y BPM",IF(O179=CURSOS!$D$33,"ATENCION A PERSONAS CON DISCAPACIDAD",IF(O179=CURSOS!$D$34,"CUIDADO INTEGRAL DEL PACIENTE ADULTO",IF(O179=CURSOS!$D$35,"MANEJO DEFENSIVO",IF(O179=CURSOS!$D$36,"SOPORTE CARDIOVASCULAR AVANZADO NEONATAL",IF(O179=CURSOS!$D$37,"SEGURIDAD DEL PACIENTE",IF(O179=CURSOS!$D$38,"MANEJO Y USO DEL DEA",IF(O179=CURSOS!$D$39,"TRIAGE")))))))))))))))))))))))))))))))))))))</f>
        <v xml:space="preserve">PRIMEROS AUXILIOS </v>
      </c>
      <c r="V179" s="105" t="str">
        <f t="shared" si="23"/>
        <v>Brayan Gilberto Ramos Chañag</v>
      </c>
      <c r="W179" s="105" t="str">
        <f t="shared" si="24"/>
        <v>Brayan Gilberto Ramos Chañag</v>
      </c>
      <c r="X179" s="105" t="str">
        <f t="shared" si="25"/>
        <v>Brayan Gilberto Ramos Chañag-1085334688-PRIMEROS AUXILIOS</v>
      </c>
    </row>
    <row r="180" spans="1:24" ht="15.75" hidden="1" x14ac:dyDescent="0.25">
      <c r="A180" s="103">
        <v>179</v>
      </c>
      <c r="B180" s="104">
        <v>1081272059</v>
      </c>
      <c r="C180" s="104" t="s">
        <v>521</v>
      </c>
      <c r="D180" s="104" t="s">
        <v>525</v>
      </c>
      <c r="E180" s="104" t="s">
        <v>526</v>
      </c>
      <c r="F180" s="104" t="s">
        <v>274</v>
      </c>
      <c r="G180" s="114">
        <v>28</v>
      </c>
      <c r="H180" s="114" t="s">
        <v>99</v>
      </c>
      <c r="I180" s="106" t="s">
        <v>409</v>
      </c>
      <c r="J180" s="107">
        <v>45566</v>
      </c>
      <c r="K180" s="88">
        <v>30000</v>
      </c>
      <c r="L180" s="114" t="s">
        <v>138</v>
      </c>
      <c r="M180" s="114" t="s">
        <v>85</v>
      </c>
      <c r="N180" s="114" t="s">
        <v>517</v>
      </c>
      <c r="O180" s="115" t="s">
        <v>27</v>
      </c>
      <c r="P180" s="109">
        <v>37939</v>
      </c>
      <c r="Q180" s="114" t="s">
        <v>110</v>
      </c>
      <c r="R180" s="104"/>
      <c r="S180" s="104">
        <v>3169061492</v>
      </c>
      <c r="T180" s="151" t="s">
        <v>527</v>
      </c>
      <c r="U180" s="105" t="str">
        <f>IF(O180=CURSOS!$D$3,"DIPLOMADO EN ATENCION PRE-HOSPITALARIA",IF(O180=CURSOS!$D$4,"ACOMPAÑAMIENTO Y MANEJO DEL DUELO",IF(O180=CURSOS!$D$5,"ATENCION A VICTIMAS DE ATAQUE CON AGENTES QUIMICOS ",IF(O180=CURSOS!$D$6,"PRIMEROS AUXILIOS ",IF(O180=CURSOS!$D$7,"DIPLOMADO DE UNIDAD DE CUIDADOS INTENSIVOS (UCI)",IF(O180=CURSOS!$D$8,"MODELO DE ATENCION PARA EVENTOS EMERGENTES EN SALUD MENTAL (CODIGO VERDE)",IF(O180=CURSOS!$D$9,"HUMANIZACION EN EL SERVICIO DE LA SALUD Y BUENAS PRACTICAS EN PACIENTE ",IF(O180=CURSOS!$D$10,"CLINICA DE HERIDAS ",IF(O180=CURSOS!$D$11,"TOMA DE CITOLOGIA CERVICO VAGINAL ",IF(O180=CURSOS!$D$12,"SOPORTE CARDIOVASCULAR AVANZADO (ACLS) ",IF(O180=CURSOS!$D$13,"CAMILLERO ",IF(O180=CURSOS!$D$14,"TOMA DE MUESTRAS Y LABORATORIO ",IF(O180=CURSOS!$D$15,"SOPORTE VITAL BASICO (BLS)",IF(O180=CURSOS!$D$16,"ATENCION A VICTIMAS DE VIOLENCIA SEXUAL ",IF(O180=CURSOS!$D$17,"PROGRAMADO AMPLIADO DE INMUNIZACION (PAI - COVID 19)",IF(O180=CURSOS!$D$18,"ATENCION INTEGRAL EN ENFERMEDADES PREVALENTES EN PRIMERA INFANCIA (AIEPI)",IF(O180=CURSOS!$D$19,"ADMINISTRACION DE MEDICAMENTOS, INYECTOLOGIA  Y CANALIZACION ",IF(O180=CURSOS!$D$20,"OPERADOR DE VEHICULOS DE EMERGENCIA (OVE)",IF(O180=CURSOS!$D$21,"INSTITUCIONES AMIGAS DE LA MUJER Y LA INFANCIA (IAMI)",IF(O180=CURSOS!$D$22,"CUIDADO DEL DONANTE DE ORGANOS",IF(O180=CURSOS!$D$23,"ATENCION A VICTIMAS POR VIOLENCIA DE GENERO",IF(O180=CURSOS!$D$24,"IGUALDAD DE GENERO EN LA SALUD",IF(O180=CURSOS!$D$25,"BRIGADA DE EMERGENCIA",IF(O180=CURSOS!$D$26,"MANEJO DEL DOLOR Y CUIDADOS PALIATIVOS",IF(O180=CURSOS!$D$27,"TOMA DE MUESTRAS Y LABORATORIO POCT",IF(O180=CURSOS!$D$28,"IMPLANTE SUBDERMICO DE DISPOSITIVO INTRAUTERINO",IF(O180=CURSOS!$D$29,"SALUD MENTAL",IF(O180=CURSOS!$D$30,"PRIMEROS AUXILIOS PSICOLOGICOS",IF(O180=CURSOS!$D$31,"ATENCION A VICTIMAS POR CONFLICTO ARMADO",IF(O180=CURSOS!$D$32,"MANIPULACION DE ALIMENTOS Y BPM",IF(O180=CURSOS!$D$33,"ATENCION A PERSONAS CON DISCAPACIDAD",IF(O180=CURSOS!$D$34,"CUIDADO INTEGRAL DEL PACIENTE ADULTO",IF(O180=CURSOS!$D$35,"MANEJO DEFENSIVO",IF(O180=CURSOS!$D$36,"SOPORTE CARDIOVASCULAR AVANZADO NEONATAL",IF(O180=CURSOS!$D$37,"SEGURIDAD DEL PACIENTE",IF(O180=CURSOS!$D$38,"MANEJO Y USO DEL DEA",IF(O180=CURSOS!$D$39,"TRIAGE")))))))))))))))))))))))))))))))))))))</f>
        <v xml:space="preserve">PRIMEROS AUXILIOS </v>
      </c>
      <c r="V180" s="105" t="str">
        <f t="shared" si="23"/>
        <v>Diego Andrés Chañag Pejendino</v>
      </c>
      <c r="W180" s="105" t="str">
        <f t="shared" si="24"/>
        <v>Diego Andrés Chañag Pejendino</v>
      </c>
      <c r="X180" s="105" t="str">
        <f t="shared" si="25"/>
        <v>Diego Andrés Chañag Pejendino-1081272059-PRIMEROS AUXILIOS</v>
      </c>
    </row>
    <row r="181" spans="1:24" ht="15.75" hidden="1" x14ac:dyDescent="0.25">
      <c r="A181" s="103">
        <v>180</v>
      </c>
      <c r="B181" s="104">
        <v>1085259390</v>
      </c>
      <c r="C181" s="104" t="s">
        <v>528</v>
      </c>
      <c r="D181" s="104" t="s">
        <v>529</v>
      </c>
      <c r="E181" s="104" t="s">
        <v>530</v>
      </c>
      <c r="F181" s="104" t="s">
        <v>531</v>
      </c>
      <c r="G181" s="114">
        <v>28</v>
      </c>
      <c r="H181" s="114" t="s">
        <v>99</v>
      </c>
      <c r="I181" s="106" t="s">
        <v>409</v>
      </c>
      <c r="J181" s="107">
        <v>45566</v>
      </c>
      <c r="K181" s="88">
        <v>30000</v>
      </c>
      <c r="L181" s="114" t="s">
        <v>138</v>
      </c>
      <c r="M181" s="114" t="s">
        <v>85</v>
      </c>
      <c r="N181" s="114" t="s">
        <v>517</v>
      </c>
      <c r="O181" s="115" t="s">
        <v>27</v>
      </c>
      <c r="P181" s="109">
        <v>31951</v>
      </c>
      <c r="Q181" s="114" t="s">
        <v>110</v>
      </c>
      <c r="R181" s="104" t="s">
        <v>532</v>
      </c>
      <c r="S181" s="104">
        <v>3182263474</v>
      </c>
      <c r="T181" s="151" t="s">
        <v>533</v>
      </c>
      <c r="U181" s="105" t="str">
        <f>IF(O181=CURSOS!$D$3,"DIPLOMADO EN ATENCION PRE-HOSPITALARIA",IF(O181=CURSOS!$D$4,"ACOMPAÑAMIENTO Y MANEJO DEL DUELO",IF(O181=CURSOS!$D$5,"ATENCION A VICTIMAS DE ATAQUE CON AGENTES QUIMICOS ",IF(O181=CURSOS!$D$6,"PRIMEROS AUXILIOS ",IF(O181=CURSOS!$D$7,"DIPLOMADO DE UNIDAD DE CUIDADOS INTENSIVOS (UCI)",IF(O181=CURSOS!$D$8,"MODELO DE ATENCION PARA EVENTOS EMERGENTES EN SALUD MENTAL (CODIGO VERDE)",IF(O181=CURSOS!$D$9,"HUMANIZACION EN EL SERVICIO DE LA SALUD Y BUENAS PRACTICAS EN PACIENTE ",IF(O181=CURSOS!$D$10,"CLINICA DE HERIDAS ",IF(O181=CURSOS!$D$11,"TOMA DE CITOLOGIA CERVICO VAGINAL ",IF(O181=CURSOS!$D$12,"SOPORTE CARDIOVASCULAR AVANZADO (ACLS) ",IF(O181=CURSOS!$D$13,"CAMILLERO ",IF(O181=CURSOS!$D$14,"TOMA DE MUESTRAS Y LABORATORIO ",IF(O181=CURSOS!$D$15,"SOPORTE VITAL BASICO (BLS)",IF(O181=CURSOS!$D$16,"ATENCION A VICTIMAS DE VIOLENCIA SEXUAL ",IF(O181=CURSOS!$D$17,"PROGRAMADO AMPLIADO DE INMUNIZACION (PAI - COVID 19)",IF(O181=CURSOS!$D$18,"ATENCION INTEGRAL EN ENFERMEDADES PREVALENTES EN PRIMERA INFANCIA (AIEPI)",IF(O181=CURSOS!$D$19,"ADMINISTRACION DE MEDICAMENTOS, INYECTOLOGIA  Y CANALIZACION ",IF(O181=CURSOS!$D$20,"OPERADOR DE VEHICULOS DE EMERGENCIA (OVE)",IF(O181=CURSOS!$D$21,"INSTITUCIONES AMIGAS DE LA MUJER Y LA INFANCIA (IAMI)",IF(O181=CURSOS!$D$22,"CUIDADO DEL DONANTE DE ORGANOS",IF(O181=CURSOS!$D$23,"ATENCION A VICTIMAS POR VIOLENCIA DE GENERO",IF(O181=CURSOS!$D$24,"IGUALDAD DE GENERO EN LA SALUD",IF(O181=CURSOS!$D$25,"BRIGADA DE EMERGENCIA",IF(O181=CURSOS!$D$26,"MANEJO DEL DOLOR Y CUIDADOS PALIATIVOS",IF(O181=CURSOS!$D$27,"TOMA DE MUESTRAS Y LABORATORIO POCT",IF(O181=CURSOS!$D$28,"IMPLANTE SUBDERMICO DE DISPOSITIVO INTRAUTERINO",IF(O181=CURSOS!$D$29,"SALUD MENTAL",IF(O181=CURSOS!$D$30,"PRIMEROS AUXILIOS PSICOLOGICOS",IF(O181=CURSOS!$D$31,"ATENCION A VICTIMAS POR CONFLICTO ARMADO",IF(O181=CURSOS!$D$32,"MANIPULACION DE ALIMENTOS Y BPM",IF(O181=CURSOS!$D$33,"ATENCION A PERSONAS CON DISCAPACIDAD",IF(O181=CURSOS!$D$34,"CUIDADO INTEGRAL DEL PACIENTE ADULTO",IF(O181=CURSOS!$D$35,"MANEJO DEFENSIVO",IF(O181=CURSOS!$D$36,"SOPORTE CARDIOVASCULAR AVANZADO NEONATAL",IF(O181=CURSOS!$D$37,"SEGURIDAD DEL PACIENTE",IF(O181=CURSOS!$D$38,"MANEJO Y USO DEL DEA",IF(O181=CURSOS!$D$39,"TRIAGE")))))))))))))))))))))))))))))))))))))</f>
        <v xml:space="preserve">PRIMEROS AUXILIOS </v>
      </c>
      <c r="V181" s="105" t="str">
        <f t="shared" si="23"/>
        <v>Daissy Anabell Chachinoy Esparza</v>
      </c>
      <c r="W181" s="105" t="str">
        <f t="shared" si="24"/>
        <v>Daissy Anabell Chachinoy Esparza</v>
      </c>
      <c r="X181" s="105" t="str">
        <f t="shared" si="25"/>
        <v>Daissy Anabell Chachinoy Esparza-1085259390-PRIMEROS AUXILIOS</v>
      </c>
    </row>
    <row r="182" spans="1:24" ht="15.75" hidden="1" x14ac:dyDescent="0.25">
      <c r="A182" s="103">
        <v>181</v>
      </c>
      <c r="B182" s="104">
        <v>37085165</v>
      </c>
      <c r="C182" s="104" t="s">
        <v>515</v>
      </c>
      <c r="D182" s="104" t="s">
        <v>516</v>
      </c>
      <c r="E182" s="104" t="s">
        <v>309</v>
      </c>
      <c r="F182" s="104" t="s">
        <v>499</v>
      </c>
      <c r="G182" s="114">
        <v>28</v>
      </c>
      <c r="H182" s="114" t="s">
        <v>99</v>
      </c>
      <c r="I182" s="106" t="s">
        <v>409</v>
      </c>
      <c r="J182" s="107">
        <v>45566</v>
      </c>
      <c r="K182" s="88">
        <v>30000</v>
      </c>
      <c r="L182" s="114" t="s">
        <v>138</v>
      </c>
      <c r="M182" s="114" t="s">
        <v>85</v>
      </c>
      <c r="N182" s="114" t="s">
        <v>517</v>
      </c>
      <c r="O182" s="115" t="s">
        <v>27</v>
      </c>
      <c r="P182" s="109">
        <v>30948</v>
      </c>
      <c r="Q182" s="114" t="s">
        <v>110</v>
      </c>
      <c r="R182" s="104" t="s">
        <v>554</v>
      </c>
      <c r="S182" s="104">
        <v>3212327270</v>
      </c>
      <c r="T182" s="151" t="s">
        <v>555</v>
      </c>
      <c r="U182" s="105" t="str">
        <f>IF(O182=CURSOS!$D$3,"DIPLOMADO EN ATENCION PRE-HOSPITALARIA",IF(O182=CURSOS!$D$4,"ACOMPAÑAMIENTO Y MANEJO DEL DUELO",IF(O182=CURSOS!$D$5,"ATENCION A VICTIMAS DE ATAQUE CON AGENTES QUIMICOS ",IF(O182=CURSOS!$D$6,"PRIMEROS AUXILIOS ",IF(O182=CURSOS!$D$7,"DIPLOMADO DE UNIDAD DE CUIDADOS INTENSIVOS (UCI)",IF(O182=CURSOS!$D$8,"MODELO DE ATENCION PARA EVENTOS EMERGENTES EN SALUD MENTAL (CODIGO VERDE)",IF(O182=CURSOS!$D$9,"HUMANIZACION EN EL SERVICIO DE LA SALUD Y BUENAS PRACTICAS EN PACIENTE ",IF(O182=CURSOS!$D$10,"CLINICA DE HERIDAS ",IF(O182=CURSOS!$D$11,"TOMA DE CITOLOGIA CERVICO VAGINAL ",IF(O182=CURSOS!$D$12,"SOPORTE CARDIOVASCULAR AVANZADO (ACLS) ",IF(O182=CURSOS!$D$13,"CAMILLERO ",IF(O182=CURSOS!$D$14,"TOMA DE MUESTRAS Y LABORATORIO ",IF(O182=CURSOS!$D$15,"SOPORTE VITAL BASICO (BLS)",IF(O182=CURSOS!$D$16,"ATENCION A VICTIMAS DE VIOLENCIA SEXUAL ",IF(O182=CURSOS!$D$17,"PROGRAMADO AMPLIADO DE INMUNIZACION (PAI - COVID 19)",IF(O182=CURSOS!$D$18,"ATENCION INTEGRAL EN ENFERMEDADES PREVALENTES EN PRIMERA INFANCIA (AIEPI)",IF(O182=CURSOS!$D$19,"ADMINISTRACION DE MEDICAMENTOS, INYECTOLOGIA  Y CANALIZACION ",IF(O182=CURSOS!$D$20,"OPERADOR DE VEHICULOS DE EMERGENCIA (OVE)",IF(O182=CURSOS!$D$21,"INSTITUCIONES AMIGAS DE LA MUJER Y LA INFANCIA (IAMI)",IF(O182=CURSOS!$D$22,"CUIDADO DEL DONANTE DE ORGANOS",IF(O182=CURSOS!$D$23,"ATENCION A VICTIMAS POR VIOLENCIA DE GENERO",IF(O182=CURSOS!$D$24,"IGUALDAD DE GENERO EN LA SALUD",IF(O182=CURSOS!$D$25,"BRIGADA DE EMERGENCIA",IF(O182=CURSOS!$D$26,"MANEJO DEL DOLOR Y CUIDADOS PALIATIVOS",IF(O182=CURSOS!$D$27,"TOMA DE MUESTRAS Y LABORATORIO POCT",IF(O182=CURSOS!$D$28,"IMPLANTE SUBDERMICO DE DISPOSITIVO INTRAUTERINO",IF(O182=CURSOS!$D$29,"SALUD MENTAL",IF(O182=CURSOS!$D$30,"PRIMEROS AUXILIOS PSICOLOGICOS",IF(O182=CURSOS!$D$31,"ATENCION A VICTIMAS POR CONFLICTO ARMADO",IF(O182=CURSOS!$D$32,"MANIPULACION DE ALIMENTOS Y BPM",IF(O182=CURSOS!$D$33,"ATENCION A PERSONAS CON DISCAPACIDAD",IF(O182=CURSOS!$D$34,"CUIDADO INTEGRAL DEL PACIENTE ADULTO",IF(O182=CURSOS!$D$35,"MANEJO DEFENSIVO",IF(O182=CURSOS!$D$36,"SOPORTE CARDIOVASCULAR AVANZADO NEONATAL",IF(O182=CURSOS!$D$37,"SEGURIDAD DEL PACIENTE",IF(O182=CURSOS!$D$38,"MANEJO Y USO DEL DEA",IF(O182=CURSOS!$D$39,"TRIAGE")))))))))))))))))))))))))))))))))))))</f>
        <v xml:space="preserve">PRIMEROS AUXILIOS </v>
      </c>
      <c r="V182" s="105" t="str">
        <f t="shared" si="23"/>
        <v>Jenny Lucia Juajinoy Timaran</v>
      </c>
      <c r="W182" s="105" t="str">
        <f t="shared" si="24"/>
        <v>Jenny Lucia Juajinoy Timaran</v>
      </c>
      <c r="X182" s="105" t="str">
        <f t="shared" si="25"/>
        <v>Jenny Lucia Juajinoy Timaran-37085165-PRIMEROS AUXILIOS</v>
      </c>
    </row>
    <row r="183" spans="1:24" ht="15.75" hidden="1" x14ac:dyDescent="0.25">
      <c r="A183" s="103">
        <v>182</v>
      </c>
      <c r="B183" s="104">
        <v>1080052481</v>
      </c>
      <c r="C183" s="104" t="s">
        <v>556</v>
      </c>
      <c r="D183" s="104" t="s">
        <v>515</v>
      </c>
      <c r="E183" s="104" t="s">
        <v>557</v>
      </c>
      <c r="F183" s="104" t="s">
        <v>558</v>
      </c>
      <c r="G183" s="114">
        <v>28</v>
      </c>
      <c r="H183" s="114" t="s">
        <v>99</v>
      </c>
      <c r="I183" s="106" t="s">
        <v>409</v>
      </c>
      <c r="J183" s="107">
        <v>45566</v>
      </c>
      <c r="K183" s="88">
        <v>30000</v>
      </c>
      <c r="L183" s="114" t="s">
        <v>138</v>
      </c>
      <c r="M183" s="114" t="s">
        <v>85</v>
      </c>
      <c r="N183" s="114" t="s">
        <v>517</v>
      </c>
      <c r="O183" s="115" t="s">
        <v>27</v>
      </c>
      <c r="P183" s="109">
        <v>39654</v>
      </c>
      <c r="Q183" s="114" t="s">
        <v>104</v>
      </c>
      <c r="R183" s="104" t="s">
        <v>534</v>
      </c>
      <c r="S183" s="104">
        <v>3166886170</v>
      </c>
      <c r="T183" s="151" t="s">
        <v>555</v>
      </c>
      <c r="U183" s="105" t="str">
        <f>IF(O183=CURSOS!$D$3,"DIPLOMADO EN ATENCION PRE-HOSPITALARIA",IF(O183=CURSOS!$D$4,"ACOMPAÑAMIENTO Y MANEJO DEL DUELO",IF(O183=CURSOS!$D$5,"ATENCION A VICTIMAS DE ATAQUE CON AGENTES QUIMICOS ",IF(O183=CURSOS!$D$6,"PRIMEROS AUXILIOS ",IF(O183=CURSOS!$D$7,"DIPLOMADO DE UNIDAD DE CUIDADOS INTENSIVOS (UCI)",IF(O183=CURSOS!$D$8,"MODELO DE ATENCION PARA EVENTOS EMERGENTES EN SALUD MENTAL (CODIGO VERDE)",IF(O183=CURSOS!$D$9,"HUMANIZACION EN EL SERVICIO DE LA SALUD Y BUENAS PRACTICAS EN PACIENTE ",IF(O183=CURSOS!$D$10,"CLINICA DE HERIDAS ",IF(O183=CURSOS!$D$11,"TOMA DE CITOLOGIA CERVICO VAGINAL ",IF(O183=CURSOS!$D$12,"SOPORTE CARDIOVASCULAR AVANZADO (ACLS) ",IF(O183=CURSOS!$D$13,"CAMILLERO ",IF(O183=CURSOS!$D$14,"TOMA DE MUESTRAS Y LABORATORIO ",IF(O183=CURSOS!$D$15,"SOPORTE VITAL BASICO (BLS)",IF(O183=CURSOS!$D$16,"ATENCION A VICTIMAS DE VIOLENCIA SEXUAL ",IF(O183=CURSOS!$D$17,"PROGRAMADO AMPLIADO DE INMUNIZACION (PAI - COVID 19)",IF(O183=CURSOS!$D$18,"ATENCION INTEGRAL EN ENFERMEDADES PREVALENTES EN PRIMERA INFANCIA (AIEPI)",IF(O183=CURSOS!$D$19,"ADMINISTRACION DE MEDICAMENTOS, INYECTOLOGIA  Y CANALIZACION ",IF(O183=CURSOS!$D$20,"OPERADOR DE VEHICULOS DE EMERGENCIA (OVE)",IF(O183=CURSOS!$D$21,"INSTITUCIONES AMIGAS DE LA MUJER Y LA INFANCIA (IAMI)",IF(O183=CURSOS!$D$22,"CUIDADO DEL DONANTE DE ORGANOS",IF(O183=CURSOS!$D$23,"ATENCION A VICTIMAS POR VIOLENCIA DE GENERO",IF(O183=CURSOS!$D$24,"IGUALDAD DE GENERO EN LA SALUD",IF(O183=CURSOS!$D$25,"BRIGADA DE EMERGENCIA",IF(O183=CURSOS!$D$26,"MANEJO DEL DOLOR Y CUIDADOS PALIATIVOS",IF(O183=CURSOS!$D$27,"TOMA DE MUESTRAS Y LABORATORIO POCT",IF(O183=CURSOS!$D$28,"IMPLANTE SUBDERMICO DE DISPOSITIVO INTRAUTERINO",IF(O183=CURSOS!$D$29,"SALUD MENTAL",IF(O183=CURSOS!$D$30,"PRIMEROS AUXILIOS PSICOLOGICOS",IF(O183=CURSOS!$D$31,"ATENCION A VICTIMAS POR CONFLICTO ARMADO",IF(O183=CURSOS!$D$32,"MANIPULACION DE ALIMENTOS Y BPM",IF(O183=CURSOS!$D$33,"ATENCION A PERSONAS CON DISCAPACIDAD",IF(O183=CURSOS!$D$34,"CUIDADO INTEGRAL DEL PACIENTE ADULTO",IF(O183=CURSOS!$D$35,"MANEJO DEFENSIVO",IF(O183=CURSOS!$D$36,"SOPORTE CARDIOVASCULAR AVANZADO NEONATAL",IF(O183=CURSOS!$D$37,"SEGURIDAD DEL PACIENTE",IF(O183=CURSOS!$D$38,"MANEJO Y USO DEL DEA",IF(O183=CURSOS!$D$39,"TRIAGE")))))))))))))))))))))))))))))))))))))</f>
        <v xml:space="preserve">PRIMEROS AUXILIOS </v>
      </c>
      <c r="V183" s="105" t="str">
        <f t="shared" si="23"/>
        <v>Daniel Felipe Naspiran Juajinoy</v>
      </c>
      <c r="W183" s="105" t="str">
        <f t="shared" si="24"/>
        <v>Daniel Felipe Naspiran Juajinoy</v>
      </c>
      <c r="X183" s="105" t="str">
        <f t="shared" si="25"/>
        <v>Daniel Felipe Naspiran Juajinoy-1080052481-PRIMEROS AUXILIOS</v>
      </c>
    </row>
    <row r="184" spans="1:24" ht="15.75" hidden="1" x14ac:dyDescent="0.25">
      <c r="A184" s="103">
        <v>183</v>
      </c>
      <c r="B184" s="104">
        <v>30735622</v>
      </c>
      <c r="C184" s="104" t="s">
        <v>516</v>
      </c>
      <c r="D184" s="104" t="s">
        <v>529</v>
      </c>
      <c r="E184" s="104" t="s">
        <v>535</v>
      </c>
      <c r="F184" s="104" t="s">
        <v>536</v>
      </c>
      <c r="G184" s="114">
        <v>28</v>
      </c>
      <c r="H184" s="114" t="s">
        <v>99</v>
      </c>
      <c r="I184" s="106" t="s">
        <v>409</v>
      </c>
      <c r="J184" s="107">
        <v>45566</v>
      </c>
      <c r="K184" s="88">
        <v>30000</v>
      </c>
      <c r="L184" s="114" t="s">
        <v>138</v>
      </c>
      <c r="M184" s="114" t="s">
        <v>85</v>
      </c>
      <c r="N184" s="114" t="s">
        <v>517</v>
      </c>
      <c r="O184" s="115" t="s">
        <v>27</v>
      </c>
      <c r="P184" s="109">
        <v>24425</v>
      </c>
      <c r="Q184" s="114" t="s">
        <v>110</v>
      </c>
      <c r="R184" s="104"/>
      <c r="S184" s="104">
        <v>3173233287</v>
      </c>
      <c r="T184" s="151" t="s">
        <v>537</v>
      </c>
      <c r="U184" s="105" t="str">
        <f>IF(O184=CURSOS!$D$3,"DIPLOMADO EN ATENCION PRE-HOSPITALARIA",IF(O184=CURSOS!$D$4,"ACOMPAÑAMIENTO Y MANEJO DEL DUELO",IF(O184=CURSOS!$D$5,"ATENCION A VICTIMAS DE ATAQUE CON AGENTES QUIMICOS ",IF(O184=CURSOS!$D$6,"PRIMEROS AUXILIOS ",IF(O184=CURSOS!$D$7,"DIPLOMADO DE UNIDAD DE CUIDADOS INTENSIVOS (UCI)",IF(O184=CURSOS!$D$8,"MODELO DE ATENCION PARA EVENTOS EMERGENTES EN SALUD MENTAL (CODIGO VERDE)",IF(O184=CURSOS!$D$9,"HUMANIZACION EN EL SERVICIO DE LA SALUD Y BUENAS PRACTICAS EN PACIENTE ",IF(O184=CURSOS!$D$10,"CLINICA DE HERIDAS ",IF(O184=CURSOS!$D$11,"TOMA DE CITOLOGIA CERVICO VAGINAL ",IF(O184=CURSOS!$D$12,"SOPORTE CARDIOVASCULAR AVANZADO (ACLS) ",IF(O184=CURSOS!$D$13,"CAMILLERO ",IF(O184=CURSOS!$D$14,"TOMA DE MUESTRAS Y LABORATORIO ",IF(O184=CURSOS!$D$15,"SOPORTE VITAL BASICO (BLS)",IF(O184=CURSOS!$D$16,"ATENCION A VICTIMAS DE VIOLENCIA SEXUAL ",IF(O184=CURSOS!$D$17,"PROGRAMADO AMPLIADO DE INMUNIZACION (PAI - COVID 19)",IF(O184=CURSOS!$D$18,"ATENCION INTEGRAL EN ENFERMEDADES PREVALENTES EN PRIMERA INFANCIA (AIEPI)",IF(O184=CURSOS!$D$19,"ADMINISTRACION DE MEDICAMENTOS, INYECTOLOGIA  Y CANALIZACION ",IF(O184=CURSOS!$D$20,"OPERADOR DE VEHICULOS DE EMERGENCIA (OVE)",IF(O184=CURSOS!$D$21,"INSTITUCIONES AMIGAS DE LA MUJER Y LA INFANCIA (IAMI)",IF(O184=CURSOS!$D$22,"CUIDADO DEL DONANTE DE ORGANOS",IF(O184=CURSOS!$D$23,"ATENCION A VICTIMAS POR VIOLENCIA DE GENERO",IF(O184=CURSOS!$D$24,"IGUALDAD DE GENERO EN LA SALUD",IF(O184=CURSOS!$D$25,"BRIGADA DE EMERGENCIA",IF(O184=CURSOS!$D$26,"MANEJO DEL DOLOR Y CUIDADOS PALIATIVOS",IF(O184=CURSOS!$D$27,"TOMA DE MUESTRAS Y LABORATORIO POCT",IF(O184=CURSOS!$D$28,"IMPLANTE SUBDERMICO DE DISPOSITIVO INTRAUTERINO",IF(O184=CURSOS!$D$29,"SALUD MENTAL",IF(O184=CURSOS!$D$30,"PRIMEROS AUXILIOS PSICOLOGICOS",IF(O184=CURSOS!$D$31,"ATENCION A VICTIMAS POR CONFLICTO ARMADO",IF(O184=CURSOS!$D$32,"MANIPULACION DE ALIMENTOS Y BPM",IF(O184=CURSOS!$D$33,"ATENCION A PERSONAS CON DISCAPACIDAD",IF(O184=CURSOS!$D$34,"CUIDADO INTEGRAL DEL PACIENTE ADULTO",IF(O184=CURSOS!$D$35,"MANEJO DEFENSIVO",IF(O184=CURSOS!$D$36,"SOPORTE CARDIOVASCULAR AVANZADO NEONATAL",IF(O184=CURSOS!$D$37,"SEGURIDAD DEL PACIENTE",IF(O184=CURSOS!$D$38,"MANEJO Y USO DEL DEA",IF(O184=CURSOS!$D$39,"TRIAGE")))))))))))))))))))))))))))))))))))))</f>
        <v xml:space="preserve">PRIMEROS AUXILIOS </v>
      </c>
      <c r="V184" s="105" t="str">
        <f t="shared" si="23"/>
        <v>Amalia Florinda Timaran Esparza</v>
      </c>
      <c r="W184" s="105" t="str">
        <f t="shared" si="24"/>
        <v>Amalia Florinda Timaran Esparza</v>
      </c>
      <c r="X184" s="105" t="str">
        <f t="shared" si="25"/>
        <v>Amalia Florinda Timaran Esparza-30735622-PRIMEROS AUXILIOS</v>
      </c>
    </row>
    <row r="185" spans="1:24" hidden="1" x14ac:dyDescent="0.2">
      <c r="A185" s="103">
        <v>184</v>
      </c>
      <c r="B185" s="104">
        <v>1006997979</v>
      </c>
      <c r="C185" s="104" t="s">
        <v>539</v>
      </c>
      <c r="D185" s="104" t="s">
        <v>434</v>
      </c>
      <c r="E185" s="104" t="s">
        <v>540</v>
      </c>
      <c r="F185" s="104" t="s">
        <v>158</v>
      </c>
      <c r="G185" s="114">
        <v>30</v>
      </c>
      <c r="H185" s="114" t="s">
        <v>99</v>
      </c>
      <c r="I185" s="106" t="s">
        <v>408</v>
      </c>
      <c r="J185" s="107">
        <v>45566</v>
      </c>
      <c r="K185" s="88">
        <v>32000</v>
      </c>
      <c r="L185" s="114" t="s">
        <v>138</v>
      </c>
      <c r="M185" s="114" t="s">
        <v>85</v>
      </c>
      <c r="N185" s="114" t="s">
        <v>109</v>
      </c>
      <c r="O185" s="115" t="s">
        <v>43</v>
      </c>
      <c r="P185" s="109">
        <v>36988</v>
      </c>
      <c r="Q185" s="114" t="s">
        <v>110</v>
      </c>
      <c r="R185" s="104" t="s">
        <v>123</v>
      </c>
      <c r="S185" s="104">
        <v>3206489758</v>
      </c>
      <c r="T185" s="104" t="s">
        <v>541</v>
      </c>
      <c r="U185" s="105" t="str">
        <f>IF(O185=CURSOS!$D$3,"DIPLOMADO EN ATENCION PRE-HOSPITALARIA",IF(O185=CURSOS!$D$4,"ACOMPAÑAMIENTO Y MANEJO DEL DUELO",IF(O185=CURSOS!$D$5,"ATENCION A VICTIMAS DE ATAQUE CON AGENTES QUIMICOS ",IF(O185=CURSOS!$D$6,"PRIMEROS AUXILIOS ",IF(O185=CURSOS!$D$7,"DIPLOMADO DE UNIDAD DE CUIDADOS INTENSIVOS (UCI)",IF(O185=CURSOS!$D$8,"MODELO DE ATENCION PARA EVENTOS EMERGENTES EN SALUD MENTAL (CODIGO VERDE)",IF(O185=CURSOS!$D$9,"HUMANIZACION EN EL SERVICIO DE LA SALUD Y BUENAS PRACTICAS EN PACIENTE ",IF(O185=CURSOS!$D$10,"CLINICA DE HERIDAS ",IF(O185=CURSOS!$D$11,"TOMA DE CITOLOGIA CERVICO VAGINAL ",IF(O185=CURSOS!$D$12,"SOPORTE CARDIOVASCULAR AVANZADO (ACLS) ",IF(O185=CURSOS!$D$13,"CAMILLERO ",IF(O185=CURSOS!$D$14,"TOMA DE MUESTRAS Y LABORATORIO ",IF(O185=CURSOS!$D$15,"SOPORTE VITAL BASICO (BLS)",IF(O185=CURSOS!$D$16,"ATENCION A VICTIMAS DE VIOLENCIA SEXUAL ",IF(O185=CURSOS!$D$17,"PROGRAMADO AMPLIADO DE INMUNIZACION (PAI - COVID 19)",IF(O185=CURSOS!$D$18,"ATENCION INTEGRAL EN ENFERMEDADES PREVALENTES EN PRIMERA INFANCIA (AIEPI)",IF(O185=CURSOS!$D$19,"ADMINISTRACION DE MEDICAMENTOS, INYECTOLOGIA  Y CANALIZACION ",IF(O185=CURSOS!$D$20,"OPERADOR DE VEHICULOS DE EMERGENCIA (OVE)",IF(O185=CURSOS!$D$21,"INSTITUCIONES AMIGAS DE LA MUJER Y LA INFANCIA (IAMI)",IF(O185=CURSOS!$D$22,"CUIDADO DEL DONANTE DE ORGANOS",IF(O185=CURSOS!$D$23,"ATENCION A VICTIMAS POR VIOLENCIA DE GENERO",IF(O185=CURSOS!$D$24,"IGUALDAD DE GENERO EN LA SALUD",IF(O185=CURSOS!$D$25,"BRIGADA DE EMERGENCIA",IF(O185=CURSOS!$D$26,"MANEJO DEL DOLOR Y CUIDADOS PALIATIVOS",IF(O185=CURSOS!$D$27,"TOMA DE MUESTRAS Y LABORATORIO POCT",IF(O185=CURSOS!$D$28,"IMPLANTE SUBDERMICO DE DISPOSITIVO INTRAUTERINO",IF(O185=CURSOS!$D$29,"SALUD MENTAL",IF(O185=CURSOS!$D$30,"PRIMEROS AUXILIOS PSICOLOGICOS",IF(O185=CURSOS!$D$31,"ATENCION A VICTIMAS POR CONFLICTO ARMADO",IF(O185=CURSOS!$D$32,"MANIPULACION DE ALIMENTOS Y BPM",IF(O185=CURSOS!$D$33,"ATENCION A PERSONAS CON DISCAPACIDAD",IF(O185=CURSOS!$D$34,"CUIDADO INTEGRAL DEL PACIENTE ADULTO",IF(O185=CURSOS!$D$35,"MANEJO DEFENSIVO",IF(O185=CURSOS!$D$36,"SOPORTE CARDIOVASCULAR AVANZADO NEONATAL",IF(O185=CURSOS!$D$37,"SEGURIDAD DEL PACIENTE",IF(O185=CURSOS!$D$38,"MANEJO Y USO DEL DEA",IF(O185=CURSOS!$D$39,"TRIAGE")))))))))))))))))))))))))))))))))))))</f>
        <v xml:space="preserve">ATENCION A VICTIMAS DE VIOLENCIA SEXUAL </v>
      </c>
      <c r="V185" s="105" t="str">
        <f t="shared" si="23"/>
        <v>Leydi Dayana Mafla Melo</v>
      </c>
      <c r="W185" s="105" t="str">
        <f t="shared" si="24"/>
        <v>Leydi Dayana Mafla Melo</v>
      </c>
      <c r="X185" s="105" t="str">
        <f t="shared" si="25"/>
        <v>Leydi Dayana Mafla Melo-1006997979-VIOLENCIA SEXUAL</v>
      </c>
    </row>
    <row r="186" spans="1:24" hidden="1" x14ac:dyDescent="0.2">
      <c r="A186" s="103">
        <v>185</v>
      </c>
      <c r="B186" s="104">
        <v>1006997979</v>
      </c>
      <c r="C186" s="104" t="s">
        <v>539</v>
      </c>
      <c r="D186" s="104" t="s">
        <v>434</v>
      </c>
      <c r="E186" s="104" t="s">
        <v>540</v>
      </c>
      <c r="F186" s="104" t="s">
        <v>158</v>
      </c>
      <c r="G186" s="114">
        <v>30</v>
      </c>
      <c r="H186" s="114" t="s">
        <v>99</v>
      </c>
      <c r="I186" s="106" t="s">
        <v>408</v>
      </c>
      <c r="J186" s="107">
        <v>45566</v>
      </c>
      <c r="K186" s="88">
        <v>32000</v>
      </c>
      <c r="L186" s="114" t="s">
        <v>138</v>
      </c>
      <c r="M186" s="114" t="s">
        <v>85</v>
      </c>
      <c r="N186" s="114" t="s">
        <v>109</v>
      </c>
      <c r="O186" s="115" t="s">
        <v>25</v>
      </c>
      <c r="P186" s="109">
        <v>36988</v>
      </c>
      <c r="Q186" s="114" t="s">
        <v>110</v>
      </c>
      <c r="R186" s="104" t="s">
        <v>123</v>
      </c>
      <c r="S186" s="104">
        <v>3206489758</v>
      </c>
      <c r="T186" s="104" t="s">
        <v>541</v>
      </c>
      <c r="U186" s="105" t="str">
        <f>IF(O186=CURSOS!$D$3,"DIPLOMADO EN ATENCION PRE-HOSPITALARIA",IF(O186=CURSOS!$D$4,"ACOMPAÑAMIENTO Y MANEJO DEL DUELO",IF(O186=CURSOS!$D$5,"ATENCION A VICTIMAS DE ATAQUE CON AGENTES QUIMICOS ",IF(O186=CURSOS!$D$6,"PRIMEROS AUXILIOS ",IF(O186=CURSOS!$D$7,"DIPLOMADO DE UNIDAD DE CUIDADOS INTENSIVOS (UCI)",IF(O186=CURSOS!$D$8,"MODELO DE ATENCION PARA EVENTOS EMERGENTES EN SALUD MENTAL (CODIGO VERDE)",IF(O186=CURSOS!$D$9,"HUMANIZACION EN EL SERVICIO DE LA SALUD Y BUENAS PRACTICAS EN PACIENTE ",IF(O186=CURSOS!$D$10,"CLINICA DE HERIDAS ",IF(O186=CURSOS!$D$11,"TOMA DE CITOLOGIA CERVICO VAGINAL ",IF(O186=CURSOS!$D$12,"SOPORTE CARDIOVASCULAR AVANZADO (ACLS) ",IF(O186=CURSOS!$D$13,"CAMILLERO ",IF(O186=CURSOS!$D$14,"TOMA DE MUESTRAS Y LABORATORIO ",IF(O186=CURSOS!$D$15,"SOPORTE VITAL BASICO (BLS)",IF(O186=CURSOS!$D$16,"ATENCION A VICTIMAS DE VIOLENCIA SEXUAL ",IF(O186=CURSOS!$D$17,"PROGRAMADO AMPLIADO DE INMUNIZACION (PAI - COVID 19)",IF(O186=CURSOS!$D$18,"ATENCION INTEGRAL EN ENFERMEDADES PREVALENTES EN PRIMERA INFANCIA (AIEPI)",IF(O186=CURSOS!$D$19,"ADMINISTRACION DE MEDICAMENTOS, INYECTOLOGIA  Y CANALIZACION ",IF(O186=CURSOS!$D$20,"OPERADOR DE VEHICULOS DE EMERGENCIA (OVE)",IF(O186=CURSOS!$D$21,"INSTITUCIONES AMIGAS DE LA MUJER Y LA INFANCIA (IAMI)",IF(O186=CURSOS!$D$22,"CUIDADO DEL DONANTE DE ORGANOS",IF(O186=CURSOS!$D$23,"ATENCION A VICTIMAS POR VIOLENCIA DE GENERO",IF(O186=CURSOS!$D$24,"IGUALDAD DE GENERO EN LA SALUD",IF(O186=CURSOS!$D$25,"BRIGADA DE EMERGENCIA",IF(O186=CURSOS!$D$26,"MANEJO DEL DOLOR Y CUIDADOS PALIATIVOS",IF(O186=CURSOS!$D$27,"TOMA DE MUESTRAS Y LABORATORIO POCT",IF(O186=CURSOS!$D$28,"IMPLANTE SUBDERMICO DE DISPOSITIVO INTRAUTERINO",IF(O186=CURSOS!$D$29,"SALUD MENTAL",IF(O186=CURSOS!$D$30,"PRIMEROS AUXILIOS PSICOLOGICOS",IF(O186=CURSOS!$D$31,"ATENCION A VICTIMAS POR CONFLICTO ARMADO",IF(O186=CURSOS!$D$32,"MANIPULACION DE ALIMENTOS Y BPM",IF(O186=CURSOS!$D$33,"ATENCION A PERSONAS CON DISCAPACIDAD",IF(O186=CURSOS!$D$34,"CUIDADO INTEGRAL DEL PACIENTE ADULTO",IF(O186=CURSOS!$D$35,"MANEJO DEFENSIVO",IF(O186=CURSOS!$D$36,"SOPORTE CARDIOVASCULAR AVANZADO NEONATAL",IF(O186=CURSOS!$D$37,"SEGURIDAD DEL PACIENTE",IF(O186=CURSOS!$D$38,"MANEJO Y USO DEL DEA",IF(O186=CURSOS!$D$39,"TRIAGE")))))))))))))))))))))))))))))))))))))</f>
        <v xml:space="preserve">ATENCION A VICTIMAS DE ATAQUE CON AGENTES QUIMICOS </v>
      </c>
      <c r="V186" s="105" t="str">
        <f t="shared" si="23"/>
        <v>Leydi Dayana Mafla Melo</v>
      </c>
      <c r="W186" s="105" t="str">
        <f t="shared" si="24"/>
        <v>Leydi Dayana Mafla Melo</v>
      </c>
      <c r="X186" s="105" t="str">
        <f t="shared" si="25"/>
        <v>Leydi Dayana Mafla Melo-1006997979-QUIMICOS</v>
      </c>
    </row>
    <row r="187" spans="1:24" hidden="1" x14ac:dyDescent="0.2">
      <c r="A187" s="103">
        <v>186</v>
      </c>
      <c r="B187" s="104">
        <v>1006997979</v>
      </c>
      <c r="C187" s="104" t="s">
        <v>539</v>
      </c>
      <c r="D187" s="104" t="s">
        <v>434</v>
      </c>
      <c r="E187" s="104" t="s">
        <v>540</v>
      </c>
      <c r="F187" s="104" t="s">
        <v>158</v>
      </c>
      <c r="G187" s="114">
        <v>30</v>
      </c>
      <c r="H187" s="114" t="s">
        <v>99</v>
      </c>
      <c r="I187" s="106" t="s">
        <v>408</v>
      </c>
      <c r="J187" s="107">
        <v>45566</v>
      </c>
      <c r="K187" s="88">
        <v>32000</v>
      </c>
      <c r="L187" s="114" t="s">
        <v>138</v>
      </c>
      <c r="M187" s="114" t="s">
        <v>85</v>
      </c>
      <c r="N187" s="114" t="s">
        <v>109</v>
      </c>
      <c r="O187" s="115" t="s">
        <v>19</v>
      </c>
      <c r="P187" s="109">
        <v>36988</v>
      </c>
      <c r="Q187" s="114" t="s">
        <v>110</v>
      </c>
      <c r="R187" s="104" t="s">
        <v>123</v>
      </c>
      <c r="S187" s="104">
        <v>3206489758</v>
      </c>
      <c r="T187" s="104" t="s">
        <v>541</v>
      </c>
      <c r="U187" s="105" t="str">
        <f>IF(O187=CURSOS!$D$3,"DIPLOMADO EN ATENCION PRE-HOSPITALARIA",IF(O187=CURSOS!$D$4,"ACOMPAÑAMIENTO Y MANEJO DEL DUELO",IF(O187=CURSOS!$D$5,"ATENCION A VICTIMAS DE ATAQUE CON AGENTES QUIMICOS ",IF(O187=CURSOS!$D$6,"PRIMEROS AUXILIOS ",IF(O187=CURSOS!$D$7,"DIPLOMADO DE UNIDAD DE CUIDADOS INTENSIVOS (UCI)",IF(O187=CURSOS!$D$8,"MODELO DE ATENCION PARA EVENTOS EMERGENTES EN SALUD MENTAL (CODIGO VERDE)",IF(O187=CURSOS!$D$9,"HUMANIZACION EN EL SERVICIO DE LA SALUD Y BUENAS PRACTICAS EN PACIENTE ",IF(O187=CURSOS!$D$10,"CLINICA DE HERIDAS ",IF(O187=CURSOS!$D$11,"TOMA DE CITOLOGIA CERVICO VAGINAL ",IF(O187=CURSOS!$D$12,"SOPORTE CARDIOVASCULAR AVANZADO (ACLS) ",IF(O187=CURSOS!$D$13,"CAMILLERO ",IF(O187=CURSOS!$D$14,"TOMA DE MUESTRAS Y LABORATORIO ",IF(O187=CURSOS!$D$15,"SOPORTE VITAL BASICO (BLS)",IF(O187=CURSOS!$D$16,"ATENCION A VICTIMAS DE VIOLENCIA SEXUAL ",IF(O187=CURSOS!$D$17,"PROGRAMADO AMPLIADO DE INMUNIZACION (PAI - COVID 19)",IF(O187=CURSOS!$D$18,"ATENCION INTEGRAL EN ENFERMEDADES PREVALENTES EN PRIMERA INFANCIA (AIEPI)",IF(O187=CURSOS!$D$19,"ADMINISTRACION DE MEDICAMENTOS, INYECTOLOGIA  Y CANALIZACION ",IF(O187=CURSOS!$D$20,"OPERADOR DE VEHICULOS DE EMERGENCIA (OVE)",IF(O187=CURSOS!$D$21,"INSTITUCIONES AMIGAS DE LA MUJER Y LA INFANCIA (IAMI)",IF(O187=CURSOS!$D$22,"CUIDADO DEL DONANTE DE ORGANOS",IF(O187=CURSOS!$D$23,"ATENCION A VICTIMAS POR VIOLENCIA DE GENERO",IF(O187=CURSOS!$D$24,"IGUALDAD DE GENERO EN LA SALUD",IF(O187=CURSOS!$D$25,"BRIGADA DE EMERGENCIA",IF(O187=CURSOS!$D$26,"MANEJO DEL DOLOR Y CUIDADOS PALIATIVOS",IF(O187=CURSOS!$D$27,"TOMA DE MUESTRAS Y LABORATORIO POCT",IF(O187=CURSOS!$D$28,"IMPLANTE SUBDERMICO DE DISPOSITIVO INTRAUTERINO",IF(O187=CURSOS!$D$29,"SALUD MENTAL",IF(O187=CURSOS!$D$30,"PRIMEROS AUXILIOS PSICOLOGICOS",IF(O187=CURSOS!$D$31,"ATENCION A VICTIMAS POR CONFLICTO ARMADO",IF(O187=CURSOS!$D$32,"MANIPULACION DE ALIMENTOS Y BPM",IF(O187=CURSOS!$D$33,"ATENCION A PERSONAS CON DISCAPACIDAD",IF(O187=CURSOS!$D$34,"CUIDADO INTEGRAL DEL PACIENTE ADULTO",IF(O187=CURSOS!$D$35,"MANEJO DEFENSIVO",IF(O187=CURSOS!$D$36,"SOPORTE CARDIOVASCULAR AVANZADO NEONATAL",IF(O187=CURSOS!$D$37,"SEGURIDAD DEL PACIENTE",IF(O187=CURSOS!$D$38,"MANEJO Y USO DEL DEA",IF(O187=CURSOS!$D$39,"TRIAGE")))))))))))))))))))))))))))))))))))))</f>
        <v>SOPORTE VITAL BASICO (BLS)</v>
      </c>
      <c r="V187" s="105" t="str">
        <f t="shared" si="23"/>
        <v>Leydi Dayana Mafla Melo</v>
      </c>
      <c r="W187" s="105" t="str">
        <f t="shared" si="24"/>
        <v>Leydi Dayana Mafla Melo</v>
      </c>
      <c r="X187" s="105" t="str">
        <f t="shared" si="25"/>
        <v>Leydi Dayana Mafla Melo-1006997979-BLS</v>
      </c>
    </row>
    <row r="188" spans="1:24" hidden="1" x14ac:dyDescent="0.2">
      <c r="A188" s="103">
        <v>187</v>
      </c>
      <c r="B188" s="104">
        <v>59796045</v>
      </c>
      <c r="C188" s="104" t="s">
        <v>542</v>
      </c>
      <c r="D188" s="104" t="s">
        <v>387</v>
      </c>
      <c r="E188" s="104" t="s">
        <v>146</v>
      </c>
      <c r="F188" s="104" t="s">
        <v>543</v>
      </c>
      <c r="G188" s="114">
        <v>30</v>
      </c>
      <c r="H188" s="114" t="s">
        <v>99</v>
      </c>
      <c r="I188" s="106" t="s">
        <v>408</v>
      </c>
      <c r="J188" s="107">
        <v>45566</v>
      </c>
      <c r="K188" s="88">
        <v>32000</v>
      </c>
      <c r="L188" s="114" t="s">
        <v>138</v>
      </c>
      <c r="M188" s="114" t="s">
        <v>85</v>
      </c>
      <c r="N188" s="114" t="s">
        <v>109</v>
      </c>
      <c r="O188" s="115" t="s">
        <v>19</v>
      </c>
      <c r="P188" s="109">
        <v>28789</v>
      </c>
      <c r="Q188" s="114" t="s">
        <v>110</v>
      </c>
      <c r="R188" s="104" t="s">
        <v>123</v>
      </c>
      <c r="S188" s="104">
        <v>3196941164</v>
      </c>
      <c r="T188" s="104" t="s">
        <v>544</v>
      </c>
      <c r="U188" s="105" t="str">
        <f>IF(O188=CURSOS!$D$3,"DIPLOMADO EN ATENCION PRE-HOSPITALARIA",IF(O188=CURSOS!$D$4,"ACOMPAÑAMIENTO Y MANEJO DEL DUELO",IF(O188=CURSOS!$D$5,"ATENCION A VICTIMAS DE ATAQUE CON AGENTES QUIMICOS ",IF(O188=CURSOS!$D$6,"PRIMEROS AUXILIOS ",IF(O188=CURSOS!$D$7,"DIPLOMADO DE UNIDAD DE CUIDADOS INTENSIVOS (UCI)",IF(O188=CURSOS!$D$8,"MODELO DE ATENCION PARA EVENTOS EMERGENTES EN SALUD MENTAL (CODIGO VERDE)",IF(O188=CURSOS!$D$9,"HUMANIZACION EN EL SERVICIO DE LA SALUD Y BUENAS PRACTICAS EN PACIENTE ",IF(O188=CURSOS!$D$10,"CLINICA DE HERIDAS ",IF(O188=CURSOS!$D$11,"TOMA DE CITOLOGIA CERVICO VAGINAL ",IF(O188=CURSOS!$D$12,"SOPORTE CARDIOVASCULAR AVANZADO (ACLS) ",IF(O188=CURSOS!$D$13,"CAMILLERO ",IF(O188=CURSOS!$D$14,"TOMA DE MUESTRAS Y LABORATORIO ",IF(O188=CURSOS!$D$15,"SOPORTE VITAL BASICO (BLS)",IF(O188=CURSOS!$D$16,"ATENCION A VICTIMAS DE VIOLENCIA SEXUAL ",IF(O188=CURSOS!$D$17,"PROGRAMADO AMPLIADO DE INMUNIZACION (PAI - COVID 19)",IF(O188=CURSOS!$D$18,"ATENCION INTEGRAL EN ENFERMEDADES PREVALENTES EN PRIMERA INFANCIA (AIEPI)",IF(O188=CURSOS!$D$19,"ADMINISTRACION DE MEDICAMENTOS, INYECTOLOGIA  Y CANALIZACION ",IF(O188=CURSOS!$D$20,"OPERADOR DE VEHICULOS DE EMERGENCIA (OVE)",IF(O188=CURSOS!$D$21,"INSTITUCIONES AMIGAS DE LA MUJER Y LA INFANCIA (IAMI)",IF(O188=CURSOS!$D$22,"CUIDADO DEL DONANTE DE ORGANOS",IF(O188=CURSOS!$D$23,"ATENCION A VICTIMAS POR VIOLENCIA DE GENERO",IF(O188=CURSOS!$D$24,"IGUALDAD DE GENERO EN LA SALUD",IF(O188=CURSOS!$D$25,"BRIGADA DE EMERGENCIA",IF(O188=CURSOS!$D$26,"MANEJO DEL DOLOR Y CUIDADOS PALIATIVOS",IF(O188=CURSOS!$D$27,"TOMA DE MUESTRAS Y LABORATORIO POCT",IF(O188=CURSOS!$D$28,"IMPLANTE SUBDERMICO DE DISPOSITIVO INTRAUTERINO",IF(O188=CURSOS!$D$29,"SALUD MENTAL",IF(O188=CURSOS!$D$30,"PRIMEROS AUXILIOS PSICOLOGICOS",IF(O188=CURSOS!$D$31,"ATENCION A VICTIMAS POR CONFLICTO ARMADO",IF(O188=CURSOS!$D$32,"MANIPULACION DE ALIMENTOS Y BPM",IF(O188=CURSOS!$D$33,"ATENCION A PERSONAS CON DISCAPACIDAD",IF(O188=CURSOS!$D$34,"CUIDADO INTEGRAL DEL PACIENTE ADULTO",IF(O188=CURSOS!$D$35,"MANEJO DEFENSIVO",IF(O188=CURSOS!$D$36,"SOPORTE CARDIOVASCULAR AVANZADO NEONATAL",IF(O188=CURSOS!$D$37,"SEGURIDAD DEL PACIENTE",IF(O188=CURSOS!$D$38,"MANEJO Y USO DEL DEA",IF(O188=CURSOS!$D$39,"TRIAGE")))))))))))))))))))))))))))))))))))))</f>
        <v>SOPORTE VITAL BASICO (BLS)</v>
      </c>
      <c r="V188" s="105" t="str">
        <f t="shared" si="23"/>
        <v>Claudia Graciela Alvear Andrade</v>
      </c>
      <c r="W188" s="105" t="str">
        <f t="shared" si="24"/>
        <v>Claudia Graciela Alvear Andrade</v>
      </c>
      <c r="X188" s="105" t="str">
        <f t="shared" si="25"/>
        <v>Claudia Graciela Alvear Andrade-59796045-BLS</v>
      </c>
    </row>
    <row r="189" spans="1:24" hidden="1" x14ac:dyDescent="0.2">
      <c r="A189" s="103">
        <v>188</v>
      </c>
      <c r="B189" s="104">
        <v>1086358980</v>
      </c>
      <c r="C189" s="104" t="s">
        <v>545</v>
      </c>
      <c r="D189" s="104" t="s">
        <v>166</v>
      </c>
      <c r="E189" s="104" t="s">
        <v>546</v>
      </c>
      <c r="F189" s="104" t="s">
        <v>547</v>
      </c>
      <c r="G189" s="114">
        <v>28</v>
      </c>
      <c r="H189" s="114" t="s">
        <v>99</v>
      </c>
      <c r="I189" s="106" t="s">
        <v>408</v>
      </c>
      <c r="J189" s="107">
        <v>45565</v>
      </c>
      <c r="K189" s="88">
        <v>33333</v>
      </c>
      <c r="L189" s="114" t="s">
        <v>138</v>
      </c>
      <c r="M189" s="114" t="s">
        <v>85</v>
      </c>
      <c r="N189" s="114" t="s">
        <v>98</v>
      </c>
      <c r="O189" s="115" t="s">
        <v>27</v>
      </c>
      <c r="P189" s="109">
        <v>31927</v>
      </c>
      <c r="Q189" s="114" t="s">
        <v>110</v>
      </c>
      <c r="R189" s="104" t="s">
        <v>123</v>
      </c>
      <c r="S189" s="104">
        <v>3104972298</v>
      </c>
      <c r="T189" s="104" t="s">
        <v>548</v>
      </c>
      <c r="U189" s="105" t="str">
        <f>IF(O189=CURSOS!$D$3,"DIPLOMADO EN ATENCION PRE-HOSPITALARIA",IF(O189=CURSOS!$D$4,"ACOMPAÑAMIENTO Y MANEJO DEL DUELO",IF(O189=CURSOS!$D$5,"ATENCION A VICTIMAS DE ATAQUE CON AGENTES QUIMICOS ",IF(O189=CURSOS!$D$6,"PRIMEROS AUXILIOS ",IF(O189=CURSOS!$D$7,"DIPLOMADO DE UNIDAD DE CUIDADOS INTENSIVOS (UCI)",IF(O189=CURSOS!$D$8,"MODELO DE ATENCION PARA EVENTOS EMERGENTES EN SALUD MENTAL (CODIGO VERDE)",IF(O189=CURSOS!$D$9,"HUMANIZACION EN EL SERVICIO DE LA SALUD Y BUENAS PRACTICAS EN PACIENTE ",IF(O189=CURSOS!$D$10,"CLINICA DE HERIDAS ",IF(O189=CURSOS!$D$11,"TOMA DE CITOLOGIA CERVICO VAGINAL ",IF(O189=CURSOS!$D$12,"SOPORTE CARDIOVASCULAR AVANZADO (ACLS) ",IF(O189=CURSOS!$D$13,"CAMILLERO ",IF(O189=CURSOS!$D$14,"TOMA DE MUESTRAS Y LABORATORIO ",IF(O189=CURSOS!$D$15,"SOPORTE VITAL BASICO (BLS)",IF(O189=CURSOS!$D$16,"ATENCION A VICTIMAS DE VIOLENCIA SEXUAL ",IF(O189=CURSOS!$D$17,"PROGRAMADO AMPLIADO DE INMUNIZACION (PAI - COVID 19)",IF(O189=CURSOS!$D$18,"ATENCION INTEGRAL EN ENFERMEDADES PREVALENTES EN PRIMERA INFANCIA (AIEPI)",IF(O189=CURSOS!$D$19,"ADMINISTRACION DE MEDICAMENTOS, INYECTOLOGIA  Y CANALIZACION ",IF(O189=CURSOS!$D$20,"OPERADOR DE VEHICULOS DE EMERGENCIA (OVE)",IF(O189=CURSOS!$D$21,"INSTITUCIONES AMIGAS DE LA MUJER Y LA INFANCIA (IAMI)",IF(O189=CURSOS!$D$22,"CUIDADO DEL DONANTE DE ORGANOS",IF(O189=CURSOS!$D$23,"ATENCION A VICTIMAS POR VIOLENCIA DE GENERO",IF(O189=CURSOS!$D$24,"IGUALDAD DE GENERO EN LA SALUD",IF(O189=CURSOS!$D$25,"BRIGADA DE EMERGENCIA",IF(O189=CURSOS!$D$26,"MANEJO DEL DOLOR Y CUIDADOS PALIATIVOS",IF(O189=CURSOS!$D$27,"TOMA DE MUESTRAS Y LABORATORIO POCT",IF(O189=CURSOS!$D$28,"IMPLANTE SUBDERMICO DE DISPOSITIVO INTRAUTERINO",IF(O189=CURSOS!$D$29,"SALUD MENTAL",IF(O189=CURSOS!$D$30,"PRIMEROS AUXILIOS PSICOLOGICOS",IF(O189=CURSOS!$D$31,"ATENCION A VICTIMAS POR CONFLICTO ARMADO",IF(O189=CURSOS!$D$32,"MANIPULACION DE ALIMENTOS Y BPM",IF(O189=CURSOS!$D$33,"ATENCION A PERSONAS CON DISCAPACIDAD",IF(O189=CURSOS!$D$34,"CUIDADO INTEGRAL DEL PACIENTE ADULTO",IF(O189=CURSOS!$D$35,"MANEJO DEFENSIVO",IF(O189=CURSOS!$D$36,"SOPORTE CARDIOVASCULAR AVANZADO NEONATAL",IF(O189=CURSOS!$D$37,"SEGURIDAD DEL PACIENTE",IF(O189=CURSOS!$D$38,"MANEJO Y USO DEL DEA",IF(O189=CURSOS!$D$39,"TRIAGE")))))))))))))))))))))))))))))))))))))</f>
        <v xml:space="preserve">PRIMEROS AUXILIOS </v>
      </c>
      <c r="V189" s="105" t="str">
        <f t="shared" si="23"/>
        <v>Daira Lilian Cancimance Burbano</v>
      </c>
      <c r="W189" s="105" t="str">
        <f t="shared" si="24"/>
        <v>Daira Lilian Cancimance Burbano</v>
      </c>
      <c r="X189" s="105" t="str">
        <f t="shared" si="25"/>
        <v>Daira Lilian Cancimance Burbano-1086358980-PRIMEROS AUXILIOS</v>
      </c>
    </row>
    <row r="190" spans="1:24" hidden="1" x14ac:dyDescent="0.2">
      <c r="A190" s="103">
        <v>189</v>
      </c>
      <c r="B190" s="104">
        <v>1086358980</v>
      </c>
      <c r="C190" s="104" t="s">
        <v>545</v>
      </c>
      <c r="D190" s="104" t="s">
        <v>166</v>
      </c>
      <c r="E190" s="104" t="s">
        <v>546</v>
      </c>
      <c r="F190" s="104" t="s">
        <v>547</v>
      </c>
      <c r="G190" s="114">
        <v>30</v>
      </c>
      <c r="H190" s="114" t="s">
        <v>99</v>
      </c>
      <c r="I190" s="106" t="s">
        <v>408</v>
      </c>
      <c r="J190" s="107">
        <v>45565</v>
      </c>
      <c r="K190" s="88">
        <v>33333</v>
      </c>
      <c r="L190" s="114" t="s">
        <v>138</v>
      </c>
      <c r="M190" s="114" t="s">
        <v>85</v>
      </c>
      <c r="N190" s="114" t="s">
        <v>98</v>
      </c>
      <c r="O190" s="115" t="s">
        <v>66</v>
      </c>
      <c r="P190" s="109">
        <v>31927</v>
      </c>
      <c r="Q190" s="114" t="s">
        <v>110</v>
      </c>
      <c r="R190" s="104" t="s">
        <v>123</v>
      </c>
      <c r="S190" s="104">
        <v>3104972298</v>
      </c>
      <c r="T190" s="104" t="s">
        <v>548</v>
      </c>
      <c r="U190" s="105" t="str">
        <f>IF(O190=CURSOS!$D$3,"DIPLOMADO EN ATENCION PRE-HOSPITALARIA",IF(O190=CURSOS!$D$4,"ACOMPAÑAMIENTO Y MANEJO DEL DUELO",IF(O190=CURSOS!$D$5,"ATENCION A VICTIMAS DE ATAQUE CON AGENTES QUIMICOS ",IF(O190=CURSOS!$D$6,"PRIMEROS AUXILIOS ",IF(O190=CURSOS!$D$7,"DIPLOMADO DE UNIDAD DE CUIDADOS INTENSIVOS (UCI)",IF(O190=CURSOS!$D$8,"MODELO DE ATENCION PARA EVENTOS EMERGENTES EN SALUD MENTAL (CODIGO VERDE)",IF(O190=CURSOS!$D$9,"HUMANIZACION EN EL SERVICIO DE LA SALUD Y BUENAS PRACTICAS EN PACIENTE ",IF(O190=CURSOS!$D$10,"CLINICA DE HERIDAS ",IF(O190=CURSOS!$D$11,"TOMA DE CITOLOGIA CERVICO VAGINAL ",IF(O190=CURSOS!$D$12,"SOPORTE CARDIOVASCULAR AVANZADO (ACLS) ",IF(O190=CURSOS!$D$13,"CAMILLERO ",IF(O190=CURSOS!$D$14,"TOMA DE MUESTRAS Y LABORATORIO ",IF(O190=CURSOS!$D$15,"SOPORTE VITAL BASICO (BLS)",IF(O190=CURSOS!$D$16,"ATENCION A VICTIMAS DE VIOLENCIA SEXUAL ",IF(O190=CURSOS!$D$17,"PROGRAMADO AMPLIADO DE INMUNIZACION (PAI - COVID 19)",IF(O190=CURSOS!$D$18,"ATENCION INTEGRAL EN ENFERMEDADES PREVALENTES EN PRIMERA INFANCIA (AIEPI)",IF(O190=CURSOS!$D$19,"ADMINISTRACION DE MEDICAMENTOS, INYECTOLOGIA  Y CANALIZACION ",IF(O190=CURSOS!$D$20,"OPERADOR DE VEHICULOS DE EMERGENCIA (OVE)",IF(O190=CURSOS!$D$21,"INSTITUCIONES AMIGAS DE LA MUJER Y LA INFANCIA (IAMI)",IF(O190=CURSOS!$D$22,"CUIDADO DEL DONANTE DE ORGANOS",IF(O190=CURSOS!$D$23,"ATENCION A VICTIMAS POR VIOLENCIA DE GENERO",IF(O190=CURSOS!$D$24,"IGUALDAD DE GENERO EN LA SALUD",IF(O190=CURSOS!$D$25,"BRIGADA DE EMERGENCIA",IF(O190=CURSOS!$D$26,"MANEJO DEL DOLOR Y CUIDADOS PALIATIVOS",IF(O190=CURSOS!$D$27,"TOMA DE MUESTRAS Y LABORATORIO POCT",IF(O190=CURSOS!$D$28,"IMPLANTE SUBDERMICO DE DISPOSITIVO INTRAUTERINO",IF(O190=CURSOS!$D$29,"SALUD MENTAL",IF(O190=CURSOS!$D$30,"PRIMEROS AUXILIOS PSICOLOGICOS",IF(O190=CURSOS!$D$31,"ATENCION A VICTIMAS POR CONFLICTO ARMADO",IF(O190=CURSOS!$D$32,"MANIPULACION DE ALIMENTOS Y BPM",IF(O190=CURSOS!$D$33,"ATENCION A PERSONAS CON DISCAPACIDAD",IF(O190=CURSOS!$D$34,"CUIDADO INTEGRAL DEL PACIENTE ADULTO",IF(O190=CURSOS!$D$35,"MANEJO DEFENSIVO",IF(O190=CURSOS!$D$36,"SOPORTE CARDIOVASCULAR AVANZADO NEONATAL",IF(O190=CURSOS!$D$37,"SEGURIDAD DEL PACIENTE",IF(O190=CURSOS!$D$38,"MANEJO Y USO DEL DEA",IF(O190=CURSOS!$D$39,"TRIAGE")))))))))))))))))))))))))))))))))))))</f>
        <v>PRIMEROS AUXILIOS PSICOLOGICOS</v>
      </c>
      <c r="V190" s="105" t="str">
        <f t="shared" si="23"/>
        <v>Daira Lilian Cancimance Burbano</v>
      </c>
      <c r="W190" s="105" t="str">
        <f t="shared" si="24"/>
        <v>Daira Lilian Cancimance Burbano</v>
      </c>
      <c r="X190" s="105" t="str">
        <f t="shared" si="25"/>
        <v>Daira Lilian Cancimance Burbano-1086358980-PRIMEROS AUXILIOS P</v>
      </c>
    </row>
    <row r="191" spans="1:24" hidden="1" x14ac:dyDescent="0.2">
      <c r="A191" s="103">
        <v>190</v>
      </c>
      <c r="B191" s="104">
        <v>1086358980</v>
      </c>
      <c r="C191" s="104" t="s">
        <v>545</v>
      </c>
      <c r="D191" s="104" t="s">
        <v>166</v>
      </c>
      <c r="E191" s="104" t="s">
        <v>546</v>
      </c>
      <c r="F191" s="104" t="s">
        <v>547</v>
      </c>
      <c r="G191" s="114">
        <v>30</v>
      </c>
      <c r="H191" s="114" t="s">
        <v>99</v>
      </c>
      <c r="I191" s="106" t="s">
        <v>408</v>
      </c>
      <c r="J191" s="107">
        <v>45565</v>
      </c>
      <c r="K191" s="88">
        <v>33333</v>
      </c>
      <c r="L191" s="114" t="s">
        <v>138</v>
      </c>
      <c r="M191" s="114" t="s">
        <v>85</v>
      </c>
      <c r="N191" s="114" t="s">
        <v>98</v>
      </c>
      <c r="O191" s="115" t="s">
        <v>33</v>
      </c>
      <c r="P191" s="109">
        <v>31927</v>
      </c>
      <c r="Q191" s="114" t="s">
        <v>110</v>
      </c>
      <c r="R191" s="104" t="s">
        <v>123</v>
      </c>
      <c r="S191" s="104">
        <v>3104972298</v>
      </c>
      <c r="T191" s="104" t="s">
        <v>548</v>
      </c>
      <c r="U191" s="105" t="str">
        <f>IF(O191=CURSOS!$D$3,"DIPLOMADO EN ATENCION PRE-HOSPITALARIA",IF(O191=CURSOS!$D$4,"ACOMPAÑAMIENTO Y MANEJO DEL DUELO",IF(O191=CURSOS!$D$5,"ATENCION A VICTIMAS DE ATAQUE CON AGENTES QUIMICOS ",IF(O191=CURSOS!$D$6,"PRIMEROS AUXILIOS ",IF(O191=CURSOS!$D$7,"DIPLOMADO DE UNIDAD DE CUIDADOS INTENSIVOS (UCI)",IF(O191=CURSOS!$D$8,"MODELO DE ATENCION PARA EVENTOS EMERGENTES EN SALUD MENTAL (CODIGO VERDE)",IF(O191=CURSOS!$D$9,"HUMANIZACION EN EL SERVICIO DE LA SALUD Y BUENAS PRACTICAS EN PACIENTE ",IF(O191=CURSOS!$D$10,"CLINICA DE HERIDAS ",IF(O191=CURSOS!$D$11,"TOMA DE CITOLOGIA CERVICO VAGINAL ",IF(O191=CURSOS!$D$12,"SOPORTE CARDIOVASCULAR AVANZADO (ACLS) ",IF(O191=CURSOS!$D$13,"CAMILLERO ",IF(O191=CURSOS!$D$14,"TOMA DE MUESTRAS Y LABORATORIO ",IF(O191=CURSOS!$D$15,"SOPORTE VITAL BASICO (BLS)",IF(O191=CURSOS!$D$16,"ATENCION A VICTIMAS DE VIOLENCIA SEXUAL ",IF(O191=CURSOS!$D$17,"PROGRAMADO AMPLIADO DE INMUNIZACION (PAI - COVID 19)",IF(O191=CURSOS!$D$18,"ATENCION INTEGRAL EN ENFERMEDADES PREVALENTES EN PRIMERA INFANCIA (AIEPI)",IF(O191=CURSOS!$D$19,"ADMINISTRACION DE MEDICAMENTOS, INYECTOLOGIA  Y CANALIZACION ",IF(O191=CURSOS!$D$20,"OPERADOR DE VEHICULOS DE EMERGENCIA (OVE)",IF(O191=CURSOS!$D$21,"INSTITUCIONES AMIGAS DE LA MUJER Y LA INFANCIA (IAMI)",IF(O191=CURSOS!$D$22,"CUIDADO DEL DONANTE DE ORGANOS",IF(O191=CURSOS!$D$23,"ATENCION A VICTIMAS POR VIOLENCIA DE GENERO",IF(O191=CURSOS!$D$24,"IGUALDAD DE GENERO EN LA SALUD",IF(O191=CURSOS!$D$25,"BRIGADA DE EMERGENCIA",IF(O191=CURSOS!$D$26,"MANEJO DEL DOLOR Y CUIDADOS PALIATIVOS",IF(O191=CURSOS!$D$27,"TOMA DE MUESTRAS Y LABORATORIO POCT",IF(O191=CURSOS!$D$28,"IMPLANTE SUBDERMICO DE DISPOSITIVO INTRAUTERINO",IF(O191=CURSOS!$D$29,"SALUD MENTAL",IF(O191=CURSOS!$D$30,"PRIMEROS AUXILIOS PSICOLOGICOS",IF(O191=CURSOS!$D$31,"ATENCION A VICTIMAS POR CONFLICTO ARMADO",IF(O191=CURSOS!$D$32,"MANIPULACION DE ALIMENTOS Y BPM",IF(O191=CURSOS!$D$33,"ATENCION A PERSONAS CON DISCAPACIDAD",IF(O191=CURSOS!$D$34,"CUIDADO INTEGRAL DEL PACIENTE ADULTO",IF(O191=CURSOS!$D$35,"MANEJO DEFENSIVO",IF(O191=CURSOS!$D$36,"SOPORTE CARDIOVASCULAR AVANZADO NEONATAL",IF(O191=CURSOS!$D$37,"SEGURIDAD DEL PACIENTE",IF(O191=CURSOS!$D$38,"MANEJO Y USO DEL DEA",IF(O191=CURSOS!$D$39,"TRIAGE")))))))))))))))))))))))))))))))))))))</f>
        <v xml:space="preserve">HUMANIZACION EN EL SERVICIO DE LA SALUD Y BUENAS PRACTICAS EN PACIENTE </v>
      </c>
      <c r="V191" s="105" t="str">
        <f t="shared" si="23"/>
        <v>Daira Lilian Cancimance Burbano</v>
      </c>
      <c r="W191" s="105" t="str">
        <f t="shared" si="24"/>
        <v>Daira Lilian Cancimance Burbano</v>
      </c>
      <c r="X191" s="105" t="str">
        <f t="shared" si="25"/>
        <v>Daira Lilian Cancimance Burbano-1086358980-HUMANIZACION</v>
      </c>
    </row>
    <row r="192" spans="1:24" ht="15.75" hidden="1" x14ac:dyDescent="0.25">
      <c r="A192" s="103">
        <v>191</v>
      </c>
      <c r="B192" s="104">
        <v>1010207782</v>
      </c>
      <c r="C192" s="104" t="s">
        <v>550</v>
      </c>
      <c r="D192" s="104" t="s">
        <v>551</v>
      </c>
      <c r="E192" s="104" t="s">
        <v>552</v>
      </c>
      <c r="F192" s="104" t="s">
        <v>257</v>
      </c>
      <c r="G192" s="114">
        <v>28</v>
      </c>
      <c r="H192" s="114" t="s">
        <v>99</v>
      </c>
      <c r="I192" s="106" t="s">
        <v>408</v>
      </c>
      <c r="J192" s="107">
        <v>45565</v>
      </c>
      <c r="K192" s="88">
        <v>115000</v>
      </c>
      <c r="L192" s="114" t="s">
        <v>138</v>
      </c>
      <c r="M192" s="114" t="s">
        <v>85</v>
      </c>
      <c r="N192" s="114" t="s">
        <v>98</v>
      </c>
      <c r="O192" s="115" t="s">
        <v>38</v>
      </c>
      <c r="P192" s="109">
        <v>34031</v>
      </c>
      <c r="Q192" s="114" t="s">
        <v>110</v>
      </c>
      <c r="R192" s="151" t="s">
        <v>105</v>
      </c>
      <c r="S192" s="104">
        <v>3168247033</v>
      </c>
      <c r="T192" s="104" t="s">
        <v>553</v>
      </c>
      <c r="U192" s="105" t="str">
        <f>IF(O192=CURSOS!$D$3,"DIPLOMADO EN ATENCION PRE-HOSPITALARIA",IF(O192=CURSOS!$D$4,"ACOMPAÑAMIENTO Y MANEJO DEL DUELO",IF(O192=CURSOS!$D$5,"ATENCION A VICTIMAS DE ATAQUE CON AGENTES QUIMICOS ",IF(O192=CURSOS!$D$6,"PRIMEROS AUXILIOS ",IF(O192=CURSOS!$D$7,"DIPLOMADO DE UNIDAD DE CUIDADOS INTENSIVOS (UCI)",IF(O192=CURSOS!$D$8,"MODELO DE ATENCION PARA EVENTOS EMERGENTES EN SALUD MENTAL (CODIGO VERDE)",IF(O192=CURSOS!$D$9,"HUMANIZACION EN EL SERVICIO DE LA SALUD Y BUENAS PRACTICAS EN PACIENTE ",IF(O192=CURSOS!$D$10,"CLINICA DE HERIDAS ",IF(O192=CURSOS!$D$11,"TOMA DE CITOLOGIA CERVICO VAGINAL ",IF(O192=CURSOS!$D$12,"SOPORTE CARDIOVASCULAR AVANZADO (ACLS) ",IF(O192=CURSOS!$D$13,"CAMILLERO ",IF(O192=CURSOS!$D$14,"TOMA DE MUESTRAS Y LABORATORIO ",IF(O192=CURSOS!$D$15,"SOPORTE VITAL BASICO (BLS)",IF(O192=CURSOS!$D$16,"ATENCION A VICTIMAS DE VIOLENCIA SEXUAL ",IF(O192=CURSOS!$D$17,"PROGRAMADO AMPLIADO DE INMUNIZACION (PAI - COVID 19)",IF(O192=CURSOS!$D$18,"ATENCION INTEGRAL EN ENFERMEDADES PREVALENTES EN PRIMERA INFANCIA (AIEPI)",IF(O192=CURSOS!$D$19,"ADMINISTRACION DE MEDICAMENTOS, INYECTOLOGIA  Y CANALIZACION ",IF(O192=CURSOS!$D$20,"OPERADOR DE VEHICULOS DE EMERGENCIA (OVE)",IF(O192=CURSOS!$D$21,"INSTITUCIONES AMIGAS DE LA MUJER Y LA INFANCIA (IAMI)",IF(O192=CURSOS!$D$22,"CUIDADO DEL DONANTE DE ORGANOS",IF(O192=CURSOS!$D$23,"ATENCION A VICTIMAS POR VIOLENCIA DE GENERO",IF(O192=CURSOS!$D$24,"IGUALDAD DE GENERO EN LA SALUD",IF(O192=CURSOS!$D$25,"BRIGADA DE EMERGENCIA",IF(O192=CURSOS!$D$26,"MANEJO DEL DOLOR Y CUIDADOS PALIATIVOS",IF(O192=CURSOS!$D$27,"TOMA DE MUESTRAS Y LABORATORIO POCT",IF(O192=CURSOS!$D$28,"IMPLANTE SUBDERMICO DE DISPOSITIVO INTRAUTERINO",IF(O192=CURSOS!$D$29,"SALUD MENTAL",IF(O192=CURSOS!$D$30,"PRIMEROS AUXILIOS PSICOLOGICOS",IF(O192=CURSOS!$D$31,"ATENCION A VICTIMAS POR CONFLICTO ARMADO",IF(O192=CURSOS!$D$32,"MANIPULACION DE ALIMENTOS Y BPM",IF(O192=CURSOS!$D$33,"ATENCION A PERSONAS CON DISCAPACIDAD",IF(O192=CURSOS!$D$34,"CUIDADO INTEGRAL DEL PACIENTE ADULTO",IF(O192=CURSOS!$D$35,"MANEJO DEFENSIVO",IF(O192=CURSOS!$D$36,"SOPORTE CARDIOVASCULAR AVANZADO NEONATAL",IF(O192=CURSOS!$D$37,"SEGURIDAD DEL PACIENTE",IF(O192=CURSOS!$D$38,"MANEJO Y USO DEL DEA",IF(O192=CURSOS!$D$39,"TRIAGE")))))))))))))))))))))))))))))))))))))</f>
        <v xml:space="preserve">SOPORTE CARDIOVASCULAR AVANZADO (ACLS) </v>
      </c>
      <c r="V192" s="105" t="str">
        <f t="shared" si="23"/>
        <v>Wanda Elizabeth Quiñones Angulo</v>
      </c>
      <c r="W192" s="105" t="str">
        <f t="shared" si="24"/>
        <v>Wanda Elizabeth Quiñones Angulo</v>
      </c>
      <c r="X192" s="105" t="str">
        <f t="shared" si="25"/>
        <v>Wanda Elizabeth Quiñones Angulo-1010207782-ACLS</v>
      </c>
    </row>
    <row r="193" spans="1:24" ht="15.75" hidden="1" x14ac:dyDescent="0.25">
      <c r="A193" s="103">
        <v>192</v>
      </c>
      <c r="B193" s="104">
        <v>1010207782</v>
      </c>
      <c r="C193" s="104" t="s">
        <v>550</v>
      </c>
      <c r="D193" s="104" t="s">
        <v>551</v>
      </c>
      <c r="E193" s="104" t="s">
        <v>552</v>
      </c>
      <c r="F193" s="104" t="s">
        <v>257</v>
      </c>
      <c r="G193" s="114">
        <v>28</v>
      </c>
      <c r="H193" s="114" t="s">
        <v>99</v>
      </c>
      <c r="I193" s="106" t="s">
        <v>408</v>
      </c>
      <c r="J193" s="107">
        <v>45565</v>
      </c>
      <c r="K193" s="88">
        <v>115000</v>
      </c>
      <c r="L193" s="114" t="s">
        <v>138</v>
      </c>
      <c r="M193" s="114" t="s">
        <v>85</v>
      </c>
      <c r="N193" s="114" t="s">
        <v>98</v>
      </c>
      <c r="O193" s="115" t="s">
        <v>46</v>
      </c>
      <c r="P193" s="109">
        <v>34031</v>
      </c>
      <c r="Q193" s="114" t="s">
        <v>110</v>
      </c>
      <c r="R193" s="151" t="s">
        <v>105</v>
      </c>
      <c r="S193" s="104">
        <v>3168247033</v>
      </c>
      <c r="T193" s="104" t="s">
        <v>553</v>
      </c>
      <c r="U193" s="105" t="str">
        <f>IF(O193=CURSOS!$D$3,"DIPLOMADO EN ATENCION PRE-HOSPITALARIA",IF(O193=CURSOS!$D$4,"ACOMPAÑAMIENTO Y MANEJO DEL DUELO",IF(O193=CURSOS!$D$5,"ATENCION A VICTIMAS DE ATAQUE CON AGENTES QUIMICOS ",IF(O193=CURSOS!$D$6,"PRIMEROS AUXILIOS ",IF(O193=CURSOS!$D$7,"DIPLOMADO DE UNIDAD DE CUIDADOS INTENSIVOS (UCI)",IF(O193=CURSOS!$D$8,"MODELO DE ATENCION PARA EVENTOS EMERGENTES EN SALUD MENTAL (CODIGO VERDE)",IF(O193=CURSOS!$D$9,"HUMANIZACION EN EL SERVICIO DE LA SALUD Y BUENAS PRACTICAS EN PACIENTE ",IF(O193=CURSOS!$D$10,"CLINICA DE HERIDAS ",IF(O193=CURSOS!$D$11,"TOMA DE CITOLOGIA CERVICO VAGINAL ",IF(O193=CURSOS!$D$12,"SOPORTE CARDIOVASCULAR AVANZADO (ACLS) ",IF(O193=CURSOS!$D$13,"CAMILLERO ",IF(O193=CURSOS!$D$14,"TOMA DE MUESTRAS Y LABORATORIO ",IF(O193=CURSOS!$D$15,"SOPORTE VITAL BASICO (BLS)",IF(O193=CURSOS!$D$16,"ATENCION A VICTIMAS DE VIOLENCIA SEXUAL ",IF(O193=CURSOS!$D$17,"PROGRAMADO AMPLIADO DE INMUNIZACION (PAI - COVID 19)",IF(O193=CURSOS!$D$18,"ATENCION INTEGRAL EN ENFERMEDADES PREVALENTES EN PRIMERA INFANCIA (AIEPI)",IF(O193=CURSOS!$D$19,"ADMINISTRACION DE MEDICAMENTOS, INYECTOLOGIA  Y CANALIZACION ",IF(O193=CURSOS!$D$20,"OPERADOR DE VEHICULOS DE EMERGENCIA (OVE)",IF(O193=CURSOS!$D$21,"INSTITUCIONES AMIGAS DE LA MUJER Y LA INFANCIA (IAMI)",IF(O193=CURSOS!$D$22,"CUIDADO DEL DONANTE DE ORGANOS",IF(O193=CURSOS!$D$23,"ATENCION A VICTIMAS POR VIOLENCIA DE GENERO",IF(O193=CURSOS!$D$24,"IGUALDAD DE GENERO EN LA SALUD",IF(O193=CURSOS!$D$25,"BRIGADA DE EMERGENCIA",IF(O193=CURSOS!$D$26,"MANEJO DEL DOLOR Y CUIDADOS PALIATIVOS",IF(O193=CURSOS!$D$27,"TOMA DE MUESTRAS Y LABORATORIO POCT",IF(O193=CURSOS!$D$28,"IMPLANTE SUBDERMICO DE DISPOSITIVO INTRAUTERINO",IF(O193=CURSOS!$D$29,"SALUD MENTAL",IF(O193=CURSOS!$D$30,"PRIMEROS AUXILIOS PSICOLOGICOS",IF(O193=CURSOS!$D$31,"ATENCION A VICTIMAS POR CONFLICTO ARMADO",IF(O193=CURSOS!$D$32,"MANIPULACION DE ALIMENTOS Y BPM",IF(O193=CURSOS!$D$33,"ATENCION A PERSONAS CON DISCAPACIDAD",IF(O193=CURSOS!$D$34,"CUIDADO INTEGRAL DEL PACIENTE ADULTO",IF(O193=CURSOS!$D$35,"MANEJO DEFENSIVO",IF(O193=CURSOS!$D$36,"SOPORTE CARDIOVASCULAR AVANZADO NEONATAL",IF(O193=CURSOS!$D$37,"SEGURIDAD DEL PACIENTE",IF(O193=CURSOS!$D$38,"MANEJO Y USO DEL DEA",IF(O193=CURSOS!$D$39,"TRIAGE")))))))))))))))))))))))))))))))))))))</f>
        <v>ATENCION INTEGRAL EN ENFERMEDADES PREVALENTES EN PRIMERA INFANCIA (AIEPI)</v>
      </c>
      <c r="V193" s="105" t="str">
        <f t="shared" si="23"/>
        <v>Wanda Elizabeth Quiñones Angulo</v>
      </c>
      <c r="W193" s="105" t="str">
        <f t="shared" si="24"/>
        <v>Wanda Elizabeth Quiñones Angulo</v>
      </c>
      <c r="X193" s="105" t="str">
        <f t="shared" si="25"/>
        <v>Wanda Elizabeth Quiñones Angulo-1010207782-AIEPI</v>
      </c>
    </row>
    <row r="194" spans="1:24" ht="15.75" hidden="1" x14ac:dyDescent="0.25">
      <c r="A194" s="103">
        <v>193</v>
      </c>
      <c r="B194" s="104">
        <v>1010207782</v>
      </c>
      <c r="C194" s="104" t="s">
        <v>550</v>
      </c>
      <c r="D194" s="104" t="s">
        <v>551</v>
      </c>
      <c r="E194" s="104" t="s">
        <v>552</v>
      </c>
      <c r="F194" s="104" t="s">
        <v>257</v>
      </c>
      <c r="G194" s="114">
        <v>27</v>
      </c>
      <c r="H194" s="114" t="s">
        <v>99</v>
      </c>
      <c r="I194" s="106" t="s">
        <v>408</v>
      </c>
      <c r="J194" s="107">
        <v>45565</v>
      </c>
      <c r="K194" s="88">
        <v>115000</v>
      </c>
      <c r="L194" s="114" t="s">
        <v>138</v>
      </c>
      <c r="M194" s="114" t="s">
        <v>85</v>
      </c>
      <c r="N194" s="114" t="s">
        <v>98</v>
      </c>
      <c r="O194" s="115" t="s">
        <v>51</v>
      </c>
      <c r="P194" s="109">
        <v>34031</v>
      </c>
      <c r="Q194" s="114" t="s">
        <v>110</v>
      </c>
      <c r="R194" s="151" t="s">
        <v>105</v>
      </c>
      <c r="S194" s="104">
        <v>3168247033</v>
      </c>
      <c r="T194" s="104" t="s">
        <v>553</v>
      </c>
      <c r="U194" s="105" t="str">
        <f>IF(O194=CURSOS!$D$3,"DIPLOMADO EN ATENCION PRE-HOSPITALARIA",IF(O194=CURSOS!$D$4,"ACOMPAÑAMIENTO Y MANEJO DEL DUELO",IF(O194=CURSOS!$D$5,"ATENCION A VICTIMAS DE ATAQUE CON AGENTES QUIMICOS ",IF(O194=CURSOS!$D$6,"PRIMEROS AUXILIOS ",IF(O194=CURSOS!$D$7,"DIPLOMADO DE UNIDAD DE CUIDADOS INTENSIVOS (UCI)",IF(O194=CURSOS!$D$8,"MODELO DE ATENCION PARA EVENTOS EMERGENTES EN SALUD MENTAL (CODIGO VERDE)",IF(O194=CURSOS!$D$9,"HUMANIZACION EN EL SERVICIO DE LA SALUD Y BUENAS PRACTICAS EN PACIENTE ",IF(O194=CURSOS!$D$10,"CLINICA DE HERIDAS ",IF(O194=CURSOS!$D$11,"TOMA DE CITOLOGIA CERVICO VAGINAL ",IF(O194=CURSOS!$D$12,"SOPORTE CARDIOVASCULAR AVANZADO (ACLS) ",IF(O194=CURSOS!$D$13,"CAMILLERO ",IF(O194=CURSOS!$D$14,"TOMA DE MUESTRAS Y LABORATORIO ",IF(O194=CURSOS!$D$15,"SOPORTE VITAL BASICO (BLS)",IF(O194=CURSOS!$D$16,"ATENCION A VICTIMAS DE VIOLENCIA SEXUAL ",IF(O194=CURSOS!$D$17,"PROGRAMADO AMPLIADO DE INMUNIZACION (PAI - COVID 19)",IF(O194=CURSOS!$D$18,"ATENCION INTEGRAL EN ENFERMEDADES PREVALENTES EN PRIMERA INFANCIA (AIEPI)",IF(O194=CURSOS!$D$19,"ADMINISTRACION DE MEDICAMENTOS, INYECTOLOGIA  Y CANALIZACION ",IF(O194=CURSOS!$D$20,"OPERADOR DE VEHICULOS DE EMERGENCIA (OVE)",IF(O194=CURSOS!$D$21,"INSTITUCIONES AMIGAS DE LA MUJER Y LA INFANCIA (IAMI)",IF(O194=CURSOS!$D$22,"CUIDADO DEL DONANTE DE ORGANOS",IF(O194=CURSOS!$D$23,"ATENCION A VICTIMAS POR VIOLENCIA DE GENERO",IF(O194=CURSOS!$D$24,"IGUALDAD DE GENERO EN LA SALUD",IF(O194=CURSOS!$D$25,"BRIGADA DE EMERGENCIA",IF(O194=CURSOS!$D$26,"MANEJO DEL DOLOR Y CUIDADOS PALIATIVOS",IF(O194=CURSOS!$D$27,"TOMA DE MUESTRAS Y LABORATORIO POCT",IF(O194=CURSOS!$D$28,"IMPLANTE SUBDERMICO DE DISPOSITIVO INTRAUTERINO",IF(O194=CURSOS!$D$29,"SALUD MENTAL",IF(O194=CURSOS!$D$30,"PRIMEROS AUXILIOS PSICOLOGICOS",IF(O194=CURSOS!$D$31,"ATENCION A VICTIMAS POR CONFLICTO ARMADO",IF(O194=CURSOS!$D$32,"MANIPULACION DE ALIMENTOS Y BPM",IF(O194=CURSOS!$D$33,"ATENCION A PERSONAS CON DISCAPACIDAD",IF(O194=CURSOS!$D$34,"CUIDADO INTEGRAL DEL PACIENTE ADULTO",IF(O194=CURSOS!$D$35,"MANEJO DEFENSIVO",IF(O194=CURSOS!$D$36,"SOPORTE CARDIOVASCULAR AVANZADO NEONATAL",IF(O194=CURSOS!$D$37,"SEGURIDAD DEL PACIENTE",IF(O194=CURSOS!$D$38,"MANEJO Y USO DEL DEA",IF(O194=CURSOS!$D$39,"TRIAGE")))))))))))))))))))))))))))))))))))))</f>
        <v>INSTITUCIONES AMIGAS DE LA MUJER Y LA INFANCIA (IAMI)</v>
      </c>
      <c r="V194" s="105" t="str">
        <f t="shared" si="23"/>
        <v>Wanda Elizabeth Quiñones Angulo</v>
      </c>
      <c r="W194" s="105" t="str">
        <f t="shared" si="24"/>
        <v>Wanda Elizabeth Quiñones Angulo</v>
      </c>
      <c r="X194" s="105" t="str">
        <f t="shared" si="25"/>
        <v>Wanda Elizabeth Quiñones Angulo-1010207782-IAMI</v>
      </c>
    </row>
    <row r="195" spans="1:24" ht="15.75" hidden="1" x14ac:dyDescent="0.25">
      <c r="A195" s="103">
        <v>194</v>
      </c>
      <c r="B195" s="104">
        <v>1010207782</v>
      </c>
      <c r="C195" s="104" t="s">
        <v>550</v>
      </c>
      <c r="D195" s="104" t="s">
        <v>551</v>
      </c>
      <c r="E195" s="104" t="s">
        <v>552</v>
      </c>
      <c r="F195" s="104" t="s">
        <v>257</v>
      </c>
      <c r="G195" s="114">
        <v>27</v>
      </c>
      <c r="H195" s="114" t="s">
        <v>99</v>
      </c>
      <c r="I195" s="106" t="s">
        <v>408</v>
      </c>
      <c r="J195" s="107">
        <v>45565</v>
      </c>
      <c r="K195" s="88">
        <v>115000</v>
      </c>
      <c r="L195" s="114" t="s">
        <v>138</v>
      </c>
      <c r="M195" s="114" t="s">
        <v>85</v>
      </c>
      <c r="N195" s="114" t="s">
        <v>98</v>
      </c>
      <c r="O195" s="115" t="s">
        <v>397</v>
      </c>
      <c r="P195" s="109">
        <v>34031</v>
      </c>
      <c r="Q195" s="114" t="s">
        <v>110</v>
      </c>
      <c r="R195" s="151" t="s">
        <v>105</v>
      </c>
      <c r="S195" s="104">
        <v>3168247033</v>
      </c>
      <c r="T195" s="104" t="s">
        <v>553</v>
      </c>
      <c r="U195" s="105" t="str">
        <f>IF(O195=CURSOS!$D$3,"DIPLOMADO EN ATENCION PRE-HOSPITALARIA",IF(O195=CURSOS!$D$4,"ACOMPAÑAMIENTO Y MANEJO DEL DUELO",IF(O195=CURSOS!$D$5,"ATENCION A VICTIMAS DE ATAQUE CON AGENTES QUIMICOS ",IF(O195=CURSOS!$D$6,"PRIMEROS AUXILIOS ",IF(O195=CURSOS!$D$7,"DIPLOMADO DE UNIDAD DE CUIDADOS INTENSIVOS (UCI)",IF(O195=CURSOS!$D$8,"MODELO DE ATENCION PARA EVENTOS EMERGENTES EN SALUD MENTAL (CODIGO VERDE)",IF(O195=CURSOS!$D$9,"HUMANIZACION EN EL SERVICIO DE LA SALUD Y BUENAS PRACTICAS EN PACIENTE ",IF(O195=CURSOS!$D$10,"CLINICA DE HERIDAS ",IF(O195=CURSOS!$D$11,"TOMA DE CITOLOGIA CERVICO VAGINAL ",IF(O195=CURSOS!$D$12,"SOPORTE CARDIOVASCULAR AVANZADO (ACLS) ",IF(O195=CURSOS!$D$13,"CAMILLERO ",IF(O195=CURSOS!$D$14,"TOMA DE MUESTRAS Y LABORATORIO ",IF(O195=CURSOS!$D$15,"SOPORTE VITAL BASICO (BLS)",IF(O195=CURSOS!$D$16,"ATENCION A VICTIMAS DE VIOLENCIA SEXUAL ",IF(O195=CURSOS!$D$17,"PROGRAMADO AMPLIADO DE INMUNIZACION (PAI - COVID 19)",IF(O195=CURSOS!$D$18,"ATENCION INTEGRAL EN ENFERMEDADES PREVALENTES EN PRIMERA INFANCIA (AIEPI)",IF(O195=CURSOS!$D$19,"ADMINISTRACION DE MEDICAMENTOS, INYECTOLOGIA  Y CANALIZACION ",IF(O195=CURSOS!$D$20,"OPERADOR DE VEHICULOS DE EMERGENCIA (OVE)",IF(O195=CURSOS!$D$21,"INSTITUCIONES AMIGAS DE LA MUJER Y LA INFANCIA (IAMI)",IF(O195=CURSOS!$D$22,"CUIDADO DEL DONANTE DE ORGANOS",IF(O195=CURSOS!$D$23,"ATENCION A VICTIMAS POR VIOLENCIA DE GENERO",IF(O195=CURSOS!$D$24,"IGUALDAD DE GENERO EN LA SALUD",IF(O195=CURSOS!$D$25,"BRIGADA DE EMERGENCIA",IF(O195=CURSOS!$D$26,"MANEJO DEL DOLOR Y CUIDADOS PALIATIVOS",IF(O195=CURSOS!$D$27,"TOMA DE MUESTRAS Y LABORATORIO POCT",IF(O195=CURSOS!$D$28,"IMPLANTE SUBDERMICO DE DISPOSITIVO INTRAUTERINO",IF(O195=CURSOS!$D$29,"SALUD MENTAL",IF(O195=CURSOS!$D$30,"PRIMEROS AUXILIOS PSICOLOGICOS",IF(O195=CURSOS!$D$31,"ATENCION A VICTIMAS POR CONFLICTO ARMADO",IF(O195=CURSOS!$D$32,"MANIPULACION DE ALIMENTOS Y BPM",IF(O195=CURSOS!$D$33,"ATENCION A PERSONAS CON DISCAPACIDAD",IF(O195=CURSOS!$D$34,"CUIDADO INTEGRAL DEL PACIENTE ADULTO",IF(O195=CURSOS!$D$35,"MANEJO DEFENSIVO",IF(O195=CURSOS!$D$36,"SOPORTE CARDIOVASCULAR AVANZADO NEONATAL",IF(O195=CURSOS!$D$37,"SEGURIDAD DEL PACIENTE",IF(O195=CURSOS!$D$38,"MANEJO Y USO DEL DEA",IF(O195=CURSOS!$D$39,"TRIAGE")))))))))))))))))))))))))))))))))))))</f>
        <v>TRIAGE</v>
      </c>
      <c r="V195" s="105" t="str">
        <f t="shared" ref="V195:V197" si="26">CONCATENATE(E195," ",F195," ",C195," ",D195)</f>
        <v>Wanda Elizabeth Quiñones Angulo</v>
      </c>
      <c r="W195" s="105" t="str">
        <f t="shared" ref="W195:W197" si="27">+PROPER(V195)</f>
        <v>Wanda Elizabeth Quiñones Angulo</v>
      </c>
      <c r="X195" s="105" t="str">
        <f t="shared" ref="X195:X197" si="28">CONCATENATE(V195,"-",B195,"-",O195)</f>
        <v>Wanda Elizabeth Quiñones Angulo-1010207782-TRIAGE</v>
      </c>
    </row>
    <row r="196" spans="1:24" ht="15.75" hidden="1" x14ac:dyDescent="0.25">
      <c r="A196" s="103">
        <v>195</v>
      </c>
      <c r="B196" s="104">
        <v>1010207782</v>
      </c>
      <c r="C196" s="104" t="s">
        <v>550</v>
      </c>
      <c r="D196" s="104" t="s">
        <v>551</v>
      </c>
      <c r="E196" s="104" t="s">
        <v>552</v>
      </c>
      <c r="F196" s="104" t="s">
        <v>257</v>
      </c>
      <c r="G196" s="114">
        <v>30</v>
      </c>
      <c r="H196" s="114" t="s">
        <v>99</v>
      </c>
      <c r="I196" s="106" t="s">
        <v>408</v>
      </c>
      <c r="J196" s="107">
        <v>45565</v>
      </c>
      <c r="K196" s="88">
        <v>115000</v>
      </c>
      <c r="L196" s="114" t="s">
        <v>138</v>
      </c>
      <c r="M196" s="114" t="s">
        <v>85</v>
      </c>
      <c r="N196" s="114" t="s">
        <v>98</v>
      </c>
      <c r="O196" s="115" t="s">
        <v>23</v>
      </c>
      <c r="P196" s="109">
        <v>34031</v>
      </c>
      <c r="Q196" s="114" t="s">
        <v>110</v>
      </c>
      <c r="R196" s="151" t="s">
        <v>105</v>
      </c>
      <c r="S196" s="104">
        <v>3168247033</v>
      </c>
      <c r="T196" s="104" t="s">
        <v>553</v>
      </c>
      <c r="U196" s="105" t="str">
        <f>IF(O196=CURSOS!$D$3,"DIPLOMADO EN ATENCION PRE-HOSPITALARIA",IF(O196=CURSOS!$D$4,"ACOMPAÑAMIENTO Y MANEJO DEL DUELO",IF(O196=CURSOS!$D$5,"ATENCION A VICTIMAS DE ATAQUE CON AGENTES QUIMICOS ",IF(O196=CURSOS!$D$6,"PRIMEROS AUXILIOS ",IF(O196=CURSOS!$D$7,"DIPLOMADO DE UNIDAD DE CUIDADOS INTENSIVOS (UCI)",IF(O196=CURSOS!$D$8,"MODELO DE ATENCION PARA EVENTOS EMERGENTES EN SALUD MENTAL (CODIGO VERDE)",IF(O196=CURSOS!$D$9,"HUMANIZACION EN EL SERVICIO DE LA SALUD Y BUENAS PRACTICAS EN PACIENTE ",IF(O196=CURSOS!$D$10,"CLINICA DE HERIDAS ",IF(O196=CURSOS!$D$11,"TOMA DE CITOLOGIA CERVICO VAGINAL ",IF(O196=CURSOS!$D$12,"SOPORTE CARDIOVASCULAR AVANZADO (ACLS) ",IF(O196=CURSOS!$D$13,"CAMILLERO ",IF(O196=CURSOS!$D$14,"TOMA DE MUESTRAS Y LABORATORIO ",IF(O196=CURSOS!$D$15,"SOPORTE VITAL BASICO (BLS)",IF(O196=CURSOS!$D$16,"ATENCION A VICTIMAS DE VIOLENCIA SEXUAL ",IF(O196=CURSOS!$D$17,"PROGRAMADO AMPLIADO DE INMUNIZACION (PAI - COVID 19)",IF(O196=CURSOS!$D$18,"ATENCION INTEGRAL EN ENFERMEDADES PREVALENTES EN PRIMERA INFANCIA (AIEPI)",IF(O196=CURSOS!$D$19,"ADMINISTRACION DE MEDICAMENTOS, INYECTOLOGIA  Y CANALIZACION ",IF(O196=CURSOS!$D$20,"OPERADOR DE VEHICULOS DE EMERGENCIA (OVE)",IF(O196=CURSOS!$D$21,"INSTITUCIONES AMIGAS DE LA MUJER Y LA INFANCIA (IAMI)",IF(O196=CURSOS!$D$22,"CUIDADO DEL DONANTE DE ORGANOS",IF(O196=CURSOS!$D$23,"ATENCION A VICTIMAS POR VIOLENCIA DE GENERO",IF(O196=CURSOS!$D$24,"IGUALDAD DE GENERO EN LA SALUD",IF(O196=CURSOS!$D$25,"BRIGADA DE EMERGENCIA",IF(O196=CURSOS!$D$26,"MANEJO DEL DOLOR Y CUIDADOS PALIATIVOS",IF(O196=CURSOS!$D$27,"TOMA DE MUESTRAS Y LABORATORIO POCT",IF(O196=CURSOS!$D$28,"IMPLANTE SUBDERMICO DE DISPOSITIVO INTRAUTERINO",IF(O196=CURSOS!$D$29,"SALUD MENTAL",IF(O196=CURSOS!$D$30,"PRIMEROS AUXILIOS PSICOLOGICOS",IF(O196=CURSOS!$D$31,"ATENCION A VICTIMAS POR CONFLICTO ARMADO",IF(O196=CURSOS!$D$32,"MANIPULACION DE ALIMENTOS Y BPM",IF(O196=CURSOS!$D$33,"ATENCION A PERSONAS CON DISCAPACIDAD",IF(O196=CURSOS!$D$34,"CUIDADO INTEGRAL DEL PACIENTE ADULTO",IF(O196=CURSOS!$D$35,"MANEJO DEFENSIVO",IF(O196=CURSOS!$D$36,"SOPORTE CARDIOVASCULAR AVANZADO NEONATAL",IF(O196=CURSOS!$D$37,"SEGURIDAD DEL PACIENTE",IF(O196=CURSOS!$D$38,"MANEJO Y USO DEL DEA",IF(O196=CURSOS!$D$39,"TRIAGE")))))))))))))))))))))))))))))))))))))</f>
        <v>ACOMPAÑAMIENTO Y MANEJO DEL DUELO</v>
      </c>
      <c r="V196" s="105" t="str">
        <f t="shared" si="26"/>
        <v>Wanda Elizabeth Quiñones Angulo</v>
      </c>
      <c r="W196" s="105" t="str">
        <f t="shared" si="27"/>
        <v>Wanda Elizabeth Quiñones Angulo</v>
      </c>
      <c r="X196" s="105" t="str">
        <f t="shared" si="28"/>
        <v>Wanda Elizabeth Quiñones Angulo-1010207782-DUELO</v>
      </c>
    </row>
    <row r="197" spans="1:24" ht="15.75" hidden="1" x14ac:dyDescent="0.25">
      <c r="A197" s="103">
        <v>196</v>
      </c>
      <c r="B197" s="104">
        <v>1010207782</v>
      </c>
      <c r="C197" s="104" t="s">
        <v>550</v>
      </c>
      <c r="D197" s="104" t="s">
        <v>551</v>
      </c>
      <c r="E197" s="104" t="s">
        <v>552</v>
      </c>
      <c r="F197" s="104" t="s">
        <v>257</v>
      </c>
      <c r="G197" s="114">
        <v>30</v>
      </c>
      <c r="H197" s="114" t="s">
        <v>99</v>
      </c>
      <c r="I197" s="106" t="s">
        <v>408</v>
      </c>
      <c r="J197" s="107">
        <v>45565</v>
      </c>
      <c r="K197" s="88">
        <v>115000</v>
      </c>
      <c r="L197" s="114" t="s">
        <v>138</v>
      </c>
      <c r="M197" s="114" t="s">
        <v>85</v>
      </c>
      <c r="N197" s="114" t="s">
        <v>98</v>
      </c>
      <c r="O197" s="115" t="s">
        <v>43</v>
      </c>
      <c r="P197" s="109">
        <v>34031</v>
      </c>
      <c r="Q197" s="114" t="s">
        <v>110</v>
      </c>
      <c r="R197" s="151" t="s">
        <v>105</v>
      </c>
      <c r="S197" s="104">
        <v>3168247033</v>
      </c>
      <c r="T197" s="104" t="s">
        <v>553</v>
      </c>
      <c r="U197" s="105" t="str">
        <f>IF(O197=CURSOS!$D$3,"DIPLOMADO EN ATENCION PRE-HOSPITALARIA",IF(O197=CURSOS!$D$4,"ACOMPAÑAMIENTO Y MANEJO DEL DUELO",IF(O197=CURSOS!$D$5,"ATENCION A VICTIMAS DE ATAQUE CON AGENTES QUIMICOS ",IF(O197=CURSOS!$D$6,"PRIMEROS AUXILIOS ",IF(O197=CURSOS!$D$7,"DIPLOMADO DE UNIDAD DE CUIDADOS INTENSIVOS (UCI)",IF(O197=CURSOS!$D$8,"MODELO DE ATENCION PARA EVENTOS EMERGENTES EN SALUD MENTAL (CODIGO VERDE)",IF(O197=CURSOS!$D$9,"HUMANIZACION EN EL SERVICIO DE LA SALUD Y BUENAS PRACTICAS EN PACIENTE ",IF(O197=CURSOS!$D$10,"CLINICA DE HERIDAS ",IF(O197=CURSOS!$D$11,"TOMA DE CITOLOGIA CERVICO VAGINAL ",IF(O197=CURSOS!$D$12,"SOPORTE CARDIOVASCULAR AVANZADO (ACLS) ",IF(O197=CURSOS!$D$13,"CAMILLERO ",IF(O197=CURSOS!$D$14,"TOMA DE MUESTRAS Y LABORATORIO ",IF(O197=CURSOS!$D$15,"SOPORTE VITAL BASICO (BLS)",IF(O197=CURSOS!$D$16,"ATENCION A VICTIMAS DE VIOLENCIA SEXUAL ",IF(O197=CURSOS!$D$17,"PROGRAMADO AMPLIADO DE INMUNIZACION (PAI - COVID 19)",IF(O197=CURSOS!$D$18,"ATENCION INTEGRAL EN ENFERMEDADES PREVALENTES EN PRIMERA INFANCIA (AIEPI)",IF(O197=CURSOS!$D$19,"ADMINISTRACION DE MEDICAMENTOS, INYECTOLOGIA  Y CANALIZACION ",IF(O197=CURSOS!$D$20,"OPERADOR DE VEHICULOS DE EMERGENCIA (OVE)",IF(O197=CURSOS!$D$21,"INSTITUCIONES AMIGAS DE LA MUJER Y LA INFANCIA (IAMI)",IF(O197=CURSOS!$D$22,"CUIDADO DEL DONANTE DE ORGANOS",IF(O197=CURSOS!$D$23,"ATENCION A VICTIMAS POR VIOLENCIA DE GENERO",IF(O197=CURSOS!$D$24,"IGUALDAD DE GENERO EN LA SALUD",IF(O197=CURSOS!$D$25,"BRIGADA DE EMERGENCIA",IF(O197=CURSOS!$D$26,"MANEJO DEL DOLOR Y CUIDADOS PALIATIVOS",IF(O197=CURSOS!$D$27,"TOMA DE MUESTRAS Y LABORATORIO POCT",IF(O197=CURSOS!$D$28,"IMPLANTE SUBDERMICO DE DISPOSITIVO INTRAUTERINO",IF(O197=CURSOS!$D$29,"SALUD MENTAL",IF(O197=CURSOS!$D$30,"PRIMEROS AUXILIOS PSICOLOGICOS",IF(O197=CURSOS!$D$31,"ATENCION A VICTIMAS POR CONFLICTO ARMADO",IF(O197=CURSOS!$D$32,"MANIPULACION DE ALIMENTOS Y BPM",IF(O197=CURSOS!$D$33,"ATENCION A PERSONAS CON DISCAPACIDAD",IF(O197=CURSOS!$D$34,"CUIDADO INTEGRAL DEL PACIENTE ADULTO",IF(O197=CURSOS!$D$35,"MANEJO DEFENSIVO",IF(O197=CURSOS!$D$36,"SOPORTE CARDIOVASCULAR AVANZADO NEONATAL",IF(O197=CURSOS!$D$37,"SEGURIDAD DEL PACIENTE",IF(O197=CURSOS!$D$38,"MANEJO Y USO DEL DEA",IF(O197=CURSOS!$D$39,"TRIAGE")))))))))))))))))))))))))))))))))))))</f>
        <v xml:space="preserve">ATENCION A VICTIMAS DE VIOLENCIA SEXUAL </v>
      </c>
      <c r="V197" s="105" t="str">
        <f t="shared" si="26"/>
        <v>Wanda Elizabeth Quiñones Angulo</v>
      </c>
      <c r="W197" s="105" t="str">
        <f t="shared" si="27"/>
        <v>Wanda Elizabeth Quiñones Angulo</v>
      </c>
      <c r="X197" s="105" t="str">
        <f t="shared" si="28"/>
        <v>Wanda Elizabeth Quiñones Angulo-1010207782-VIOLENCIA SEXUAL</v>
      </c>
    </row>
  </sheetData>
  <autoFilter ref="A1:X197" xr:uid="{00000000-0009-0000-0000-000000000000}">
    <filterColumn colId="11">
      <filters>
        <filter val="NEQUI"/>
      </filters>
    </filterColumn>
  </autoFilter>
  <phoneticPr fontId="7" type="noConversion"/>
  <hyperlinks>
    <hyperlink ref="R2" r:id="rId1" xr:uid="{00000000-0004-0000-0000-000000000000}"/>
    <hyperlink ref="R3" r:id="rId2" xr:uid="{00000000-0004-0000-0000-000001000000}"/>
    <hyperlink ref="R4" r:id="rId3" display="MEDIC@" xr:uid="{00000000-0004-0000-0000-000002000000}"/>
    <hyperlink ref="T35" r:id="rId4" xr:uid="{00000000-0004-0000-0000-000003000000}"/>
    <hyperlink ref="T34" r:id="rId5" xr:uid="{00000000-0004-0000-0000-000004000000}"/>
    <hyperlink ref="T58" r:id="rId6" xr:uid="{00000000-0004-0000-0000-000005000000}"/>
    <hyperlink ref="R114" r:id="rId7" xr:uid="{00000000-0004-0000-0000-000006000000}"/>
    <hyperlink ref="R107" r:id="rId8" xr:uid="{00000000-0004-0000-0000-000007000000}"/>
    <hyperlink ref="R108" r:id="rId9" xr:uid="{00000000-0004-0000-0000-000008000000}"/>
    <hyperlink ref="R109" r:id="rId10" xr:uid="{00000000-0004-0000-0000-000009000000}"/>
    <hyperlink ref="R110" r:id="rId11" xr:uid="{00000000-0004-0000-0000-00000A000000}"/>
    <hyperlink ref="R111" r:id="rId12" xr:uid="{00000000-0004-0000-0000-00000B000000}"/>
    <hyperlink ref="R112" r:id="rId13" xr:uid="{00000000-0004-0000-0000-00000C000000}"/>
    <hyperlink ref="R140" r:id="rId14" xr:uid="{00000000-0004-0000-0000-00000D000000}"/>
    <hyperlink ref="T150" r:id="rId15" xr:uid="{00000000-0004-0000-0000-00000E000000}"/>
    <hyperlink ref="R153" r:id="rId16" xr:uid="{00000000-0004-0000-0000-00000F000000}"/>
    <hyperlink ref="R162" r:id="rId17" xr:uid="{00000000-0004-0000-0000-000010000000}"/>
    <hyperlink ref="R163" r:id="rId18" xr:uid="{00000000-0004-0000-0000-000011000000}"/>
    <hyperlink ref="R164" r:id="rId19" xr:uid="{00000000-0004-0000-0000-000012000000}"/>
    <hyperlink ref="T177" r:id="rId20" xr:uid="{00000000-0004-0000-0000-000013000000}"/>
    <hyperlink ref="T178" r:id="rId21" xr:uid="{00000000-0004-0000-0000-000014000000}"/>
    <hyperlink ref="T179" r:id="rId22" xr:uid="{00000000-0004-0000-0000-000015000000}"/>
    <hyperlink ref="T180" r:id="rId23" xr:uid="{00000000-0004-0000-0000-000016000000}"/>
    <hyperlink ref="T181" r:id="rId24" xr:uid="{00000000-0004-0000-0000-000017000000}"/>
    <hyperlink ref="T184" r:id="rId25" xr:uid="{00000000-0004-0000-0000-000018000000}"/>
    <hyperlink ref="R192" r:id="rId26" xr:uid="{00000000-0004-0000-0000-000019000000}"/>
    <hyperlink ref="R193" r:id="rId27" xr:uid="{00000000-0004-0000-0000-00001A000000}"/>
    <hyperlink ref="R194" r:id="rId28" xr:uid="{00000000-0004-0000-0000-00001B000000}"/>
    <hyperlink ref="R195" r:id="rId29" xr:uid="{00000000-0004-0000-0000-00001C000000}"/>
    <hyperlink ref="R196" r:id="rId30" xr:uid="{00000000-0004-0000-0000-00001D000000}"/>
    <hyperlink ref="R197" r:id="rId31" xr:uid="{00000000-0004-0000-0000-00001E000000}"/>
  </hyperlinks>
  <pageMargins left="0.7" right="0.7" top="0.75" bottom="0.75" header="0.3" footer="0.3"/>
  <pageSetup paperSize="9" scale="12" orientation="portrait" r:id="rId3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X12"/>
  <sheetViews>
    <sheetView tabSelected="1" zoomScale="55" zoomScaleNormal="55" workbookViewId="0">
      <selection activeCell="F28" sqref="F28"/>
    </sheetView>
  </sheetViews>
  <sheetFormatPr baseColWidth="10" defaultRowHeight="15" x14ac:dyDescent="0.25"/>
  <cols>
    <col min="1" max="1" width="4" bestFit="1" customWidth="1"/>
    <col min="2" max="2" width="45.140625" bestFit="1" customWidth="1"/>
    <col min="3" max="3" width="29" bestFit="1" customWidth="1"/>
    <col min="4" max="4" width="31.28515625" bestFit="1" customWidth="1"/>
    <col min="5" max="5" width="27.42578125" bestFit="1" customWidth="1"/>
    <col min="6" max="6" width="30" bestFit="1" customWidth="1"/>
    <col min="7" max="7" width="7.140625" bestFit="1" customWidth="1"/>
    <col min="8" max="8" width="20.5703125" customWidth="1"/>
    <col min="9" max="9" width="26.140625" bestFit="1" customWidth="1"/>
    <col min="10" max="10" width="28.7109375" bestFit="1" customWidth="1"/>
    <col min="11" max="11" width="25.5703125" bestFit="1" customWidth="1"/>
    <col min="12" max="12" width="16" bestFit="1" customWidth="1"/>
    <col min="13" max="13" width="23.7109375" bestFit="1" customWidth="1"/>
    <col min="14" max="14" width="12.140625" bestFit="1" customWidth="1"/>
    <col min="15" max="15" width="36.5703125" bestFit="1" customWidth="1"/>
    <col min="16" max="16" width="14.140625" bestFit="1" customWidth="1"/>
    <col min="17" max="17" width="40.42578125" bestFit="1" customWidth="1"/>
    <col min="18" max="18" width="15.140625" bestFit="1" customWidth="1"/>
    <col min="19" max="19" width="40.42578125" bestFit="1" customWidth="1"/>
    <col min="20" max="20" width="62.42578125" bestFit="1" customWidth="1"/>
    <col min="21" max="21" width="42.7109375" bestFit="1" customWidth="1"/>
    <col min="22" max="22" width="44.28515625" bestFit="1" customWidth="1"/>
    <col min="23" max="23" width="62" bestFit="1" customWidth="1"/>
  </cols>
  <sheetData>
    <row r="1" spans="1:24" s="40" customFormat="1" ht="15.75" x14ac:dyDescent="0.25">
      <c r="A1" s="39" t="s">
        <v>71</v>
      </c>
      <c r="B1" s="42" t="s">
        <v>0</v>
      </c>
      <c r="C1" s="19" t="s">
        <v>1</v>
      </c>
      <c r="D1" s="19" t="s">
        <v>2</v>
      </c>
      <c r="E1" s="19" t="s">
        <v>3</v>
      </c>
      <c r="F1" s="19" t="s">
        <v>4</v>
      </c>
      <c r="G1" s="36" t="s">
        <v>5</v>
      </c>
      <c r="H1" s="20" t="s">
        <v>6</v>
      </c>
      <c r="I1" s="21" t="s">
        <v>7</v>
      </c>
      <c r="J1" s="22" t="s">
        <v>8</v>
      </c>
      <c r="K1" s="23" t="s">
        <v>9</v>
      </c>
      <c r="L1" s="23" t="s">
        <v>72</v>
      </c>
      <c r="M1" s="23" t="s">
        <v>10</v>
      </c>
      <c r="N1" s="24" t="s">
        <v>11</v>
      </c>
      <c r="O1" s="25" t="s">
        <v>70</v>
      </c>
      <c r="P1" s="23" t="s">
        <v>12</v>
      </c>
      <c r="Q1" s="19" t="s">
        <v>13</v>
      </c>
      <c r="R1" s="19" t="s">
        <v>14</v>
      </c>
      <c r="S1" s="19" t="s">
        <v>73</v>
      </c>
      <c r="T1" s="55" t="s">
        <v>15</v>
      </c>
      <c r="U1" s="26" t="s">
        <v>16</v>
      </c>
      <c r="V1" s="26" t="s">
        <v>17</v>
      </c>
      <c r="W1" s="26" t="s">
        <v>18</v>
      </c>
    </row>
    <row r="2" spans="1:24" s="52" customFormat="1" x14ac:dyDescent="0.2">
      <c r="A2" s="41">
        <v>1</v>
      </c>
      <c r="B2" s="56">
        <v>27082219</v>
      </c>
      <c r="C2" s="44" t="s">
        <v>312</v>
      </c>
      <c r="D2" s="44" t="s">
        <v>313</v>
      </c>
      <c r="E2" s="44" t="s">
        <v>330</v>
      </c>
      <c r="F2" s="44" t="s">
        <v>132</v>
      </c>
      <c r="G2" s="45">
        <v>13</v>
      </c>
      <c r="H2" s="45" t="s">
        <v>99</v>
      </c>
      <c r="I2" s="79"/>
      <c r="J2" s="88">
        <v>200000</v>
      </c>
      <c r="K2" s="46"/>
      <c r="L2" s="45" t="s">
        <v>85</v>
      </c>
      <c r="M2" s="45" t="s">
        <v>358</v>
      </c>
      <c r="N2" s="48" t="s">
        <v>38</v>
      </c>
      <c r="O2" s="57">
        <v>28515</v>
      </c>
      <c r="P2" s="45" t="s">
        <v>110</v>
      </c>
      <c r="Q2" s="56" t="s">
        <v>345</v>
      </c>
      <c r="R2" s="56">
        <v>3103503148</v>
      </c>
      <c r="S2" s="58" t="s">
        <v>348</v>
      </c>
      <c r="T2" s="53" t="str">
        <f>IF(N2=CURSOS!$D$3,"DIPLOMADO EN ATENCION PRE-HOSPITALARIA",IF(N2=CURSOS!$D$4,"ACOMPAÑAMIENTO Y MANEJO DEL DUELO",IF(N2=CURSOS!$D$5,"ATENCION A VICTIMAS DE ATAQUE CON AGENTES QUIMICOS ",IF(N2=CURSOS!$D$6,"PRIMEROS AUXILIOS ",IF(N2=CURSOS!$D$7,"DIPLOMADO DE UNIDAD DE CUIDADOS INTENSIVOS (UCI)",IF(N2=CURSOS!$D$8,"MODELO DE ATENCION PARA EVENTOS EMERGENTES EN SALUD MENTAL (CODIGO VERDE)",IF(N2=CURSOS!$D$9,"HUMANIZACION EN EL SERVICIO DE LA SALUD Y BUENAS PRACTICAS EN PACIENTE ",IF(N2=CURSOS!$D$10,"CLINICA DE HERIDAS ",IF(N2=CURSOS!$D$11,"TOMA DE CITOLOGIA CERVICO VAGINAL ",IF(N2=CURSOS!$D$12,"SOPORTE CARDIOVASCULAR AVANZADO (ACLS) ",IF(N2=CURSOS!$D$13,"CAMILLERO ",IF(N2=CURSOS!$D$14,"TOMA DE MUESTRAS Y LABORATORIO ",IF(N2=CURSOS!$D$15,"SOPORTE VITAL BASICO (BLS)",IF(N2=CURSOS!$D$16,"ATENCION A VICTIMAS DE VIOLENCIA SEXUAL ",IF(N2=CURSOS!$D$17,"PROGRAMADO AMPLIADO DE INMUNIZACION (PAI - COVID 19)",IF(N2=CURSOS!$D$18,"ATENCION INTEGRAL EN ENFERMEDADES PREVALENTES EN PRIMERA INFANCIA (AIEPI)",IF(N2=CURSOS!$D$19,"ADMINISTRACION DE MEDICAMENTOS, INYECTOLOGIA  Y CANALIZACION ",IF(N2=CURSOS!$D$20,"OPERADOR DE VEHICULOS DE EMERGENCIA (OVE)",IF(N2=CURSOS!$D$21,"INSTITUCIONES AMIGAS DE LA MUJER Y LA INFANCIA (IAMI)",IF(N2=CURSOS!$D$22,"CUIDADO DEL DONANTE DE ORGANOS",IF(N2=CURSOS!$D$23,"ATENCION A VICTIMAS POR VIOLENCIA DE GENERO",IF(N2=CURSOS!$D$24,"IGUALDAD DE GENERO EN LA SALUD",IF(N2=CURSOS!$D$25,"BRIGADA DE EMERGENCIA",IF(N2=CURSOS!$D$26,"MANEJO DEL DOLOR Y CUIDADOS PALIATIVOS",IF(N2=CURSOS!$D$27,"TOMA DE MUESTRAS Y LABORATORIO POCT",IF(N2=CURSOS!$D$28,"IMPLANTE SUBDERMICO DE DISPOSITIVO INTRAUTERINO",IF(N2=CURSOS!$D$29,"SALUD MENTAL",IF(N2=CURSOS!$D$30,"PRIMEROS AUXILIOS PSICOLOGICOS",IF(N2=CURSOS!$D$31,"ATENCION A VICTIMAS POR CONFLICTO ARMADO",IF(N2=CURSOS!$D$32,"MANIPULACION DE ALIMENTOS Y BPM",IF(N2=CURSOS!$D$33,"ATENCION A PERSONAS CON DISCAPACIDAD",IF(N2=CURSOS!$D$34,"CUIDADO INTEGRAL DEL PACIENTE ADULTO",IF(N2=CURSOS!$D$35,"MANEJO DEFENSIVO",IF(N2=CURSOS!$D$36,"SOPORTE CARDIOVASCULAR AVANZADO NEONATAL",IF(N2=CURSOS!$D$37,"SEGURIDAD DEL PACIENTE")))))))))))))))))))))))))))))))))))</f>
        <v xml:space="preserve">SOPORTE CARDIOVASCULAR AVANZADO (ACLS) </v>
      </c>
      <c r="U2" s="51" t="str">
        <f t="shared" ref="U2" si="0">CONCATENATE(E2," ",F2," ",C2," ",D2)</f>
        <v>Maria Patricia Jurado Guaspud</v>
      </c>
      <c r="V2" s="51" t="str">
        <f>PROPER(U2)</f>
        <v>Maria Patricia Jurado Guaspud</v>
      </c>
      <c r="W2" s="51" t="str">
        <f t="shared" ref="W2" si="1">CONCATENATE(U2,"-",B2,"-",N2)</f>
        <v>Maria Patricia Jurado Guaspud-27082219-ACLS</v>
      </c>
    </row>
    <row r="3" spans="1:24" ht="15.75" x14ac:dyDescent="0.25">
      <c r="A3" s="56">
        <v>2</v>
      </c>
      <c r="B3" s="56">
        <v>59651532</v>
      </c>
      <c r="C3" s="56" t="s">
        <v>314</v>
      </c>
      <c r="D3" s="56" t="s">
        <v>315</v>
      </c>
      <c r="E3" s="56" t="s">
        <v>331</v>
      </c>
      <c r="F3" s="56" t="s">
        <v>332</v>
      </c>
      <c r="G3" s="59">
        <v>13</v>
      </c>
      <c r="H3" s="56" t="s">
        <v>99</v>
      </c>
      <c r="I3" s="80"/>
      <c r="J3" s="88">
        <v>200000</v>
      </c>
      <c r="K3" s="59"/>
      <c r="L3" s="59" t="s">
        <v>85</v>
      </c>
      <c r="M3" s="45" t="s">
        <v>358</v>
      </c>
      <c r="N3" s="56" t="s">
        <v>38</v>
      </c>
      <c r="O3" s="57">
        <v>29584</v>
      </c>
      <c r="P3" s="59" t="s">
        <v>110</v>
      </c>
      <c r="Q3" s="56" t="s">
        <v>345</v>
      </c>
      <c r="R3" s="56">
        <v>3150234855</v>
      </c>
      <c r="S3" s="58" t="s">
        <v>349</v>
      </c>
      <c r="T3" s="53" t="str">
        <f>IF(N3=CURSOS!$D$3,"DIPLOMADO EN ATENCION PRE-HOSPITALARIA",IF(N3=CURSOS!$D$4,"ACOMPAÑAMIENTO Y MANEJO DEL DUELO",IF(N3=CURSOS!$D$5,"ATENCION A VICTIMAS DE ATAQUE CON AGENTES QUIMICOS ",IF(N3=CURSOS!$D$6,"PRIMEROS AUXILIOS ",IF(N3=CURSOS!$D$7,"DIPLOMADO DE UNIDAD DE CUIDADOS INTENSIVOS (UCI)",IF(N3=CURSOS!$D$8,"MODELO DE ATENCION PARA EVENTOS EMERGENTES EN SALUD MENTAL (CODIGO VERDE)",IF(N3=CURSOS!$D$9,"HUMANIZACION EN EL SERVICIO DE LA SALUD Y BUENAS PRACTICAS EN PACIENTE ",IF(N3=CURSOS!$D$10,"CLINICA DE HERIDAS ",IF(N3=CURSOS!$D$11,"TOMA DE CITOLOGIA CERVICO VAGINAL ",IF(N3=CURSOS!$D$12,"SOPORTE CARDIOVASCULAR AVANZADO (ACLS) ",IF(N3=CURSOS!$D$13,"CAMILLERO ",IF(N3=CURSOS!$D$14,"TOMA DE MUESTRAS Y LABORATORIO ",IF(N3=CURSOS!$D$15,"SOPORTE VITAL BASICO (BLS)",IF(N3=CURSOS!$D$16,"ATENCION A VICTIMAS DE VIOLENCIA SEXUAL ",IF(N3=CURSOS!$D$17,"PROGRAMADO AMPLIADO DE INMUNIZACION (PAI - COVID 19)",IF(N3=CURSOS!$D$18,"ATENCION INTEGRAL EN ENFERMEDADES PREVALENTES EN PRIMERA INFANCIA (AIEPI)",IF(N3=CURSOS!$D$19,"ADMINISTRACION DE MEDICAMENTOS, INYECTOLOGIA  Y CANALIZACION ",IF(N3=CURSOS!$D$20,"OPERADOR DE VEHICULOS DE EMERGENCIA (OVE)",IF(N3=CURSOS!$D$21,"INSTITUCIONES AMIGAS DE LA MUJER Y LA INFANCIA (IAMI)",IF(N3=CURSOS!$D$22,"CUIDADO DEL DONANTE DE ORGANOS",IF(N3=CURSOS!$D$23,"ATENCION A VICTIMAS POR VIOLENCIA DE GENERO",IF(N3=CURSOS!$D$24,"IGUALDAD DE GENERO EN LA SALUD",IF(N3=CURSOS!$D$25,"BRIGADA DE EMERGENCIA",IF(N3=CURSOS!$D$26,"MANEJO DEL DOLOR Y CUIDADOS PALIATIVOS",IF(N3=CURSOS!$D$27,"TOMA DE MUESTRAS Y LABORATORIO POCT",IF(N3=CURSOS!$D$28,"IMPLANTE SUBDERMICO DE DISPOSITIVO INTRAUTERINO",IF(N3=CURSOS!$D$29,"SALUD MENTAL",IF(N3=CURSOS!$D$30,"PRIMEROS AUXILIOS PSICOLOGICOS",IF(N3=CURSOS!$D$31,"ATENCION A VICTIMAS POR CONFLICTO ARMADO",IF(N3=CURSOS!$D$32,"MANIPULACION DE ALIMENTOS Y BPM",IF(N3=CURSOS!$D$33,"ATENCION A PERSONAS CON DISCAPACIDAD",IF(N3=CURSOS!$D$34,"CUIDADO INTEGRAL DEL PACIENTE ADULTO",IF(N3=CURSOS!$D$35,"MANEJO DEFENSIVO",IF(N3=CURSOS!$D$36,"SOPORTE CARDIOVASCULAR AVANZADO NEONATAL",IF(N3=CURSOS!$D$37,"SEGURIDAD DEL PACIENTE")))))))))))))))))))))))))))))))))))</f>
        <v xml:space="preserve">SOPORTE CARDIOVASCULAR AVANZADO (ACLS) </v>
      </c>
      <c r="U3" s="51" t="str">
        <f t="shared" ref="U3:U11" si="2">CONCATENATE(E3," ",F3," ",C3," ",D3)</f>
        <v>Jackeline andrea caicedo eraso</v>
      </c>
      <c r="V3" s="51" t="str">
        <f t="shared" ref="V3:V11" si="3">PROPER(U3)</f>
        <v>Jackeline Andrea Caicedo Eraso</v>
      </c>
      <c r="W3" s="51" t="str">
        <f t="shared" ref="W3:W11" si="4">CONCATENATE(U3,"-",B3,"-",N3)</f>
        <v>Jackeline andrea caicedo eraso-59651532-ACLS</v>
      </c>
      <c r="X3" s="52"/>
    </row>
    <row r="4" spans="1:24" ht="15.75" x14ac:dyDescent="0.25">
      <c r="A4" s="56">
        <v>3</v>
      </c>
      <c r="B4" s="56">
        <v>1087409291</v>
      </c>
      <c r="C4" s="56" t="s">
        <v>316</v>
      </c>
      <c r="D4" s="56" t="s">
        <v>162</v>
      </c>
      <c r="E4" s="56" t="s">
        <v>333</v>
      </c>
      <c r="F4" s="56" t="s">
        <v>334</v>
      </c>
      <c r="G4" s="59">
        <v>13</v>
      </c>
      <c r="H4" s="56" t="s">
        <v>99</v>
      </c>
      <c r="I4" s="80"/>
      <c r="J4" s="88">
        <v>200000</v>
      </c>
      <c r="K4" s="59"/>
      <c r="L4" s="59" t="s">
        <v>85</v>
      </c>
      <c r="M4" s="45" t="s">
        <v>358</v>
      </c>
      <c r="N4" s="56" t="s">
        <v>38</v>
      </c>
      <c r="O4" s="57">
        <v>31924</v>
      </c>
      <c r="P4" s="59" t="s">
        <v>110</v>
      </c>
      <c r="Q4" s="56" t="s">
        <v>345</v>
      </c>
      <c r="R4" s="56">
        <v>3163065242</v>
      </c>
      <c r="S4" s="58" t="s">
        <v>350</v>
      </c>
      <c r="T4" s="53" t="str">
        <f>IF(N4=CURSOS!$D$3,"DIPLOMADO EN ATENCION PRE-HOSPITALARIA",IF(N4=CURSOS!$D$4,"ACOMPAÑAMIENTO Y MANEJO DEL DUELO",IF(N4=CURSOS!$D$5,"ATENCION A VICTIMAS DE ATAQUE CON AGENTES QUIMICOS ",IF(N4=CURSOS!$D$6,"PRIMEROS AUXILIOS ",IF(N4=CURSOS!$D$7,"DIPLOMADO DE UNIDAD DE CUIDADOS INTENSIVOS (UCI)",IF(N4=CURSOS!$D$8,"MODELO DE ATENCION PARA EVENTOS EMERGENTES EN SALUD MENTAL (CODIGO VERDE)",IF(N4=CURSOS!$D$9,"HUMANIZACION EN EL SERVICIO DE LA SALUD Y BUENAS PRACTICAS EN PACIENTE ",IF(N4=CURSOS!$D$10,"CLINICA DE HERIDAS ",IF(N4=CURSOS!$D$11,"TOMA DE CITOLOGIA CERVICO VAGINAL ",IF(N4=CURSOS!$D$12,"SOPORTE CARDIOVASCULAR AVANZADO (ACLS) ",IF(N4=CURSOS!$D$13,"CAMILLERO ",IF(N4=CURSOS!$D$14,"TOMA DE MUESTRAS Y LABORATORIO ",IF(N4=CURSOS!$D$15,"SOPORTE VITAL BASICO (BLS)",IF(N4=CURSOS!$D$16,"ATENCION A VICTIMAS DE VIOLENCIA SEXUAL ",IF(N4=CURSOS!$D$17,"PROGRAMADO AMPLIADO DE INMUNIZACION (PAI - COVID 19)",IF(N4=CURSOS!$D$18,"ATENCION INTEGRAL EN ENFERMEDADES PREVALENTES EN PRIMERA INFANCIA (AIEPI)",IF(N4=CURSOS!$D$19,"ADMINISTRACION DE MEDICAMENTOS, INYECTOLOGIA  Y CANALIZACION ",IF(N4=CURSOS!$D$20,"OPERADOR DE VEHICULOS DE EMERGENCIA (OVE)",IF(N4=CURSOS!$D$21,"INSTITUCIONES AMIGAS DE LA MUJER Y LA INFANCIA (IAMI)",IF(N4=CURSOS!$D$22,"CUIDADO DEL DONANTE DE ORGANOS",IF(N4=CURSOS!$D$23,"ATENCION A VICTIMAS POR VIOLENCIA DE GENERO",IF(N4=CURSOS!$D$24,"IGUALDAD DE GENERO EN LA SALUD",IF(N4=CURSOS!$D$25,"BRIGADA DE EMERGENCIA",IF(N4=CURSOS!$D$26,"MANEJO DEL DOLOR Y CUIDADOS PALIATIVOS",IF(N4=CURSOS!$D$27,"TOMA DE MUESTRAS Y LABORATORIO POCT",IF(N4=CURSOS!$D$28,"IMPLANTE SUBDERMICO DE DISPOSITIVO INTRAUTERINO",IF(N4=CURSOS!$D$29,"SALUD MENTAL",IF(N4=CURSOS!$D$30,"PRIMEROS AUXILIOS PSICOLOGICOS",IF(N4=CURSOS!$D$31,"ATENCION A VICTIMAS POR CONFLICTO ARMADO",IF(N4=CURSOS!$D$32,"MANIPULACION DE ALIMENTOS Y BPM",IF(N4=CURSOS!$D$33,"ATENCION A PERSONAS CON DISCAPACIDAD",IF(N4=CURSOS!$D$34,"CUIDADO INTEGRAL DEL PACIENTE ADULTO",IF(N4=CURSOS!$D$35,"MANEJO DEFENSIVO",IF(N4=CURSOS!$D$36,"SOPORTE CARDIOVASCULAR AVANZADO NEONATAL",IF(N4=CURSOS!$D$37,"SEGURIDAD DEL PACIENTE")))))))))))))))))))))))))))))))))))</f>
        <v xml:space="preserve">SOPORTE CARDIOVASCULAR AVANZADO (ACLS) </v>
      </c>
      <c r="U4" s="51" t="str">
        <f t="shared" si="2"/>
        <v>Yuly Araceli Zurata Benavides</v>
      </c>
      <c r="V4" s="51" t="str">
        <f t="shared" si="3"/>
        <v>Yuly Araceli Zurata Benavides</v>
      </c>
      <c r="W4" s="51" t="str">
        <f t="shared" si="4"/>
        <v>Yuly Araceli Zurata Benavides-1087409291-ACLS</v>
      </c>
      <c r="X4" s="52"/>
    </row>
    <row r="5" spans="1:24" ht="15.75" x14ac:dyDescent="0.25">
      <c r="A5" s="41">
        <v>4</v>
      </c>
      <c r="B5" s="56">
        <v>1087421182</v>
      </c>
      <c r="C5" s="56" t="s">
        <v>317</v>
      </c>
      <c r="D5" s="56" t="s">
        <v>238</v>
      </c>
      <c r="E5" s="83" t="s">
        <v>335</v>
      </c>
      <c r="F5" s="83" t="s">
        <v>310</v>
      </c>
      <c r="G5" s="84">
        <v>13</v>
      </c>
      <c r="H5" s="83" t="s">
        <v>99</v>
      </c>
      <c r="I5" s="85"/>
      <c r="J5" s="86">
        <v>200000</v>
      </c>
      <c r="K5" s="84" t="s">
        <v>538</v>
      </c>
      <c r="L5" s="59" t="s">
        <v>85</v>
      </c>
      <c r="M5" s="45" t="s">
        <v>358</v>
      </c>
      <c r="N5" s="56" t="s">
        <v>38</v>
      </c>
      <c r="O5" s="57">
        <v>34653</v>
      </c>
      <c r="P5" s="59" t="s">
        <v>110</v>
      </c>
      <c r="Q5" s="56" t="s">
        <v>345</v>
      </c>
      <c r="R5" s="56">
        <v>3153105692</v>
      </c>
      <c r="S5" s="58" t="s">
        <v>351</v>
      </c>
      <c r="T5" s="53" t="str">
        <f>IF(N5=CURSOS!$D$3,"DIPLOMADO EN ATENCION PRE-HOSPITALARIA",IF(N5=CURSOS!$D$4,"ACOMPAÑAMIENTO Y MANEJO DEL DUELO",IF(N5=CURSOS!$D$5,"ATENCION A VICTIMAS DE ATAQUE CON AGENTES QUIMICOS ",IF(N5=CURSOS!$D$6,"PRIMEROS AUXILIOS ",IF(N5=CURSOS!$D$7,"DIPLOMADO DE UNIDAD DE CUIDADOS INTENSIVOS (UCI)",IF(N5=CURSOS!$D$8,"MODELO DE ATENCION PARA EVENTOS EMERGENTES EN SALUD MENTAL (CODIGO VERDE)",IF(N5=CURSOS!$D$9,"HUMANIZACION EN EL SERVICIO DE LA SALUD Y BUENAS PRACTICAS EN PACIENTE ",IF(N5=CURSOS!$D$10,"CLINICA DE HERIDAS ",IF(N5=CURSOS!$D$11,"TOMA DE CITOLOGIA CERVICO VAGINAL ",IF(N5=CURSOS!$D$12,"SOPORTE CARDIOVASCULAR AVANZADO (ACLS) ",IF(N5=CURSOS!$D$13,"CAMILLERO ",IF(N5=CURSOS!$D$14,"TOMA DE MUESTRAS Y LABORATORIO ",IF(N5=CURSOS!$D$15,"SOPORTE VITAL BASICO (BLS)",IF(N5=CURSOS!$D$16,"ATENCION A VICTIMAS DE VIOLENCIA SEXUAL ",IF(N5=CURSOS!$D$17,"PROGRAMADO AMPLIADO DE INMUNIZACION (PAI - COVID 19)",IF(N5=CURSOS!$D$18,"ATENCION INTEGRAL EN ENFERMEDADES PREVALENTES EN PRIMERA INFANCIA (AIEPI)",IF(N5=CURSOS!$D$19,"ADMINISTRACION DE MEDICAMENTOS, INYECTOLOGIA  Y CANALIZACION ",IF(N5=CURSOS!$D$20,"OPERADOR DE VEHICULOS DE EMERGENCIA (OVE)",IF(N5=CURSOS!$D$21,"INSTITUCIONES AMIGAS DE LA MUJER Y LA INFANCIA (IAMI)",IF(N5=CURSOS!$D$22,"CUIDADO DEL DONANTE DE ORGANOS",IF(N5=CURSOS!$D$23,"ATENCION A VICTIMAS POR VIOLENCIA DE GENERO",IF(N5=CURSOS!$D$24,"IGUALDAD DE GENERO EN LA SALUD",IF(N5=CURSOS!$D$25,"BRIGADA DE EMERGENCIA",IF(N5=CURSOS!$D$26,"MANEJO DEL DOLOR Y CUIDADOS PALIATIVOS",IF(N5=CURSOS!$D$27,"TOMA DE MUESTRAS Y LABORATORIO POCT",IF(N5=CURSOS!$D$28,"IMPLANTE SUBDERMICO DE DISPOSITIVO INTRAUTERINO",IF(N5=CURSOS!$D$29,"SALUD MENTAL",IF(N5=CURSOS!$D$30,"PRIMEROS AUXILIOS PSICOLOGICOS",IF(N5=CURSOS!$D$31,"ATENCION A VICTIMAS POR CONFLICTO ARMADO",IF(N5=CURSOS!$D$32,"MANIPULACION DE ALIMENTOS Y BPM",IF(N5=CURSOS!$D$33,"ATENCION A PERSONAS CON DISCAPACIDAD",IF(N5=CURSOS!$D$34,"CUIDADO INTEGRAL DEL PACIENTE ADULTO",IF(N5=CURSOS!$D$35,"MANEJO DEFENSIVO",IF(N5=CURSOS!$D$36,"SOPORTE CARDIOVASCULAR AVANZADO NEONATAL",IF(N5=CURSOS!$D$37,"SEGURIDAD DEL PACIENTE")))))))))))))))))))))))))))))))))))</f>
        <v xml:space="preserve">SOPORTE CARDIOVASCULAR AVANZADO (ACLS) </v>
      </c>
      <c r="U5" s="51" t="str">
        <f t="shared" si="2"/>
        <v>claudia Lorena Lopez Cuastumal</v>
      </c>
      <c r="V5" s="51" t="str">
        <f t="shared" si="3"/>
        <v>Claudia Lorena Lopez Cuastumal</v>
      </c>
      <c r="W5" s="51" t="str">
        <f t="shared" si="4"/>
        <v>claudia Lorena Lopez Cuastumal-1087421182-ACLS</v>
      </c>
      <c r="X5" s="52"/>
    </row>
    <row r="6" spans="1:24" ht="15.75" x14ac:dyDescent="0.25">
      <c r="A6" s="56">
        <v>5</v>
      </c>
      <c r="B6" s="56">
        <v>13066490</v>
      </c>
      <c r="C6" s="56" t="s">
        <v>318</v>
      </c>
      <c r="D6" s="56" t="s">
        <v>319</v>
      </c>
      <c r="E6" s="83" t="s">
        <v>336</v>
      </c>
      <c r="F6" s="83" t="s">
        <v>337</v>
      </c>
      <c r="G6" s="87">
        <v>13</v>
      </c>
      <c r="H6" s="83" t="s">
        <v>99</v>
      </c>
      <c r="I6" s="85"/>
      <c r="J6" s="86">
        <v>200000</v>
      </c>
      <c r="K6" s="84" t="s">
        <v>538</v>
      </c>
      <c r="L6" s="59" t="s">
        <v>85</v>
      </c>
      <c r="M6" s="45" t="s">
        <v>358</v>
      </c>
      <c r="N6" s="56" t="s">
        <v>38</v>
      </c>
      <c r="O6" s="57">
        <v>27013</v>
      </c>
      <c r="P6" s="59" t="s">
        <v>104</v>
      </c>
      <c r="Q6" s="56" t="s">
        <v>346</v>
      </c>
      <c r="R6" s="56">
        <v>3176039309</v>
      </c>
      <c r="S6" s="58" t="s">
        <v>352</v>
      </c>
      <c r="T6" s="53" t="str">
        <f>IF(N6=CURSOS!$D$3,"DIPLOMADO EN ATENCION PRE-HOSPITALARIA",IF(N6=CURSOS!$D$4,"ACOMPAÑAMIENTO Y MANEJO DEL DUELO",IF(N6=CURSOS!$D$5,"ATENCION A VICTIMAS DE ATAQUE CON AGENTES QUIMICOS ",IF(N6=CURSOS!$D$6,"PRIMEROS AUXILIOS ",IF(N6=CURSOS!$D$7,"DIPLOMADO DE UNIDAD DE CUIDADOS INTENSIVOS (UCI)",IF(N6=CURSOS!$D$8,"MODELO DE ATENCION PARA EVENTOS EMERGENTES EN SALUD MENTAL (CODIGO VERDE)",IF(N6=CURSOS!$D$9,"HUMANIZACION EN EL SERVICIO DE LA SALUD Y BUENAS PRACTICAS EN PACIENTE ",IF(N6=CURSOS!$D$10,"CLINICA DE HERIDAS ",IF(N6=CURSOS!$D$11,"TOMA DE CITOLOGIA CERVICO VAGINAL ",IF(N6=CURSOS!$D$12,"SOPORTE CARDIOVASCULAR AVANZADO (ACLS) ",IF(N6=CURSOS!$D$13,"CAMILLERO ",IF(N6=CURSOS!$D$14,"TOMA DE MUESTRAS Y LABORATORIO ",IF(N6=CURSOS!$D$15,"SOPORTE VITAL BASICO (BLS)",IF(N6=CURSOS!$D$16,"ATENCION A VICTIMAS DE VIOLENCIA SEXUAL ",IF(N6=CURSOS!$D$17,"PROGRAMADO AMPLIADO DE INMUNIZACION (PAI - COVID 19)",IF(N6=CURSOS!$D$18,"ATENCION INTEGRAL EN ENFERMEDADES PREVALENTES EN PRIMERA INFANCIA (AIEPI)",IF(N6=CURSOS!$D$19,"ADMINISTRACION DE MEDICAMENTOS, INYECTOLOGIA  Y CANALIZACION ",IF(N6=CURSOS!$D$20,"OPERADOR DE VEHICULOS DE EMERGENCIA (OVE)",IF(N6=CURSOS!$D$21,"INSTITUCIONES AMIGAS DE LA MUJER Y LA INFANCIA (IAMI)",IF(N6=CURSOS!$D$22,"CUIDADO DEL DONANTE DE ORGANOS",IF(N6=CURSOS!$D$23,"ATENCION A VICTIMAS POR VIOLENCIA DE GENERO",IF(N6=CURSOS!$D$24,"IGUALDAD DE GENERO EN LA SALUD",IF(N6=CURSOS!$D$25,"BRIGADA DE EMERGENCIA",IF(N6=CURSOS!$D$26,"MANEJO DEL DOLOR Y CUIDADOS PALIATIVOS",IF(N6=CURSOS!$D$27,"TOMA DE MUESTRAS Y LABORATORIO POCT",IF(N6=CURSOS!$D$28,"IMPLANTE SUBDERMICO DE DISPOSITIVO INTRAUTERINO",IF(N6=CURSOS!$D$29,"SALUD MENTAL",IF(N6=CURSOS!$D$30,"PRIMEROS AUXILIOS PSICOLOGICOS",IF(N6=CURSOS!$D$31,"ATENCION A VICTIMAS POR CONFLICTO ARMADO",IF(N6=CURSOS!$D$32,"MANIPULACION DE ALIMENTOS Y BPM",IF(N6=CURSOS!$D$33,"ATENCION A PERSONAS CON DISCAPACIDAD",IF(N6=CURSOS!$D$34,"CUIDADO INTEGRAL DEL PACIENTE ADULTO",IF(N6=CURSOS!$D$35,"MANEJO DEFENSIVO",IF(N6=CURSOS!$D$36,"SOPORTE CARDIOVASCULAR AVANZADO NEONATAL",IF(N6=CURSOS!$D$37,"SEGURIDAD DEL PACIENTE")))))))))))))))))))))))))))))))))))</f>
        <v xml:space="preserve">SOPORTE CARDIOVASCULAR AVANZADO (ACLS) </v>
      </c>
      <c r="U6" s="51" t="str">
        <f t="shared" si="2"/>
        <v>Ronel ever portilla estrada</v>
      </c>
      <c r="V6" s="51" t="str">
        <f t="shared" si="3"/>
        <v>Ronel Ever Portilla Estrada</v>
      </c>
      <c r="W6" s="51" t="str">
        <f t="shared" si="4"/>
        <v>Ronel ever portilla estrada-13066490-ACLS</v>
      </c>
      <c r="X6" s="52"/>
    </row>
    <row r="7" spans="1:24" ht="15.75" x14ac:dyDescent="0.25">
      <c r="A7" s="56">
        <v>6</v>
      </c>
      <c r="B7" s="56">
        <v>1087421246</v>
      </c>
      <c r="C7" s="56" t="s">
        <v>320</v>
      </c>
      <c r="D7" s="56" t="s">
        <v>321</v>
      </c>
      <c r="E7" s="56" t="s">
        <v>167</v>
      </c>
      <c r="F7" s="56" t="s">
        <v>389</v>
      </c>
      <c r="G7" s="59">
        <v>13</v>
      </c>
      <c r="H7" s="56" t="s">
        <v>99</v>
      </c>
      <c r="I7" s="81">
        <v>45548</v>
      </c>
      <c r="J7" s="86">
        <v>200000</v>
      </c>
      <c r="K7" s="59" t="s">
        <v>103</v>
      </c>
      <c r="L7" s="59" t="s">
        <v>85</v>
      </c>
      <c r="M7" s="45" t="s">
        <v>358</v>
      </c>
      <c r="N7" s="56" t="s">
        <v>38</v>
      </c>
      <c r="O7" s="57">
        <v>34702</v>
      </c>
      <c r="P7" s="59" t="s">
        <v>110</v>
      </c>
      <c r="Q7" s="56" t="s">
        <v>346</v>
      </c>
      <c r="R7" s="56">
        <v>3177207675</v>
      </c>
      <c r="S7" s="58" t="s">
        <v>353</v>
      </c>
      <c r="T7" s="53" t="str">
        <f>IF(N7=CURSOS!$D$3,"DIPLOMADO EN ATENCION PRE-HOSPITALARIA",IF(N7=CURSOS!$D$4,"ACOMPAÑAMIENTO Y MANEJO DEL DUELO",IF(N7=CURSOS!$D$5,"ATENCION A VICTIMAS DE ATAQUE CON AGENTES QUIMICOS ",IF(N7=CURSOS!$D$6,"PRIMEROS AUXILIOS ",IF(N7=CURSOS!$D$7,"DIPLOMADO DE UNIDAD DE CUIDADOS INTENSIVOS (UCI)",IF(N7=CURSOS!$D$8,"MODELO DE ATENCION PARA EVENTOS EMERGENTES EN SALUD MENTAL (CODIGO VERDE)",IF(N7=CURSOS!$D$9,"HUMANIZACION EN EL SERVICIO DE LA SALUD Y BUENAS PRACTICAS EN PACIENTE ",IF(N7=CURSOS!$D$10,"CLINICA DE HERIDAS ",IF(N7=CURSOS!$D$11,"TOMA DE CITOLOGIA CERVICO VAGINAL ",IF(N7=CURSOS!$D$12,"SOPORTE CARDIOVASCULAR AVANZADO (ACLS) ",IF(N7=CURSOS!$D$13,"CAMILLERO ",IF(N7=CURSOS!$D$14,"TOMA DE MUESTRAS Y LABORATORIO ",IF(N7=CURSOS!$D$15,"SOPORTE VITAL BASICO (BLS)",IF(N7=CURSOS!$D$16,"ATENCION A VICTIMAS DE VIOLENCIA SEXUAL ",IF(N7=CURSOS!$D$17,"PROGRAMADO AMPLIADO DE INMUNIZACION (PAI - COVID 19)",IF(N7=CURSOS!$D$18,"ATENCION INTEGRAL EN ENFERMEDADES PREVALENTES EN PRIMERA INFANCIA (AIEPI)",IF(N7=CURSOS!$D$19,"ADMINISTRACION DE MEDICAMENTOS, INYECTOLOGIA  Y CANALIZACION ",IF(N7=CURSOS!$D$20,"OPERADOR DE VEHICULOS DE EMERGENCIA (OVE)",IF(N7=CURSOS!$D$21,"INSTITUCIONES AMIGAS DE LA MUJER Y LA INFANCIA (IAMI)",IF(N7=CURSOS!$D$22,"CUIDADO DEL DONANTE DE ORGANOS",IF(N7=CURSOS!$D$23,"ATENCION A VICTIMAS POR VIOLENCIA DE GENERO",IF(N7=CURSOS!$D$24,"IGUALDAD DE GENERO EN LA SALUD",IF(N7=CURSOS!$D$25,"BRIGADA DE EMERGENCIA",IF(N7=CURSOS!$D$26,"MANEJO DEL DOLOR Y CUIDADOS PALIATIVOS",IF(N7=CURSOS!$D$27,"TOMA DE MUESTRAS Y LABORATORIO POCT",IF(N7=CURSOS!$D$28,"IMPLANTE SUBDERMICO DE DISPOSITIVO INTRAUTERINO",IF(N7=CURSOS!$D$29,"SALUD MENTAL",IF(N7=CURSOS!$D$30,"PRIMEROS AUXILIOS PSICOLOGICOS",IF(N7=CURSOS!$D$31,"ATENCION A VICTIMAS POR CONFLICTO ARMADO",IF(N7=CURSOS!$D$32,"MANIPULACION DE ALIMENTOS Y BPM",IF(N7=CURSOS!$D$33,"ATENCION A PERSONAS CON DISCAPACIDAD",IF(N7=CURSOS!$D$34,"CUIDADO INTEGRAL DEL PACIENTE ADULTO",IF(N7=CURSOS!$D$35,"MANEJO DEFENSIVO",IF(N7=CURSOS!$D$36,"SOPORTE CARDIOVASCULAR AVANZADO NEONATAL",IF(N7=CURSOS!$D$37,"SEGURIDAD DEL PACIENTE")))))))))))))))))))))))))))))))))))</f>
        <v xml:space="preserve">SOPORTE CARDIOVASCULAR AVANZADO (ACLS) </v>
      </c>
      <c r="U7" s="51" t="str">
        <f t="shared" si="2"/>
        <v>Paola Alexandra basante bolaños</v>
      </c>
      <c r="V7" s="51" t="str">
        <f t="shared" si="3"/>
        <v>Paola Alexandra Basante Bolaños</v>
      </c>
      <c r="W7" s="51" t="str">
        <f t="shared" si="4"/>
        <v>Paola Alexandra basante bolaños-1087421246-ACLS</v>
      </c>
      <c r="X7" s="52"/>
    </row>
    <row r="8" spans="1:24" ht="15.75" x14ac:dyDescent="0.25">
      <c r="A8" s="41">
        <v>7</v>
      </c>
      <c r="B8" s="56">
        <v>1087414803</v>
      </c>
      <c r="C8" s="56" t="s">
        <v>322</v>
      </c>
      <c r="D8" s="56" t="s">
        <v>323</v>
      </c>
      <c r="E8" s="83" t="s">
        <v>338</v>
      </c>
      <c r="F8" s="83" t="s">
        <v>257</v>
      </c>
      <c r="G8" s="87">
        <v>13</v>
      </c>
      <c r="H8" s="83" t="s">
        <v>99</v>
      </c>
      <c r="I8" s="85"/>
      <c r="J8" s="86">
        <v>200000</v>
      </c>
      <c r="K8" s="84" t="s">
        <v>538</v>
      </c>
      <c r="L8" s="59" t="s">
        <v>85</v>
      </c>
      <c r="M8" s="45" t="s">
        <v>358</v>
      </c>
      <c r="N8" s="56" t="s">
        <v>38</v>
      </c>
      <c r="O8" s="57">
        <v>33058</v>
      </c>
      <c r="P8" s="59" t="s">
        <v>110</v>
      </c>
      <c r="Q8" s="56" t="s">
        <v>345</v>
      </c>
      <c r="R8" s="56">
        <v>3225112697</v>
      </c>
      <c r="S8" s="58" t="s">
        <v>354</v>
      </c>
      <c r="T8" s="53" t="str">
        <f>IF(N8=CURSOS!$D$3,"DIPLOMADO EN ATENCION PRE-HOSPITALARIA",IF(N8=CURSOS!$D$4,"ACOMPAÑAMIENTO Y MANEJO DEL DUELO",IF(N8=CURSOS!$D$5,"ATENCION A VICTIMAS DE ATAQUE CON AGENTES QUIMICOS ",IF(N8=CURSOS!$D$6,"PRIMEROS AUXILIOS ",IF(N8=CURSOS!$D$7,"DIPLOMADO DE UNIDAD DE CUIDADOS INTENSIVOS (UCI)",IF(N8=CURSOS!$D$8,"MODELO DE ATENCION PARA EVENTOS EMERGENTES EN SALUD MENTAL (CODIGO VERDE)",IF(N8=CURSOS!$D$9,"HUMANIZACION EN EL SERVICIO DE LA SALUD Y BUENAS PRACTICAS EN PACIENTE ",IF(N8=CURSOS!$D$10,"CLINICA DE HERIDAS ",IF(N8=CURSOS!$D$11,"TOMA DE CITOLOGIA CERVICO VAGINAL ",IF(N8=CURSOS!$D$12,"SOPORTE CARDIOVASCULAR AVANZADO (ACLS) ",IF(N8=CURSOS!$D$13,"CAMILLERO ",IF(N8=CURSOS!$D$14,"TOMA DE MUESTRAS Y LABORATORIO ",IF(N8=CURSOS!$D$15,"SOPORTE VITAL BASICO (BLS)",IF(N8=CURSOS!$D$16,"ATENCION A VICTIMAS DE VIOLENCIA SEXUAL ",IF(N8=CURSOS!$D$17,"PROGRAMADO AMPLIADO DE INMUNIZACION (PAI - COVID 19)",IF(N8=CURSOS!$D$18,"ATENCION INTEGRAL EN ENFERMEDADES PREVALENTES EN PRIMERA INFANCIA (AIEPI)",IF(N8=CURSOS!$D$19,"ADMINISTRACION DE MEDICAMENTOS, INYECTOLOGIA  Y CANALIZACION ",IF(N8=CURSOS!$D$20,"OPERADOR DE VEHICULOS DE EMERGENCIA (OVE)",IF(N8=CURSOS!$D$21,"INSTITUCIONES AMIGAS DE LA MUJER Y LA INFANCIA (IAMI)",IF(N8=CURSOS!$D$22,"CUIDADO DEL DONANTE DE ORGANOS",IF(N8=CURSOS!$D$23,"ATENCION A VICTIMAS POR VIOLENCIA DE GENERO",IF(N8=CURSOS!$D$24,"IGUALDAD DE GENERO EN LA SALUD",IF(N8=CURSOS!$D$25,"BRIGADA DE EMERGENCIA",IF(N8=CURSOS!$D$26,"MANEJO DEL DOLOR Y CUIDADOS PALIATIVOS",IF(N8=CURSOS!$D$27,"TOMA DE MUESTRAS Y LABORATORIO POCT",IF(N8=CURSOS!$D$28,"IMPLANTE SUBDERMICO DE DISPOSITIVO INTRAUTERINO",IF(N8=CURSOS!$D$29,"SALUD MENTAL",IF(N8=CURSOS!$D$30,"PRIMEROS AUXILIOS PSICOLOGICOS",IF(N8=CURSOS!$D$31,"ATENCION A VICTIMAS POR CONFLICTO ARMADO",IF(N8=CURSOS!$D$32,"MANIPULACION DE ALIMENTOS Y BPM",IF(N8=CURSOS!$D$33,"ATENCION A PERSONAS CON DISCAPACIDAD",IF(N8=CURSOS!$D$34,"CUIDADO INTEGRAL DEL PACIENTE ADULTO",IF(N8=CURSOS!$D$35,"MANEJO DEFENSIVO",IF(N8=CURSOS!$D$36,"SOPORTE CARDIOVASCULAR AVANZADO NEONATAL",IF(N8=CURSOS!$D$37,"SEGURIDAD DEL PACIENTE")))))))))))))))))))))))))))))))))))</f>
        <v xml:space="preserve">SOPORTE CARDIOVASCULAR AVANZADO (ACLS) </v>
      </c>
      <c r="U8" s="51" t="str">
        <f t="shared" si="2"/>
        <v>adriana Elizabeth diaz Paredes</v>
      </c>
      <c r="V8" s="51" t="str">
        <f t="shared" si="3"/>
        <v>Adriana Elizabeth Diaz Paredes</v>
      </c>
      <c r="W8" s="51" t="str">
        <f t="shared" si="4"/>
        <v>adriana Elizabeth diaz Paredes-1087414803-ACLS</v>
      </c>
      <c r="X8" s="52"/>
    </row>
    <row r="9" spans="1:24" ht="15.75" x14ac:dyDescent="0.25">
      <c r="A9" s="56">
        <v>8</v>
      </c>
      <c r="B9" s="56">
        <v>27533957</v>
      </c>
      <c r="C9" s="56" t="s">
        <v>324</v>
      </c>
      <c r="D9" s="56" t="s">
        <v>325</v>
      </c>
      <c r="E9" s="83" t="s">
        <v>339</v>
      </c>
      <c r="F9" s="83" t="s">
        <v>340</v>
      </c>
      <c r="G9" s="84">
        <v>13</v>
      </c>
      <c r="H9" s="83" t="s">
        <v>99</v>
      </c>
      <c r="I9" s="85"/>
      <c r="J9" s="86">
        <v>200000</v>
      </c>
      <c r="K9" s="84" t="s">
        <v>538</v>
      </c>
      <c r="L9" s="59" t="s">
        <v>85</v>
      </c>
      <c r="M9" s="45" t="s">
        <v>358</v>
      </c>
      <c r="N9" s="56" t="s">
        <v>38</v>
      </c>
      <c r="O9" s="57">
        <v>24050</v>
      </c>
      <c r="P9" s="59" t="s">
        <v>110</v>
      </c>
      <c r="Q9" s="56" t="s">
        <v>346</v>
      </c>
      <c r="R9" s="56">
        <v>3183887111</v>
      </c>
      <c r="S9" s="58" t="s">
        <v>355</v>
      </c>
      <c r="T9" s="53" t="str">
        <f>IF(N9=CURSOS!$D$3,"DIPLOMADO EN ATENCION PRE-HOSPITALARIA",IF(N9=CURSOS!$D$4,"ACOMPAÑAMIENTO Y MANEJO DEL DUELO",IF(N9=CURSOS!$D$5,"ATENCION A VICTIMAS DE ATAQUE CON AGENTES QUIMICOS ",IF(N9=CURSOS!$D$6,"PRIMEROS AUXILIOS ",IF(N9=CURSOS!$D$7,"DIPLOMADO DE UNIDAD DE CUIDADOS INTENSIVOS (UCI)",IF(N9=CURSOS!$D$8,"MODELO DE ATENCION PARA EVENTOS EMERGENTES EN SALUD MENTAL (CODIGO VERDE)",IF(N9=CURSOS!$D$9,"HUMANIZACION EN EL SERVICIO DE LA SALUD Y BUENAS PRACTICAS EN PACIENTE ",IF(N9=CURSOS!$D$10,"CLINICA DE HERIDAS ",IF(N9=CURSOS!$D$11,"TOMA DE CITOLOGIA CERVICO VAGINAL ",IF(N9=CURSOS!$D$12,"SOPORTE CARDIOVASCULAR AVANZADO (ACLS) ",IF(N9=CURSOS!$D$13,"CAMILLERO ",IF(N9=CURSOS!$D$14,"TOMA DE MUESTRAS Y LABORATORIO ",IF(N9=CURSOS!$D$15,"SOPORTE VITAL BASICO (BLS)",IF(N9=CURSOS!$D$16,"ATENCION A VICTIMAS DE VIOLENCIA SEXUAL ",IF(N9=CURSOS!$D$17,"PROGRAMADO AMPLIADO DE INMUNIZACION (PAI - COVID 19)",IF(N9=CURSOS!$D$18,"ATENCION INTEGRAL EN ENFERMEDADES PREVALENTES EN PRIMERA INFANCIA (AIEPI)",IF(N9=CURSOS!$D$19,"ADMINISTRACION DE MEDICAMENTOS, INYECTOLOGIA  Y CANALIZACION ",IF(N9=CURSOS!$D$20,"OPERADOR DE VEHICULOS DE EMERGENCIA (OVE)",IF(N9=CURSOS!$D$21,"INSTITUCIONES AMIGAS DE LA MUJER Y LA INFANCIA (IAMI)",IF(N9=CURSOS!$D$22,"CUIDADO DEL DONANTE DE ORGANOS",IF(N9=CURSOS!$D$23,"ATENCION A VICTIMAS POR VIOLENCIA DE GENERO",IF(N9=CURSOS!$D$24,"IGUALDAD DE GENERO EN LA SALUD",IF(N9=CURSOS!$D$25,"BRIGADA DE EMERGENCIA",IF(N9=CURSOS!$D$26,"MANEJO DEL DOLOR Y CUIDADOS PALIATIVOS",IF(N9=CURSOS!$D$27,"TOMA DE MUESTRAS Y LABORATORIO POCT",IF(N9=CURSOS!$D$28,"IMPLANTE SUBDERMICO DE DISPOSITIVO INTRAUTERINO",IF(N9=CURSOS!$D$29,"SALUD MENTAL",IF(N9=CURSOS!$D$30,"PRIMEROS AUXILIOS PSICOLOGICOS",IF(N9=CURSOS!$D$31,"ATENCION A VICTIMAS POR CONFLICTO ARMADO",IF(N9=CURSOS!$D$32,"MANIPULACION DE ALIMENTOS Y BPM",IF(N9=CURSOS!$D$33,"ATENCION A PERSONAS CON DISCAPACIDAD",IF(N9=CURSOS!$D$34,"CUIDADO INTEGRAL DEL PACIENTE ADULTO",IF(N9=CURSOS!$D$35,"MANEJO DEFENSIVO",IF(N9=CURSOS!$D$36,"SOPORTE CARDIOVASCULAR AVANZADO NEONATAL",IF(N9=CURSOS!$D$37,"SEGURIDAD DEL PACIENTE")))))))))))))))))))))))))))))))))))</f>
        <v xml:space="preserve">SOPORTE CARDIOVASCULAR AVANZADO (ACLS) </v>
      </c>
      <c r="U9" s="51" t="str">
        <f t="shared" si="2"/>
        <v>marlene del Socorro guerron sanchez</v>
      </c>
      <c r="V9" s="51" t="str">
        <f t="shared" si="3"/>
        <v>Marlene Del Socorro Guerron Sanchez</v>
      </c>
      <c r="W9" s="51" t="str">
        <f t="shared" si="4"/>
        <v>marlene del Socorro guerron sanchez-27533957-ACLS</v>
      </c>
      <c r="X9" s="52"/>
    </row>
    <row r="10" spans="1:24" ht="15.75" x14ac:dyDescent="0.25">
      <c r="A10" s="56">
        <v>9</v>
      </c>
      <c r="B10" s="56">
        <v>13063183</v>
      </c>
      <c r="C10" s="56" t="s">
        <v>326</v>
      </c>
      <c r="D10" s="56" t="s">
        <v>327</v>
      </c>
      <c r="E10" s="83" t="s">
        <v>341</v>
      </c>
      <c r="F10" s="83" t="s">
        <v>342</v>
      </c>
      <c r="G10" s="84">
        <v>13</v>
      </c>
      <c r="H10" s="83" t="s">
        <v>99</v>
      </c>
      <c r="I10" s="85"/>
      <c r="J10" s="86">
        <v>200000</v>
      </c>
      <c r="K10" s="84" t="s">
        <v>538</v>
      </c>
      <c r="L10" s="59" t="s">
        <v>85</v>
      </c>
      <c r="M10" s="45" t="s">
        <v>358</v>
      </c>
      <c r="N10" s="56" t="s">
        <v>38</v>
      </c>
      <c r="O10" s="57">
        <v>24262</v>
      </c>
      <c r="P10" s="59" t="s">
        <v>104</v>
      </c>
      <c r="Q10" s="56" t="s">
        <v>347</v>
      </c>
      <c r="R10" s="56">
        <v>3113671990</v>
      </c>
      <c r="S10" s="58" t="s">
        <v>356</v>
      </c>
      <c r="T10" s="53" t="str">
        <f>IF(N10=CURSOS!$D$3,"DIPLOMADO EN ATENCION PRE-HOSPITALARIA",IF(N10=CURSOS!$D$4,"ACOMPAÑAMIENTO Y MANEJO DEL DUELO",IF(N10=CURSOS!$D$5,"ATENCION A VICTIMAS DE ATAQUE CON AGENTES QUIMICOS ",IF(N10=CURSOS!$D$6,"PRIMEROS AUXILIOS ",IF(N10=CURSOS!$D$7,"DIPLOMADO DE UNIDAD DE CUIDADOS INTENSIVOS (UCI)",IF(N10=CURSOS!$D$8,"MODELO DE ATENCION PARA EVENTOS EMERGENTES EN SALUD MENTAL (CODIGO VERDE)",IF(N10=CURSOS!$D$9,"HUMANIZACION EN EL SERVICIO DE LA SALUD Y BUENAS PRACTICAS EN PACIENTE ",IF(N10=CURSOS!$D$10,"CLINICA DE HERIDAS ",IF(N10=CURSOS!$D$11,"TOMA DE CITOLOGIA CERVICO VAGINAL ",IF(N10=CURSOS!$D$12,"SOPORTE CARDIOVASCULAR AVANZADO (ACLS) ",IF(N10=CURSOS!$D$13,"CAMILLERO ",IF(N10=CURSOS!$D$14,"TOMA DE MUESTRAS Y LABORATORIO ",IF(N10=CURSOS!$D$15,"SOPORTE VITAL BASICO (BLS)",IF(N10=CURSOS!$D$16,"ATENCION A VICTIMAS DE VIOLENCIA SEXUAL ",IF(N10=CURSOS!$D$17,"PROGRAMADO AMPLIADO DE INMUNIZACION (PAI - COVID 19)",IF(N10=CURSOS!$D$18,"ATENCION INTEGRAL EN ENFERMEDADES PREVALENTES EN PRIMERA INFANCIA (AIEPI)",IF(N10=CURSOS!$D$19,"ADMINISTRACION DE MEDICAMENTOS, INYECTOLOGIA  Y CANALIZACION ",IF(N10=CURSOS!$D$20,"OPERADOR DE VEHICULOS DE EMERGENCIA (OVE)",IF(N10=CURSOS!$D$21,"INSTITUCIONES AMIGAS DE LA MUJER Y LA INFANCIA (IAMI)",IF(N10=CURSOS!$D$22,"CUIDADO DEL DONANTE DE ORGANOS",IF(N10=CURSOS!$D$23,"ATENCION A VICTIMAS POR VIOLENCIA DE GENERO",IF(N10=CURSOS!$D$24,"IGUALDAD DE GENERO EN LA SALUD",IF(N10=CURSOS!$D$25,"BRIGADA DE EMERGENCIA",IF(N10=CURSOS!$D$26,"MANEJO DEL DOLOR Y CUIDADOS PALIATIVOS",IF(N10=CURSOS!$D$27,"TOMA DE MUESTRAS Y LABORATORIO POCT",IF(N10=CURSOS!$D$28,"IMPLANTE SUBDERMICO DE DISPOSITIVO INTRAUTERINO",IF(N10=CURSOS!$D$29,"SALUD MENTAL",IF(N10=CURSOS!$D$30,"PRIMEROS AUXILIOS PSICOLOGICOS",IF(N10=CURSOS!$D$31,"ATENCION A VICTIMAS POR CONFLICTO ARMADO",IF(N10=CURSOS!$D$32,"MANIPULACION DE ALIMENTOS Y BPM",IF(N10=CURSOS!$D$33,"ATENCION A PERSONAS CON DISCAPACIDAD",IF(N10=CURSOS!$D$34,"CUIDADO INTEGRAL DEL PACIENTE ADULTO",IF(N10=CURSOS!$D$35,"MANEJO DEFENSIVO",IF(N10=CURSOS!$D$36,"SOPORTE CARDIOVASCULAR AVANZADO NEONATAL",IF(N10=CURSOS!$D$37,"SEGURIDAD DEL PACIENTE")))))))))))))))))))))))))))))))))))</f>
        <v xml:space="preserve">SOPORTE CARDIOVASCULAR AVANZADO (ACLS) </v>
      </c>
      <c r="U10" s="51" t="str">
        <f t="shared" si="2"/>
        <v>Jorge Heberto cuasquen Hernandez</v>
      </c>
      <c r="V10" s="51" t="str">
        <f t="shared" si="3"/>
        <v>Jorge Heberto Cuasquen Hernandez</v>
      </c>
      <c r="W10" s="51" t="str">
        <f t="shared" si="4"/>
        <v>Jorge Heberto cuasquen Hernandez-13063183-ACLS</v>
      </c>
      <c r="X10" s="52"/>
    </row>
    <row r="11" spans="1:24" ht="15.75" x14ac:dyDescent="0.25">
      <c r="A11" s="41">
        <v>10</v>
      </c>
      <c r="B11" s="56">
        <v>1087414309</v>
      </c>
      <c r="C11" s="56" t="s">
        <v>328</v>
      </c>
      <c r="D11" s="56" t="s">
        <v>329</v>
      </c>
      <c r="E11" s="56" t="s">
        <v>343</v>
      </c>
      <c r="F11" s="56" t="s">
        <v>344</v>
      </c>
      <c r="G11" s="59">
        <v>13</v>
      </c>
      <c r="H11" s="56" t="s">
        <v>99</v>
      </c>
      <c r="I11" s="80"/>
      <c r="J11" s="88">
        <v>200000</v>
      </c>
      <c r="K11" s="59"/>
      <c r="L11" s="59" t="s">
        <v>85</v>
      </c>
      <c r="M11" s="45" t="s">
        <v>358</v>
      </c>
      <c r="N11" s="56" t="s">
        <v>38</v>
      </c>
      <c r="O11" s="57">
        <v>32964</v>
      </c>
      <c r="P11" s="59" t="s">
        <v>104</v>
      </c>
      <c r="Q11" s="56" t="s">
        <v>346</v>
      </c>
      <c r="R11" s="56">
        <v>3147898493</v>
      </c>
      <c r="S11" s="58" t="s">
        <v>357</v>
      </c>
      <c r="T11" s="53" t="str">
        <f>IF(N11=CURSOS!$D$3,"DIPLOMADO EN ATENCION PRE-HOSPITALARIA",IF(N11=CURSOS!$D$4,"ACOMPAÑAMIENTO Y MANEJO DEL DUELO",IF(N11=CURSOS!$D$5,"ATENCION A VICTIMAS DE ATAQUE CON AGENTES QUIMICOS ",IF(N11=CURSOS!$D$6,"PRIMEROS AUXILIOS ",IF(N11=CURSOS!$D$7,"DIPLOMADO DE UNIDAD DE CUIDADOS INTENSIVOS (UCI)",IF(N11=CURSOS!$D$8,"MODELO DE ATENCION PARA EVENTOS EMERGENTES EN SALUD MENTAL (CODIGO VERDE)",IF(N11=CURSOS!$D$9,"HUMANIZACION EN EL SERVICIO DE LA SALUD Y BUENAS PRACTICAS EN PACIENTE ",IF(N11=CURSOS!$D$10,"CLINICA DE HERIDAS ",IF(N11=CURSOS!$D$11,"TOMA DE CITOLOGIA CERVICO VAGINAL ",IF(N11=CURSOS!$D$12,"SOPORTE CARDIOVASCULAR AVANZADO (ACLS) ",IF(N11=CURSOS!$D$13,"CAMILLERO ",IF(N11=CURSOS!$D$14,"TOMA DE MUESTRAS Y LABORATORIO ",IF(N11=CURSOS!$D$15,"SOPORTE VITAL BASICO (BLS)",IF(N11=CURSOS!$D$16,"ATENCION A VICTIMAS DE VIOLENCIA SEXUAL ",IF(N11=CURSOS!$D$17,"PROGRAMADO AMPLIADO DE INMUNIZACION (PAI - COVID 19)",IF(N11=CURSOS!$D$18,"ATENCION INTEGRAL EN ENFERMEDADES PREVALENTES EN PRIMERA INFANCIA (AIEPI)",IF(N11=CURSOS!$D$19,"ADMINISTRACION DE MEDICAMENTOS, INYECTOLOGIA  Y CANALIZACION ",IF(N11=CURSOS!$D$20,"OPERADOR DE VEHICULOS DE EMERGENCIA (OVE)",IF(N11=CURSOS!$D$21,"INSTITUCIONES AMIGAS DE LA MUJER Y LA INFANCIA (IAMI)",IF(N11=CURSOS!$D$22,"CUIDADO DEL DONANTE DE ORGANOS",IF(N11=CURSOS!$D$23,"ATENCION A VICTIMAS POR VIOLENCIA DE GENERO",IF(N11=CURSOS!$D$24,"IGUALDAD DE GENERO EN LA SALUD",IF(N11=CURSOS!$D$25,"BRIGADA DE EMERGENCIA",IF(N11=CURSOS!$D$26,"MANEJO DEL DOLOR Y CUIDADOS PALIATIVOS",IF(N11=CURSOS!$D$27,"TOMA DE MUESTRAS Y LABORATORIO POCT",IF(N11=CURSOS!$D$28,"IMPLANTE SUBDERMICO DE DISPOSITIVO INTRAUTERINO",IF(N11=CURSOS!$D$29,"SALUD MENTAL",IF(N11=CURSOS!$D$30,"PRIMEROS AUXILIOS PSICOLOGICOS",IF(N11=CURSOS!$D$31,"ATENCION A VICTIMAS POR CONFLICTO ARMADO",IF(N11=CURSOS!$D$32,"MANIPULACION DE ALIMENTOS Y BPM",IF(N11=CURSOS!$D$33,"ATENCION A PERSONAS CON DISCAPACIDAD",IF(N11=CURSOS!$D$34,"CUIDADO INTEGRAL DEL PACIENTE ADULTO",IF(N11=CURSOS!$D$35,"MANEJO DEFENSIVO",IF(N11=CURSOS!$D$36,"SOPORTE CARDIOVASCULAR AVANZADO NEONATAL",IF(N11=CURSOS!$D$37,"SEGURIDAD DEL PACIENTE")))))))))))))))))))))))))))))))))))</f>
        <v xml:space="preserve">SOPORTE CARDIOVASCULAR AVANZADO (ACLS) </v>
      </c>
      <c r="U11" s="51" t="str">
        <f t="shared" si="2"/>
        <v>Jesus alejandro Lasso Arciniegas</v>
      </c>
      <c r="V11" s="51" t="str">
        <f t="shared" si="3"/>
        <v>Jesus Alejandro Lasso Arciniegas</v>
      </c>
      <c r="W11" s="51" t="str">
        <f t="shared" si="4"/>
        <v>Jesus alejandro Lasso Arciniegas-1087414309-ACLS</v>
      </c>
      <c r="X11" s="52"/>
    </row>
    <row r="12" spans="1:24" x14ac:dyDescent="0.25">
      <c r="J12" s="82">
        <f>SUM(J2:J11)</f>
        <v>2000000</v>
      </c>
    </row>
  </sheetData>
  <hyperlinks>
    <hyperlink ref="S2" r:id="rId1" xr:uid="{00000000-0004-0000-0100-000000000000}"/>
    <hyperlink ref="S3" r:id="rId2" xr:uid="{00000000-0004-0000-0100-000001000000}"/>
    <hyperlink ref="S4" r:id="rId3" xr:uid="{00000000-0004-0000-0100-000002000000}"/>
    <hyperlink ref="S5" r:id="rId4" xr:uid="{00000000-0004-0000-0100-000003000000}"/>
    <hyperlink ref="S6" r:id="rId5" xr:uid="{00000000-0004-0000-0100-000004000000}"/>
    <hyperlink ref="S7" r:id="rId6" xr:uid="{00000000-0004-0000-0100-000005000000}"/>
    <hyperlink ref="S8" r:id="rId7" xr:uid="{00000000-0004-0000-0100-000006000000}"/>
    <hyperlink ref="S9" r:id="rId8" xr:uid="{00000000-0004-0000-0100-000007000000}"/>
    <hyperlink ref="S10" r:id="rId9" xr:uid="{00000000-0004-0000-0100-000008000000}"/>
    <hyperlink ref="S11" r:id="rId10" xr:uid="{00000000-0004-0000-0100-000009000000}"/>
  </hyperlinks>
  <pageMargins left="0.7" right="0.7" top="0.75" bottom="0.75" header="0.3" footer="0.3"/>
  <pageSetup paperSize="9" orientation="portrait"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C1:E39"/>
  <sheetViews>
    <sheetView topLeftCell="B1" zoomScale="85" zoomScaleNormal="85" workbookViewId="0">
      <selection activeCell="E39" sqref="E39"/>
    </sheetView>
  </sheetViews>
  <sheetFormatPr baseColWidth="10" defaultRowHeight="14.25" x14ac:dyDescent="0.2"/>
  <cols>
    <col min="1" max="2" width="11.42578125" style="67"/>
    <col min="3" max="3" width="8.140625" style="66" bestFit="1" customWidth="1"/>
    <col min="4" max="4" width="32.5703125" style="67" bestFit="1" customWidth="1"/>
    <col min="5" max="5" width="97" style="67" bestFit="1" customWidth="1"/>
    <col min="6" max="16384" width="11.42578125" style="67"/>
  </cols>
  <sheetData>
    <row r="1" spans="3:5" ht="15" thickBot="1" x14ac:dyDescent="0.25"/>
    <row r="2" spans="3:5" ht="15.75" thickBot="1" x14ac:dyDescent="0.3">
      <c r="C2" s="27" t="s">
        <v>20</v>
      </c>
      <c r="D2" s="27" t="s">
        <v>11</v>
      </c>
      <c r="E2" s="28" t="s">
        <v>15</v>
      </c>
    </row>
    <row r="3" spans="3:5" x14ac:dyDescent="0.2">
      <c r="C3" s="1">
        <v>1</v>
      </c>
      <c r="D3" s="2" t="s">
        <v>21</v>
      </c>
      <c r="E3" s="3" t="s">
        <v>22</v>
      </c>
    </row>
    <row r="4" spans="3:5" x14ac:dyDescent="0.2">
      <c r="C4" s="4">
        <v>2</v>
      </c>
      <c r="D4" s="5" t="s">
        <v>23</v>
      </c>
      <c r="E4" s="6" t="s">
        <v>24</v>
      </c>
    </row>
    <row r="5" spans="3:5" x14ac:dyDescent="0.2">
      <c r="C5" s="7">
        <v>3</v>
      </c>
      <c r="D5" s="5" t="s">
        <v>25</v>
      </c>
      <c r="E5" s="6" t="s">
        <v>26</v>
      </c>
    </row>
    <row r="6" spans="3:5" x14ac:dyDescent="0.2">
      <c r="C6" s="4">
        <v>4</v>
      </c>
      <c r="D6" s="5" t="s">
        <v>27</v>
      </c>
      <c r="E6" s="6" t="s">
        <v>28</v>
      </c>
    </row>
    <row r="7" spans="3:5" x14ac:dyDescent="0.2">
      <c r="C7" s="7">
        <v>5</v>
      </c>
      <c r="D7" s="5" t="s">
        <v>29</v>
      </c>
      <c r="E7" s="6" t="s">
        <v>30</v>
      </c>
    </row>
    <row r="8" spans="3:5" x14ac:dyDescent="0.2">
      <c r="C8" s="4">
        <v>6</v>
      </c>
      <c r="D8" s="5" t="s">
        <v>31</v>
      </c>
      <c r="E8" s="6" t="s">
        <v>32</v>
      </c>
    </row>
    <row r="9" spans="3:5" x14ac:dyDescent="0.2">
      <c r="C9" s="7">
        <v>7</v>
      </c>
      <c r="D9" s="5" t="s">
        <v>33</v>
      </c>
      <c r="E9" s="6" t="s">
        <v>91</v>
      </c>
    </row>
    <row r="10" spans="3:5" x14ac:dyDescent="0.2">
      <c r="C10" s="4">
        <v>8</v>
      </c>
      <c r="D10" s="5" t="s">
        <v>34</v>
      </c>
      <c r="E10" s="6" t="s">
        <v>35</v>
      </c>
    </row>
    <row r="11" spans="3:5" x14ac:dyDescent="0.2">
      <c r="C11" s="7">
        <v>9</v>
      </c>
      <c r="D11" s="8" t="s">
        <v>36</v>
      </c>
      <c r="E11" s="6" t="s">
        <v>37</v>
      </c>
    </row>
    <row r="12" spans="3:5" x14ac:dyDescent="0.2">
      <c r="C12" s="4">
        <v>10</v>
      </c>
      <c r="D12" s="9" t="s">
        <v>38</v>
      </c>
      <c r="E12" s="6" t="s">
        <v>93</v>
      </c>
    </row>
    <row r="13" spans="3:5" x14ac:dyDescent="0.2">
      <c r="C13" s="7">
        <v>11</v>
      </c>
      <c r="D13" s="9" t="s">
        <v>39</v>
      </c>
      <c r="E13" s="6" t="s">
        <v>40</v>
      </c>
    </row>
    <row r="14" spans="3:5" x14ac:dyDescent="0.2">
      <c r="C14" s="4">
        <v>12</v>
      </c>
      <c r="D14" s="9" t="s">
        <v>41</v>
      </c>
      <c r="E14" s="6" t="s">
        <v>92</v>
      </c>
    </row>
    <row r="15" spans="3:5" x14ac:dyDescent="0.2">
      <c r="C15" s="7">
        <v>13</v>
      </c>
      <c r="D15" s="9" t="s">
        <v>19</v>
      </c>
      <c r="E15" s="6" t="s">
        <v>42</v>
      </c>
    </row>
    <row r="16" spans="3:5" x14ac:dyDescent="0.2">
      <c r="C16" s="4">
        <v>14</v>
      </c>
      <c r="D16" s="9" t="s">
        <v>43</v>
      </c>
      <c r="E16" s="6" t="s">
        <v>44</v>
      </c>
    </row>
    <row r="17" spans="3:5" x14ac:dyDescent="0.2">
      <c r="C17" s="7">
        <v>15</v>
      </c>
      <c r="D17" s="9" t="s">
        <v>77</v>
      </c>
      <c r="E17" s="6" t="s">
        <v>45</v>
      </c>
    </row>
    <row r="18" spans="3:5" x14ac:dyDescent="0.2">
      <c r="C18" s="4">
        <v>16</v>
      </c>
      <c r="D18" s="9" t="s">
        <v>46</v>
      </c>
      <c r="E18" s="6" t="s">
        <v>47</v>
      </c>
    </row>
    <row r="19" spans="3:5" x14ac:dyDescent="0.2">
      <c r="C19" s="7">
        <v>17</v>
      </c>
      <c r="D19" s="9" t="s">
        <v>48</v>
      </c>
      <c r="E19" s="6" t="s">
        <v>80</v>
      </c>
    </row>
    <row r="20" spans="3:5" x14ac:dyDescent="0.2">
      <c r="C20" s="4">
        <v>18</v>
      </c>
      <c r="D20" s="9" t="s">
        <v>49</v>
      </c>
      <c r="E20" s="6" t="s">
        <v>50</v>
      </c>
    </row>
    <row r="21" spans="3:5" x14ac:dyDescent="0.2">
      <c r="C21" s="7">
        <v>19</v>
      </c>
      <c r="D21" s="9" t="s">
        <v>51</v>
      </c>
      <c r="E21" s="10" t="s">
        <v>52</v>
      </c>
    </row>
    <row r="22" spans="3:5" x14ac:dyDescent="0.2">
      <c r="C22" s="4">
        <v>20</v>
      </c>
      <c r="D22" s="9" t="s">
        <v>53</v>
      </c>
      <c r="E22" s="10" t="s">
        <v>54</v>
      </c>
    </row>
    <row r="23" spans="3:5" x14ac:dyDescent="0.2">
      <c r="C23" s="7">
        <v>21</v>
      </c>
      <c r="D23" s="9" t="s">
        <v>55</v>
      </c>
      <c r="E23" s="10" t="s">
        <v>56</v>
      </c>
    </row>
    <row r="24" spans="3:5" x14ac:dyDescent="0.2">
      <c r="C24" s="4">
        <v>22</v>
      </c>
      <c r="D24" s="9" t="s">
        <v>57</v>
      </c>
      <c r="E24" s="11" t="s">
        <v>58</v>
      </c>
    </row>
    <row r="25" spans="3:5" x14ac:dyDescent="0.2">
      <c r="C25" s="29">
        <v>23</v>
      </c>
      <c r="D25" s="9" t="s">
        <v>59</v>
      </c>
      <c r="E25" s="6" t="s">
        <v>60</v>
      </c>
    </row>
    <row r="26" spans="3:5" x14ac:dyDescent="0.2">
      <c r="C26" s="29">
        <v>24</v>
      </c>
      <c r="D26" s="9" t="s">
        <v>61</v>
      </c>
      <c r="E26" s="10" t="s">
        <v>62</v>
      </c>
    </row>
    <row r="27" spans="3:5" x14ac:dyDescent="0.2">
      <c r="C27" s="29">
        <v>25</v>
      </c>
      <c r="D27" s="9" t="s">
        <v>63</v>
      </c>
      <c r="E27" s="6" t="s">
        <v>94</v>
      </c>
    </row>
    <row r="28" spans="3:5" x14ac:dyDescent="0.2">
      <c r="C28" s="29">
        <v>26</v>
      </c>
      <c r="D28" s="9" t="s">
        <v>64</v>
      </c>
      <c r="E28" s="6" t="s">
        <v>95</v>
      </c>
    </row>
    <row r="29" spans="3:5" x14ac:dyDescent="0.2">
      <c r="C29" s="29">
        <v>27</v>
      </c>
      <c r="D29" s="9" t="s">
        <v>65</v>
      </c>
      <c r="E29" s="6" t="s">
        <v>65</v>
      </c>
    </row>
    <row r="30" spans="3:5" x14ac:dyDescent="0.2">
      <c r="C30" s="29">
        <v>28</v>
      </c>
      <c r="D30" s="9" t="s">
        <v>66</v>
      </c>
      <c r="E30" s="6" t="s">
        <v>67</v>
      </c>
    </row>
    <row r="31" spans="3:5" x14ac:dyDescent="0.2">
      <c r="C31" s="29">
        <v>29</v>
      </c>
      <c r="D31" s="9" t="s">
        <v>68</v>
      </c>
      <c r="E31" s="6" t="s">
        <v>69</v>
      </c>
    </row>
    <row r="32" spans="3:5" x14ac:dyDescent="0.2">
      <c r="C32" s="29">
        <v>30</v>
      </c>
      <c r="D32" s="9" t="s">
        <v>78</v>
      </c>
      <c r="E32" s="6" t="s">
        <v>79</v>
      </c>
    </row>
    <row r="33" spans="3:5" x14ac:dyDescent="0.2">
      <c r="C33" s="29">
        <v>31</v>
      </c>
      <c r="D33" s="9" t="s">
        <v>82</v>
      </c>
      <c r="E33" s="6" t="s">
        <v>81</v>
      </c>
    </row>
    <row r="34" spans="3:5" x14ac:dyDescent="0.2">
      <c r="C34" s="29">
        <v>32</v>
      </c>
      <c r="D34" s="9" t="s">
        <v>83</v>
      </c>
      <c r="E34" s="6" t="s">
        <v>84</v>
      </c>
    </row>
    <row r="35" spans="3:5" x14ac:dyDescent="0.2">
      <c r="C35" s="29">
        <v>33</v>
      </c>
      <c r="D35" s="33" t="s">
        <v>87</v>
      </c>
      <c r="E35" s="34" t="s">
        <v>87</v>
      </c>
    </row>
    <row r="36" spans="3:5" x14ac:dyDescent="0.2">
      <c r="C36" s="29">
        <v>34</v>
      </c>
      <c r="D36" s="9" t="s">
        <v>88</v>
      </c>
      <c r="E36" s="6" t="s">
        <v>89</v>
      </c>
    </row>
    <row r="37" spans="3:5" x14ac:dyDescent="0.2">
      <c r="C37" s="29">
        <v>35</v>
      </c>
      <c r="D37" s="33" t="s">
        <v>97</v>
      </c>
      <c r="E37" s="34" t="s">
        <v>96</v>
      </c>
    </row>
    <row r="38" spans="3:5" x14ac:dyDescent="0.2">
      <c r="C38" s="29">
        <v>36</v>
      </c>
      <c r="D38" s="33" t="s">
        <v>398</v>
      </c>
      <c r="E38" s="34" t="s">
        <v>399</v>
      </c>
    </row>
    <row r="39" spans="3:5" ht="15" thickBot="1" x14ac:dyDescent="0.25">
      <c r="C39" s="30">
        <v>37</v>
      </c>
      <c r="D39" s="77" t="s">
        <v>397</v>
      </c>
      <c r="E39" s="78" t="s">
        <v>397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H355"/>
  <sheetViews>
    <sheetView topLeftCell="A93" zoomScale="55" zoomScaleNormal="55" workbookViewId="0">
      <selection activeCell="D120" sqref="B120:D121"/>
    </sheetView>
  </sheetViews>
  <sheetFormatPr baseColWidth="10" defaultRowHeight="119.25" customHeight="1" x14ac:dyDescent="0.25"/>
  <cols>
    <col min="1" max="1" width="14.140625" bestFit="1" customWidth="1"/>
    <col min="2" max="2" width="84.140625" bestFit="1" customWidth="1"/>
    <col min="3" max="3" width="14.5703125" bestFit="1" customWidth="1"/>
    <col min="4" max="4" width="100.140625" bestFit="1" customWidth="1"/>
    <col min="5" max="5" width="23" customWidth="1"/>
    <col min="6" max="6" width="38.140625" bestFit="1" customWidth="1"/>
    <col min="7" max="7" width="11.140625" bestFit="1" customWidth="1"/>
    <col min="8" max="8" width="35" bestFit="1" customWidth="1"/>
  </cols>
  <sheetData>
    <row r="1" spans="6:8" ht="15.75" thickBot="1" x14ac:dyDescent="0.3">
      <c r="F1" s="12"/>
      <c r="G1" s="15" t="s">
        <v>20</v>
      </c>
      <c r="H1" s="13" t="s">
        <v>11</v>
      </c>
    </row>
    <row r="2" spans="6:8" ht="15" x14ac:dyDescent="0.25">
      <c r="G2" s="1">
        <v>1</v>
      </c>
      <c r="H2" s="31" t="s">
        <v>21</v>
      </c>
    </row>
    <row r="3" spans="6:8" ht="15" x14ac:dyDescent="0.25">
      <c r="G3" s="4">
        <v>2</v>
      </c>
      <c r="H3" s="10" t="s">
        <v>23</v>
      </c>
    </row>
    <row r="4" spans="6:8" ht="15" x14ac:dyDescent="0.25">
      <c r="G4" s="7">
        <v>3</v>
      </c>
      <c r="H4" s="10" t="s">
        <v>25</v>
      </c>
    </row>
    <row r="5" spans="6:8" ht="15" x14ac:dyDescent="0.25">
      <c r="G5" s="4">
        <v>4</v>
      </c>
      <c r="H5" s="10" t="s">
        <v>27</v>
      </c>
    </row>
    <row r="6" spans="6:8" ht="15" x14ac:dyDescent="0.25">
      <c r="G6" s="7">
        <v>5</v>
      </c>
      <c r="H6" s="10" t="s">
        <v>29</v>
      </c>
    </row>
    <row r="7" spans="6:8" ht="15" x14ac:dyDescent="0.25">
      <c r="G7" s="4">
        <v>6</v>
      </c>
      <c r="H7" s="10" t="s">
        <v>31</v>
      </c>
    </row>
    <row r="8" spans="6:8" ht="15" x14ac:dyDescent="0.25">
      <c r="G8" s="7">
        <v>7</v>
      </c>
      <c r="H8" s="10" t="s">
        <v>33</v>
      </c>
    </row>
    <row r="9" spans="6:8" ht="15" x14ac:dyDescent="0.25">
      <c r="G9" s="4">
        <v>8</v>
      </c>
      <c r="H9" s="10" t="s">
        <v>34</v>
      </c>
    </row>
    <row r="10" spans="6:8" ht="15" x14ac:dyDescent="0.25">
      <c r="G10" s="7">
        <v>9</v>
      </c>
      <c r="H10" s="11" t="s">
        <v>36</v>
      </c>
    </row>
    <row r="11" spans="6:8" ht="15" x14ac:dyDescent="0.25">
      <c r="G11" s="4">
        <v>10</v>
      </c>
      <c r="H11" s="6" t="s">
        <v>38</v>
      </c>
    </row>
    <row r="12" spans="6:8" ht="15" x14ac:dyDescent="0.25">
      <c r="G12" s="7">
        <v>11</v>
      </c>
      <c r="H12" s="6" t="s">
        <v>39</v>
      </c>
    </row>
    <row r="13" spans="6:8" ht="15" x14ac:dyDescent="0.25">
      <c r="G13" s="4">
        <v>12</v>
      </c>
      <c r="H13" s="6" t="s">
        <v>41</v>
      </c>
    </row>
    <row r="14" spans="6:8" ht="15" x14ac:dyDescent="0.25">
      <c r="G14" s="7">
        <v>13</v>
      </c>
      <c r="H14" s="6" t="s">
        <v>19</v>
      </c>
    </row>
    <row r="15" spans="6:8" ht="15" x14ac:dyDescent="0.25">
      <c r="G15" s="4">
        <v>14</v>
      </c>
      <c r="H15" s="6" t="s">
        <v>43</v>
      </c>
    </row>
    <row r="16" spans="6:8" ht="15" x14ac:dyDescent="0.25">
      <c r="G16" s="7">
        <v>15</v>
      </c>
      <c r="H16" s="6" t="s">
        <v>77</v>
      </c>
    </row>
    <row r="17" spans="7:8" ht="15" x14ac:dyDescent="0.25">
      <c r="G17" s="4">
        <v>16</v>
      </c>
      <c r="H17" s="6" t="s">
        <v>46</v>
      </c>
    </row>
    <row r="18" spans="7:8" ht="15" x14ac:dyDescent="0.25">
      <c r="G18" s="7">
        <v>17</v>
      </c>
      <c r="H18" s="6" t="s">
        <v>48</v>
      </c>
    </row>
    <row r="19" spans="7:8" ht="15" x14ac:dyDescent="0.25">
      <c r="G19" s="4">
        <v>18</v>
      </c>
      <c r="H19" s="6" t="s">
        <v>49</v>
      </c>
    </row>
    <row r="20" spans="7:8" ht="15" x14ac:dyDescent="0.25">
      <c r="G20" s="7">
        <v>19</v>
      </c>
      <c r="H20" s="6" t="s">
        <v>51</v>
      </c>
    </row>
    <row r="21" spans="7:8" ht="15" x14ac:dyDescent="0.25">
      <c r="G21" s="4">
        <v>20</v>
      </c>
      <c r="H21" s="6" t="s">
        <v>53</v>
      </c>
    </row>
    <row r="22" spans="7:8" ht="15" x14ac:dyDescent="0.25">
      <c r="G22" s="7">
        <v>21</v>
      </c>
      <c r="H22" s="6" t="s">
        <v>55</v>
      </c>
    </row>
    <row r="23" spans="7:8" ht="15" x14ac:dyDescent="0.25">
      <c r="G23" s="4">
        <v>22</v>
      </c>
      <c r="H23" s="6" t="s">
        <v>57</v>
      </c>
    </row>
    <row r="24" spans="7:8" ht="15" x14ac:dyDescent="0.25">
      <c r="G24" s="32">
        <v>23</v>
      </c>
      <c r="H24" s="6" t="s">
        <v>59</v>
      </c>
    </row>
    <row r="25" spans="7:8" ht="15" x14ac:dyDescent="0.25">
      <c r="G25" s="32">
        <v>24</v>
      </c>
      <c r="H25" s="6" t="s">
        <v>61</v>
      </c>
    </row>
    <row r="26" spans="7:8" ht="15" x14ac:dyDescent="0.25">
      <c r="G26" s="32">
        <v>25</v>
      </c>
      <c r="H26" s="6" t="s">
        <v>63</v>
      </c>
    </row>
    <row r="27" spans="7:8" ht="15" x14ac:dyDescent="0.25">
      <c r="G27" s="32">
        <v>26</v>
      </c>
      <c r="H27" s="6" t="s">
        <v>64</v>
      </c>
    </row>
    <row r="28" spans="7:8" ht="15" x14ac:dyDescent="0.25">
      <c r="G28" s="32">
        <v>27</v>
      </c>
      <c r="H28" s="6" t="s">
        <v>65</v>
      </c>
    </row>
    <row r="29" spans="7:8" ht="15" x14ac:dyDescent="0.25">
      <c r="G29" s="32">
        <v>28</v>
      </c>
      <c r="H29" s="6" t="s">
        <v>66</v>
      </c>
    </row>
    <row r="30" spans="7:8" ht="15" x14ac:dyDescent="0.25">
      <c r="G30" s="32">
        <v>29</v>
      </c>
      <c r="H30" s="6" t="s">
        <v>68</v>
      </c>
    </row>
    <row r="31" spans="7:8" ht="15" x14ac:dyDescent="0.25">
      <c r="G31" s="32">
        <v>30</v>
      </c>
      <c r="H31" s="6" t="s">
        <v>78</v>
      </c>
    </row>
    <row r="32" spans="7:8" ht="15" x14ac:dyDescent="0.25">
      <c r="G32" s="32">
        <v>31</v>
      </c>
      <c r="H32" s="6" t="s">
        <v>82</v>
      </c>
    </row>
    <row r="33" spans="1:8" ht="15" x14ac:dyDescent="0.25">
      <c r="G33" s="32">
        <v>32</v>
      </c>
      <c r="H33" s="6" t="s">
        <v>83</v>
      </c>
    </row>
    <row r="34" spans="1:8" ht="15" x14ac:dyDescent="0.25">
      <c r="G34" s="35">
        <v>33</v>
      </c>
      <c r="H34" s="34" t="s">
        <v>87</v>
      </c>
    </row>
    <row r="35" spans="1:8" ht="15" x14ac:dyDescent="0.25">
      <c r="G35" s="35">
        <v>34</v>
      </c>
      <c r="H35" s="6" t="s">
        <v>88</v>
      </c>
    </row>
    <row r="36" spans="1:8" ht="15" x14ac:dyDescent="0.25">
      <c r="G36" s="29">
        <v>35</v>
      </c>
      <c r="H36" s="34" t="s">
        <v>97</v>
      </c>
    </row>
    <row r="37" spans="1:8" ht="15.75" thickBot="1" x14ac:dyDescent="0.3">
      <c r="G37" s="29">
        <v>36</v>
      </c>
      <c r="H37" s="34" t="s">
        <v>398</v>
      </c>
    </row>
    <row r="38" spans="1:8" ht="15.75" thickBot="1" x14ac:dyDescent="0.3">
      <c r="A38" s="16" t="s">
        <v>11</v>
      </c>
      <c r="B38" s="17" t="s">
        <v>74</v>
      </c>
      <c r="C38" s="17" t="s">
        <v>75</v>
      </c>
      <c r="D38" s="17" t="s">
        <v>76</v>
      </c>
      <c r="E38" s="18"/>
      <c r="G38" s="68">
        <v>37</v>
      </c>
      <c r="H38" s="38" t="s">
        <v>397</v>
      </c>
    </row>
    <row r="39" spans="1:8" ht="119.25" customHeight="1" x14ac:dyDescent="0.25">
      <c r="A39" s="14" t="str">
        <f>INSCRITOS!O2</f>
        <v>BLS</v>
      </c>
      <c r="B39" s="12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uso-y-manejo-del-dea-",IF(A39=$H$38,"https://centrodecapacitaciondelsur.com/triage-")))))))))))))))))))))))))))))))</f>
        <v>https://centrodecapacitaciondelsur.com/soporte-basico-de-vida-</v>
      </c>
      <c r="C39" s="14">
        <f>INSCRITOS!B2</f>
        <v>1087406261</v>
      </c>
      <c r="D39" t="str">
        <f>CONCATENATE(B39,C39,"/")</f>
        <v>https://centrodecapacitaciondelsur.com/soporte-basico-de-vida-1087406261/</v>
      </c>
    </row>
    <row r="40" spans="1:8" ht="119.25" customHeight="1" x14ac:dyDescent="0.25">
      <c r="A40" s="14" t="str">
        <f>INSCRITOS!O3</f>
        <v>PACIENTE</v>
      </c>
      <c r="B40" s="12" t="str">
        <f t="shared" ref="B40:B103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uso-y-manejo-del-dea-",IF(A40=$H$38,"https://centrodecapacitaciondelsur.com/triage-")))))))))))))))))))))))))))))))</f>
        <v>https://centrodecapacitaciondelsur.com/seguridad-del-paciente-</v>
      </c>
      <c r="C40" s="14">
        <f>INSCRITOS!B3</f>
        <v>1004543148</v>
      </c>
      <c r="D40" t="str">
        <f t="shared" ref="D40:D103" si="1">CONCATENATE(B40,C40,"/")</f>
        <v>https://centrodecapacitaciondelsur.com/seguridad-del-paciente-1004543148/</v>
      </c>
    </row>
    <row r="41" spans="1:8" ht="119.25" customHeight="1" x14ac:dyDescent="0.25">
      <c r="A41" s="14" t="str">
        <f>INSCRITOS!O4</f>
        <v>VIOLENCIA SEXUAL</v>
      </c>
      <c r="B41" s="12" t="str">
        <f t="shared" si="0"/>
        <v>https://centrodecapacitaciondelsur.com/violencia-sexual-</v>
      </c>
      <c r="C41" s="14">
        <f>INSCRITOS!B4</f>
        <v>1193383358</v>
      </c>
      <c r="D41" t="str">
        <f t="shared" si="1"/>
        <v>https://centrodecapacitaciondelsur.com/violencia-sexual-1193383358/</v>
      </c>
    </row>
    <row r="42" spans="1:8" ht="119.25" customHeight="1" x14ac:dyDescent="0.25">
      <c r="A42" s="14" t="str">
        <f>INSCRITOS!O5</f>
        <v>BLS</v>
      </c>
      <c r="B42" s="12" t="str">
        <f t="shared" si="0"/>
        <v>https://centrodecapacitaciondelsur.com/soporte-basico-de-vida-</v>
      </c>
      <c r="C42" s="14">
        <f>INSCRITOS!B5</f>
        <v>1088734761</v>
      </c>
      <c r="D42" t="str">
        <f t="shared" si="1"/>
        <v>https://centrodecapacitaciondelsur.com/soporte-basico-de-vida-1088734761/</v>
      </c>
    </row>
    <row r="43" spans="1:8" ht="119.25" customHeight="1" x14ac:dyDescent="0.25">
      <c r="A43" s="14" t="str">
        <f>INSCRITOS!O6</f>
        <v>QUIMICOS</v>
      </c>
      <c r="B43" s="12" t="str">
        <f t="shared" si="0"/>
        <v>https://centrodecapacitaciondelsur.com/victimas-por-agentes-quimicos-</v>
      </c>
      <c r="C43" s="14">
        <f>INSCRITOS!B6</f>
        <v>1088734761</v>
      </c>
      <c r="D43" t="str">
        <f t="shared" si="1"/>
        <v>https://centrodecapacitaciondelsur.com/victimas-por-agentes-quimicos-1088734761/</v>
      </c>
    </row>
    <row r="44" spans="1:8" ht="119.25" customHeight="1" x14ac:dyDescent="0.25">
      <c r="A44" s="14" t="str">
        <f>INSCRITOS!O7</f>
        <v>VIOLENCIA SEXUAL</v>
      </c>
      <c r="B44" s="12" t="str">
        <f t="shared" si="0"/>
        <v>https://centrodecapacitaciondelsur.com/violencia-sexual-</v>
      </c>
      <c r="C44" s="14">
        <f>INSCRITOS!B7</f>
        <v>1088734761</v>
      </c>
      <c r="D44" t="str">
        <f t="shared" si="1"/>
        <v>https://centrodecapacitaciondelsur.com/violencia-sexual-1088734761/</v>
      </c>
    </row>
    <row r="45" spans="1:8" ht="119.25" customHeight="1" x14ac:dyDescent="0.25">
      <c r="A45" s="14" t="str">
        <f>INSCRITOS!O8</f>
        <v>DUELO</v>
      </c>
      <c r="B45" s="12" t="str">
        <f t="shared" si="0"/>
        <v>https://centrodecapacitaciondelsur.com/manejo-del-duelo-</v>
      </c>
      <c r="C45" s="14">
        <f>INSCRITOS!B8</f>
        <v>1088734761</v>
      </c>
      <c r="D45" t="str">
        <f t="shared" si="1"/>
        <v>https://centrodecapacitaciondelsur.com/manejo-del-duelo-1088734761/</v>
      </c>
    </row>
    <row r="46" spans="1:8" ht="119.25" customHeight="1" x14ac:dyDescent="0.25">
      <c r="A46" s="14" t="str">
        <f>INSCRITOS!O9</f>
        <v>VIOLENCIA SEXUAL</v>
      </c>
      <c r="B46" s="12" t="str">
        <f t="shared" si="0"/>
        <v>https://centrodecapacitaciondelsur.com/violencia-sexual-</v>
      </c>
      <c r="C46" s="14">
        <f>INSCRITOS!B9</f>
        <v>59796384</v>
      </c>
      <c r="D46" t="str">
        <f t="shared" si="1"/>
        <v>https://centrodecapacitaciondelsur.com/violencia-sexual-59796384/</v>
      </c>
    </row>
    <row r="47" spans="1:8" ht="119.25" customHeight="1" x14ac:dyDescent="0.25">
      <c r="A47" s="14" t="str">
        <f>INSCRITOS!O10</f>
        <v>QUIMICOS</v>
      </c>
      <c r="B47" s="12" t="str">
        <f t="shared" si="0"/>
        <v>https://centrodecapacitaciondelsur.com/victimas-por-agentes-quimicos-</v>
      </c>
      <c r="C47" s="14">
        <f>INSCRITOS!B10</f>
        <v>59796384</v>
      </c>
      <c r="D47" t="str">
        <f t="shared" si="1"/>
        <v>https://centrodecapacitaciondelsur.com/victimas-por-agentes-quimicos-59796384/</v>
      </c>
    </row>
    <row r="48" spans="1:8" ht="119.25" customHeight="1" x14ac:dyDescent="0.25">
      <c r="A48" s="14" t="str">
        <f>INSCRITOS!O11</f>
        <v>DUELO</v>
      </c>
      <c r="B48" s="12" t="str">
        <f t="shared" si="0"/>
        <v>https://centrodecapacitaciondelsur.com/manejo-del-duelo-</v>
      </c>
      <c r="C48" s="14">
        <f>INSCRITOS!B11</f>
        <v>59796384</v>
      </c>
      <c r="D48" t="str">
        <f t="shared" si="1"/>
        <v>https://centrodecapacitaciondelsur.com/manejo-del-duelo-59796384/</v>
      </c>
    </row>
    <row r="49" spans="1:4" ht="119.25" customHeight="1" x14ac:dyDescent="0.25">
      <c r="A49" s="14" t="str">
        <f>INSCRITOS!O12</f>
        <v>BLS</v>
      </c>
      <c r="B49" s="12" t="str">
        <f t="shared" si="0"/>
        <v>https://centrodecapacitaciondelsur.com/soporte-basico-de-vida-</v>
      </c>
      <c r="C49" s="14">
        <f>INSCRITOS!B12</f>
        <v>59395431</v>
      </c>
      <c r="D49" t="str">
        <f t="shared" si="1"/>
        <v>https://centrodecapacitaciondelsur.com/soporte-basico-de-vida-59395431/</v>
      </c>
    </row>
    <row r="50" spans="1:4" ht="119.25" customHeight="1" x14ac:dyDescent="0.25">
      <c r="A50" s="14" t="str">
        <f>INSCRITOS!O13</f>
        <v>DUELO</v>
      </c>
      <c r="B50" s="12" t="str">
        <f t="shared" si="0"/>
        <v>https://centrodecapacitaciondelsur.com/manejo-del-duelo-</v>
      </c>
      <c r="C50" s="14">
        <f>INSCRITOS!B13</f>
        <v>59395431</v>
      </c>
      <c r="D50" t="str">
        <f t="shared" si="1"/>
        <v>https://centrodecapacitaciondelsur.com/manejo-del-duelo-59395431/</v>
      </c>
    </row>
    <row r="51" spans="1:4" ht="119.25" customHeight="1" x14ac:dyDescent="0.25">
      <c r="A51" s="14" t="str">
        <f>INSCRITOS!O14</f>
        <v>BLS</v>
      </c>
      <c r="B51" s="12" t="str">
        <f t="shared" si="0"/>
        <v>https://centrodecapacitaciondelsur.com/soporte-basico-de-vida-</v>
      </c>
      <c r="C51" s="14">
        <f>INSCRITOS!B14</f>
        <v>1088737917</v>
      </c>
      <c r="D51" t="str">
        <f t="shared" si="1"/>
        <v>https://centrodecapacitaciondelsur.com/soporte-basico-de-vida-1088737917/</v>
      </c>
    </row>
    <row r="52" spans="1:4" ht="119.25" customHeight="1" x14ac:dyDescent="0.25">
      <c r="A52" s="14" t="str">
        <f>INSCRITOS!O15</f>
        <v>QUIMICOS</v>
      </c>
      <c r="B52" s="12" t="str">
        <f t="shared" si="0"/>
        <v>https://centrodecapacitaciondelsur.com/victimas-por-agentes-quimicos-</v>
      </c>
      <c r="C52" s="14">
        <f>INSCRITOS!B15</f>
        <v>1088737917</v>
      </c>
      <c r="D52" t="str">
        <f t="shared" si="1"/>
        <v>https://centrodecapacitaciondelsur.com/victimas-por-agentes-quimicos-1088737917/</v>
      </c>
    </row>
    <row r="53" spans="1:4" ht="119.25" customHeight="1" x14ac:dyDescent="0.25">
      <c r="A53" s="14" t="str">
        <f>INSCRITOS!O16</f>
        <v>VIOLENCIA SEXUAL</v>
      </c>
      <c r="B53" s="12" t="str">
        <f t="shared" si="0"/>
        <v>https://centrodecapacitaciondelsur.com/violencia-sexual-</v>
      </c>
      <c r="C53" s="14">
        <f>INSCRITOS!B16</f>
        <v>1088737917</v>
      </c>
      <c r="D53" t="str">
        <f t="shared" si="1"/>
        <v>https://centrodecapacitaciondelsur.com/violencia-sexual-1088737917/</v>
      </c>
    </row>
    <row r="54" spans="1:4" ht="119.25" customHeight="1" x14ac:dyDescent="0.25">
      <c r="A54" s="14" t="str">
        <f>INSCRITOS!O17</f>
        <v>DUELO</v>
      </c>
      <c r="B54" s="12" t="str">
        <f t="shared" si="0"/>
        <v>https://centrodecapacitaciondelsur.com/manejo-del-duelo-</v>
      </c>
      <c r="C54" s="14">
        <f>INSCRITOS!B17</f>
        <v>1088737917</v>
      </c>
      <c r="D54" t="str">
        <f t="shared" si="1"/>
        <v>https://centrodecapacitaciondelsur.com/manejo-del-duelo-1088737917/</v>
      </c>
    </row>
    <row r="55" spans="1:4" ht="119.25" customHeight="1" x14ac:dyDescent="0.25">
      <c r="A55" s="14" t="str">
        <f>INSCRITOS!O18</f>
        <v>DUELO</v>
      </c>
      <c r="B55" s="12" t="str">
        <f t="shared" si="0"/>
        <v>https://centrodecapacitaciondelsur.com/manejo-del-duelo-</v>
      </c>
      <c r="C55" s="14">
        <f>INSCRITOS!B18</f>
        <v>1004697347</v>
      </c>
      <c r="D55" t="str">
        <f t="shared" si="1"/>
        <v>https://centrodecapacitaciondelsur.com/manejo-del-duelo-1004697347/</v>
      </c>
    </row>
    <row r="56" spans="1:4" ht="119.25" customHeight="1" x14ac:dyDescent="0.25">
      <c r="A56" s="14" t="str">
        <f>INSCRITOS!O19</f>
        <v>PACIENTE</v>
      </c>
      <c r="B56" s="12" t="str">
        <f t="shared" si="0"/>
        <v>https://centrodecapacitaciondelsur.com/seguridad-del-paciente-</v>
      </c>
      <c r="C56" s="14">
        <f>INSCRITOS!B19</f>
        <v>1004697347</v>
      </c>
      <c r="D56" t="str">
        <f t="shared" si="1"/>
        <v>https://centrodecapacitaciondelsur.com/seguridad-del-paciente-1004697347/</v>
      </c>
    </row>
    <row r="57" spans="1:4" ht="119.25" customHeight="1" x14ac:dyDescent="0.25">
      <c r="A57" s="14" t="str">
        <f>INSCRITOS!O20</f>
        <v>VIOLENCIA SEXUAL</v>
      </c>
      <c r="B57" s="12" t="str">
        <f t="shared" si="0"/>
        <v>https://centrodecapacitaciondelsur.com/violencia-sexual-</v>
      </c>
      <c r="C57" s="14">
        <f>INSCRITOS!B20</f>
        <v>1004631974</v>
      </c>
      <c r="D57" t="str">
        <f t="shared" si="1"/>
        <v>https://centrodecapacitaciondelsur.com/violencia-sexual-1004631974/</v>
      </c>
    </row>
    <row r="58" spans="1:4" ht="119.25" customHeight="1" x14ac:dyDescent="0.25">
      <c r="A58" s="14" t="str">
        <f>INSCRITOS!O21</f>
        <v>QUIMICOS</v>
      </c>
      <c r="B58" s="12" t="str">
        <f t="shared" si="0"/>
        <v>https://centrodecapacitaciondelsur.com/victimas-por-agentes-quimicos-</v>
      </c>
      <c r="C58" s="14">
        <f>INSCRITOS!B21</f>
        <v>1004631974</v>
      </c>
      <c r="D58" t="str">
        <f t="shared" si="1"/>
        <v>https://centrodecapacitaciondelsur.com/victimas-por-agentes-quimicos-1004631974/</v>
      </c>
    </row>
    <row r="59" spans="1:4" ht="119.25" customHeight="1" x14ac:dyDescent="0.25">
      <c r="A59" s="14" t="str">
        <f>INSCRITOS!O22</f>
        <v>HUMANIZACION</v>
      </c>
      <c r="B59" s="12" t="str">
        <f t="shared" si="0"/>
        <v>https://centrodecapacitaciondelsur.com/humanizacion-</v>
      </c>
      <c r="C59" s="14">
        <f>INSCRITOS!B22</f>
        <v>1004631974</v>
      </c>
      <c r="D59" t="str">
        <f t="shared" si="1"/>
        <v>https://centrodecapacitaciondelsur.com/humanizacion-1004631974/</v>
      </c>
    </row>
    <row r="60" spans="1:4" ht="119.25" customHeight="1" x14ac:dyDescent="0.25">
      <c r="A60" s="14" t="str">
        <f>INSCRITOS!O23</f>
        <v>DUELO</v>
      </c>
      <c r="B60" s="12" t="str">
        <f t="shared" si="0"/>
        <v>https://centrodecapacitaciondelsur.com/manejo-del-duelo-</v>
      </c>
      <c r="C60" s="14">
        <f>INSCRITOS!B23</f>
        <v>1004631974</v>
      </c>
      <c r="D60" t="str">
        <f t="shared" si="1"/>
        <v>https://centrodecapacitaciondelsur.com/manejo-del-duelo-1004631974/</v>
      </c>
    </row>
    <row r="61" spans="1:4" ht="119.25" customHeight="1" x14ac:dyDescent="0.25">
      <c r="A61" s="14" t="str">
        <f>INSCRITOS!O24</f>
        <v>TOMA DE MUESTRAS</v>
      </c>
      <c r="B61" s="12" t="str">
        <f t="shared" si="0"/>
        <v>https://centrodecapacitaciondelsur.com/toma-de-muestras-y-lab-clinico-</v>
      </c>
      <c r="C61" s="14">
        <f>INSCRITOS!B24</f>
        <v>1004631974</v>
      </c>
      <c r="D61" t="str">
        <f t="shared" si="1"/>
        <v>https://centrodecapacitaciondelsur.com/toma-de-muestras-y-lab-clinico-1004631974/</v>
      </c>
    </row>
    <row r="62" spans="1:4" ht="119.25" customHeight="1" x14ac:dyDescent="0.25">
      <c r="A62" s="14" t="str">
        <f>INSCRITOS!O25</f>
        <v>VIOLENCIA SEXUAL</v>
      </c>
      <c r="B62" s="12" t="str">
        <f t="shared" si="0"/>
        <v>https://centrodecapacitaciondelsur.com/violencia-sexual-</v>
      </c>
      <c r="C62" s="14">
        <f>INSCRITOS!B25</f>
        <v>87712871</v>
      </c>
      <c r="D62" t="str">
        <f t="shared" si="1"/>
        <v>https://centrodecapacitaciondelsur.com/violencia-sexual-87712871/</v>
      </c>
    </row>
    <row r="63" spans="1:4" ht="119.25" customHeight="1" x14ac:dyDescent="0.25">
      <c r="A63" s="14" t="str">
        <f>INSCRITOS!O26</f>
        <v>QUIMICOS</v>
      </c>
      <c r="B63" s="12" t="str">
        <f t="shared" si="0"/>
        <v>https://centrodecapacitaciondelsur.com/victimas-por-agentes-quimicos-</v>
      </c>
      <c r="C63" s="14">
        <f>INSCRITOS!B26</f>
        <v>87712871</v>
      </c>
      <c r="D63" t="str">
        <f t="shared" si="1"/>
        <v>https://centrodecapacitaciondelsur.com/victimas-por-agentes-quimicos-87712871/</v>
      </c>
    </row>
    <row r="64" spans="1:4" ht="119.25" customHeight="1" x14ac:dyDescent="0.25">
      <c r="A64" s="14" t="str">
        <f>INSCRITOS!O27</f>
        <v>HUMANIZACION</v>
      </c>
      <c r="B64" s="12" t="str">
        <f t="shared" si="0"/>
        <v>https://centrodecapacitaciondelsur.com/humanizacion-</v>
      </c>
      <c r="C64" s="14">
        <f>INSCRITOS!B27</f>
        <v>87712871</v>
      </c>
      <c r="D64" t="str">
        <f t="shared" si="1"/>
        <v>https://centrodecapacitaciondelsur.com/humanizacion-87712871/</v>
      </c>
    </row>
    <row r="65" spans="1:4" ht="119.25" customHeight="1" x14ac:dyDescent="0.25">
      <c r="A65" s="14" t="str">
        <f>INSCRITOS!O28</f>
        <v>DUELO</v>
      </c>
      <c r="B65" s="12" t="str">
        <f t="shared" si="0"/>
        <v>https://centrodecapacitaciondelsur.com/manejo-del-duelo-</v>
      </c>
      <c r="C65" s="14">
        <f>INSCRITOS!B28</f>
        <v>87712871</v>
      </c>
      <c r="D65" t="str">
        <f t="shared" si="1"/>
        <v>https://centrodecapacitaciondelsur.com/manejo-del-duelo-87712871/</v>
      </c>
    </row>
    <row r="66" spans="1:4" ht="119.25" customHeight="1" x14ac:dyDescent="0.25">
      <c r="A66" s="14" t="str">
        <f>INSCRITOS!O29</f>
        <v>TOMA DE MUESTRAS</v>
      </c>
      <c r="B66" s="12" t="str">
        <f t="shared" si="0"/>
        <v>https://centrodecapacitaciondelsur.com/toma-de-muestras-y-lab-clinico-</v>
      </c>
      <c r="C66" s="14">
        <f>INSCRITOS!B29</f>
        <v>87712871</v>
      </c>
      <c r="D66" t="str">
        <f t="shared" si="1"/>
        <v>https://centrodecapacitaciondelsur.com/toma-de-muestras-y-lab-clinico-87712871/</v>
      </c>
    </row>
    <row r="67" spans="1:4" ht="119.25" customHeight="1" x14ac:dyDescent="0.25">
      <c r="A67" s="14" t="str">
        <f>INSCRITOS!O30</f>
        <v>ADMON DE MEDICAMENTOS</v>
      </c>
      <c r="B67" s="12" t="str">
        <f t="shared" si="0"/>
        <v>https://centrodecapacitaciondelsur.com/adm-medicamentos-canalizacion-inyectologia-</v>
      </c>
      <c r="C67" s="14">
        <f>INSCRITOS!B30</f>
        <v>1086107419</v>
      </c>
      <c r="D67" t="str">
        <f t="shared" si="1"/>
        <v>https://centrodecapacitaciondelsur.com/adm-medicamentos-canalizacion-inyectologia-1086107419/</v>
      </c>
    </row>
    <row r="68" spans="1:4" ht="119.25" customHeight="1" x14ac:dyDescent="0.25">
      <c r="A68" s="14" t="str">
        <f>INSCRITOS!O31</f>
        <v>VIOLENCIA SEXUAL</v>
      </c>
      <c r="B68" s="12" t="str">
        <f t="shared" si="0"/>
        <v>https://centrodecapacitaciondelsur.com/violencia-sexual-</v>
      </c>
      <c r="C68" s="14">
        <f>INSCRITOS!B31</f>
        <v>1085323518</v>
      </c>
      <c r="D68" t="str">
        <f t="shared" si="1"/>
        <v>https://centrodecapacitaciondelsur.com/violencia-sexual-1085323518/</v>
      </c>
    </row>
    <row r="69" spans="1:4" ht="119.25" customHeight="1" x14ac:dyDescent="0.25">
      <c r="A69" s="14" t="str">
        <f>INSCRITOS!O32</f>
        <v>BLS</v>
      </c>
      <c r="B69" s="12" t="str">
        <f t="shared" si="0"/>
        <v>https://centrodecapacitaciondelsur.com/soporte-basico-de-vida-</v>
      </c>
      <c r="C69" s="14">
        <f>INSCRITOS!B32</f>
        <v>27091114</v>
      </c>
      <c r="D69" t="str">
        <f t="shared" si="1"/>
        <v>https://centrodecapacitaciondelsur.com/soporte-basico-de-vida-27091114/</v>
      </c>
    </row>
    <row r="70" spans="1:4" ht="119.25" customHeight="1" x14ac:dyDescent="0.25">
      <c r="A70" s="14" t="str">
        <f>INSCRITOS!O33</f>
        <v>ACLS</v>
      </c>
      <c r="B70" s="12" t="str">
        <f t="shared" si="0"/>
        <v>https://centrodecapacitaciondelsur.com/soporte-cardiovascular-avanzado-</v>
      </c>
      <c r="C70" s="14">
        <f>INSCRITOS!B33</f>
        <v>1085270836</v>
      </c>
      <c r="D70" t="str">
        <f t="shared" si="1"/>
        <v>https://centrodecapacitaciondelsur.com/soporte-cardiovascular-avanzado-1085270836/</v>
      </c>
    </row>
    <row r="71" spans="1:4" ht="119.25" customHeight="1" x14ac:dyDescent="0.25">
      <c r="A71" s="14" t="str">
        <f>INSCRITOS!O34</f>
        <v>BLS</v>
      </c>
      <c r="B71" s="12" t="str">
        <f t="shared" si="0"/>
        <v>https://centrodecapacitaciondelsur.com/soporte-basico-de-vida-</v>
      </c>
      <c r="C71" s="14">
        <f>INSCRITOS!B34</f>
        <v>1087184860</v>
      </c>
      <c r="D71" t="str">
        <f t="shared" si="1"/>
        <v>https://centrodecapacitaciondelsur.com/soporte-basico-de-vida-1087184860/</v>
      </c>
    </row>
    <row r="72" spans="1:4" ht="119.25" customHeight="1" x14ac:dyDescent="0.25">
      <c r="A72" s="14" t="str">
        <f>INSCRITOS!O35</f>
        <v>HUMANIZACION</v>
      </c>
      <c r="B72" s="12" t="str">
        <f t="shared" si="0"/>
        <v>https://centrodecapacitaciondelsur.com/humanizacion-</v>
      </c>
      <c r="C72" s="14">
        <f>INSCRITOS!B35</f>
        <v>1087184860</v>
      </c>
      <c r="D72" t="str">
        <f t="shared" si="1"/>
        <v>https://centrodecapacitaciondelsur.com/humanizacion-1087184860/</v>
      </c>
    </row>
    <row r="73" spans="1:4" ht="119.25" customHeight="1" x14ac:dyDescent="0.25">
      <c r="A73" s="14" t="str">
        <f>INSCRITOS!O36</f>
        <v>HUMANIZACION</v>
      </c>
      <c r="B73" s="12" t="str">
        <f t="shared" si="0"/>
        <v>https://centrodecapacitaciondelsur.com/humanizacion-</v>
      </c>
      <c r="C73" s="14">
        <f>INSCRITOS!B36</f>
        <v>1088734761</v>
      </c>
      <c r="D73" t="str">
        <f t="shared" si="1"/>
        <v>https://centrodecapacitaciondelsur.com/humanizacion-1088734761/</v>
      </c>
    </row>
    <row r="74" spans="1:4" ht="119.25" customHeight="1" x14ac:dyDescent="0.25">
      <c r="A74" s="14" t="str">
        <f>INSCRITOS!O37</f>
        <v>DUELO</v>
      </c>
      <c r="B74" s="12" t="str">
        <f t="shared" si="0"/>
        <v>https://centrodecapacitaciondelsur.com/manejo-del-duelo-</v>
      </c>
      <c r="C74" s="14">
        <f>INSCRITOS!B37</f>
        <v>1193383314</v>
      </c>
      <c r="D74" t="str">
        <f t="shared" si="1"/>
        <v>https://centrodecapacitaciondelsur.com/manejo-del-duelo-1193383314/</v>
      </c>
    </row>
    <row r="75" spans="1:4" ht="119.25" customHeight="1" x14ac:dyDescent="0.25">
      <c r="A75" s="14" t="str">
        <f>INSCRITOS!O38</f>
        <v>TOMA DE MUESTRAS</v>
      </c>
      <c r="B75" s="12" t="str">
        <f t="shared" si="0"/>
        <v>https://centrodecapacitaciondelsur.com/toma-de-muestras-y-lab-clinico-</v>
      </c>
      <c r="C75" s="14">
        <f>INSCRITOS!B38</f>
        <v>1193383314</v>
      </c>
      <c r="D75" t="str">
        <f t="shared" si="1"/>
        <v>https://centrodecapacitaciondelsur.com/toma-de-muestras-y-lab-clinico-1193383314/</v>
      </c>
    </row>
    <row r="76" spans="1:4" ht="119.25" customHeight="1" x14ac:dyDescent="0.25">
      <c r="A76" s="14" t="str">
        <f>INSCRITOS!O39</f>
        <v>ACLS</v>
      </c>
      <c r="B76" s="12" t="str">
        <f t="shared" si="0"/>
        <v>https://centrodecapacitaciondelsur.com/soporte-cardiovascular-avanzado-</v>
      </c>
      <c r="C76" s="14">
        <f>INSCRITOS!B39</f>
        <v>1086139693</v>
      </c>
      <c r="D76" t="str">
        <f t="shared" si="1"/>
        <v>https://centrodecapacitaciondelsur.com/soporte-cardiovascular-avanzado-1086139693/</v>
      </c>
    </row>
    <row r="77" spans="1:4" ht="119.25" customHeight="1" x14ac:dyDescent="0.25">
      <c r="A77" s="14" t="str">
        <f>INSCRITOS!O40</f>
        <v>BLS</v>
      </c>
      <c r="B77" s="12" t="str">
        <f t="shared" si="0"/>
        <v>https://centrodecapacitaciondelsur.com/soporte-basico-de-vida-</v>
      </c>
      <c r="C77" s="14">
        <f>INSCRITOS!B40</f>
        <v>1086139693</v>
      </c>
      <c r="D77" t="str">
        <f t="shared" si="1"/>
        <v>https://centrodecapacitaciondelsur.com/soporte-basico-de-vida-1086139693/</v>
      </c>
    </row>
    <row r="78" spans="1:4" ht="119.25" customHeight="1" x14ac:dyDescent="0.25">
      <c r="A78" s="14" t="str">
        <f>INSCRITOS!O41</f>
        <v>PACIENTE</v>
      </c>
      <c r="B78" s="12" t="str">
        <f t="shared" si="0"/>
        <v>https://centrodecapacitaciondelsur.com/seguridad-del-paciente-</v>
      </c>
      <c r="C78" s="14">
        <f>INSCRITOS!B41</f>
        <v>1081594941</v>
      </c>
      <c r="D78" t="str">
        <f t="shared" si="1"/>
        <v>https://centrodecapacitaciondelsur.com/seguridad-del-paciente-1081594941/</v>
      </c>
    </row>
    <row r="79" spans="1:4" ht="119.25" customHeight="1" x14ac:dyDescent="0.25">
      <c r="A79" s="14" t="str">
        <f>INSCRITOS!O42</f>
        <v>HUMANIZACION</v>
      </c>
      <c r="B79" s="12" t="str">
        <f t="shared" si="0"/>
        <v>https://centrodecapacitaciondelsur.com/humanizacion-</v>
      </c>
      <c r="C79" s="14">
        <f>INSCRITOS!B42</f>
        <v>1081594941</v>
      </c>
      <c r="D79" t="str">
        <f t="shared" si="1"/>
        <v>https://centrodecapacitaciondelsur.com/humanizacion-1081594941/</v>
      </c>
    </row>
    <row r="80" spans="1:4" ht="119.25" customHeight="1" x14ac:dyDescent="0.25">
      <c r="A80" s="14" t="str">
        <f>INSCRITOS!O43</f>
        <v>PACIENTE</v>
      </c>
      <c r="B80" s="12" t="str">
        <f t="shared" si="0"/>
        <v>https://centrodecapacitaciondelsur.com/seguridad-del-paciente-</v>
      </c>
      <c r="C80" s="14">
        <f>INSCRITOS!B43</f>
        <v>1007268074</v>
      </c>
      <c r="D80" t="str">
        <f t="shared" si="1"/>
        <v>https://centrodecapacitaciondelsur.com/seguridad-del-paciente-1007268074/</v>
      </c>
    </row>
    <row r="81" spans="1:4" ht="119.25" customHeight="1" x14ac:dyDescent="0.25">
      <c r="A81" s="14" t="str">
        <f>INSCRITOS!O44</f>
        <v>HUMANIZACION</v>
      </c>
      <c r="B81" s="12" t="str">
        <f t="shared" si="0"/>
        <v>https://centrodecapacitaciondelsur.com/humanizacion-</v>
      </c>
      <c r="C81" s="14">
        <f>INSCRITOS!B44</f>
        <v>1007268074</v>
      </c>
      <c r="D81" t="str">
        <f t="shared" si="1"/>
        <v>https://centrodecapacitaciondelsur.com/humanizacion-1007268074/</v>
      </c>
    </row>
    <row r="82" spans="1:4" ht="119.25" customHeight="1" x14ac:dyDescent="0.25">
      <c r="A82" s="14" t="str">
        <f>INSCRITOS!O45</f>
        <v>BLS</v>
      </c>
      <c r="B82" s="12" t="str">
        <f t="shared" si="0"/>
        <v>https://centrodecapacitaciondelsur.com/soporte-basico-de-vida-</v>
      </c>
      <c r="C82" s="14">
        <f>INSCRITOS!B45</f>
        <v>1085276593</v>
      </c>
      <c r="D82" t="str">
        <f t="shared" si="1"/>
        <v>https://centrodecapacitaciondelsur.com/soporte-basico-de-vida-1085276593/</v>
      </c>
    </row>
    <row r="83" spans="1:4" ht="119.25" customHeight="1" x14ac:dyDescent="0.25">
      <c r="A83" s="14" t="str">
        <f>INSCRITOS!O46</f>
        <v>VIOLENCIA SEXUAL</v>
      </c>
      <c r="B83" s="12" t="str">
        <f t="shared" si="0"/>
        <v>https://centrodecapacitaciondelsur.com/violencia-sexual-</v>
      </c>
      <c r="C83" s="14">
        <f>INSCRITOS!B46</f>
        <v>1085276593</v>
      </c>
      <c r="D83" t="str">
        <f t="shared" si="1"/>
        <v>https://centrodecapacitaciondelsur.com/violencia-sexual-1085276593/</v>
      </c>
    </row>
    <row r="84" spans="1:4" ht="119.25" customHeight="1" x14ac:dyDescent="0.25">
      <c r="A84" s="14" t="str">
        <f>INSCRITOS!O47</f>
        <v>DUELO</v>
      </c>
      <c r="B84" s="12" t="str">
        <f t="shared" si="0"/>
        <v>https://centrodecapacitaciondelsur.com/manejo-del-duelo-</v>
      </c>
      <c r="C84" s="14">
        <f>INSCRITOS!B47</f>
        <v>1085276593</v>
      </c>
      <c r="D84" t="str">
        <f t="shared" si="1"/>
        <v>https://centrodecapacitaciondelsur.com/manejo-del-duelo-1085276593/</v>
      </c>
    </row>
    <row r="85" spans="1:4" ht="119.25" customHeight="1" x14ac:dyDescent="0.25">
      <c r="A85" s="14" t="str">
        <f>INSCRITOS!O48</f>
        <v>TOMA DE MUESTRAS</v>
      </c>
      <c r="B85" s="12" t="str">
        <f t="shared" si="0"/>
        <v>https://centrodecapacitaciondelsur.com/toma-de-muestras-y-lab-clinico-</v>
      </c>
      <c r="C85" s="14">
        <f>INSCRITOS!B48</f>
        <v>1085276593</v>
      </c>
      <c r="D85" t="str">
        <f t="shared" si="1"/>
        <v>https://centrodecapacitaciondelsur.com/toma-de-muestras-y-lab-clinico-1085276593/</v>
      </c>
    </row>
    <row r="86" spans="1:4" ht="119.25" customHeight="1" x14ac:dyDescent="0.25">
      <c r="A86" s="14" t="str">
        <f>INSCRITOS!O49</f>
        <v>DUELO</v>
      </c>
      <c r="B86" s="12" t="str">
        <f t="shared" si="0"/>
        <v>https://centrodecapacitaciondelsur.com/manejo-del-duelo-</v>
      </c>
      <c r="C86" s="14">
        <f>INSCRITOS!B49</f>
        <v>87455980</v>
      </c>
      <c r="D86" t="str">
        <f t="shared" si="1"/>
        <v>https://centrodecapacitaciondelsur.com/manejo-del-duelo-87455980/</v>
      </c>
    </row>
    <row r="87" spans="1:4" ht="119.25" customHeight="1" x14ac:dyDescent="0.25">
      <c r="A87" s="14" t="str">
        <f>INSCRITOS!O50</f>
        <v>QUIMICOS</v>
      </c>
      <c r="B87" s="12" t="str">
        <f t="shared" si="0"/>
        <v>https://centrodecapacitaciondelsur.com/victimas-por-agentes-quimicos-</v>
      </c>
      <c r="C87" s="14">
        <f>INSCRITOS!B50</f>
        <v>87455980</v>
      </c>
      <c r="D87" t="str">
        <f t="shared" si="1"/>
        <v>https://centrodecapacitaciondelsur.com/victimas-por-agentes-quimicos-87455980/</v>
      </c>
    </row>
    <row r="88" spans="1:4" ht="119.25" customHeight="1" x14ac:dyDescent="0.25">
      <c r="A88" s="14" t="str">
        <f>INSCRITOS!O51</f>
        <v>VIOLENCIA SEXUAL</v>
      </c>
      <c r="B88" s="12" t="str">
        <f t="shared" si="0"/>
        <v>https://centrodecapacitaciondelsur.com/violencia-sexual-</v>
      </c>
      <c r="C88" s="14">
        <f>INSCRITOS!B51</f>
        <v>87455980</v>
      </c>
      <c r="D88" t="str">
        <f t="shared" si="1"/>
        <v>https://centrodecapacitaciondelsur.com/violencia-sexual-87455980/</v>
      </c>
    </row>
    <row r="89" spans="1:4" ht="119.25" customHeight="1" x14ac:dyDescent="0.25">
      <c r="A89" s="14" t="str">
        <f>INSCRITOS!O52</f>
        <v>QUIMICOS</v>
      </c>
      <c r="B89" s="12" t="str">
        <f t="shared" si="0"/>
        <v>https://centrodecapacitaciondelsur.com/victimas-por-agentes-quimicos-</v>
      </c>
      <c r="C89" s="14">
        <f>INSCRITOS!B52</f>
        <v>1004697347</v>
      </c>
      <c r="D89" t="str">
        <f t="shared" si="1"/>
        <v>https://centrodecapacitaciondelsur.com/victimas-por-agentes-quimicos-1004697347/</v>
      </c>
    </row>
    <row r="90" spans="1:4" ht="119.25" customHeight="1" x14ac:dyDescent="0.25">
      <c r="A90" s="14" t="str">
        <f>INSCRITOS!O53</f>
        <v>VIOLENCIA SEXUAL</v>
      </c>
      <c r="B90" s="12" t="str">
        <f t="shared" si="0"/>
        <v>https://centrodecapacitaciondelsur.com/violencia-sexual-</v>
      </c>
      <c r="C90" s="14">
        <f>INSCRITOS!B53</f>
        <v>1086896702</v>
      </c>
      <c r="D90" t="str">
        <f t="shared" si="1"/>
        <v>https://centrodecapacitaciondelsur.com/violencia-sexual-1086896702/</v>
      </c>
    </row>
    <row r="91" spans="1:4" ht="119.25" customHeight="1" x14ac:dyDescent="0.25">
      <c r="A91" s="14" t="str">
        <f>INSCRITOS!O54</f>
        <v>ACLS</v>
      </c>
      <c r="B91" s="12" t="str">
        <f t="shared" si="0"/>
        <v>https://centrodecapacitaciondelsur.com/soporte-cardiovascular-avanzado-</v>
      </c>
      <c r="C91" s="14">
        <f>INSCRITOS!B54</f>
        <v>14475674</v>
      </c>
      <c r="D91" t="str">
        <f t="shared" si="1"/>
        <v>https://centrodecapacitaciondelsur.com/soporte-cardiovascular-avanzado-14475674/</v>
      </c>
    </row>
    <row r="92" spans="1:4" ht="119.25" customHeight="1" x14ac:dyDescent="0.25">
      <c r="A92" s="14" t="str">
        <f>INSCRITOS!O55</f>
        <v>BLS</v>
      </c>
      <c r="B92" s="12" t="str">
        <f t="shared" si="0"/>
        <v>https://centrodecapacitaciondelsur.com/soporte-basico-de-vida-</v>
      </c>
      <c r="C92" s="14">
        <f>INSCRITOS!B55</f>
        <v>14475674</v>
      </c>
      <c r="D92" t="str">
        <f t="shared" si="1"/>
        <v>https://centrodecapacitaciondelsur.com/soporte-basico-de-vida-14475674/</v>
      </c>
    </row>
    <row r="93" spans="1:4" ht="119.25" customHeight="1" x14ac:dyDescent="0.25">
      <c r="A93" s="14" t="str">
        <f>INSCRITOS!O56</f>
        <v>ADMON DE MEDICAMENTOS</v>
      </c>
      <c r="B93" s="12" t="str">
        <f t="shared" si="0"/>
        <v>https://centrodecapacitaciondelsur.com/adm-medicamentos-canalizacion-inyectologia-</v>
      </c>
      <c r="C93" s="14">
        <f>INSCRITOS!B56</f>
        <v>37123296</v>
      </c>
      <c r="D93" t="str">
        <f t="shared" si="1"/>
        <v>https://centrodecapacitaciondelsur.com/adm-medicamentos-canalizacion-inyectologia-37123296/</v>
      </c>
    </row>
    <row r="94" spans="1:4" ht="119.25" customHeight="1" x14ac:dyDescent="0.25">
      <c r="A94" s="14" t="str">
        <f>INSCRITOS!O57</f>
        <v>BLS</v>
      </c>
      <c r="B94" s="12" t="str">
        <f t="shared" si="0"/>
        <v>https://centrodecapacitaciondelsur.com/soporte-basico-de-vida-</v>
      </c>
      <c r="C94" s="14">
        <f>INSCRITOS!B57</f>
        <v>1094962877</v>
      </c>
      <c r="D94" t="str">
        <f t="shared" si="1"/>
        <v>https://centrodecapacitaciondelsur.com/soporte-basico-de-vida-1094962877/</v>
      </c>
    </row>
    <row r="95" spans="1:4" ht="119.25" customHeight="1" x14ac:dyDescent="0.25">
      <c r="A95" s="14" t="str">
        <f>INSCRITOS!O58</f>
        <v>BLS</v>
      </c>
      <c r="B95" s="12" t="str">
        <f t="shared" si="0"/>
        <v>https://centrodecapacitaciondelsur.com/soporte-basico-de-vida-</v>
      </c>
      <c r="C95" s="14">
        <f>INSCRITOS!B58</f>
        <v>1085914653</v>
      </c>
      <c r="D95" t="str">
        <f t="shared" si="1"/>
        <v>https://centrodecapacitaciondelsur.com/soporte-basico-de-vida-1085914653/</v>
      </c>
    </row>
    <row r="96" spans="1:4" ht="119.25" customHeight="1" x14ac:dyDescent="0.25">
      <c r="A96" s="14" t="str">
        <f>INSCRITOS!O59</f>
        <v>BLS</v>
      </c>
      <c r="B96" s="12" t="str">
        <f t="shared" si="0"/>
        <v>https://centrodecapacitaciondelsur.com/soporte-basico-de-vida-</v>
      </c>
      <c r="C96" s="14">
        <f>INSCRITOS!B59</f>
        <v>1085635388</v>
      </c>
      <c r="D96" t="str">
        <f t="shared" si="1"/>
        <v>https://centrodecapacitaciondelsur.com/soporte-basico-de-vida-1085635388/</v>
      </c>
    </row>
    <row r="97" spans="1:4" ht="119.25" customHeight="1" x14ac:dyDescent="0.25">
      <c r="A97" s="14" t="str">
        <f>INSCRITOS!O60</f>
        <v>BLS</v>
      </c>
      <c r="B97" s="12" t="str">
        <f t="shared" si="0"/>
        <v>https://centrodecapacitaciondelsur.com/soporte-basico-de-vida-</v>
      </c>
      <c r="C97" s="14">
        <f>INSCRITOS!B60</f>
        <v>27175817</v>
      </c>
      <c r="D97" t="str">
        <f t="shared" si="1"/>
        <v>https://centrodecapacitaciondelsur.com/soporte-basico-de-vida-27175817/</v>
      </c>
    </row>
    <row r="98" spans="1:4" ht="119.25" customHeight="1" x14ac:dyDescent="0.25">
      <c r="A98" s="14" t="str">
        <f>INSCRITOS!O61</f>
        <v>BLS</v>
      </c>
      <c r="B98" s="12" t="str">
        <f t="shared" si="0"/>
        <v>https://centrodecapacitaciondelsur.com/soporte-basico-de-vida-</v>
      </c>
      <c r="C98" s="14">
        <f>INSCRITOS!B61</f>
        <v>1087673253</v>
      </c>
      <c r="D98" t="str">
        <f t="shared" si="1"/>
        <v>https://centrodecapacitaciondelsur.com/soporte-basico-de-vida-1087673253/</v>
      </c>
    </row>
    <row r="99" spans="1:4" ht="119.25" customHeight="1" x14ac:dyDescent="0.25">
      <c r="A99" s="14" t="str">
        <f>INSCRITOS!O62</f>
        <v>BLS</v>
      </c>
      <c r="B99" s="12" t="str">
        <f t="shared" si="0"/>
        <v>https://centrodecapacitaciondelsur.com/soporte-basico-de-vida-</v>
      </c>
      <c r="C99" s="14">
        <f>INSCRITOS!B62</f>
        <v>1086106062</v>
      </c>
      <c r="D99" t="str">
        <f t="shared" si="1"/>
        <v>https://centrodecapacitaciondelsur.com/soporte-basico-de-vida-1086106062/</v>
      </c>
    </row>
    <row r="100" spans="1:4" ht="119.25" customHeight="1" x14ac:dyDescent="0.25">
      <c r="A100" s="14" t="str">
        <f>INSCRITOS!O63</f>
        <v>BLS</v>
      </c>
      <c r="B100" s="12" t="str">
        <f t="shared" si="0"/>
        <v>https://centrodecapacitaciondelsur.com/soporte-basico-de-vida-</v>
      </c>
      <c r="C100" s="14">
        <f>INSCRITOS!B63</f>
        <v>1192717048</v>
      </c>
      <c r="D100" t="str">
        <f t="shared" si="1"/>
        <v>https://centrodecapacitaciondelsur.com/soporte-basico-de-vida-1192717048/</v>
      </c>
    </row>
    <row r="101" spans="1:4" ht="119.25" customHeight="1" x14ac:dyDescent="0.25">
      <c r="A101" s="14" t="str">
        <f>INSCRITOS!O64</f>
        <v>BLS</v>
      </c>
      <c r="B101" s="12" t="str">
        <f t="shared" si="0"/>
        <v>https://centrodecapacitaciondelsur.com/soporte-basico-de-vida-</v>
      </c>
      <c r="C101" s="14">
        <f>INSCRITOS!B64</f>
        <v>1087619147</v>
      </c>
      <c r="D101" t="str">
        <f t="shared" si="1"/>
        <v>https://centrodecapacitaciondelsur.com/soporte-basico-de-vida-1087619147/</v>
      </c>
    </row>
    <row r="102" spans="1:4" ht="119.25" customHeight="1" x14ac:dyDescent="0.25">
      <c r="A102" s="14" t="str">
        <f>INSCRITOS!O65</f>
        <v>BLS</v>
      </c>
      <c r="B102" s="12" t="str">
        <f t="shared" si="0"/>
        <v>https://centrodecapacitaciondelsur.com/soporte-basico-de-vida-</v>
      </c>
      <c r="C102" s="14">
        <f>INSCRITOS!B65</f>
        <v>37121242</v>
      </c>
      <c r="D102" t="str">
        <f t="shared" si="1"/>
        <v>https://centrodecapacitaciondelsur.com/soporte-basico-de-vida-37121242/</v>
      </c>
    </row>
    <row r="103" spans="1:4" ht="119.25" customHeight="1" x14ac:dyDescent="0.25">
      <c r="A103" s="14" t="str">
        <f>INSCRITOS!O66</f>
        <v>BLS</v>
      </c>
      <c r="B103" s="12" t="str">
        <f t="shared" si="0"/>
        <v>https://centrodecapacitaciondelsur.com/soporte-basico-de-vida-</v>
      </c>
      <c r="C103" s="14">
        <f>INSCRITOS!B66</f>
        <v>1010090710</v>
      </c>
      <c r="D103" t="str">
        <f t="shared" si="1"/>
        <v>https://centrodecapacitaciondelsur.com/soporte-basico-de-vida-1010090710/</v>
      </c>
    </row>
    <row r="104" spans="1:4" ht="119.25" customHeight="1" x14ac:dyDescent="0.25">
      <c r="A104" s="14" t="str">
        <f>INSCRITOS!O67</f>
        <v>BLS</v>
      </c>
      <c r="B104" s="12" t="str">
        <f t="shared" ref="B104:B167" si="2">IF(A104=$H$19,"https://centrodecapacitaciondelsur.com/o-v-e-",IF(A104=$H$2,"https://centrodecapacitaciondelsur.com/aph-",IF(A104=$H$3,"https://centrodecapacitaciondelsur.com/manejo-del-duelo-",IF(A104=$H$4,"https://centrodecapacitaciondelsur.com/victimas-por-agentes-quimicos-",IF(A104=$H$5,"https://centrodecapacitaciondelsur.com/primeros-auxilios-",IF(A104=$H$6,"https://centrodecapacitaciondelsur.com/uci-",IF(A104=$H$8,"https://centrodecapacitaciondelsur.com/humanizacion-",IF(A104=$H$11,"https://centrodecapacitaciondelsur.com/soporte-cardiovascular-avanzado-",IF(A104=$H$12,"https://centrodecapacitaciondelsur.com/camillero-",IF(A104=$H$13,"https://centrodecapacitaciondelsur.com/toma-de-muestras-y-lab-clinico-",IF(A104=$H$14,"https://centrodecapacitaciondelsur.com/soporte-basico-de-vida-",IF(A104=$H$15,"https://centrodecapacitaciondelsur.com/violencia-sexual-",IF(A104=$H$17,"https://centrodecapacitaciondelsur.com/aiepi-",IF(A104=$H$18,"https://centrodecapacitaciondelsur.com/adm-medicamentos-canalizacion-inyectologia-",IF(A104=$H$25,"https://centrodecapacitaciondelsur.com/manejo-del-dolor-y-cuidados-paliativos-",IF(A104=$H$26,"https://centrodecapacitaciondelsur.com/toma-de-muestras-y-lab-clinico-poct-",IF(A104=$H$27,"https://centrodecapacitaciondelsur.com/implante-subdermico-",IF(A104=$H$21,"https://centrodecapacitaciondelsur.com/donante-de-organos-",IF(A104=$H$30,"https://centrodecapacitaciondelsur.com/atencion-a-victimas-del-conflicto-armado-",IF(A104=$H$20,"https://centrodecapacitaciondelsur.com/iami-",IF(A104=$H$22,"https://centrodecapacitaciondelsur.com/violencia-de-genero-",IF(A104=$H$23,"https://centrodecapacitaciondelsur.com/igualdad-de-genero-",IF(A104=$H$16,"https://centrodecapacitaciondelsur.com/pai-",IF(A104=$H$31,"https://centrodecapacitaciondelsur.com/manipulacion-de-alimentos-",IF(A104=$H$32,"https://centrodecapacitaciondelsur.com/atencion-a-personas-con-discapacidad-",IF(A104=$H$33,"https://centrodecapacitaciondelsur.com/atencion-al-adulto-mayor-",IF(A104=$H$34,"https://centrodecapacitaciondelsur.com/manejo-defensivo-",IF(A104=$H$35,"https://centrodecapacitaciondelsur.com/soporte-basico-neonatal-",IF(A104=$H$36,"https://centrodecapacitaciondelsur.com/seguridad-del-paciente-",IF(A104=$H$37,"https://centrodecapacitaciondelsur.com/uso-y-manejo-del-dea-",IF(A104=$H$38,"https://centrodecapacitaciondelsur.com/triage-")))))))))))))))))))))))))))))))</f>
        <v>https://centrodecapacitaciondelsur.com/soporte-basico-de-vida-</v>
      </c>
      <c r="C104" s="14">
        <f>INSCRITOS!B67</f>
        <v>1085921380</v>
      </c>
      <c r="D104" t="str">
        <f t="shared" ref="D104:D167" si="3">CONCATENATE(B104,C104,"/")</f>
        <v>https://centrodecapacitaciondelsur.com/soporte-basico-de-vida-1085921380/</v>
      </c>
    </row>
    <row r="105" spans="1:4" ht="119.25" customHeight="1" x14ac:dyDescent="0.25">
      <c r="A105" s="14" t="str">
        <f>INSCRITOS!O68</f>
        <v>ADMON DE MEDICAMENTOS</v>
      </c>
      <c r="B105" s="12" t="str">
        <f t="shared" si="2"/>
        <v>https://centrodecapacitaciondelsur.com/adm-medicamentos-canalizacion-inyectologia-</v>
      </c>
      <c r="C105" s="14">
        <f>INSCRITOS!B68</f>
        <v>27252246</v>
      </c>
      <c r="D105" t="str">
        <f t="shared" si="3"/>
        <v>https://centrodecapacitaciondelsur.com/adm-medicamentos-canalizacion-inyectologia-27252246/</v>
      </c>
    </row>
    <row r="106" spans="1:4" ht="119.25" customHeight="1" x14ac:dyDescent="0.25">
      <c r="A106" s="14" t="str">
        <f>INSCRITOS!O69</f>
        <v>ADMON DE MEDICAMENTOS</v>
      </c>
      <c r="B106" s="12" t="str">
        <f t="shared" si="2"/>
        <v>https://centrodecapacitaciondelsur.com/adm-medicamentos-canalizacion-inyectologia-</v>
      </c>
      <c r="C106" s="14">
        <f>INSCRITOS!B69</f>
        <v>1086106324</v>
      </c>
      <c r="D106" t="str">
        <f t="shared" si="3"/>
        <v>https://centrodecapacitaciondelsur.com/adm-medicamentos-canalizacion-inyectologia-1086106324/</v>
      </c>
    </row>
    <row r="107" spans="1:4" ht="119.25" customHeight="1" x14ac:dyDescent="0.25">
      <c r="A107" s="14" t="str">
        <f>INSCRITOS!O70</f>
        <v>ADMON DE MEDICAMENTOS</v>
      </c>
      <c r="B107" s="12" t="str">
        <f t="shared" si="2"/>
        <v>https://centrodecapacitaciondelsur.com/adm-medicamentos-canalizacion-inyectologia-</v>
      </c>
      <c r="C107" s="14">
        <f>INSCRITOS!B70</f>
        <v>1085948033</v>
      </c>
      <c r="D107" t="str">
        <f t="shared" si="3"/>
        <v>https://centrodecapacitaciondelsur.com/adm-medicamentos-canalizacion-inyectologia-1085948033/</v>
      </c>
    </row>
    <row r="108" spans="1:4" ht="119.25" customHeight="1" x14ac:dyDescent="0.25">
      <c r="A108" s="14" t="str">
        <f>INSCRITOS!O71</f>
        <v>ACLS</v>
      </c>
      <c r="B108" s="12" t="str">
        <f t="shared" si="2"/>
        <v>https://centrodecapacitaciondelsur.com/soporte-cardiovascular-avanzado-</v>
      </c>
      <c r="C108" s="14">
        <f>INSCRITOS!B71</f>
        <v>1085267155</v>
      </c>
      <c r="D108" t="str">
        <f t="shared" si="3"/>
        <v>https://centrodecapacitaciondelsur.com/soporte-cardiovascular-avanzado-1085267155/</v>
      </c>
    </row>
    <row r="109" spans="1:4" ht="119.25" customHeight="1" x14ac:dyDescent="0.25">
      <c r="A109" s="14" t="str">
        <f>INSCRITOS!O72</f>
        <v>QUIMICOS</v>
      </c>
      <c r="B109" s="12" t="str">
        <f t="shared" si="2"/>
        <v>https://centrodecapacitaciondelsur.com/victimas-por-agentes-quimicos-</v>
      </c>
      <c r="C109" s="14">
        <f>INSCRITOS!B72</f>
        <v>1085267155</v>
      </c>
      <c r="D109" t="str">
        <f t="shared" si="3"/>
        <v>https://centrodecapacitaciondelsur.com/victimas-por-agentes-quimicos-1085267155/</v>
      </c>
    </row>
    <row r="110" spans="1:4" ht="119.25" customHeight="1" x14ac:dyDescent="0.25">
      <c r="A110" s="14" t="str">
        <f>INSCRITOS!O73</f>
        <v>TOMA DE MUESTRAS</v>
      </c>
      <c r="B110" s="12" t="str">
        <f t="shared" si="2"/>
        <v>https://centrodecapacitaciondelsur.com/toma-de-muestras-y-lab-clinico-</v>
      </c>
      <c r="C110" s="14">
        <f>INSCRITOS!B73</f>
        <v>1004516994</v>
      </c>
      <c r="D110" t="str">
        <f t="shared" si="3"/>
        <v>https://centrodecapacitaciondelsur.com/toma-de-muestras-y-lab-clinico-1004516994/</v>
      </c>
    </row>
    <row r="111" spans="1:4" ht="119.25" customHeight="1" x14ac:dyDescent="0.25">
      <c r="A111" s="14" t="str">
        <f>INSCRITOS!O74</f>
        <v>QUIMICOS</v>
      </c>
      <c r="B111" s="12" t="str">
        <f t="shared" si="2"/>
        <v>https://centrodecapacitaciondelsur.com/victimas-por-agentes-quimicos-</v>
      </c>
      <c r="C111" s="14">
        <f>INSCRITOS!B74</f>
        <v>1004516994</v>
      </c>
      <c r="D111" t="str">
        <f t="shared" si="3"/>
        <v>https://centrodecapacitaciondelsur.com/victimas-por-agentes-quimicos-1004516994/</v>
      </c>
    </row>
    <row r="112" spans="1:4" ht="119.25" customHeight="1" x14ac:dyDescent="0.25">
      <c r="A112" s="14" t="str">
        <f>INSCRITOS!O75</f>
        <v>BLS</v>
      </c>
      <c r="B112" s="12" t="str">
        <f t="shared" si="2"/>
        <v>https://centrodecapacitaciondelsur.com/soporte-basico-de-vida-</v>
      </c>
      <c r="C112" s="14">
        <f>INSCRITOS!B75</f>
        <v>1122784530</v>
      </c>
      <c r="D112" t="str">
        <f t="shared" si="3"/>
        <v>https://centrodecapacitaciondelsur.com/soporte-basico-de-vida-1122784530/</v>
      </c>
    </row>
    <row r="113" spans="1:4" ht="119.25" customHeight="1" x14ac:dyDescent="0.25">
      <c r="A113" s="14" t="str">
        <f>INSCRITOS!O76</f>
        <v>BLS</v>
      </c>
      <c r="B113" s="12" t="str">
        <f t="shared" si="2"/>
        <v>https://centrodecapacitaciondelsur.com/soporte-basico-de-vida-</v>
      </c>
      <c r="C113" s="14">
        <f>INSCRITOS!B76</f>
        <v>108305227</v>
      </c>
      <c r="D113" t="str">
        <f t="shared" si="3"/>
        <v>https://centrodecapacitaciondelsur.com/soporte-basico-de-vida-108305227/</v>
      </c>
    </row>
    <row r="114" spans="1:4" ht="119.25" customHeight="1" x14ac:dyDescent="0.25">
      <c r="A114" s="14" t="str">
        <f>INSCRITOS!O77</f>
        <v>VIOLENCIA SEXUAL</v>
      </c>
      <c r="B114" s="12" t="str">
        <f t="shared" si="2"/>
        <v>https://centrodecapacitaciondelsur.com/violencia-sexual-</v>
      </c>
      <c r="C114" s="14">
        <f>INSCRITOS!B77</f>
        <v>1085319284</v>
      </c>
      <c r="D114" t="str">
        <f t="shared" si="3"/>
        <v>https://centrodecapacitaciondelsur.com/violencia-sexual-1085319284/</v>
      </c>
    </row>
    <row r="115" spans="1:4" ht="119.25" customHeight="1" x14ac:dyDescent="0.25">
      <c r="A115" s="14" t="str">
        <f>INSCRITOS!O79</f>
        <v>VIOLENCIA SEXUAL</v>
      </c>
      <c r="B115" s="12" t="str">
        <f t="shared" si="2"/>
        <v>https://centrodecapacitaciondelsur.com/violencia-sexual-</v>
      </c>
      <c r="C115" s="14">
        <f>INSCRITOS!B79</f>
        <v>1085291360</v>
      </c>
      <c r="D115" t="str">
        <f t="shared" si="3"/>
        <v>https://centrodecapacitaciondelsur.com/violencia-sexual-1085291360/</v>
      </c>
    </row>
    <row r="116" spans="1:4" ht="119.25" customHeight="1" x14ac:dyDescent="0.25">
      <c r="A116" s="14" t="str">
        <f>INSCRITOS!O80</f>
        <v>QUIMICOS</v>
      </c>
      <c r="B116" s="12" t="str">
        <f t="shared" si="2"/>
        <v>https://centrodecapacitaciondelsur.com/victimas-por-agentes-quimicos-</v>
      </c>
      <c r="C116" s="14">
        <f>INSCRITOS!B80</f>
        <v>1085291360</v>
      </c>
      <c r="D116" t="str">
        <f t="shared" si="3"/>
        <v>https://centrodecapacitaciondelsur.com/victimas-por-agentes-quimicos-1085291360/</v>
      </c>
    </row>
    <row r="117" spans="1:4" ht="119.25" customHeight="1" x14ac:dyDescent="0.25">
      <c r="A117" s="14" t="str">
        <f>INSCRITOS!O81</f>
        <v>POCT</v>
      </c>
      <c r="B117" s="12" t="str">
        <f t="shared" si="2"/>
        <v>https://centrodecapacitaciondelsur.com/toma-de-muestras-y-lab-clinico-poct-</v>
      </c>
      <c r="C117" s="14">
        <f>INSCRITOS!B81</f>
        <v>1085291360</v>
      </c>
      <c r="D117" t="str">
        <f t="shared" si="3"/>
        <v>https://centrodecapacitaciondelsur.com/toma-de-muestras-y-lab-clinico-poct-1085291360/</v>
      </c>
    </row>
    <row r="118" spans="1:4" ht="119.25" customHeight="1" x14ac:dyDescent="0.25">
      <c r="A118" s="14" t="str">
        <f>INSCRITOS!O82</f>
        <v>VIOLENCIA SEXUAL</v>
      </c>
      <c r="B118" s="12" t="str">
        <f t="shared" si="2"/>
        <v>https://centrodecapacitaciondelsur.com/violencia-sexual-</v>
      </c>
      <c r="C118" s="14">
        <f>INSCRITOS!B82</f>
        <v>1085323504</v>
      </c>
      <c r="D118" t="str">
        <f t="shared" si="3"/>
        <v>https://centrodecapacitaciondelsur.com/violencia-sexual-1085323504/</v>
      </c>
    </row>
    <row r="119" spans="1:4" ht="119.25" customHeight="1" x14ac:dyDescent="0.25">
      <c r="A119" s="14" t="str">
        <f>INSCRITOS!O83</f>
        <v>QUIMICOS</v>
      </c>
      <c r="B119" s="12" t="str">
        <f t="shared" si="2"/>
        <v>https://centrodecapacitaciondelsur.com/victimas-por-agentes-quimicos-</v>
      </c>
      <c r="C119" s="14">
        <f>INSCRITOS!B83</f>
        <v>1085323504</v>
      </c>
      <c r="D119" t="str">
        <f t="shared" si="3"/>
        <v>https://centrodecapacitaciondelsur.com/victimas-por-agentes-quimicos-1085323504/</v>
      </c>
    </row>
    <row r="120" spans="1:4" ht="119.25" customHeight="1" x14ac:dyDescent="0.25">
      <c r="A120" s="14" t="str">
        <f>INSCRITOS!O84</f>
        <v>HUMANIZACION</v>
      </c>
      <c r="B120" s="12" t="str">
        <f t="shared" si="2"/>
        <v>https://centrodecapacitaciondelsur.com/humanizacion-</v>
      </c>
      <c r="C120" s="14">
        <f>INSCRITOS!B84</f>
        <v>1085323504</v>
      </c>
      <c r="D120" t="str">
        <f t="shared" si="3"/>
        <v>https://centrodecapacitaciondelsur.com/humanizacion-1085323504/</v>
      </c>
    </row>
    <row r="121" spans="1:4" ht="119.25" customHeight="1" x14ac:dyDescent="0.25">
      <c r="A121" s="14" t="str">
        <f>INSCRITOS!O85</f>
        <v>DUELO</v>
      </c>
      <c r="B121" s="12" t="str">
        <f t="shared" si="2"/>
        <v>https://centrodecapacitaciondelsur.com/manejo-del-duelo-</v>
      </c>
      <c r="C121" s="14">
        <f>INSCRITOS!B85</f>
        <v>1085323504</v>
      </c>
      <c r="D121" t="str">
        <f t="shared" si="3"/>
        <v>https://centrodecapacitaciondelsur.com/manejo-del-duelo-1085323504/</v>
      </c>
    </row>
    <row r="122" spans="1:4" ht="119.25" customHeight="1" x14ac:dyDescent="0.25">
      <c r="A122" s="14" t="str">
        <f>INSCRITOS!O86</f>
        <v>ACLS</v>
      </c>
      <c r="B122" s="12" t="str">
        <f t="shared" si="2"/>
        <v>https://centrodecapacitaciondelsur.com/soporte-cardiovascular-avanzado-</v>
      </c>
      <c r="C122" s="14">
        <f>INSCRITOS!B86</f>
        <v>1085932076</v>
      </c>
      <c r="D122" t="str">
        <f t="shared" si="3"/>
        <v>https://centrodecapacitaciondelsur.com/soporte-cardiovascular-avanzado-1085932076/</v>
      </c>
    </row>
    <row r="123" spans="1:4" ht="119.25" customHeight="1" x14ac:dyDescent="0.25">
      <c r="A123" s="14" t="str">
        <f>INSCRITOS!O87</f>
        <v>BLS</v>
      </c>
      <c r="B123" s="12" t="str">
        <f t="shared" si="2"/>
        <v>https://centrodecapacitaciondelsur.com/soporte-basico-de-vida-</v>
      </c>
      <c r="C123" s="14">
        <f>INSCRITOS!B87</f>
        <v>1085932076</v>
      </c>
      <c r="D123" t="str">
        <f t="shared" si="3"/>
        <v>https://centrodecapacitaciondelsur.com/soporte-basico-de-vida-1085932076/</v>
      </c>
    </row>
    <row r="124" spans="1:4" ht="119.25" customHeight="1" x14ac:dyDescent="0.25">
      <c r="A124" s="14" t="str">
        <f>INSCRITOS!O88</f>
        <v>VIOLENCIA SEXUAL</v>
      </c>
      <c r="B124" s="12" t="str">
        <f t="shared" si="2"/>
        <v>https://centrodecapacitaciondelsur.com/violencia-sexual-</v>
      </c>
      <c r="C124" s="14">
        <f>INSCRITOS!B88</f>
        <v>1085932076</v>
      </c>
      <c r="D124" t="str">
        <f t="shared" si="3"/>
        <v>https://centrodecapacitaciondelsur.com/violencia-sexual-1085932076/</v>
      </c>
    </row>
    <row r="125" spans="1:4" ht="119.25" customHeight="1" x14ac:dyDescent="0.25">
      <c r="A125" s="14" t="str">
        <f>INSCRITOS!O89</f>
        <v>DUELO</v>
      </c>
      <c r="B125" s="12" t="str">
        <f t="shared" si="2"/>
        <v>https://centrodecapacitaciondelsur.com/manejo-del-duelo-</v>
      </c>
      <c r="C125" s="14">
        <f>INSCRITOS!B89</f>
        <v>1085932076</v>
      </c>
      <c r="D125" t="str">
        <f t="shared" si="3"/>
        <v>https://centrodecapacitaciondelsur.com/manejo-del-duelo-1085932076/</v>
      </c>
    </row>
    <row r="126" spans="1:4" ht="119.25" customHeight="1" x14ac:dyDescent="0.25">
      <c r="A126" s="14" t="str">
        <f>INSCRITOS!O90</f>
        <v>HUMANIZACION</v>
      </c>
      <c r="B126" s="12" t="str">
        <f t="shared" si="2"/>
        <v>https://centrodecapacitaciondelsur.com/humanizacion-</v>
      </c>
      <c r="C126" s="14">
        <f>INSCRITOS!B90</f>
        <v>1085932076</v>
      </c>
      <c r="D126" t="str">
        <f t="shared" si="3"/>
        <v>https://centrodecapacitaciondelsur.com/humanizacion-1085932076/</v>
      </c>
    </row>
    <row r="127" spans="1:4" ht="119.25" customHeight="1" x14ac:dyDescent="0.25">
      <c r="A127" s="14" t="str">
        <f>INSCRITOS!O91</f>
        <v>BLS</v>
      </c>
      <c r="B127" s="12" t="str">
        <f t="shared" si="2"/>
        <v>https://centrodecapacitaciondelsur.com/soporte-basico-de-vida-</v>
      </c>
      <c r="C127" s="14">
        <f>INSCRITOS!B91</f>
        <v>1085338527</v>
      </c>
      <c r="D127" t="str">
        <f t="shared" si="3"/>
        <v>https://centrodecapacitaciondelsur.com/soporte-basico-de-vida-1085338527/</v>
      </c>
    </row>
    <row r="128" spans="1:4" ht="119.25" customHeight="1" x14ac:dyDescent="0.25">
      <c r="A128" s="14" t="str">
        <f>INSCRITOS!O92</f>
        <v>VIOLENCIA SEXUAL</v>
      </c>
      <c r="B128" s="12" t="str">
        <f t="shared" si="2"/>
        <v>https://centrodecapacitaciondelsur.com/violencia-sexual-</v>
      </c>
      <c r="C128" s="14">
        <f>INSCRITOS!B92</f>
        <v>87027237</v>
      </c>
      <c r="D128" t="str">
        <f t="shared" si="3"/>
        <v>https://centrodecapacitaciondelsur.com/violencia-sexual-87027237/</v>
      </c>
    </row>
    <row r="129" spans="1:4" ht="119.25" customHeight="1" x14ac:dyDescent="0.25">
      <c r="A129" s="14" t="str">
        <f>INSCRITOS!O93</f>
        <v>PALIATIVOS</v>
      </c>
      <c r="B129" s="12" t="str">
        <f t="shared" si="2"/>
        <v>https://centrodecapacitaciondelsur.com/manejo-del-dolor-y-cuidados-paliativos-</v>
      </c>
      <c r="C129" s="14">
        <f>INSCRITOS!B93</f>
        <v>87027237</v>
      </c>
      <c r="D129" t="str">
        <f t="shared" si="3"/>
        <v>https://centrodecapacitaciondelsur.com/manejo-del-dolor-y-cuidados-paliativos-87027237/</v>
      </c>
    </row>
    <row r="130" spans="1:4" ht="119.25" customHeight="1" x14ac:dyDescent="0.25">
      <c r="A130" s="14" t="str">
        <f>INSCRITOS!O94</f>
        <v>DUELO</v>
      </c>
      <c r="B130" s="12" t="str">
        <f t="shared" si="2"/>
        <v>https://centrodecapacitaciondelsur.com/manejo-del-duelo-</v>
      </c>
      <c r="C130" s="14">
        <f>INSCRITOS!B94</f>
        <v>87027237</v>
      </c>
      <c r="D130" t="str">
        <f t="shared" si="3"/>
        <v>https://centrodecapacitaciondelsur.com/manejo-del-duelo-87027237/</v>
      </c>
    </row>
    <row r="131" spans="1:4" ht="119.25" customHeight="1" x14ac:dyDescent="0.25">
      <c r="A131" s="14" t="str">
        <f>INSCRITOS!O95</f>
        <v>QUIMICOS</v>
      </c>
      <c r="B131" s="12" t="str">
        <f t="shared" si="2"/>
        <v>https://centrodecapacitaciondelsur.com/victimas-por-agentes-quimicos-</v>
      </c>
      <c r="C131" s="14">
        <f>INSCRITOS!B95</f>
        <v>87027237</v>
      </c>
      <c r="D131" t="str">
        <f t="shared" si="3"/>
        <v>https://centrodecapacitaciondelsur.com/victimas-por-agentes-quimicos-87027237/</v>
      </c>
    </row>
    <row r="132" spans="1:4" ht="119.25" customHeight="1" x14ac:dyDescent="0.25">
      <c r="A132" s="14" t="str">
        <f>INSCRITOS!O96</f>
        <v>POCT</v>
      </c>
      <c r="B132" s="12" t="str">
        <f t="shared" si="2"/>
        <v>https://centrodecapacitaciondelsur.com/toma-de-muestras-y-lab-clinico-poct-</v>
      </c>
      <c r="C132" s="14">
        <f>INSCRITOS!B96</f>
        <v>27081380</v>
      </c>
      <c r="D132" t="str">
        <f t="shared" si="3"/>
        <v>https://centrodecapacitaciondelsur.com/toma-de-muestras-y-lab-clinico-poct-27081380/</v>
      </c>
    </row>
    <row r="133" spans="1:4" ht="119.25" customHeight="1" x14ac:dyDescent="0.25">
      <c r="A133" s="14" t="str">
        <f>INSCRITOS!O97</f>
        <v>DUELO</v>
      </c>
      <c r="B133" s="12" t="str">
        <f t="shared" si="2"/>
        <v>https://centrodecapacitaciondelsur.com/manejo-del-duelo-</v>
      </c>
      <c r="C133" s="14">
        <f>INSCRITOS!B97</f>
        <v>1085278863</v>
      </c>
      <c r="D133" t="str">
        <f t="shared" si="3"/>
        <v>https://centrodecapacitaciondelsur.com/manejo-del-duelo-1085278863/</v>
      </c>
    </row>
    <row r="134" spans="1:4" ht="119.25" customHeight="1" x14ac:dyDescent="0.25">
      <c r="A134" s="14" t="str">
        <f>INSCRITOS!O98</f>
        <v>VIOLENCIA SEXUAL</v>
      </c>
      <c r="B134" s="12" t="str">
        <f t="shared" si="2"/>
        <v>https://centrodecapacitaciondelsur.com/violencia-sexual-</v>
      </c>
      <c r="C134" s="14">
        <f>INSCRITOS!B98</f>
        <v>1085278863</v>
      </c>
      <c r="D134" t="str">
        <f t="shared" si="3"/>
        <v>https://centrodecapacitaciondelsur.com/violencia-sexual-1085278863/</v>
      </c>
    </row>
    <row r="135" spans="1:4" ht="119.25" customHeight="1" x14ac:dyDescent="0.25">
      <c r="A135" s="14" t="str">
        <f>INSCRITOS!O99</f>
        <v>BLS</v>
      </c>
      <c r="B135" s="12" t="str">
        <f t="shared" si="2"/>
        <v>https://centrodecapacitaciondelsur.com/soporte-basico-de-vida-</v>
      </c>
      <c r="C135" s="14">
        <f>INSCRITOS!B99</f>
        <v>5268341</v>
      </c>
      <c r="D135" t="str">
        <f t="shared" si="3"/>
        <v>https://centrodecapacitaciondelsur.com/soporte-basico-de-vida-5268341/</v>
      </c>
    </row>
    <row r="136" spans="1:4" ht="119.25" customHeight="1" x14ac:dyDescent="0.25">
      <c r="A136" s="14" t="str">
        <f>INSCRITOS!O100</f>
        <v>BLS</v>
      </c>
      <c r="B136" s="12" t="str">
        <f t="shared" si="2"/>
        <v>https://centrodecapacitaciondelsur.com/soporte-basico-de-vida-</v>
      </c>
      <c r="C136" s="14">
        <f>INSCRITOS!B100</f>
        <v>1089030194</v>
      </c>
      <c r="D136" t="str">
        <f t="shared" si="3"/>
        <v>https://centrodecapacitaciondelsur.com/soporte-basico-de-vida-1089030194/</v>
      </c>
    </row>
    <row r="137" spans="1:4" ht="119.25" customHeight="1" x14ac:dyDescent="0.25">
      <c r="A137" s="14" t="str">
        <f>INSCRITOS!O101</f>
        <v>DUELO</v>
      </c>
      <c r="B137" s="12" t="str">
        <f t="shared" si="2"/>
        <v>https://centrodecapacitaciondelsur.com/manejo-del-duelo-</v>
      </c>
      <c r="C137" s="14">
        <f>INSCRITOS!B101</f>
        <v>1089030194</v>
      </c>
      <c r="D137" t="str">
        <f t="shared" si="3"/>
        <v>https://centrodecapacitaciondelsur.com/manejo-del-duelo-1089030194/</v>
      </c>
    </row>
    <row r="138" spans="1:4" ht="119.25" customHeight="1" x14ac:dyDescent="0.25">
      <c r="A138" s="14" t="str">
        <f>INSCRITOS!O102</f>
        <v>QUIMICOS</v>
      </c>
      <c r="B138" s="12" t="str">
        <f t="shared" si="2"/>
        <v>https://centrodecapacitaciondelsur.com/victimas-por-agentes-quimicos-</v>
      </c>
      <c r="C138" s="14">
        <f>INSCRITOS!B102</f>
        <v>1089030194</v>
      </c>
      <c r="D138" t="str">
        <f t="shared" si="3"/>
        <v>https://centrodecapacitaciondelsur.com/victimas-por-agentes-quimicos-1089030194/</v>
      </c>
    </row>
    <row r="139" spans="1:4" ht="119.25" customHeight="1" x14ac:dyDescent="0.25">
      <c r="A139" s="14" t="str">
        <f>INSCRITOS!O103</f>
        <v>BLS</v>
      </c>
      <c r="B139" s="12" t="str">
        <f t="shared" si="2"/>
        <v>https://centrodecapacitaciondelsur.com/soporte-basico-de-vida-</v>
      </c>
      <c r="C139" s="14">
        <f>INSCRITOS!B103</f>
        <v>1087417050</v>
      </c>
      <c r="D139" t="str">
        <f t="shared" si="3"/>
        <v>https://centrodecapacitaciondelsur.com/soporte-basico-de-vida-1087417050/</v>
      </c>
    </row>
    <row r="140" spans="1:4" ht="119.25" customHeight="1" x14ac:dyDescent="0.25">
      <c r="A140" s="14" t="str">
        <f>INSCRITOS!O104</f>
        <v>VIOLENCIA SEXUAL</v>
      </c>
      <c r="B140" s="12" t="str">
        <f t="shared" si="2"/>
        <v>https://centrodecapacitaciondelsur.com/violencia-sexual-</v>
      </c>
      <c r="C140" s="14">
        <f>INSCRITOS!B104</f>
        <v>1088736368</v>
      </c>
      <c r="D140" t="str">
        <f t="shared" si="3"/>
        <v>https://centrodecapacitaciondelsur.com/violencia-sexual-1088736368/</v>
      </c>
    </row>
    <row r="141" spans="1:4" ht="119.25" customHeight="1" x14ac:dyDescent="0.25">
      <c r="A141" s="14" t="str">
        <f>INSCRITOS!O105</f>
        <v>DUELO</v>
      </c>
      <c r="B141" s="12" t="str">
        <f t="shared" si="2"/>
        <v>https://centrodecapacitaciondelsur.com/manejo-del-duelo-</v>
      </c>
      <c r="C141" s="14">
        <f>INSCRITOS!B105</f>
        <v>1088736368</v>
      </c>
      <c r="D141" t="str">
        <f t="shared" si="3"/>
        <v>https://centrodecapacitaciondelsur.com/manejo-del-duelo-1088736368/</v>
      </c>
    </row>
    <row r="142" spans="1:4" ht="119.25" customHeight="1" x14ac:dyDescent="0.25">
      <c r="A142" s="14" t="str">
        <f>INSCRITOS!O106</f>
        <v>QUIMICOS</v>
      </c>
      <c r="B142" s="12" t="str">
        <f t="shared" si="2"/>
        <v>https://centrodecapacitaciondelsur.com/victimas-por-agentes-quimicos-</v>
      </c>
      <c r="C142" s="14">
        <f>INSCRITOS!B106</f>
        <v>1088736368</v>
      </c>
      <c r="D142" t="str">
        <f t="shared" si="3"/>
        <v>https://centrodecapacitaciondelsur.com/victimas-por-agentes-quimicos-1088736368/</v>
      </c>
    </row>
    <row r="143" spans="1:4" ht="119.25" customHeight="1" x14ac:dyDescent="0.25">
      <c r="A143" s="14" t="str">
        <f>INSCRITOS!O107</f>
        <v>ACLS</v>
      </c>
      <c r="B143" s="12" t="str">
        <f t="shared" si="2"/>
        <v>https://centrodecapacitaciondelsur.com/soporte-cardiovascular-avanzado-</v>
      </c>
      <c r="C143" s="14">
        <f>INSCRITOS!B107</f>
        <v>1004232408</v>
      </c>
      <c r="D143" t="str">
        <f t="shared" si="3"/>
        <v>https://centrodecapacitaciondelsur.com/soporte-cardiovascular-avanzado-1004232408/</v>
      </c>
    </row>
    <row r="144" spans="1:4" ht="119.25" customHeight="1" x14ac:dyDescent="0.25">
      <c r="A144" s="14" t="str">
        <f>INSCRITOS!O108</f>
        <v>BLS</v>
      </c>
      <c r="B144" s="12" t="str">
        <f t="shared" si="2"/>
        <v>https://centrodecapacitaciondelsur.com/soporte-basico-de-vida-</v>
      </c>
      <c r="C144" s="14">
        <f>INSCRITOS!B108</f>
        <v>1004232408</v>
      </c>
      <c r="D144" t="str">
        <f t="shared" si="3"/>
        <v>https://centrodecapacitaciondelsur.com/soporte-basico-de-vida-1004232408/</v>
      </c>
    </row>
    <row r="145" spans="1:4" ht="119.25" customHeight="1" x14ac:dyDescent="0.25">
      <c r="A145" s="14" t="str">
        <f>INSCRITOS!O109</f>
        <v>TRIAGE</v>
      </c>
      <c r="B145" s="12" t="str">
        <f t="shared" si="2"/>
        <v>https://centrodecapacitaciondelsur.com/triage-</v>
      </c>
      <c r="C145" s="14">
        <f>INSCRITOS!B109</f>
        <v>1004232408</v>
      </c>
      <c r="D145" t="str">
        <f t="shared" si="3"/>
        <v>https://centrodecapacitaciondelsur.com/triage-1004232408/</v>
      </c>
    </row>
    <row r="146" spans="1:4" ht="119.25" customHeight="1" x14ac:dyDescent="0.25">
      <c r="A146" s="14" t="str">
        <f>INSCRITOS!O110</f>
        <v>DUELO</v>
      </c>
      <c r="B146" s="12" t="str">
        <f t="shared" si="2"/>
        <v>https://centrodecapacitaciondelsur.com/manejo-del-duelo-</v>
      </c>
      <c r="C146" s="14">
        <f>INSCRITOS!B110</f>
        <v>1004232408</v>
      </c>
      <c r="D146" t="str">
        <f t="shared" si="3"/>
        <v>https://centrodecapacitaciondelsur.com/manejo-del-duelo-1004232408/</v>
      </c>
    </row>
    <row r="147" spans="1:4" ht="119.25" customHeight="1" x14ac:dyDescent="0.25">
      <c r="A147" s="14" t="str">
        <f>INSCRITOS!O111</f>
        <v>QUIMICOS</v>
      </c>
      <c r="B147" s="12" t="str">
        <f t="shared" si="2"/>
        <v>https://centrodecapacitaciondelsur.com/victimas-por-agentes-quimicos-</v>
      </c>
      <c r="C147" s="14">
        <f>INSCRITOS!B111</f>
        <v>1004232408</v>
      </c>
      <c r="D147" t="str">
        <f t="shared" si="3"/>
        <v>https://centrodecapacitaciondelsur.com/victimas-por-agentes-quimicos-1004232408/</v>
      </c>
    </row>
    <row r="148" spans="1:4" ht="119.25" customHeight="1" x14ac:dyDescent="0.25">
      <c r="A148" s="14" t="str">
        <f>INSCRITOS!O112</f>
        <v>HUMANIZACION</v>
      </c>
      <c r="B148" s="12" t="str">
        <f t="shared" si="2"/>
        <v>https://centrodecapacitaciondelsur.com/humanizacion-</v>
      </c>
      <c r="C148" s="14">
        <f>INSCRITOS!B112</f>
        <v>1004232408</v>
      </c>
      <c r="D148" t="str">
        <f t="shared" si="3"/>
        <v>https://centrodecapacitaciondelsur.com/humanizacion-1004232408/</v>
      </c>
    </row>
    <row r="149" spans="1:4" ht="119.25" customHeight="1" x14ac:dyDescent="0.25">
      <c r="A149" s="14" t="str">
        <f>INSCRITOS!O113</f>
        <v>TOMA DE MUESTRAS</v>
      </c>
      <c r="B149" s="12" t="str">
        <f t="shared" si="2"/>
        <v>https://centrodecapacitaciondelsur.com/toma-de-muestras-y-lab-clinico-</v>
      </c>
      <c r="C149" s="14">
        <f>INSCRITOS!B113</f>
        <v>1004559169</v>
      </c>
      <c r="D149" t="str">
        <f t="shared" si="3"/>
        <v>https://centrodecapacitaciondelsur.com/toma-de-muestras-y-lab-clinico-1004559169/</v>
      </c>
    </row>
    <row r="150" spans="1:4" ht="119.25" customHeight="1" x14ac:dyDescent="0.25">
      <c r="A150" s="14" t="str">
        <f>INSCRITOS!O114</f>
        <v>PRIMEROS AUXILIOS</v>
      </c>
      <c r="B150" s="12" t="str">
        <f t="shared" si="2"/>
        <v>https://centrodecapacitaciondelsur.com/primeros-auxilios-</v>
      </c>
      <c r="C150" s="14">
        <f>INSCRITOS!B114</f>
        <v>1004543148</v>
      </c>
      <c r="D150" t="str">
        <f t="shared" si="3"/>
        <v>https://centrodecapacitaciondelsur.com/primeros-auxilios-1004543148/</v>
      </c>
    </row>
    <row r="151" spans="1:4" ht="119.25" customHeight="1" x14ac:dyDescent="0.25">
      <c r="A151" s="14" t="str">
        <f>INSCRITOS!O115</f>
        <v>HUMANIZACION</v>
      </c>
      <c r="B151" s="12" t="str">
        <f t="shared" si="2"/>
        <v>https://centrodecapacitaciondelsur.com/humanizacion-</v>
      </c>
      <c r="C151" s="14">
        <f>INSCRITOS!B115</f>
        <v>1094246020</v>
      </c>
      <c r="D151" t="str">
        <f t="shared" si="3"/>
        <v>https://centrodecapacitaciondelsur.com/humanizacion-1094246020/</v>
      </c>
    </row>
    <row r="152" spans="1:4" ht="119.25" customHeight="1" x14ac:dyDescent="0.25">
      <c r="A152" s="14" t="str">
        <f>INSCRITOS!O116</f>
        <v>AIEPI</v>
      </c>
      <c r="B152" s="12" t="str">
        <f t="shared" si="2"/>
        <v>https://centrodecapacitaciondelsur.com/aiepi-</v>
      </c>
      <c r="C152" s="14">
        <f>INSCRITOS!B116</f>
        <v>1193470016</v>
      </c>
      <c r="D152" t="str">
        <f t="shared" si="3"/>
        <v>https://centrodecapacitaciondelsur.com/aiepi-1193470016/</v>
      </c>
    </row>
    <row r="153" spans="1:4" ht="119.25" customHeight="1" x14ac:dyDescent="0.25">
      <c r="A153" s="14" t="str">
        <f>INSCRITOS!O117</f>
        <v>PALIATIVOS</v>
      </c>
      <c r="B153" s="12" t="str">
        <f t="shared" si="2"/>
        <v>https://centrodecapacitaciondelsur.com/manejo-del-dolor-y-cuidados-paliativos-</v>
      </c>
      <c r="C153" s="14">
        <f>INSCRITOS!B117</f>
        <v>1085266810</v>
      </c>
      <c r="D153" t="str">
        <f t="shared" si="3"/>
        <v>https://centrodecapacitaciondelsur.com/manejo-del-dolor-y-cuidados-paliativos-1085266810/</v>
      </c>
    </row>
    <row r="154" spans="1:4" ht="119.25" customHeight="1" x14ac:dyDescent="0.25">
      <c r="A154" s="14" t="str">
        <f>INSCRITOS!O118</f>
        <v>HUMANIZACION</v>
      </c>
      <c r="B154" s="12" t="str">
        <f t="shared" si="2"/>
        <v>https://centrodecapacitaciondelsur.com/humanizacion-</v>
      </c>
      <c r="C154" s="14">
        <f>INSCRITOS!B118</f>
        <v>1087683002</v>
      </c>
      <c r="D154" t="str">
        <f t="shared" si="3"/>
        <v>https://centrodecapacitaciondelsur.com/humanizacion-1087683002/</v>
      </c>
    </row>
    <row r="155" spans="1:4" ht="119.25" customHeight="1" x14ac:dyDescent="0.25">
      <c r="A155" s="14" t="str">
        <f>INSCRITOS!O119</f>
        <v>VIOLENCIA DE GENERO</v>
      </c>
      <c r="B155" s="12" t="str">
        <f t="shared" si="2"/>
        <v>https://centrodecapacitaciondelsur.com/violencia-de-genero-</v>
      </c>
      <c r="C155" s="14">
        <f>INSCRITOS!B119</f>
        <v>1233191506</v>
      </c>
      <c r="D155" t="str">
        <f t="shared" si="3"/>
        <v>https://centrodecapacitaciondelsur.com/violencia-de-genero-1233191506/</v>
      </c>
    </row>
    <row r="156" spans="1:4" ht="119.25" customHeight="1" x14ac:dyDescent="0.25">
      <c r="A156" s="14" t="str">
        <f>INSCRITOS!O120</f>
        <v>HUMANIZACION</v>
      </c>
      <c r="B156" s="12" t="str">
        <f t="shared" si="2"/>
        <v>https://centrodecapacitaciondelsur.com/humanizacion-</v>
      </c>
      <c r="C156" s="14">
        <f>INSCRITOS!B120</f>
        <v>1087683002</v>
      </c>
      <c r="D156" t="str">
        <f t="shared" si="3"/>
        <v>https://centrodecapacitaciondelsur.com/humanizacion-1087683002/</v>
      </c>
    </row>
    <row r="157" spans="1:4" ht="119.25" customHeight="1" x14ac:dyDescent="0.25">
      <c r="A157" s="14" t="str">
        <f>INSCRITOS!O121</f>
        <v>VIOLENCIA SEXUAL</v>
      </c>
      <c r="B157" s="12" t="str">
        <f t="shared" si="2"/>
        <v>https://centrodecapacitaciondelsur.com/violencia-sexual-</v>
      </c>
      <c r="C157" s="14">
        <f>INSCRITOS!B121</f>
        <v>87456087</v>
      </c>
      <c r="D157" t="str">
        <f t="shared" si="3"/>
        <v>https://centrodecapacitaciondelsur.com/violencia-sexual-87456087/</v>
      </c>
    </row>
    <row r="158" spans="1:4" ht="119.25" customHeight="1" x14ac:dyDescent="0.25">
      <c r="A158" s="14" t="str">
        <f>INSCRITOS!O122</f>
        <v>QUIMICOS</v>
      </c>
      <c r="B158" s="12" t="str">
        <f t="shared" si="2"/>
        <v>https://centrodecapacitaciondelsur.com/victimas-por-agentes-quimicos-</v>
      </c>
      <c r="C158" s="14">
        <f>INSCRITOS!B122</f>
        <v>87456087</v>
      </c>
      <c r="D158" t="str">
        <f t="shared" si="3"/>
        <v>https://centrodecapacitaciondelsur.com/victimas-por-agentes-quimicos-87456087/</v>
      </c>
    </row>
    <row r="159" spans="1:4" ht="119.25" customHeight="1" x14ac:dyDescent="0.25">
      <c r="A159" s="14" t="str">
        <f>INSCRITOS!O123</f>
        <v>DUELO</v>
      </c>
      <c r="B159" s="12" t="str">
        <f t="shared" si="2"/>
        <v>https://centrodecapacitaciondelsur.com/manejo-del-duelo-</v>
      </c>
      <c r="C159" s="14">
        <f>INSCRITOS!B123</f>
        <v>87456087</v>
      </c>
      <c r="D159" t="str">
        <f t="shared" si="3"/>
        <v>https://centrodecapacitaciondelsur.com/manejo-del-duelo-87456087/</v>
      </c>
    </row>
    <row r="160" spans="1:4" ht="119.25" customHeight="1" x14ac:dyDescent="0.25">
      <c r="A160" s="14" t="str">
        <f>INSCRITOS!O124</f>
        <v>ACLS</v>
      </c>
      <c r="B160" s="12" t="str">
        <f t="shared" si="2"/>
        <v>https://centrodecapacitaciondelsur.com/soporte-cardiovascular-avanzado-</v>
      </c>
      <c r="C160" s="14">
        <f>INSCRITOS!B124</f>
        <v>85254561</v>
      </c>
      <c r="D160" t="str">
        <f t="shared" si="3"/>
        <v>https://centrodecapacitaciondelsur.com/soporte-cardiovascular-avanzado-85254561/</v>
      </c>
    </row>
    <row r="161" spans="1:4" ht="119.25" customHeight="1" x14ac:dyDescent="0.25">
      <c r="A161" s="14" t="str">
        <f>INSCRITOS!O125</f>
        <v>PALIATIVOS</v>
      </c>
      <c r="B161" s="12" t="str">
        <f t="shared" si="2"/>
        <v>https://centrodecapacitaciondelsur.com/manejo-del-dolor-y-cuidados-paliativos-</v>
      </c>
      <c r="C161" s="14">
        <f>INSCRITOS!B125</f>
        <v>1085301199</v>
      </c>
      <c r="D161" t="str">
        <f t="shared" si="3"/>
        <v>https://centrodecapacitaciondelsur.com/manejo-del-dolor-y-cuidados-paliativos-1085301199/</v>
      </c>
    </row>
    <row r="162" spans="1:4" ht="119.25" customHeight="1" x14ac:dyDescent="0.25">
      <c r="A162" s="14" t="str">
        <f>INSCRITOS!O126</f>
        <v>VIOLENCIA SEXUAL</v>
      </c>
      <c r="B162" s="12" t="str">
        <f t="shared" si="2"/>
        <v>https://centrodecapacitaciondelsur.com/violencia-sexual-</v>
      </c>
      <c r="C162" s="14">
        <f>INSCRITOS!B126</f>
        <v>1026279761</v>
      </c>
      <c r="D162" t="str">
        <f t="shared" si="3"/>
        <v>https://centrodecapacitaciondelsur.com/violencia-sexual-1026279761/</v>
      </c>
    </row>
    <row r="163" spans="1:4" ht="119.25" customHeight="1" x14ac:dyDescent="0.25">
      <c r="A163" s="14" t="str">
        <f>INSCRITOS!O127</f>
        <v>BLS</v>
      </c>
      <c r="B163" s="12" t="str">
        <f t="shared" si="2"/>
        <v>https://centrodecapacitaciondelsur.com/soporte-basico-de-vida-</v>
      </c>
      <c r="C163" s="14">
        <f>INSCRITOS!B127</f>
        <v>1026279761</v>
      </c>
      <c r="D163" t="str">
        <f t="shared" si="3"/>
        <v>https://centrodecapacitaciondelsur.com/soporte-basico-de-vida-1026279761/</v>
      </c>
    </row>
    <row r="164" spans="1:4" ht="119.25" customHeight="1" x14ac:dyDescent="0.25">
      <c r="A164" s="14" t="str">
        <f>INSCRITOS!O128</f>
        <v>VIOLENCIA SEXUAL</v>
      </c>
      <c r="B164" s="12" t="str">
        <f t="shared" si="2"/>
        <v>https://centrodecapacitaciondelsur.com/violencia-sexual-</v>
      </c>
      <c r="C164" s="14">
        <f>INSCRITOS!B128</f>
        <v>1127577221</v>
      </c>
      <c r="D164" t="str">
        <f t="shared" si="3"/>
        <v>https://centrodecapacitaciondelsur.com/violencia-sexual-1127577221/</v>
      </c>
    </row>
    <row r="165" spans="1:4" ht="119.25" customHeight="1" x14ac:dyDescent="0.25">
      <c r="A165" s="14" t="str">
        <f>INSCRITOS!O129</f>
        <v>QUIMICOS</v>
      </c>
      <c r="B165" s="12" t="str">
        <f t="shared" si="2"/>
        <v>https://centrodecapacitaciondelsur.com/victimas-por-agentes-quimicos-</v>
      </c>
      <c r="C165" s="14">
        <f>INSCRITOS!B129</f>
        <v>1127577221</v>
      </c>
      <c r="D165" t="str">
        <f t="shared" si="3"/>
        <v>https://centrodecapacitaciondelsur.com/victimas-por-agentes-quimicos-1127577221/</v>
      </c>
    </row>
    <row r="166" spans="1:4" ht="119.25" customHeight="1" x14ac:dyDescent="0.25">
      <c r="A166" s="14" t="str">
        <f>INSCRITOS!O130</f>
        <v>VIOLENCIA SEXUAL</v>
      </c>
      <c r="B166" s="12" t="str">
        <f t="shared" si="2"/>
        <v>https://centrodecapacitaciondelsur.com/violencia-sexual-</v>
      </c>
      <c r="C166" s="14">
        <f>INSCRITOS!B130</f>
        <v>59395431</v>
      </c>
      <c r="D166" t="str">
        <f t="shared" si="3"/>
        <v>https://centrodecapacitaciondelsur.com/violencia-sexual-59395431/</v>
      </c>
    </row>
    <row r="167" spans="1:4" ht="119.25" customHeight="1" x14ac:dyDescent="0.25">
      <c r="A167" s="14" t="str">
        <f>INSCRITOS!O131</f>
        <v>QUIMICOS</v>
      </c>
      <c r="B167" s="12" t="str">
        <f t="shared" si="2"/>
        <v>https://centrodecapacitaciondelsur.com/victimas-por-agentes-quimicos-</v>
      </c>
      <c r="C167" s="14">
        <f>INSCRITOS!B131</f>
        <v>59395431</v>
      </c>
      <c r="D167" t="str">
        <f t="shared" si="3"/>
        <v>https://centrodecapacitaciondelsur.com/victimas-por-agentes-quimicos-59395431/</v>
      </c>
    </row>
    <row r="168" spans="1:4" ht="119.25" customHeight="1" x14ac:dyDescent="0.25">
      <c r="A168" s="14" t="str">
        <f>INSCRITOS!O132</f>
        <v>VIOLENCIA SEXUAL</v>
      </c>
      <c r="B168" s="12" t="str">
        <f t="shared" ref="B168:B231" si="4">IF(A168=$H$19,"https://centrodecapacitaciondelsur.com/o-v-e-",IF(A168=$H$2,"https://centrodecapacitaciondelsur.com/aph-",IF(A168=$H$3,"https://centrodecapacitaciondelsur.com/manejo-del-duelo-",IF(A168=$H$4,"https://centrodecapacitaciondelsur.com/victimas-por-agentes-quimicos-",IF(A168=$H$5,"https://centrodecapacitaciondelsur.com/primeros-auxilios-",IF(A168=$H$6,"https://centrodecapacitaciondelsur.com/uci-",IF(A168=$H$8,"https://centrodecapacitaciondelsur.com/humanizacion-",IF(A168=$H$11,"https://centrodecapacitaciondelsur.com/soporte-cardiovascular-avanzado-",IF(A168=$H$12,"https://centrodecapacitaciondelsur.com/camillero-",IF(A168=$H$13,"https://centrodecapacitaciondelsur.com/toma-de-muestras-y-lab-clinico-",IF(A168=$H$14,"https://centrodecapacitaciondelsur.com/soporte-basico-de-vida-",IF(A168=$H$15,"https://centrodecapacitaciondelsur.com/violencia-sexual-",IF(A168=$H$17,"https://centrodecapacitaciondelsur.com/aiepi-",IF(A168=$H$18,"https://centrodecapacitaciondelsur.com/adm-medicamentos-canalizacion-inyectologia-",IF(A168=$H$25,"https://centrodecapacitaciondelsur.com/manejo-del-dolor-y-cuidados-paliativos-",IF(A168=$H$26,"https://centrodecapacitaciondelsur.com/toma-de-muestras-y-lab-clinico-poct-",IF(A168=$H$27,"https://centrodecapacitaciondelsur.com/implante-subdermico-",IF(A168=$H$21,"https://centrodecapacitaciondelsur.com/donante-de-organos-",IF(A168=$H$30,"https://centrodecapacitaciondelsur.com/atencion-a-victimas-del-conflicto-armado-",IF(A168=$H$20,"https://centrodecapacitaciondelsur.com/iami-",IF(A168=$H$22,"https://centrodecapacitaciondelsur.com/violencia-de-genero-",IF(A168=$H$23,"https://centrodecapacitaciondelsur.com/igualdad-de-genero-",IF(A168=$H$16,"https://centrodecapacitaciondelsur.com/pai-",IF(A168=$H$31,"https://centrodecapacitaciondelsur.com/manipulacion-de-alimentos-",IF(A168=$H$32,"https://centrodecapacitaciondelsur.com/atencion-a-personas-con-discapacidad-",IF(A168=$H$33,"https://centrodecapacitaciondelsur.com/atencion-al-adulto-mayor-",IF(A168=$H$34,"https://centrodecapacitaciondelsur.com/manejo-defensivo-",IF(A168=$H$35,"https://centrodecapacitaciondelsur.com/soporte-basico-neonatal-",IF(A168=$H$36,"https://centrodecapacitaciondelsur.com/seguridad-del-paciente-",IF(A168=$H$37,"https://centrodecapacitaciondelsur.com/uso-y-manejo-del-dea-",IF(A168=$H$38,"https://centrodecapacitaciondelsur.com/triage-")))))))))))))))))))))))))))))))</f>
        <v>https://centrodecapacitaciondelsur.com/violencia-sexual-</v>
      </c>
      <c r="C168" s="14">
        <f>INSCRITOS!B132</f>
        <v>1088736872</v>
      </c>
      <c r="D168" t="str">
        <f t="shared" ref="D168:D231" si="5">CONCATENATE(B168,C168,"/")</f>
        <v>https://centrodecapacitaciondelsur.com/violencia-sexual-1088736872/</v>
      </c>
    </row>
    <row r="169" spans="1:4" ht="119.25" customHeight="1" x14ac:dyDescent="0.25">
      <c r="A169" s="14" t="str">
        <f>INSCRITOS!O133</f>
        <v>QUIMICOS</v>
      </c>
      <c r="B169" s="12" t="str">
        <f t="shared" si="4"/>
        <v>https://centrodecapacitaciondelsur.com/victimas-por-agentes-quimicos-</v>
      </c>
      <c r="C169" s="14">
        <f>INSCRITOS!B133</f>
        <v>1088736872</v>
      </c>
      <c r="D169" t="str">
        <f t="shared" si="5"/>
        <v>https://centrodecapacitaciondelsur.com/victimas-por-agentes-quimicos-1088736872/</v>
      </c>
    </row>
    <row r="170" spans="1:4" ht="119.25" customHeight="1" x14ac:dyDescent="0.25">
      <c r="A170" s="14" t="str">
        <f>INSCRITOS!O134</f>
        <v>DUELO</v>
      </c>
      <c r="B170" s="12" t="str">
        <f t="shared" si="4"/>
        <v>https://centrodecapacitaciondelsur.com/manejo-del-duelo-</v>
      </c>
      <c r="C170" s="14">
        <f>INSCRITOS!B134</f>
        <v>1088736872</v>
      </c>
      <c r="D170" t="str">
        <f t="shared" si="5"/>
        <v>https://centrodecapacitaciondelsur.com/manejo-del-duelo-1088736872/</v>
      </c>
    </row>
    <row r="171" spans="1:4" ht="119.25" customHeight="1" x14ac:dyDescent="0.25">
      <c r="A171" s="14" t="str">
        <f>INSCRITOS!O135</f>
        <v>AIEPI</v>
      </c>
      <c r="B171" s="12" t="str">
        <f t="shared" si="4"/>
        <v>https://centrodecapacitaciondelsur.com/aiepi-</v>
      </c>
      <c r="C171" s="14">
        <f>INSCRITOS!B135</f>
        <v>1088736872</v>
      </c>
      <c r="D171" t="str">
        <f t="shared" si="5"/>
        <v>https://centrodecapacitaciondelsur.com/aiepi-1088736872/</v>
      </c>
    </row>
    <row r="172" spans="1:4" ht="119.25" customHeight="1" x14ac:dyDescent="0.25">
      <c r="A172" s="14" t="str">
        <f>INSCRITOS!O136</f>
        <v>QUIMICOS</v>
      </c>
      <c r="B172" s="12" t="str">
        <f t="shared" si="4"/>
        <v>https://centrodecapacitaciondelsur.com/victimas-por-agentes-quimicos-</v>
      </c>
      <c r="C172" s="14">
        <f>INSCRITOS!B136</f>
        <v>1088737698</v>
      </c>
      <c r="D172" t="str">
        <f t="shared" si="5"/>
        <v>https://centrodecapacitaciondelsur.com/victimas-por-agentes-quimicos-1088737698/</v>
      </c>
    </row>
    <row r="173" spans="1:4" ht="119.25" customHeight="1" x14ac:dyDescent="0.25">
      <c r="A173" s="14" t="str">
        <f>INSCRITOS!O137</f>
        <v>DUELO</v>
      </c>
      <c r="B173" s="12" t="str">
        <f t="shared" si="4"/>
        <v>https://centrodecapacitaciondelsur.com/manejo-del-duelo-</v>
      </c>
      <c r="C173" s="14">
        <f>INSCRITOS!B137</f>
        <v>1088737698</v>
      </c>
      <c r="D173" t="str">
        <f t="shared" si="5"/>
        <v>https://centrodecapacitaciondelsur.com/manejo-del-duelo-1088737698/</v>
      </c>
    </row>
    <row r="174" spans="1:4" ht="119.25" customHeight="1" x14ac:dyDescent="0.25">
      <c r="A174" s="14" t="str">
        <f>INSCRITOS!O138</f>
        <v>QUIMICOS</v>
      </c>
      <c r="B174" s="12" t="str">
        <f t="shared" si="4"/>
        <v>https://centrodecapacitaciondelsur.com/victimas-por-agentes-quimicos-</v>
      </c>
      <c r="C174" s="14">
        <f>INSCRITOS!B138</f>
        <v>1026279761</v>
      </c>
      <c r="D174" t="str">
        <f t="shared" si="5"/>
        <v>https://centrodecapacitaciondelsur.com/victimas-por-agentes-quimicos-1026279761/</v>
      </c>
    </row>
    <row r="175" spans="1:4" ht="119.25" customHeight="1" x14ac:dyDescent="0.25">
      <c r="A175" s="14" t="str">
        <f>INSCRITOS!O139</f>
        <v>DUELO</v>
      </c>
      <c r="B175" s="12" t="str">
        <f t="shared" si="4"/>
        <v>https://centrodecapacitaciondelsur.com/manejo-del-duelo-</v>
      </c>
      <c r="C175" s="14">
        <f>INSCRITOS!B139</f>
        <v>1030632213</v>
      </c>
      <c r="D175" t="str">
        <f t="shared" si="5"/>
        <v>https://centrodecapacitaciondelsur.com/manejo-del-duelo-1030632213/</v>
      </c>
    </row>
    <row r="176" spans="1:4" ht="119.25" customHeight="1" x14ac:dyDescent="0.25">
      <c r="A176" s="14" t="str">
        <f>INSCRITOS!O140</f>
        <v>VIOLENCIA SEXUAL</v>
      </c>
      <c r="B176" s="12" t="str">
        <f t="shared" si="4"/>
        <v>https://centrodecapacitaciondelsur.com/violencia-sexual-</v>
      </c>
      <c r="C176" s="14">
        <f>INSCRITOS!B140</f>
        <v>1032409516</v>
      </c>
      <c r="D176" t="str">
        <f t="shared" si="5"/>
        <v>https://centrodecapacitaciondelsur.com/violencia-sexual-1032409516/</v>
      </c>
    </row>
    <row r="177" spans="1:4" ht="119.25" customHeight="1" x14ac:dyDescent="0.25">
      <c r="A177" s="14" t="str">
        <f>INSCRITOS!O141</f>
        <v>QUIMICOS</v>
      </c>
      <c r="B177" s="12" t="str">
        <f t="shared" si="4"/>
        <v>https://centrodecapacitaciondelsur.com/victimas-por-agentes-quimicos-</v>
      </c>
      <c r="C177" s="14">
        <f>INSCRITOS!B141</f>
        <v>1126564505</v>
      </c>
      <c r="D177" t="str">
        <f t="shared" si="5"/>
        <v>https://centrodecapacitaciondelsur.com/victimas-por-agentes-quimicos-1126564505/</v>
      </c>
    </row>
    <row r="178" spans="1:4" ht="119.25" customHeight="1" x14ac:dyDescent="0.25">
      <c r="A178" s="14" t="str">
        <f>INSCRITOS!O142</f>
        <v>DUELO</v>
      </c>
      <c r="B178" s="12" t="str">
        <f t="shared" si="4"/>
        <v>https://centrodecapacitaciondelsur.com/manejo-del-duelo-</v>
      </c>
      <c r="C178" s="14">
        <f>INSCRITOS!B142</f>
        <v>1126564505</v>
      </c>
      <c r="D178" t="str">
        <f t="shared" si="5"/>
        <v>https://centrodecapacitaciondelsur.com/manejo-del-duelo-1126564505/</v>
      </c>
    </row>
    <row r="179" spans="1:4" ht="119.25" customHeight="1" x14ac:dyDescent="0.25">
      <c r="A179" s="14" t="str">
        <f>INSCRITOS!O143</f>
        <v>BLS</v>
      </c>
      <c r="B179" s="12" t="str">
        <f t="shared" si="4"/>
        <v>https://centrodecapacitaciondelsur.com/soporte-basico-de-vida-</v>
      </c>
      <c r="C179" s="14">
        <f>INSCRITOS!B143</f>
        <v>1085268924</v>
      </c>
      <c r="D179" t="str">
        <f t="shared" si="5"/>
        <v>https://centrodecapacitaciondelsur.com/soporte-basico-de-vida-1085268924/</v>
      </c>
    </row>
    <row r="180" spans="1:4" ht="119.25" customHeight="1" x14ac:dyDescent="0.25">
      <c r="A180" s="14" t="str">
        <f>INSCRITOS!O144</f>
        <v>QUIMICOS</v>
      </c>
      <c r="B180" s="12" t="str">
        <f t="shared" si="4"/>
        <v>https://centrodecapacitaciondelsur.com/victimas-por-agentes-quimicos-</v>
      </c>
      <c r="C180" s="14">
        <f>INSCRITOS!B144</f>
        <v>1087423618</v>
      </c>
      <c r="D180" t="str">
        <f t="shared" si="5"/>
        <v>https://centrodecapacitaciondelsur.com/victimas-por-agentes-quimicos-1087423618/</v>
      </c>
    </row>
    <row r="181" spans="1:4" ht="119.25" customHeight="1" x14ac:dyDescent="0.25">
      <c r="A181" s="14" t="str">
        <f>INSCRITOS!O145</f>
        <v>DUELO</v>
      </c>
      <c r="B181" s="12" t="str">
        <f t="shared" si="4"/>
        <v>https://centrodecapacitaciondelsur.com/manejo-del-duelo-</v>
      </c>
      <c r="C181" s="14">
        <f>INSCRITOS!B145</f>
        <v>1087423618</v>
      </c>
      <c r="D181" t="str">
        <f t="shared" si="5"/>
        <v>https://centrodecapacitaciondelsur.com/manejo-del-duelo-1087423618/</v>
      </c>
    </row>
    <row r="182" spans="1:4" ht="119.25" customHeight="1" x14ac:dyDescent="0.25">
      <c r="A182" s="14" t="str">
        <f>INSCRITOS!O146</f>
        <v>VIOLENCIA SEXUAL</v>
      </c>
      <c r="B182" s="12" t="str">
        <f t="shared" si="4"/>
        <v>https://centrodecapacitaciondelsur.com/violencia-sexual-</v>
      </c>
      <c r="C182" s="14">
        <f>INSCRITOS!B146</f>
        <v>1088729515</v>
      </c>
      <c r="D182" t="str">
        <f t="shared" si="5"/>
        <v>https://centrodecapacitaciondelsur.com/violencia-sexual-1088729515/</v>
      </c>
    </row>
    <row r="183" spans="1:4" ht="119.25" customHeight="1" x14ac:dyDescent="0.25">
      <c r="A183" s="14" t="str">
        <f>INSCRITOS!O147</f>
        <v>BLS</v>
      </c>
      <c r="B183" s="12" t="str">
        <f t="shared" si="4"/>
        <v>https://centrodecapacitaciondelsur.com/soporte-basico-de-vida-</v>
      </c>
      <c r="C183" s="14">
        <f>INSCRITOS!B147</f>
        <v>1088736947</v>
      </c>
      <c r="D183" t="str">
        <f t="shared" si="5"/>
        <v>https://centrodecapacitaciondelsur.com/soporte-basico-de-vida-1088736947/</v>
      </c>
    </row>
    <row r="184" spans="1:4" ht="119.25" customHeight="1" x14ac:dyDescent="0.25">
      <c r="A184" s="14" t="str">
        <f>INSCRITOS!O148</f>
        <v>BLS</v>
      </c>
      <c r="B184" s="12" t="str">
        <f t="shared" si="4"/>
        <v>https://centrodecapacitaciondelsur.com/soporte-basico-de-vida-</v>
      </c>
      <c r="C184" s="14">
        <f>INSCRITOS!B148</f>
        <v>1088738633</v>
      </c>
      <c r="D184" t="str">
        <f t="shared" si="5"/>
        <v>https://centrodecapacitaciondelsur.com/soporte-basico-de-vida-1088738633/</v>
      </c>
    </row>
    <row r="185" spans="1:4" ht="119.25" customHeight="1" x14ac:dyDescent="0.25">
      <c r="A185" s="14" t="str">
        <f>INSCRITOS!O149</f>
        <v>DUELO</v>
      </c>
      <c r="B185" s="12" t="str">
        <f t="shared" si="4"/>
        <v>https://centrodecapacitaciondelsur.com/manejo-del-duelo-</v>
      </c>
      <c r="C185" s="14">
        <f>INSCRITOS!B149</f>
        <v>1085338867</v>
      </c>
      <c r="D185" t="str">
        <f t="shared" si="5"/>
        <v>https://centrodecapacitaciondelsur.com/manejo-del-duelo-1085338867/</v>
      </c>
    </row>
    <row r="186" spans="1:4" ht="119.25" customHeight="1" x14ac:dyDescent="0.25">
      <c r="A186" s="14" t="str">
        <f>INSCRITOS!O150</f>
        <v>BLS</v>
      </c>
      <c r="B186" s="12" t="str">
        <f t="shared" si="4"/>
        <v>https://centrodecapacitaciondelsur.com/soporte-basico-de-vida-</v>
      </c>
      <c r="C186" s="14">
        <f>INSCRITOS!B150</f>
        <v>1085268924</v>
      </c>
      <c r="D186" t="str">
        <f t="shared" si="5"/>
        <v>https://centrodecapacitaciondelsur.com/soporte-basico-de-vida-1085268924/</v>
      </c>
    </row>
    <row r="187" spans="1:4" ht="119.25" customHeight="1" x14ac:dyDescent="0.25">
      <c r="A187" s="14" t="str">
        <f>INSCRITOS!O151</f>
        <v>BLS</v>
      </c>
      <c r="B187" s="12" t="str">
        <f t="shared" si="4"/>
        <v>https://centrodecapacitaciondelsur.com/soporte-basico-de-vida-</v>
      </c>
      <c r="C187" s="14">
        <f>INSCRITOS!B151</f>
        <v>1087406886</v>
      </c>
      <c r="D187" t="str">
        <f t="shared" si="5"/>
        <v>https://centrodecapacitaciondelsur.com/soporte-basico-de-vida-1087406886/</v>
      </c>
    </row>
    <row r="188" spans="1:4" ht="119.25" customHeight="1" x14ac:dyDescent="0.25">
      <c r="A188" s="14" t="str">
        <f>INSCRITOS!O152</f>
        <v>PALIATIVOS</v>
      </c>
      <c r="B188" s="12" t="str">
        <f t="shared" si="4"/>
        <v>https://centrodecapacitaciondelsur.com/manejo-del-dolor-y-cuidados-paliativos-</v>
      </c>
      <c r="C188" s="14">
        <f>INSCRITOS!B152</f>
        <v>1085326769</v>
      </c>
      <c r="D188" t="str">
        <f t="shared" si="5"/>
        <v>https://centrodecapacitaciondelsur.com/manejo-del-dolor-y-cuidados-paliativos-1085326769/</v>
      </c>
    </row>
    <row r="189" spans="1:4" ht="119.25" customHeight="1" x14ac:dyDescent="0.25">
      <c r="A189" s="14" t="str">
        <f>INSCRITOS!O153</f>
        <v>QUIMICOS</v>
      </c>
      <c r="B189" s="12" t="str">
        <f t="shared" si="4"/>
        <v>https://centrodecapacitaciondelsur.com/victimas-por-agentes-quimicos-</v>
      </c>
      <c r="C189" s="14">
        <f>INSCRITOS!B153</f>
        <v>1032424255</v>
      </c>
      <c r="D189" t="str">
        <f t="shared" si="5"/>
        <v>https://centrodecapacitaciondelsur.com/victimas-por-agentes-quimicos-1032424255/</v>
      </c>
    </row>
    <row r="190" spans="1:4" ht="119.25" customHeight="1" x14ac:dyDescent="0.25">
      <c r="A190" s="14" t="str">
        <f>INSCRITOS!O154</f>
        <v>BLS</v>
      </c>
      <c r="B190" s="12" t="str">
        <f t="shared" si="4"/>
        <v>https://centrodecapacitaciondelsur.com/soporte-basico-de-vida-</v>
      </c>
      <c r="C190" s="14">
        <f>INSCRITOS!B154</f>
        <v>87712381</v>
      </c>
      <c r="D190" t="str">
        <f t="shared" si="5"/>
        <v>https://centrodecapacitaciondelsur.com/soporte-basico-de-vida-87712381/</v>
      </c>
    </row>
    <row r="191" spans="1:4" ht="119.25" customHeight="1" x14ac:dyDescent="0.25">
      <c r="A191" s="14" t="str">
        <f>INSCRITOS!O155</f>
        <v>BLS</v>
      </c>
      <c r="B191" s="12" t="str">
        <f t="shared" si="4"/>
        <v>https://centrodecapacitaciondelsur.com/soporte-basico-de-vida-</v>
      </c>
      <c r="C191" s="14">
        <f>INSCRITOS!B155</f>
        <v>1085338867</v>
      </c>
      <c r="D191" t="str">
        <f t="shared" si="5"/>
        <v>https://centrodecapacitaciondelsur.com/soporte-basico-de-vida-1085338867/</v>
      </c>
    </row>
    <row r="192" spans="1:4" ht="119.25" customHeight="1" x14ac:dyDescent="0.25">
      <c r="A192" s="14" t="str">
        <f>INSCRITOS!O156</f>
        <v>QUIMICOS</v>
      </c>
      <c r="B192" s="12" t="str">
        <f t="shared" si="4"/>
        <v>https://centrodecapacitaciondelsur.com/victimas-por-agentes-quimicos-</v>
      </c>
      <c r="C192" s="14">
        <f>INSCRITOS!B156</f>
        <v>1085338867</v>
      </c>
      <c r="D192" t="str">
        <f t="shared" si="5"/>
        <v>https://centrodecapacitaciondelsur.com/victimas-por-agentes-quimicos-1085338867/</v>
      </c>
    </row>
    <row r="193" spans="1:4" ht="119.25" customHeight="1" x14ac:dyDescent="0.25">
      <c r="A193" s="14" t="str">
        <f>INSCRITOS!O157</f>
        <v>VIOLENCIA SEXUAL</v>
      </c>
      <c r="B193" s="12" t="str">
        <f t="shared" si="4"/>
        <v>https://centrodecapacitaciondelsur.com/violencia-sexual-</v>
      </c>
      <c r="C193" s="14">
        <f>INSCRITOS!B157</f>
        <v>1085338867</v>
      </c>
      <c r="D193" t="str">
        <f t="shared" si="5"/>
        <v>https://centrodecapacitaciondelsur.com/violencia-sexual-1085338867/</v>
      </c>
    </row>
    <row r="194" spans="1:4" ht="119.25" customHeight="1" x14ac:dyDescent="0.25">
      <c r="A194" s="14" t="str">
        <f>INSCRITOS!O158</f>
        <v>BLS</v>
      </c>
      <c r="B194" s="12" t="str">
        <f t="shared" si="4"/>
        <v>https://centrodecapacitaciondelsur.com/soporte-basico-de-vida-</v>
      </c>
      <c r="C194" s="14">
        <f>INSCRITOS!B158</f>
        <v>9145323</v>
      </c>
      <c r="D194" t="str">
        <f t="shared" si="5"/>
        <v>https://centrodecapacitaciondelsur.com/soporte-basico-de-vida-9145323/</v>
      </c>
    </row>
    <row r="195" spans="1:4" ht="119.25" customHeight="1" x14ac:dyDescent="0.25">
      <c r="A195" s="14" t="str">
        <f>INSCRITOS!O159</f>
        <v>VIOLENCIA SEXUAL</v>
      </c>
      <c r="B195" s="12" t="str">
        <f t="shared" si="4"/>
        <v>https://centrodecapacitaciondelsur.com/violencia-sexual-</v>
      </c>
      <c r="C195" s="14">
        <f>INSCRITOS!B159</f>
        <v>9145323</v>
      </c>
      <c r="D195" t="str">
        <f t="shared" si="5"/>
        <v>https://centrodecapacitaciondelsur.com/violencia-sexual-9145323/</v>
      </c>
    </row>
    <row r="196" spans="1:4" ht="119.25" customHeight="1" x14ac:dyDescent="0.25">
      <c r="A196" s="14" t="str">
        <f>INSCRITOS!O160</f>
        <v>DUELO</v>
      </c>
      <c r="B196" s="12" t="str">
        <f t="shared" si="4"/>
        <v>https://centrodecapacitaciondelsur.com/manejo-del-duelo-</v>
      </c>
      <c r="C196" s="14">
        <f>INSCRITOS!B160</f>
        <v>9145323</v>
      </c>
      <c r="D196" t="str">
        <f t="shared" si="5"/>
        <v>https://centrodecapacitaciondelsur.com/manejo-del-duelo-9145323/</v>
      </c>
    </row>
    <row r="197" spans="1:4" ht="119.25" customHeight="1" x14ac:dyDescent="0.25">
      <c r="A197" s="14" t="str">
        <f>INSCRITOS!O161</f>
        <v>QUIMICOS</v>
      </c>
      <c r="B197" s="12" t="str">
        <f t="shared" si="4"/>
        <v>https://centrodecapacitaciondelsur.com/victimas-por-agentes-quimicos-</v>
      </c>
      <c r="C197" s="14">
        <f>INSCRITOS!B161</f>
        <v>9145323</v>
      </c>
      <c r="D197" t="str">
        <f t="shared" si="5"/>
        <v>https://centrodecapacitaciondelsur.com/victimas-por-agentes-quimicos-9145323/</v>
      </c>
    </row>
    <row r="198" spans="1:4" ht="119.25" customHeight="1" x14ac:dyDescent="0.25">
      <c r="A198" s="14" t="str">
        <f>INSCRITOS!O162</f>
        <v>IAMI</v>
      </c>
      <c r="B198" s="12" t="str">
        <f t="shared" si="4"/>
        <v>https://centrodecapacitaciondelsur.com/iami-</v>
      </c>
      <c r="C198" s="14">
        <f>INSCRITOS!B162</f>
        <v>1085287535</v>
      </c>
      <c r="D198" t="str">
        <f t="shared" si="5"/>
        <v>https://centrodecapacitaciondelsur.com/iami-1085287535/</v>
      </c>
    </row>
    <row r="199" spans="1:4" ht="119.25" customHeight="1" x14ac:dyDescent="0.25">
      <c r="A199" s="14" t="str">
        <f>INSCRITOS!O163</f>
        <v>AIEPI</v>
      </c>
      <c r="B199" s="12" t="str">
        <f t="shared" si="4"/>
        <v>https://centrodecapacitaciondelsur.com/aiepi-</v>
      </c>
      <c r="C199" s="14">
        <f>INSCRITOS!B163</f>
        <v>1085287535</v>
      </c>
      <c r="D199" t="str">
        <f t="shared" si="5"/>
        <v>https://centrodecapacitaciondelsur.com/aiepi-1085287535/</v>
      </c>
    </row>
    <row r="200" spans="1:4" ht="119.25" customHeight="1" x14ac:dyDescent="0.25">
      <c r="A200" s="14" t="str">
        <f>INSCRITOS!O164</f>
        <v>VIOLENCIA SEXUAL</v>
      </c>
      <c r="B200" s="12" t="str">
        <f t="shared" si="4"/>
        <v>https://centrodecapacitaciondelsur.com/violencia-sexual-</v>
      </c>
      <c r="C200" s="14">
        <f>INSCRITOS!B164</f>
        <v>1085287535</v>
      </c>
      <c r="D200" t="str">
        <f t="shared" si="5"/>
        <v>https://centrodecapacitaciondelsur.com/violencia-sexual-1085287535/</v>
      </c>
    </row>
    <row r="201" spans="1:4" ht="119.25" customHeight="1" x14ac:dyDescent="0.25">
      <c r="A201" s="14" t="str">
        <f>INSCRITOS!O165</f>
        <v>BLS</v>
      </c>
      <c r="B201" s="12" t="str">
        <f t="shared" si="4"/>
        <v>https://centrodecapacitaciondelsur.com/soporte-basico-de-vida-</v>
      </c>
      <c r="C201" s="14">
        <f>INSCRITOS!B165</f>
        <v>1004714482</v>
      </c>
      <c r="D201" t="str">
        <f t="shared" si="5"/>
        <v>https://centrodecapacitaciondelsur.com/soporte-basico-de-vida-1004714482/</v>
      </c>
    </row>
    <row r="202" spans="1:4" ht="119.25" customHeight="1" x14ac:dyDescent="0.25">
      <c r="A202" s="14" t="str">
        <f>INSCRITOS!O166</f>
        <v>QUIMICOS</v>
      </c>
      <c r="B202" s="12" t="str">
        <f t="shared" si="4"/>
        <v>https://centrodecapacitaciondelsur.com/victimas-por-agentes-quimicos-</v>
      </c>
      <c r="C202" s="14">
        <f>INSCRITOS!B166</f>
        <v>1004714482</v>
      </c>
      <c r="D202" t="str">
        <f t="shared" si="5"/>
        <v>https://centrodecapacitaciondelsur.com/victimas-por-agentes-quimicos-1004714482/</v>
      </c>
    </row>
    <row r="203" spans="1:4" ht="119.25" customHeight="1" x14ac:dyDescent="0.25">
      <c r="A203" s="14" t="str">
        <f>INSCRITOS!O167</f>
        <v>VIOLENCIA SEXUAL</v>
      </c>
      <c r="B203" s="12" t="str">
        <f t="shared" si="4"/>
        <v>https://centrodecapacitaciondelsur.com/violencia-sexual-</v>
      </c>
      <c r="C203" s="14">
        <f>INSCRITOS!B167</f>
        <v>1004714482</v>
      </c>
      <c r="D203" t="str">
        <f t="shared" si="5"/>
        <v>https://centrodecapacitaciondelsur.com/violencia-sexual-1004714482/</v>
      </c>
    </row>
    <row r="204" spans="1:4" ht="119.25" customHeight="1" x14ac:dyDescent="0.25">
      <c r="A204" s="14" t="str">
        <f>INSCRITOS!O168</f>
        <v>DUELO</v>
      </c>
      <c r="B204" s="12" t="str">
        <f t="shared" si="4"/>
        <v>https://centrodecapacitaciondelsur.com/manejo-del-duelo-</v>
      </c>
      <c r="C204" s="14">
        <f>INSCRITOS!B168</f>
        <v>1004714482</v>
      </c>
      <c r="D204" t="str">
        <f t="shared" si="5"/>
        <v>https://centrodecapacitaciondelsur.com/manejo-del-duelo-1004714482/</v>
      </c>
    </row>
    <row r="205" spans="1:4" ht="119.25" customHeight="1" x14ac:dyDescent="0.25">
      <c r="A205" s="14" t="str">
        <f>INSCRITOS!O169</f>
        <v>ADMON DE MEDICAMENTOS</v>
      </c>
      <c r="B205" s="12" t="str">
        <f t="shared" si="4"/>
        <v>https://centrodecapacitaciondelsur.com/adm-medicamentos-canalizacion-inyectologia-</v>
      </c>
      <c r="C205" s="14">
        <f>INSCRITOS!B169</f>
        <v>1233188280</v>
      </c>
      <c r="D205" t="str">
        <f t="shared" si="5"/>
        <v>https://centrodecapacitaciondelsur.com/adm-medicamentos-canalizacion-inyectologia-1233188280/</v>
      </c>
    </row>
    <row r="206" spans="1:4" ht="119.25" customHeight="1" x14ac:dyDescent="0.25">
      <c r="A206" s="14" t="str">
        <f>INSCRITOS!O170</f>
        <v>ADMON DE MEDICAMENTOS</v>
      </c>
      <c r="B206" s="12" t="str">
        <f t="shared" si="4"/>
        <v>https://centrodecapacitaciondelsur.com/adm-medicamentos-canalizacion-inyectologia-</v>
      </c>
      <c r="C206" s="14">
        <f>INSCRITOS!B170</f>
        <v>1085294516</v>
      </c>
      <c r="D206" t="str">
        <f t="shared" si="5"/>
        <v>https://centrodecapacitaciondelsur.com/adm-medicamentos-canalizacion-inyectologia-1085294516/</v>
      </c>
    </row>
    <row r="207" spans="1:4" ht="119.25" customHeight="1" x14ac:dyDescent="0.25">
      <c r="A207" s="14" t="str">
        <f>INSCRITOS!O171</f>
        <v>ADMON DE MEDICAMENTOS</v>
      </c>
      <c r="B207" s="12" t="str">
        <f t="shared" si="4"/>
        <v>https://centrodecapacitaciondelsur.com/adm-medicamentos-canalizacion-inyectologia-</v>
      </c>
      <c r="C207" s="14">
        <f>INSCRITOS!B171</f>
        <v>30745533</v>
      </c>
      <c r="D207" t="str">
        <f t="shared" si="5"/>
        <v>https://centrodecapacitaciondelsur.com/adm-medicamentos-canalizacion-inyectologia-30745533/</v>
      </c>
    </row>
    <row r="208" spans="1:4" ht="119.25" customHeight="1" x14ac:dyDescent="0.25">
      <c r="A208" s="14" t="str">
        <f>INSCRITOS!O172</f>
        <v>VIOLENCIA SEXUAL</v>
      </c>
      <c r="B208" s="12" t="str">
        <f t="shared" si="4"/>
        <v>https://centrodecapacitaciondelsur.com/violencia-sexual-</v>
      </c>
      <c r="C208" s="14">
        <f>INSCRITOS!B172</f>
        <v>1080040338</v>
      </c>
      <c r="D208" t="str">
        <f t="shared" si="5"/>
        <v>https://centrodecapacitaciondelsur.com/violencia-sexual-1080040338/</v>
      </c>
    </row>
    <row r="209" spans="1:4" ht="119.25" customHeight="1" x14ac:dyDescent="0.25">
      <c r="A209" s="14" t="str">
        <f>INSCRITOS!O173</f>
        <v>DUELO</v>
      </c>
      <c r="B209" s="12" t="str">
        <f t="shared" si="4"/>
        <v>https://centrodecapacitaciondelsur.com/manejo-del-duelo-</v>
      </c>
      <c r="C209" s="14">
        <f>INSCRITOS!B173</f>
        <v>1080040338</v>
      </c>
      <c r="D209" t="str">
        <f t="shared" si="5"/>
        <v>https://centrodecapacitaciondelsur.com/manejo-del-duelo-1080040338/</v>
      </c>
    </row>
    <row r="210" spans="1:4" ht="119.25" customHeight="1" x14ac:dyDescent="0.25">
      <c r="A210" s="14" t="str">
        <f>INSCRITOS!O174</f>
        <v>QUIMICOS</v>
      </c>
      <c r="B210" s="12" t="str">
        <f t="shared" si="4"/>
        <v>https://centrodecapacitaciondelsur.com/victimas-por-agentes-quimicos-</v>
      </c>
      <c r="C210" s="14">
        <f>INSCRITOS!B174</f>
        <v>1080040338</v>
      </c>
      <c r="D210" t="str">
        <f t="shared" si="5"/>
        <v>https://centrodecapacitaciondelsur.com/victimas-por-agentes-quimicos-1080040338/</v>
      </c>
    </row>
    <row r="211" spans="1:4" ht="119.25" customHeight="1" x14ac:dyDescent="0.25">
      <c r="A211" s="14" t="str">
        <f>INSCRITOS!O175</f>
        <v>BLS</v>
      </c>
      <c r="B211" s="12" t="str">
        <f t="shared" si="4"/>
        <v>https://centrodecapacitaciondelsur.com/soporte-basico-de-vida-</v>
      </c>
      <c r="C211" s="14">
        <f>INSCRITOS!B175</f>
        <v>1080040338</v>
      </c>
      <c r="D211" t="str">
        <f t="shared" si="5"/>
        <v>https://centrodecapacitaciondelsur.com/soporte-basico-de-vida-1080040338/</v>
      </c>
    </row>
    <row r="212" spans="1:4" ht="119.25" customHeight="1" x14ac:dyDescent="0.25">
      <c r="A212" s="14" t="str">
        <f>INSCRITOS!O176</f>
        <v>ADMON DE MEDICAMENTOS</v>
      </c>
      <c r="B212" s="12" t="str">
        <f t="shared" si="4"/>
        <v>https://centrodecapacitaciondelsur.com/adm-medicamentos-canalizacion-inyectologia-</v>
      </c>
      <c r="C212" s="14">
        <f>INSCRITOS!B176</f>
        <v>1080040338</v>
      </c>
      <c r="D212" t="str">
        <f t="shared" si="5"/>
        <v>https://centrodecapacitaciondelsur.com/adm-medicamentos-canalizacion-inyectologia-1080040338/</v>
      </c>
    </row>
    <row r="213" spans="1:4" ht="119.25" customHeight="1" x14ac:dyDescent="0.25">
      <c r="A213" s="14" t="str">
        <f>INSCRITOS!O177</f>
        <v>PRIMEROS AUXILIOS</v>
      </c>
      <c r="B213" s="12" t="str">
        <f t="shared" si="4"/>
        <v>https://centrodecapacitaciondelsur.com/primeros-auxilios-</v>
      </c>
      <c r="C213" s="14">
        <f>INSCRITOS!B177</f>
        <v>1085263279</v>
      </c>
      <c r="D213" t="str">
        <f t="shared" si="5"/>
        <v>https://centrodecapacitaciondelsur.com/primeros-auxilios-1085263279/</v>
      </c>
    </row>
    <row r="214" spans="1:4" ht="119.25" customHeight="1" x14ac:dyDescent="0.25">
      <c r="A214" s="14" t="str">
        <f>INSCRITOS!O178</f>
        <v>PRIMEROS AUXILIOS</v>
      </c>
      <c r="B214" s="12" t="str">
        <f t="shared" si="4"/>
        <v>https://centrodecapacitaciondelsur.com/primeros-auxilios-</v>
      </c>
      <c r="C214" s="14">
        <f>INSCRITOS!B178</f>
        <v>1085307303</v>
      </c>
      <c r="D214" t="str">
        <f t="shared" si="5"/>
        <v>https://centrodecapacitaciondelsur.com/primeros-auxilios-1085307303/</v>
      </c>
    </row>
    <row r="215" spans="1:4" ht="119.25" customHeight="1" x14ac:dyDescent="0.25">
      <c r="A215" s="14" t="str">
        <f>INSCRITOS!O179</f>
        <v>PRIMEROS AUXILIOS</v>
      </c>
      <c r="B215" s="12" t="str">
        <f t="shared" si="4"/>
        <v>https://centrodecapacitaciondelsur.com/primeros-auxilios-</v>
      </c>
      <c r="C215" s="14">
        <f>INSCRITOS!B179</f>
        <v>1085334688</v>
      </c>
      <c r="D215" t="str">
        <f t="shared" si="5"/>
        <v>https://centrodecapacitaciondelsur.com/primeros-auxilios-1085334688/</v>
      </c>
    </row>
    <row r="216" spans="1:4" ht="119.25" customHeight="1" x14ac:dyDescent="0.25">
      <c r="A216" s="14" t="str">
        <f>INSCRITOS!O180</f>
        <v>PRIMEROS AUXILIOS</v>
      </c>
      <c r="B216" s="12" t="str">
        <f t="shared" si="4"/>
        <v>https://centrodecapacitaciondelsur.com/primeros-auxilios-</v>
      </c>
      <c r="C216" s="14">
        <f>INSCRITOS!B180</f>
        <v>1081272059</v>
      </c>
      <c r="D216" t="str">
        <f t="shared" si="5"/>
        <v>https://centrodecapacitaciondelsur.com/primeros-auxilios-1081272059/</v>
      </c>
    </row>
    <row r="217" spans="1:4" ht="119.25" customHeight="1" x14ac:dyDescent="0.25">
      <c r="A217" s="14" t="str">
        <f>INSCRITOS!O181</f>
        <v>PRIMEROS AUXILIOS</v>
      </c>
      <c r="B217" s="12" t="str">
        <f t="shared" si="4"/>
        <v>https://centrodecapacitaciondelsur.com/primeros-auxilios-</v>
      </c>
      <c r="C217" s="14">
        <f>INSCRITOS!B181</f>
        <v>1085259390</v>
      </c>
      <c r="D217" t="str">
        <f t="shared" si="5"/>
        <v>https://centrodecapacitaciondelsur.com/primeros-auxilios-1085259390/</v>
      </c>
    </row>
    <row r="218" spans="1:4" ht="119.25" customHeight="1" x14ac:dyDescent="0.25">
      <c r="A218" s="14" t="str">
        <f>INSCRITOS!O182</f>
        <v>PRIMEROS AUXILIOS</v>
      </c>
      <c r="B218" s="12" t="str">
        <f t="shared" si="4"/>
        <v>https://centrodecapacitaciondelsur.com/primeros-auxilios-</v>
      </c>
      <c r="C218" s="14">
        <f>INSCRITOS!B182</f>
        <v>37085165</v>
      </c>
      <c r="D218" t="str">
        <f t="shared" si="5"/>
        <v>https://centrodecapacitaciondelsur.com/primeros-auxilios-37085165/</v>
      </c>
    </row>
    <row r="219" spans="1:4" ht="119.25" customHeight="1" x14ac:dyDescent="0.25">
      <c r="A219" s="14" t="str">
        <f>INSCRITOS!O183</f>
        <v>PRIMEROS AUXILIOS</v>
      </c>
      <c r="B219" s="12" t="str">
        <f t="shared" si="4"/>
        <v>https://centrodecapacitaciondelsur.com/primeros-auxilios-</v>
      </c>
      <c r="C219" s="14">
        <f>INSCRITOS!B183</f>
        <v>1080052481</v>
      </c>
      <c r="D219" t="str">
        <f t="shared" si="5"/>
        <v>https://centrodecapacitaciondelsur.com/primeros-auxilios-1080052481/</v>
      </c>
    </row>
    <row r="220" spans="1:4" ht="119.25" customHeight="1" x14ac:dyDescent="0.25">
      <c r="A220" s="14" t="str">
        <f>INSCRITOS!O184</f>
        <v>PRIMEROS AUXILIOS</v>
      </c>
      <c r="B220" s="12" t="str">
        <f t="shared" si="4"/>
        <v>https://centrodecapacitaciondelsur.com/primeros-auxilios-</v>
      </c>
      <c r="C220" s="14">
        <f>INSCRITOS!B184</f>
        <v>30735622</v>
      </c>
      <c r="D220" t="str">
        <f t="shared" si="5"/>
        <v>https://centrodecapacitaciondelsur.com/primeros-auxilios-30735622/</v>
      </c>
    </row>
    <row r="221" spans="1:4" ht="119.25" customHeight="1" x14ac:dyDescent="0.25">
      <c r="A221" s="14" t="str">
        <f>INSCRITOS!O185</f>
        <v>VIOLENCIA SEXUAL</v>
      </c>
      <c r="B221" s="12" t="str">
        <f t="shared" si="4"/>
        <v>https://centrodecapacitaciondelsur.com/violencia-sexual-</v>
      </c>
      <c r="C221" s="14">
        <f>INSCRITOS!B185</f>
        <v>1006997979</v>
      </c>
      <c r="D221" t="str">
        <f t="shared" si="5"/>
        <v>https://centrodecapacitaciondelsur.com/violencia-sexual-1006997979/</v>
      </c>
    </row>
    <row r="222" spans="1:4" ht="119.25" customHeight="1" x14ac:dyDescent="0.25">
      <c r="A222" s="14" t="str">
        <f>INSCRITOS!O186</f>
        <v>QUIMICOS</v>
      </c>
      <c r="B222" s="12" t="str">
        <f t="shared" si="4"/>
        <v>https://centrodecapacitaciondelsur.com/victimas-por-agentes-quimicos-</v>
      </c>
      <c r="C222" s="14">
        <f>INSCRITOS!B186</f>
        <v>1006997979</v>
      </c>
      <c r="D222" t="str">
        <f t="shared" si="5"/>
        <v>https://centrodecapacitaciondelsur.com/victimas-por-agentes-quimicos-1006997979/</v>
      </c>
    </row>
    <row r="223" spans="1:4" ht="119.25" customHeight="1" x14ac:dyDescent="0.25">
      <c r="A223" s="14" t="str">
        <f>INSCRITOS!O187</f>
        <v>BLS</v>
      </c>
      <c r="B223" s="12" t="str">
        <f t="shared" si="4"/>
        <v>https://centrodecapacitaciondelsur.com/soporte-basico-de-vida-</v>
      </c>
      <c r="C223" s="14">
        <f>INSCRITOS!B187</f>
        <v>1006997979</v>
      </c>
      <c r="D223" t="str">
        <f t="shared" si="5"/>
        <v>https://centrodecapacitaciondelsur.com/soporte-basico-de-vida-1006997979/</v>
      </c>
    </row>
    <row r="224" spans="1:4" ht="119.25" customHeight="1" x14ac:dyDescent="0.25">
      <c r="A224" s="14" t="str">
        <f>INSCRITOS!O188</f>
        <v>BLS</v>
      </c>
      <c r="B224" s="12" t="str">
        <f t="shared" si="4"/>
        <v>https://centrodecapacitaciondelsur.com/soporte-basico-de-vida-</v>
      </c>
      <c r="C224" s="14">
        <f>INSCRITOS!B188</f>
        <v>59796045</v>
      </c>
      <c r="D224" t="str">
        <f t="shared" si="5"/>
        <v>https://centrodecapacitaciondelsur.com/soporte-basico-de-vida-59796045/</v>
      </c>
    </row>
    <row r="225" spans="1:4" ht="119.25" customHeight="1" x14ac:dyDescent="0.25">
      <c r="A225" s="14" t="str">
        <f>INSCRITOS!O189</f>
        <v>PRIMEROS AUXILIOS</v>
      </c>
      <c r="B225" s="12" t="str">
        <f t="shared" si="4"/>
        <v>https://centrodecapacitaciondelsur.com/primeros-auxilios-</v>
      </c>
      <c r="C225" s="14">
        <f>INSCRITOS!B189</f>
        <v>1086358980</v>
      </c>
      <c r="D225" t="str">
        <f t="shared" si="5"/>
        <v>https://centrodecapacitaciondelsur.com/primeros-auxilios-1086358980/</v>
      </c>
    </row>
    <row r="226" spans="1:4" ht="119.25" customHeight="1" x14ac:dyDescent="0.25">
      <c r="A226" s="14" t="str">
        <f>INSCRITOS!O190</f>
        <v>PRIMEROS AUXILIOS P</v>
      </c>
      <c r="B226" s="12" t="s">
        <v>549</v>
      </c>
      <c r="C226" s="14">
        <f>INSCRITOS!B190</f>
        <v>1086358980</v>
      </c>
      <c r="D226" t="str">
        <f t="shared" si="5"/>
        <v>https://centrodecapacitaciondelsur.com/primeros-aux-psicologicos-1086358980/</v>
      </c>
    </row>
    <row r="227" spans="1:4" ht="119.25" customHeight="1" x14ac:dyDescent="0.25">
      <c r="A227" s="14" t="str">
        <f>INSCRITOS!O191</f>
        <v>HUMANIZACION</v>
      </c>
      <c r="B227" s="12" t="str">
        <f t="shared" si="4"/>
        <v>https://centrodecapacitaciondelsur.com/humanizacion-</v>
      </c>
      <c r="C227" s="14">
        <f>INSCRITOS!B191</f>
        <v>1086358980</v>
      </c>
      <c r="D227" t="str">
        <f t="shared" si="5"/>
        <v>https://centrodecapacitaciondelsur.com/humanizacion-1086358980/</v>
      </c>
    </row>
    <row r="228" spans="1:4" ht="119.25" customHeight="1" x14ac:dyDescent="0.25">
      <c r="A228" s="14" t="str">
        <f>INSCRITOS!O192</f>
        <v>ACLS</v>
      </c>
      <c r="B228" s="12" t="str">
        <f t="shared" si="4"/>
        <v>https://centrodecapacitaciondelsur.com/soporte-cardiovascular-avanzado-</v>
      </c>
      <c r="C228" s="14">
        <f>INSCRITOS!B192</f>
        <v>1010207782</v>
      </c>
      <c r="D228" t="str">
        <f t="shared" si="5"/>
        <v>https://centrodecapacitaciondelsur.com/soporte-cardiovascular-avanzado-1010207782/</v>
      </c>
    </row>
    <row r="229" spans="1:4" ht="119.25" customHeight="1" x14ac:dyDescent="0.25">
      <c r="A229" s="14" t="str">
        <f>INSCRITOS!O193</f>
        <v>AIEPI</v>
      </c>
      <c r="B229" s="12" t="str">
        <f t="shared" si="4"/>
        <v>https://centrodecapacitaciondelsur.com/aiepi-</v>
      </c>
      <c r="C229" s="14">
        <f>INSCRITOS!B193</f>
        <v>1010207782</v>
      </c>
      <c r="D229" t="str">
        <f t="shared" si="5"/>
        <v>https://centrodecapacitaciondelsur.com/aiepi-1010207782/</v>
      </c>
    </row>
    <row r="230" spans="1:4" ht="119.25" customHeight="1" x14ac:dyDescent="0.25">
      <c r="A230" s="14" t="str">
        <f>INSCRITOS!O194</f>
        <v>IAMI</v>
      </c>
      <c r="B230" s="12" t="str">
        <f t="shared" si="4"/>
        <v>https://centrodecapacitaciondelsur.com/iami-</v>
      </c>
      <c r="C230" s="14">
        <f>INSCRITOS!B194</f>
        <v>1010207782</v>
      </c>
      <c r="D230" t="str">
        <f t="shared" si="5"/>
        <v>https://centrodecapacitaciondelsur.com/iami-1010207782/</v>
      </c>
    </row>
    <row r="231" spans="1:4" ht="119.25" customHeight="1" x14ac:dyDescent="0.25">
      <c r="A231" s="14" t="str">
        <f>INSCRITOS!O195</f>
        <v>TRIAGE</v>
      </c>
      <c r="B231" s="12" t="str">
        <f t="shared" si="4"/>
        <v>https://centrodecapacitaciondelsur.com/triage-</v>
      </c>
      <c r="C231" s="14">
        <f>INSCRITOS!B195</f>
        <v>1010207782</v>
      </c>
      <c r="D231" t="str">
        <f t="shared" si="5"/>
        <v>https://centrodecapacitaciondelsur.com/triage-1010207782/</v>
      </c>
    </row>
    <row r="232" spans="1:4" ht="119.25" customHeight="1" x14ac:dyDescent="0.25">
      <c r="A232" s="14" t="str">
        <f>INSCRITOS!O196</f>
        <v>DUELO</v>
      </c>
      <c r="B232" s="12" t="str">
        <f t="shared" ref="B232:B295" si="6">IF(A232=$H$19,"https://centrodecapacitaciondelsur.com/o-v-e-",IF(A232=$H$2,"https://centrodecapacitaciondelsur.com/aph-",IF(A232=$H$3,"https://centrodecapacitaciondelsur.com/manejo-del-duelo-",IF(A232=$H$4,"https://centrodecapacitaciondelsur.com/victimas-por-agentes-quimicos-",IF(A232=$H$5,"https://centrodecapacitaciondelsur.com/primeros-auxilios-",IF(A232=$H$6,"https://centrodecapacitaciondelsur.com/uci-",IF(A232=$H$8,"https://centrodecapacitaciondelsur.com/humanizacion-",IF(A232=$H$11,"https://centrodecapacitaciondelsur.com/soporte-cardiovascular-avanzado-",IF(A232=$H$12,"https://centrodecapacitaciondelsur.com/camillero-",IF(A232=$H$13,"https://centrodecapacitaciondelsur.com/toma-de-muestras-y-lab-clinico-",IF(A232=$H$14,"https://centrodecapacitaciondelsur.com/soporte-basico-de-vida-",IF(A232=$H$15,"https://centrodecapacitaciondelsur.com/violencia-sexual-",IF(A232=$H$17,"https://centrodecapacitaciondelsur.com/aiepi-",IF(A232=$H$18,"https://centrodecapacitaciondelsur.com/adm-medicamentos-canalizacion-inyectologia-",IF(A232=$H$25,"https://centrodecapacitaciondelsur.com/manejo-del-dolor-y-cuidados-paliativos-",IF(A232=$H$26,"https://centrodecapacitaciondelsur.com/toma-de-muestras-y-lab-clinico-poct-",IF(A232=$H$27,"https://centrodecapacitaciondelsur.com/implante-subdermico-",IF(A232=$H$21,"https://centrodecapacitaciondelsur.com/donante-de-organos-",IF(A232=$H$30,"https://centrodecapacitaciondelsur.com/atencion-a-victimas-del-conflicto-armado-",IF(A232=$H$20,"https://centrodecapacitaciondelsur.com/iami-",IF(A232=$H$22,"https://centrodecapacitaciondelsur.com/violencia-de-genero-",IF(A232=$H$23,"https://centrodecapacitaciondelsur.com/igualdad-de-genero-",IF(A232=$H$16,"https://centrodecapacitaciondelsur.com/pai-",IF(A232=$H$31,"https://centrodecapacitaciondelsur.com/manipulacion-de-alimentos-",IF(A232=$H$32,"https://centrodecapacitaciondelsur.com/atencion-a-personas-con-discapacidad-",IF(A232=$H$33,"https://centrodecapacitaciondelsur.com/atencion-al-adulto-mayor-",IF(A232=$H$34,"https://centrodecapacitaciondelsur.com/manejo-defensivo-",IF(A232=$H$35,"https://centrodecapacitaciondelsur.com/soporte-basico-neonatal-",IF(A232=$H$36,"https://centrodecapacitaciondelsur.com/seguridad-del-paciente-",IF(A232=$H$37,"https://centrodecapacitaciondelsur.com/uso-y-manejo-del-dea-",IF(A232=$H$38,"https://centrodecapacitaciondelsur.com/triage-")))))))))))))))))))))))))))))))</f>
        <v>https://centrodecapacitaciondelsur.com/manejo-del-duelo-</v>
      </c>
      <c r="C232" s="14">
        <f>INSCRITOS!B196</f>
        <v>1010207782</v>
      </c>
      <c r="D232" t="str">
        <f t="shared" ref="D232:D295" si="7">CONCATENATE(B232,C232,"/")</f>
        <v>https://centrodecapacitaciondelsur.com/manejo-del-duelo-1010207782/</v>
      </c>
    </row>
    <row r="233" spans="1:4" ht="119.25" customHeight="1" x14ac:dyDescent="0.25">
      <c r="A233" s="14" t="str">
        <f>INSCRITOS!O197</f>
        <v>VIOLENCIA SEXUAL</v>
      </c>
      <c r="B233" s="12" t="str">
        <f t="shared" si="6"/>
        <v>https://centrodecapacitaciondelsur.com/violencia-sexual-</v>
      </c>
      <c r="C233" s="14">
        <f>INSCRITOS!B197</f>
        <v>1010207782</v>
      </c>
      <c r="D233" t="str">
        <f t="shared" si="7"/>
        <v>https://centrodecapacitaciondelsur.com/violencia-sexual-1010207782/</v>
      </c>
    </row>
    <row r="234" spans="1:4" ht="119.25" customHeight="1" x14ac:dyDescent="0.25">
      <c r="A234" s="14" t="e">
        <f>INSCRITOS!#REF!</f>
        <v>#REF!</v>
      </c>
      <c r="B234" s="12" t="e">
        <f t="shared" si="6"/>
        <v>#REF!</v>
      </c>
      <c r="C234" s="14" t="e">
        <f>INSCRITOS!#REF!</f>
        <v>#REF!</v>
      </c>
      <c r="D234" t="e">
        <f t="shared" si="7"/>
        <v>#REF!</v>
      </c>
    </row>
    <row r="235" spans="1:4" ht="119.25" customHeight="1" x14ac:dyDescent="0.25">
      <c r="A235" s="14" t="e">
        <f>INSCRITOS!#REF!</f>
        <v>#REF!</v>
      </c>
      <c r="B235" s="12" t="e">
        <f t="shared" si="6"/>
        <v>#REF!</v>
      </c>
      <c r="C235" s="14" t="e">
        <f>INSCRITOS!#REF!</f>
        <v>#REF!</v>
      </c>
      <c r="D235" t="e">
        <f t="shared" si="7"/>
        <v>#REF!</v>
      </c>
    </row>
    <row r="236" spans="1:4" ht="119.25" customHeight="1" x14ac:dyDescent="0.25">
      <c r="A236" s="14" t="e">
        <f>INSCRITOS!#REF!</f>
        <v>#REF!</v>
      </c>
      <c r="B236" s="12" t="e">
        <f t="shared" si="6"/>
        <v>#REF!</v>
      </c>
      <c r="C236" s="14" t="e">
        <f>INSCRITOS!#REF!</f>
        <v>#REF!</v>
      </c>
      <c r="D236" t="e">
        <f t="shared" si="7"/>
        <v>#REF!</v>
      </c>
    </row>
    <row r="237" spans="1:4" ht="119.25" customHeight="1" x14ac:dyDescent="0.25">
      <c r="A237" s="14" t="e">
        <f>INSCRITOS!#REF!</f>
        <v>#REF!</v>
      </c>
      <c r="B237" s="12" t="e">
        <f t="shared" si="6"/>
        <v>#REF!</v>
      </c>
      <c r="C237" s="14" t="e">
        <f>INSCRITOS!#REF!</f>
        <v>#REF!</v>
      </c>
      <c r="D237" t="e">
        <f t="shared" si="7"/>
        <v>#REF!</v>
      </c>
    </row>
    <row r="238" spans="1:4" ht="119.25" customHeight="1" x14ac:dyDescent="0.25">
      <c r="A238" s="14" t="e">
        <f>INSCRITOS!#REF!</f>
        <v>#REF!</v>
      </c>
      <c r="B238" s="12" t="e">
        <f t="shared" si="6"/>
        <v>#REF!</v>
      </c>
      <c r="C238" s="14" t="e">
        <f>INSCRITOS!#REF!</f>
        <v>#REF!</v>
      </c>
      <c r="D238" t="e">
        <f t="shared" si="7"/>
        <v>#REF!</v>
      </c>
    </row>
    <row r="239" spans="1:4" ht="119.25" customHeight="1" x14ac:dyDescent="0.25">
      <c r="A239" s="14" t="e">
        <f>INSCRITOS!#REF!</f>
        <v>#REF!</v>
      </c>
      <c r="B239" s="12" t="e">
        <f t="shared" si="6"/>
        <v>#REF!</v>
      </c>
      <c r="C239" s="14" t="e">
        <f>INSCRITOS!#REF!</f>
        <v>#REF!</v>
      </c>
      <c r="D239" t="e">
        <f t="shared" si="7"/>
        <v>#REF!</v>
      </c>
    </row>
    <row r="240" spans="1:4" ht="119.25" customHeight="1" x14ac:dyDescent="0.25">
      <c r="A240" s="14" t="e">
        <f>INSCRITOS!#REF!</f>
        <v>#REF!</v>
      </c>
      <c r="B240" s="12" t="e">
        <f t="shared" si="6"/>
        <v>#REF!</v>
      </c>
      <c r="C240" s="14" t="e">
        <f>INSCRITOS!#REF!</f>
        <v>#REF!</v>
      </c>
      <c r="D240" t="e">
        <f t="shared" si="7"/>
        <v>#REF!</v>
      </c>
    </row>
    <row r="241" spans="1:4" ht="119.25" customHeight="1" x14ac:dyDescent="0.25">
      <c r="A241" s="14" t="e">
        <f>INSCRITOS!#REF!</f>
        <v>#REF!</v>
      </c>
      <c r="B241" s="12" t="e">
        <f t="shared" si="6"/>
        <v>#REF!</v>
      </c>
      <c r="C241" s="14" t="e">
        <f>INSCRITOS!#REF!</f>
        <v>#REF!</v>
      </c>
      <c r="D241" t="e">
        <f t="shared" si="7"/>
        <v>#REF!</v>
      </c>
    </row>
    <row r="242" spans="1:4" ht="119.25" customHeight="1" x14ac:dyDescent="0.25">
      <c r="A242" s="14" t="e">
        <f>INSCRITOS!#REF!</f>
        <v>#REF!</v>
      </c>
      <c r="B242" s="12" t="e">
        <f t="shared" si="6"/>
        <v>#REF!</v>
      </c>
      <c r="C242" s="14" t="e">
        <f>INSCRITOS!#REF!</f>
        <v>#REF!</v>
      </c>
      <c r="D242" t="e">
        <f t="shared" si="7"/>
        <v>#REF!</v>
      </c>
    </row>
    <row r="243" spans="1:4" ht="119.25" customHeight="1" x14ac:dyDescent="0.25">
      <c r="A243" s="14" t="e">
        <f>INSCRITOS!#REF!</f>
        <v>#REF!</v>
      </c>
      <c r="B243" s="12" t="e">
        <f t="shared" si="6"/>
        <v>#REF!</v>
      </c>
      <c r="C243" s="14" t="e">
        <f>INSCRITOS!#REF!</f>
        <v>#REF!</v>
      </c>
      <c r="D243" t="e">
        <f t="shared" si="7"/>
        <v>#REF!</v>
      </c>
    </row>
    <row r="244" spans="1:4" ht="119.25" customHeight="1" x14ac:dyDescent="0.25">
      <c r="A244" s="14" t="e">
        <f>INSCRITOS!#REF!</f>
        <v>#REF!</v>
      </c>
      <c r="B244" s="12" t="e">
        <f t="shared" si="6"/>
        <v>#REF!</v>
      </c>
      <c r="C244" s="14" t="e">
        <f>INSCRITOS!#REF!</f>
        <v>#REF!</v>
      </c>
      <c r="D244" t="e">
        <f t="shared" si="7"/>
        <v>#REF!</v>
      </c>
    </row>
    <row r="245" spans="1:4" ht="119.25" customHeight="1" x14ac:dyDescent="0.25">
      <c r="A245" s="14" t="e">
        <f>INSCRITOS!#REF!</f>
        <v>#REF!</v>
      </c>
      <c r="B245" s="12" t="e">
        <f t="shared" si="6"/>
        <v>#REF!</v>
      </c>
      <c r="C245" s="14" t="e">
        <f>INSCRITOS!#REF!</f>
        <v>#REF!</v>
      </c>
      <c r="D245" t="e">
        <f t="shared" si="7"/>
        <v>#REF!</v>
      </c>
    </row>
    <row r="246" spans="1:4" ht="119.25" customHeight="1" x14ac:dyDescent="0.25">
      <c r="A246" s="14" t="e">
        <f>INSCRITOS!#REF!</f>
        <v>#REF!</v>
      </c>
      <c r="B246" s="12" t="e">
        <f t="shared" si="6"/>
        <v>#REF!</v>
      </c>
      <c r="C246" s="14" t="e">
        <f>INSCRITOS!#REF!</f>
        <v>#REF!</v>
      </c>
      <c r="D246" t="e">
        <f t="shared" si="7"/>
        <v>#REF!</v>
      </c>
    </row>
    <row r="247" spans="1:4" ht="119.25" customHeight="1" x14ac:dyDescent="0.25">
      <c r="A247" s="14" t="e">
        <f>INSCRITOS!#REF!</f>
        <v>#REF!</v>
      </c>
      <c r="B247" s="12" t="e">
        <f t="shared" si="6"/>
        <v>#REF!</v>
      </c>
      <c r="C247" s="14" t="e">
        <f>INSCRITOS!#REF!</f>
        <v>#REF!</v>
      </c>
      <c r="D247" t="e">
        <f t="shared" si="7"/>
        <v>#REF!</v>
      </c>
    </row>
    <row r="248" spans="1:4" ht="119.25" customHeight="1" x14ac:dyDescent="0.25">
      <c r="A248" s="14" t="e">
        <f>INSCRITOS!#REF!</f>
        <v>#REF!</v>
      </c>
      <c r="B248" s="12" t="e">
        <f t="shared" si="6"/>
        <v>#REF!</v>
      </c>
      <c r="C248" s="14" t="e">
        <f>INSCRITOS!#REF!</f>
        <v>#REF!</v>
      </c>
      <c r="D248" t="e">
        <f t="shared" si="7"/>
        <v>#REF!</v>
      </c>
    </row>
    <row r="249" spans="1:4" ht="119.25" customHeight="1" x14ac:dyDescent="0.25">
      <c r="A249" s="14" t="e">
        <f>INSCRITOS!#REF!</f>
        <v>#REF!</v>
      </c>
      <c r="B249" s="12" t="e">
        <f t="shared" si="6"/>
        <v>#REF!</v>
      </c>
      <c r="C249" s="14" t="e">
        <f>INSCRITOS!#REF!</f>
        <v>#REF!</v>
      </c>
      <c r="D249" t="e">
        <f t="shared" si="7"/>
        <v>#REF!</v>
      </c>
    </row>
    <row r="250" spans="1:4" ht="119.25" customHeight="1" x14ac:dyDescent="0.25">
      <c r="A250" s="14" t="e">
        <f>INSCRITOS!#REF!</f>
        <v>#REF!</v>
      </c>
      <c r="B250" s="12" t="e">
        <f t="shared" si="6"/>
        <v>#REF!</v>
      </c>
      <c r="C250" s="14" t="e">
        <f>INSCRITOS!#REF!</f>
        <v>#REF!</v>
      </c>
      <c r="D250" t="e">
        <f t="shared" si="7"/>
        <v>#REF!</v>
      </c>
    </row>
    <row r="251" spans="1:4" ht="119.25" customHeight="1" x14ac:dyDescent="0.25">
      <c r="A251" s="14" t="e">
        <f>INSCRITOS!#REF!</f>
        <v>#REF!</v>
      </c>
      <c r="B251" s="12" t="e">
        <f t="shared" si="6"/>
        <v>#REF!</v>
      </c>
      <c r="C251" s="14" t="e">
        <f>INSCRITOS!#REF!</f>
        <v>#REF!</v>
      </c>
      <c r="D251" t="e">
        <f t="shared" si="7"/>
        <v>#REF!</v>
      </c>
    </row>
    <row r="252" spans="1:4" ht="119.25" customHeight="1" x14ac:dyDescent="0.25">
      <c r="A252" s="14" t="e">
        <f>INSCRITOS!#REF!</f>
        <v>#REF!</v>
      </c>
      <c r="B252" s="12" t="e">
        <f t="shared" si="6"/>
        <v>#REF!</v>
      </c>
      <c r="C252" s="14" t="e">
        <f>INSCRITOS!#REF!</f>
        <v>#REF!</v>
      </c>
      <c r="D252" t="e">
        <f t="shared" si="7"/>
        <v>#REF!</v>
      </c>
    </row>
    <row r="253" spans="1:4" ht="119.25" customHeight="1" x14ac:dyDescent="0.25">
      <c r="A253" s="14" t="e">
        <f>INSCRITOS!#REF!</f>
        <v>#REF!</v>
      </c>
      <c r="B253" s="12" t="e">
        <f t="shared" si="6"/>
        <v>#REF!</v>
      </c>
      <c r="C253" s="14" t="e">
        <f>INSCRITOS!#REF!</f>
        <v>#REF!</v>
      </c>
      <c r="D253" t="e">
        <f t="shared" si="7"/>
        <v>#REF!</v>
      </c>
    </row>
    <row r="254" spans="1:4" ht="119.25" customHeight="1" x14ac:dyDescent="0.25">
      <c r="A254" s="14" t="e">
        <f>INSCRITOS!#REF!</f>
        <v>#REF!</v>
      </c>
      <c r="B254" s="12" t="e">
        <f t="shared" si="6"/>
        <v>#REF!</v>
      </c>
      <c r="C254" s="14" t="e">
        <f>INSCRITOS!#REF!</f>
        <v>#REF!</v>
      </c>
      <c r="D254" t="e">
        <f t="shared" si="7"/>
        <v>#REF!</v>
      </c>
    </row>
    <row r="255" spans="1:4" ht="119.25" customHeight="1" x14ac:dyDescent="0.25">
      <c r="A255" s="14" t="e">
        <f>INSCRITOS!#REF!</f>
        <v>#REF!</v>
      </c>
      <c r="B255" s="12" t="e">
        <f t="shared" si="6"/>
        <v>#REF!</v>
      </c>
      <c r="C255" s="14" t="e">
        <f>INSCRITOS!#REF!</f>
        <v>#REF!</v>
      </c>
      <c r="D255" t="e">
        <f t="shared" si="7"/>
        <v>#REF!</v>
      </c>
    </row>
    <row r="256" spans="1:4" ht="119.25" customHeight="1" x14ac:dyDescent="0.25">
      <c r="A256" s="14" t="e">
        <f>INSCRITOS!#REF!</f>
        <v>#REF!</v>
      </c>
      <c r="B256" s="12" t="e">
        <f t="shared" si="6"/>
        <v>#REF!</v>
      </c>
      <c r="C256" s="14" t="e">
        <f>INSCRITOS!#REF!</f>
        <v>#REF!</v>
      </c>
      <c r="D256" t="e">
        <f t="shared" si="7"/>
        <v>#REF!</v>
      </c>
    </row>
    <row r="257" spans="1:4" ht="119.25" customHeight="1" x14ac:dyDescent="0.25">
      <c r="A257" s="14" t="e">
        <f>INSCRITOS!#REF!</f>
        <v>#REF!</v>
      </c>
      <c r="B257" s="12" t="e">
        <f t="shared" si="6"/>
        <v>#REF!</v>
      </c>
      <c r="C257" s="14" t="e">
        <f>INSCRITOS!#REF!</f>
        <v>#REF!</v>
      </c>
      <c r="D257" t="e">
        <f t="shared" si="7"/>
        <v>#REF!</v>
      </c>
    </row>
    <row r="258" spans="1:4" ht="119.25" customHeight="1" x14ac:dyDescent="0.25">
      <c r="A258" s="14" t="e">
        <f>INSCRITOS!#REF!</f>
        <v>#REF!</v>
      </c>
      <c r="B258" s="12" t="e">
        <f t="shared" si="6"/>
        <v>#REF!</v>
      </c>
      <c r="C258" s="14" t="e">
        <f>INSCRITOS!#REF!</f>
        <v>#REF!</v>
      </c>
      <c r="D258" t="e">
        <f t="shared" si="7"/>
        <v>#REF!</v>
      </c>
    </row>
    <row r="259" spans="1:4" ht="119.25" customHeight="1" x14ac:dyDescent="0.25">
      <c r="A259" s="14" t="e">
        <f>INSCRITOS!#REF!</f>
        <v>#REF!</v>
      </c>
      <c r="B259" s="12" t="e">
        <f t="shared" si="6"/>
        <v>#REF!</v>
      </c>
      <c r="C259" s="14" t="e">
        <f>INSCRITOS!#REF!</f>
        <v>#REF!</v>
      </c>
      <c r="D259" t="e">
        <f t="shared" si="7"/>
        <v>#REF!</v>
      </c>
    </row>
    <row r="260" spans="1:4" ht="119.25" customHeight="1" x14ac:dyDescent="0.25">
      <c r="A260" s="14" t="e">
        <f>INSCRITOS!#REF!</f>
        <v>#REF!</v>
      </c>
      <c r="B260" s="12" t="e">
        <f t="shared" si="6"/>
        <v>#REF!</v>
      </c>
      <c r="C260" s="14" t="e">
        <f>INSCRITOS!#REF!</f>
        <v>#REF!</v>
      </c>
      <c r="D260" t="e">
        <f t="shared" si="7"/>
        <v>#REF!</v>
      </c>
    </row>
    <row r="261" spans="1:4" ht="119.25" customHeight="1" x14ac:dyDescent="0.25">
      <c r="A261" s="14" t="e">
        <f>INSCRITOS!#REF!</f>
        <v>#REF!</v>
      </c>
      <c r="B261" s="12" t="e">
        <f t="shared" si="6"/>
        <v>#REF!</v>
      </c>
      <c r="C261" s="14" t="e">
        <f>INSCRITOS!#REF!</f>
        <v>#REF!</v>
      </c>
      <c r="D261" t="e">
        <f t="shared" si="7"/>
        <v>#REF!</v>
      </c>
    </row>
    <row r="262" spans="1:4" ht="119.25" customHeight="1" x14ac:dyDescent="0.25">
      <c r="A262" s="14" t="e">
        <f>INSCRITOS!#REF!</f>
        <v>#REF!</v>
      </c>
      <c r="B262" s="12" t="e">
        <f t="shared" si="6"/>
        <v>#REF!</v>
      </c>
      <c r="C262" s="14" t="e">
        <f>INSCRITOS!#REF!</f>
        <v>#REF!</v>
      </c>
      <c r="D262" t="e">
        <f t="shared" si="7"/>
        <v>#REF!</v>
      </c>
    </row>
    <row r="263" spans="1:4" ht="119.25" customHeight="1" x14ac:dyDescent="0.25">
      <c r="A263" s="14" t="e">
        <f>INSCRITOS!#REF!</f>
        <v>#REF!</v>
      </c>
      <c r="B263" s="12" t="e">
        <f t="shared" si="6"/>
        <v>#REF!</v>
      </c>
      <c r="C263" s="14" t="e">
        <f>INSCRITOS!#REF!</f>
        <v>#REF!</v>
      </c>
      <c r="D263" t="e">
        <f t="shared" si="7"/>
        <v>#REF!</v>
      </c>
    </row>
    <row r="264" spans="1:4" ht="119.25" customHeight="1" x14ac:dyDescent="0.25">
      <c r="A264" s="14" t="e">
        <f>INSCRITOS!#REF!</f>
        <v>#REF!</v>
      </c>
      <c r="B264" s="12" t="e">
        <f t="shared" si="6"/>
        <v>#REF!</v>
      </c>
      <c r="C264" s="14" t="e">
        <f>INSCRITOS!#REF!</f>
        <v>#REF!</v>
      </c>
      <c r="D264" t="e">
        <f t="shared" si="7"/>
        <v>#REF!</v>
      </c>
    </row>
    <row r="265" spans="1:4" ht="119.25" customHeight="1" x14ac:dyDescent="0.25">
      <c r="A265" s="14" t="e">
        <f>INSCRITOS!#REF!</f>
        <v>#REF!</v>
      </c>
      <c r="B265" s="12" t="e">
        <f t="shared" si="6"/>
        <v>#REF!</v>
      </c>
      <c r="C265" s="14" t="e">
        <f>INSCRITOS!#REF!</f>
        <v>#REF!</v>
      </c>
      <c r="D265" t="e">
        <f t="shared" si="7"/>
        <v>#REF!</v>
      </c>
    </row>
    <row r="266" spans="1:4" ht="119.25" customHeight="1" x14ac:dyDescent="0.25">
      <c r="A266" s="14" t="e">
        <f>INSCRITOS!#REF!</f>
        <v>#REF!</v>
      </c>
      <c r="B266" s="12" t="e">
        <f t="shared" si="6"/>
        <v>#REF!</v>
      </c>
      <c r="C266" s="14" t="e">
        <f>INSCRITOS!#REF!</f>
        <v>#REF!</v>
      </c>
      <c r="D266" t="e">
        <f t="shared" si="7"/>
        <v>#REF!</v>
      </c>
    </row>
    <row r="267" spans="1:4" ht="119.25" customHeight="1" x14ac:dyDescent="0.25">
      <c r="A267" s="14" t="e">
        <f>INSCRITOS!#REF!</f>
        <v>#REF!</v>
      </c>
      <c r="B267" s="12" t="e">
        <f t="shared" si="6"/>
        <v>#REF!</v>
      </c>
      <c r="C267" s="14" t="e">
        <f>INSCRITOS!#REF!</f>
        <v>#REF!</v>
      </c>
      <c r="D267" t="e">
        <f t="shared" si="7"/>
        <v>#REF!</v>
      </c>
    </row>
    <row r="268" spans="1:4" ht="119.25" customHeight="1" x14ac:dyDescent="0.25">
      <c r="A268" s="14" t="e">
        <f>INSCRITOS!#REF!</f>
        <v>#REF!</v>
      </c>
      <c r="B268" s="12" t="e">
        <f t="shared" si="6"/>
        <v>#REF!</v>
      </c>
      <c r="C268" s="14" t="e">
        <f>INSCRITOS!#REF!</f>
        <v>#REF!</v>
      </c>
      <c r="D268" t="e">
        <f t="shared" si="7"/>
        <v>#REF!</v>
      </c>
    </row>
    <row r="269" spans="1:4" ht="119.25" customHeight="1" x14ac:dyDescent="0.25">
      <c r="A269" s="14" t="e">
        <f>INSCRITOS!#REF!</f>
        <v>#REF!</v>
      </c>
      <c r="B269" s="12" t="e">
        <f t="shared" si="6"/>
        <v>#REF!</v>
      </c>
      <c r="C269" s="14" t="e">
        <f>INSCRITOS!#REF!</f>
        <v>#REF!</v>
      </c>
      <c r="D269" t="e">
        <f t="shared" si="7"/>
        <v>#REF!</v>
      </c>
    </row>
    <row r="270" spans="1:4" ht="119.25" customHeight="1" x14ac:dyDescent="0.25">
      <c r="A270" s="14" t="e">
        <f>INSCRITOS!#REF!</f>
        <v>#REF!</v>
      </c>
      <c r="B270" s="12" t="e">
        <f t="shared" si="6"/>
        <v>#REF!</v>
      </c>
      <c r="C270" s="14" t="e">
        <f>INSCRITOS!#REF!</f>
        <v>#REF!</v>
      </c>
      <c r="D270" t="e">
        <f t="shared" si="7"/>
        <v>#REF!</v>
      </c>
    </row>
    <row r="271" spans="1:4" ht="119.25" customHeight="1" x14ac:dyDescent="0.25">
      <c r="A271" s="14" t="e">
        <f>INSCRITOS!#REF!</f>
        <v>#REF!</v>
      </c>
      <c r="B271" s="12" t="e">
        <f t="shared" si="6"/>
        <v>#REF!</v>
      </c>
      <c r="C271" s="14" t="e">
        <f>INSCRITOS!#REF!</f>
        <v>#REF!</v>
      </c>
      <c r="D271" t="e">
        <f t="shared" si="7"/>
        <v>#REF!</v>
      </c>
    </row>
    <row r="272" spans="1:4" ht="119.25" customHeight="1" x14ac:dyDescent="0.25">
      <c r="A272" s="14" t="e">
        <f>INSCRITOS!#REF!</f>
        <v>#REF!</v>
      </c>
      <c r="B272" s="12" t="e">
        <f t="shared" si="6"/>
        <v>#REF!</v>
      </c>
      <c r="C272" s="14" t="e">
        <f>INSCRITOS!#REF!</f>
        <v>#REF!</v>
      </c>
      <c r="D272" t="e">
        <f t="shared" si="7"/>
        <v>#REF!</v>
      </c>
    </row>
    <row r="273" spans="1:4" ht="119.25" customHeight="1" x14ac:dyDescent="0.25">
      <c r="A273" s="14" t="e">
        <f>INSCRITOS!#REF!</f>
        <v>#REF!</v>
      </c>
      <c r="B273" s="12" t="e">
        <f t="shared" si="6"/>
        <v>#REF!</v>
      </c>
      <c r="C273" s="14" t="e">
        <f>INSCRITOS!#REF!</f>
        <v>#REF!</v>
      </c>
      <c r="D273" t="e">
        <f t="shared" si="7"/>
        <v>#REF!</v>
      </c>
    </row>
    <row r="274" spans="1:4" ht="119.25" customHeight="1" x14ac:dyDescent="0.25">
      <c r="A274" s="14" t="e">
        <f>INSCRITOS!#REF!</f>
        <v>#REF!</v>
      </c>
      <c r="B274" s="12" t="e">
        <f t="shared" si="6"/>
        <v>#REF!</v>
      </c>
      <c r="C274" s="14" t="e">
        <f>INSCRITOS!#REF!</f>
        <v>#REF!</v>
      </c>
      <c r="D274" t="e">
        <f t="shared" si="7"/>
        <v>#REF!</v>
      </c>
    </row>
    <row r="275" spans="1:4" ht="119.25" customHeight="1" x14ac:dyDescent="0.25">
      <c r="A275" s="14" t="e">
        <f>INSCRITOS!#REF!</f>
        <v>#REF!</v>
      </c>
      <c r="B275" s="12" t="e">
        <f t="shared" si="6"/>
        <v>#REF!</v>
      </c>
      <c r="C275" s="14" t="e">
        <f>INSCRITOS!#REF!</f>
        <v>#REF!</v>
      </c>
      <c r="D275" t="e">
        <f t="shared" si="7"/>
        <v>#REF!</v>
      </c>
    </row>
    <row r="276" spans="1:4" ht="119.25" customHeight="1" x14ac:dyDescent="0.25">
      <c r="A276" s="14" t="e">
        <f>INSCRITOS!#REF!</f>
        <v>#REF!</v>
      </c>
      <c r="B276" s="12" t="e">
        <f t="shared" si="6"/>
        <v>#REF!</v>
      </c>
      <c r="C276" s="14" t="e">
        <f>INSCRITOS!#REF!</f>
        <v>#REF!</v>
      </c>
      <c r="D276" t="e">
        <f t="shared" si="7"/>
        <v>#REF!</v>
      </c>
    </row>
    <row r="277" spans="1:4" ht="119.25" customHeight="1" x14ac:dyDescent="0.25">
      <c r="A277" s="14" t="e">
        <f>INSCRITOS!#REF!</f>
        <v>#REF!</v>
      </c>
      <c r="B277" s="12" t="e">
        <f t="shared" si="6"/>
        <v>#REF!</v>
      </c>
      <c r="C277" s="14" t="e">
        <f>INSCRITOS!#REF!</f>
        <v>#REF!</v>
      </c>
      <c r="D277" t="e">
        <f t="shared" si="7"/>
        <v>#REF!</v>
      </c>
    </row>
    <row r="278" spans="1:4" ht="119.25" customHeight="1" x14ac:dyDescent="0.25">
      <c r="A278" s="14" t="e">
        <f>INSCRITOS!#REF!</f>
        <v>#REF!</v>
      </c>
      <c r="B278" s="12" t="e">
        <f t="shared" si="6"/>
        <v>#REF!</v>
      </c>
      <c r="C278" s="14" t="e">
        <f>INSCRITOS!#REF!</f>
        <v>#REF!</v>
      </c>
      <c r="D278" t="e">
        <f t="shared" si="7"/>
        <v>#REF!</v>
      </c>
    </row>
    <row r="279" spans="1:4" ht="119.25" customHeight="1" x14ac:dyDescent="0.25">
      <c r="A279" s="14" t="e">
        <f>INSCRITOS!#REF!</f>
        <v>#REF!</v>
      </c>
      <c r="B279" s="12" t="e">
        <f t="shared" si="6"/>
        <v>#REF!</v>
      </c>
      <c r="C279" s="14" t="e">
        <f>INSCRITOS!#REF!</f>
        <v>#REF!</v>
      </c>
      <c r="D279" t="e">
        <f t="shared" si="7"/>
        <v>#REF!</v>
      </c>
    </row>
    <row r="280" spans="1:4" ht="119.25" customHeight="1" x14ac:dyDescent="0.25">
      <c r="A280" s="14" t="e">
        <f>INSCRITOS!#REF!</f>
        <v>#REF!</v>
      </c>
      <c r="B280" s="12" t="e">
        <f t="shared" si="6"/>
        <v>#REF!</v>
      </c>
      <c r="C280" s="14" t="e">
        <f>INSCRITOS!#REF!</f>
        <v>#REF!</v>
      </c>
      <c r="D280" t="e">
        <f t="shared" si="7"/>
        <v>#REF!</v>
      </c>
    </row>
    <row r="281" spans="1:4" ht="119.25" customHeight="1" x14ac:dyDescent="0.25">
      <c r="A281" s="14" t="e">
        <f>INSCRITOS!#REF!</f>
        <v>#REF!</v>
      </c>
      <c r="B281" s="12" t="e">
        <f t="shared" si="6"/>
        <v>#REF!</v>
      </c>
      <c r="C281" s="14" t="e">
        <f>INSCRITOS!#REF!</f>
        <v>#REF!</v>
      </c>
      <c r="D281" t="e">
        <f t="shared" si="7"/>
        <v>#REF!</v>
      </c>
    </row>
    <row r="282" spans="1:4" ht="119.25" customHeight="1" x14ac:dyDescent="0.25">
      <c r="A282" s="14" t="e">
        <f>INSCRITOS!#REF!</f>
        <v>#REF!</v>
      </c>
      <c r="B282" s="12" t="e">
        <f t="shared" si="6"/>
        <v>#REF!</v>
      </c>
      <c r="C282" s="14" t="e">
        <f>INSCRITOS!#REF!</f>
        <v>#REF!</v>
      </c>
      <c r="D282" t="e">
        <f t="shared" si="7"/>
        <v>#REF!</v>
      </c>
    </row>
    <row r="283" spans="1:4" ht="119.25" customHeight="1" x14ac:dyDescent="0.25">
      <c r="A283" s="14" t="e">
        <f>INSCRITOS!#REF!</f>
        <v>#REF!</v>
      </c>
      <c r="B283" s="12" t="e">
        <f t="shared" si="6"/>
        <v>#REF!</v>
      </c>
      <c r="C283" s="14" t="e">
        <f>INSCRITOS!#REF!</f>
        <v>#REF!</v>
      </c>
      <c r="D283" t="e">
        <f t="shared" si="7"/>
        <v>#REF!</v>
      </c>
    </row>
    <row r="284" spans="1:4" ht="119.25" customHeight="1" x14ac:dyDescent="0.25">
      <c r="A284" s="14" t="e">
        <f>INSCRITOS!#REF!</f>
        <v>#REF!</v>
      </c>
      <c r="B284" s="12" t="e">
        <f t="shared" si="6"/>
        <v>#REF!</v>
      </c>
      <c r="C284" s="14" t="e">
        <f>INSCRITOS!#REF!</f>
        <v>#REF!</v>
      </c>
      <c r="D284" t="e">
        <f t="shared" si="7"/>
        <v>#REF!</v>
      </c>
    </row>
    <row r="285" spans="1:4" ht="119.25" customHeight="1" x14ac:dyDescent="0.25">
      <c r="A285" s="14" t="e">
        <f>INSCRITOS!#REF!</f>
        <v>#REF!</v>
      </c>
      <c r="B285" s="12" t="e">
        <f t="shared" si="6"/>
        <v>#REF!</v>
      </c>
      <c r="C285" s="14" t="e">
        <f>INSCRITOS!#REF!</f>
        <v>#REF!</v>
      </c>
      <c r="D285" t="e">
        <f t="shared" si="7"/>
        <v>#REF!</v>
      </c>
    </row>
    <row r="286" spans="1:4" ht="119.25" customHeight="1" x14ac:dyDescent="0.25">
      <c r="A286" s="14" t="e">
        <f>INSCRITOS!#REF!</f>
        <v>#REF!</v>
      </c>
      <c r="B286" s="12" t="e">
        <f t="shared" si="6"/>
        <v>#REF!</v>
      </c>
      <c r="C286" s="14" t="e">
        <f>INSCRITOS!#REF!</f>
        <v>#REF!</v>
      </c>
      <c r="D286" t="e">
        <f t="shared" si="7"/>
        <v>#REF!</v>
      </c>
    </row>
    <row r="287" spans="1:4" ht="119.25" customHeight="1" x14ac:dyDescent="0.25">
      <c r="A287" s="14" t="e">
        <f>INSCRITOS!#REF!</f>
        <v>#REF!</v>
      </c>
      <c r="B287" s="12" t="e">
        <f t="shared" si="6"/>
        <v>#REF!</v>
      </c>
      <c r="C287" s="14" t="e">
        <f>INSCRITOS!#REF!</f>
        <v>#REF!</v>
      </c>
      <c r="D287" t="e">
        <f t="shared" si="7"/>
        <v>#REF!</v>
      </c>
    </row>
    <row r="288" spans="1:4" ht="119.25" customHeight="1" x14ac:dyDescent="0.25">
      <c r="A288" s="14" t="e">
        <f>INSCRITOS!#REF!</f>
        <v>#REF!</v>
      </c>
      <c r="B288" s="12" t="e">
        <f t="shared" si="6"/>
        <v>#REF!</v>
      </c>
      <c r="C288" s="14" t="e">
        <f>INSCRITOS!#REF!</f>
        <v>#REF!</v>
      </c>
      <c r="D288" t="e">
        <f t="shared" si="7"/>
        <v>#REF!</v>
      </c>
    </row>
    <row r="289" spans="1:4" ht="119.25" customHeight="1" x14ac:dyDescent="0.25">
      <c r="A289" s="14" t="e">
        <f>INSCRITOS!#REF!</f>
        <v>#REF!</v>
      </c>
      <c r="B289" s="12" t="e">
        <f t="shared" si="6"/>
        <v>#REF!</v>
      </c>
      <c r="C289" s="14" t="e">
        <f>INSCRITOS!#REF!</f>
        <v>#REF!</v>
      </c>
      <c r="D289" t="e">
        <f t="shared" si="7"/>
        <v>#REF!</v>
      </c>
    </row>
    <row r="290" spans="1:4" ht="119.25" customHeight="1" x14ac:dyDescent="0.25">
      <c r="A290" s="14" t="e">
        <f>INSCRITOS!#REF!</f>
        <v>#REF!</v>
      </c>
      <c r="B290" s="12" t="e">
        <f t="shared" si="6"/>
        <v>#REF!</v>
      </c>
      <c r="C290" s="14" t="e">
        <f>INSCRITOS!#REF!</f>
        <v>#REF!</v>
      </c>
      <c r="D290" t="e">
        <f t="shared" si="7"/>
        <v>#REF!</v>
      </c>
    </row>
    <row r="291" spans="1:4" ht="119.25" customHeight="1" x14ac:dyDescent="0.25">
      <c r="A291" s="14" t="e">
        <f>INSCRITOS!#REF!</f>
        <v>#REF!</v>
      </c>
      <c r="B291" s="12" t="e">
        <f t="shared" si="6"/>
        <v>#REF!</v>
      </c>
      <c r="C291" s="14" t="e">
        <f>INSCRITOS!#REF!</f>
        <v>#REF!</v>
      </c>
      <c r="D291" t="e">
        <f t="shared" si="7"/>
        <v>#REF!</v>
      </c>
    </row>
    <row r="292" spans="1:4" ht="119.25" customHeight="1" x14ac:dyDescent="0.25">
      <c r="A292" s="14" t="e">
        <f>INSCRITOS!#REF!</f>
        <v>#REF!</v>
      </c>
      <c r="B292" s="12" t="e">
        <f t="shared" si="6"/>
        <v>#REF!</v>
      </c>
      <c r="C292" s="14" t="e">
        <f>INSCRITOS!#REF!</f>
        <v>#REF!</v>
      </c>
      <c r="D292" t="e">
        <f t="shared" si="7"/>
        <v>#REF!</v>
      </c>
    </row>
    <row r="293" spans="1:4" ht="119.25" customHeight="1" x14ac:dyDescent="0.25">
      <c r="A293" s="14" t="e">
        <f>INSCRITOS!#REF!</f>
        <v>#REF!</v>
      </c>
      <c r="B293" s="12" t="e">
        <f t="shared" si="6"/>
        <v>#REF!</v>
      </c>
      <c r="C293" s="14" t="e">
        <f>INSCRITOS!#REF!</f>
        <v>#REF!</v>
      </c>
      <c r="D293" t="e">
        <f t="shared" si="7"/>
        <v>#REF!</v>
      </c>
    </row>
    <row r="294" spans="1:4" ht="119.25" customHeight="1" x14ac:dyDescent="0.25">
      <c r="A294" s="14" t="e">
        <f>INSCRITOS!#REF!</f>
        <v>#REF!</v>
      </c>
      <c r="B294" s="12" t="e">
        <f t="shared" si="6"/>
        <v>#REF!</v>
      </c>
      <c r="C294" s="14" t="e">
        <f>INSCRITOS!#REF!</f>
        <v>#REF!</v>
      </c>
      <c r="D294" t="e">
        <f t="shared" si="7"/>
        <v>#REF!</v>
      </c>
    </row>
    <row r="295" spans="1:4" ht="119.25" customHeight="1" x14ac:dyDescent="0.25">
      <c r="A295" s="14" t="e">
        <f>INSCRITOS!#REF!</f>
        <v>#REF!</v>
      </c>
      <c r="B295" s="12" t="e">
        <f t="shared" si="6"/>
        <v>#REF!</v>
      </c>
      <c r="C295" s="14" t="e">
        <f>INSCRITOS!#REF!</f>
        <v>#REF!</v>
      </c>
      <c r="D295" t="e">
        <f t="shared" si="7"/>
        <v>#REF!</v>
      </c>
    </row>
    <row r="296" spans="1:4" ht="119.25" customHeight="1" x14ac:dyDescent="0.25">
      <c r="A296" s="14" t="e">
        <f>INSCRITOS!#REF!</f>
        <v>#REF!</v>
      </c>
      <c r="B296" s="12" t="e">
        <f t="shared" ref="B296:B355" si="8">IF(A296=$H$19,"https://centrodecapacitaciondelsur.com/o-v-e-",IF(A296=$H$2,"https://centrodecapacitaciondelsur.com/aph-",IF(A296=$H$3,"https://centrodecapacitaciondelsur.com/manejo-del-duelo-",IF(A296=$H$4,"https://centrodecapacitaciondelsur.com/victimas-por-agentes-quimicos-",IF(A296=$H$5,"https://centrodecapacitaciondelsur.com/primeros-auxilios-",IF(A296=$H$6,"https://centrodecapacitaciondelsur.com/uci-",IF(A296=$H$8,"https://centrodecapacitaciondelsur.com/humanizacion-",IF(A296=$H$11,"https://centrodecapacitaciondelsur.com/soporte-cardiovascular-avanzado-",IF(A296=$H$12,"https://centrodecapacitaciondelsur.com/camillero-",IF(A296=$H$13,"https://centrodecapacitaciondelsur.com/toma-de-muestras-y-lab-clinico-",IF(A296=$H$14,"https://centrodecapacitaciondelsur.com/soporte-basico-de-vida-",IF(A296=$H$15,"https://centrodecapacitaciondelsur.com/violencia-sexual-",IF(A296=$H$17,"https://centrodecapacitaciondelsur.com/aiepi-",IF(A296=$H$18,"https://centrodecapacitaciondelsur.com/adm-medicamentos-canalizacion-inyectologia-",IF(A296=$H$25,"https://centrodecapacitaciondelsur.com/manejo-del-dolor-y-cuidados-paliativos-",IF(A296=$H$26,"https://centrodecapacitaciondelsur.com/toma-de-muestras-y-lab-clinico-poct-",IF(A296=$H$27,"https://centrodecapacitaciondelsur.com/implante-subdermico-",IF(A296=$H$21,"https://centrodecapacitaciondelsur.com/donante-de-organos-",IF(A296=$H$30,"https://centrodecapacitaciondelsur.com/atencion-a-victimas-del-conflicto-armado-",IF(A296=$H$20,"https://centrodecapacitaciondelsur.com/iami-",IF(A296=$H$22,"https://centrodecapacitaciondelsur.com/violencia-de-genero-",IF(A296=$H$23,"https://centrodecapacitaciondelsur.com/igualdad-de-genero-",IF(A296=$H$16,"https://centrodecapacitaciondelsur.com/pai-",IF(A296=$H$31,"https://centrodecapacitaciondelsur.com/manipulacion-de-alimentos-",IF(A296=$H$32,"https://centrodecapacitaciondelsur.com/atencion-a-personas-con-discapacidad-",IF(A296=$H$33,"https://centrodecapacitaciondelsur.com/atencion-al-adulto-mayor-",IF(A296=$H$34,"https://centrodecapacitaciondelsur.com/manejo-defensivo-",IF(A296=$H$35,"https://centrodecapacitaciondelsur.com/soporte-basico-neonatal-",IF(A296=$H$36,"https://centrodecapacitaciondelsur.com/seguridad-del-paciente-",IF(A296=$H$37,"https://centrodecapacitaciondelsur.com/uso-y-manejo-del-dea-",IF(A296=$H$38,"https://centrodecapacitaciondelsur.com/triage-")))))))))))))))))))))))))))))))</f>
        <v>#REF!</v>
      </c>
      <c r="C296" s="14" t="e">
        <f>INSCRITOS!#REF!</f>
        <v>#REF!</v>
      </c>
      <c r="D296" t="e">
        <f t="shared" ref="D296:D355" si="9">CONCATENATE(B296,C296,"/")</f>
        <v>#REF!</v>
      </c>
    </row>
    <row r="297" spans="1:4" ht="119.25" customHeight="1" x14ac:dyDescent="0.25">
      <c r="A297" s="14" t="e">
        <f>INSCRITOS!#REF!</f>
        <v>#REF!</v>
      </c>
      <c r="B297" s="12" t="e">
        <f t="shared" si="8"/>
        <v>#REF!</v>
      </c>
      <c r="C297" s="14" t="e">
        <f>INSCRITOS!#REF!</f>
        <v>#REF!</v>
      </c>
      <c r="D297" t="e">
        <f t="shared" si="9"/>
        <v>#REF!</v>
      </c>
    </row>
    <row r="298" spans="1:4" ht="119.25" customHeight="1" x14ac:dyDescent="0.25">
      <c r="A298" s="14" t="e">
        <f>INSCRITOS!#REF!</f>
        <v>#REF!</v>
      </c>
      <c r="B298" s="12" t="e">
        <f t="shared" si="8"/>
        <v>#REF!</v>
      </c>
      <c r="C298" s="14" t="e">
        <f>INSCRITOS!#REF!</f>
        <v>#REF!</v>
      </c>
      <c r="D298" t="e">
        <f t="shared" si="9"/>
        <v>#REF!</v>
      </c>
    </row>
    <row r="299" spans="1:4" ht="119.25" customHeight="1" x14ac:dyDescent="0.25">
      <c r="A299" s="14" t="e">
        <f>INSCRITOS!#REF!</f>
        <v>#REF!</v>
      </c>
      <c r="B299" s="12" t="e">
        <f t="shared" si="8"/>
        <v>#REF!</v>
      </c>
      <c r="C299" s="14" t="e">
        <f>INSCRITOS!#REF!</f>
        <v>#REF!</v>
      </c>
      <c r="D299" t="e">
        <f t="shared" si="9"/>
        <v>#REF!</v>
      </c>
    </row>
    <row r="300" spans="1:4" ht="119.25" customHeight="1" x14ac:dyDescent="0.25">
      <c r="A300" s="14" t="e">
        <f>INSCRITOS!#REF!</f>
        <v>#REF!</v>
      </c>
      <c r="B300" s="12" t="e">
        <f t="shared" si="8"/>
        <v>#REF!</v>
      </c>
      <c r="C300" s="14" t="e">
        <f>INSCRITOS!#REF!</f>
        <v>#REF!</v>
      </c>
      <c r="D300" t="e">
        <f t="shared" si="9"/>
        <v>#REF!</v>
      </c>
    </row>
    <row r="301" spans="1:4" ht="119.25" customHeight="1" x14ac:dyDescent="0.25">
      <c r="A301" s="14" t="e">
        <f>INSCRITOS!#REF!</f>
        <v>#REF!</v>
      </c>
      <c r="B301" s="12" t="e">
        <f t="shared" si="8"/>
        <v>#REF!</v>
      </c>
      <c r="C301" s="14" t="e">
        <f>INSCRITOS!#REF!</f>
        <v>#REF!</v>
      </c>
      <c r="D301" t="e">
        <f t="shared" si="9"/>
        <v>#REF!</v>
      </c>
    </row>
    <row r="302" spans="1:4" ht="119.25" customHeight="1" x14ac:dyDescent="0.25">
      <c r="A302" s="14" t="e">
        <f>INSCRITOS!#REF!</f>
        <v>#REF!</v>
      </c>
      <c r="B302" s="12" t="e">
        <f t="shared" si="8"/>
        <v>#REF!</v>
      </c>
      <c r="C302" s="14" t="e">
        <f>INSCRITOS!#REF!</f>
        <v>#REF!</v>
      </c>
      <c r="D302" t="e">
        <f t="shared" si="9"/>
        <v>#REF!</v>
      </c>
    </row>
    <row r="303" spans="1:4" ht="119.25" customHeight="1" x14ac:dyDescent="0.25">
      <c r="A303" s="14" t="e">
        <f>INSCRITOS!#REF!</f>
        <v>#REF!</v>
      </c>
      <c r="B303" s="12" t="e">
        <f t="shared" si="8"/>
        <v>#REF!</v>
      </c>
      <c r="C303" s="14" t="e">
        <f>INSCRITOS!#REF!</f>
        <v>#REF!</v>
      </c>
      <c r="D303" t="e">
        <f t="shared" si="9"/>
        <v>#REF!</v>
      </c>
    </row>
    <row r="304" spans="1:4" ht="119.25" customHeight="1" x14ac:dyDescent="0.25">
      <c r="A304" s="14" t="e">
        <f>INSCRITOS!#REF!</f>
        <v>#REF!</v>
      </c>
      <c r="B304" s="12" t="e">
        <f t="shared" si="8"/>
        <v>#REF!</v>
      </c>
      <c r="C304" s="14" t="e">
        <f>INSCRITOS!#REF!</f>
        <v>#REF!</v>
      </c>
      <c r="D304" t="e">
        <f t="shared" si="9"/>
        <v>#REF!</v>
      </c>
    </row>
    <row r="305" spans="1:4" ht="119.25" customHeight="1" x14ac:dyDescent="0.25">
      <c r="A305" s="14" t="e">
        <f>INSCRITOS!#REF!</f>
        <v>#REF!</v>
      </c>
      <c r="B305" s="12" t="e">
        <f t="shared" si="8"/>
        <v>#REF!</v>
      </c>
      <c r="C305" s="14" t="e">
        <f>INSCRITOS!#REF!</f>
        <v>#REF!</v>
      </c>
      <c r="D305" t="e">
        <f t="shared" si="9"/>
        <v>#REF!</v>
      </c>
    </row>
    <row r="306" spans="1:4" ht="119.25" customHeight="1" x14ac:dyDescent="0.25">
      <c r="A306" s="14" t="e">
        <f>INSCRITOS!#REF!</f>
        <v>#REF!</v>
      </c>
      <c r="B306" s="12" t="e">
        <f t="shared" si="8"/>
        <v>#REF!</v>
      </c>
      <c r="C306" s="14" t="e">
        <f>INSCRITOS!#REF!</f>
        <v>#REF!</v>
      </c>
      <c r="D306" t="e">
        <f t="shared" si="9"/>
        <v>#REF!</v>
      </c>
    </row>
    <row r="307" spans="1:4" ht="119.25" customHeight="1" x14ac:dyDescent="0.25">
      <c r="A307" s="14" t="e">
        <f>INSCRITOS!#REF!</f>
        <v>#REF!</v>
      </c>
      <c r="B307" s="12" t="e">
        <f t="shared" si="8"/>
        <v>#REF!</v>
      </c>
      <c r="C307" s="14" t="e">
        <f>INSCRITOS!#REF!</f>
        <v>#REF!</v>
      </c>
      <c r="D307" t="e">
        <f t="shared" si="9"/>
        <v>#REF!</v>
      </c>
    </row>
    <row r="308" spans="1:4" ht="119.25" customHeight="1" x14ac:dyDescent="0.25">
      <c r="A308" s="14" t="e">
        <f>INSCRITOS!#REF!</f>
        <v>#REF!</v>
      </c>
      <c r="B308" s="12" t="e">
        <f t="shared" si="8"/>
        <v>#REF!</v>
      </c>
      <c r="C308" s="14" t="e">
        <f>INSCRITOS!#REF!</f>
        <v>#REF!</v>
      </c>
      <c r="D308" t="e">
        <f t="shared" si="9"/>
        <v>#REF!</v>
      </c>
    </row>
    <row r="309" spans="1:4" ht="119.25" customHeight="1" x14ac:dyDescent="0.25">
      <c r="A309" s="14" t="e">
        <f>INSCRITOS!#REF!</f>
        <v>#REF!</v>
      </c>
      <c r="B309" s="12" t="e">
        <f t="shared" si="8"/>
        <v>#REF!</v>
      </c>
      <c r="C309" s="14" t="e">
        <f>INSCRITOS!#REF!</f>
        <v>#REF!</v>
      </c>
      <c r="D309" t="e">
        <f t="shared" si="9"/>
        <v>#REF!</v>
      </c>
    </row>
    <row r="310" spans="1:4" ht="119.25" customHeight="1" x14ac:dyDescent="0.25">
      <c r="A310" s="14" t="e">
        <f>INSCRITOS!#REF!</f>
        <v>#REF!</v>
      </c>
      <c r="B310" s="12" t="e">
        <f t="shared" si="8"/>
        <v>#REF!</v>
      </c>
      <c r="C310" s="14" t="e">
        <f>INSCRITOS!#REF!</f>
        <v>#REF!</v>
      </c>
      <c r="D310" t="e">
        <f t="shared" si="9"/>
        <v>#REF!</v>
      </c>
    </row>
    <row r="311" spans="1:4" ht="119.25" customHeight="1" x14ac:dyDescent="0.25">
      <c r="A311" s="14" t="e">
        <f>INSCRITOS!#REF!</f>
        <v>#REF!</v>
      </c>
      <c r="B311" s="12" t="e">
        <f t="shared" si="8"/>
        <v>#REF!</v>
      </c>
      <c r="C311" s="14" t="e">
        <f>INSCRITOS!#REF!</f>
        <v>#REF!</v>
      </c>
      <c r="D311" t="e">
        <f t="shared" si="9"/>
        <v>#REF!</v>
      </c>
    </row>
    <row r="312" spans="1:4" ht="119.25" customHeight="1" x14ac:dyDescent="0.25">
      <c r="A312" s="14" t="e">
        <f>INSCRITOS!#REF!</f>
        <v>#REF!</v>
      </c>
      <c r="B312" s="12" t="e">
        <f t="shared" si="8"/>
        <v>#REF!</v>
      </c>
      <c r="C312" s="14" t="e">
        <f>INSCRITOS!#REF!</f>
        <v>#REF!</v>
      </c>
      <c r="D312" t="e">
        <f t="shared" si="9"/>
        <v>#REF!</v>
      </c>
    </row>
    <row r="313" spans="1:4" ht="119.25" customHeight="1" x14ac:dyDescent="0.25">
      <c r="A313" s="14" t="e">
        <f>INSCRITOS!#REF!</f>
        <v>#REF!</v>
      </c>
      <c r="B313" s="12" t="e">
        <f t="shared" si="8"/>
        <v>#REF!</v>
      </c>
      <c r="C313" s="14" t="e">
        <f>INSCRITOS!#REF!</f>
        <v>#REF!</v>
      </c>
      <c r="D313" t="e">
        <f t="shared" si="9"/>
        <v>#REF!</v>
      </c>
    </row>
    <row r="314" spans="1:4" ht="119.25" customHeight="1" x14ac:dyDescent="0.25">
      <c r="A314" s="14" t="e">
        <f>INSCRITOS!#REF!</f>
        <v>#REF!</v>
      </c>
      <c r="B314" s="12" t="e">
        <f t="shared" si="8"/>
        <v>#REF!</v>
      </c>
      <c r="C314" s="14" t="e">
        <f>INSCRITOS!#REF!</f>
        <v>#REF!</v>
      </c>
      <c r="D314" t="e">
        <f t="shared" si="9"/>
        <v>#REF!</v>
      </c>
    </row>
    <row r="315" spans="1:4" ht="119.25" customHeight="1" x14ac:dyDescent="0.25">
      <c r="A315" s="14" t="e">
        <f>INSCRITOS!#REF!</f>
        <v>#REF!</v>
      </c>
      <c r="B315" s="12" t="e">
        <f t="shared" si="8"/>
        <v>#REF!</v>
      </c>
      <c r="C315" s="14" t="e">
        <f>INSCRITOS!#REF!</f>
        <v>#REF!</v>
      </c>
      <c r="D315" t="e">
        <f t="shared" si="9"/>
        <v>#REF!</v>
      </c>
    </row>
    <row r="316" spans="1:4" ht="119.25" customHeight="1" x14ac:dyDescent="0.25">
      <c r="A316" s="14" t="e">
        <f>INSCRITOS!#REF!</f>
        <v>#REF!</v>
      </c>
      <c r="B316" s="12" t="e">
        <f t="shared" si="8"/>
        <v>#REF!</v>
      </c>
      <c r="C316" s="14" t="e">
        <f>INSCRITOS!#REF!</f>
        <v>#REF!</v>
      </c>
      <c r="D316" t="e">
        <f t="shared" si="9"/>
        <v>#REF!</v>
      </c>
    </row>
    <row r="317" spans="1:4" ht="119.25" customHeight="1" x14ac:dyDescent="0.25">
      <c r="A317" s="14" t="e">
        <f>INSCRITOS!#REF!</f>
        <v>#REF!</v>
      </c>
      <c r="B317" s="12" t="e">
        <f t="shared" si="8"/>
        <v>#REF!</v>
      </c>
      <c r="C317" s="14" t="e">
        <f>INSCRITOS!#REF!</f>
        <v>#REF!</v>
      </c>
      <c r="D317" t="e">
        <f t="shared" si="9"/>
        <v>#REF!</v>
      </c>
    </row>
    <row r="318" spans="1:4" ht="119.25" customHeight="1" x14ac:dyDescent="0.25">
      <c r="A318" s="14" t="e">
        <f>INSCRITOS!#REF!</f>
        <v>#REF!</v>
      </c>
      <c r="B318" s="12" t="e">
        <f t="shared" si="8"/>
        <v>#REF!</v>
      </c>
      <c r="C318" s="14" t="e">
        <f>INSCRITOS!#REF!</f>
        <v>#REF!</v>
      </c>
      <c r="D318" t="e">
        <f t="shared" si="9"/>
        <v>#REF!</v>
      </c>
    </row>
    <row r="319" spans="1:4" ht="119.25" customHeight="1" x14ac:dyDescent="0.25">
      <c r="A319" s="14" t="e">
        <f>INSCRITOS!#REF!</f>
        <v>#REF!</v>
      </c>
      <c r="B319" s="12" t="e">
        <f t="shared" si="8"/>
        <v>#REF!</v>
      </c>
      <c r="C319" s="14" t="e">
        <f>INSCRITOS!#REF!</f>
        <v>#REF!</v>
      </c>
      <c r="D319" t="e">
        <f t="shared" si="9"/>
        <v>#REF!</v>
      </c>
    </row>
    <row r="320" spans="1:4" ht="119.25" customHeight="1" x14ac:dyDescent="0.25">
      <c r="A320" s="14" t="e">
        <f>INSCRITOS!#REF!</f>
        <v>#REF!</v>
      </c>
      <c r="B320" s="12" t="e">
        <f t="shared" si="8"/>
        <v>#REF!</v>
      </c>
      <c r="C320" s="14" t="e">
        <f>INSCRITOS!#REF!</f>
        <v>#REF!</v>
      </c>
      <c r="D320" t="e">
        <f t="shared" si="9"/>
        <v>#REF!</v>
      </c>
    </row>
    <row r="321" spans="1:4" ht="119.25" customHeight="1" x14ac:dyDescent="0.25">
      <c r="A321" s="14" t="e">
        <f>INSCRITOS!#REF!</f>
        <v>#REF!</v>
      </c>
      <c r="B321" s="12" t="e">
        <f t="shared" si="8"/>
        <v>#REF!</v>
      </c>
      <c r="C321" s="14" t="e">
        <f>INSCRITOS!#REF!</f>
        <v>#REF!</v>
      </c>
      <c r="D321" t="e">
        <f t="shared" si="9"/>
        <v>#REF!</v>
      </c>
    </row>
    <row r="322" spans="1:4" ht="119.25" customHeight="1" x14ac:dyDescent="0.25">
      <c r="A322" s="14" t="e">
        <f>INSCRITOS!#REF!</f>
        <v>#REF!</v>
      </c>
      <c r="B322" s="12" t="e">
        <f t="shared" si="8"/>
        <v>#REF!</v>
      </c>
      <c r="C322" s="14" t="e">
        <f>INSCRITOS!#REF!</f>
        <v>#REF!</v>
      </c>
      <c r="D322" t="e">
        <f t="shared" si="9"/>
        <v>#REF!</v>
      </c>
    </row>
    <row r="323" spans="1:4" ht="119.25" customHeight="1" x14ac:dyDescent="0.25">
      <c r="A323" s="14" t="e">
        <f>INSCRITOS!#REF!</f>
        <v>#REF!</v>
      </c>
      <c r="B323" s="12" t="e">
        <f t="shared" si="8"/>
        <v>#REF!</v>
      </c>
      <c r="C323" s="14" t="e">
        <f>INSCRITOS!#REF!</f>
        <v>#REF!</v>
      </c>
      <c r="D323" t="e">
        <f t="shared" si="9"/>
        <v>#REF!</v>
      </c>
    </row>
    <row r="324" spans="1:4" ht="119.25" customHeight="1" x14ac:dyDescent="0.25">
      <c r="A324" s="14" t="e">
        <f>INSCRITOS!#REF!</f>
        <v>#REF!</v>
      </c>
      <c r="B324" s="12" t="e">
        <f t="shared" si="8"/>
        <v>#REF!</v>
      </c>
      <c r="C324" s="14" t="e">
        <f>INSCRITOS!#REF!</f>
        <v>#REF!</v>
      </c>
      <c r="D324" t="e">
        <f t="shared" si="9"/>
        <v>#REF!</v>
      </c>
    </row>
    <row r="325" spans="1:4" ht="119.25" customHeight="1" x14ac:dyDescent="0.25">
      <c r="A325" s="14" t="e">
        <f>INSCRITOS!#REF!</f>
        <v>#REF!</v>
      </c>
      <c r="B325" s="12" t="e">
        <f t="shared" si="8"/>
        <v>#REF!</v>
      </c>
      <c r="C325" s="14" t="e">
        <f>INSCRITOS!#REF!</f>
        <v>#REF!</v>
      </c>
      <c r="D325" t="e">
        <f t="shared" si="9"/>
        <v>#REF!</v>
      </c>
    </row>
    <row r="326" spans="1:4" ht="119.25" customHeight="1" x14ac:dyDescent="0.25">
      <c r="A326" s="14" t="e">
        <f>INSCRITOS!#REF!</f>
        <v>#REF!</v>
      </c>
      <c r="B326" s="12" t="e">
        <f t="shared" si="8"/>
        <v>#REF!</v>
      </c>
      <c r="C326" s="14" t="e">
        <f>INSCRITOS!#REF!</f>
        <v>#REF!</v>
      </c>
      <c r="D326" t="e">
        <f t="shared" si="9"/>
        <v>#REF!</v>
      </c>
    </row>
    <row r="327" spans="1:4" ht="119.25" customHeight="1" x14ac:dyDescent="0.25">
      <c r="A327" s="14" t="e">
        <f>INSCRITOS!#REF!</f>
        <v>#REF!</v>
      </c>
      <c r="B327" s="12" t="e">
        <f t="shared" si="8"/>
        <v>#REF!</v>
      </c>
      <c r="C327" s="14" t="e">
        <f>INSCRITOS!#REF!</f>
        <v>#REF!</v>
      </c>
      <c r="D327" t="e">
        <f t="shared" si="9"/>
        <v>#REF!</v>
      </c>
    </row>
    <row r="328" spans="1:4" ht="119.25" customHeight="1" x14ac:dyDescent="0.25">
      <c r="A328" s="14" t="e">
        <f>INSCRITOS!#REF!</f>
        <v>#REF!</v>
      </c>
      <c r="B328" s="12" t="e">
        <f t="shared" si="8"/>
        <v>#REF!</v>
      </c>
      <c r="C328" s="14" t="e">
        <f>INSCRITOS!#REF!</f>
        <v>#REF!</v>
      </c>
      <c r="D328" t="e">
        <f t="shared" si="9"/>
        <v>#REF!</v>
      </c>
    </row>
    <row r="329" spans="1:4" ht="119.25" customHeight="1" x14ac:dyDescent="0.25">
      <c r="A329" s="14" t="e">
        <f>INSCRITOS!#REF!</f>
        <v>#REF!</v>
      </c>
      <c r="B329" s="12" t="e">
        <f t="shared" si="8"/>
        <v>#REF!</v>
      </c>
      <c r="C329" s="14" t="e">
        <f>INSCRITOS!#REF!</f>
        <v>#REF!</v>
      </c>
      <c r="D329" t="e">
        <f t="shared" si="9"/>
        <v>#REF!</v>
      </c>
    </row>
    <row r="330" spans="1:4" ht="119.25" customHeight="1" x14ac:dyDescent="0.25">
      <c r="A330" s="14" t="e">
        <f>INSCRITOS!#REF!</f>
        <v>#REF!</v>
      </c>
      <c r="B330" s="12" t="e">
        <f t="shared" si="8"/>
        <v>#REF!</v>
      </c>
      <c r="C330" s="14" t="e">
        <f>INSCRITOS!#REF!</f>
        <v>#REF!</v>
      </c>
      <c r="D330" t="e">
        <f t="shared" si="9"/>
        <v>#REF!</v>
      </c>
    </row>
    <row r="331" spans="1:4" ht="119.25" customHeight="1" x14ac:dyDescent="0.25">
      <c r="A331" s="14" t="e">
        <f>INSCRITOS!#REF!</f>
        <v>#REF!</v>
      </c>
      <c r="B331" s="12" t="e">
        <f t="shared" si="8"/>
        <v>#REF!</v>
      </c>
      <c r="C331" s="14" t="e">
        <f>INSCRITOS!#REF!</f>
        <v>#REF!</v>
      </c>
      <c r="D331" t="e">
        <f t="shared" si="9"/>
        <v>#REF!</v>
      </c>
    </row>
    <row r="332" spans="1:4" ht="119.25" customHeight="1" x14ac:dyDescent="0.25">
      <c r="A332" s="14" t="e">
        <f>INSCRITOS!#REF!</f>
        <v>#REF!</v>
      </c>
      <c r="B332" s="12" t="e">
        <f t="shared" si="8"/>
        <v>#REF!</v>
      </c>
      <c r="C332" s="14" t="e">
        <f>INSCRITOS!#REF!</f>
        <v>#REF!</v>
      </c>
      <c r="D332" t="e">
        <f t="shared" si="9"/>
        <v>#REF!</v>
      </c>
    </row>
    <row r="333" spans="1:4" ht="119.25" customHeight="1" x14ac:dyDescent="0.25">
      <c r="A333" s="14" t="e">
        <f>INSCRITOS!#REF!</f>
        <v>#REF!</v>
      </c>
      <c r="B333" s="12" t="e">
        <f t="shared" si="8"/>
        <v>#REF!</v>
      </c>
      <c r="C333" s="14" t="e">
        <f>INSCRITOS!#REF!</f>
        <v>#REF!</v>
      </c>
      <c r="D333" t="e">
        <f t="shared" si="9"/>
        <v>#REF!</v>
      </c>
    </row>
    <row r="334" spans="1:4" ht="119.25" customHeight="1" x14ac:dyDescent="0.25">
      <c r="A334" s="14" t="e">
        <f>INSCRITOS!#REF!</f>
        <v>#REF!</v>
      </c>
      <c r="B334" s="12" t="e">
        <f t="shared" si="8"/>
        <v>#REF!</v>
      </c>
      <c r="C334" s="14" t="e">
        <f>INSCRITOS!#REF!</f>
        <v>#REF!</v>
      </c>
      <c r="D334" t="e">
        <f t="shared" si="9"/>
        <v>#REF!</v>
      </c>
    </row>
    <row r="335" spans="1:4" ht="119.25" customHeight="1" x14ac:dyDescent="0.25">
      <c r="A335" s="14" t="e">
        <f>INSCRITOS!#REF!</f>
        <v>#REF!</v>
      </c>
      <c r="B335" s="12" t="e">
        <f t="shared" si="8"/>
        <v>#REF!</v>
      </c>
      <c r="C335" s="14" t="e">
        <f>INSCRITOS!#REF!</f>
        <v>#REF!</v>
      </c>
      <c r="D335" t="e">
        <f t="shared" si="9"/>
        <v>#REF!</v>
      </c>
    </row>
    <row r="336" spans="1:4" ht="119.25" customHeight="1" x14ac:dyDescent="0.25">
      <c r="A336" s="14" t="e">
        <f>INSCRITOS!#REF!</f>
        <v>#REF!</v>
      </c>
      <c r="B336" s="12" t="e">
        <f t="shared" si="8"/>
        <v>#REF!</v>
      </c>
      <c r="C336" s="14" t="e">
        <f>INSCRITOS!#REF!</f>
        <v>#REF!</v>
      </c>
      <c r="D336" t="e">
        <f t="shared" si="9"/>
        <v>#REF!</v>
      </c>
    </row>
    <row r="337" spans="1:4" ht="119.25" customHeight="1" x14ac:dyDescent="0.25">
      <c r="A337" s="14" t="e">
        <f>INSCRITOS!#REF!</f>
        <v>#REF!</v>
      </c>
      <c r="B337" s="12" t="e">
        <f t="shared" si="8"/>
        <v>#REF!</v>
      </c>
      <c r="C337" s="14" t="e">
        <f>INSCRITOS!#REF!</f>
        <v>#REF!</v>
      </c>
      <c r="D337" t="e">
        <f t="shared" si="9"/>
        <v>#REF!</v>
      </c>
    </row>
    <row r="338" spans="1:4" ht="119.25" customHeight="1" x14ac:dyDescent="0.25">
      <c r="A338" s="14" t="e">
        <f>INSCRITOS!#REF!</f>
        <v>#REF!</v>
      </c>
      <c r="B338" s="12" t="e">
        <f t="shared" si="8"/>
        <v>#REF!</v>
      </c>
      <c r="C338" s="14" t="e">
        <f>INSCRITOS!#REF!</f>
        <v>#REF!</v>
      </c>
      <c r="D338" t="e">
        <f t="shared" si="9"/>
        <v>#REF!</v>
      </c>
    </row>
    <row r="339" spans="1:4" ht="119.25" customHeight="1" x14ac:dyDescent="0.25">
      <c r="A339" s="14" t="e">
        <f>INSCRITOS!#REF!</f>
        <v>#REF!</v>
      </c>
      <c r="B339" s="12" t="e">
        <f t="shared" si="8"/>
        <v>#REF!</v>
      </c>
      <c r="C339" s="14" t="e">
        <f>INSCRITOS!#REF!</f>
        <v>#REF!</v>
      </c>
      <c r="D339" t="e">
        <f t="shared" si="9"/>
        <v>#REF!</v>
      </c>
    </row>
    <row r="340" spans="1:4" ht="119.25" customHeight="1" x14ac:dyDescent="0.25">
      <c r="A340" s="14" t="e">
        <f>INSCRITOS!#REF!</f>
        <v>#REF!</v>
      </c>
      <c r="B340" s="12" t="e">
        <f t="shared" si="8"/>
        <v>#REF!</v>
      </c>
      <c r="C340" s="14" t="e">
        <f>INSCRITOS!#REF!</f>
        <v>#REF!</v>
      </c>
      <c r="D340" t="e">
        <f t="shared" si="9"/>
        <v>#REF!</v>
      </c>
    </row>
    <row r="341" spans="1:4" ht="119.25" customHeight="1" x14ac:dyDescent="0.25">
      <c r="A341" s="14" t="e">
        <f>INSCRITOS!#REF!</f>
        <v>#REF!</v>
      </c>
      <c r="B341" s="12" t="e">
        <f t="shared" si="8"/>
        <v>#REF!</v>
      </c>
      <c r="C341" s="14" t="e">
        <f>INSCRITOS!#REF!</f>
        <v>#REF!</v>
      </c>
      <c r="D341" t="e">
        <f t="shared" si="9"/>
        <v>#REF!</v>
      </c>
    </row>
    <row r="342" spans="1:4" ht="119.25" customHeight="1" x14ac:dyDescent="0.25">
      <c r="A342" s="14" t="e">
        <f>INSCRITOS!#REF!</f>
        <v>#REF!</v>
      </c>
      <c r="B342" s="12" t="e">
        <f t="shared" si="8"/>
        <v>#REF!</v>
      </c>
      <c r="C342" s="14" t="e">
        <f>INSCRITOS!#REF!</f>
        <v>#REF!</v>
      </c>
      <c r="D342" t="e">
        <f t="shared" si="9"/>
        <v>#REF!</v>
      </c>
    </row>
    <row r="343" spans="1:4" ht="119.25" customHeight="1" x14ac:dyDescent="0.25">
      <c r="A343" s="14" t="e">
        <f>INSCRITOS!#REF!</f>
        <v>#REF!</v>
      </c>
      <c r="B343" s="12" t="e">
        <f t="shared" si="8"/>
        <v>#REF!</v>
      </c>
      <c r="C343" s="14" t="e">
        <f>INSCRITOS!#REF!</f>
        <v>#REF!</v>
      </c>
      <c r="D343" t="e">
        <f t="shared" si="9"/>
        <v>#REF!</v>
      </c>
    </row>
    <row r="344" spans="1:4" ht="119.25" customHeight="1" x14ac:dyDescent="0.25">
      <c r="A344" s="14" t="e">
        <f>INSCRITOS!#REF!</f>
        <v>#REF!</v>
      </c>
      <c r="B344" s="12" t="e">
        <f t="shared" si="8"/>
        <v>#REF!</v>
      </c>
      <c r="C344" s="14" t="e">
        <f>INSCRITOS!#REF!</f>
        <v>#REF!</v>
      </c>
      <c r="D344" t="e">
        <f t="shared" si="9"/>
        <v>#REF!</v>
      </c>
    </row>
    <row r="345" spans="1:4" ht="119.25" customHeight="1" x14ac:dyDescent="0.25">
      <c r="A345" s="14" t="e">
        <f>INSCRITOS!#REF!</f>
        <v>#REF!</v>
      </c>
      <c r="B345" s="12" t="e">
        <f t="shared" si="8"/>
        <v>#REF!</v>
      </c>
      <c r="C345" s="14" t="e">
        <f>INSCRITOS!#REF!</f>
        <v>#REF!</v>
      </c>
      <c r="D345" t="e">
        <f t="shared" si="9"/>
        <v>#REF!</v>
      </c>
    </row>
    <row r="346" spans="1:4" ht="119.25" customHeight="1" x14ac:dyDescent="0.25">
      <c r="A346" s="14" t="e">
        <f>INSCRITOS!#REF!</f>
        <v>#REF!</v>
      </c>
      <c r="B346" s="12" t="e">
        <f t="shared" si="8"/>
        <v>#REF!</v>
      </c>
      <c r="C346" s="14" t="e">
        <f>INSCRITOS!#REF!</f>
        <v>#REF!</v>
      </c>
      <c r="D346" t="e">
        <f t="shared" si="9"/>
        <v>#REF!</v>
      </c>
    </row>
    <row r="347" spans="1:4" ht="119.25" customHeight="1" x14ac:dyDescent="0.25">
      <c r="A347" s="14" t="e">
        <f>INSCRITOS!#REF!</f>
        <v>#REF!</v>
      </c>
      <c r="B347" s="12" t="e">
        <f t="shared" si="8"/>
        <v>#REF!</v>
      </c>
      <c r="C347" s="14" t="e">
        <f>INSCRITOS!#REF!</f>
        <v>#REF!</v>
      </c>
      <c r="D347" t="e">
        <f t="shared" si="9"/>
        <v>#REF!</v>
      </c>
    </row>
    <row r="348" spans="1:4" ht="119.25" customHeight="1" x14ac:dyDescent="0.25">
      <c r="A348" s="14" t="e">
        <f>INSCRITOS!#REF!</f>
        <v>#REF!</v>
      </c>
      <c r="B348" s="12" t="e">
        <f t="shared" si="8"/>
        <v>#REF!</v>
      </c>
      <c r="C348" s="14" t="e">
        <f>INSCRITOS!#REF!</f>
        <v>#REF!</v>
      </c>
      <c r="D348" t="e">
        <f t="shared" si="9"/>
        <v>#REF!</v>
      </c>
    </row>
    <row r="349" spans="1:4" ht="119.25" customHeight="1" x14ac:dyDescent="0.25">
      <c r="A349" s="14" t="e">
        <f>INSCRITOS!#REF!</f>
        <v>#REF!</v>
      </c>
      <c r="B349" s="12" t="e">
        <f t="shared" si="8"/>
        <v>#REF!</v>
      </c>
      <c r="C349" s="14" t="e">
        <f>INSCRITOS!#REF!</f>
        <v>#REF!</v>
      </c>
      <c r="D349" t="e">
        <f t="shared" si="9"/>
        <v>#REF!</v>
      </c>
    </row>
    <row r="350" spans="1:4" ht="119.25" customHeight="1" x14ac:dyDescent="0.25">
      <c r="A350" s="14" t="e">
        <f>INSCRITOS!#REF!</f>
        <v>#REF!</v>
      </c>
      <c r="B350" s="12" t="e">
        <f t="shared" si="8"/>
        <v>#REF!</v>
      </c>
      <c r="C350" s="14" t="e">
        <f>INSCRITOS!#REF!</f>
        <v>#REF!</v>
      </c>
      <c r="D350" t="e">
        <f t="shared" si="9"/>
        <v>#REF!</v>
      </c>
    </row>
    <row r="351" spans="1:4" ht="119.25" customHeight="1" x14ac:dyDescent="0.25">
      <c r="A351" s="14" t="e">
        <f>INSCRITOS!#REF!</f>
        <v>#REF!</v>
      </c>
      <c r="B351" s="12" t="e">
        <f t="shared" si="8"/>
        <v>#REF!</v>
      </c>
      <c r="C351" s="14" t="e">
        <f>INSCRITOS!#REF!</f>
        <v>#REF!</v>
      </c>
      <c r="D351" t="e">
        <f t="shared" si="9"/>
        <v>#REF!</v>
      </c>
    </row>
    <row r="352" spans="1:4" ht="119.25" customHeight="1" x14ac:dyDescent="0.25">
      <c r="A352" s="14" t="e">
        <f>INSCRITOS!#REF!</f>
        <v>#REF!</v>
      </c>
      <c r="B352" s="12" t="e">
        <f t="shared" si="8"/>
        <v>#REF!</v>
      </c>
      <c r="C352" s="14" t="e">
        <f>INSCRITOS!#REF!</f>
        <v>#REF!</v>
      </c>
      <c r="D352" t="e">
        <f t="shared" si="9"/>
        <v>#REF!</v>
      </c>
    </row>
    <row r="353" spans="1:4" ht="119.25" customHeight="1" x14ac:dyDescent="0.25">
      <c r="A353" s="14" t="e">
        <f>INSCRITOS!#REF!</f>
        <v>#REF!</v>
      </c>
      <c r="B353" s="12" t="e">
        <f t="shared" si="8"/>
        <v>#REF!</v>
      </c>
      <c r="C353" s="14" t="e">
        <f>INSCRITOS!#REF!</f>
        <v>#REF!</v>
      </c>
      <c r="D353" t="e">
        <f t="shared" si="9"/>
        <v>#REF!</v>
      </c>
    </row>
    <row r="354" spans="1:4" ht="119.25" customHeight="1" x14ac:dyDescent="0.25">
      <c r="A354" s="14" t="e">
        <f>INSCRITOS!#REF!</f>
        <v>#REF!</v>
      </c>
      <c r="B354" s="12" t="e">
        <f t="shared" si="8"/>
        <v>#REF!</v>
      </c>
      <c r="C354" s="14" t="e">
        <f>INSCRITOS!#REF!</f>
        <v>#REF!</v>
      </c>
      <c r="D354" t="e">
        <f t="shared" si="9"/>
        <v>#REF!</v>
      </c>
    </row>
    <row r="355" spans="1:4" ht="119.25" customHeight="1" x14ac:dyDescent="0.25">
      <c r="A355" s="14" t="e">
        <f>INSCRITOS!#REF!</f>
        <v>#REF!</v>
      </c>
      <c r="B355" s="12" t="e">
        <f t="shared" si="8"/>
        <v>#REF!</v>
      </c>
      <c r="C355" s="14" t="e">
        <f>INSCRITOS!#REF!</f>
        <v>#REF!</v>
      </c>
      <c r="D355" t="e">
        <f t="shared" si="9"/>
        <v>#REF!</v>
      </c>
    </row>
  </sheetData>
  <hyperlinks>
    <hyperlink ref="B39" r:id="rId1" display="https://centrodecapacitaciondelsur.com/soporte-basico-de-vida-" xr:uid="{00000000-0004-0000-0300-000000000000}"/>
    <hyperlink ref="B40" r:id="rId2" display="https://centrodecapacitaciondelsur.com/soporte-basico-de-vida-" xr:uid="{00000000-0004-0000-0300-000001000000}"/>
    <hyperlink ref="B41" r:id="rId3" display="https://centrodecapacitaciondelsur.com/soporte-basico-de-vida-" xr:uid="{00000000-0004-0000-0300-000002000000}"/>
    <hyperlink ref="B42" r:id="rId4" display="https://centrodecapacitaciondelsur.com/soporte-basico-de-vida-" xr:uid="{00000000-0004-0000-0300-000003000000}"/>
    <hyperlink ref="B43" r:id="rId5" display="https://centrodecapacitaciondelsur.com/soporte-basico-de-vida-" xr:uid="{00000000-0004-0000-0300-000004000000}"/>
    <hyperlink ref="B44" r:id="rId6" display="https://centrodecapacitaciondelsur.com/soporte-basico-de-vida-" xr:uid="{00000000-0004-0000-0300-000005000000}"/>
    <hyperlink ref="B45" r:id="rId7" display="https://centrodecapacitaciondelsur.com/soporte-basico-de-vida-" xr:uid="{00000000-0004-0000-0300-000006000000}"/>
    <hyperlink ref="B46" r:id="rId8" display="https://centrodecapacitaciondelsur.com/soporte-basico-de-vida-" xr:uid="{00000000-0004-0000-0300-000007000000}"/>
    <hyperlink ref="B47" r:id="rId9" display="https://centrodecapacitaciondelsur.com/soporte-basico-de-vida-" xr:uid="{00000000-0004-0000-0300-000008000000}"/>
    <hyperlink ref="B48" r:id="rId10" display="https://centrodecapacitaciondelsur.com/soporte-basico-de-vida-" xr:uid="{00000000-0004-0000-0300-000009000000}"/>
    <hyperlink ref="B49" r:id="rId11" display="https://centrodecapacitaciondelsur.com/soporte-basico-de-vida-" xr:uid="{00000000-0004-0000-0300-00000A000000}"/>
    <hyperlink ref="B50" r:id="rId12" display="https://centrodecapacitaciondelsur.com/soporte-basico-de-vida-" xr:uid="{00000000-0004-0000-0300-00000B000000}"/>
    <hyperlink ref="B51" r:id="rId13" display="https://centrodecapacitaciondelsur.com/soporte-basico-de-vida-" xr:uid="{00000000-0004-0000-0300-00000C000000}"/>
    <hyperlink ref="B52" r:id="rId14" display="https://centrodecapacitaciondelsur.com/soporte-basico-de-vida-" xr:uid="{00000000-0004-0000-0300-00000D000000}"/>
    <hyperlink ref="B53" r:id="rId15" display="https://centrodecapacitaciondelsur.com/soporte-basico-de-vida-" xr:uid="{00000000-0004-0000-0300-00000E000000}"/>
    <hyperlink ref="B54" r:id="rId16" display="https://centrodecapacitaciondelsur.com/soporte-basico-de-vida-" xr:uid="{00000000-0004-0000-0300-00000F000000}"/>
    <hyperlink ref="B55" r:id="rId17" display="https://centrodecapacitaciondelsur.com/soporte-basico-de-vida-" xr:uid="{00000000-0004-0000-0300-000010000000}"/>
    <hyperlink ref="B56" r:id="rId18" display="https://centrodecapacitaciondelsur.com/soporte-basico-de-vida-" xr:uid="{00000000-0004-0000-0300-000011000000}"/>
    <hyperlink ref="B57" r:id="rId19" display="https://centrodecapacitaciondelsur.com/soporte-basico-de-vida-" xr:uid="{00000000-0004-0000-0300-000012000000}"/>
    <hyperlink ref="B58" r:id="rId20" display="https://centrodecapacitaciondelsur.com/soporte-basico-de-vida-" xr:uid="{00000000-0004-0000-0300-000013000000}"/>
    <hyperlink ref="B59" r:id="rId21" display="https://centrodecapacitaciondelsur.com/soporte-basico-de-vida-" xr:uid="{00000000-0004-0000-0300-000014000000}"/>
    <hyperlink ref="B60" r:id="rId22" display="https://centrodecapacitaciondelsur.com/soporte-basico-de-vida-" xr:uid="{00000000-0004-0000-0300-000015000000}"/>
    <hyperlink ref="B61" r:id="rId23" display="https://centrodecapacitaciondelsur.com/soporte-basico-de-vida-" xr:uid="{00000000-0004-0000-0300-000016000000}"/>
    <hyperlink ref="B62" r:id="rId24" display="https://centrodecapacitaciondelsur.com/soporte-basico-de-vida-" xr:uid="{00000000-0004-0000-0300-000017000000}"/>
    <hyperlink ref="B63" r:id="rId25" display="https://centrodecapacitaciondelsur.com/soporte-basico-de-vida-" xr:uid="{00000000-0004-0000-0300-000018000000}"/>
    <hyperlink ref="B64" r:id="rId26" display="https://centrodecapacitaciondelsur.com/soporte-basico-de-vida-" xr:uid="{00000000-0004-0000-0300-000019000000}"/>
    <hyperlink ref="B65" r:id="rId27" display="https://centrodecapacitaciondelsur.com/soporte-basico-de-vida-" xr:uid="{00000000-0004-0000-0300-00001A000000}"/>
    <hyperlink ref="B66" r:id="rId28" display="https://centrodecapacitaciondelsur.com/soporte-basico-de-vida-" xr:uid="{00000000-0004-0000-0300-00001B000000}"/>
    <hyperlink ref="B67" r:id="rId29" display="https://centrodecapacitaciondelsur.com/soporte-basico-de-vida-" xr:uid="{00000000-0004-0000-0300-00001C000000}"/>
    <hyperlink ref="B68" r:id="rId30" display="https://centrodecapacitaciondelsur.com/soporte-basico-de-vida-" xr:uid="{00000000-0004-0000-0300-00001D000000}"/>
    <hyperlink ref="B69" r:id="rId31" display="https://centrodecapacitaciondelsur.com/soporte-basico-de-vida-" xr:uid="{00000000-0004-0000-0300-00001E000000}"/>
    <hyperlink ref="B70" r:id="rId32" display="https://centrodecapacitaciondelsur.com/soporte-basico-de-vida-" xr:uid="{00000000-0004-0000-0300-00001F000000}"/>
    <hyperlink ref="B71" r:id="rId33" display="https://centrodecapacitaciondelsur.com/soporte-basico-de-vida-" xr:uid="{00000000-0004-0000-0300-000020000000}"/>
    <hyperlink ref="B72" r:id="rId34" display="https://centrodecapacitaciondelsur.com/soporte-basico-de-vida-" xr:uid="{00000000-0004-0000-0300-000021000000}"/>
    <hyperlink ref="B73" r:id="rId35" display="https://centrodecapacitaciondelsur.com/soporte-basico-de-vida-" xr:uid="{00000000-0004-0000-0300-000022000000}"/>
    <hyperlink ref="B74" r:id="rId36" display="https://centrodecapacitaciondelsur.com/soporte-basico-de-vida-" xr:uid="{00000000-0004-0000-0300-000023000000}"/>
    <hyperlink ref="B75" r:id="rId37" display="https://centrodecapacitaciondelsur.com/soporte-basico-de-vida-" xr:uid="{00000000-0004-0000-0300-000024000000}"/>
    <hyperlink ref="B76" r:id="rId38" display="https://centrodecapacitaciondelsur.com/soporte-basico-de-vida-" xr:uid="{00000000-0004-0000-0300-000025000000}"/>
    <hyperlink ref="B77" r:id="rId39" display="https://centrodecapacitaciondelsur.com/soporte-basico-de-vida-" xr:uid="{00000000-0004-0000-0300-000026000000}"/>
    <hyperlink ref="B78" r:id="rId40" display="https://centrodecapacitaciondelsur.com/soporte-basico-de-vida-" xr:uid="{00000000-0004-0000-0300-000027000000}"/>
    <hyperlink ref="B79" r:id="rId41" display="https://centrodecapacitaciondelsur.com/soporte-basico-de-vida-" xr:uid="{00000000-0004-0000-0300-000028000000}"/>
    <hyperlink ref="B80" r:id="rId42" display="https://centrodecapacitaciondelsur.com/soporte-basico-de-vida-" xr:uid="{00000000-0004-0000-0300-000029000000}"/>
    <hyperlink ref="B81" r:id="rId43" display="https://centrodecapacitaciondelsur.com/soporte-basico-de-vida-" xr:uid="{00000000-0004-0000-0300-00002A000000}"/>
    <hyperlink ref="B82" r:id="rId44" display="https://centrodecapacitaciondelsur.com/soporte-basico-de-vida-" xr:uid="{00000000-0004-0000-0300-00002B000000}"/>
    <hyperlink ref="B83" r:id="rId45" display="https://centrodecapacitaciondelsur.com/soporte-basico-de-vida-" xr:uid="{00000000-0004-0000-0300-00002C000000}"/>
    <hyperlink ref="B84" r:id="rId46" display="https://centrodecapacitaciondelsur.com/soporte-basico-de-vida-" xr:uid="{00000000-0004-0000-0300-00002D000000}"/>
    <hyperlink ref="B85" r:id="rId47" display="https://centrodecapacitaciondelsur.com/soporte-basico-de-vida-" xr:uid="{00000000-0004-0000-0300-00002E000000}"/>
    <hyperlink ref="B86" r:id="rId48" display="https://centrodecapacitaciondelsur.com/soporte-basico-de-vida-" xr:uid="{00000000-0004-0000-0300-00002F000000}"/>
    <hyperlink ref="B87" r:id="rId49" display="https://centrodecapacitaciondelsur.com/soporte-basico-de-vida-" xr:uid="{00000000-0004-0000-0300-000030000000}"/>
    <hyperlink ref="B88" r:id="rId50" display="https://centrodecapacitaciondelsur.com/soporte-basico-de-vida-" xr:uid="{00000000-0004-0000-0300-000031000000}"/>
    <hyperlink ref="B89" r:id="rId51" display="https://centrodecapacitaciondelsur.com/soporte-basico-de-vida-" xr:uid="{00000000-0004-0000-0300-000032000000}"/>
    <hyperlink ref="B90" r:id="rId52" display="https://centrodecapacitaciondelsur.com/soporte-basico-de-vida-" xr:uid="{00000000-0004-0000-0300-000033000000}"/>
    <hyperlink ref="B91" r:id="rId53" display="https://centrodecapacitaciondelsur.com/soporte-basico-de-vida-" xr:uid="{00000000-0004-0000-0300-000034000000}"/>
    <hyperlink ref="B92" r:id="rId54" display="https://centrodecapacitaciondelsur.com/soporte-basico-de-vida-" xr:uid="{00000000-0004-0000-0300-000035000000}"/>
    <hyperlink ref="B93" r:id="rId55" display="https://centrodecapacitaciondelsur.com/soporte-basico-de-vida-" xr:uid="{00000000-0004-0000-0300-000036000000}"/>
    <hyperlink ref="B94" r:id="rId56" display="https://centrodecapacitaciondelsur.com/soporte-basico-de-vida-" xr:uid="{00000000-0004-0000-0300-000037000000}"/>
    <hyperlink ref="B95" r:id="rId57" display="https://centrodecapacitaciondelsur.com/soporte-basico-de-vida-" xr:uid="{00000000-0004-0000-0300-000038000000}"/>
    <hyperlink ref="B96" r:id="rId58" display="https://centrodecapacitaciondelsur.com/soporte-basico-de-vida-" xr:uid="{00000000-0004-0000-0300-000039000000}"/>
    <hyperlink ref="B97" r:id="rId59" display="https://centrodecapacitaciondelsur.com/soporte-basico-de-vida-" xr:uid="{00000000-0004-0000-0300-00003A000000}"/>
    <hyperlink ref="B98" r:id="rId60" display="https://centrodecapacitaciondelsur.com/soporte-basico-de-vida-" xr:uid="{00000000-0004-0000-0300-00003B000000}"/>
    <hyperlink ref="B99" r:id="rId61" display="https://centrodecapacitaciondelsur.com/soporte-basico-de-vida-" xr:uid="{00000000-0004-0000-0300-00003C000000}"/>
    <hyperlink ref="B100" r:id="rId62" display="https://centrodecapacitaciondelsur.com/soporte-basico-de-vida-" xr:uid="{00000000-0004-0000-0300-00003D000000}"/>
    <hyperlink ref="B101" r:id="rId63" display="https://centrodecapacitaciondelsur.com/soporte-basico-de-vida-" xr:uid="{00000000-0004-0000-0300-00003E000000}"/>
    <hyperlink ref="B102" r:id="rId64" display="https://centrodecapacitaciondelsur.com/soporte-basico-de-vida-" xr:uid="{00000000-0004-0000-0300-00003F000000}"/>
    <hyperlink ref="B103" r:id="rId65" display="https://centrodecapacitaciondelsur.com/soporte-basico-de-vida-" xr:uid="{00000000-0004-0000-0300-000040000000}"/>
    <hyperlink ref="B104" r:id="rId66" display="https://centrodecapacitaciondelsur.com/soporte-basico-de-vida-" xr:uid="{00000000-0004-0000-0300-000041000000}"/>
    <hyperlink ref="B105" r:id="rId67" display="https://centrodecapacitaciondelsur.com/soporte-basico-de-vida-" xr:uid="{00000000-0004-0000-0300-000042000000}"/>
    <hyperlink ref="B106" r:id="rId68" display="https://centrodecapacitaciondelsur.com/soporte-basico-de-vida-" xr:uid="{00000000-0004-0000-0300-000043000000}"/>
    <hyperlink ref="B107" r:id="rId69" display="https://centrodecapacitaciondelsur.com/soporte-basico-de-vida-" xr:uid="{00000000-0004-0000-0300-000044000000}"/>
    <hyperlink ref="B108" r:id="rId70" display="https://centrodecapacitaciondelsur.com/soporte-basico-de-vida-" xr:uid="{00000000-0004-0000-0300-000045000000}"/>
    <hyperlink ref="B109" r:id="rId71" display="https://centrodecapacitaciondelsur.com/soporte-basico-de-vida-" xr:uid="{00000000-0004-0000-0300-000046000000}"/>
    <hyperlink ref="B110" r:id="rId72" display="https://centrodecapacitaciondelsur.com/soporte-basico-de-vida-" xr:uid="{00000000-0004-0000-0300-000047000000}"/>
    <hyperlink ref="B111" r:id="rId73" display="https://centrodecapacitaciondelsur.com/soporte-basico-de-vida-" xr:uid="{00000000-0004-0000-0300-000048000000}"/>
    <hyperlink ref="B112" r:id="rId74" display="https://centrodecapacitaciondelsur.com/soporte-basico-de-vida-" xr:uid="{00000000-0004-0000-0300-000049000000}"/>
    <hyperlink ref="B113" r:id="rId75" display="https://centrodecapacitaciondelsur.com/soporte-basico-de-vida-" xr:uid="{00000000-0004-0000-0300-00004A000000}"/>
    <hyperlink ref="B114" r:id="rId76" display="https://centrodecapacitaciondelsur.com/soporte-basico-de-vida-" xr:uid="{00000000-0004-0000-0300-00004B000000}"/>
    <hyperlink ref="B115" r:id="rId77" display="https://centrodecapacitaciondelsur.com/soporte-basico-de-vida-" xr:uid="{00000000-0004-0000-0300-00004C000000}"/>
    <hyperlink ref="B116" r:id="rId78" display="https://centrodecapacitaciondelsur.com/soporte-basico-de-vida-" xr:uid="{00000000-0004-0000-0300-00004D000000}"/>
    <hyperlink ref="B117" r:id="rId79" display="https://centrodecapacitaciondelsur.com/soporte-basico-de-vida-" xr:uid="{00000000-0004-0000-0300-00004E000000}"/>
    <hyperlink ref="B118" r:id="rId80" display="https://centrodecapacitaciondelsur.com/soporte-basico-de-vida-" xr:uid="{00000000-0004-0000-0300-00004F000000}"/>
    <hyperlink ref="B119" r:id="rId81" display="https://centrodecapacitaciondelsur.com/soporte-basico-de-vida-" xr:uid="{00000000-0004-0000-0300-000050000000}"/>
    <hyperlink ref="B120" r:id="rId82" display="https://centrodecapacitaciondelsur.com/soporte-basico-de-vida-" xr:uid="{00000000-0004-0000-0300-000051000000}"/>
    <hyperlink ref="B121" r:id="rId83" display="https://centrodecapacitaciondelsur.com/soporte-basico-de-vida-" xr:uid="{00000000-0004-0000-0300-000052000000}"/>
    <hyperlink ref="B122" r:id="rId84" display="https://centrodecapacitaciondelsur.com/soporte-basico-de-vida-" xr:uid="{00000000-0004-0000-0300-000053000000}"/>
    <hyperlink ref="B123" r:id="rId85" display="https://centrodecapacitaciondelsur.com/soporte-basico-de-vida-" xr:uid="{00000000-0004-0000-0300-000054000000}"/>
    <hyperlink ref="B124" r:id="rId86" display="https://centrodecapacitaciondelsur.com/soporte-basico-de-vida-" xr:uid="{00000000-0004-0000-0300-000055000000}"/>
    <hyperlink ref="B125" r:id="rId87" display="https://centrodecapacitaciondelsur.com/soporte-basico-de-vida-" xr:uid="{00000000-0004-0000-0300-000056000000}"/>
    <hyperlink ref="B126" r:id="rId88" display="https://centrodecapacitaciondelsur.com/soporte-basico-de-vida-" xr:uid="{00000000-0004-0000-0300-000057000000}"/>
    <hyperlink ref="B127" r:id="rId89" display="https://centrodecapacitaciondelsur.com/soporte-basico-de-vida-" xr:uid="{00000000-0004-0000-0300-000058000000}"/>
    <hyperlink ref="B128" r:id="rId90" display="https://centrodecapacitaciondelsur.com/soporte-basico-de-vida-" xr:uid="{00000000-0004-0000-0300-000059000000}"/>
    <hyperlink ref="B129" r:id="rId91" display="https://centrodecapacitaciondelsur.com/soporte-basico-de-vida-" xr:uid="{00000000-0004-0000-0300-00005A000000}"/>
    <hyperlink ref="B130" r:id="rId92" display="https://centrodecapacitaciondelsur.com/soporte-basico-de-vida-" xr:uid="{00000000-0004-0000-0300-00005B000000}"/>
    <hyperlink ref="B131" r:id="rId93" display="https://centrodecapacitaciondelsur.com/soporte-basico-de-vida-" xr:uid="{00000000-0004-0000-0300-00005C000000}"/>
    <hyperlink ref="B132" r:id="rId94" display="https://centrodecapacitaciondelsur.com/soporte-basico-de-vida-" xr:uid="{00000000-0004-0000-0300-00005D000000}"/>
    <hyperlink ref="B133" r:id="rId95" display="https://centrodecapacitaciondelsur.com/soporte-basico-de-vida-" xr:uid="{00000000-0004-0000-0300-00005E000000}"/>
    <hyperlink ref="B134" r:id="rId96" display="https://centrodecapacitaciondelsur.com/soporte-basico-de-vida-" xr:uid="{00000000-0004-0000-0300-00005F000000}"/>
    <hyperlink ref="B135" r:id="rId97" display="https://centrodecapacitaciondelsur.com/soporte-basico-de-vida-" xr:uid="{00000000-0004-0000-0300-000060000000}"/>
    <hyperlink ref="B136" r:id="rId98" display="https://centrodecapacitaciondelsur.com/soporte-basico-de-vida-" xr:uid="{00000000-0004-0000-0300-000061000000}"/>
    <hyperlink ref="B137" r:id="rId99" display="https://centrodecapacitaciondelsur.com/soporte-basico-de-vida-" xr:uid="{00000000-0004-0000-0300-000062000000}"/>
    <hyperlink ref="B138" r:id="rId100" display="https://centrodecapacitaciondelsur.com/soporte-basico-de-vida-" xr:uid="{00000000-0004-0000-0300-000063000000}"/>
    <hyperlink ref="B139" r:id="rId101" display="https://centrodecapacitaciondelsur.com/soporte-basico-de-vida-" xr:uid="{00000000-0004-0000-0300-000064000000}"/>
    <hyperlink ref="B140" r:id="rId102" display="https://centrodecapacitaciondelsur.com/soporte-basico-de-vida-" xr:uid="{00000000-0004-0000-0300-000065000000}"/>
    <hyperlink ref="B141" r:id="rId103" display="https://centrodecapacitaciondelsur.com/soporte-basico-de-vida-" xr:uid="{00000000-0004-0000-0300-000066000000}"/>
    <hyperlink ref="B142" r:id="rId104" display="https://centrodecapacitaciondelsur.com/soporte-basico-de-vida-" xr:uid="{00000000-0004-0000-0300-000067000000}"/>
    <hyperlink ref="B143" r:id="rId105" display="https://centrodecapacitaciondelsur.com/soporte-basico-de-vida-" xr:uid="{00000000-0004-0000-0300-000068000000}"/>
    <hyperlink ref="B144" r:id="rId106" display="https://centrodecapacitaciondelsur.com/soporte-basico-de-vida-" xr:uid="{00000000-0004-0000-0300-000069000000}"/>
    <hyperlink ref="B145" r:id="rId107" display="https://centrodecapacitaciondelsur.com/soporte-basico-de-vida-" xr:uid="{00000000-0004-0000-0300-00006A000000}"/>
    <hyperlink ref="B146" r:id="rId108" display="https://centrodecapacitaciondelsur.com/soporte-basico-de-vida-" xr:uid="{00000000-0004-0000-0300-00006B000000}"/>
    <hyperlink ref="B147" r:id="rId109" display="https://centrodecapacitaciondelsur.com/soporte-basico-de-vida-" xr:uid="{00000000-0004-0000-0300-00006C000000}"/>
    <hyperlink ref="B148" r:id="rId110" display="https://centrodecapacitaciondelsur.com/soporte-basico-de-vida-" xr:uid="{00000000-0004-0000-0300-00006D000000}"/>
    <hyperlink ref="B149" r:id="rId111" display="https://centrodecapacitaciondelsur.com/soporte-basico-de-vida-" xr:uid="{00000000-0004-0000-0300-00006E000000}"/>
    <hyperlink ref="B150" r:id="rId112" display="https://centrodecapacitaciondelsur.com/soporte-basico-de-vida-" xr:uid="{00000000-0004-0000-0300-00006F000000}"/>
    <hyperlink ref="B151" r:id="rId113" display="https://centrodecapacitaciondelsur.com/soporte-basico-de-vida-" xr:uid="{00000000-0004-0000-0300-000070000000}"/>
    <hyperlink ref="B152" r:id="rId114" display="https://centrodecapacitaciondelsur.com/soporte-basico-de-vida-" xr:uid="{00000000-0004-0000-0300-000071000000}"/>
    <hyperlink ref="B153" r:id="rId115" display="https://centrodecapacitaciondelsur.com/soporte-basico-de-vida-" xr:uid="{00000000-0004-0000-0300-000072000000}"/>
    <hyperlink ref="B154" r:id="rId116" display="https://centrodecapacitaciondelsur.com/soporte-basico-de-vida-" xr:uid="{00000000-0004-0000-0300-000073000000}"/>
    <hyperlink ref="B155" r:id="rId117" display="https://centrodecapacitaciondelsur.com/soporte-basico-de-vida-" xr:uid="{00000000-0004-0000-0300-000074000000}"/>
    <hyperlink ref="B156" r:id="rId118" display="https://centrodecapacitaciondelsur.com/soporte-basico-de-vida-" xr:uid="{00000000-0004-0000-0300-000075000000}"/>
    <hyperlink ref="B157" r:id="rId119" display="https://centrodecapacitaciondelsur.com/soporte-basico-de-vida-" xr:uid="{00000000-0004-0000-0300-000076000000}"/>
    <hyperlink ref="B158" r:id="rId120" display="https://centrodecapacitaciondelsur.com/soporte-basico-de-vida-" xr:uid="{00000000-0004-0000-0300-000077000000}"/>
    <hyperlink ref="B159" r:id="rId121" display="https://centrodecapacitaciondelsur.com/soporte-basico-de-vida-" xr:uid="{00000000-0004-0000-0300-000078000000}"/>
    <hyperlink ref="B160" r:id="rId122" display="https://centrodecapacitaciondelsur.com/soporte-basico-de-vida-" xr:uid="{00000000-0004-0000-0300-000079000000}"/>
    <hyperlink ref="B161" r:id="rId123" display="https://centrodecapacitaciondelsur.com/soporte-basico-de-vida-" xr:uid="{00000000-0004-0000-0300-00007A000000}"/>
    <hyperlink ref="B162" r:id="rId124" display="https://centrodecapacitaciondelsur.com/soporte-basico-de-vida-" xr:uid="{00000000-0004-0000-0300-00007B000000}"/>
    <hyperlink ref="B163" r:id="rId125" display="https://centrodecapacitaciondelsur.com/soporte-basico-de-vida-" xr:uid="{00000000-0004-0000-0300-00007C000000}"/>
    <hyperlink ref="B164" r:id="rId126" display="https://centrodecapacitaciondelsur.com/soporte-basico-de-vida-" xr:uid="{00000000-0004-0000-0300-00007D000000}"/>
    <hyperlink ref="B165" r:id="rId127" display="https://centrodecapacitaciondelsur.com/soporte-basico-de-vida-" xr:uid="{00000000-0004-0000-0300-00007E000000}"/>
    <hyperlink ref="B166" r:id="rId128" display="https://centrodecapacitaciondelsur.com/soporte-basico-de-vida-" xr:uid="{00000000-0004-0000-0300-00007F000000}"/>
    <hyperlink ref="B167" r:id="rId129" display="https://centrodecapacitaciondelsur.com/soporte-basico-de-vida-" xr:uid="{00000000-0004-0000-0300-000080000000}"/>
    <hyperlink ref="B168" r:id="rId130" display="https://centrodecapacitaciondelsur.com/soporte-basico-de-vida-" xr:uid="{00000000-0004-0000-0300-000081000000}"/>
    <hyperlink ref="B169" r:id="rId131" display="https://centrodecapacitaciondelsur.com/soporte-basico-de-vida-" xr:uid="{00000000-0004-0000-0300-000082000000}"/>
    <hyperlink ref="B170" r:id="rId132" display="https://centrodecapacitaciondelsur.com/soporte-basico-de-vida-" xr:uid="{00000000-0004-0000-0300-000083000000}"/>
    <hyperlink ref="B171" r:id="rId133" display="https://centrodecapacitaciondelsur.com/soporte-basico-de-vida-" xr:uid="{00000000-0004-0000-0300-000084000000}"/>
    <hyperlink ref="B172" r:id="rId134" display="https://centrodecapacitaciondelsur.com/soporte-basico-de-vida-" xr:uid="{00000000-0004-0000-0300-000085000000}"/>
    <hyperlink ref="B173" r:id="rId135" display="https://centrodecapacitaciondelsur.com/soporte-basico-de-vida-" xr:uid="{00000000-0004-0000-0300-000086000000}"/>
    <hyperlink ref="B174" r:id="rId136" display="https://centrodecapacitaciondelsur.com/soporte-basico-de-vida-" xr:uid="{00000000-0004-0000-0300-000087000000}"/>
    <hyperlink ref="B175" r:id="rId137" display="https://centrodecapacitaciondelsur.com/soporte-basico-de-vida-" xr:uid="{00000000-0004-0000-0300-000088000000}"/>
    <hyperlink ref="B176" r:id="rId138" display="https://centrodecapacitaciondelsur.com/soporte-basico-de-vida-" xr:uid="{00000000-0004-0000-0300-000089000000}"/>
    <hyperlink ref="B177" r:id="rId139" display="https://centrodecapacitaciondelsur.com/soporte-basico-de-vida-" xr:uid="{00000000-0004-0000-0300-00008A000000}"/>
    <hyperlink ref="B178" r:id="rId140" display="https://centrodecapacitaciondelsur.com/soporte-basico-de-vida-" xr:uid="{00000000-0004-0000-0300-00008B000000}"/>
    <hyperlink ref="B179" r:id="rId141" display="https://centrodecapacitaciondelsur.com/soporte-basico-de-vida-" xr:uid="{00000000-0004-0000-0300-00008C000000}"/>
    <hyperlink ref="B180" r:id="rId142" display="https://centrodecapacitaciondelsur.com/soporte-basico-de-vida-" xr:uid="{00000000-0004-0000-0300-00008D000000}"/>
    <hyperlink ref="B181" r:id="rId143" display="https://centrodecapacitaciondelsur.com/soporte-basico-de-vida-" xr:uid="{00000000-0004-0000-0300-00008E000000}"/>
    <hyperlink ref="B182" r:id="rId144" display="https://centrodecapacitaciondelsur.com/soporte-basico-de-vida-" xr:uid="{00000000-0004-0000-0300-00008F000000}"/>
    <hyperlink ref="B183" r:id="rId145" display="https://centrodecapacitaciondelsur.com/soporte-basico-de-vida-" xr:uid="{00000000-0004-0000-0300-000090000000}"/>
    <hyperlink ref="B184" r:id="rId146" display="https://centrodecapacitaciondelsur.com/soporte-basico-de-vida-" xr:uid="{00000000-0004-0000-0300-000091000000}"/>
    <hyperlink ref="B185" r:id="rId147" display="https://centrodecapacitaciondelsur.com/soporte-basico-de-vida-" xr:uid="{00000000-0004-0000-0300-000092000000}"/>
    <hyperlink ref="B186" r:id="rId148" display="https://centrodecapacitaciondelsur.com/soporte-basico-de-vida-" xr:uid="{00000000-0004-0000-0300-000093000000}"/>
    <hyperlink ref="B187" r:id="rId149" display="https://centrodecapacitaciondelsur.com/soporte-basico-de-vida-" xr:uid="{00000000-0004-0000-0300-000094000000}"/>
    <hyperlink ref="B188" r:id="rId150" display="https://centrodecapacitaciondelsur.com/soporte-basico-de-vida-" xr:uid="{00000000-0004-0000-0300-000095000000}"/>
    <hyperlink ref="B189" r:id="rId151" display="https://centrodecapacitaciondelsur.com/soporte-basico-de-vida-" xr:uid="{00000000-0004-0000-0300-000096000000}"/>
    <hyperlink ref="B190" r:id="rId152" display="https://centrodecapacitaciondelsur.com/soporte-basico-de-vida-" xr:uid="{00000000-0004-0000-0300-000097000000}"/>
    <hyperlink ref="B191" r:id="rId153" display="https://centrodecapacitaciondelsur.com/soporte-basico-de-vida-" xr:uid="{00000000-0004-0000-0300-000098000000}"/>
    <hyperlink ref="B192" r:id="rId154" display="https://centrodecapacitaciondelsur.com/soporte-basico-de-vida-" xr:uid="{00000000-0004-0000-0300-000099000000}"/>
    <hyperlink ref="B193" r:id="rId155" display="https://centrodecapacitaciondelsur.com/soporte-basico-de-vida-" xr:uid="{00000000-0004-0000-0300-00009A000000}"/>
    <hyperlink ref="B194" r:id="rId156" display="https://centrodecapacitaciondelsur.com/soporte-basico-de-vida-" xr:uid="{00000000-0004-0000-0300-00009B000000}"/>
    <hyperlink ref="B195" r:id="rId157" display="https://centrodecapacitaciondelsur.com/soporte-basico-de-vida-" xr:uid="{00000000-0004-0000-0300-00009C000000}"/>
    <hyperlink ref="B196" r:id="rId158" display="https://centrodecapacitaciondelsur.com/soporte-basico-de-vida-" xr:uid="{00000000-0004-0000-0300-00009D000000}"/>
    <hyperlink ref="B197" r:id="rId159" display="https://centrodecapacitaciondelsur.com/soporte-basico-de-vida-" xr:uid="{00000000-0004-0000-0300-00009E000000}"/>
    <hyperlink ref="B198" r:id="rId160" display="https://centrodecapacitaciondelsur.com/soporte-basico-de-vida-" xr:uid="{00000000-0004-0000-0300-00009F000000}"/>
    <hyperlink ref="B199" r:id="rId161" display="https://centrodecapacitaciondelsur.com/soporte-basico-de-vida-" xr:uid="{00000000-0004-0000-0300-0000A0000000}"/>
    <hyperlink ref="B200" r:id="rId162" display="https://centrodecapacitaciondelsur.com/soporte-basico-de-vida-" xr:uid="{00000000-0004-0000-0300-0000A1000000}"/>
    <hyperlink ref="B201" r:id="rId163" display="https://centrodecapacitaciondelsur.com/soporte-basico-de-vida-" xr:uid="{00000000-0004-0000-0300-0000A2000000}"/>
    <hyperlink ref="B202" r:id="rId164" display="https://centrodecapacitaciondelsur.com/soporte-basico-de-vida-" xr:uid="{00000000-0004-0000-0300-0000A3000000}"/>
    <hyperlink ref="B203" r:id="rId165" display="https://centrodecapacitaciondelsur.com/soporte-basico-de-vida-" xr:uid="{00000000-0004-0000-0300-0000A4000000}"/>
    <hyperlink ref="B204" r:id="rId166" display="https://centrodecapacitaciondelsur.com/soporte-basico-de-vida-" xr:uid="{00000000-0004-0000-0300-0000A5000000}"/>
    <hyperlink ref="B205" r:id="rId167" display="https://centrodecapacitaciondelsur.com/soporte-basico-de-vida-" xr:uid="{00000000-0004-0000-0300-0000A6000000}"/>
    <hyperlink ref="B206" r:id="rId168" display="https://centrodecapacitaciondelsur.com/soporte-basico-de-vida-" xr:uid="{00000000-0004-0000-0300-0000A7000000}"/>
    <hyperlink ref="B207" r:id="rId169" display="https://centrodecapacitaciondelsur.com/soporte-basico-de-vida-" xr:uid="{00000000-0004-0000-0300-0000A8000000}"/>
    <hyperlink ref="B208" r:id="rId170" display="https://centrodecapacitaciondelsur.com/soporte-basico-de-vida-" xr:uid="{00000000-0004-0000-0300-0000A9000000}"/>
    <hyperlink ref="B209" r:id="rId171" display="https://centrodecapacitaciondelsur.com/soporte-basico-de-vida-" xr:uid="{00000000-0004-0000-0300-0000AA000000}"/>
    <hyperlink ref="B210" r:id="rId172" display="https://centrodecapacitaciondelsur.com/soporte-basico-de-vida-" xr:uid="{00000000-0004-0000-0300-0000AB000000}"/>
    <hyperlink ref="B211" r:id="rId173" display="https://centrodecapacitaciondelsur.com/soporte-basico-de-vida-" xr:uid="{00000000-0004-0000-0300-0000AC000000}"/>
    <hyperlink ref="B212" r:id="rId174" display="https://centrodecapacitaciondelsur.com/soporte-basico-de-vida-" xr:uid="{00000000-0004-0000-0300-0000AD000000}"/>
    <hyperlink ref="B213" r:id="rId175" display="https://centrodecapacitaciondelsur.com/soporte-basico-de-vida-" xr:uid="{00000000-0004-0000-0300-0000AE000000}"/>
    <hyperlink ref="B214" r:id="rId176" display="https://centrodecapacitaciondelsur.com/soporte-basico-de-vida-" xr:uid="{00000000-0004-0000-0300-0000AF000000}"/>
    <hyperlink ref="B215" r:id="rId177" display="https://centrodecapacitaciondelsur.com/soporte-basico-de-vida-" xr:uid="{00000000-0004-0000-0300-0000B0000000}"/>
    <hyperlink ref="B216" r:id="rId178" display="https://centrodecapacitaciondelsur.com/soporte-basico-de-vida-" xr:uid="{00000000-0004-0000-0300-0000B1000000}"/>
    <hyperlink ref="B217" r:id="rId179" display="https://centrodecapacitaciondelsur.com/soporte-basico-de-vida-" xr:uid="{00000000-0004-0000-0300-0000B2000000}"/>
    <hyperlink ref="B218" r:id="rId180" display="https://centrodecapacitaciondelsur.com/soporte-basico-de-vida-" xr:uid="{00000000-0004-0000-0300-0000B3000000}"/>
    <hyperlink ref="B219" r:id="rId181" display="https://centrodecapacitaciondelsur.com/soporte-basico-de-vida-" xr:uid="{00000000-0004-0000-0300-0000B4000000}"/>
    <hyperlink ref="B220" r:id="rId182" display="https://centrodecapacitaciondelsur.com/soporte-basico-de-vida-" xr:uid="{00000000-0004-0000-0300-0000B5000000}"/>
    <hyperlink ref="B221" r:id="rId183" display="https://centrodecapacitaciondelsur.com/soporte-basico-de-vida-" xr:uid="{00000000-0004-0000-0300-0000B6000000}"/>
    <hyperlink ref="B222" r:id="rId184" display="https://centrodecapacitaciondelsur.com/soporte-basico-de-vida-" xr:uid="{00000000-0004-0000-0300-0000B7000000}"/>
    <hyperlink ref="B223" r:id="rId185" display="https://centrodecapacitaciondelsur.com/soporte-basico-de-vida-" xr:uid="{00000000-0004-0000-0300-0000B8000000}"/>
    <hyperlink ref="B224" r:id="rId186" display="https://centrodecapacitaciondelsur.com/soporte-basico-de-vida-" xr:uid="{00000000-0004-0000-0300-0000B9000000}"/>
    <hyperlink ref="B225" r:id="rId187" display="https://centrodecapacitaciondelsur.com/soporte-basico-de-vida-" xr:uid="{00000000-0004-0000-0300-0000BA000000}"/>
    <hyperlink ref="B227" r:id="rId188" display="https://centrodecapacitaciondelsur.com/soporte-basico-de-vida-" xr:uid="{00000000-0004-0000-0300-0000BB000000}"/>
    <hyperlink ref="B228" r:id="rId189" display="https://centrodecapacitaciondelsur.com/soporte-basico-de-vida-" xr:uid="{00000000-0004-0000-0300-0000BC000000}"/>
    <hyperlink ref="B229" r:id="rId190" display="https://centrodecapacitaciondelsur.com/soporte-basico-de-vida-" xr:uid="{00000000-0004-0000-0300-0000BD000000}"/>
    <hyperlink ref="B230" r:id="rId191" display="https://centrodecapacitaciondelsur.com/soporte-basico-de-vida-" xr:uid="{00000000-0004-0000-0300-0000BE000000}"/>
    <hyperlink ref="B231" r:id="rId192" display="https://centrodecapacitaciondelsur.com/soporte-basico-de-vida-" xr:uid="{00000000-0004-0000-0300-0000BF000000}"/>
    <hyperlink ref="B232" r:id="rId193" display="https://centrodecapacitaciondelsur.com/soporte-basico-de-vida-" xr:uid="{00000000-0004-0000-0300-0000C0000000}"/>
    <hyperlink ref="B233" r:id="rId194" display="https://centrodecapacitaciondelsur.com/soporte-basico-de-vida-" xr:uid="{00000000-0004-0000-0300-0000C1000000}"/>
    <hyperlink ref="B234" r:id="rId195" display="https://centrodecapacitaciondelsur.com/soporte-basico-de-vida-" xr:uid="{00000000-0004-0000-0300-0000C2000000}"/>
    <hyperlink ref="B235" r:id="rId196" display="https://centrodecapacitaciondelsur.com/soporte-basico-de-vida-" xr:uid="{00000000-0004-0000-0300-0000C3000000}"/>
    <hyperlink ref="B236" r:id="rId197" display="https://centrodecapacitaciondelsur.com/soporte-basico-de-vida-" xr:uid="{00000000-0004-0000-0300-0000C4000000}"/>
    <hyperlink ref="B237" r:id="rId198" display="https://centrodecapacitaciondelsur.com/soporte-basico-de-vida-" xr:uid="{00000000-0004-0000-0300-0000C5000000}"/>
    <hyperlink ref="B238" r:id="rId199" display="https://centrodecapacitaciondelsur.com/soporte-basico-de-vida-" xr:uid="{00000000-0004-0000-0300-0000C6000000}"/>
    <hyperlink ref="B239" r:id="rId200" display="https://centrodecapacitaciondelsur.com/soporte-basico-de-vida-" xr:uid="{00000000-0004-0000-0300-0000C7000000}"/>
    <hyperlink ref="B240" r:id="rId201" display="https://centrodecapacitaciondelsur.com/soporte-basico-de-vida-" xr:uid="{00000000-0004-0000-0300-0000C8000000}"/>
    <hyperlink ref="B241" r:id="rId202" display="https://centrodecapacitaciondelsur.com/soporte-basico-de-vida-" xr:uid="{00000000-0004-0000-0300-0000C9000000}"/>
    <hyperlink ref="B242" r:id="rId203" display="https://centrodecapacitaciondelsur.com/soporte-basico-de-vida-" xr:uid="{00000000-0004-0000-0300-0000CA000000}"/>
    <hyperlink ref="B243" r:id="rId204" display="https://centrodecapacitaciondelsur.com/soporte-basico-de-vida-" xr:uid="{00000000-0004-0000-0300-0000CB000000}"/>
    <hyperlink ref="B244" r:id="rId205" display="https://centrodecapacitaciondelsur.com/soporte-basico-de-vida-" xr:uid="{00000000-0004-0000-0300-0000CC000000}"/>
    <hyperlink ref="B245" r:id="rId206" display="https://centrodecapacitaciondelsur.com/soporte-basico-de-vida-" xr:uid="{00000000-0004-0000-0300-0000CD000000}"/>
    <hyperlink ref="B246" r:id="rId207" display="https://centrodecapacitaciondelsur.com/soporte-basico-de-vida-" xr:uid="{00000000-0004-0000-0300-0000CE000000}"/>
    <hyperlink ref="B247" r:id="rId208" display="https://centrodecapacitaciondelsur.com/soporte-basico-de-vida-" xr:uid="{00000000-0004-0000-0300-0000CF000000}"/>
    <hyperlink ref="B248" r:id="rId209" display="https://centrodecapacitaciondelsur.com/soporte-basico-de-vida-" xr:uid="{00000000-0004-0000-0300-0000D0000000}"/>
    <hyperlink ref="B249" r:id="rId210" display="https://centrodecapacitaciondelsur.com/soporte-basico-de-vida-" xr:uid="{00000000-0004-0000-0300-0000D1000000}"/>
    <hyperlink ref="B250" r:id="rId211" display="https://centrodecapacitaciondelsur.com/soporte-basico-de-vida-" xr:uid="{00000000-0004-0000-0300-0000D2000000}"/>
    <hyperlink ref="B251" r:id="rId212" display="https://centrodecapacitaciondelsur.com/soporte-basico-de-vida-" xr:uid="{00000000-0004-0000-0300-0000D3000000}"/>
    <hyperlink ref="B252" r:id="rId213" display="https://centrodecapacitaciondelsur.com/soporte-basico-de-vida-" xr:uid="{00000000-0004-0000-0300-0000D4000000}"/>
    <hyperlink ref="B253" r:id="rId214" display="https://centrodecapacitaciondelsur.com/soporte-basico-de-vida-" xr:uid="{00000000-0004-0000-0300-0000D5000000}"/>
    <hyperlink ref="B254" r:id="rId215" display="https://centrodecapacitaciondelsur.com/soporte-basico-de-vida-" xr:uid="{00000000-0004-0000-0300-0000D6000000}"/>
    <hyperlink ref="B255" r:id="rId216" display="https://centrodecapacitaciondelsur.com/soporte-basico-de-vida-" xr:uid="{00000000-0004-0000-0300-0000D7000000}"/>
    <hyperlink ref="B256" r:id="rId217" display="https://centrodecapacitaciondelsur.com/soporte-basico-de-vida-" xr:uid="{00000000-0004-0000-0300-0000D8000000}"/>
    <hyperlink ref="B257" r:id="rId218" display="https://centrodecapacitaciondelsur.com/soporte-basico-de-vida-" xr:uid="{00000000-0004-0000-0300-0000D9000000}"/>
    <hyperlink ref="B258" r:id="rId219" display="https://centrodecapacitaciondelsur.com/soporte-basico-de-vida-" xr:uid="{00000000-0004-0000-0300-0000DA000000}"/>
    <hyperlink ref="B259" r:id="rId220" display="https://centrodecapacitaciondelsur.com/soporte-basico-de-vida-" xr:uid="{00000000-0004-0000-0300-0000DB000000}"/>
    <hyperlink ref="B260" r:id="rId221" display="https://centrodecapacitaciondelsur.com/soporte-basico-de-vida-" xr:uid="{00000000-0004-0000-0300-0000DC000000}"/>
    <hyperlink ref="B261" r:id="rId222" display="https://centrodecapacitaciondelsur.com/soporte-basico-de-vida-" xr:uid="{00000000-0004-0000-0300-0000DD000000}"/>
    <hyperlink ref="B262" r:id="rId223" display="https://centrodecapacitaciondelsur.com/soporte-basico-de-vida-" xr:uid="{00000000-0004-0000-0300-0000DE000000}"/>
    <hyperlink ref="B263" r:id="rId224" display="https://centrodecapacitaciondelsur.com/soporte-basico-de-vida-" xr:uid="{00000000-0004-0000-0300-0000DF000000}"/>
    <hyperlink ref="B264" r:id="rId225" display="https://centrodecapacitaciondelsur.com/soporte-basico-de-vida-" xr:uid="{00000000-0004-0000-0300-0000E0000000}"/>
    <hyperlink ref="B265" r:id="rId226" display="https://centrodecapacitaciondelsur.com/soporte-basico-de-vida-" xr:uid="{00000000-0004-0000-0300-0000E1000000}"/>
    <hyperlink ref="B266" r:id="rId227" display="https://centrodecapacitaciondelsur.com/soporte-basico-de-vida-" xr:uid="{00000000-0004-0000-0300-0000E2000000}"/>
    <hyperlink ref="B267" r:id="rId228" display="https://centrodecapacitaciondelsur.com/soporte-basico-de-vida-" xr:uid="{00000000-0004-0000-0300-0000E3000000}"/>
    <hyperlink ref="B268" r:id="rId229" display="https://centrodecapacitaciondelsur.com/soporte-basico-de-vida-" xr:uid="{00000000-0004-0000-0300-0000E4000000}"/>
    <hyperlink ref="B269" r:id="rId230" display="https://centrodecapacitaciondelsur.com/soporte-basico-de-vida-" xr:uid="{00000000-0004-0000-0300-0000E5000000}"/>
    <hyperlink ref="B270" r:id="rId231" display="https://centrodecapacitaciondelsur.com/soporte-basico-de-vida-" xr:uid="{00000000-0004-0000-0300-0000E6000000}"/>
    <hyperlink ref="B271" r:id="rId232" display="https://centrodecapacitaciondelsur.com/soporte-basico-de-vida-" xr:uid="{00000000-0004-0000-0300-0000E7000000}"/>
    <hyperlink ref="B272" r:id="rId233" display="https://centrodecapacitaciondelsur.com/soporte-basico-de-vida-" xr:uid="{00000000-0004-0000-0300-0000E8000000}"/>
    <hyperlink ref="B273" r:id="rId234" display="https://centrodecapacitaciondelsur.com/soporte-basico-de-vida-" xr:uid="{00000000-0004-0000-0300-0000E9000000}"/>
    <hyperlink ref="B274" r:id="rId235" display="https://centrodecapacitaciondelsur.com/soporte-basico-de-vida-" xr:uid="{00000000-0004-0000-0300-0000EA000000}"/>
    <hyperlink ref="B275" r:id="rId236" display="https://centrodecapacitaciondelsur.com/soporte-basico-de-vida-" xr:uid="{00000000-0004-0000-0300-0000EB000000}"/>
    <hyperlink ref="B276" r:id="rId237" display="https://centrodecapacitaciondelsur.com/soporte-basico-de-vida-" xr:uid="{00000000-0004-0000-0300-0000EC000000}"/>
    <hyperlink ref="B277" r:id="rId238" display="https://centrodecapacitaciondelsur.com/soporte-basico-de-vida-" xr:uid="{00000000-0004-0000-0300-0000ED000000}"/>
    <hyperlink ref="B278" r:id="rId239" display="https://centrodecapacitaciondelsur.com/soporte-basico-de-vida-" xr:uid="{00000000-0004-0000-0300-0000EE000000}"/>
    <hyperlink ref="B279" r:id="rId240" display="https://centrodecapacitaciondelsur.com/soporte-basico-de-vida-" xr:uid="{00000000-0004-0000-0300-0000EF000000}"/>
    <hyperlink ref="B280" r:id="rId241" display="https://centrodecapacitaciondelsur.com/soporte-basico-de-vida-" xr:uid="{00000000-0004-0000-0300-0000F0000000}"/>
    <hyperlink ref="B281" r:id="rId242" display="https://centrodecapacitaciondelsur.com/soporte-basico-de-vida-" xr:uid="{00000000-0004-0000-0300-0000F1000000}"/>
    <hyperlink ref="B282" r:id="rId243" display="https://centrodecapacitaciondelsur.com/soporte-basico-de-vida-" xr:uid="{00000000-0004-0000-0300-0000F2000000}"/>
    <hyperlink ref="B283" r:id="rId244" display="https://centrodecapacitaciondelsur.com/soporte-basico-de-vida-" xr:uid="{00000000-0004-0000-0300-0000F3000000}"/>
    <hyperlink ref="B284" r:id="rId245" display="https://centrodecapacitaciondelsur.com/soporte-basico-de-vida-" xr:uid="{00000000-0004-0000-0300-0000F4000000}"/>
    <hyperlink ref="B285" r:id="rId246" display="https://centrodecapacitaciondelsur.com/soporte-basico-de-vida-" xr:uid="{00000000-0004-0000-0300-0000F5000000}"/>
    <hyperlink ref="B286" r:id="rId247" display="https://centrodecapacitaciondelsur.com/soporte-basico-de-vida-" xr:uid="{00000000-0004-0000-0300-0000F6000000}"/>
    <hyperlink ref="B287" r:id="rId248" display="https://centrodecapacitaciondelsur.com/soporte-basico-de-vida-" xr:uid="{00000000-0004-0000-0300-0000F7000000}"/>
    <hyperlink ref="B288" r:id="rId249" display="https://centrodecapacitaciondelsur.com/soporte-basico-de-vida-" xr:uid="{00000000-0004-0000-0300-0000F8000000}"/>
    <hyperlink ref="B289" r:id="rId250" display="https://centrodecapacitaciondelsur.com/soporte-basico-de-vida-" xr:uid="{00000000-0004-0000-0300-0000F9000000}"/>
    <hyperlink ref="B290" r:id="rId251" display="https://centrodecapacitaciondelsur.com/soporte-basico-de-vida-" xr:uid="{00000000-0004-0000-0300-0000FA000000}"/>
    <hyperlink ref="B291" r:id="rId252" display="https://centrodecapacitaciondelsur.com/soporte-basico-de-vida-" xr:uid="{00000000-0004-0000-0300-0000FB000000}"/>
    <hyperlink ref="B292" r:id="rId253" display="https://centrodecapacitaciondelsur.com/soporte-basico-de-vida-" xr:uid="{00000000-0004-0000-0300-0000FC000000}"/>
    <hyperlink ref="B293" r:id="rId254" display="https://centrodecapacitaciondelsur.com/soporte-basico-de-vida-" xr:uid="{00000000-0004-0000-0300-0000FD000000}"/>
    <hyperlink ref="B294" r:id="rId255" display="https://centrodecapacitaciondelsur.com/soporte-basico-de-vida-" xr:uid="{00000000-0004-0000-0300-0000FE000000}"/>
    <hyperlink ref="B295" r:id="rId256" display="https://centrodecapacitaciondelsur.com/soporte-basico-de-vida-" xr:uid="{00000000-0004-0000-0300-0000FF000000}"/>
    <hyperlink ref="B296" r:id="rId257" display="https://centrodecapacitaciondelsur.com/soporte-basico-de-vida-" xr:uid="{00000000-0004-0000-0300-000000010000}"/>
    <hyperlink ref="B297" r:id="rId258" display="https://centrodecapacitaciondelsur.com/soporte-basico-de-vida-" xr:uid="{00000000-0004-0000-0300-000001010000}"/>
    <hyperlink ref="B298" r:id="rId259" display="https://centrodecapacitaciondelsur.com/soporte-basico-de-vida-" xr:uid="{00000000-0004-0000-0300-000002010000}"/>
    <hyperlink ref="B299" r:id="rId260" display="https://centrodecapacitaciondelsur.com/soporte-basico-de-vida-" xr:uid="{00000000-0004-0000-0300-000003010000}"/>
    <hyperlink ref="B300" r:id="rId261" display="https://centrodecapacitaciondelsur.com/soporte-basico-de-vida-" xr:uid="{00000000-0004-0000-0300-000004010000}"/>
    <hyperlink ref="B301" r:id="rId262" display="https://centrodecapacitaciondelsur.com/soporte-basico-de-vida-" xr:uid="{00000000-0004-0000-0300-000005010000}"/>
    <hyperlink ref="B302" r:id="rId263" display="https://centrodecapacitaciondelsur.com/soporte-basico-de-vida-" xr:uid="{00000000-0004-0000-0300-000006010000}"/>
    <hyperlink ref="B303" r:id="rId264" display="https://centrodecapacitaciondelsur.com/soporte-basico-de-vida-" xr:uid="{00000000-0004-0000-0300-000007010000}"/>
    <hyperlink ref="B304" r:id="rId265" display="https://centrodecapacitaciondelsur.com/soporte-basico-de-vida-" xr:uid="{00000000-0004-0000-0300-000008010000}"/>
    <hyperlink ref="B305" r:id="rId266" display="https://centrodecapacitaciondelsur.com/soporte-basico-de-vida-" xr:uid="{00000000-0004-0000-0300-000009010000}"/>
    <hyperlink ref="B306" r:id="rId267" display="https://centrodecapacitaciondelsur.com/soporte-basico-de-vida-" xr:uid="{00000000-0004-0000-0300-00000A010000}"/>
    <hyperlink ref="B307" r:id="rId268" display="https://centrodecapacitaciondelsur.com/soporte-basico-de-vida-" xr:uid="{00000000-0004-0000-0300-00000B010000}"/>
    <hyperlink ref="B308" r:id="rId269" display="https://centrodecapacitaciondelsur.com/soporte-basico-de-vida-" xr:uid="{00000000-0004-0000-0300-00000C010000}"/>
    <hyperlink ref="B309" r:id="rId270" display="https://centrodecapacitaciondelsur.com/soporte-basico-de-vida-" xr:uid="{00000000-0004-0000-0300-00000D010000}"/>
    <hyperlink ref="B310" r:id="rId271" display="https://centrodecapacitaciondelsur.com/soporte-basico-de-vida-" xr:uid="{00000000-0004-0000-0300-00000E010000}"/>
    <hyperlink ref="B311" r:id="rId272" display="https://centrodecapacitaciondelsur.com/soporte-basico-de-vida-" xr:uid="{00000000-0004-0000-0300-00000F010000}"/>
    <hyperlink ref="B312" r:id="rId273" display="https://centrodecapacitaciondelsur.com/soporte-basico-de-vida-" xr:uid="{00000000-0004-0000-0300-000010010000}"/>
    <hyperlink ref="B313" r:id="rId274" display="https://centrodecapacitaciondelsur.com/soporte-basico-de-vida-" xr:uid="{00000000-0004-0000-0300-000011010000}"/>
    <hyperlink ref="B314" r:id="rId275" display="https://centrodecapacitaciondelsur.com/soporte-basico-de-vida-" xr:uid="{00000000-0004-0000-0300-000012010000}"/>
    <hyperlink ref="B315" r:id="rId276" display="https://centrodecapacitaciondelsur.com/soporte-basico-de-vida-" xr:uid="{00000000-0004-0000-0300-000013010000}"/>
    <hyperlink ref="B316" r:id="rId277" display="https://centrodecapacitaciondelsur.com/soporte-basico-de-vida-" xr:uid="{00000000-0004-0000-0300-000014010000}"/>
    <hyperlink ref="B317" r:id="rId278" display="https://centrodecapacitaciondelsur.com/soporte-basico-de-vida-" xr:uid="{00000000-0004-0000-0300-000015010000}"/>
    <hyperlink ref="B318" r:id="rId279" display="https://centrodecapacitaciondelsur.com/soporte-basico-de-vida-" xr:uid="{00000000-0004-0000-0300-000016010000}"/>
    <hyperlink ref="B319" r:id="rId280" display="https://centrodecapacitaciondelsur.com/soporte-basico-de-vida-" xr:uid="{00000000-0004-0000-0300-000017010000}"/>
    <hyperlink ref="B320" r:id="rId281" display="https://centrodecapacitaciondelsur.com/soporte-basico-de-vida-" xr:uid="{00000000-0004-0000-0300-000018010000}"/>
    <hyperlink ref="B321" r:id="rId282" display="https://centrodecapacitaciondelsur.com/soporte-basico-de-vida-" xr:uid="{00000000-0004-0000-0300-000019010000}"/>
    <hyperlink ref="B322" r:id="rId283" display="https://centrodecapacitaciondelsur.com/soporte-basico-de-vida-" xr:uid="{00000000-0004-0000-0300-00001A010000}"/>
    <hyperlink ref="B323" r:id="rId284" display="https://centrodecapacitaciondelsur.com/soporte-basico-de-vida-" xr:uid="{00000000-0004-0000-0300-00001B010000}"/>
    <hyperlink ref="B324" r:id="rId285" display="https://centrodecapacitaciondelsur.com/soporte-basico-de-vida-" xr:uid="{00000000-0004-0000-0300-00001C010000}"/>
    <hyperlink ref="B325" r:id="rId286" display="https://centrodecapacitaciondelsur.com/soporte-basico-de-vida-" xr:uid="{00000000-0004-0000-0300-00001D010000}"/>
    <hyperlink ref="B326" r:id="rId287" display="https://centrodecapacitaciondelsur.com/soporte-basico-de-vida-" xr:uid="{00000000-0004-0000-0300-00001E010000}"/>
    <hyperlink ref="B327" r:id="rId288" display="https://centrodecapacitaciondelsur.com/soporte-basico-de-vida-" xr:uid="{00000000-0004-0000-0300-00001F010000}"/>
    <hyperlink ref="B328" r:id="rId289" display="https://centrodecapacitaciondelsur.com/soporte-basico-de-vida-" xr:uid="{00000000-0004-0000-0300-000020010000}"/>
    <hyperlink ref="B329" r:id="rId290" display="https://centrodecapacitaciondelsur.com/soporte-basico-de-vida-" xr:uid="{00000000-0004-0000-0300-000021010000}"/>
    <hyperlink ref="B330" r:id="rId291" display="https://centrodecapacitaciondelsur.com/soporte-basico-de-vida-" xr:uid="{00000000-0004-0000-0300-000022010000}"/>
    <hyperlink ref="B331" r:id="rId292" display="https://centrodecapacitaciondelsur.com/soporte-basico-de-vida-" xr:uid="{00000000-0004-0000-0300-000023010000}"/>
    <hyperlink ref="B332" r:id="rId293" display="https://centrodecapacitaciondelsur.com/soporte-basico-de-vida-" xr:uid="{00000000-0004-0000-0300-000024010000}"/>
    <hyperlink ref="B333" r:id="rId294" display="https://centrodecapacitaciondelsur.com/soporte-basico-de-vida-" xr:uid="{00000000-0004-0000-0300-000025010000}"/>
    <hyperlink ref="B334" r:id="rId295" display="https://centrodecapacitaciondelsur.com/soporte-basico-de-vida-" xr:uid="{00000000-0004-0000-0300-000026010000}"/>
    <hyperlink ref="B335" r:id="rId296" display="https://centrodecapacitaciondelsur.com/soporte-basico-de-vida-" xr:uid="{00000000-0004-0000-0300-000027010000}"/>
    <hyperlink ref="B336" r:id="rId297" display="https://centrodecapacitaciondelsur.com/soporte-basico-de-vida-" xr:uid="{00000000-0004-0000-0300-000028010000}"/>
    <hyperlink ref="B337" r:id="rId298" display="https://centrodecapacitaciondelsur.com/soporte-basico-de-vida-" xr:uid="{00000000-0004-0000-0300-000029010000}"/>
    <hyperlink ref="B338" r:id="rId299" display="https://centrodecapacitaciondelsur.com/soporte-basico-de-vida-" xr:uid="{00000000-0004-0000-0300-00002A010000}"/>
    <hyperlink ref="B339" r:id="rId300" display="https://centrodecapacitaciondelsur.com/soporte-basico-de-vida-" xr:uid="{00000000-0004-0000-0300-00002B010000}"/>
    <hyperlink ref="B340" r:id="rId301" display="https://centrodecapacitaciondelsur.com/soporte-basico-de-vida-" xr:uid="{00000000-0004-0000-0300-00002C010000}"/>
    <hyperlink ref="B341" r:id="rId302" display="https://centrodecapacitaciondelsur.com/soporte-basico-de-vida-" xr:uid="{00000000-0004-0000-0300-00002D010000}"/>
    <hyperlink ref="B342" r:id="rId303" display="https://centrodecapacitaciondelsur.com/soporte-basico-de-vida-" xr:uid="{00000000-0004-0000-0300-00002E010000}"/>
    <hyperlink ref="B343" r:id="rId304" display="https://centrodecapacitaciondelsur.com/soporte-basico-de-vida-" xr:uid="{00000000-0004-0000-0300-00002F010000}"/>
    <hyperlink ref="B344" r:id="rId305" display="https://centrodecapacitaciondelsur.com/soporte-basico-de-vida-" xr:uid="{00000000-0004-0000-0300-000030010000}"/>
    <hyperlink ref="B345" r:id="rId306" display="https://centrodecapacitaciondelsur.com/soporte-basico-de-vida-" xr:uid="{00000000-0004-0000-0300-000031010000}"/>
    <hyperlink ref="B346" r:id="rId307" display="https://centrodecapacitaciondelsur.com/soporte-basico-de-vida-" xr:uid="{00000000-0004-0000-0300-000032010000}"/>
    <hyperlink ref="B347" r:id="rId308" display="https://centrodecapacitaciondelsur.com/soporte-basico-de-vida-" xr:uid="{00000000-0004-0000-0300-000033010000}"/>
    <hyperlink ref="B348" r:id="rId309" display="https://centrodecapacitaciondelsur.com/soporte-basico-de-vida-" xr:uid="{00000000-0004-0000-0300-000034010000}"/>
    <hyperlink ref="B349" r:id="rId310" display="https://centrodecapacitaciondelsur.com/soporte-basico-de-vida-" xr:uid="{00000000-0004-0000-0300-000035010000}"/>
    <hyperlink ref="B350" r:id="rId311" display="https://centrodecapacitaciondelsur.com/soporte-basico-de-vida-" xr:uid="{00000000-0004-0000-0300-000036010000}"/>
    <hyperlink ref="B351" r:id="rId312" display="https://centrodecapacitaciondelsur.com/soporte-basico-de-vida-" xr:uid="{00000000-0004-0000-0300-000037010000}"/>
    <hyperlink ref="B352" r:id="rId313" display="https://centrodecapacitaciondelsur.com/soporte-basico-de-vida-" xr:uid="{00000000-0004-0000-0300-000038010000}"/>
    <hyperlink ref="B353" r:id="rId314" display="https://centrodecapacitaciondelsur.com/soporte-basico-de-vida-" xr:uid="{00000000-0004-0000-0300-000039010000}"/>
    <hyperlink ref="B354" r:id="rId315" display="https://centrodecapacitaciondelsur.com/soporte-basico-de-vida-" xr:uid="{00000000-0004-0000-0300-00003A010000}"/>
    <hyperlink ref="B355" r:id="rId316" display="https://centrodecapacitaciondelsur.com/soporte-basico-de-vida-" xr:uid="{00000000-0004-0000-0300-00003B010000}"/>
  </hyperlinks>
  <pageMargins left="0.7" right="0.7" top="0.75" bottom="0.75" header="0.3" footer="0.3"/>
  <pageSetup orientation="portrait" r:id="rId317"/>
  <drawing r:id="rId3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INSCRITOS</vt:lpstr>
      <vt:lpstr>TUQUERRES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NICOLAS ROSERO</cp:lastModifiedBy>
  <cp:lastPrinted>2023-10-09T20:56:18Z</cp:lastPrinted>
  <dcterms:created xsi:type="dcterms:W3CDTF">2023-09-02T16:45:54Z</dcterms:created>
  <dcterms:modified xsi:type="dcterms:W3CDTF">2025-02-05T00:04:31Z</dcterms:modified>
</cp:coreProperties>
</file>