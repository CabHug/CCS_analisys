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/>
  <workbookPr/>
  <mc:AlternateContent xmlns:mc="http://schemas.openxmlformats.org/markup-compatibility/2006">
    <mc:Choice Requires="x15">
      <x15ac:absPath xmlns:x15ac="http://schemas.microsoft.com/office/spreadsheetml/2010/11/ac" url="C:\Users\Hugo\Documents\MEGA\PROYECTOS\CCS\Analisis CCS\Python-analisys\data_source\2024\"/>
    </mc:Choice>
  </mc:AlternateContent>
  <xr:revisionPtr revIDLastSave="0" documentId="13_ncr:1_{13637DAA-3569-415F-8259-2D24C4574FBE}" xr6:coauthVersionLast="47" xr6:coauthVersionMax="47" xr10:uidLastSave="{00000000-0000-0000-0000-000000000000}"/>
  <bookViews>
    <workbookView xWindow="-120" yWindow="-120" windowWidth="29040" windowHeight="15720" tabRatio="574" xr2:uid="{00000000-000D-0000-FFFF-FFFF00000000}"/>
  </bookViews>
  <sheets>
    <sheet name="Hoja1" sheetId="1" r:id="rId1"/>
  </sheets>
  <externalReferences>
    <externalReference r:id="rId2"/>
  </externalReferences>
  <definedNames>
    <definedName name="_xlnm._FilterDatabase" localSheetId="0" hidden="1">Hoja1!$A$1:$V$172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2" i="1" l="1"/>
  <c r="T172" i="1"/>
  <c r="U172" i="1" s="1"/>
  <c r="V172" i="1" l="1"/>
  <c r="S167" i="1"/>
  <c r="T167" i="1"/>
  <c r="U167" i="1" s="1"/>
  <c r="S168" i="1"/>
  <c r="T168" i="1"/>
  <c r="U168" i="1" s="1"/>
  <c r="S169" i="1"/>
  <c r="T169" i="1"/>
  <c r="U169" i="1" s="1"/>
  <c r="S170" i="1"/>
  <c r="T170" i="1"/>
  <c r="U170" i="1" s="1"/>
  <c r="V170" i="1" l="1"/>
  <c r="V169" i="1"/>
  <c r="V168" i="1"/>
  <c r="V167" i="1"/>
  <c r="S164" i="1"/>
  <c r="T164" i="1"/>
  <c r="U164" i="1" s="1"/>
  <c r="S165" i="1"/>
  <c r="T165" i="1"/>
  <c r="U165" i="1" s="1"/>
  <c r="S166" i="1"/>
  <c r="T166" i="1"/>
  <c r="U166" i="1" s="1"/>
  <c r="S163" i="1"/>
  <c r="T163" i="1"/>
  <c r="U163" i="1" s="1"/>
  <c r="S11" i="1"/>
  <c r="T11" i="1"/>
  <c r="U11" i="1" s="1"/>
  <c r="S16" i="1"/>
  <c r="T16" i="1"/>
  <c r="U16" i="1" s="1"/>
  <c r="S20" i="1"/>
  <c r="T20" i="1"/>
  <c r="U20" i="1" s="1"/>
  <c r="V166" i="1" l="1"/>
  <c r="V165" i="1"/>
  <c r="V164" i="1"/>
  <c r="V16" i="1"/>
  <c r="V11" i="1"/>
  <c r="V20" i="1"/>
  <c r="V163" i="1"/>
  <c r="S158" i="1"/>
  <c r="T158" i="1"/>
  <c r="U158" i="1" s="1"/>
  <c r="S8" i="1"/>
  <c r="T8" i="1"/>
  <c r="V8" i="1" s="1"/>
  <c r="V158" i="1" l="1"/>
  <c r="U8" i="1"/>
  <c r="S17" i="1"/>
  <c r="T17" i="1"/>
  <c r="U17" i="1" s="1"/>
  <c r="S18" i="1"/>
  <c r="T18" i="1"/>
  <c r="U18" i="1" s="1"/>
  <c r="S19" i="1"/>
  <c r="T19" i="1"/>
  <c r="U19" i="1" s="1"/>
  <c r="S149" i="1"/>
  <c r="T149" i="1"/>
  <c r="U149" i="1" s="1"/>
  <c r="S150" i="1"/>
  <c r="T150" i="1"/>
  <c r="U150" i="1" s="1"/>
  <c r="S151" i="1"/>
  <c r="T151" i="1"/>
  <c r="U151" i="1" s="1"/>
  <c r="S152" i="1"/>
  <c r="T152" i="1"/>
  <c r="U152" i="1" s="1"/>
  <c r="S153" i="1"/>
  <c r="T153" i="1"/>
  <c r="U153" i="1" s="1"/>
  <c r="S4" i="1"/>
  <c r="T4" i="1"/>
  <c r="U4" i="1" s="1"/>
  <c r="V19" i="1" l="1"/>
  <c r="V18" i="1"/>
  <c r="V17" i="1"/>
  <c r="V4" i="1"/>
  <c r="V153" i="1"/>
  <c r="V152" i="1"/>
  <c r="V151" i="1"/>
  <c r="V150" i="1"/>
  <c r="V149" i="1"/>
  <c r="S145" i="1" l="1"/>
  <c r="T145" i="1"/>
  <c r="U145" i="1" s="1"/>
  <c r="S146" i="1"/>
  <c r="T146" i="1"/>
  <c r="U146" i="1" s="1"/>
  <c r="S147" i="1"/>
  <c r="T147" i="1"/>
  <c r="U147" i="1" s="1"/>
  <c r="S148" i="1"/>
  <c r="T148" i="1"/>
  <c r="U148" i="1" s="1"/>
  <c r="S139" i="1"/>
  <c r="T139" i="1"/>
  <c r="U139" i="1" s="1"/>
  <c r="S140" i="1"/>
  <c r="T140" i="1"/>
  <c r="V140" i="1" s="1"/>
  <c r="S141" i="1"/>
  <c r="T141" i="1"/>
  <c r="V141" i="1" s="1"/>
  <c r="S142" i="1"/>
  <c r="T142" i="1"/>
  <c r="V142" i="1" s="1"/>
  <c r="S143" i="1"/>
  <c r="T143" i="1"/>
  <c r="V143" i="1" s="1"/>
  <c r="S144" i="1"/>
  <c r="T144" i="1"/>
  <c r="V144" i="1" s="1"/>
  <c r="U141" i="1" l="1"/>
  <c r="U144" i="1"/>
  <c r="U143" i="1"/>
  <c r="U142" i="1"/>
  <c r="V148" i="1"/>
  <c r="V147" i="1"/>
  <c r="V146" i="1"/>
  <c r="V145" i="1"/>
  <c r="U140" i="1"/>
  <c r="V139" i="1"/>
  <c r="S135" i="1"/>
  <c r="T135" i="1"/>
  <c r="U135" i="1" s="1"/>
  <c r="S136" i="1"/>
  <c r="T136" i="1"/>
  <c r="U136" i="1" s="1"/>
  <c r="S138" i="1"/>
  <c r="T138" i="1"/>
  <c r="U138" i="1" s="1"/>
  <c r="S137" i="1"/>
  <c r="T137" i="1"/>
  <c r="U137" i="1" s="1"/>
  <c r="S134" i="1"/>
  <c r="T134" i="1"/>
  <c r="U134" i="1" s="1"/>
  <c r="S133" i="1"/>
  <c r="T133" i="1"/>
  <c r="U133" i="1" s="1"/>
  <c r="S109" i="1"/>
  <c r="T109" i="1"/>
  <c r="U109" i="1" s="1"/>
  <c r="S132" i="1"/>
  <c r="T132" i="1"/>
  <c r="U132" i="1" s="1"/>
  <c r="S130" i="1"/>
  <c r="T130" i="1"/>
  <c r="U130" i="1" s="1"/>
  <c r="S131" i="1"/>
  <c r="T131" i="1"/>
  <c r="U131" i="1" s="1"/>
  <c r="V136" i="1" l="1"/>
  <c r="V137" i="1"/>
  <c r="V135" i="1"/>
  <c r="V138" i="1"/>
  <c r="V134" i="1"/>
  <c r="V133" i="1"/>
  <c r="V109" i="1"/>
  <c r="V132" i="1"/>
  <c r="V131" i="1"/>
  <c r="V130" i="1"/>
  <c r="S128" i="1"/>
  <c r="T128" i="1"/>
  <c r="U128" i="1" s="1"/>
  <c r="S129" i="1"/>
  <c r="T129" i="1"/>
  <c r="V129" i="1" s="1"/>
  <c r="S22" i="1"/>
  <c r="T22" i="1"/>
  <c r="U22" i="1" s="1"/>
  <c r="S3" i="1"/>
  <c r="T3" i="1"/>
  <c r="U3" i="1" s="1"/>
  <c r="S108" i="1"/>
  <c r="T108" i="1"/>
  <c r="U108" i="1" s="1"/>
  <c r="S110" i="1"/>
  <c r="T110" i="1"/>
  <c r="U110" i="1" s="1"/>
  <c r="S111" i="1"/>
  <c r="T111" i="1"/>
  <c r="U111" i="1" s="1"/>
  <c r="S112" i="1"/>
  <c r="T112" i="1"/>
  <c r="U112" i="1" s="1"/>
  <c r="S113" i="1"/>
  <c r="T113" i="1"/>
  <c r="U113" i="1" s="1"/>
  <c r="S23" i="1"/>
  <c r="T23" i="1"/>
  <c r="U23" i="1" s="1"/>
  <c r="S24" i="1"/>
  <c r="T24" i="1"/>
  <c r="U24" i="1" s="1"/>
  <c r="S21" i="1"/>
  <c r="T21" i="1"/>
  <c r="U21" i="1" s="1"/>
  <c r="V3" i="1" l="1"/>
  <c r="V22" i="1"/>
  <c r="U129" i="1"/>
  <c r="V128" i="1"/>
  <c r="V108" i="1"/>
  <c r="V110" i="1"/>
  <c r="V111" i="1"/>
  <c r="V113" i="1"/>
  <c r="V112" i="1"/>
  <c r="V21" i="1"/>
  <c r="V24" i="1"/>
  <c r="V23" i="1"/>
  <c r="S114" i="1" l="1"/>
  <c r="T114" i="1"/>
  <c r="U114" i="1" s="1"/>
  <c r="S115" i="1"/>
  <c r="T115" i="1"/>
  <c r="U115" i="1" s="1"/>
  <c r="S116" i="1"/>
  <c r="T116" i="1"/>
  <c r="U116" i="1" s="1"/>
  <c r="S117" i="1"/>
  <c r="T117" i="1"/>
  <c r="U117" i="1" s="1"/>
  <c r="S118" i="1"/>
  <c r="T118" i="1"/>
  <c r="U118" i="1" s="1"/>
  <c r="S119" i="1"/>
  <c r="T119" i="1"/>
  <c r="U119" i="1" s="1"/>
  <c r="S120" i="1"/>
  <c r="T120" i="1"/>
  <c r="U120" i="1" s="1"/>
  <c r="S121" i="1"/>
  <c r="T121" i="1"/>
  <c r="U121" i="1" s="1"/>
  <c r="S122" i="1"/>
  <c r="T122" i="1"/>
  <c r="U122" i="1" s="1"/>
  <c r="V121" i="1" l="1"/>
  <c r="V120" i="1"/>
  <c r="V119" i="1"/>
  <c r="V118" i="1"/>
  <c r="V117" i="1"/>
  <c r="V116" i="1"/>
  <c r="V115" i="1"/>
  <c r="V114" i="1"/>
  <c r="V122" i="1"/>
  <c r="T59" i="1"/>
  <c r="V59" i="1" s="1"/>
  <c r="S59" i="1"/>
  <c r="T58" i="1"/>
  <c r="V58" i="1" s="1"/>
  <c r="S58" i="1"/>
  <c r="T57" i="1"/>
  <c r="V57" i="1" s="1"/>
  <c r="S57" i="1"/>
  <c r="T56" i="1"/>
  <c r="V56" i="1" s="1"/>
  <c r="S56" i="1"/>
  <c r="S72" i="1"/>
  <c r="T72" i="1"/>
  <c r="U72" i="1" s="1"/>
  <c r="S73" i="1"/>
  <c r="T73" i="1"/>
  <c r="U73" i="1" s="1"/>
  <c r="S74" i="1"/>
  <c r="T74" i="1"/>
  <c r="U74" i="1" s="1"/>
  <c r="S75" i="1"/>
  <c r="T75" i="1"/>
  <c r="U75" i="1" s="1"/>
  <c r="S76" i="1"/>
  <c r="T76" i="1"/>
  <c r="U76" i="1" s="1"/>
  <c r="S77" i="1"/>
  <c r="T77" i="1"/>
  <c r="U77" i="1" s="1"/>
  <c r="S78" i="1"/>
  <c r="T78" i="1"/>
  <c r="U78" i="1" s="1"/>
  <c r="S79" i="1"/>
  <c r="T79" i="1"/>
  <c r="U79" i="1" s="1"/>
  <c r="S80" i="1"/>
  <c r="T80" i="1"/>
  <c r="U80" i="1" s="1"/>
  <c r="S81" i="1"/>
  <c r="T81" i="1"/>
  <c r="U81" i="1" s="1"/>
  <c r="S82" i="1"/>
  <c r="T82" i="1"/>
  <c r="U82" i="1" s="1"/>
  <c r="S83" i="1"/>
  <c r="T83" i="1"/>
  <c r="U83" i="1" s="1"/>
  <c r="S84" i="1"/>
  <c r="T84" i="1"/>
  <c r="U84" i="1" s="1"/>
  <c r="S51" i="1"/>
  <c r="T51" i="1"/>
  <c r="U51" i="1" s="1"/>
  <c r="S86" i="1"/>
  <c r="T86" i="1"/>
  <c r="U86" i="1" s="1"/>
  <c r="S87" i="1"/>
  <c r="T87" i="1"/>
  <c r="U87" i="1" s="1"/>
  <c r="S88" i="1"/>
  <c r="T88" i="1"/>
  <c r="U88" i="1" s="1"/>
  <c r="S89" i="1"/>
  <c r="T89" i="1"/>
  <c r="U89" i="1" s="1"/>
  <c r="S90" i="1"/>
  <c r="T90" i="1"/>
  <c r="U90" i="1" s="1"/>
  <c r="S91" i="1"/>
  <c r="T91" i="1"/>
  <c r="U91" i="1" s="1"/>
  <c r="S92" i="1"/>
  <c r="T92" i="1"/>
  <c r="U92" i="1" s="1"/>
  <c r="S93" i="1"/>
  <c r="T93" i="1"/>
  <c r="U93" i="1" s="1"/>
  <c r="S94" i="1"/>
  <c r="T94" i="1"/>
  <c r="U94" i="1" s="1"/>
  <c r="S95" i="1"/>
  <c r="T95" i="1"/>
  <c r="U95" i="1" s="1"/>
  <c r="S96" i="1"/>
  <c r="T96" i="1"/>
  <c r="U96" i="1" s="1"/>
  <c r="S97" i="1"/>
  <c r="T97" i="1"/>
  <c r="U97" i="1" s="1"/>
  <c r="S98" i="1"/>
  <c r="T98" i="1"/>
  <c r="U98" i="1" s="1"/>
  <c r="S99" i="1"/>
  <c r="T99" i="1"/>
  <c r="U99" i="1" s="1"/>
  <c r="S100" i="1"/>
  <c r="T100" i="1"/>
  <c r="U100" i="1" s="1"/>
  <c r="S101" i="1"/>
  <c r="T101" i="1"/>
  <c r="U101" i="1" s="1"/>
  <c r="S102" i="1"/>
  <c r="T102" i="1"/>
  <c r="U102" i="1" s="1"/>
  <c r="S103" i="1"/>
  <c r="T103" i="1"/>
  <c r="U103" i="1" s="1"/>
  <c r="S104" i="1"/>
  <c r="T104" i="1"/>
  <c r="U104" i="1" s="1"/>
  <c r="S85" i="1"/>
  <c r="T85" i="1"/>
  <c r="U85" i="1" s="1"/>
  <c r="S106" i="1"/>
  <c r="T106" i="1"/>
  <c r="U106" i="1" s="1"/>
  <c r="S107" i="1"/>
  <c r="T107" i="1"/>
  <c r="U107" i="1" s="1"/>
  <c r="S60" i="1"/>
  <c r="T60" i="1"/>
  <c r="U60" i="1" s="1"/>
  <c r="S61" i="1"/>
  <c r="T61" i="1"/>
  <c r="U61" i="1" s="1"/>
  <c r="S62" i="1"/>
  <c r="T62" i="1"/>
  <c r="U62" i="1" s="1"/>
  <c r="S63" i="1"/>
  <c r="T63" i="1"/>
  <c r="U63" i="1" s="1"/>
  <c r="S64" i="1"/>
  <c r="T64" i="1"/>
  <c r="U64" i="1" s="1"/>
  <c r="S65" i="1"/>
  <c r="T65" i="1"/>
  <c r="U65" i="1" s="1"/>
  <c r="S66" i="1"/>
  <c r="T66" i="1"/>
  <c r="U66" i="1" s="1"/>
  <c r="S67" i="1"/>
  <c r="T67" i="1"/>
  <c r="U67" i="1" s="1"/>
  <c r="S68" i="1"/>
  <c r="T68" i="1"/>
  <c r="U68" i="1" s="1"/>
  <c r="S69" i="1"/>
  <c r="T69" i="1"/>
  <c r="U69" i="1" s="1"/>
  <c r="S70" i="1"/>
  <c r="T70" i="1"/>
  <c r="U70" i="1" s="1"/>
  <c r="S71" i="1"/>
  <c r="T71" i="1"/>
  <c r="U71" i="1" s="1"/>
  <c r="S26" i="1"/>
  <c r="T26" i="1"/>
  <c r="U26" i="1" s="1"/>
  <c r="S27" i="1"/>
  <c r="T27" i="1"/>
  <c r="U27" i="1" s="1"/>
  <c r="S28" i="1"/>
  <c r="T28" i="1"/>
  <c r="U28" i="1" s="1"/>
  <c r="S29" i="1"/>
  <c r="T29" i="1"/>
  <c r="U29" i="1" s="1"/>
  <c r="S30" i="1"/>
  <c r="T30" i="1"/>
  <c r="U30" i="1" s="1"/>
  <c r="S31" i="1"/>
  <c r="T31" i="1"/>
  <c r="U31" i="1" s="1"/>
  <c r="S32" i="1"/>
  <c r="T32" i="1"/>
  <c r="U32" i="1" s="1"/>
  <c r="S33" i="1"/>
  <c r="T33" i="1"/>
  <c r="U33" i="1" s="1"/>
  <c r="S34" i="1"/>
  <c r="T34" i="1"/>
  <c r="U34" i="1" s="1"/>
  <c r="S35" i="1"/>
  <c r="T35" i="1"/>
  <c r="U35" i="1" s="1"/>
  <c r="S36" i="1"/>
  <c r="T36" i="1"/>
  <c r="U36" i="1" s="1"/>
  <c r="S37" i="1"/>
  <c r="T37" i="1"/>
  <c r="U37" i="1" s="1"/>
  <c r="S38" i="1"/>
  <c r="T38" i="1"/>
  <c r="U38" i="1" s="1"/>
  <c r="S39" i="1"/>
  <c r="T39" i="1"/>
  <c r="U39" i="1" s="1"/>
  <c r="S40" i="1"/>
  <c r="T40" i="1"/>
  <c r="U40" i="1" s="1"/>
  <c r="S41" i="1"/>
  <c r="T41" i="1"/>
  <c r="U41" i="1" s="1"/>
  <c r="S42" i="1"/>
  <c r="T42" i="1"/>
  <c r="U42" i="1" s="1"/>
  <c r="S43" i="1"/>
  <c r="T43" i="1"/>
  <c r="U43" i="1" s="1"/>
  <c r="S44" i="1"/>
  <c r="T44" i="1"/>
  <c r="U44" i="1" s="1"/>
  <c r="S45" i="1"/>
  <c r="T45" i="1"/>
  <c r="U45" i="1" s="1"/>
  <c r="S46" i="1"/>
  <c r="T46" i="1"/>
  <c r="U46" i="1" s="1"/>
  <c r="S47" i="1"/>
  <c r="T47" i="1"/>
  <c r="U47" i="1" s="1"/>
  <c r="S48" i="1"/>
  <c r="T48" i="1"/>
  <c r="U48" i="1" s="1"/>
  <c r="S49" i="1"/>
  <c r="T49" i="1"/>
  <c r="U49" i="1" s="1"/>
  <c r="S50" i="1"/>
  <c r="T50" i="1"/>
  <c r="U50" i="1" s="1"/>
  <c r="S25" i="1"/>
  <c r="T25" i="1"/>
  <c r="U25" i="1" s="1"/>
  <c r="S52" i="1"/>
  <c r="T52" i="1"/>
  <c r="U52" i="1" s="1"/>
  <c r="S53" i="1"/>
  <c r="T53" i="1"/>
  <c r="U53" i="1" s="1"/>
  <c r="S54" i="1"/>
  <c r="T54" i="1"/>
  <c r="U54" i="1" s="1"/>
  <c r="S55" i="1"/>
  <c r="T55" i="1"/>
  <c r="U55" i="1" s="1"/>
  <c r="V95" i="1" l="1"/>
  <c r="V103" i="1"/>
  <c r="U56" i="1"/>
  <c r="U57" i="1"/>
  <c r="U58" i="1"/>
  <c r="U59" i="1"/>
  <c r="V73" i="1"/>
  <c r="V89" i="1"/>
  <c r="V99" i="1"/>
  <c r="V81" i="1"/>
  <c r="V107" i="1"/>
  <c r="V91" i="1"/>
  <c r="V104" i="1"/>
  <c r="V100" i="1"/>
  <c r="V96" i="1"/>
  <c r="V92" i="1"/>
  <c r="V77" i="1"/>
  <c r="V85" i="1"/>
  <c r="V101" i="1"/>
  <c r="V97" i="1"/>
  <c r="V93" i="1"/>
  <c r="V106" i="1"/>
  <c r="V102" i="1"/>
  <c r="V98" i="1"/>
  <c r="V94" i="1"/>
  <c r="V90" i="1"/>
  <c r="V51" i="1"/>
  <c r="V86" i="1"/>
  <c r="V78" i="1"/>
  <c r="V82" i="1"/>
  <c r="V74" i="1"/>
  <c r="V87" i="1"/>
  <c r="V83" i="1"/>
  <c r="V79" i="1"/>
  <c r="V75" i="1"/>
  <c r="V88" i="1"/>
  <c r="V84" i="1"/>
  <c r="V80" i="1"/>
  <c r="V76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5" i="1"/>
  <c r="V53" i="1"/>
  <c r="V52" i="1"/>
  <c r="V50" i="1"/>
  <c r="V48" i="1"/>
  <c r="V47" i="1"/>
  <c r="V45" i="1"/>
  <c r="V44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54" i="1"/>
  <c r="V25" i="1"/>
  <c r="V49" i="1"/>
  <c r="V46" i="1"/>
  <c r="V43" i="1"/>
  <c r="S123" i="1" l="1"/>
  <c r="T123" i="1"/>
  <c r="U123" i="1" s="1"/>
  <c r="S124" i="1"/>
  <c r="T124" i="1"/>
  <c r="U124" i="1" s="1"/>
  <c r="S125" i="1"/>
  <c r="T125" i="1"/>
  <c r="U125" i="1" s="1"/>
  <c r="S126" i="1"/>
  <c r="T126" i="1"/>
  <c r="U126" i="1" s="1"/>
  <c r="S127" i="1"/>
  <c r="T127" i="1"/>
  <c r="U127" i="1" s="1"/>
  <c r="S154" i="1"/>
  <c r="T154" i="1"/>
  <c r="U154" i="1" s="1"/>
  <c r="S155" i="1"/>
  <c r="T155" i="1"/>
  <c r="U155" i="1" s="1"/>
  <c r="S157" i="1"/>
  <c r="T157" i="1"/>
  <c r="U157" i="1" s="1"/>
  <c r="S159" i="1"/>
  <c r="T159" i="1"/>
  <c r="U159" i="1" s="1"/>
  <c r="S105" i="1"/>
  <c r="T105" i="1"/>
  <c r="U105" i="1" s="1"/>
  <c r="V155" i="1" l="1"/>
  <c r="V154" i="1"/>
  <c r="V127" i="1"/>
  <c r="V126" i="1"/>
  <c r="V125" i="1"/>
  <c r="V124" i="1"/>
  <c r="V123" i="1"/>
  <c r="V105" i="1"/>
  <c r="V159" i="1"/>
  <c r="V157" i="1"/>
  <c r="S12" i="1"/>
  <c r="T12" i="1"/>
  <c r="S13" i="1"/>
  <c r="T13" i="1"/>
  <c r="V13" i="1" s="1"/>
  <c r="S14" i="1"/>
  <c r="T14" i="1"/>
  <c r="V14" i="1" s="1"/>
  <c r="S15" i="1"/>
  <c r="T15" i="1"/>
  <c r="V15" i="1" s="1"/>
  <c r="S161" i="1"/>
  <c r="T161" i="1"/>
  <c r="U161" i="1" s="1"/>
  <c r="S9" i="1"/>
  <c r="T9" i="1"/>
  <c r="U9" i="1" s="1"/>
  <c r="S10" i="1"/>
  <c r="T10" i="1"/>
  <c r="U10" i="1" s="1"/>
  <c r="S156" i="1"/>
  <c r="T156" i="1"/>
  <c r="U156" i="1" s="1"/>
  <c r="U13" i="1" l="1"/>
  <c r="U14" i="1"/>
  <c r="U15" i="1"/>
  <c r="U12" i="1"/>
  <c r="V12" i="1"/>
  <c r="V156" i="1"/>
  <c r="V10" i="1"/>
  <c r="V9" i="1"/>
  <c r="V161" i="1"/>
  <c r="S7" i="1"/>
  <c r="T7" i="1"/>
  <c r="U7" i="1" s="1"/>
  <c r="S5" i="1"/>
  <c r="T5" i="1"/>
  <c r="U5" i="1" s="1"/>
  <c r="S6" i="1"/>
  <c r="T6" i="1"/>
  <c r="U6" i="1" s="1"/>
  <c r="S162" i="1"/>
  <c r="T162" i="1"/>
  <c r="U162" i="1" s="1"/>
  <c r="S171" i="1"/>
  <c r="T171" i="1"/>
  <c r="U171" i="1" s="1"/>
  <c r="V6" i="1" l="1"/>
  <c r="V5" i="1"/>
  <c r="V7" i="1"/>
  <c r="V171" i="1"/>
  <c r="V162" i="1"/>
  <c r="S160" i="1" l="1"/>
  <c r="T160" i="1"/>
  <c r="U160" i="1" s="1"/>
  <c r="V160" i="1" l="1"/>
  <c r="S2" i="1"/>
  <c r="T2" i="1"/>
  <c r="U2" i="1" s="1"/>
  <c r="V2" i="1" l="1"/>
</calcChain>
</file>

<file path=xl/sharedStrings.xml><?xml version="1.0" encoding="utf-8"?>
<sst xmlns="http://schemas.openxmlformats.org/spreadsheetml/2006/main" count="1902" uniqueCount="358">
  <si>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</si>
  <si>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</si>
  <si>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</si>
  <si>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</si>
  <si>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</si>
  <si>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</si>
  <si>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</si>
  <si>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</si>
  <si>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</si>
  <si>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</si>
  <si>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</si>
  <si>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</si>
  <si>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</si>
  <si>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</si>
  <si>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</si>
  <si>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</si>
  <si>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</si>
  <si>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</si>
  <si>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</si>
  <si>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</si>
  <si>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DUELO</t>
  </si>
  <si>
    <t>QUIMICOS</t>
  </si>
  <si>
    <t>PRIMEROS AUXILIOS</t>
  </si>
  <si>
    <t>HUMANIZACION</t>
  </si>
  <si>
    <t>ACLS</t>
  </si>
  <si>
    <t>VIOLENCIA SEXUAL</t>
  </si>
  <si>
    <t>AIEPI</t>
  </si>
  <si>
    <t>ADMON DE MEDICAMENTOS</t>
  </si>
  <si>
    <t>PALIATIVOS</t>
  </si>
  <si>
    <t>CCS</t>
  </si>
  <si>
    <t>MEDICO</t>
  </si>
  <si>
    <t>F</t>
  </si>
  <si>
    <t>BANCOLOMBIA</t>
  </si>
  <si>
    <t>m</t>
  </si>
  <si>
    <t>por cancelar</t>
  </si>
  <si>
    <t>f</t>
  </si>
  <si>
    <t>FECHA DE NACIMIENTO</t>
  </si>
  <si>
    <t>NEQUI</t>
  </si>
  <si>
    <t>X</t>
  </si>
  <si>
    <t>SEBAS</t>
  </si>
  <si>
    <t>Carolina</t>
  </si>
  <si>
    <t>MARZO</t>
  </si>
  <si>
    <t>-</t>
  </si>
  <si>
    <t>Rodríguez</t>
  </si>
  <si>
    <t>Espinoza</t>
  </si>
  <si>
    <t>Floribet</t>
  </si>
  <si>
    <t>POR CANCELAR</t>
  </si>
  <si>
    <t>YURANI</t>
  </si>
  <si>
    <t>Guancha</t>
  </si>
  <si>
    <t>Chicaiza</t>
  </si>
  <si>
    <t>Neidy</t>
  </si>
  <si>
    <t>AUX. ENFERMERIA</t>
  </si>
  <si>
    <t>Cano</t>
  </si>
  <si>
    <t>Lopez</t>
  </si>
  <si>
    <t>Thania</t>
  </si>
  <si>
    <t>Mireya</t>
  </si>
  <si>
    <t>Pantoja</t>
  </si>
  <si>
    <t>Benavides</t>
  </si>
  <si>
    <t>Yenny</t>
  </si>
  <si>
    <t>Alexandra</t>
  </si>
  <si>
    <t>Castro</t>
  </si>
  <si>
    <t>Gonzalez</t>
  </si>
  <si>
    <t>Sory</t>
  </si>
  <si>
    <t>Sthephanie</t>
  </si>
  <si>
    <t>DAVIPLATA</t>
  </si>
  <si>
    <t>ENFERMERA JEFE</t>
  </si>
  <si>
    <t>Melo</t>
  </si>
  <si>
    <t>Santander</t>
  </si>
  <si>
    <t>Yohanna</t>
  </si>
  <si>
    <t>Gisella</t>
  </si>
  <si>
    <t>Angela</t>
  </si>
  <si>
    <t>Maria</t>
  </si>
  <si>
    <t>Benitez</t>
  </si>
  <si>
    <t>Daira</t>
  </si>
  <si>
    <t>Yalile</t>
  </si>
  <si>
    <t>Obando</t>
  </si>
  <si>
    <t>Guerrero</t>
  </si>
  <si>
    <t>Mayerlin</t>
  </si>
  <si>
    <t>Madeleine</t>
  </si>
  <si>
    <t>Narvaez</t>
  </si>
  <si>
    <t>Meza</t>
  </si>
  <si>
    <t>Daniel</t>
  </si>
  <si>
    <t>Fernando</t>
  </si>
  <si>
    <t>M</t>
  </si>
  <si>
    <t>Valencia</t>
  </si>
  <si>
    <t>Viveros</t>
  </si>
  <si>
    <t>Danna</t>
  </si>
  <si>
    <t>Elizabeth</t>
  </si>
  <si>
    <t>Rengifo</t>
  </si>
  <si>
    <t>Lisbeth</t>
  </si>
  <si>
    <t>Rosero</t>
  </si>
  <si>
    <t>Marcillo</t>
  </si>
  <si>
    <t>Tania</t>
  </si>
  <si>
    <t>Xilena</t>
  </si>
  <si>
    <t>Miño</t>
  </si>
  <si>
    <t>Dario</t>
  </si>
  <si>
    <t>Alexander</t>
  </si>
  <si>
    <t>munares</t>
  </si>
  <si>
    <t>mera</t>
  </si>
  <si>
    <t>sammy</t>
  </si>
  <si>
    <t>nathalia</t>
  </si>
  <si>
    <t>nico</t>
  </si>
  <si>
    <t>fisioterapeuta</t>
  </si>
  <si>
    <t>HENAO</t>
  </si>
  <si>
    <t>VALENCIA</t>
  </si>
  <si>
    <t>MEJIA</t>
  </si>
  <si>
    <t>TRIVIÑO</t>
  </si>
  <si>
    <t>GONZALEZ</t>
  </si>
  <si>
    <t>CONTRERAS</t>
  </si>
  <si>
    <t>LASSO</t>
  </si>
  <si>
    <t>QUIÑONES</t>
  </si>
  <si>
    <t>LANDAZURI</t>
  </si>
  <si>
    <t>CABEZAS</t>
  </si>
  <si>
    <t>ORTIZ</t>
  </si>
  <si>
    <t>PRADO</t>
  </si>
  <si>
    <t>GUERRERO</t>
  </si>
  <si>
    <t xml:space="preserve">HURTADO </t>
  </si>
  <si>
    <t>DE LA CRUZ</t>
  </si>
  <si>
    <t xml:space="preserve">ANGULO </t>
  </si>
  <si>
    <t>BANGUERA</t>
  </si>
  <si>
    <t xml:space="preserve">VILLA </t>
  </si>
  <si>
    <t>CAMPAZ</t>
  </si>
  <si>
    <t xml:space="preserve">ARBOLEDA </t>
  </si>
  <si>
    <t xml:space="preserve">RACINES </t>
  </si>
  <si>
    <t xml:space="preserve">RINCON </t>
  </si>
  <si>
    <t>AMU</t>
  </si>
  <si>
    <t>VALVERDE</t>
  </si>
  <si>
    <t>MONTAÑO</t>
  </si>
  <si>
    <t>BIOJO</t>
  </si>
  <si>
    <t>MOSQUERA</t>
  </si>
  <si>
    <t>SILVA</t>
  </si>
  <si>
    <t>ANGULO</t>
  </si>
  <si>
    <t>CORTES</t>
  </si>
  <si>
    <t>ROSERO</t>
  </si>
  <si>
    <t>SALAZAR</t>
  </si>
  <si>
    <t>CUERO</t>
  </si>
  <si>
    <t>CARDONA</t>
  </si>
  <si>
    <t>CASTILLO</t>
  </si>
  <si>
    <t>KLINGER</t>
  </si>
  <si>
    <t>TELLO</t>
  </si>
  <si>
    <t>TENORIO</t>
  </si>
  <si>
    <t xml:space="preserve"> RODRIGUEZ</t>
  </si>
  <si>
    <t>SOLIS</t>
  </si>
  <si>
    <t>OROBIO</t>
  </si>
  <si>
    <t>QUIÑONEZ</t>
  </si>
  <si>
    <t>CORTEZ</t>
  </si>
  <si>
    <t>DIAZ</t>
  </si>
  <si>
    <t>BETANCOURT</t>
  </si>
  <si>
    <t>JULLY</t>
  </si>
  <si>
    <t>NELLA</t>
  </si>
  <si>
    <t>ROCIO</t>
  </si>
  <si>
    <t>VIVIANA</t>
  </si>
  <si>
    <t>CINTHYA</t>
  </si>
  <si>
    <t>JOSE</t>
  </si>
  <si>
    <t>LINA</t>
  </si>
  <si>
    <t>JAMES</t>
  </si>
  <si>
    <t>JENIFFER</t>
  </si>
  <si>
    <t>NATALIA</t>
  </si>
  <si>
    <t>MELISSA</t>
  </si>
  <si>
    <t>ANGIE</t>
  </si>
  <si>
    <t>RUBY</t>
  </si>
  <si>
    <t>OLGA</t>
  </si>
  <si>
    <t>TOMASA</t>
  </si>
  <si>
    <t>LULY</t>
  </si>
  <si>
    <t xml:space="preserve">MERCEDES </t>
  </si>
  <si>
    <t xml:space="preserve">VERONICA </t>
  </si>
  <si>
    <t>MARIA</t>
  </si>
  <si>
    <t xml:space="preserve">KEVIN </t>
  </si>
  <si>
    <t>MARYURI</t>
  </si>
  <si>
    <t xml:space="preserve">INGRID </t>
  </si>
  <si>
    <t xml:space="preserve">TATINA </t>
  </si>
  <si>
    <t>SANDRA</t>
  </si>
  <si>
    <t>LUZ</t>
  </si>
  <si>
    <t>KONIE</t>
  </si>
  <si>
    <t>JOHANA</t>
  </si>
  <si>
    <t>MARINA</t>
  </si>
  <si>
    <t>FLOR</t>
  </si>
  <si>
    <t xml:space="preserve">FERNANDA </t>
  </si>
  <si>
    <t xml:space="preserve">GETZELY </t>
  </si>
  <si>
    <t>DEL PILAR</t>
  </si>
  <si>
    <t>NATHALI</t>
  </si>
  <si>
    <t>CAROLINA</t>
  </si>
  <si>
    <t>LUIS</t>
  </si>
  <si>
    <t>CAMILO</t>
  </si>
  <si>
    <t>MARIANA</t>
  </si>
  <si>
    <t>DANIELA</t>
  </si>
  <si>
    <t>JAZMIN</t>
  </si>
  <si>
    <t>VANESSA</t>
  </si>
  <si>
    <t xml:space="preserve"> LILIANA </t>
  </si>
  <si>
    <t xml:space="preserve">AMPARO </t>
  </si>
  <si>
    <t>MARIELA</t>
  </si>
  <si>
    <t>DEL MAR</t>
  </si>
  <si>
    <t>INES</t>
  </si>
  <si>
    <t>SORLAY</t>
  </si>
  <si>
    <t>ANDRES</t>
  </si>
  <si>
    <t>TATIANA</t>
  </si>
  <si>
    <t>DEL SOCORRO</t>
  </si>
  <si>
    <t>KARINA</t>
  </si>
  <si>
    <t>MARISA</t>
  </si>
  <si>
    <t>HELENA</t>
  </si>
  <si>
    <t>MAURICIA</t>
  </si>
  <si>
    <t>FERNANDA</t>
  </si>
  <si>
    <t xml:space="preserve"> CRISTINA  </t>
  </si>
  <si>
    <t xml:space="preserve"> MABELIS </t>
  </si>
  <si>
    <t>H. DIVINO NIÑO</t>
  </si>
  <si>
    <t>GETZELY</t>
  </si>
  <si>
    <t>MELO</t>
  </si>
  <si>
    <t>RODRIGUEZ</t>
  </si>
  <si>
    <t>PATRICIA</t>
  </si>
  <si>
    <t>PILAR</t>
  </si>
  <si>
    <t>MUÑOZ</t>
  </si>
  <si>
    <t>ROJAS</t>
  </si>
  <si>
    <t>BLANCA</t>
  </si>
  <si>
    <t>GLORIA</t>
  </si>
  <si>
    <t>BENAVIDES</t>
  </si>
  <si>
    <t>RITA</t>
  </si>
  <si>
    <t>DEL CARMEN</t>
  </si>
  <si>
    <t>ESCOBAR</t>
  </si>
  <si>
    <t>ASCUNTAR</t>
  </si>
  <si>
    <t>NELLY</t>
  </si>
  <si>
    <t>AMPARO</t>
  </si>
  <si>
    <t>POR PAGAR</t>
  </si>
  <si>
    <t>NICO</t>
  </si>
  <si>
    <t>PSICOLOGO</t>
  </si>
  <si>
    <t>LILIANA</t>
  </si>
  <si>
    <t>HURTADO</t>
  </si>
  <si>
    <t>MERCEDES</t>
  </si>
  <si>
    <t>VILLA</t>
  </si>
  <si>
    <t>VERONICA</t>
  </si>
  <si>
    <t>ARBOLEDA</t>
  </si>
  <si>
    <t>KEVIN</t>
  </si>
  <si>
    <t>RACINES</t>
  </si>
  <si>
    <t>RINCON</t>
  </si>
  <si>
    <t>INGRID</t>
  </si>
  <si>
    <t>TATINA</t>
  </si>
  <si>
    <t/>
  </si>
  <si>
    <t>CRISTINA</t>
  </si>
  <si>
    <t>MABELIS</t>
  </si>
  <si>
    <t>Quintas</t>
  </si>
  <si>
    <t>Jiménez</t>
  </si>
  <si>
    <t>Lizeth</t>
  </si>
  <si>
    <t xml:space="preserve">Alejandra </t>
  </si>
  <si>
    <t>Solarte</t>
  </si>
  <si>
    <t>Keissy</t>
  </si>
  <si>
    <t>Ibarra</t>
  </si>
  <si>
    <t>Claudia</t>
  </si>
  <si>
    <t>Patricia</t>
  </si>
  <si>
    <t xml:space="preserve"> 21/07/1981</t>
  </si>
  <si>
    <t>Posada</t>
  </si>
  <si>
    <t>Acosta</t>
  </si>
  <si>
    <t>Juliana</t>
  </si>
  <si>
    <t>Egas</t>
  </si>
  <si>
    <t>Ruales</t>
  </si>
  <si>
    <t>Vanessa</t>
  </si>
  <si>
    <t>Camila</t>
  </si>
  <si>
    <t xml:space="preserve">GLORIA </t>
  </si>
  <si>
    <t>YANIRA</t>
  </si>
  <si>
    <t xml:space="preserve">POR CANCELAR </t>
  </si>
  <si>
    <t>Friny</t>
  </si>
  <si>
    <t xml:space="preserve">Salazar </t>
  </si>
  <si>
    <t>Yepes</t>
  </si>
  <si>
    <t>Dany</t>
  </si>
  <si>
    <t xml:space="preserve">Estrada </t>
  </si>
  <si>
    <t>Sarasty</t>
  </si>
  <si>
    <t>Luis</t>
  </si>
  <si>
    <t>Fabian</t>
  </si>
  <si>
    <t>Pinza</t>
  </si>
  <si>
    <t>Chamorro</t>
  </si>
  <si>
    <t>Martha</t>
  </si>
  <si>
    <t>Leonor</t>
  </si>
  <si>
    <t xml:space="preserve">Moriano </t>
  </si>
  <si>
    <t>Vallejos</t>
  </si>
  <si>
    <t>Paola</t>
  </si>
  <si>
    <t>Andrea</t>
  </si>
  <si>
    <t>Caicedo</t>
  </si>
  <si>
    <t>Erika</t>
  </si>
  <si>
    <t>Estefania</t>
  </si>
  <si>
    <t xml:space="preserve">Por cancelar </t>
  </si>
  <si>
    <t>Luis pinta</t>
  </si>
  <si>
    <t xml:space="preserve">CASTILLO </t>
  </si>
  <si>
    <t>CAICEDO</t>
  </si>
  <si>
    <t>MARTHA</t>
  </si>
  <si>
    <t>Zúñiga</t>
  </si>
  <si>
    <t>Moreno</t>
  </si>
  <si>
    <t>Nathalia</t>
  </si>
  <si>
    <t>Potosi</t>
  </si>
  <si>
    <t>Torres</t>
  </si>
  <si>
    <t>Adisson</t>
  </si>
  <si>
    <t>Orlando</t>
  </si>
  <si>
    <t>AVANTI</t>
  </si>
  <si>
    <t>Ermelinda</t>
  </si>
  <si>
    <t>Santacruz</t>
  </si>
  <si>
    <t>Muñoz</t>
  </si>
  <si>
    <t>Katherine</t>
  </si>
  <si>
    <t>Yamile</t>
  </si>
  <si>
    <t xml:space="preserve">por cancelar </t>
  </si>
  <si>
    <t>Daza</t>
  </si>
  <si>
    <t>Chachinoy</t>
  </si>
  <si>
    <t xml:space="preserve">Fernanda </t>
  </si>
  <si>
    <t>Ocampo</t>
  </si>
  <si>
    <t>Luz</t>
  </si>
  <si>
    <t>Aida</t>
  </si>
  <si>
    <t>596 99 152 1213</t>
  </si>
  <si>
    <t>Cuero</t>
  </si>
  <si>
    <t>Cabezas</t>
  </si>
  <si>
    <t>Wiston</t>
  </si>
  <si>
    <t>Segundo</t>
  </si>
  <si>
    <t>Realpe</t>
  </si>
  <si>
    <t>Arcos</t>
  </si>
  <si>
    <t>Ximena</t>
  </si>
  <si>
    <t>Liceth</t>
  </si>
  <si>
    <t>ERNESTO</t>
  </si>
  <si>
    <t>LIBARDO</t>
  </si>
  <si>
    <t>DARIO</t>
  </si>
  <si>
    <t>IVAN</t>
  </si>
  <si>
    <t>ERAZO</t>
  </si>
  <si>
    <t>HERNANDEZ</t>
  </si>
  <si>
    <t>GABRIEL</t>
  </si>
  <si>
    <t>BURBANO</t>
  </si>
  <si>
    <t>PORTILLA</t>
  </si>
  <si>
    <t>GERMAN</t>
  </si>
  <si>
    <t>CARLOS</t>
  </si>
  <si>
    <t>AMORTEGUI</t>
  </si>
  <si>
    <t>CIFUENTES</t>
  </si>
  <si>
    <t>H. SAN PEDRO</t>
  </si>
  <si>
    <t>Tarapues</t>
  </si>
  <si>
    <t>Yanala</t>
  </si>
  <si>
    <t>Vernonica</t>
  </si>
  <si>
    <t>Brayan</t>
  </si>
  <si>
    <t>AUX ENFERMERIA</t>
  </si>
  <si>
    <t>Guaitarilla</t>
  </si>
  <si>
    <t>Popayan</t>
  </si>
  <si>
    <t>Doris</t>
  </si>
  <si>
    <t>Jimena</t>
  </si>
  <si>
    <t>Florez</t>
  </si>
  <si>
    <t>Eraso</t>
  </si>
  <si>
    <t>Zeneida</t>
  </si>
  <si>
    <t>Del Socorro</t>
  </si>
  <si>
    <t>Riascos</t>
  </si>
  <si>
    <t>Galeano</t>
  </si>
  <si>
    <t>OPTOMETRA</t>
  </si>
  <si>
    <t>Albornoz</t>
  </si>
  <si>
    <t>Sandra</t>
  </si>
  <si>
    <t>Martinez</t>
  </si>
  <si>
    <t>Frank</t>
  </si>
  <si>
    <t>Emilio</t>
  </si>
  <si>
    <t>Por cancelar</t>
  </si>
  <si>
    <t>Pabón</t>
  </si>
  <si>
    <t>Camilo</t>
  </si>
  <si>
    <t>Cristhian</t>
  </si>
  <si>
    <t>efectivo</t>
  </si>
  <si>
    <t>314 5184052</t>
  </si>
  <si>
    <t>Cabrera</t>
  </si>
  <si>
    <t>Lizbeth</t>
  </si>
  <si>
    <t>ELABORO</t>
  </si>
  <si>
    <t>EFECTIVO</t>
  </si>
  <si>
    <t>nequi</t>
  </si>
  <si>
    <t>maya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</si>
</sst>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12"/>
      <color indexed="8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23">
    <xf numFmtId="0" fontId="0" fillId="0" borderId="0" xfId="0"/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1" fontId="4" fillId="0" borderId="0" xfId="2" applyNumberFormat="1" applyFont="1" applyFill="1" applyBorder="1" applyAlignment="1" applyProtection="1">
      <alignment horizontal="right"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49" fontId="2" fillId="0" borderId="0" xfId="0" applyNumberFormat="1" applyFont="1" applyFill="1" applyBorder="1" applyAlignment="1" applyProtection="1">
      <alignment horizontal="center" vertical="center"/>
      <protection locked="0"/>
    </xf>
    <xf numFmtId="14" fontId="2" fillId="0" borderId="0" xfId="2" applyNumberFormat="1" applyFont="1" applyFill="1" applyBorder="1" applyAlignment="1" applyProtection="1">
      <alignment vertical="center"/>
      <protection locked="0"/>
    </xf>
    <xf numFmtId="164" fontId="2" fillId="0" borderId="0" xfId="1" applyNumberFormat="1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right"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14" fontId="2" fillId="0" borderId="0" xfId="0" applyNumberFormat="1" applyFont="1" applyFill="1" applyBorder="1"/>
    <xf numFmtId="164" fontId="2" fillId="0" borderId="0" xfId="1" applyNumberFormat="1" applyFont="1" applyFill="1" applyBorder="1"/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right"/>
    </xf>
  </cellXfs>
  <cellStyles count="3">
    <cellStyle name="Millares" xfId="1" builtinId="3"/>
    <cellStyle name="Millares [0]" xfId="2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BASTIAN-CCS\compartida%20ccs\CCS\2.Certificado\2023\JULIO\BASE%20DE%20DATOS%20CERTIFICADOS%20JUL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CURSOS"/>
      <sheetName val="Hoja2"/>
    </sheetNames>
    <sheetDataSet>
      <sheetData sheetId="0"/>
      <sheetData sheetId="1">
        <row r="3">
          <cell r="D3" t="str">
            <v>ATENCION PRE-HOSPITALARIA</v>
          </cell>
          <cell r="E3" t="str">
            <v>DIPLOMADO EN ATENCION PRE-HOSPITALARIA</v>
          </cell>
        </row>
        <row r="4">
          <cell r="D4" t="str">
            <v>DUELO</v>
          </cell>
          <cell r="E4" t="str">
            <v>ACOMPAÑAMIENTO Y MANEJO DEL DUELO</v>
          </cell>
        </row>
        <row r="5">
          <cell r="D5" t="str">
            <v>QUIMICOS</v>
          </cell>
          <cell r="E5" t="str">
            <v xml:space="preserve">ATENCION A VICTIMAS DE ATAQUE CON AGENTES QUIMICOS </v>
          </cell>
        </row>
        <row r="6">
          <cell r="D6" t="str">
            <v>PRIMEROS AUXILIOS</v>
          </cell>
          <cell r="E6" t="str">
            <v>PRIMEROS AUXILIOS</v>
          </cell>
        </row>
        <row r="7">
          <cell r="D7" t="str">
            <v>UCI</v>
          </cell>
          <cell r="E7" t="str">
            <v>DIPLOMADO DE UNIDAD DE CUIDADOS INTENSIVOS (UCI)</v>
          </cell>
        </row>
        <row r="8">
          <cell r="D8" t="str">
            <v>CODIGO VERDE</v>
          </cell>
          <cell r="E8" t="str">
            <v>MODELO DE ATENCION PARA EVENTOS EMERGENTES EN SALUD MENTAL (CODIGO VERDE)</v>
          </cell>
        </row>
        <row r="9">
          <cell r="D9" t="str">
            <v>HUMANIZACION</v>
          </cell>
          <cell r="E9" t="str">
            <v xml:space="preserve">HUMANIZACION EN SALUD, BUENAS PRACTICAS EN PACIENTE </v>
          </cell>
        </row>
        <row r="10">
          <cell r="D10" t="str">
            <v>CLINICA DE HERIDAS</v>
          </cell>
          <cell r="E10" t="str">
            <v xml:space="preserve">CLINICA DE HERIDAS </v>
          </cell>
        </row>
        <row r="11">
          <cell r="D11" t="str">
            <v>CITOLOGIA</v>
          </cell>
          <cell r="E11" t="str">
            <v xml:space="preserve">TOMA DE CITOLOGIA A CERVICO VAGINAL </v>
          </cell>
        </row>
        <row r="12">
          <cell r="D12" t="str">
            <v>ACLS</v>
          </cell>
          <cell r="E12" t="str">
            <v xml:space="preserve">SOPORTE CARDIOVASCULAR AVANZADO </v>
          </cell>
        </row>
        <row r="13">
          <cell r="D13" t="str">
            <v>CAMILLERO</v>
          </cell>
          <cell r="E13" t="str">
            <v>CAMILLERO HOSPITALARIO</v>
          </cell>
        </row>
        <row r="14">
          <cell r="D14" t="str">
            <v>TOMA DE MUESTRAS</v>
          </cell>
          <cell r="E14" t="str">
            <v>TOMA MUESTRAS Y LABORATORIO CLINICO</v>
          </cell>
        </row>
        <row r="15">
          <cell r="D15" t="str">
            <v>BLS</v>
          </cell>
          <cell r="E15" t="str">
            <v>SOPORTE VITAL BASICO (BLS)</v>
          </cell>
        </row>
        <row r="16">
          <cell r="D16" t="str">
            <v>VIOLENCIA SEXUAL</v>
          </cell>
          <cell r="E16" t="str">
            <v xml:space="preserve">ATENCION A VICTIMAS DE VIOLENCIA SEXUAL </v>
          </cell>
        </row>
        <row r="17">
          <cell r="D17" t="str">
            <v>COVID</v>
          </cell>
          <cell r="E17" t="str">
            <v>PROGRAMADO AMPLIADO DE INMUNIZACION (PAI - COVID 19)</v>
          </cell>
        </row>
        <row r="18">
          <cell r="D18" t="str">
            <v>AIEPI</v>
          </cell>
          <cell r="E18" t="str">
            <v>ATENCION INTEGRAL EN ENFERMEDADES PREVALENTES EN PRIMERA INFANCIA (AIEPI)</v>
          </cell>
        </row>
        <row r="19">
          <cell r="D19" t="str">
            <v>ADMON DE MEDICAMENTOS</v>
          </cell>
          <cell r="E19" t="str">
            <v xml:space="preserve">ADMINISTRACION DE MEDICAMENTOS, INYECTOLOGIA  Y CANALIZACION </v>
          </cell>
        </row>
        <row r="20">
          <cell r="D20" t="str">
            <v>OVE</v>
          </cell>
          <cell r="E20" t="str">
            <v>OPERADOR DE VEHICULOS DE EMERGENCIA (OVE)</v>
          </cell>
        </row>
        <row r="21">
          <cell r="D21" t="str">
            <v>IAMI</v>
          </cell>
          <cell r="E21" t="str">
            <v>INSTITUCIONES AMIGAS DE LA MUJER Y LA INFANCIA (IAMI)</v>
          </cell>
        </row>
        <row r="22">
          <cell r="D22" t="str">
            <v>DONANTE</v>
          </cell>
          <cell r="E22" t="str">
            <v>CUIDADO DEL DONANTE DE ORGANOS</v>
          </cell>
        </row>
        <row r="23">
          <cell r="D23" t="str">
            <v>VIOLENCIA DE GENERO</v>
          </cell>
          <cell r="E23" t="str">
            <v>ATENCION A VICTIMAS POR VIOLENCIA DE GENERO</v>
          </cell>
        </row>
        <row r="24">
          <cell r="D24" t="str">
            <v>IGUALDAD DE GENERO</v>
          </cell>
          <cell r="E24" t="str">
            <v>IGUALDAD DE GENERO EN LA SALUD</v>
          </cell>
        </row>
        <row r="25">
          <cell r="D25" t="str">
            <v>BRIGADA</v>
          </cell>
          <cell r="E25" t="str">
            <v>BRIGADA DE EMERGENCIA</v>
          </cell>
        </row>
        <row r="26">
          <cell r="D26" t="str">
            <v>PALIATIVOS</v>
          </cell>
          <cell r="E26" t="str">
            <v>MANEJO DEL DOLOR Y CUIDADOS PALIATIVOS</v>
          </cell>
        </row>
        <row r="27">
          <cell r="D27" t="str">
            <v>POCT</v>
          </cell>
          <cell r="E27" t="str">
            <v>TOMA MUESTRAS Y LABORATORIO POCT</v>
          </cell>
        </row>
        <row r="28">
          <cell r="D28" t="str">
            <v>IMPLANTE</v>
          </cell>
          <cell r="E28" t="str">
            <v>IMPLANTE SUBDERMICO Y DISPOSITIVO INTRAUTERINO</v>
          </cell>
        </row>
        <row r="29">
          <cell r="D29" t="str">
            <v>SALUD MENTAL</v>
          </cell>
          <cell r="E29" t="str">
            <v>SALUD MENTAL (CODIGO VERDE)</v>
          </cell>
        </row>
        <row r="30">
          <cell r="D30" t="str">
            <v>PRIMEROS AUXILIOS P</v>
          </cell>
          <cell r="E30" t="str">
            <v>PRIMEROS AUXILIOS PSICOLOGICOS</v>
          </cell>
        </row>
        <row r="31">
          <cell r="D31" t="str">
            <v>CONFLICTO ARMADO</v>
          </cell>
          <cell r="E31" t="str">
            <v>ATENCION A VICTIMAS POR CONFLICTO ARMADO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172"/>
  <sheetViews>
    <sheetView tabSelected="1" zoomScale="70" zoomScaleNormal="70" workbookViewId="0">
      <pane xSplit="1" ySplit="1" topLeftCell="B83" activePane="bottomRight" state="frozen"/>
      <selection pane="topRight"/>
      <selection pane="bottomLeft"/>
      <selection pane="bottomRight" activeCell="E111" sqref="E111"/>
    </sheetView>
  </sheetViews>
  <sheetFormatPr baseColWidth="10" defaultRowHeight="15" x14ac:dyDescent="0.2"/>
  <cols>
    <col min="1" max="1" width="10.28515625" style="16" bestFit="1" customWidth="1"/>
    <col min="2" max="2" width="35.85546875" style="16" bestFit="1" customWidth="1"/>
    <col min="3" max="3" width="22.7109375" style="16" bestFit="1" customWidth="1"/>
    <col min="4" max="4" width="25.42578125" style="16" bestFit="1" customWidth="1"/>
    <col min="5" max="5" width="21.28515625" style="16" bestFit="1" customWidth="1"/>
    <col min="6" max="6" width="24.140625" style="17" bestFit="1" customWidth="1"/>
    <col min="7" max="7" width="11.5703125" style="16" bestFit="1" customWidth="1"/>
    <col min="8" max="8" width="14.85546875" style="16" bestFit="1" customWidth="1"/>
    <col min="9" max="9" width="24.7109375" style="18" bestFit="1" customWidth="1"/>
    <col min="10" max="10" width="33.5703125" style="19" bestFit="1" customWidth="1"/>
    <col min="11" max="11" width="19.85546875" style="16" bestFit="1" customWidth="1"/>
    <col min="12" max="12" width="19.85546875" style="16" customWidth="1"/>
    <col min="13" max="13" width="22" style="16" customWidth="1"/>
    <col min="14" max="14" width="40.28515625" style="16" bestFit="1" customWidth="1"/>
    <col min="15" max="15" width="35.42578125" style="20" customWidth="1"/>
    <col min="16" max="16" width="11.42578125" style="21"/>
    <col min="17" max="17" width="38.7109375" style="16" customWidth="1"/>
    <col min="18" max="18" width="18.7109375" style="16" bestFit="1" customWidth="1"/>
    <col min="19" max="19" width="101.85546875" style="16" bestFit="1" customWidth="1"/>
    <col min="20" max="20" width="54.5703125" style="16" bestFit="1" customWidth="1"/>
    <col min="21" max="21" width="43.7109375" style="16" bestFit="1" customWidth="1"/>
    <col min="22" max="22" width="87.28515625" style="16" bestFit="1" customWidth="1"/>
    <col min="23" max="16384" width="11.42578125" style="16"/>
  </cols>
  <sheetData>
    <row r="1" spans="1:22" s="15" customFormat="1" x14ac:dyDescent="0.25">
      <c r="A1" s="1" t="s">
        <v>38</v>
      </c>
      <c r="B1" s="2" t="s">
        <v>0</v>
      </c>
      <c r="C1" s="3" t="s">
        <v>1</v>
      </c>
      <c r="D1" s="4" t="s">
        <v>2</v>
      </c>
      <c r="E1" s="4" t="s">
        <v>3</v>
      </c>
      <c r="F1" s="5" t="s">
        <v>4</v>
      </c>
      <c r="G1" s="6" t="s">
        <v>5</v>
      </c>
      <c r="H1" s="6" t="s">
        <v>6</v>
      </c>
      <c r="I1" s="7" t="s">
        <v>7</v>
      </c>
      <c r="J1" s="8" t="s">
        <v>8</v>
      </c>
      <c r="K1" s="9" t="s">
        <v>9</v>
      </c>
      <c r="L1" s="9" t="s">
        <v>354</v>
      </c>
      <c r="M1" s="9" t="s">
        <v>10</v>
      </c>
      <c r="N1" s="10" t="s">
        <v>11</v>
      </c>
      <c r="O1" s="11" t="s">
        <v>36</v>
      </c>
      <c r="P1" s="9" t="s">
        <v>12</v>
      </c>
      <c r="Q1" s="4" t="s">
        <v>13</v>
      </c>
      <c r="R1" s="12" t="s">
        <v>14</v>
      </c>
      <c r="S1" s="13" t="s">
        <v>15</v>
      </c>
      <c r="T1" s="14" t="s">
        <v>16</v>
      </c>
      <c r="U1" s="14" t="s">
        <v>17</v>
      </c>
      <c r="V1" s="14" t="s">
        <v>18</v>
      </c>
    </row>
    <row r="2" spans="1:22" x14ac:dyDescent="0.2">
      <c r="A2" s="16">
        <v>1</v>
      </c>
      <c r="B2" s="16">
        <v>1032424255</v>
      </c>
      <c r="C2" s="16" t="s">
        <v>43</v>
      </c>
      <c r="D2" s="16" t="s">
        <v>44</v>
      </c>
      <c r="E2" s="16" t="s">
        <v>45</v>
      </c>
      <c r="G2" s="16">
        <v>1</v>
      </c>
      <c r="H2" s="16" t="s">
        <v>41</v>
      </c>
      <c r="I2" s="18">
        <v>45370</v>
      </c>
      <c r="J2" s="19">
        <v>35000</v>
      </c>
      <c r="K2" s="16" t="s">
        <v>32</v>
      </c>
      <c r="L2" s="16" t="s">
        <v>39</v>
      </c>
      <c r="M2" s="16" t="s">
        <v>47</v>
      </c>
      <c r="N2" s="17" t="s">
        <v>26</v>
      </c>
      <c r="O2" s="20" t="s">
        <v>42</v>
      </c>
      <c r="P2" s="21" t="s">
        <v>31</v>
      </c>
      <c r="Q2" s="16" t="s">
        <v>30</v>
      </c>
      <c r="R2" s="22"/>
      <c r="S2" s="16" t="str">
        <f>+IF($N2=[1]CURSOS!$D$3,[1]CURSOS!$E$3,(+IF($N2=[1]CURSOS!$D$4,[1]CURSOS!$E$4,(+IF($N2=[1]CURSOS!$D$5,[1]CURSOS!$E$5,(+IF($N2=[1]CURSOS!$D$6,[1]CURSOS!$E$6,(+IF($N2=[1]CURSOS!$D$7,[1]CURSOS!$E$7,(+IF($N2=[1]CURSOS!$D$8,[1]CURSOS!$E$8,(+IF($N2=[1]CURSOS!$D$9,[1]CURSOS!$E$9,(+IF($N2=[1]CURSOS!$D$10,[1]CURSOS!$E$10,(+IF($N2=[1]CURSOS!$D$11,[1]CURSOS!$E$11,(+IF($N2=[1]CURSOS!$D$12,[1]CURSOS!$E$12,(+IF($N2=[1]CURSOS!$D$13,[1]CURSOS!$E$13,(+IF($N2=[1]CURSOS!$D$14,[1]CURSOS!$E$14,(+IF($N2=[1]CURSOS!$D$15,[1]CURSOS!$E$15,(+IF($N2=[1]CURSOS!$D$16,[1]CURSOS!$E$16,(+IF($N2=[1]CURSOS!$D$17,[1]CURSOS!$E$17,(+IF($N2=[1]CURSOS!$D$18,[1]CURSOS!$E$18,(+IF($N2=[1]CURSOS!$D$19,[1]CURSOS!$E$19,(+IF($N2=[1]CURSOS!$D$20,[1]CURSOS!$E$20,(+IF($N2=[1]CURSOS!$D$21,[1]CURSOS!$E$21,(+IF($N2=[1]CURSOS!$D$22,[1]CURSOS!$E$22,(+IF($N2=[1]CURSOS!$D$23,[1]CURSOS!$E$23,(+IF($N2=[1]CURSOS!$D$24,[1]CURSOS!$E$24,(+IF($N2=[1]CURSOS!$D$25,[1]CURSOS!$E$25,(+IF($N2=[1]CURSOS!$D$26,[1]CURSOS!$E$26,(+IF($N2=[1]CURSOS!$D$27,[1]CURSOS!$E$27,(+IF($N2=[1]CURSOS!$D$28,[1]CURSOS!$E$28,(+IF($N2=[1]CURSOS!$D$29,[1]CURSOS!$E$29,(+IF($N2=[1]CURSOS!$D$30,[1]CURSOS!$E$30,(+IF($N2=[1]CURSOS!$D$31,[1]CURSOS!$E$31,(+IF($N2=[1]CURSOS!$D$32,[1]CURSOS!$E$32)))))))))))))))))))))))))))))))))))))))))))))))))))))))))))</f>
        <v>ATENCION INTEGRAL EN ENFERMEDADES PREVALENTES EN PRIMERA INFANCIA (AIEPI)</v>
      </c>
      <c r="T2" s="16" t="str">
        <f t="shared" ref="T2" si="0">CONCATENATE(E2," ",F2," ",C2," ",D2)</f>
        <v>Floribet  Rodríguez Espinoza</v>
      </c>
      <c r="U2" s="16" t="str">
        <f t="shared" ref="U2" si="1">+PROPER(T2)</f>
        <v>Floribet  Rodríguez Espinoza</v>
      </c>
      <c r="V2" s="16" t="str">
        <f t="shared" ref="V2" si="2">CONCATENATE(T2,"-",B2,"-",N2)</f>
        <v>Floribet  Rodríguez Espinoza-1032424255-AIEPI</v>
      </c>
    </row>
    <row r="3" spans="1:22" x14ac:dyDescent="0.2">
      <c r="A3" s="16">
        <v>127</v>
      </c>
      <c r="B3" s="16">
        <v>37080147</v>
      </c>
      <c r="C3" s="16" t="s">
        <v>266</v>
      </c>
      <c r="D3" s="16" t="s">
        <v>267</v>
      </c>
      <c r="E3" s="16" t="s">
        <v>268</v>
      </c>
      <c r="F3" s="17" t="s">
        <v>269</v>
      </c>
      <c r="G3" s="16">
        <v>15</v>
      </c>
      <c r="H3" s="16" t="s">
        <v>41</v>
      </c>
      <c r="I3" s="18">
        <v>45378</v>
      </c>
      <c r="J3" s="19">
        <v>35000</v>
      </c>
      <c r="K3" s="16" t="s">
        <v>37</v>
      </c>
      <c r="L3" s="16" t="s">
        <v>39</v>
      </c>
      <c r="M3" s="16" t="s">
        <v>29</v>
      </c>
      <c r="N3" s="16" t="s">
        <v>25</v>
      </c>
      <c r="O3" s="20">
        <v>30331</v>
      </c>
      <c r="P3" s="21" t="s">
        <v>31</v>
      </c>
      <c r="Q3" s="16" t="s">
        <v>51</v>
      </c>
      <c r="R3" s="16">
        <v>3163517362</v>
      </c>
      <c r="S3" s="16" t="str">
        <f>+IF($N3=[1]CURSOS!$D$3,[1]CURSOS!$E$3,(+IF($N3=[1]CURSOS!$D$4,[1]CURSOS!$E$4,(+IF($N3=[1]CURSOS!$D$5,[1]CURSOS!$E$5,(+IF($N3=[1]CURSOS!$D$6,[1]CURSOS!$E$6,(+IF($N3=[1]CURSOS!$D$7,[1]CURSOS!$E$7,(+IF($N3=[1]CURSOS!$D$8,[1]CURSOS!$E$8,(+IF($N3=[1]CURSOS!$D$9,[1]CURSOS!$E$9,(+IF($N3=[1]CURSOS!$D$10,[1]CURSOS!$E$10,(+IF($N3=[1]CURSOS!$D$11,[1]CURSOS!$E$11,(+IF($N3=[1]CURSOS!$D$12,[1]CURSOS!$E$12,(+IF($N3=[1]CURSOS!$D$13,[1]CURSOS!$E$13,(+IF($N3=[1]CURSOS!$D$14,[1]CURSOS!$E$14,(+IF($N3=[1]CURSOS!$D$15,[1]CURSOS!$E$15,(+IF($N3=[1]CURSOS!$D$16,[1]CURSOS!$E$16,(+IF($N3=[1]CURSOS!$D$17,[1]CURSOS!$E$17,(+IF($N3=[1]CURSOS!$D$18,[1]CURSOS!$E$18,(+IF($N3=[1]CURSOS!$D$19,[1]CURSOS!$E$19,(+IF($N3=[1]CURSOS!$D$20,[1]CURSOS!$E$20,(+IF($N3=[1]CURSOS!$D$21,[1]CURSOS!$E$21,(+IF($N3=[1]CURSOS!$D$22,[1]CURSOS!$E$22,(+IF($N3=[1]CURSOS!$D$23,[1]CURSOS!$E$23,(+IF($N3=[1]CURSOS!$D$24,[1]CURSOS!$E$24,(+IF($N3=[1]CURSOS!$D$25,[1]CURSOS!$E$25,(+IF($N3=[1]CURSOS!$D$26,[1]CURSOS!$E$26,(+IF($N3=[1]CURSOS!$D$27,[1]CURSOS!$E$27,(+IF($N3=[1]CURSOS!$D$28,[1]CURSOS!$E$28,(+IF($N3=[1]CURSOS!$D$29,[1]CURSOS!$E$29,(+IF($N3=[1]CURSOS!$D$30,[1]CURSOS!$E$30,(+IF($N3=[1]CURSOS!$D$31,[1]CURSOS!$E$31,(+IF($N3=[1]CURSOS!$D$32,[1]CURSOS!$E$32)))))))))))))))))))))))))))))))))))))))))))))))))))))))))))</f>
        <v xml:space="preserve">ATENCION A VICTIMAS DE VIOLENCIA SEXUAL </v>
      </c>
      <c r="T3" s="16" t="str">
        <f t="shared" ref="T3:T34" si="3">CONCATENATE(E3," ",F3," ",C3," ",D3)</f>
        <v>Martha Leonor Pinza Chamorro</v>
      </c>
      <c r="U3" s="16" t="str">
        <f t="shared" ref="U3:U34" si="4">+PROPER(T3)</f>
        <v>Martha Leonor Pinza Chamorro</v>
      </c>
      <c r="V3" s="16" t="str">
        <f t="shared" ref="V3:V34" si="5">CONCATENATE(T3,"-",B3,"-",N3)</f>
        <v>Martha Leonor Pinza Chamorro-37080147-VIOLENCIA SEXUAL</v>
      </c>
    </row>
    <row r="4" spans="1:22" x14ac:dyDescent="0.2">
      <c r="A4" s="16">
        <v>154</v>
      </c>
      <c r="B4" s="16">
        <v>1086756641</v>
      </c>
      <c r="C4" s="16" t="s">
        <v>325</v>
      </c>
      <c r="D4" s="16" t="s">
        <v>326</v>
      </c>
      <c r="E4" s="16" t="s">
        <v>275</v>
      </c>
      <c r="F4" s="17" t="s">
        <v>327</v>
      </c>
      <c r="G4" s="16">
        <v>19</v>
      </c>
      <c r="H4" s="16" t="s">
        <v>41</v>
      </c>
      <c r="I4" s="18">
        <v>45374</v>
      </c>
      <c r="J4" s="19">
        <v>40000</v>
      </c>
      <c r="K4" s="16" t="s">
        <v>37</v>
      </c>
      <c r="L4" s="16" t="s">
        <v>39</v>
      </c>
      <c r="M4" s="16" t="s">
        <v>328</v>
      </c>
      <c r="N4" s="16" t="s">
        <v>27</v>
      </c>
      <c r="P4" s="21" t="s">
        <v>31</v>
      </c>
      <c r="Q4" s="16" t="s">
        <v>329</v>
      </c>
      <c r="S4" s="16" t="str">
        <f>+IF($N4=[1]CURSOS!$D$3,[1]CURSOS!$E$3,(+IF($N4=[1]CURSOS!$D$4,[1]CURSOS!$E$4,(+IF($N4=[1]CURSOS!$D$5,[1]CURSOS!$E$5,(+IF($N4=[1]CURSOS!$D$6,[1]CURSOS!$E$6,(+IF($N4=[1]CURSOS!$D$7,[1]CURSOS!$E$7,(+IF($N4=[1]CURSOS!$D$8,[1]CURSOS!$E$8,(+IF($N4=[1]CURSOS!$D$9,[1]CURSOS!$E$9,(+IF($N4=[1]CURSOS!$D$10,[1]CURSOS!$E$10,(+IF($N4=[1]CURSOS!$D$11,[1]CURSOS!$E$11,(+IF($N4=[1]CURSOS!$D$12,[1]CURSOS!$E$12,(+IF($N4=[1]CURSOS!$D$13,[1]CURSOS!$E$13,(+IF($N4=[1]CURSOS!$D$14,[1]CURSOS!$E$14,(+IF($N4=[1]CURSOS!$D$15,[1]CURSOS!$E$15,(+IF($N4=[1]CURSOS!$D$16,[1]CURSOS!$E$16,(+IF($N4=[1]CURSOS!$D$17,[1]CURSOS!$E$17,(+IF($N4=[1]CURSOS!$D$18,[1]CURSOS!$E$18,(+IF($N4=[1]CURSOS!$D$19,[1]CURSOS!$E$19,(+IF($N4=[1]CURSOS!$D$20,[1]CURSOS!$E$20,(+IF($N4=[1]CURSOS!$D$21,[1]CURSOS!$E$21,(+IF($N4=[1]CURSOS!$D$22,[1]CURSOS!$E$22,(+IF($N4=[1]CURSOS!$D$23,[1]CURSOS!$E$23,(+IF($N4=[1]CURSOS!$D$24,[1]CURSOS!$E$24,(+IF($N4=[1]CURSOS!$D$25,[1]CURSOS!$E$25,(+IF($N4=[1]CURSOS!$D$26,[1]CURSOS!$E$26,(+IF($N4=[1]CURSOS!$D$27,[1]CURSOS!$E$27,(+IF($N4=[1]CURSOS!$D$28,[1]CURSOS!$E$28,(+IF($N4=[1]CURSOS!$D$29,[1]CURSOS!$E$29,(+IF($N4=[1]CURSOS!$D$30,[1]CURSOS!$E$30,(+IF($N4=[1]CURSOS!$D$31,[1]CURSOS!$E$31,(+IF($N4=[1]CURSOS!$D$32,[1]CURSOS!$E$32)))))))))))))))))))))))))))))))))))))))))))))))))))))))))))</f>
        <v xml:space="preserve">ADMINISTRACION DE MEDICAMENTOS, INYECTOLOGIA  Y CANALIZACION </v>
      </c>
      <c r="T4" s="16" t="str">
        <f t="shared" si="3"/>
        <v>Erika Vernonica Tarapues Yanala</v>
      </c>
      <c r="U4" s="16" t="str">
        <f t="shared" si="4"/>
        <v>Erika Vernonica Tarapues Yanala</v>
      </c>
      <c r="V4" s="16" t="str">
        <f t="shared" si="5"/>
        <v>Erika Vernonica Tarapues Yanala-1086756641-ADMON DE MEDICAMENTOS</v>
      </c>
    </row>
    <row r="5" spans="1:22" x14ac:dyDescent="0.2">
      <c r="A5" s="16">
        <v>5</v>
      </c>
      <c r="B5" s="16">
        <v>1085282460</v>
      </c>
      <c r="C5" s="16" t="s">
        <v>60</v>
      </c>
      <c r="D5" s="16" t="s">
        <v>61</v>
      </c>
      <c r="E5" s="16" t="s">
        <v>62</v>
      </c>
      <c r="F5" s="17" t="s">
        <v>63</v>
      </c>
      <c r="G5" s="16">
        <v>3</v>
      </c>
      <c r="H5" s="16" t="s">
        <v>41</v>
      </c>
      <c r="I5" s="18">
        <v>45355</v>
      </c>
      <c r="J5" s="19">
        <v>35000</v>
      </c>
      <c r="K5" s="16" t="s">
        <v>64</v>
      </c>
      <c r="L5" s="16" t="s">
        <v>39</v>
      </c>
      <c r="M5" s="16" t="s">
        <v>29</v>
      </c>
      <c r="N5" s="16" t="s">
        <v>26</v>
      </c>
      <c r="O5" s="20">
        <v>32996</v>
      </c>
      <c r="P5" s="21" t="s">
        <v>31</v>
      </c>
      <c r="Q5" s="16" t="s">
        <v>65</v>
      </c>
      <c r="R5" s="16">
        <v>3006778618</v>
      </c>
      <c r="S5" s="16" t="str">
        <f>+IF($N5=[1]CURSOS!$D$3,[1]CURSOS!$E$3,(+IF($N5=[1]CURSOS!$D$4,[1]CURSOS!$E$4,(+IF($N5=[1]CURSOS!$D$5,[1]CURSOS!$E$5,(+IF($N5=[1]CURSOS!$D$6,[1]CURSOS!$E$6,(+IF($N5=[1]CURSOS!$D$7,[1]CURSOS!$E$7,(+IF($N5=[1]CURSOS!$D$8,[1]CURSOS!$E$8,(+IF($N5=[1]CURSOS!$D$9,[1]CURSOS!$E$9,(+IF($N5=[1]CURSOS!$D$10,[1]CURSOS!$E$10,(+IF($N5=[1]CURSOS!$D$11,[1]CURSOS!$E$11,(+IF($N5=[1]CURSOS!$D$12,[1]CURSOS!$E$12,(+IF($N5=[1]CURSOS!$D$13,[1]CURSOS!$E$13,(+IF($N5=[1]CURSOS!$D$14,[1]CURSOS!$E$14,(+IF($N5=[1]CURSOS!$D$15,[1]CURSOS!$E$15,(+IF($N5=[1]CURSOS!$D$16,[1]CURSOS!$E$16,(+IF($N5=[1]CURSOS!$D$17,[1]CURSOS!$E$17,(+IF($N5=[1]CURSOS!$D$18,[1]CURSOS!$E$18,(+IF($N5=[1]CURSOS!$D$19,[1]CURSOS!$E$19,(+IF($N5=[1]CURSOS!$D$20,[1]CURSOS!$E$20,(+IF($N5=[1]CURSOS!$D$21,[1]CURSOS!$E$21,(+IF($N5=[1]CURSOS!$D$22,[1]CURSOS!$E$22,(+IF($N5=[1]CURSOS!$D$23,[1]CURSOS!$E$23,(+IF($N5=[1]CURSOS!$D$24,[1]CURSOS!$E$24,(+IF($N5=[1]CURSOS!$D$25,[1]CURSOS!$E$25,(+IF($N5=[1]CURSOS!$D$26,[1]CURSOS!$E$26,(+IF($N5=[1]CURSOS!$D$27,[1]CURSOS!$E$27,(+IF($N5=[1]CURSOS!$D$28,[1]CURSOS!$E$28,(+IF($N5=[1]CURSOS!$D$29,[1]CURSOS!$E$29,(+IF($N5=[1]CURSOS!$D$30,[1]CURSOS!$E$30,(+IF($N5=[1]CURSOS!$D$31,[1]CURSOS!$E$31,(+IF($N5=[1]CURSOS!$D$32,[1]CURSOS!$E$32)))))))))))))))))))))))))))))))))))))))))))))))))))))))))))</f>
        <v>ATENCION INTEGRAL EN ENFERMEDADES PREVALENTES EN PRIMERA INFANCIA (AIEPI)</v>
      </c>
      <c r="T5" s="16" t="str">
        <f t="shared" si="3"/>
        <v>Sory Sthephanie Castro Gonzalez</v>
      </c>
      <c r="U5" s="16" t="str">
        <f t="shared" si="4"/>
        <v>Sory Sthephanie Castro Gonzalez</v>
      </c>
      <c r="V5" s="16" t="str">
        <f t="shared" si="5"/>
        <v>Sory Sthephanie Castro Gonzalez-1085282460-AIEPI</v>
      </c>
    </row>
    <row r="6" spans="1:22" x14ac:dyDescent="0.2">
      <c r="A6" s="16">
        <v>6</v>
      </c>
      <c r="B6" s="16">
        <v>1085282460</v>
      </c>
      <c r="C6" s="16" t="s">
        <v>60</v>
      </c>
      <c r="D6" s="16" t="s">
        <v>61</v>
      </c>
      <c r="E6" s="16" t="s">
        <v>62</v>
      </c>
      <c r="F6" s="17" t="s">
        <v>63</v>
      </c>
      <c r="G6" s="16">
        <v>3</v>
      </c>
      <c r="H6" s="16" t="s">
        <v>41</v>
      </c>
      <c r="I6" s="18">
        <v>45355</v>
      </c>
      <c r="J6" s="19">
        <v>35000</v>
      </c>
      <c r="K6" s="16" t="s">
        <v>64</v>
      </c>
      <c r="L6" s="16" t="s">
        <v>39</v>
      </c>
      <c r="M6" s="16" t="s">
        <v>29</v>
      </c>
      <c r="N6" s="16" t="s">
        <v>25</v>
      </c>
      <c r="O6" s="20">
        <v>32996</v>
      </c>
      <c r="P6" s="21" t="s">
        <v>31</v>
      </c>
      <c r="Q6" s="16" t="s">
        <v>65</v>
      </c>
      <c r="R6" s="16">
        <v>3006778618</v>
      </c>
      <c r="S6" s="16" t="str">
        <f>+IF($N6=[1]CURSOS!$D$3,[1]CURSOS!$E$3,(+IF($N6=[1]CURSOS!$D$4,[1]CURSOS!$E$4,(+IF($N6=[1]CURSOS!$D$5,[1]CURSOS!$E$5,(+IF($N6=[1]CURSOS!$D$6,[1]CURSOS!$E$6,(+IF($N6=[1]CURSOS!$D$7,[1]CURSOS!$E$7,(+IF($N6=[1]CURSOS!$D$8,[1]CURSOS!$E$8,(+IF($N6=[1]CURSOS!$D$9,[1]CURSOS!$E$9,(+IF($N6=[1]CURSOS!$D$10,[1]CURSOS!$E$10,(+IF($N6=[1]CURSOS!$D$11,[1]CURSOS!$E$11,(+IF($N6=[1]CURSOS!$D$12,[1]CURSOS!$E$12,(+IF($N6=[1]CURSOS!$D$13,[1]CURSOS!$E$13,(+IF($N6=[1]CURSOS!$D$14,[1]CURSOS!$E$14,(+IF($N6=[1]CURSOS!$D$15,[1]CURSOS!$E$15,(+IF($N6=[1]CURSOS!$D$16,[1]CURSOS!$E$16,(+IF($N6=[1]CURSOS!$D$17,[1]CURSOS!$E$17,(+IF($N6=[1]CURSOS!$D$18,[1]CURSOS!$E$18,(+IF($N6=[1]CURSOS!$D$19,[1]CURSOS!$E$19,(+IF($N6=[1]CURSOS!$D$20,[1]CURSOS!$E$20,(+IF($N6=[1]CURSOS!$D$21,[1]CURSOS!$E$21,(+IF($N6=[1]CURSOS!$D$22,[1]CURSOS!$E$22,(+IF($N6=[1]CURSOS!$D$23,[1]CURSOS!$E$23,(+IF($N6=[1]CURSOS!$D$24,[1]CURSOS!$E$24,(+IF($N6=[1]CURSOS!$D$25,[1]CURSOS!$E$25,(+IF($N6=[1]CURSOS!$D$26,[1]CURSOS!$E$26,(+IF($N6=[1]CURSOS!$D$27,[1]CURSOS!$E$27,(+IF($N6=[1]CURSOS!$D$28,[1]CURSOS!$E$28,(+IF($N6=[1]CURSOS!$D$29,[1]CURSOS!$E$29,(+IF($N6=[1]CURSOS!$D$30,[1]CURSOS!$E$30,(+IF($N6=[1]CURSOS!$D$31,[1]CURSOS!$E$31,(+IF($N6=[1]CURSOS!$D$32,[1]CURSOS!$E$32)))))))))))))))))))))))))))))))))))))))))))))))))))))))))))</f>
        <v xml:space="preserve">ATENCION A VICTIMAS DE VIOLENCIA SEXUAL </v>
      </c>
      <c r="T6" s="16" t="str">
        <f t="shared" si="3"/>
        <v>Sory Sthephanie Castro Gonzalez</v>
      </c>
      <c r="U6" s="16" t="str">
        <f t="shared" si="4"/>
        <v>Sory Sthephanie Castro Gonzalez</v>
      </c>
      <c r="V6" s="16" t="str">
        <f t="shared" si="5"/>
        <v>Sory Sthephanie Castro Gonzalez-1085282460-VIOLENCIA SEXUAL</v>
      </c>
    </row>
    <row r="7" spans="1:22" x14ac:dyDescent="0.2">
      <c r="A7" s="16">
        <v>7</v>
      </c>
      <c r="B7" s="16">
        <v>1004694891</v>
      </c>
      <c r="C7" s="16" t="s">
        <v>66</v>
      </c>
      <c r="D7" s="16" t="s">
        <v>67</v>
      </c>
      <c r="E7" s="16" t="s">
        <v>68</v>
      </c>
      <c r="F7" s="17" t="s">
        <v>69</v>
      </c>
      <c r="G7" s="16">
        <v>4</v>
      </c>
      <c r="H7" s="16" t="s">
        <v>41</v>
      </c>
      <c r="I7" s="18">
        <v>45370</v>
      </c>
      <c r="J7" s="19">
        <v>30000</v>
      </c>
      <c r="K7" s="16" t="s">
        <v>32</v>
      </c>
      <c r="L7" s="16" t="s">
        <v>39</v>
      </c>
      <c r="M7" s="16" t="s">
        <v>47</v>
      </c>
      <c r="N7" s="16" t="s">
        <v>25</v>
      </c>
      <c r="O7" s="18">
        <v>45384</v>
      </c>
      <c r="P7" s="21" t="s">
        <v>31</v>
      </c>
      <c r="Q7" s="16" t="s">
        <v>51</v>
      </c>
      <c r="S7" s="16" t="str">
        <f>+IF($N7=[1]CURSOS!$D$3,[1]CURSOS!$E$3,(+IF($N7=[1]CURSOS!$D$4,[1]CURSOS!$E$4,(+IF($N7=[1]CURSOS!$D$5,[1]CURSOS!$E$5,(+IF($N7=[1]CURSOS!$D$6,[1]CURSOS!$E$6,(+IF($N7=[1]CURSOS!$D$7,[1]CURSOS!$E$7,(+IF($N7=[1]CURSOS!$D$8,[1]CURSOS!$E$8,(+IF($N7=[1]CURSOS!$D$9,[1]CURSOS!$E$9,(+IF($N7=[1]CURSOS!$D$10,[1]CURSOS!$E$10,(+IF($N7=[1]CURSOS!$D$11,[1]CURSOS!$E$11,(+IF($N7=[1]CURSOS!$D$12,[1]CURSOS!$E$12,(+IF($N7=[1]CURSOS!$D$13,[1]CURSOS!$E$13,(+IF($N7=[1]CURSOS!$D$14,[1]CURSOS!$E$14,(+IF($N7=[1]CURSOS!$D$15,[1]CURSOS!$E$15,(+IF($N7=[1]CURSOS!$D$16,[1]CURSOS!$E$16,(+IF($N7=[1]CURSOS!$D$17,[1]CURSOS!$E$17,(+IF($N7=[1]CURSOS!$D$18,[1]CURSOS!$E$18,(+IF($N7=[1]CURSOS!$D$19,[1]CURSOS!$E$19,(+IF($N7=[1]CURSOS!$D$20,[1]CURSOS!$E$20,(+IF($N7=[1]CURSOS!$D$21,[1]CURSOS!$E$21,(+IF($N7=[1]CURSOS!$D$22,[1]CURSOS!$E$22,(+IF($N7=[1]CURSOS!$D$23,[1]CURSOS!$E$23,(+IF($N7=[1]CURSOS!$D$24,[1]CURSOS!$E$24,(+IF($N7=[1]CURSOS!$D$25,[1]CURSOS!$E$25,(+IF($N7=[1]CURSOS!$D$26,[1]CURSOS!$E$26,(+IF($N7=[1]CURSOS!$D$27,[1]CURSOS!$E$27,(+IF($N7=[1]CURSOS!$D$28,[1]CURSOS!$E$28,(+IF($N7=[1]CURSOS!$D$29,[1]CURSOS!$E$29,(+IF($N7=[1]CURSOS!$D$30,[1]CURSOS!$E$30,(+IF($N7=[1]CURSOS!$D$31,[1]CURSOS!$E$31,(+IF($N7=[1]CURSOS!$D$32,[1]CURSOS!$E$32)))))))))))))))))))))))))))))))))))))))))))))))))))))))))))</f>
        <v xml:space="preserve">ATENCION A VICTIMAS DE VIOLENCIA SEXUAL </v>
      </c>
      <c r="T7" s="16" t="str">
        <f t="shared" si="3"/>
        <v>Yohanna Gisella Melo Santander</v>
      </c>
      <c r="U7" s="16" t="str">
        <f t="shared" si="4"/>
        <v>Yohanna Gisella Melo Santander</v>
      </c>
      <c r="V7" s="16" t="str">
        <f t="shared" si="5"/>
        <v>Yohanna Gisella Melo Santander-1004694891-VIOLENCIA SEXUAL</v>
      </c>
    </row>
    <row r="8" spans="1:22" x14ac:dyDescent="0.2">
      <c r="A8" s="16">
        <v>159</v>
      </c>
      <c r="B8" s="16">
        <v>1085279834</v>
      </c>
      <c r="C8" s="16" t="s">
        <v>338</v>
      </c>
      <c r="D8" s="16" t="s">
        <v>339</v>
      </c>
      <c r="E8" s="16" t="s">
        <v>70</v>
      </c>
      <c r="F8" s="17" t="s">
        <v>71</v>
      </c>
      <c r="G8" s="16">
        <v>21</v>
      </c>
      <c r="H8" s="16" t="s">
        <v>41</v>
      </c>
      <c r="I8" s="18">
        <v>45373</v>
      </c>
      <c r="J8" s="19">
        <v>20000</v>
      </c>
      <c r="K8" s="16" t="s">
        <v>37</v>
      </c>
      <c r="L8" s="16" t="s">
        <v>39</v>
      </c>
      <c r="M8" s="16" t="s">
        <v>29</v>
      </c>
      <c r="N8" s="16" t="s">
        <v>25</v>
      </c>
      <c r="O8" s="20">
        <v>32908</v>
      </c>
      <c r="P8" s="21" t="s">
        <v>31</v>
      </c>
      <c r="Q8" s="16" t="s">
        <v>329</v>
      </c>
      <c r="R8" s="16">
        <v>3152402827</v>
      </c>
      <c r="S8" s="16" t="str">
        <f>+IF($N8=[1]CURSOS!$D$3,[1]CURSOS!$E$3,(+IF($N8=[1]CURSOS!$D$4,[1]CURSOS!$E$4,(+IF($N8=[1]CURSOS!$D$5,[1]CURSOS!$E$5,(+IF($N8=[1]CURSOS!$D$6,[1]CURSOS!$E$6,(+IF($N8=[1]CURSOS!$D$7,[1]CURSOS!$E$7,(+IF($N8=[1]CURSOS!$D$8,[1]CURSOS!$E$8,(+IF($N8=[1]CURSOS!$D$9,[1]CURSOS!$E$9,(+IF($N8=[1]CURSOS!$D$10,[1]CURSOS!$E$10,(+IF($N8=[1]CURSOS!$D$11,[1]CURSOS!$E$11,(+IF($N8=[1]CURSOS!$D$12,[1]CURSOS!$E$12,(+IF($N8=[1]CURSOS!$D$13,[1]CURSOS!$E$13,(+IF($N8=[1]CURSOS!$D$14,[1]CURSOS!$E$14,(+IF($N8=[1]CURSOS!$D$15,[1]CURSOS!$E$15,(+IF($N8=[1]CURSOS!$D$16,[1]CURSOS!$E$16,(+IF($N8=[1]CURSOS!$D$17,[1]CURSOS!$E$17,(+IF($N8=[1]CURSOS!$D$18,[1]CURSOS!$E$18,(+IF($N8=[1]CURSOS!$D$19,[1]CURSOS!$E$19,(+IF($N8=[1]CURSOS!$D$20,[1]CURSOS!$E$20,(+IF($N8=[1]CURSOS!$D$21,[1]CURSOS!$E$21,(+IF($N8=[1]CURSOS!$D$22,[1]CURSOS!$E$22,(+IF($N8=[1]CURSOS!$D$23,[1]CURSOS!$E$23,(+IF($N8=[1]CURSOS!$D$24,[1]CURSOS!$E$24,(+IF($N8=[1]CURSOS!$D$25,[1]CURSOS!$E$25,(+IF($N8=[1]CURSOS!$D$26,[1]CURSOS!$E$26,(+IF($N8=[1]CURSOS!$D$27,[1]CURSOS!$E$27,(+IF($N8=[1]CURSOS!$D$28,[1]CURSOS!$E$28,(+IF($N8=[1]CURSOS!$D$29,[1]CURSOS!$E$29,(+IF($N8=[1]CURSOS!$D$30,[1]CURSOS!$E$30,(+IF($N8=[1]CURSOS!$D$31,[1]CURSOS!$E$31,(+IF($N8=[1]CURSOS!$D$32,[1]CURSOS!$E$32)))))))))))))))))))))))))))))))))))))))))))))))))))))))))))</f>
        <v xml:space="preserve">ATENCION A VICTIMAS DE VIOLENCIA SEXUAL </v>
      </c>
      <c r="T8" s="16" t="str">
        <f t="shared" si="3"/>
        <v>Angela Maria Riascos Galeano</v>
      </c>
      <c r="U8" s="16" t="str">
        <f t="shared" si="4"/>
        <v>Angela Maria Riascos Galeano</v>
      </c>
      <c r="V8" s="16" t="str">
        <f t="shared" si="5"/>
        <v>Angela Maria Riascos Galeano-1085279834-VIOLENCIA SEXUAL</v>
      </c>
    </row>
    <row r="9" spans="1:22" x14ac:dyDescent="0.2">
      <c r="A9" s="16">
        <v>9</v>
      </c>
      <c r="B9" s="16">
        <v>1086133424</v>
      </c>
      <c r="C9" s="16" t="s">
        <v>53</v>
      </c>
      <c r="D9" s="16" t="s">
        <v>57</v>
      </c>
      <c r="E9" s="16" t="s">
        <v>70</v>
      </c>
      <c r="F9" s="16" t="s">
        <v>71</v>
      </c>
      <c r="G9" s="16">
        <v>5</v>
      </c>
      <c r="H9" s="16" t="s">
        <v>41</v>
      </c>
      <c r="I9" s="18">
        <v>45356</v>
      </c>
      <c r="J9" s="19">
        <v>60000</v>
      </c>
      <c r="K9" s="16" t="s">
        <v>355</v>
      </c>
      <c r="L9" s="16" t="s">
        <v>39</v>
      </c>
      <c r="M9" s="16" t="s">
        <v>29</v>
      </c>
      <c r="N9" s="16" t="s">
        <v>25</v>
      </c>
      <c r="O9" s="20">
        <v>38597</v>
      </c>
      <c r="P9" s="21" t="s">
        <v>31</v>
      </c>
      <c r="Q9" s="16" t="s">
        <v>51</v>
      </c>
      <c r="R9" s="16">
        <v>3117758552</v>
      </c>
      <c r="S9" s="16" t="str">
        <f>+IF($N9=[1]CURSOS!$D$3,[1]CURSOS!$E$3,(+IF($N9=[1]CURSOS!$D$4,[1]CURSOS!$E$4,(+IF($N9=[1]CURSOS!$D$5,[1]CURSOS!$E$5,(+IF($N9=[1]CURSOS!$D$6,[1]CURSOS!$E$6,(+IF($N9=[1]CURSOS!$D$7,[1]CURSOS!$E$7,(+IF($N9=[1]CURSOS!$D$8,[1]CURSOS!$E$8,(+IF($N9=[1]CURSOS!$D$9,[1]CURSOS!$E$9,(+IF($N9=[1]CURSOS!$D$10,[1]CURSOS!$E$10,(+IF($N9=[1]CURSOS!$D$11,[1]CURSOS!$E$11,(+IF($N9=[1]CURSOS!$D$12,[1]CURSOS!$E$12,(+IF($N9=[1]CURSOS!$D$13,[1]CURSOS!$E$13,(+IF($N9=[1]CURSOS!$D$14,[1]CURSOS!$E$14,(+IF($N9=[1]CURSOS!$D$15,[1]CURSOS!$E$15,(+IF($N9=[1]CURSOS!$D$16,[1]CURSOS!$E$16,(+IF($N9=[1]CURSOS!$D$17,[1]CURSOS!$E$17,(+IF($N9=[1]CURSOS!$D$18,[1]CURSOS!$E$18,(+IF($N9=[1]CURSOS!$D$19,[1]CURSOS!$E$19,(+IF($N9=[1]CURSOS!$D$20,[1]CURSOS!$E$20,(+IF($N9=[1]CURSOS!$D$21,[1]CURSOS!$E$21,(+IF($N9=[1]CURSOS!$D$22,[1]CURSOS!$E$22,(+IF($N9=[1]CURSOS!$D$23,[1]CURSOS!$E$23,(+IF($N9=[1]CURSOS!$D$24,[1]CURSOS!$E$24,(+IF($N9=[1]CURSOS!$D$25,[1]CURSOS!$E$25,(+IF($N9=[1]CURSOS!$D$26,[1]CURSOS!$E$26,(+IF($N9=[1]CURSOS!$D$27,[1]CURSOS!$E$27,(+IF($N9=[1]CURSOS!$D$28,[1]CURSOS!$E$28,(+IF($N9=[1]CURSOS!$D$29,[1]CURSOS!$E$29,(+IF($N9=[1]CURSOS!$D$30,[1]CURSOS!$E$30,(+IF($N9=[1]CURSOS!$D$31,[1]CURSOS!$E$31,(+IF($N9=[1]CURSOS!$D$32,[1]CURSOS!$E$32)))))))))))))))))))))))))))))))))))))))))))))))))))))))))))</f>
        <v xml:space="preserve">ATENCION A VICTIMAS DE VIOLENCIA SEXUAL </v>
      </c>
      <c r="T9" s="16" t="str">
        <f t="shared" si="3"/>
        <v>Angela Maria Lopez Benavides</v>
      </c>
      <c r="U9" s="16" t="str">
        <f t="shared" si="4"/>
        <v>Angela Maria Lopez Benavides</v>
      </c>
      <c r="V9" s="16" t="str">
        <f t="shared" si="5"/>
        <v>Angela Maria Lopez Benavides-1086133424-VIOLENCIA SEXUAL</v>
      </c>
    </row>
    <row r="10" spans="1:22" x14ac:dyDescent="0.2">
      <c r="A10" s="16">
        <v>10</v>
      </c>
      <c r="B10" s="16">
        <v>1086133424</v>
      </c>
      <c r="C10" s="16" t="s">
        <v>53</v>
      </c>
      <c r="D10" s="16" t="s">
        <v>57</v>
      </c>
      <c r="E10" s="16" t="s">
        <v>70</v>
      </c>
      <c r="F10" s="16" t="s">
        <v>71</v>
      </c>
      <c r="G10" s="16">
        <v>6</v>
      </c>
      <c r="H10" s="16" t="s">
        <v>41</v>
      </c>
      <c r="I10" s="18">
        <v>45356</v>
      </c>
      <c r="J10" s="19">
        <v>60000</v>
      </c>
      <c r="K10" s="16" t="s">
        <v>355</v>
      </c>
      <c r="L10" s="16" t="s">
        <v>39</v>
      </c>
      <c r="M10" s="16" t="s">
        <v>29</v>
      </c>
      <c r="N10" s="16" t="s">
        <v>21</v>
      </c>
      <c r="O10" s="20">
        <v>38597</v>
      </c>
      <c r="P10" s="21" t="s">
        <v>31</v>
      </c>
      <c r="Q10" s="16" t="s">
        <v>51</v>
      </c>
      <c r="R10" s="16">
        <v>3117758552</v>
      </c>
      <c r="S10" s="16" t="str">
        <f>+IF($N10=[1]CURSOS!$D$3,[1]CURSOS!$E$3,(+IF($N10=[1]CURSOS!$D$4,[1]CURSOS!$E$4,(+IF($N10=[1]CURSOS!$D$5,[1]CURSOS!$E$5,(+IF($N10=[1]CURSOS!$D$6,[1]CURSOS!$E$6,(+IF($N10=[1]CURSOS!$D$7,[1]CURSOS!$E$7,(+IF($N10=[1]CURSOS!$D$8,[1]CURSOS!$E$8,(+IF($N10=[1]CURSOS!$D$9,[1]CURSOS!$E$9,(+IF($N10=[1]CURSOS!$D$10,[1]CURSOS!$E$10,(+IF($N10=[1]CURSOS!$D$11,[1]CURSOS!$E$11,(+IF($N10=[1]CURSOS!$D$12,[1]CURSOS!$E$12,(+IF($N10=[1]CURSOS!$D$13,[1]CURSOS!$E$13,(+IF($N10=[1]CURSOS!$D$14,[1]CURSOS!$E$14,(+IF($N10=[1]CURSOS!$D$15,[1]CURSOS!$E$15,(+IF($N10=[1]CURSOS!$D$16,[1]CURSOS!$E$16,(+IF($N10=[1]CURSOS!$D$17,[1]CURSOS!$E$17,(+IF($N10=[1]CURSOS!$D$18,[1]CURSOS!$E$18,(+IF($N10=[1]CURSOS!$D$19,[1]CURSOS!$E$19,(+IF($N10=[1]CURSOS!$D$20,[1]CURSOS!$E$20,(+IF($N10=[1]CURSOS!$D$21,[1]CURSOS!$E$21,(+IF($N10=[1]CURSOS!$D$22,[1]CURSOS!$E$22,(+IF($N10=[1]CURSOS!$D$23,[1]CURSOS!$E$23,(+IF($N10=[1]CURSOS!$D$24,[1]CURSOS!$E$24,(+IF($N10=[1]CURSOS!$D$25,[1]CURSOS!$E$25,(+IF($N10=[1]CURSOS!$D$26,[1]CURSOS!$E$26,(+IF($N10=[1]CURSOS!$D$27,[1]CURSOS!$E$27,(+IF($N10=[1]CURSOS!$D$28,[1]CURSOS!$E$28,(+IF($N10=[1]CURSOS!$D$29,[1]CURSOS!$E$29,(+IF($N10=[1]CURSOS!$D$30,[1]CURSOS!$E$30,(+IF($N10=[1]CURSOS!$D$31,[1]CURSOS!$E$31,(+IF($N10=[1]CURSOS!$D$32,[1]CURSOS!$E$32)))))))))))))))))))))))))))))))))))))))))))))))))))))))))))</f>
        <v xml:space="preserve">ATENCION A VICTIMAS DE ATAQUE CON AGENTES QUIMICOS </v>
      </c>
      <c r="T10" s="16" t="str">
        <f t="shared" si="3"/>
        <v>Angela Maria Lopez Benavides</v>
      </c>
      <c r="U10" s="16" t="str">
        <f t="shared" si="4"/>
        <v>Angela Maria Lopez Benavides</v>
      </c>
      <c r="V10" s="16" t="str">
        <f t="shared" si="5"/>
        <v>Angela Maria Lopez Benavides-1086133424-QUIMICOS</v>
      </c>
    </row>
    <row r="11" spans="1:22" x14ac:dyDescent="0.2">
      <c r="A11" s="16">
        <v>160</v>
      </c>
      <c r="B11" s="16">
        <v>1085279834</v>
      </c>
      <c r="C11" s="16" t="s">
        <v>338</v>
      </c>
      <c r="D11" s="16" t="s">
        <v>339</v>
      </c>
      <c r="E11" s="16" t="s">
        <v>70</v>
      </c>
      <c r="F11" s="17" t="s">
        <v>71</v>
      </c>
      <c r="G11" s="16">
        <v>21</v>
      </c>
      <c r="H11" s="16" t="s">
        <v>41</v>
      </c>
      <c r="I11" s="18">
        <v>45373</v>
      </c>
      <c r="J11" s="19">
        <v>20000</v>
      </c>
      <c r="K11" s="16" t="s">
        <v>37</v>
      </c>
      <c r="L11" s="16" t="s">
        <v>39</v>
      </c>
      <c r="M11" s="16" t="s">
        <v>29</v>
      </c>
      <c r="N11" s="16" t="s">
        <v>21</v>
      </c>
      <c r="O11" s="20">
        <v>32908</v>
      </c>
      <c r="P11" s="21" t="s">
        <v>31</v>
      </c>
      <c r="Q11" s="16" t="s">
        <v>329</v>
      </c>
      <c r="R11" s="16">
        <v>3152402827</v>
      </c>
      <c r="S11" s="16" t="str">
        <f>+IF($N11=[1]CURSOS!$D$3,[1]CURSOS!$E$3,(+IF($N11=[1]CURSOS!$D$4,[1]CURSOS!$E$4,(+IF($N11=[1]CURSOS!$D$5,[1]CURSOS!$E$5,(+IF($N11=[1]CURSOS!$D$6,[1]CURSOS!$E$6,(+IF($N11=[1]CURSOS!$D$7,[1]CURSOS!$E$7,(+IF($N11=[1]CURSOS!$D$8,[1]CURSOS!$E$8,(+IF($N11=[1]CURSOS!$D$9,[1]CURSOS!$E$9,(+IF($N11=[1]CURSOS!$D$10,[1]CURSOS!$E$10,(+IF($N11=[1]CURSOS!$D$11,[1]CURSOS!$E$11,(+IF($N11=[1]CURSOS!$D$12,[1]CURSOS!$E$12,(+IF($N11=[1]CURSOS!$D$13,[1]CURSOS!$E$13,(+IF($N11=[1]CURSOS!$D$14,[1]CURSOS!$E$14,(+IF($N11=[1]CURSOS!$D$15,[1]CURSOS!$E$15,(+IF($N11=[1]CURSOS!$D$16,[1]CURSOS!$E$16,(+IF($N11=[1]CURSOS!$D$17,[1]CURSOS!$E$17,(+IF($N11=[1]CURSOS!$D$18,[1]CURSOS!$E$18,(+IF($N11=[1]CURSOS!$D$19,[1]CURSOS!$E$19,(+IF($N11=[1]CURSOS!$D$20,[1]CURSOS!$E$20,(+IF($N11=[1]CURSOS!$D$21,[1]CURSOS!$E$21,(+IF($N11=[1]CURSOS!$D$22,[1]CURSOS!$E$22,(+IF($N11=[1]CURSOS!$D$23,[1]CURSOS!$E$23,(+IF($N11=[1]CURSOS!$D$24,[1]CURSOS!$E$24,(+IF($N11=[1]CURSOS!$D$25,[1]CURSOS!$E$25,(+IF($N11=[1]CURSOS!$D$26,[1]CURSOS!$E$26,(+IF($N11=[1]CURSOS!$D$27,[1]CURSOS!$E$27,(+IF($N11=[1]CURSOS!$D$28,[1]CURSOS!$E$28,(+IF($N11=[1]CURSOS!$D$29,[1]CURSOS!$E$29,(+IF($N11=[1]CURSOS!$D$30,[1]CURSOS!$E$30,(+IF($N11=[1]CURSOS!$D$31,[1]CURSOS!$E$31,(+IF($N11=[1]CURSOS!$D$32,[1]CURSOS!$E$32)))))))))))))))))))))))))))))))))))))))))))))))))))))))))))</f>
        <v xml:space="preserve">ATENCION A VICTIMAS DE ATAQUE CON AGENTES QUIMICOS </v>
      </c>
      <c r="T11" s="16" t="str">
        <f t="shared" si="3"/>
        <v>Angela Maria Riascos Galeano</v>
      </c>
      <c r="U11" s="16" t="str">
        <f t="shared" si="4"/>
        <v>Angela Maria Riascos Galeano</v>
      </c>
      <c r="V11" s="16" t="str">
        <f t="shared" si="5"/>
        <v>Angela Maria Riascos Galeano-1085279834-QUIMICOS</v>
      </c>
    </row>
    <row r="12" spans="1:22" x14ac:dyDescent="0.2">
      <c r="A12" s="16">
        <v>12</v>
      </c>
      <c r="B12" s="16">
        <v>1061764812</v>
      </c>
      <c r="C12" s="16" t="s">
        <v>75</v>
      </c>
      <c r="D12" s="16" t="s">
        <v>76</v>
      </c>
      <c r="E12" s="16" t="s">
        <v>77</v>
      </c>
      <c r="F12" s="17" t="s">
        <v>78</v>
      </c>
      <c r="G12" s="16">
        <v>6</v>
      </c>
      <c r="H12" s="16" t="s">
        <v>41</v>
      </c>
      <c r="I12" s="18">
        <v>45357</v>
      </c>
      <c r="J12" s="19">
        <v>35000</v>
      </c>
      <c r="K12" s="16" t="s">
        <v>32</v>
      </c>
      <c r="L12" s="16" t="s">
        <v>39</v>
      </c>
      <c r="M12" s="16" t="s">
        <v>29</v>
      </c>
      <c r="N12" s="16" t="s">
        <v>19</v>
      </c>
      <c r="O12" s="20">
        <v>34287</v>
      </c>
      <c r="P12" s="21" t="s">
        <v>31</v>
      </c>
      <c r="Q12" s="16" t="s">
        <v>51</v>
      </c>
      <c r="R12" s="16">
        <v>3217757346</v>
      </c>
      <c r="S12" s="16" t="str">
        <f>+IF($N12=[1]CURSOS!$D$3,[1]CURSOS!$E$3,(+IF($N12=[1]CURSOS!$D$4,[1]CURSOS!$E$4,(+IF($N12=[1]CURSOS!$D$5,[1]CURSOS!$E$5,(+IF($N12=[1]CURSOS!$D$6,[1]CURSOS!$E$6,(+IF($N12=[1]CURSOS!$D$7,[1]CURSOS!$E$7,(+IF($N12=[1]CURSOS!$D$8,[1]CURSOS!$E$8,(+IF($N12=[1]CURSOS!$D$9,[1]CURSOS!$E$9,(+IF($N12=[1]CURSOS!$D$10,[1]CURSOS!$E$10,(+IF($N12=[1]CURSOS!$D$11,[1]CURSOS!$E$11,(+IF($N12=[1]CURSOS!$D$12,[1]CURSOS!$E$12,(+IF($N12=[1]CURSOS!$D$13,[1]CURSOS!$E$13,(+IF($N12=[1]CURSOS!$D$14,[1]CURSOS!$E$14,(+IF($N12=[1]CURSOS!$D$15,[1]CURSOS!$E$15,(+IF($N12=[1]CURSOS!$D$16,[1]CURSOS!$E$16,(+IF($N12=[1]CURSOS!$D$17,[1]CURSOS!$E$17,(+IF($N12=[1]CURSOS!$D$18,[1]CURSOS!$E$18,(+IF($N12=[1]CURSOS!$D$19,[1]CURSOS!$E$19,(+IF($N12=[1]CURSOS!$D$20,[1]CURSOS!$E$20,(+IF($N12=[1]CURSOS!$D$21,[1]CURSOS!$E$21,(+IF($N12=[1]CURSOS!$D$22,[1]CURSOS!$E$22,(+IF($N12=[1]CURSOS!$D$23,[1]CURSOS!$E$23,(+IF($N12=[1]CURSOS!$D$24,[1]CURSOS!$E$24,(+IF($N12=[1]CURSOS!$D$25,[1]CURSOS!$E$25,(+IF($N12=[1]CURSOS!$D$26,[1]CURSOS!$E$26,(+IF($N12=[1]CURSOS!$D$27,[1]CURSOS!$E$27,(+IF($N12=[1]CURSOS!$D$28,[1]CURSOS!$E$28,(+IF($N12=[1]CURSOS!$D$29,[1]CURSOS!$E$29,(+IF($N12=[1]CURSOS!$D$30,[1]CURSOS!$E$30,(+IF($N12=[1]CURSOS!$D$31,[1]CURSOS!$E$31,(+IF($N12=[1]CURSOS!$D$32,[1]CURSOS!$E$32)))))))))))))))))))))))))))))))))))))))))))))))))))))))))))</f>
        <v>SOPORTE VITAL BASICO (BLS)</v>
      </c>
      <c r="T12" s="16" t="str">
        <f t="shared" si="3"/>
        <v>Mayerlin Madeleine Obando Guerrero</v>
      </c>
      <c r="U12" s="16" t="str">
        <f t="shared" si="4"/>
        <v>Mayerlin Madeleine Obando Guerrero</v>
      </c>
      <c r="V12" s="16" t="str">
        <f t="shared" si="5"/>
        <v>Mayerlin Madeleine Obando Guerrero-1061764812-BLS</v>
      </c>
    </row>
    <row r="13" spans="1:22" x14ac:dyDescent="0.2">
      <c r="A13" s="16">
        <v>13</v>
      </c>
      <c r="B13" s="16">
        <v>1004542806</v>
      </c>
      <c r="C13" s="16" t="s">
        <v>79</v>
      </c>
      <c r="D13" s="16" t="s">
        <v>80</v>
      </c>
      <c r="E13" s="16" t="s">
        <v>81</v>
      </c>
      <c r="F13" s="17" t="s">
        <v>82</v>
      </c>
      <c r="G13" s="16">
        <v>6</v>
      </c>
      <c r="H13" s="16" t="s">
        <v>41</v>
      </c>
      <c r="I13" s="18">
        <v>45356</v>
      </c>
      <c r="J13" s="19">
        <v>40000</v>
      </c>
      <c r="K13" s="16" t="s">
        <v>355</v>
      </c>
      <c r="L13" s="16" t="s">
        <v>39</v>
      </c>
      <c r="M13" s="16" t="s">
        <v>29</v>
      </c>
      <c r="N13" s="16" t="s">
        <v>25</v>
      </c>
      <c r="O13" s="20">
        <v>37518</v>
      </c>
      <c r="P13" s="21" t="s">
        <v>83</v>
      </c>
      <c r="Q13" s="16" t="s">
        <v>51</v>
      </c>
      <c r="R13" s="16">
        <v>3182575125</v>
      </c>
      <c r="S13" s="16" t="str">
        <f>+IF($N13=[1]CURSOS!$D$3,[1]CURSOS!$E$3,(+IF($N13=[1]CURSOS!$D$4,[1]CURSOS!$E$4,(+IF($N13=[1]CURSOS!$D$5,[1]CURSOS!$E$5,(+IF($N13=[1]CURSOS!$D$6,[1]CURSOS!$E$6,(+IF($N13=[1]CURSOS!$D$7,[1]CURSOS!$E$7,(+IF($N13=[1]CURSOS!$D$8,[1]CURSOS!$E$8,(+IF($N13=[1]CURSOS!$D$9,[1]CURSOS!$E$9,(+IF($N13=[1]CURSOS!$D$10,[1]CURSOS!$E$10,(+IF($N13=[1]CURSOS!$D$11,[1]CURSOS!$E$11,(+IF($N13=[1]CURSOS!$D$12,[1]CURSOS!$E$12,(+IF($N13=[1]CURSOS!$D$13,[1]CURSOS!$E$13,(+IF($N13=[1]CURSOS!$D$14,[1]CURSOS!$E$14,(+IF($N13=[1]CURSOS!$D$15,[1]CURSOS!$E$15,(+IF($N13=[1]CURSOS!$D$16,[1]CURSOS!$E$16,(+IF($N13=[1]CURSOS!$D$17,[1]CURSOS!$E$17,(+IF($N13=[1]CURSOS!$D$18,[1]CURSOS!$E$18,(+IF($N13=[1]CURSOS!$D$19,[1]CURSOS!$E$19,(+IF($N13=[1]CURSOS!$D$20,[1]CURSOS!$E$20,(+IF($N13=[1]CURSOS!$D$21,[1]CURSOS!$E$21,(+IF($N13=[1]CURSOS!$D$22,[1]CURSOS!$E$22,(+IF($N13=[1]CURSOS!$D$23,[1]CURSOS!$E$23,(+IF($N13=[1]CURSOS!$D$24,[1]CURSOS!$E$24,(+IF($N13=[1]CURSOS!$D$25,[1]CURSOS!$E$25,(+IF($N13=[1]CURSOS!$D$26,[1]CURSOS!$E$26,(+IF($N13=[1]CURSOS!$D$27,[1]CURSOS!$E$27,(+IF($N13=[1]CURSOS!$D$28,[1]CURSOS!$E$28,(+IF($N13=[1]CURSOS!$D$29,[1]CURSOS!$E$29,(+IF($N13=[1]CURSOS!$D$30,[1]CURSOS!$E$30,(+IF($N13=[1]CURSOS!$D$31,[1]CURSOS!$E$31,(+IF($N13=[1]CURSOS!$D$32,[1]CURSOS!$E$32)))))))))))))))))))))))))))))))))))))))))))))))))))))))))))</f>
        <v xml:space="preserve">ATENCION A VICTIMAS DE VIOLENCIA SEXUAL </v>
      </c>
      <c r="T13" s="16" t="str">
        <f t="shared" si="3"/>
        <v>Daniel Fernando Narvaez Meza</v>
      </c>
      <c r="U13" s="16" t="str">
        <f t="shared" si="4"/>
        <v>Daniel Fernando Narvaez Meza</v>
      </c>
      <c r="V13" s="16" t="str">
        <f t="shared" si="5"/>
        <v>Daniel Fernando Narvaez Meza-1004542806-VIOLENCIA SEXUAL</v>
      </c>
    </row>
    <row r="14" spans="1:22" x14ac:dyDescent="0.2">
      <c r="A14" s="16">
        <v>14</v>
      </c>
      <c r="B14" s="16">
        <v>1004542806</v>
      </c>
      <c r="C14" s="16" t="s">
        <v>79</v>
      </c>
      <c r="D14" s="16" t="s">
        <v>80</v>
      </c>
      <c r="E14" s="16" t="s">
        <v>81</v>
      </c>
      <c r="F14" s="17" t="s">
        <v>82</v>
      </c>
      <c r="G14" s="16">
        <v>6</v>
      </c>
      <c r="H14" s="16" t="s">
        <v>41</v>
      </c>
      <c r="I14" s="18">
        <v>45356</v>
      </c>
      <c r="J14" s="19">
        <v>40000</v>
      </c>
      <c r="K14" s="16" t="s">
        <v>355</v>
      </c>
      <c r="L14" s="16" t="s">
        <v>39</v>
      </c>
      <c r="M14" s="16" t="s">
        <v>29</v>
      </c>
      <c r="N14" s="16" t="s">
        <v>21</v>
      </c>
      <c r="O14" s="20">
        <v>37518</v>
      </c>
      <c r="P14" s="21" t="s">
        <v>83</v>
      </c>
      <c r="Q14" s="16" t="s">
        <v>51</v>
      </c>
      <c r="R14" s="16">
        <v>3182575125</v>
      </c>
      <c r="S14" s="16" t="str">
        <f>+IF($N14=[1]CURSOS!$D$3,[1]CURSOS!$E$3,(+IF($N14=[1]CURSOS!$D$4,[1]CURSOS!$E$4,(+IF($N14=[1]CURSOS!$D$5,[1]CURSOS!$E$5,(+IF($N14=[1]CURSOS!$D$6,[1]CURSOS!$E$6,(+IF($N14=[1]CURSOS!$D$7,[1]CURSOS!$E$7,(+IF($N14=[1]CURSOS!$D$8,[1]CURSOS!$E$8,(+IF($N14=[1]CURSOS!$D$9,[1]CURSOS!$E$9,(+IF($N14=[1]CURSOS!$D$10,[1]CURSOS!$E$10,(+IF($N14=[1]CURSOS!$D$11,[1]CURSOS!$E$11,(+IF($N14=[1]CURSOS!$D$12,[1]CURSOS!$E$12,(+IF($N14=[1]CURSOS!$D$13,[1]CURSOS!$E$13,(+IF($N14=[1]CURSOS!$D$14,[1]CURSOS!$E$14,(+IF($N14=[1]CURSOS!$D$15,[1]CURSOS!$E$15,(+IF($N14=[1]CURSOS!$D$16,[1]CURSOS!$E$16,(+IF($N14=[1]CURSOS!$D$17,[1]CURSOS!$E$17,(+IF($N14=[1]CURSOS!$D$18,[1]CURSOS!$E$18,(+IF($N14=[1]CURSOS!$D$19,[1]CURSOS!$E$19,(+IF($N14=[1]CURSOS!$D$20,[1]CURSOS!$E$20,(+IF($N14=[1]CURSOS!$D$21,[1]CURSOS!$E$21,(+IF($N14=[1]CURSOS!$D$22,[1]CURSOS!$E$22,(+IF($N14=[1]CURSOS!$D$23,[1]CURSOS!$E$23,(+IF($N14=[1]CURSOS!$D$24,[1]CURSOS!$E$24,(+IF($N14=[1]CURSOS!$D$25,[1]CURSOS!$E$25,(+IF($N14=[1]CURSOS!$D$26,[1]CURSOS!$E$26,(+IF($N14=[1]CURSOS!$D$27,[1]CURSOS!$E$27,(+IF($N14=[1]CURSOS!$D$28,[1]CURSOS!$E$28,(+IF($N14=[1]CURSOS!$D$29,[1]CURSOS!$E$29,(+IF($N14=[1]CURSOS!$D$30,[1]CURSOS!$E$30,(+IF($N14=[1]CURSOS!$D$31,[1]CURSOS!$E$31,(+IF($N14=[1]CURSOS!$D$32,[1]CURSOS!$E$32)))))))))))))))))))))))))))))))))))))))))))))))))))))))))))</f>
        <v xml:space="preserve">ATENCION A VICTIMAS DE ATAQUE CON AGENTES QUIMICOS </v>
      </c>
      <c r="T14" s="16" t="str">
        <f t="shared" si="3"/>
        <v>Daniel Fernando Narvaez Meza</v>
      </c>
      <c r="U14" s="16" t="str">
        <f t="shared" si="4"/>
        <v>Daniel Fernando Narvaez Meza</v>
      </c>
      <c r="V14" s="16" t="str">
        <f t="shared" si="5"/>
        <v>Daniel Fernando Narvaez Meza-1004542806-QUIMICOS</v>
      </c>
    </row>
    <row r="15" spans="1:22" x14ac:dyDescent="0.2">
      <c r="A15" s="16">
        <v>15</v>
      </c>
      <c r="B15" s="16">
        <v>1004542806</v>
      </c>
      <c r="C15" s="16" t="s">
        <v>79</v>
      </c>
      <c r="D15" s="16" t="s">
        <v>80</v>
      </c>
      <c r="E15" s="16" t="s">
        <v>81</v>
      </c>
      <c r="F15" s="17" t="s">
        <v>82</v>
      </c>
      <c r="G15" s="16">
        <v>6</v>
      </c>
      <c r="H15" s="16" t="s">
        <v>41</v>
      </c>
      <c r="I15" s="18">
        <v>45356</v>
      </c>
      <c r="J15" s="19">
        <v>40000</v>
      </c>
      <c r="K15" s="16" t="s">
        <v>355</v>
      </c>
      <c r="L15" s="16" t="s">
        <v>39</v>
      </c>
      <c r="M15" s="16" t="s">
        <v>29</v>
      </c>
      <c r="N15" s="16" t="s">
        <v>20</v>
      </c>
      <c r="O15" s="20">
        <v>37518</v>
      </c>
      <c r="P15" s="21" t="s">
        <v>83</v>
      </c>
      <c r="Q15" s="16" t="s">
        <v>51</v>
      </c>
      <c r="R15" s="16">
        <v>3182575125</v>
      </c>
      <c r="S15" s="16" t="str">
        <f>+IF($N15=[1]CURSOS!$D$3,[1]CURSOS!$E$3,(+IF($N15=[1]CURSOS!$D$4,[1]CURSOS!$E$4,(+IF($N15=[1]CURSOS!$D$5,[1]CURSOS!$E$5,(+IF($N15=[1]CURSOS!$D$6,[1]CURSOS!$E$6,(+IF($N15=[1]CURSOS!$D$7,[1]CURSOS!$E$7,(+IF($N15=[1]CURSOS!$D$8,[1]CURSOS!$E$8,(+IF($N15=[1]CURSOS!$D$9,[1]CURSOS!$E$9,(+IF($N15=[1]CURSOS!$D$10,[1]CURSOS!$E$10,(+IF($N15=[1]CURSOS!$D$11,[1]CURSOS!$E$11,(+IF($N15=[1]CURSOS!$D$12,[1]CURSOS!$E$12,(+IF($N15=[1]CURSOS!$D$13,[1]CURSOS!$E$13,(+IF($N15=[1]CURSOS!$D$14,[1]CURSOS!$E$14,(+IF($N15=[1]CURSOS!$D$15,[1]CURSOS!$E$15,(+IF($N15=[1]CURSOS!$D$16,[1]CURSOS!$E$16,(+IF($N15=[1]CURSOS!$D$17,[1]CURSOS!$E$17,(+IF($N15=[1]CURSOS!$D$18,[1]CURSOS!$E$18,(+IF($N15=[1]CURSOS!$D$19,[1]CURSOS!$E$19,(+IF($N15=[1]CURSOS!$D$20,[1]CURSOS!$E$20,(+IF($N15=[1]CURSOS!$D$21,[1]CURSOS!$E$21,(+IF($N15=[1]CURSOS!$D$22,[1]CURSOS!$E$22,(+IF($N15=[1]CURSOS!$D$23,[1]CURSOS!$E$23,(+IF($N15=[1]CURSOS!$D$24,[1]CURSOS!$E$24,(+IF($N15=[1]CURSOS!$D$25,[1]CURSOS!$E$25,(+IF($N15=[1]CURSOS!$D$26,[1]CURSOS!$E$26,(+IF($N15=[1]CURSOS!$D$27,[1]CURSOS!$E$27,(+IF($N15=[1]CURSOS!$D$28,[1]CURSOS!$E$28,(+IF($N15=[1]CURSOS!$D$29,[1]CURSOS!$E$29,(+IF($N15=[1]CURSOS!$D$30,[1]CURSOS!$E$30,(+IF($N15=[1]CURSOS!$D$31,[1]CURSOS!$E$31,(+IF($N15=[1]CURSOS!$D$32,[1]CURSOS!$E$32)))))))))))))))))))))))))))))))))))))))))))))))))))))))))))</f>
        <v>ACOMPAÑAMIENTO Y MANEJO DEL DUELO</v>
      </c>
      <c r="T15" s="16" t="str">
        <f t="shared" si="3"/>
        <v>Daniel Fernando Narvaez Meza</v>
      </c>
      <c r="U15" s="16" t="str">
        <f t="shared" si="4"/>
        <v>Daniel Fernando Narvaez Meza</v>
      </c>
      <c r="V15" s="16" t="str">
        <f t="shared" si="5"/>
        <v>Daniel Fernando Narvaez Meza-1004542806-DUELO</v>
      </c>
    </row>
    <row r="16" spans="1:22" x14ac:dyDescent="0.2">
      <c r="A16" s="16">
        <v>161</v>
      </c>
      <c r="B16" s="16">
        <v>1085279834</v>
      </c>
      <c r="C16" s="16" t="s">
        <v>338</v>
      </c>
      <c r="D16" s="16" t="s">
        <v>339</v>
      </c>
      <c r="E16" s="16" t="s">
        <v>70</v>
      </c>
      <c r="F16" s="17" t="s">
        <v>71</v>
      </c>
      <c r="G16" s="16">
        <v>22</v>
      </c>
      <c r="H16" s="16" t="s">
        <v>41</v>
      </c>
      <c r="I16" s="18">
        <v>45373</v>
      </c>
      <c r="J16" s="19">
        <v>20000</v>
      </c>
      <c r="K16" s="16" t="s">
        <v>37</v>
      </c>
      <c r="L16" s="16" t="s">
        <v>39</v>
      </c>
      <c r="M16" s="16" t="s">
        <v>29</v>
      </c>
      <c r="N16" s="16" t="s">
        <v>20</v>
      </c>
      <c r="O16" s="20">
        <v>32908</v>
      </c>
      <c r="P16" s="21" t="s">
        <v>31</v>
      </c>
      <c r="Q16" s="16" t="s">
        <v>329</v>
      </c>
      <c r="R16" s="16">
        <v>3152402827</v>
      </c>
      <c r="S16" s="16" t="str">
        <f>+IF($N16=[1]CURSOS!$D$3,[1]CURSOS!$E$3,(+IF($N16=[1]CURSOS!$D$4,[1]CURSOS!$E$4,(+IF($N16=[1]CURSOS!$D$5,[1]CURSOS!$E$5,(+IF($N16=[1]CURSOS!$D$6,[1]CURSOS!$E$6,(+IF($N16=[1]CURSOS!$D$7,[1]CURSOS!$E$7,(+IF($N16=[1]CURSOS!$D$8,[1]CURSOS!$E$8,(+IF($N16=[1]CURSOS!$D$9,[1]CURSOS!$E$9,(+IF($N16=[1]CURSOS!$D$10,[1]CURSOS!$E$10,(+IF($N16=[1]CURSOS!$D$11,[1]CURSOS!$E$11,(+IF($N16=[1]CURSOS!$D$12,[1]CURSOS!$E$12,(+IF($N16=[1]CURSOS!$D$13,[1]CURSOS!$E$13,(+IF($N16=[1]CURSOS!$D$14,[1]CURSOS!$E$14,(+IF($N16=[1]CURSOS!$D$15,[1]CURSOS!$E$15,(+IF($N16=[1]CURSOS!$D$16,[1]CURSOS!$E$16,(+IF($N16=[1]CURSOS!$D$17,[1]CURSOS!$E$17,(+IF($N16=[1]CURSOS!$D$18,[1]CURSOS!$E$18,(+IF($N16=[1]CURSOS!$D$19,[1]CURSOS!$E$19,(+IF($N16=[1]CURSOS!$D$20,[1]CURSOS!$E$20,(+IF($N16=[1]CURSOS!$D$21,[1]CURSOS!$E$21,(+IF($N16=[1]CURSOS!$D$22,[1]CURSOS!$E$22,(+IF($N16=[1]CURSOS!$D$23,[1]CURSOS!$E$23,(+IF($N16=[1]CURSOS!$D$24,[1]CURSOS!$E$24,(+IF($N16=[1]CURSOS!$D$25,[1]CURSOS!$E$25,(+IF($N16=[1]CURSOS!$D$26,[1]CURSOS!$E$26,(+IF($N16=[1]CURSOS!$D$27,[1]CURSOS!$E$27,(+IF($N16=[1]CURSOS!$D$28,[1]CURSOS!$E$28,(+IF($N16=[1]CURSOS!$D$29,[1]CURSOS!$E$29,(+IF($N16=[1]CURSOS!$D$30,[1]CURSOS!$E$30,(+IF($N16=[1]CURSOS!$D$31,[1]CURSOS!$E$31,(+IF($N16=[1]CURSOS!$D$32,[1]CURSOS!$E$32)))))))))))))))))))))))))))))))))))))))))))))))))))))))))))</f>
        <v>ACOMPAÑAMIENTO Y MANEJO DEL DUELO</v>
      </c>
      <c r="T16" s="16" t="str">
        <f t="shared" si="3"/>
        <v>Angela Maria Riascos Galeano</v>
      </c>
      <c r="U16" s="16" t="str">
        <f t="shared" si="4"/>
        <v>Angela Maria Riascos Galeano</v>
      </c>
      <c r="V16" s="16" t="str">
        <f t="shared" si="5"/>
        <v>Angela Maria Riascos Galeano-1085279834-DUELO</v>
      </c>
    </row>
    <row r="17" spans="1:22" x14ac:dyDescent="0.2">
      <c r="A17" s="16">
        <v>155</v>
      </c>
      <c r="B17" s="16">
        <v>1004666382</v>
      </c>
      <c r="C17" s="16" t="s">
        <v>330</v>
      </c>
      <c r="D17" s="16" t="s">
        <v>331</v>
      </c>
      <c r="E17" s="16" t="s">
        <v>332</v>
      </c>
      <c r="F17" s="17" t="s">
        <v>333</v>
      </c>
      <c r="G17" s="16">
        <v>20</v>
      </c>
      <c r="H17" s="16" t="s">
        <v>41</v>
      </c>
      <c r="I17" s="18">
        <v>45372</v>
      </c>
      <c r="J17" s="19">
        <v>20000</v>
      </c>
      <c r="K17" s="16" t="s">
        <v>37</v>
      </c>
      <c r="L17" s="16" t="s">
        <v>39</v>
      </c>
      <c r="M17" s="16" t="s">
        <v>29</v>
      </c>
      <c r="N17" s="16" t="s">
        <v>23</v>
      </c>
      <c r="O17" s="20">
        <v>45511</v>
      </c>
      <c r="P17" s="21" t="s">
        <v>31</v>
      </c>
      <c r="Q17" s="16" t="s">
        <v>329</v>
      </c>
      <c r="S17" s="16" t="str">
        <f>+IF($N17=[1]CURSOS!$D$3,[1]CURSOS!$E$3,(+IF($N17=[1]CURSOS!$D$4,[1]CURSOS!$E$4,(+IF($N17=[1]CURSOS!$D$5,[1]CURSOS!$E$5,(+IF($N17=[1]CURSOS!$D$6,[1]CURSOS!$E$6,(+IF($N17=[1]CURSOS!$D$7,[1]CURSOS!$E$7,(+IF($N17=[1]CURSOS!$D$8,[1]CURSOS!$E$8,(+IF($N17=[1]CURSOS!$D$9,[1]CURSOS!$E$9,(+IF($N17=[1]CURSOS!$D$10,[1]CURSOS!$E$10,(+IF($N17=[1]CURSOS!$D$11,[1]CURSOS!$E$11,(+IF($N17=[1]CURSOS!$D$12,[1]CURSOS!$E$12,(+IF($N17=[1]CURSOS!$D$13,[1]CURSOS!$E$13,(+IF($N17=[1]CURSOS!$D$14,[1]CURSOS!$E$14,(+IF($N17=[1]CURSOS!$D$15,[1]CURSOS!$E$15,(+IF($N17=[1]CURSOS!$D$16,[1]CURSOS!$E$16,(+IF($N17=[1]CURSOS!$D$17,[1]CURSOS!$E$17,(+IF($N17=[1]CURSOS!$D$18,[1]CURSOS!$E$18,(+IF($N17=[1]CURSOS!$D$19,[1]CURSOS!$E$19,(+IF($N17=[1]CURSOS!$D$20,[1]CURSOS!$E$20,(+IF($N17=[1]CURSOS!$D$21,[1]CURSOS!$E$21,(+IF($N17=[1]CURSOS!$D$22,[1]CURSOS!$E$22,(+IF($N17=[1]CURSOS!$D$23,[1]CURSOS!$E$23,(+IF($N17=[1]CURSOS!$D$24,[1]CURSOS!$E$24,(+IF($N17=[1]CURSOS!$D$25,[1]CURSOS!$E$25,(+IF($N17=[1]CURSOS!$D$26,[1]CURSOS!$E$26,(+IF($N17=[1]CURSOS!$D$27,[1]CURSOS!$E$27,(+IF($N17=[1]CURSOS!$D$28,[1]CURSOS!$E$28,(+IF($N17=[1]CURSOS!$D$29,[1]CURSOS!$E$29,(+IF($N17=[1]CURSOS!$D$30,[1]CURSOS!$E$30,(+IF($N17=[1]CURSOS!$D$31,[1]CURSOS!$E$31,(+IF($N17=[1]CURSOS!$D$32,[1]CURSOS!$E$32)))))))))))))))))))))))))))))))))))))))))))))))))))))))))))</f>
        <v xml:space="preserve">HUMANIZACION EN SALUD, BUENAS PRACTICAS EN PACIENTE </v>
      </c>
      <c r="T17" s="16" t="str">
        <f t="shared" si="3"/>
        <v>Doris Jimena Guaitarilla Popayan</v>
      </c>
      <c r="U17" s="16" t="str">
        <f t="shared" si="4"/>
        <v>Doris Jimena Guaitarilla Popayan</v>
      </c>
      <c r="V17" s="16" t="str">
        <f t="shared" si="5"/>
        <v>Doris Jimena Guaitarilla Popayan-1004666382-HUMANIZACION</v>
      </c>
    </row>
    <row r="18" spans="1:22" x14ac:dyDescent="0.2">
      <c r="A18" s="16">
        <v>156</v>
      </c>
      <c r="B18" s="16">
        <v>1004666382</v>
      </c>
      <c r="C18" s="16" t="s">
        <v>330</v>
      </c>
      <c r="D18" s="16" t="s">
        <v>331</v>
      </c>
      <c r="E18" s="16" t="s">
        <v>332</v>
      </c>
      <c r="F18" s="17" t="s">
        <v>333</v>
      </c>
      <c r="G18" s="16">
        <v>20</v>
      </c>
      <c r="H18" s="16" t="s">
        <v>41</v>
      </c>
      <c r="I18" s="18">
        <v>45372</v>
      </c>
      <c r="J18" s="19">
        <v>20000</v>
      </c>
      <c r="K18" s="16" t="s">
        <v>37</v>
      </c>
      <c r="L18" s="16" t="s">
        <v>39</v>
      </c>
      <c r="M18" s="16" t="s">
        <v>29</v>
      </c>
      <c r="N18" s="16" t="s">
        <v>19</v>
      </c>
      <c r="O18" s="20">
        <v>45511</v>
      </c>
      <c r="P18" s="21" t="s">
        <v>31</v>
      </c>
      <c r="Q18" s="16" t="s">
        <v>329</v>
      </c>
      <c r="S18" s="16" t="str">
        <f>+IF($N18=[1]CURSOS!$D$3,[1]CURSOS!$E$3,(+IF($N18=[1]CURSOS!$D$4,[1]CURSOS!$E$4,(+IF($N18=[1]CURSOS!$D$5,[1]CURSOS!$E$5,(+IF($N18=[1]CURSOS!$D$6,[1]CURSOS!$E$6,(+IF($N18=[1]CURSOS!$D$7,[1]CURSOS!$E$7,(+IF($N18=[1]CURSOS!$D$8,[1]CURSOS!$E$8,(+IF($N18=[1]CURSOS!$D$9,[1]CURSOS!$E$9,(+IF($N18=[1]CURSOS!$D$10,[1]CURSOS!$E$10,(+IF($N18=[1]CURSOS!$D$11,[1]CURSOS!$E$11,(+IF($N18=[1]CURSOS!$D$12,[1]CURSOS!$E$12,(+IF($N18=[1]CURSOS!$D$13,[1]CURSOS!$E$13,(+IF($N18=[1]CURSOS!$D$14,[1]CURSOS!$E$14,(+IF($N18=[1]CURSOS!$D$15,[1]CURSOS!$E$15,(+IF($N18=[1]CURSOS!$D$16,[1]CURSOS!$E$16,(+IF($N18=[1]CURSOS!$D$17,[1]CURSOS!$E$17,(+IF($N18=[1]CURSOS!$D$18,[1]CURSOS!$E$18,(+IF($N18=[1]CURSOS!$D$19,[1]CURSOS!$E$19,(+IF($N18=[1]CURSOS!$D$20,[1]CURSOS!$E$20,(+IF($N18=[1]CURSOS!$D$21,[1]CURSOS!$E$21,(+IF($N18=[1]CURSOS!$D$22,[1]CURSOS!$E$22,(+IF($N18=[1]CURSOS!$D$23,[1]CURSOS!$E$23,(+IF($N18=[1]CURSOS!$D$24,[1]CURSOS!$E$24,(+IF($N18=[1]CURSOS!$D$25,[1]CURSOS!$E$25,(+IF($N18=[1]CURSOS!$D$26,[1]CURSOS!$E$26,(+IF($N18=[1]CURSOS!$D$27,[1]CURSOS!$E$27,(+IF($N18=[1]CURSOS!$D$28,[1]CURSOS!$E$28,(+IF($N18=[1]CURSOS!$D$29,[1]CURSOS!$E$29,(+IF($N18=[1]CURSOS!$D$30,[1]CURSOS!$E$30,(+IF($N18=[1]CURSOS!$D$31,[1]CURSOS!$E$31,(+IF($N18=[1]CURSOS!$D$32,[1]CURSOS!$E$32)))))))))))))))))))))))))))))))))))))))))))))))))))))))))))</f>
        <v>SOPORTE VITAL BASICO (BLS)</v>
      </c>
      <c r="T18" s="16" t="str">
        <f t="shared" si="3"/>
        <v>Doris Jimena Guaitarilla Popayan</v>
      </c>
      <c r="U18" s="16" t="str">
        <f t="shared" si="4"/>
        <v>Doris Jimena Guaitarilla Popayan</v>
      </c>
      <c r="V18" s="16" t="str">
        <f t="shared" si="5"/>
        <v>Doris Jimena Guaitarilla Popayan-1004666382-BLS</v>
      </c>
    </row>
    <row r="19" spans="1:22" x14ac:dyDescent="0.2">
      <c r="A19" s="16">
        <v>157</v>
      </c>
      <c r="B19" s="16">
        <v>1004666382</v>
      </c>
      <c r="C19" s="16" t="s">
        <v>330</v>
      </c>
      <c r="D19" s="16" t="s">
        <v>331</v>
      </c>
      <c r="E19" s="16" t="s">
        <v>332</v>
      </c>
      <c r="F19" s="17" t="s">
        <v>333</v>
      </c>
      <c r="G19" s="16">
        <v>21</v>
      </c>
      <c r="H19" s="16" t="s">
        <v>41</v>
      </c>
      <c r="I19" s="18">
        <v>45372</v>
      </c>
      <c r="J19" s="19">
        <v>20000</v>
      </c>
      <c r="K19" s="16" t="s">
        <v>37</v>
      </c>
      <c r="L19" s="16" t="s">
        <v>39</v>
      </c>
      <c r="M19" s="16" t="s">
        <v>29</v>
      </c>
      <c r="N19" s="16" t="s">
        <v>25</v>
      </c>
      <c r="O19" s="20">
        <v>45511</v>
      </c>
      <c r="P19" s="21" t="s">
        <v>31</v>
      </c>
      <c r="Q19" s="16" t="s">
        <v>329</v>
      </c>
      <c r="S19" s="16" t="str">
        <f>+IF($N19=[1]CURSOS!$D$3,[1]CURSOS!$E$3,(+IF($N19=[1]CURSOS!$D$4,[1]CURSOS!$E$4,(+IF($N19=[1]CURSOS!$D$5,[1]CURSOS!$E$5,(+IF($N19=[1]CURSOS!$D$6,[1]CURSOS!$E$6,(+IF($N19=[1]CURSOS!$D$7,[1]CURSOS!$E$7,(+IF($N19=[1]CURSOS!$D$8,[1]CURSOS!$E$8,(+IF($N19=[1]CURSOS!$D$9,[1]CURSOS!$E$9,(+IF($N19=[1]CURSOS!$D$10,[1]CURSOS!$E$10,(+IF($N19=[1]CURSOS!$D$11,[1]CURSOS!$E$11,(+IF($N19=[1]CURSOS!$D$12,[1]CURSOS!$E$12,(+IF($N19=[1]CURSOS!$D$13,[1]CURSOS!$E$13,(+IF($N19=[1]CURSOS!$D$14,[1]CURSOS!$E$14,(+IF($N19=[1]CURSOS!$D$15,[1]CURSOS!$E$15,(+IF($N19=[1]CURSOS!$D$16,[1]CURSOS!$E$16,(+IF($N19=[1]CURSOS!$D$17,[1]CURSOS!$E$17,(+IF($N19=[1]CURSOS!$D$18,[1]CURSOS!$E$18,(+IF($N19=[1]CURSOS!$D$19,[1]CURSOS!$E$19,(+IF($N19=[1]CURSOS!$D$20,[1]CURSOS!$E$20,(+IF($N19=[1]CURSOS!$D$21,[1]CURSOS!$E$21,(+IF($N19=[1]CURSOS!$D$22,[1]CURSOS!$E$22,(+IF($N19=[1]CURSOS!$D$23,[1]CURSOS!$E$23,(+IF($N19=[1]CURSOS!$D$24,[1]CURSOS!$E$24,(+IF($N19=[1]CURSOS!$D$25,[1]CURSOS!$E$25,(+IF($N19=[1]CURSOS!$D$26,[1]CURSOS!$E$26,(+IF($N19=[1]CURSOS!$D$27,[1]CURSOS!$E$27,(+IF($N19=[1]CURSOS!$D$28,[1]CURSOS!$E$28,(+IF($N19=[1]CURSOS!$D$29,[1]CURSOS!$E$29,(+IF($N19=[1]CURSOS!$D$30,[1]CURSOS!$E$30,(+IF($N19=[1]CURSOS!$D$31,[1]CURSOS!$E$31,(+IF($N19=[1]CURSOS!$D$32,[1]CURSOS!$E$32)))))))))))))))))))))))))))))))))))))))))))))))))))))))))))</f>
        <v xml:space="preserve">ATENCION A VICTIMAS DE VIOLENCIA SEXUAL </v>
      </c>
      <c r="T19" s="16" t="str">
        <f t="shared" si="3"/>
        <v>Doris Jimena Guaitarilla Popayan</v>
      </c>
      <c r="U19" s="16" t="str">
        <f t="shared" si="4"/>
        <v>Doris Jimena Guaitarilla Popayan</v>
      </c>
      <c r="V19" s="16" t="str">
        <f t="shared" si="5"/>
        <v>Doris Jimena Guaitarilla Popayan-1004666382-VIOLENCIA SEXUAL</v>
      </c>
    </row>
    <row r="20" spans="1:22" x14ac:dyDescent="0.2">
      <c r="A20" s="16">
        <v>162</v>
      </c>
      <c r="B20" s="16">
        <v>1026594949</v>
      </c>
      <c r="C20" s="16" t="s">
        <v>84</v>
      </c>
      <c r="D20" s="16" t="s">
        <v>85</v>
      </c>
      <c r="E20" s="16" t="s">
        <v>86</v>
      </c>
      <c r="F20" s="17" t="s">
        <v>87</v>
      </c>
      <c r="G20" s="16">
        <v>21</v>
      </c>
      <c r="H20" s="16" t="s">
        <v>41</v>
      </c>
      <c r="I20" s="18">
        <v>45372</v>
      </c>
      <c r="J20" s="19">
        <v>60000</v>
      </c>
      <c r="K20" s="16" t="s">
        <v>37</v>
      </c>
      <c r="L20" s="16" t="s">
        <v>39</v>
      </c>
      <c r="M20" s="16" t="s">
        <v>29</v>
      </c>
      <c r="N20" s="16" t="s">
        <v>19</v>
      </c>
      <c r="O20" s="20">
        <v>35959</v>
      </c>
      <c r="P20" s="21" t="s">
        <v>31</v>
      </c>
      <c r="Q20" s="16" t="s">
        <v>340</v>
      </c>
      <c r="R20" s="16">
        <v>3216736676</v>
      </c>
      <c r="S20" s="16" t="str">
        <f>+IF($N20=[1]CURSOS!$D$3,[1]CURSOS!$E$3,(+IF($N20=[1]CURSOS!$D$4,[1]CURSOS!$E$4,(+IF($N20=[1]CURSOS!$D$5,[1]CURSOS!$E$5,(+IF($N20=[1]CURSOS!$D$6,[1]CURSOS!$E$6,(+IF($N20=[1]CURSOS!$D$7,[1]CURSOS!$E$7,(+IF($N20=[1]CURSOS!$D$8,[1]CURSOS!$E$8,(+IF($N20=[1]CURSOS!$D$9,[1]CURSOS!$E$9,(+IF($N20=[1]CURSOS!$D$10,[1]CURSOS!$E$10,(+IF($N20=[1]CURSOS!$D$11,[1]CURSOS!$E$11,(+IF($N20=[1]CURSOS!$D$12,[1]CURSOS!$E$12,(+IF($N20=[1]CURSOS!$D$13,[1]CURSOS!$E$13,(+IF($N20=[1]CURSOS!$D$14,[1]CURSOS!$E$14,(+IF($N20=[1]CURSOS!$D$15,[1]CURSOS!$E$15,(+IF($N20=[1]CURSOS!$D$16,[1]CURSOS!$E$16,(+IF($N20=[1]CURSOS!$D$17,[1]CURSOS!$E$17,(+IF($N20=[1]CURSOS!$D$18,[1]CURSOS!$E$18,(+IF($N20=[1]CURSOS!$D$19,[1]CURSOS!$E$19,(+IF($N20=[1]CURSOS!$D$20,[1]CURSOS!$E$20,(+IF($N20=[1]CURSOS!$D$21,[1]CURSOS!$E$21,(+IF($N20=[1]CURSOS!$D$22,[1]CURSOS!$E$22,(+IF($N20=[1]CURSOS!$D$23,[1]CURSOS!$E$23,(+IF($N20=[1]CURSOS!$D$24,[1]CURSOS!$E$24,(+IF($N20=[1]CURSOS!$D$25,[1]CURSOS!$E$25,(+IF($N20=[1]CURSOS!$D$26,[1]CURSOS!$E$26,(+IF($N20=[1]CURSOS!$D$27,[1]CURSOS!$E$27,(+IF($N20=[1]CURSOS!$D$28,[1]CURSOS!$E$28,(+IF($N20=[1]CURSOS!$D$29,[1]CURSOS!$E$29,(+IF($N20=[1]CURSOS!$D$30,[1]CURSOS!$E$30,(+IF($N20=[1]CURSOS!$D$31,[1]CURSOS!$E$31,(+IF($N20=[1]CURSOS!$D$32,[1]CURSOS!$E$32)))))))))))))))))))))))))))))))))))))))))))))))))))))))))))</f>
        <v>SOPORTE VITAL BASICO (BLS)</v>
      </c>
      <c r="T20" s="16" t="str">
        <f t="shared" si="3"/>
        <v>Danna Elizabeth Valencia Viveros</v>
      </c>
      <c r="U20" s="16" t="str">
        <f t="shared" si="4"/>
        <v>Danna Elizabeth Valencia Viveros</v>
      </c>
      <c r="V20" s="16" t="str">
        <f t="shared" si="5"/>
        <v>Danna Elizabeth Valencia Viveros-1026594949-BLS</v>
      </c>
    </row>
    <row r="21" spans="1:22" x14ac:dyDescent="0.2">
      <c r="A21" s="16">
        <v>125</v>
      </c>
      <c r="B21" s="16">
        <v>87065114</v>
      </c>
      <c r="C21" s="16" t="s">
        <v>262</v>
      </c>
      <c r="D21" s="16" t="s">
        <v>263</v>
      </c>
      <c r="E21" s="16" t="s">
        <v>264</v>
      </c>
      <c r="F21" s="17" t="s">
        <v>265</v>
      </c>
      <c r="G21" s="16">
        <v>15</v>
      </c>
      <c r="H21" s="16" t="s">
        <v>41</v>
      </c>
      <c r="I21" s="18">
        <v>45366</v>
      </c>
      <c r="J21" s="19">
        <v>35000</v>
      </c>
      <c r="K21" s="16" t="s">
        <v>37</v>
      </c>
      <c r="L21" s="16" t="s">
        <v>39</v>
      </c>
      <c r="M21" s="16" t="s">
        <v>29</v>
      </c>
      <c r="N21" s="16" t="s">
        <v>25</v>
      </c>
      <c r="O21" s="20">
        <v>30860</v>
      </c>
      <c r="P21" s="21" t="s">
        <v>83</v>
      </c>
      <c r="Q21" s="16" t="s">
        <v>51</v>
      </c>
      <c r="R21" s="16">
        <v>3186774628</v>
      </c>
      <c r="S21" s="16" t="str">
        <f>+IF($N21=[1]CURSOS!$D$3,[1]CURSOS!$E$3,(+IF($N21=[1]CURSOS!$D$4,[1]CURSOS!$E$4,(+IF($N21=[1]CURSOS!$D$5,[1]CURSOS!$E$5,(+IF($N21=[1]CURSOS!$D$6,[1]CURSOS!$E$6,(+IF($N21=[1]CURSOS!$D$7,[1]CURSOS!$E$7,(+IF($N21=[1]CURSOS!$D$8,[1]CURSOS!$E$8,(+IF($N21=[1]CURSOS!$D$9,[1]CURSOS!$E$9,(+IF($N21=[1]CURSOS!$D$10,[1]CURSOS!$E$10,(+IF($N21=[1]CURSOS!$D$11,[1]CURSOS!$E$11,(+IF($N21=[1]CURSOS!$D$12,[1]CURSOS!$E$12,(+IF($N21=[1]CURSOS!$D$13,[1]CURSOS!$E$13,(+IF($N21=[1]CURSOS!$D$14,[1]CURSOS!$E$14,(+IF($N21=[1]CURSOS!$D$15,[1]CURSOS!$E$15,(+IF($N21=[1]CURSOS!$D$16,[1]CURSOS!$E$16,(+IF($N21=[1]CURSOS!$D$17,[1]CURSOS!$E$17,(+IF($N21=[1]CURSOS!$D$18,[1]CURSOS!$E$18,(+IF($N21=[1]CURSOS!$D$19,[1]CURSOS!$E$19,(+IF($N21=[1]CURSOS!$D$20,[1]CURSOS!$E$20,(+IF($N21=[1]CURSOS!$D$21,[1]CURSOS!$E$21,(+IF($N21=[1]CURSOS!$D$22,[1]CURSOS!$E$22,(+IF($N21=[1]CURSOS!$D$23,[1]CURSOS!$E$23,(+IF($N21=[1]CURSOS!$D$24,[1]CURSOS!$E$24,(+IF($N21=[1]CURSOS!$D$25,[1]CURSOS!$E$25,(+IF($N21=[1]CURSOS!$D$26,[1]CURSOS!$E$26,(+IF($N21=[1]CURSOS!$D$27,[1]CURSOS!$E$27,(+IF($N21=[1]CURSOS!$D$28,[1]CURSOS!$E$28,(+IF($N21=[1]CURSOS!$D$29,[1]CURSOS!$E$29,(+IF($N21=[1]CURSOS!$D$30,[1]CURSOS!$E$30,(+IF($N21=[1]CURSOS!$D$31,[1]CURSOS!$E$31,(+IF($N21=[1]CURSOS!$D$32,[1]CURSOS!$E$32)))))))))))))))))))))))))))))))))))))))))))))))))))))))))))</f>
        <v xml:space="preserve">ATENCION A VICTIMAS DE VIOLENCIA SEXUAL </v>
      </c>
      <c r="T21" s="16" t="str">
        <f t="shared" si="3"/>
        <v>Luis Fabian Estrada  Sarasty</v>
      </c>
      <c r="U21" s="16" t="str">
        <f t="shared" si="4"/>
        <v>Luis Fabian Estrada  Sarasty</v>
      </c>
      <c r="V21" s="16" t="str">
        <f t="shared" si="5"/>
        <v>Luis Fabian Estrada  Sarasty-87065114-VIOLENCIA SEXUAL</v>
      </c>
    </row>
    <row r="22" spans="1:22" x14ac:dyDescent="0.2">
      <c r="A22" s="16">
        <v>126</v>
      </c>
      <c r="B22" s="16">
        <v>87065114</v>
      </c>
      <c r="C22" s="16" t="s">
        <v>262</v>
      </c>
      <c r="D22" s="16" t="s">
        <v>263</v>
      </c>
      <c r="E22" s="16" t="s">
        <v>264</v>
      </c>
      <c r="F22" s="17" t="s">
        <v>265</v>
      </c>
      <c r="G22" s="16">
        <v>15</v>
      </c>
      <c r="H22" s="16" t="s">
        <v>41</v>
      </c>
      <c r="I22" s="18">
        <v>45366</v>
      </c>
      <c r="J22" s="19">
        <v>35000</v>
      </c>
      <c r="K22" s="16" t="s">
        <v>37</v>
      </c>
      <c r="L22" s="16" t="s">
        <v>39</v>
      </c>
      <c r="M22" s="16" t="s">
        <v>29</v>
      </c>
      <c r="N22" s="16" t="s">
        <v>21</v>
      </c>
      <c r="O22" s="20">
        <v>30860</v>
      </c>
      <c r="P22" s="21" t="s">
        <v>83</v>
      </c>
      <c r="Q22" s="16" t="s">
        <v>51</v>
      </c>
      <c r="R22" s="16">
        <v>3186774628</v>
      </c>
      <c r="S22" s="16" t="str">
        <f>+IF($N22=[1]CURSOS!$D$3,[1]CURSOS!$E$3,(+IF($N22=[1]CURSOS!$D$4,[1]CURSOS!$E$4,(+IF($N22=[1]CURSOS!$D$5,[1]CURSOS!$E$5,(+IF($N22=[1]CURSOS!$D$6,[1]CURSOS!$E$6,(+IF($N22=[1]CURSOS!$D$7,[1]CURSOS!$E$7,(+IF($N22=[1]CURSOS!$D$8,[1]CURSOS!$E$8,(+IF($N22=[1]CURSOS!$D$9,[1]CURSOS!$E$9,(+IF($N22=[1]CURSOS!$D$10,[1]CURSOS!$E$10,(+IF($N22=[1]CURSOS!$D$11,[1]CURSOS!$E$11,(+IF($N22=[1]CURSOS!$D$12,[1]CURSOS!$E$12,(+IF($N22=[1]CURSOS!$D$13,[1]CURSOS!$E$13,(+IF($N22=[1]CURSOS!$D$14,[1]CURSOS!$E$14,(+IF($N22=[1]CURSOS!$D$15,[1]CURSOS!$E$15,(+IF($N22=[1]CURSOS!$D$16,[1]CURSOS!$E$16,(+IF($N22=[1]CURSOS!$D$17,[1]CURSOS!$E$17,(+IF($N22=[1]CURSOS!$D$18,[1]CURSOS!$E$18,(+IF($N22=[1]CURSOS!$D$19,[1]CURSOS!$E$19,(+IF($N22=[1]CURSOS!$D$20,[1]CURSOS!$E$20,(+IF($N22=[1]CURSOS!$D$21,[1]CURSOS!$E$21,(+IF($N22=[1]CURSOS!$D$22,[1]CURSOS!$E$22,(+IF($N22=[1]CURSOS!$D$23,[1]CURSOS!$E$23,(+IF($N22=[1]CURSOS!$D$24,[1]CURSOS!$E$24,(+IF($N22=[1]CURSOS!$D$25,[1]CURSOS!$E$25,(+IF($N22=[1]CURSOS!$D$26,[1]CURSOS!$E$26,(+IF($N22=[1]CURSOS!$D$27,[1]CURSOS!$E$27,(+IF($N22=[1]CURSOS!$D$28,[1]CURSOS!$E$28,(+IF($N22=[1]CURSOS!$D$29,[1]CURSOS!$E$29,(+IF($N22=[1]CURSOS!$D$30,[1]CURSOS!$E$30,(+IF($N22=[1]CURSOS!$D$31,[1]CURSOS!$E$31,(+IF($N22=[1]CURSOS!$D$32,[1]CURSOS!$E$32)))))))))))))))))))))))))))))))))))))))))))))))))))))))))))</f>
        <v xml:space="preserve">ATENCION A VICTIMAS DE ATAQUE CON AGENTES QUIMICOS </v>
      </c>
      <c r="T22" s="16" t="str">
        <f t="shared" si="3"/>
        <v>Luis Fabian Estrada  Sarasty</v>
      </c>
      <c r="U22" s="16" t="str">
        <f t="shared" si="4"/>
        <v>Luis Fabian Estrada  Sarasty</v>
      </c>
      <c r="V22" s="16" t="str">
        <f t="shared" si="5"/>
        <v>Luis Fabian Estrada  Sarasty-87065114-QUIMICOS</v>
      </c>
    </row>
    <row r="23" spans="1:22" x14ac:dyDescent="0.2">
      <c r="A23" s="16">
        <v>123</v>
      </c>
      <c r="B23" s="16">
        <v>1193033535</v>
      </c>
      <c r="C23" s="16" t="s">
        <v>251</v>
      </c>
      <c r="D23" s="16" t="s">
        <v>252</v>
      </c>
      <c r="E23" s="16" t="s">
        <v>253</v>
      </c>
      <c r="F23" s="17" t="s">
        <v>254</v>
      </c>
      <c r="G23" s="16">
        <v>14</v>
      </c>
      <c r="H23" s="16" t="s">
        <v>41</v>
      </c>
      <c r="I23" s="18">
        <v>45365</v>
      </c>
      <c r="J23" s="19">
        <v>33000</v>
      </c>
      <c r="K23" s="16" t="s">
        <v>37</v>
      </c>
      <c r="L23" s="16" t="s">
        <v>39</v>
      </c>
      <c r="M23" s="16" t="s">
        <v>29</v>
      </c>
      <c r="N23" s="16" t="s">
        <v>19</v>
      </c>
      <c r="O23" s="20">
        <v>37234</v>
      </c>
      <c r="P23" s="21" t="s">
        <v>35</v>
      </c>
      <c r="Q23" s="16" t="s">
        <v>51</v>
      </c>
      <c r="R23" s="16">
        <v>3145272445</v>
      </c>
      <c r="S23" s="16" t="str">
        <f>+IF($N23=[1]CURSOS!$D$3,[1]CURSOS!$E$3,(+IF($N23=[1]CURSOS!$D$4,[1]CURSOS!$E$4,(+IF($N23=[1]CURSOS!$D$5,[1]CURSOS!$E$5,(+IF($N23=[1]CURSOS!$D$6,[1]CURSOS!$E$6,(+IF($N23=[1]CURSOS!$D$7,[1]CURSOS!$E$7,(+IF($N23=[1]CURSOS!$D$8,[1]CURSOS!$E$8,(+IF($N23=[1]CURSOS!$D$9,[1]CURSOS!$E$9,(+IF($N23=[1]CURSOS!$D$10,[1]CURSOS!$E$10,(+IF($N23=[1]CURSOS!$D$11,[1]CURSOS!$E$11,(+IF($N23=[1]CURSOS!$D$12,[1]CURSOS!$E$12,(+IF($N23=[1]CURSOS!$D$13,[1]CURSOS!$E$13,(+IF($N23=[1]CURSOS!$D$14,[1]CURSOS!$E$14,(+IF($N23=[1]CURSOS!$D$15,[1]CURSOS!$E$15,(+IF($N23=[1]CURSOS!$D$16,[1]CURSOS!$E$16,(+IF($N23=[1]CURSOS!$D$17,[1]CURSOS!$E$17,(+IF($N23=[1]CURSOS!$D$18,[1]CURSOS!$E$18,(+IF($N23=[1]CURSOS!$D$19,[1]CURSOS!$E$19,(+IF($N23=[1]CURSOS!$D$20,[1]CURSOS!$E$20,(+IF($N23=[1]CURSOS!$D$21,[1]CURSOS!$E$21,(+IF($N23=[1]CURSOS!$D$22,[1]CURSOS!$E$22,(+IF($N23=[1]CURSOS!$D$23,[1]CURSOS!$E$23,(+IF($N23=[1]CURSOS!$D$24,[1]CURSOS!$E$24,(+IF($N23=[1]CURSOS!$D$25,[1]CURSOS!$E$25,(+IF($N23=[1]CURSOS!$D$26,[1]CURSOS!$E$26,(+IF($N23=[1]CURSOS!$D$27,[1]CURSOS!$E$27,(+IF($N23=[1]CURSOS!$D$28,[1]CURSOS!$E$28,(+IF($N23=[1]CURSOS!$D$29,[1]CURSOS!$E$29,(+IF($N23=[1]CURSOS!$D$30,[1]CURSOS!$E$30,(+IF($N23=[1]CURSOS!$D$31,[1]CURSOS!$E$31,(+IF($N23=[1]CURSOS!$D$32,[1]CURSOS!$E$32)))))))))))))))))))))))))))))))))))))))))))))))))))))))))))</f>
        <v>SOPORTE VITAL BASICO (BLS)</v>
      </c>
      <c r="T23" s="16" t="str">
        <f t="shared" si="3"/>
        <v>Vanessa Camila Egas Ruales</v>
      </c>
      <c r="U23" s="16" t="str">
        <f t="shared" si="4"/>
        <v>Vanessa Camila Egas Ruales</v>
      </c>
      <c r="V23" s="16" t="str">
        <f t="shared" si="5"/>
        <v>Vanessa Camila Egas Ruales-1193033535-BLS</v>
      </c>
    </row>
    <row r="24" spans="1:22" x14ac:dyDescent="0.2">
      <c r="A24" s="16">
        <v>124</v>
      </c>
      <c r="B24" s="16">
        <v>1193033535</v>
      </c>
      <c r="C24" s="16" t="s">
        <v>251</v>
      </c>
      <c r="D24" s="16" t="s">
        <v>252</v>
      </c>
      <c r="E24" s="16" t="s">
        <v>253</v>
      </c>
      <c r="F24" s="17" t="s">
        <v>254</v>
      </c>
      <c r="G24" s="16">
        <v>14</v>
      </c>
      <c r="H24" s="16" t="s">
        <v>41</v>
      </c>
      <c r="I24" s="18">
        <v>45365</v>
      </c>
      <c r="J24" s="19">
        <v>33000</v>
      </c>
      <c r="K24" s="16" t="s">
        <v>37</v>
      </c>
      <c r="L24" s="16" t="s">
        <v>39</v>
      </c>
      <c r="M24" s="16" t="s">
        <v>29</v>
      </c>
      <c r="N24" s="16" t="s">
        <v>21</v>
      </c>
      <c r="O24" s="20">
        <v>37234</v>
      </c>
      <c r="P24" s="21" t="s">
        <v>35</v>
      </c>
      <c r="Q24" s="16" t="s">
        <v>51</v>
      </c>
      <c r="R24" s="16">
        <v>3145272445</v>
      </c>
      <c r="S24" s="16" t="str">
        <f>+IF($N24=[1]CURSOS!$D$3,[1]CURSOS!$E$3,(+IF($N24=[1]CURSOS!$D$4,[1]CURSOS!$E$4,(+IF($N24=[1]CURSOS!$D$5,[1]CURSOS!$E$5,(+IF($N24=[1]CURSOS!$D$6,[1]CURSOS!$E$6,(+IF($N24=[1]CURSOS!$D$7,[1]CURSOS!$E$7,(+IF($N24=[1]CURSOS!$D$8,[1]CURSOS!$E$8,(+IF($N24=[1]CURSOS!$D$9,[1]CURSOS!$E$9,(+IF($N24=[1]CURSOS!$D$10,[1]CURSOS!$E$10,(+IF($N24=[1]CURSOS!$D$11,[1]CURSOS!$E$11,(+IF($N24=[1]CURSOS!$D$12,[1]CURSOS!$E$12,(+IF($N24=[1]CURSOS!$D$13,[1]CURSOS!$E$13,(+IF($N24=[1]CURSOS!$D$14,[1]CURSOS!$E$14,(+IF($N24=[1]CURSOS!$D$15,[1]CURSOS!$E$15,(+IF($N24=[1]CURSOS!$D$16,[1]CURSOS!$E$16,(+IF($N24=[1]CURSOS!$D$17,[1]CURSOS!$E$17,(+IF($N24=[1]CURSOS!$D$18,[1]CURSOS!$E$18,(+IF($N24=[1]CURSOS!$D$19,[1]CURSOS!$E$19,(+IF($N24=[1]CURSOS!$D$20,[1]CURSOS!$E$20,(+IF($N24=[1]CURSOS!$D$21,[1]CURSOS!$E$21,(+IF($N24=[1]CURSOS!$D$22,[1]CURSOS!$E$22,(+IF($N24=[1]CURSOS!$D$23,[1]CURSOS!$E$23,(+IF($N24=[1]CURSOS!$D$24,[1]CURSOS!$E$24,(+IF($N24=[1]CURSOS!$D$25,[1]CURSOS!$E$25,(+IF($N24=[1]CURSOS!$D$26,[1]CURSOS!$E$26,(+IF($N24=[1]CURSOS!$D$27,[1]CURSOS!$E$27,(+IF($N24=[1]CURSOS!$D$28,[1]CURSOS!$E$28,(+IF($N24=[1]CURSOS!$D$29,[1]CURSOS!$E$29,(+IF($N24=[1]CURSOS!$D$30,[1]CURSOS!$E$30,(+IF($N24=[1]CURSOS!$D$31,[1]CURSOS!$E$31,(+IF($N24=[1]CURSOS!$D$32,[1]CURSOS!$E$32)))))))))))))))))))))))))))))))))))))))))))))))))))))))))))</f>
        <v xml:space="preserve">ATENCION A VICTIMAS DE ATAQUE CON AGENTES QUIMICOS </v>
      </c>
      <c r="T24" s="16" t="str">
        <f t="shared" si="3"/>
        <v>Vanessa Camila Egas Ruales</v>
      </c>
      <c r="U24" s="16" t="str">
        <f t="shared" si="4"/>
        <v>Vanessa Camila Egas Ruales</v>
      </c>
      <c r="V24" s="16" t="str">
        <f t="shared" si="5"/>
        <v>Vanessa Camila Egas Ruales-1193033535-QUIMICOS</v>
      </c>
    </row>
    <row r="25" spans="1:22" x14ac:dyDescent="0.2">
      <c r="A25" s="16">
        <v>51</v>
      </c>
      <c r="B25" s="16">
        <v>59683321</v>
      </c>
      <c r="C25" s="16" t="s">
        <v>126</v>
      </c>
      <c r="D25" s="16" t="s">
        <v>127</v>
      </c>
      <c r="E25" s="16" t="s">
        <v>173</v>
      </c>
      <c r="F25" s="17" t="s">
        <v>200</v>
      </c>
      <c r="G25" s="16">
        <v>13</v>
      </c>
      <c r="H25" s="16" t="s">
        <v>41</v>
      </c>
      <c r="I25" s="18">
        <v>45363</v>
      </c>
      <c r="J25" s="19">
        <v>26666</v>
      </c>
      <c r="K25" s="16" t="s">
        <v>356</v>
      </c>
      <c r="L25" s="16" t="s">
        <v>39</v>
      </c>
      <c r="M25" s="16" t="s">
        <v>204</v>
      </c>
      <c r="N25" s="16" t="s">
        <v>25</v>
      </c>
      <c r="O25" s="20" t="s">
        <v>42</v>
      </c>
      <c r="P25" s="21" t="s">
        <v>31</v>
      </c>
      <c r="Q25" s="16" t="s">
        <v>51</v>
      </c>
      <c r="R25" s="16">
        <v>3170303976</v>
      </c>
      <c r="S25" s="16" t="str">
        <f>+IF($N25=[1]CURSOS!$D$3,[1]CURSOS!$E$3,(+IF($N25=[1]CURSOS!$D$4,[1]CURSOS!$E$4,(+IF($N25=[1]CURSOS!$D$5,[1]CURSOS!$E$5,(+IF($N25=[1]CURSOS!$D$6,[1]CURSOS!$E$6,(+IF($N25=[1]CURSOS!$D$7,[1]CURSOS!$E$7,(+IF($N25=[1]CURSOS!$D$8,[1]CURSOS!$E$8,(+IF($N25=[1]CURSOS!$D$9,[1]CURSOS!$E$9,(+IF($N25=[1]CURSOS!$D$10,[1]CURSOS!$E$10,(+IF($N25=[1]CURSOS!$D$11,[1]CURSOS!$E$11,(+IF($N25=[1]CURSOS!$D$12,[1]CURSOS!$E$12,(+IF($N25=[1]CURSOS!$D$13,[1]CURSOS!$E$13,(+IF($N25=[1]CURSOS!$D$14,[1]CURSOS!$E$14,(+IF($N25=[1]CURSOS!$D$15,[1]CURSOS!$E$15,(+IF($N25=[1]CURSOS!$D$16,[1]CURSOS!$E$16,(+IF($N25=[1]CURSOS!$D$17,[1]CURSOS!$E$17,(+IF($N25=[1]CURSOS!$D$18,[1]CURSOS!$E$18,(+IF($N25=[1]CURSOS!$D$19,[1]CURSOS!$E$19,(+IF($N25=[1]CURSOS!$D$20,[1]CURSOS!$E$20,(+IF($N25=[1]CURSOS!$D$21,[1]CURSOS!$E$21,(+IF($N25=[1]CURSOS!$D$22,[1]CURSOS!$E$22,(+IF($N25=[1]CURSOS!$D$23,[1]CURSOS!$E$23,(+IF($N25=[1]CURSOS!$D$24,[1]CURSOS!$E$24,(+IF($N25=[1]CURSOS!$D$25,[1]CURSOS!$E$25,(+IF($N25=[1]CURSOS!$D$26,[1]CURSOS!$E$26,(+IF($N25=[1]CURSOS!$D$27,[1]CURSOS!$E$27,(+IF($N25=[1]CURSOS!$D$28,[1]CURSOS!$E$28,(+IF($N25=[1]CURSOS!$D$29,[1]CURSOS!$E$29,(+IF($N25=[1]CURSOS!$D$30,[1]CURSOS!$E$30,(+IF($N25=[1]CURSOS!$D$31,[1]CURSOS!$E$31,(+IF($N25=[1]CURSOS!$D$32,[1]CURSOS!$E$32)))))))))))))))))))))))))))))))))))))))))))))))))))))))))))</f>
        <v xml:space="preserve">ATENCION A VICTIMAS DE VIOLENCIA SEXUAL </v>
      </c>
      <c r="T25" s="16" t="str">
        <f t="shared" si="3"/>
        <v>KONIE MAURICIA VALVERDE MONTAÑO</v>
      </c>
      <c r="U25" s="16" t="str">
        <f t="shared" si="4"/>
        <v>Konie Mauricia Valverde Montaño</v>
      </c>
      <c r="V25" s="16" t="str">
        <f t="shared" si="5"/>
        <v>KONIE MAURICIA VALVERDE MONTAÑO-59683321-VIOLENCIA SEXUAL</v>
      </c>
    </row>
    <row r="26" spans="1:22" x14ac:dyDescent="0.2">
      <c r="A26" s="16">
        <v>26</v>
      </c>
      <c r="B26" s="16">
        <v>1087185734</v>
      </c>
      <c r="C26" s="16" t="s">
        <v>103</v>
      </c>
      <c r="D26" s="16" t="s">
        <v>130</v>
      </c>
      <c r="E26" s="16" t="s">
        <v>148</v>
      </c>
      <c r="F26" s="17" t="s">
        <v>177</v>
      </c>
      <c r="G26" s="16">
        <v>13</v>
      </c>
      <c r="H26" s="16" t="s">
        <v>41</v>
      </c>
      <c r="I26" s="18">
        <v>45363</v>
      </c>
      <c r="J26" s="19">
        <v>40000</v>
      </c>
      <c r="K26" s="16" t="s">
        <v>32</v>
      </c>
      <c r="L26" s="16" t="s">
        <v>39</v>
      </c>
      <c r="M26" s="16" t="s">
        <v>204</v>
      </c>
      <c r="N26" s="16" t="s">
        <v>25</v>
      </c>
      <c r="O26" s="20" t="s">
        <v>42</v>
      </c>
      <c r="P26" s="21" t="s">
        <v>31</v>
      </c>
      <c r="Q26" s="16" t="s">
        <v>223</v>
      </c>
      <c r="R26" s="16">
        <v>3170303951</v>
      </c>
      <c r="S26" s="16" t="str">
        <f>+IF($N26=[1]CURSOS!$D$3,[1]CURSOS!$E$3,(+IF($N26=[1]CURSOS!$D$4,[1]CURSOS!$E$4,(+IF($N26=[1]CURSOS!$D$5,[1]CURSOS!$E$5,(+IF($N26=[1]CURSOS!$D$6,[1]CURSOS!$E$6,(+IF($N26=[1]CURSOS!$D$7,[1]CURSOS!$E$7,(+IF($N26=[1]CURSOS!$D$8,[1]CURSOS!$E$8,(+IF($N26=[1]CURSOS!$D$9,[1]CURSOS!$E$9,(+IF($N26=[1]CURSOS!$D$10,[1]CURSOS!$E$10,(+IF($N26=[1]CURSOS!$D$11,[1]CURSOS!$E$11,(+IF($N26=[1]CURSOS!$D$12,[1]CURSOS!$E$12,(+IF($N26=[1]CURSOS!$D$13,[1]CURSOS!$E$13,(+IF($N26=[1]CURSOS!$D$14,[1]CURSOS!$E$14,(+IF($N26=[1]CURSOS!$D$15,[1]CURSOS!$E$15,(+IF($N26=[1]CURSOS!$D$16,[1]CURSOS!$E$16,(+IF($N26=[1]CURSOS!$D$17,[1]CURSOS!$E$17,(+IF($N26=[1]CURSOS!$D$18,[1]CURSOS!$E$18,(+IF($N26=[1]CURSOS!$D$19,[1]CURSOS!$E$19,(+IF($N26=[1]CURSOS!$D$20,[1]CURSOS!$E$20,(+IF($N26=[1]CURSOS!$D$21,[1]CURSOS!$E$21,(+IF($N26=[1]CURSOS!$D$22,[1]CURSOS!$E$22,(+IF($N26=[1]CURSOS!$D$23,[1]CURSOS!$E$23,(+IF($N26=[1]CURSOS!$D$24,[1]CURSOS!$E$24,(+IF($N26=[1]CURSOS!$D$25,[1]CURSOS!$E$25,(+IF($N26=[1]CURSOS!$D$26,[1]CURSOS!$E$26,(+IF($N26=[1]CURSOS!$D$27,[1]CURSOS!$E$27,(+IF($N26=[1]CURSOS!$D$28,[1]CURSOS!$E$28,(+IF($N26=[1]CURSOS!$D$29,[1]CURSOS!$E$29,(+IF($N26=[1]CURSOS!$D$30,[1]CURSOS!$E$30,(+IF($N26=[1]CURSOS!$D$31,[1]CURSOS!$E$31,(+IF($N26=[1]CURSOS!$D$32,[1]CURSOS!$E$32)))))))))))))))))))))))))))))))))))))))))))))))))))))))))))</f>
        <v xml:space="preserve">ATENCION A VICTIMAS DE VIOLENCIA SEXUAL </v>
      </c>
      <c r="T26" s="16" t="str">
        <f t="shared" si="3"/>
        <v>JULLY FERNANDA  HENAO SILVA</v>
      </c>
      <c r="U26" s="16" t="str">
        <f t="shared" si="4"/>
        <v>Jully Fernanda  Henao Silva</v>
      </c>
      <c r="V26" s="16" t="str">
        <f t="shared" si="5"/>
        <v>JULLY FERNANDA  HENAO SILVA-1087185734-VIOLENCIA SEXUAL</v>
      </c>
    </row>
    <row r="27" spans="1:22" x14ac:dyDescent="0.2">
      <c r="A27" s="16">
        <v>27</v>
      </c>
      <c r="B27" s="16">
        <v>1010036653</v>
      </c>
      <c r="C27" s="16" t="s">
        <v>104</v>
      </c>
      <c r="D27" s="16" t="s">
        <v>131</v>
      </c>
      <c r="E27" s="16" t="s">
        <v>149</v>
      </c>
      <c r="F27" s="17" t="s">
        <v>178</v>
      </c>
      <c r="G27" s="16">
        <v>13</v>
      </c>
      <c r="H27" s="16" t="s">
        <v>41</v>
      </c>
      <c r="I27" s="18">
        <v>45363</v>
      </c>
      <c r="J27" s="19">
        <v>40000</v>
      </c>
      <c r="K27" s="16" t="s">
        <v>32</v>
      </c>
      <c r="L27" s="16" t="s">
        <v>39</v>
      </c>
      <c r="M27" s="16" t="s">
        <v>204</v>
      </c>
      <c r="N27" s="16" t="s">
        <v>25</v>
      </c>
      <c r="O27" s="20" t="s">
        <v>42</v>
      </c>
      <c r="P27" s="21" t="s">
        <v>31</v>
      </c>
      <c r="Q27" s="16" t="s">
        <v>223</v>
      </c>
      <c r="R27" s="16">
        <v>3170303952</v>
      </c>
      <c r="S27" s="16" t="str">
        <f>+IF($N27=[1]CURSOS!$D$3,[1]CURSOS!$E$3,(+IF($N27=[1]CURSOS!$D$4,[1]CURSOS!$E$4,(+IF($N27=[1]CURSOS!$D$5,[1]CURSOS!$E$5,(+IF($N27=[1]CURSOS!$D$6,[1]CURSOS!$E$6,(+IF($N27=[1]CURSOS!$D$7,[1]CURSOS!$E$7,(+IF($N27=[1]CURSOS!$D$8,[1]CURSOS!$E$8,(+IF($N27=[1]CURSOS!$D$9,[1]CURSOS!$E$9,(+IF($N27=[1]CURSOS!$D$10,[1]CURSOS!$E$10,(+IF($N27=[1]CURSOS!$D$11,[1]CURSOS!$E$11,(+IF($N27=[1]CURSOS!$D$12,[1]CURSOS!$E$12,(+IF($N27=[1]CURSOS!$D$13,[1]CURSOS!$E$13,(+IF($N27=[1]CURSOS!$D$14,[1]CURSOS!$E$14,(+IF($N27=[1]CURSOS!$D$15,[1]CURSOS!$E$15,(+IF($N27=[1]CURSOS!$D$16,[1]CURSOS!$E$16,(+IF($N27=[1]CURSOS!$D$17,[1]CURSOS!$E$17,(+IF($N27=[1]CURSOS!$D$18,[1]CURSOS!$E$18,(+IF($N27=[1]CURSOS!$D$19,[1]CURSOS!$E$19,(+IF($N27=[1]CURSOS!$D$20,[1]CURSOS!$E$20,(+IF($N27=[1]CURSOS!$D$21,[1]CURSOS!$E$21,(+IF($N27=[1]CURSOS!$D$22,[1]CURSOS!$E$22,(+IF($N27=[1]CURSOS!$D$23,[1]CURSOS!$E$23,(+IF($N27=[1]CURSOS!$D$24,[1]CURSOS!$E$24,(+IF($N27=[1]CURSOS!$D$25,[1]CURSOS!$E$25,(+IF($N27=[1]CURSOS!$D$26,[1]CURSOS!$E$26,(+IF($N27=[1]CURSOS!$D$27,[1]CURSOS!$E$27,(+IF($N27=[1]CURSOS!$D$28,[1]CURSOS!$E$28,(+IF($N27=[1]CURSOS!$D$29,[1]CURSOS!$E$29,(+IF($N27=[1]CURSOS!$D$30,[1]CURSOS!$E$30,(+IF($N27=[1]CURSOS!$D$31,[1]CURSOS!$E$31,(+IF($N27=[1]CURSOS!$D$32,[1]CURSOS!$E$32)))))))))))))))))))))))))))))))))))))))))))))))))))))))))))</f>
        <v xml:space="preserve">ATENCION A VICTIMAS DE VIOLENCIA SEXUAL </v>
      </c>
      <c r="T27" s="16" t="str">
        <f t="shared" si="3"/>
        <v>NELLA GETZELY  VALENCIA ANGULO</v>
      </c>
      <c r="U27" s="16" t="str">
        <f t="shared" si="4"/>
        <v>Nella Getzely  Valencia Angulo</v>
      </c>
      <c r="V27" s="16" t="str">
        <f t="shared" si="5"/>
        <v>NELLA GETZELY  VALENCIA ANGULO-1010036653-VIOLENCIA SEXUAL</v>
      </c>
    </row>
    <row r="28" spans="1:22" x14ac:dyDescent="0.2">
      <c r="A28" s="16">
        <v>28</v>
      </c>
      <c r="B28" s="16">
        <v>59683464</v>
      </c>
      <c r="C28" s="16" t="s">
        <v>105</v>
      </c>
      <c r="D28" s="16" t="s">
        <v>132</v>
      </c>
      <c r="E28" s="16" t="s">
        <v>150</v>
      </c>
      <c r="F28" s="17" t="s">
        <v>179</v>
      </c>
      <c r="G28" s="16">
        <v>13</v>
      </c>
      <c r="H28" s="16" t="s">
        <v>41</v>
      </c>
      <c r="I28" s="18">
        <v>45363</v>
      </c>
      <c r="J28" s="19">
        <v>40000</v>
      </c>
      <c r="K28" s="16" t="s">
        <v>32</v>
      </c>
      <c r="L28" s="16" t="s">
        <v>39</v>
      </c>
      <c r="M28" s="16" t="s">
        <v>204</v>
      </c>
      <c r="N28" s="16" t="s">
        <v>25</v>
      </c>
      <c r="O28" s="20" t="s">
        <v>42</v>
      </c>
      <c r="P28" s="21" t="s">
        <v>31</v>
      </c>
      <c r="Q28" s="16" t="s">
        <v>223</v>
      </c>
      <c r="R28" s="16">
        <v>3170303953</v>
      </c>
      <c r="S28" s="16" t="str">
        <f>+IF($N28=[1]CURSOS!$D$3,[1]CURSOS!$E$3,(+IF($N28=[1]CURSOS!$D$4,[1]CURSOS!$E$4,(+IF($N28=[1]CURSOS!$D$5,[1]CURSOS!$E$5,(+IF($N28=[1]CURSOS!$D$6,[1]CURSOS!$E$6,(+IF($N28=[1]CURSOS!$D$7,[1]CURSOS!$E$7,(+IF($N28=[1]CURSOS!$D$8,[1]CURSOS!$E$8,(+IF($N28=[1]CURSOS!$D$9,[1]CURSOS!$E$9,(+IF($N28=[1]CURSOS!$D$10,[1]CURSOS!$E$10,(+IF($N28=[1]CURSOS!$D$11,[1]CURSOS!$E$11,(+IF($N28=[1]CURSOS!$D$12,[1]CURSOS!$E$12,(+IF($N28=[1]CURSOS!$D$13,[1]CURSOS!$E$13,(+IF($N28=[1]CURSOS!$D$14,[1]CURSOS!$E$14,(+IF($N28=[1]CURSOS!$D$15,[1]CURSOS!$E$15,(+IF($N28=[1]CURSOS!$D$16,[1]CURSOS!$E$16,(+IF($N28=[1]CURSOS!$D$17,[1]CURSOS!$E$17,(+IF($N28=[1]CURSOS!$D$18,[1]CURSOS!$E$18,(+IF($N28=[1]CURSOS!$D$19,[1]CURSOS!$E$19,(+IF($N28=[1]CURSOS!$D$20,[1]CURSOS!$E$20,(+IF($N28=[1]CURSOS!$D$21,[1]CURSOS!$E$21,(+IF($N28=[1]CURSOS!$D$22,[1]CURSOS!$E$22,(+IF($N28=[1]CURSOS!$D$23,[1]CURSOS!$E$23,(+IF($N28=[1]CURSOS!$D$24,[1]CURSOS!$E$24,(+IF($N28=[1]CURSOS!$D$25,[1]CURSOS!$E$25,(+IF($N28=[1]CURSOS!$D$26,[1]CURSOS!$E$26,(+IF($N28=[1]CURSOS!$D$27,[1]CURSOS!$E$27,(+IF($N28=[1]CURSOS!$D$28,[1]CURSOS!$E$28,(+IF($N28=[1]CURSOS!$D$29,[1]CURSOS!$E$29,(+IF($N28=[1]CURSOS!$D$30,[1]CURSOS!$E$30,(+IF($N28=[1]CURSOS!$D$31,[1]CURSOS!$E$31,(+IF($N28=[1]CURSOS!$D$32,[1]CURSOS!$E$32)))))))))))))))))))))))))))))))))))))))))))))))))))))))))))</f>
        <v xml:space="preserve">ATENCION A VICTIMAS DE VIOLENCIA SEXUAL </v>
      </c>
      <c r="T28" s="16" t="str">
        <f t="shared" si="3"/>
        <v>ROCIO DEL PILAR MEJIA CORTES</v>
      </c>
      <c r="U28" s="16" t="str">
        <f t="shared" si="4"/>
        <v>Rocio Del Pilar Mejia Cortes</v>
      </c>
      <c r="V28" s="16" t="str">
        <f t="shared" si="5"/>
        <v>ROCIO DEL PILAR MEJIA CORTES-59683464-VIOLENCIA SEXUAL</v>
      </c>
    </row>
    <row r="29" spans="1:22" x14ac:dyDescent="0.2">
      <c r="A29" s="16">
        <v>29</v>
      </c>
      <c r="B29" s="16">
        <v>37086162</v>
      </c>
      <c r="C29" s="16" t="s">
        <v>106</v>
      </c>
      <c r="D29" s="16" t="s">
        <v>133</v>
      </c>
      <c r="E29" s="16" t="s">
        <v>151</v>
      </c>
      <c r="F29" s="17" t="s">
        <v>180</v>
      </c>
      <c r="G29" s="16">
        <v>13</v>
      </c>
      <c r="H29" s="16" t="s">
        <v>41</v>
      </c>
      <c r="I29" s="18">
        <v>45363</v>
      </c>
      <c r="J29" s="19">
        <v>40000</v>
      </c>
      <c r="K29" s="16" t="s">
        <v>32</v>
      </c>
      <c r="L29" s="16" t="s">
        <v>39</v>
      </c>
      <c r="M29" s="16" t="s">
        <v>204</v>
      </c>
      <c r="N29" s="16" t="s">
        <v>25</v>
      </c>
      <c r="O29" s="20" t="s">
        <v>42</v>
      </c>
      <c r="P29" s="21" t="s">
        <v>31</v>
      </c>
      <c r="Q29" s="16" t="s">
        <v>223</v>
      </c>
      <c r="R29" s="16">
        <v>3170303954</v>
      </c>
      <c r="S29" s="16" t="str">
        <f>+IF($N29=[1]CURSOS!$D$3,[1]CURSOS!$E$3,(+IF($N29=[1]CURSOS!$D$4,[1]CURSOS!$E$4,(+IF($N29=[1]CURSOS!$D$5,[1]CURSOS!$E$5,(+IF($N29=[1]CURSOS!$D$6,[1]CURSOS!$E$6,(+IF($N29=[1]CURSOS!$D$7,[1]CURSOS!$E$7,(+IF($N29=[1]CURSOS!$D$8,[1]CURSOS!$E$8,(+IF($N29=[1]CURSOS!$D$9,[1]CURSOS!$E$9,(+IF($N29=[1]CURSOS!$D$10,[1]CURSOS!$E$10,(+IF($N29=[1]CURSOS!$D$11,[1]CURSOS!$E$11,(+IF($N29=[1]CURSOS!$D$12,[1]CURSOS!$E$12,(+IF($N29=[1]CURSOS!$D$13,[1]CURSOS!$E$13,(+IF($N29=[1]CURSOS!$D$14,[1]CURSOS!$E$14,(+IF($N29=[1]CURSOS!$D$15,[1]CURSOS!$E$15,(+IF($N29=[1]CURSOS!$D$16,[1]CURSOS!$E$16,(+IF($N29=[1]CURSOS!$D$17,[1]CURSOS!$E$17,(+IF($N29=[1]CURSOS!$D$18,[1]CURSOS!$E$18,(+IF($N29=[1]CURSOS!$D$19,[1]CURSOS!$E$19,(+IF($N29=[1]CURSOS!$D$20,[1]CURSOS!$E$20,(+IF($N29=[1]CURSOS!$D$21,[1]CURSOS!$E$21,(+IF($N29=[1]CURSOS!$D$22,[1]CURSOS!$E$22,(+IF($N29=[1]CURSOS!$D$23,[1]CURSOS!$E$23,(+IF($N29=[1]CURSOS!$D$24,[1]CURSOS!$E$24,(+IF($N29=[1]CURSOS!$D$25,[1]CURSOS!$E$25,(+IF($N29=[1]CURSOS!$D$26,[1]CURSOS!$E$26,(+IF($N29=[1]CURSOS!$D$27,[1]CURSOS!$E$27,(+IF($N29=[1]CURSOS!$D$28,[1]CURSOS!$E$28,(+IF($N29=[1]CURSOS!$D$29,[1]CURSOS!$E$29,(+IF($N29=[1]CURSOS!$D$30,[1]CURSOS!$E$30,(+IF($N29=[1]CURSOS!$D$31,[1]CURSOS!$E$31,(+IF($N29=[1]CURSOS!$D$32,[1]CURSOS!$E$32)))))))))))))))))))))))))))))))))))))))))))))))))))))))))))</f>
        <v xml:space="preserve">ATENCION A VICTIMAS DE VIOLENCIA SEXUAL </v>
      </c>
      <c r="T29" s="16" t="str">
        <f t="shared" si="3"/>
        <v>VIVIANA NATHALI TRIVIÑO ROSERO</v>
      </c>
      <c r="U29" s="16" t="str">
        <f t="shared" si="4"/>
        <v>Viviana Nathali Triviño Rosero</v>
      </c>
      <c r="V29" s="16" t="str">
        <f t="shared" si="5"/>
        <v>VIVIANA NATHALI TRIVIÑO ROSERO-37086162-VIOLENCIA SEXUAL</v>
      </c>
    </row>
    <row r="30" spans="1:22" x14ac:dyDescent="0.2">
      <c r="A30" s="16">
        <v>30</v>
      </c>
      <c r="B30" s="16">
        <v>1085274738</v>
      </c>
      <c r="C30" s="16" t="s">
        <v>107</v>
      </c>
      <c r="D30" s="16" t="s">
        <v>134</v>
      </c>
      <c r="E30" s="16" t="s">
        <v>152</v>
      </c>
      <c r="F30" s="17" t="s">
        <v>181</v>
      </c>
      <c r="G30" s="16">
        <v>13</v>
      </c>
      <c r="H30" s="16" t="s">
        <v>41</v>
      </c>
      <c r="I30" s="18">
        <v>45363</v>
      </c>
      <c r="J30" s="19">
        <v>40000</v>
      </c>
      <c r="K30" s="16" t="s">
        <v>32</v>
      </c>
      <c r="L30" s="16" t="s">
        <v>39</v>
      </c>
      <c r="M30" s="16" t="s">
        <v>204</v>
      </c>
      <c r="N30" s="16" t="s">
        <v>25</v>
      </c>
      <c r="O30" s="20" t="s">
        <v>42</v>
      </c>
      <c r="P30" s="21" t="s">
        <v>31</v>
      </c>
      <c r="Q30" s="16" t="s">
        <v>223</v>
      </c>
      <c r="R30" s="16">
        <v>3170303955</v>
      </c>
      <c r="S30" s="16" t="str">
        <f>+IF($N30=[1]CURSOS!$D$3,[1]CURSOS!$E$3,(+IF($N30=[1]CURSOS!$D$4,[1]CURSOS!$E$4,(+IF($N30=[1]CURSOS!$D$5,[1]CURSOS!$E$5,(+IF($N30=[1]CURSOS!$D$6,[1]CURSOS!$E$6,(+IF($N30=[1]CURSOS!$D$7,[1]CURSOS!$E$7,(+IF($N30=[1]CURSOS!$D$8,[1]CURSOS!$E$8,(+IF($N30=[1]CURSOS!$D$9,[1]CURSOS!$E$9,(+IF($N30=[1]CURSOS!$D$10,[1]CURSOS!$E$10,(+IF($N30=[1]CURSOS!$D$11,[1]CURSOS!$E$11,(+IF($N30=[1]CURSOS!$D$12,[1]CURSOS!$E$12,(+IF($N30=[1]CURSOS!$D$13,[1]CURSOS!$E$13,(+IF($N30=[1]CURSOS!$D$14,[1]CURSOS!$E$14,(+IF($N30=[1]CURSOS!$D$15,[1]CURSOS!$E$15,(+IF($N30=[1]CURSOS!$D$16,[1]CURSOS!$E$16,(+IF($N30=[1]CURSOS!$D$17,[1]CURSOS!$E$17,(+IF($N30=[1]CURSOS!$D$18,[1]CURSOS!$E$18,(+IF($N30=[1]CURSOS!$D$19,[1]CURSOS!$E$19,(+IF($N30=[1]CURSOS!$D$20,[1]CURSOS!$E$20,(+IF($N30=[1]CURSOS!$D$21,[1]CURSOS!$E$21,(+IF($N30=[1]CURSOS!$D$22,[1]CURSOS!$E$22,(+IF($N30=[1]CURSOS!$D$23,[1]CURSOS!$E$23,(+IF($N30=[1]CURSOS!$D$24,[1]CURSOS!$E$24,(+IF($N30=[1]CURSOS!$D$25,[1]CURSOS!$E$25,(+IF($N30=[1]CURSOS!$D$26,[1]CURSOS!$E$26,(+IF($N30=[1]CURSOS!$D$27,[1]CURSOS!$E$27,(+IF($N30=[1]CURSOS!$D$28,[1]CURSOS!$E$28,(+IF($N30=[1]CURSOS!$D$29,[1]CURSOS!$E$29,(+IF($N30=[1]CURSOS!$D$30,[1]CURSOS!$E$30,(+IF($N30=[1]CURSOS!$D$31,[1]CURSOS!$E$31,(+IF($N30=[1]CURSOS!$D$32,[1]CURSOS!$E$32)))))))))))))))))))))))))))))))))))))))))))))))))))))))))))</f>
        <v xml:space="preserve">ATENCION A VICTIMAS DE VIOLENCIA SEXUAL </v>
      </c>
      <c r="T30" s="16" t="str">
        <f t="shared" si="3"/>
        <v>CINTHYA CAROLINA GONZALEZ SALAZAR</v>
      </c>
      <c r="U30" s="16" t="str">
        <f t="shared" si="4"/>
        <v>Cinthya Carolina Gonzalez Salazar</v>
      </c>
      <c r="V30" s="16" t="str">
        <f t="shared" si="5"/>
        <v>CINTHYA CAROLINA GONZALEZ SALAZAR-1085274738-VIOLENCIA SEXUAL</v>
      </c>
    </row>
    <row r="31" spans="1:22" x14ac:dyDescent="0.2">
      <c r="A31" s="16">
        <v>31</v>
      </c>
      <c r="B31" s="16">
        <v>1087206823</v>
      </c>
      <c r="C31" s="16" t="s">
        <v>108</v>
      </c>
      <c r="D31" s="16" t="s">
        <v>135</v>
      </c>
      <c r="E31" s="16" t="s">
        <v>153</v>
      </c>
      <c r="F31" s="17" t="s">
        <v>182</v>
      </c>
      <c r="G31" s="16">
        <v>13</v>
      </c>
      <c r="H31" s="16" t="s">
        <v>41</v>
      </c>
      <c r="I31" s="18">
        <v>45363</v>
      </c>
      <c r="J31" s="19">
        <v>40000</v>
      </c>
      <c r="K31" s="16" t="s">
        <v>32</v>
      </c>
      <c r="L31" s="16" t="s">
        <v>39</v>
      </c>
      <c r="M31" s="16" t="s">
        <v>204</v>
      </c>
      <c r="N31" s="16" t="s">
        <v>25</v>
      </c>
      <c r="O31" s="20" t="s">
        <v>42</v>
      </c>
      <c r="P31" s="21" t="s">
        <v>83</v>
      </c>
      <c r="Q31" s="16" t="s">
        <v>223</v>
      </c>
      <c r="R31" s="16">
        <v>3170303956</v>
      </c>
      <c r="S31" s="16" t="str">
        <f>+IF($N31=[1]CURSOS!$D$3,[1]CURSOS!$E$3,(+IF($N31=[1]CURSOS!$D$4,[1]CURSOS!$E$4,(+IF($N31=[1]CURSOS!$D$5,[1]CURSOS!$E$5,(+IF($N31=[1]CURSOS!$D$6,[1]CURSOS!$E$6,(+IF($N31=[1]CURSOS!$D$7,[1]CURSOS!$E$7,(+IF($N31=[1]CURSOS!$D$8,[1]CURSOS!$E$8,(+IF($N31=[1]CURSOS!$D$9,[1]CURSOS!$E$9,(+IF($N31=[1]CURSOS!$D$10,[1]CURSOS!$E$10,(+IF($N31=[1]CURSOS!$D$11,[1]CURSOS!$E$11,(+IF($N31=[1]CURSOS!$D$12,[1]CURSOS!$E$12,(+IF($N31=[1]CURSOS!$D$13,[1]CURSOS!$E$13,(+IF($N31=[1]CURSOS!$D$14,[1]CURSOS!$E$14,(+IF($N31=[1]CURSOS!$D$15,[1]CURSOS!$E$15,(+IF($N31=[1]CURSOS!$D$16,[1]CURSOS!$E$16,(+IF($N31=[1]CURSOS!$D$17,[1]CURSOS!$E$17,(+IF($N31=[1]CURSOS!$D$18,[1]CURSOS!$E$18,(+IF($N31=[1]CURSOS!$D$19,[1]CURSOS!$E$19,(+IF($N31=[1]CURSOS!$D$20,[1]CURSOS!$E$20,(+IF($N31=[1]CURSOS!$D$21,[1]CURSOS!$E$21,(+IF($N31=[1]CURSOS!$D$22,[1]CURSOS!$E$22,(+IF($N31=[1]CURSOS!$D$23,[1]CURSOS!$E$23,(+IF($N31=[1]CURSOS!$D$24,[1]CURSOS!$E$24,(+IF($N31=[1]CURSOS!$D$25,[1]CURSOS!$E$25,(+IF($N31=[1]CURSOS!$D$26,[1]CURSOS!$E$26,(+IF($N31=[1]CURSOS!$D$27,[1]CURSOS!$E$27,(+IF($N31=[1]CURSOS!$D$28,[1]CURSOS!$E$28,(+IF($N31=[1]CURSOS!$D$29,[1]CURSOS!$E$29,(+IF($N31=[1]CURSOS!$D$30,[1]CURSOS!$E$30,(+IF($N31=[1]CURSOS!$D$31,[1]CURSOS!$E$31,(+IF($N31=[1]CURSOS!$D$32,[1]CURSOS!$E$32)))))))))))))))))))))))))))))))))))))))))))))))))))))))))))</f>
        <v xml:space="preserve">ATENCION A VICTIMAS DE VIOLENCIA SEXUAL </v>
      </c>
      <c r="T31" s="16" t="str">
        <f t="shared" si="3"/>
        <v>JOSE LUIS CONTRERAS CUERO</v>
      </c>
      <c r="U31" s="16" t="str">
        <f t="shared" si="4"/>
        <v>Jose Luis Contreras Cuero</v>
      </c>
      <c r="V31" s="16" t="str">
        <f t="shared" si="5"/>
        <v>JOSE LUIS CONTRERAS CUERO-1087206823-VIOLENCIA SEXUAL</v>
      </c>
    </row>
    <row r="32" spans="1:22" x14ac:dyDescent="0.2">
      <c r="A32" s="16">
        <v>32</v>
      </c>
      <c r="B32" s="16">
        <v>1061820607</v>
      </c>
      <c r="C32" s="16" t="s">
        <v>109</v>
      </c>
      <c r="D32" s="16" t="s">
        <v>136</v>
      </c>
      <c r="E32" s="16" t="s">
        <v>154</v>
      </c>
      <c r="F32" s="17" t="s">
        <v>166</v>
      </c>
      <c r="G32" s="16">
        <v>13</v>
      </c>
      <c r="H32" s="16" t="s">
        <v>41</v>
      </c>
      <c r="I32" s="18">
        <v>45363</v>
      </c>
      <c r="J32" s="19">
        <v>40000</v>
      </c>
      <c r="K32" s="16" t="s">
        <v>32</v>
      </c>
      <c r="L32" s="16" t="s">
        <v>39</v>
      </c>
      <c r="M32" s="16" t="s">
        <v>204</v>
      </c>
      <c r="N32" s="16" t="s">
        <v>25</v>
      </c>
      <c r="O32" s="20" t="s">
        <v>42</v>
      </c>
      <c r="P32" s="21" t="s">
        <v>31</v>
      </c>
      <c r="Q32" s="16" t="s">
        <v>223</v>
      </c>
      <c r="R32" s="16">
        <v>3170303957</v>
      </c>
      <c r="S32" s="16" t="str">
        <f>+IF($N32=[1]CURSOS!$D$3,[1]CURSOS!$E$3,(+IF($N32=[1]CURSOS!$D$4,[1]CURSOS!$E$4,(+IF($N32=[1]CURSOS!$D$5,[1]CURSOS!$E$5,(+IF($N32=[1]CURSOS!$D$6,[1]CURSOS!$E$6,(+IF($N32=[1]CURSOS!$D$7,[1]CURSOS!$E$7,(+IF($N32=[1]CURSOS!$D$8,[1]CURSOS!$E$8,(+IF($N32=[1]CURSOS!$D$9,[1]CURSOS!$E$9,(+IF($N32=[1]CURSOS!$D$10,[1]CURSOS!$E$10,(+IF($N32=[1]CURSOS!$D$11,[1]CURSOS!$E$11,(+IF($N32=[1]CURSOS!$D$12,[1]CURSOS!$E$12,(+IF($N32=[1]CURSOS!$D$13,[1]CURSOS!$E$13,(+IF($N32=[1]CURSOS!$D$14,[1]CURSOS!$E$14,(+IF($N32=[1]CURSOS!$D$15,[1]CURSOS!$E$15,(+IF($N32=[1]CURSOS!$D$16,[1]CURSOS!$E$16,(+IF($N32=[1]CURSOS!$D$17,[1]CURSOS!$E$17,(+IF($N32=[1]CURSOS!$D$18,[1]CURSOS!$E$18,(+IF($N32=[1]CURSOS!$D$19,[1]CURSOS!$E$19,(+IF($N32=[1]CURSOS!$D$20,[1]CURSOS!$E$20,(+IF($N32=[1]CURSOS!$D$21,[1]CURSOS!$E$21,(+IF($N32=[1]CURSOS!$D$22,[1]CURSOS!$E$22,(+IF($N32=[1]CURSOS!$D$23,[1]CURSOS!$E$23,(+IF($N32=[1]CURSOS!$D$24,[1]CURSOS!$E$24,(+IF($N32=[1]CURSOS!$D$25,[1]CURSOS!$E$25,(+IF($N32=[1]CURSOS!$D$26,[1]CURSOS!$E$26,(+IF($N32=[1]CURSOS!$D$27,[1]CURSOS!$E$27,(+IF($N32=[1]CURSOS!$D$28,[1]CURSOS!$E$28,(+IF($N32=[1]CURSOS!$D$29,[1]CURSOS!$E$29,(+IF($N32=[1]CURSOS!$D$30,[1]CURSOS!$E$30,(+IF($N32=[1]CURSOS!$D$31,[1]CURSOS!$E$31,(+IF($N32=[1]CURSOS!$D$32,[1]CURSOS!$E$32)))))))))))))))))))))))))))))))))))))))))))))))))))))))))))</f>
        <v xml:space="preserve">ATENCION A VICTIMAS DE VIOLENCIA SEXUAL </v>
      </c>
      <c r="T32" s="16" t="str">
        <f t="shared" si="3"/>
        <v>LINA MARIA LASSO CARDONA</v>
      </c>
      <c r="U32" s="16" t="str">
        <f t="shared" si="4"/>
        <v>Lina Maria Lasso Cardona</v>
      </c>
      <c r="V32" s="16" t="str">
        <f t="shared" si="5"/>
        <v>LINA MARIA LASSO CARDONA-1061820607-VIOLENCIA SEXUAL</v>
      </c>
    </row>
    <row r="33" spans="1:22" x14ac:dyDescent="0.2">
      <c r="A33" s="16">
        <v>33</v>
      </c>
      <c r="B33" s="16">
        <v>1004609283</v>
      </c>
      <c r="C33" s="16" t="s">
        <v>110</v>
      </c>
      <c r="D33" s="16" t="s">
        <v>137</v>
      </c>
      <c r="E33" s="16" t="s">
        <v>155</v>
      </c>
      <c r="F33" s="17" t="s">
        <v>183</v>
      </c>
      <c r="G33" s="16">
        <v>13</v>
      </c>
      <c r="H33" s="16" t="s">
        <v>41</v>
      </c>
      <c r="I33" s="18">
        <v>45363</v>
      </c>
      <c r="J33" s="19">
        <v>40000</v>
      </c>
      <c r="K33" s="16" t="s">
        <v>32</v>
      </c>
      <c r="L33" s="16" t="s">
        <v>39</v>
      </c>
      <c r="M33" s="16" t="s">
        <v>204</v>
      </c>
      <c r="N33" s="16" t="s">
        <v>25</v>
      </c>
      <c r="O33" s="20" t="s">
        <v>42</v>
      </c>
      <c r="P33" s="21" t="s">
        <v>83</v>
      </c>
      <c r="Q33" s="16" t="s">
        <v>223</v>
      </c>
      <c r="R33" s="16">
        <v>3170303958</v>
      </c>
      <c r="S33" s="16" t="str">
        <f>+IF($N33=[1]CURSOS!$D$3,[1]CURSOS!$E$3,(+IF($N33=[1]CURSOS!$D$4,[1]CURSOS!$E$4,(+IF($N33=[1]CURSOS!$D$5,[1]CURSOS!$E$5,(+IF($N33=[1]CURSOS!$D$6,[1]CURSOS!$E$6,(+IF($N33=[1]CURSOS!$D$7,[1]CURSOS!$E$7,(+IF($N33=[1]CURSOS!$D$8,[1]CURSOS!$E$8,(+IF($N33=[1]CURSOS!$D$9,[1]CURSOS!$E$9,(+IF($N33=[1]CURSOS!$D$10,[1]CURSOS!$E$10,(+IF($N33=[1]CURSOS!$D$11,[1]CURSOS!$E$11,(+IF($N33=[1]CURSOS!$D$12,[1]CURSOS!$E$12,(+IF($N33=[1]CURSOS!$D$13,[1]CURSOS!$E$13,(+IF($N33=[1]CURSOS!$D$14,[1]CURSOS!$E$14,(+IF($N33=[1]CURSOS!$D$15,[1]CURSOS!$E$15,(+IF($N33=[1]CURSOS!$D$16,[1]CURSOS!$E$16,(+IF($N33=[1]CURSOS!$D$17,[1]CURSOS!$E$17,(+IF($N33=[1]CURSOS!$D$18,[1]CURSOS!$E$18,(+IF($N33=[1]CURSOS!$D$19,[1]CURSOS!$E$19,(+IF($N33=[1]CURSOS!$D$20,[1]CURSOS!$E$20,(+IF($N33=[1]CURSOS!$D$21,[1]CURSOS!$E$21,(+IF($N33=[1]CURSOS!$D$22,[1]CURSOS!$E$22,(+IF($N33=[1]CURSOS!$D$23,[1]CURSOS!$E$23,(+IF($N33=[1]CURSOS!$D$24,[1]CURSOS!$E$24,(+IF($N33=[1]CURSOS!$D$25,[1]CURSOS!$E$25,(+IF($N33=[1]CURSOS!$D$26,[1]CURSOS!$E$26,(+IF($N33=[1]CURSOS!$D$27,[1]CURSOS!$E$27,(+IF($N33=[1]CURSOS!$D$28,[1]CURSOS!$E$28,(+IF($N33=[1]CURSOS!$D$29,[1]CURSOS!$E$29,(+IF($N33=[1]CURSOS!$D$30,[1]CURSOS!$E$30,(+IF($N33=[1]CURSOS!$D$31,[1]CURSOS!$E$31,(+IF($N33=[1]CURSOS!$D$32,[1]CURSOS!$E$32)))))))))))))))))))))))))))))))))))))))))))))))))))))))))))</f>
        <v xml:space="preserve">ATENCION A VICTIMAS DE VIOLENCIA SEXUAL </v>
      </c>
      <c r="T33" s="16" t="str">
        <f t="shared" si="3"/>
        <v>JAMES CAMILO QUIÑONES CASTILLO</v>
      </c>
      <c r="U33" s="16" t="str">
        <f t="shared" si="4"/>
        <v>James Camilo Quiñones Castillo</v>
      </c>
      <c r="V33" s="16" t="str">
        <f t="shared" si="5"/>
        <v>JAMES CAMILO QUIÑONES CASTILLO-1004609283-VIOLENCIA SEXUAL</v>
      </c>
    </row>
    <row r="34" spans="1:22" x14ac:dyDescent="0.2">
      <c r="A34" s="16">
        <v>34</v>
      </c>
      <c r="B34" s="16">
        <v>1010111072</v>
      </c>
      <c r="C34" s="16" t="s">
        <v>111</v>
      </c>
      <c r="D34" s="16" t="s">
        <v>138</v>
      </c>
      <c r="E34" s="16" t="s">
        <v>156</v>
      </c>
      <c r="F34" s="17" t="s">
        <v>184</v>
      </c>
      <c r="G34" s="16">
        <v>13</v>
      </c>
      <c r="H34" s="16" t="s">
        <v>41</v>
      </c>
      <c r="I34" s="18">
        <v>45363</v>
      </c>
      <c r="J34" s="19">
        <v>40000</v>
      </c>
      <c r="K34" s="16" t="s">
        <v>32</v>
      </c>
      <c r="L34" s="16" t="s">
        <v>39</v>
      </c>
      <c r="M34" s="16" t="s">
        <v>204</v>
      </c>
      <c r="N34" s="16" t="s">
        <v>25</v>
      </c>
      <c r="O34" s="20" t="s">
        <v>42</v>
      </c>
      <c r="P34" s="21" t="s">
        <v>31</v>
      </c>
      <c r="Q34" s="16" t="s">
        <v>223</v>
      </c>
      <c r="R34" s="16">
        <v>3170303959</v>
      </c>
      <c r="S34" s="16" t="str">
        <f>+IF($N34=[1]CURSOS!$D$3,[1]CURSOS!$E$3,(+IF($N34=[1]CURSOS!$D$4,[1]CURSOS!$E$4,(+IF($N34=[1]CURSOS!$D$5,[1]CURSOS!$E$5,(+IF($N34=[1]CURSOS!$D$6,[1]CURSOS!$E$6,(+IF($N34=[1]CURSOS!$D$7,[1]CURSOS!$E$7,(+IF($N34=[1]CURSOS!$D$8,[1]CURSOS!$E$8,(+IF($N34=[1]CURSOS!$D$9,[1]CURSOS!$E$9,(+IF($N34=[1]CURSOS!$D$10,[1]CURSOS!$E$10,(+IF($N34=[1]CURSOS!$D$11,[1]CURSOS!$E$11,(+IF($N34=[1]CURSOS!$D$12,[1]CURSOS!$E$12,(+IF($N34=[1]CURSOS!$D$13,[1]CURSOS!$E$13,(+IF($N34=[1]CURSOS!$D$14,[1]CURSOS!$E$14,(+IF($N34=[1]CURSOS!$D$15,[1]CURSOS!$E$15,(+IF($N34=[1]CURSOS!$D$16,[1]CURSOS!$E$16,(+IF($N34=[1]CURSOS!$D$17,[1]CURSOS!$E$17,(+IF($N34=[1]CURSOS!$D$18,[1]CURSOS!$E$18,(+IF($N34=[1]CURSOS!$D$19,[1]CURSOS!$E$19,(+IF($N34=[1]CURSOS!$D$20,[1]CURSOS!$E$20,(+IF($N34=[1]CURSOS!$D$21,[1]CURSOS!$E$21,(+IF($N34=[1]CURSOS!$D$22,[1]CURSOS!$E$22,(+IF($N34=[1]CURSOS!$D$23,[1]CURSOS!$E$23,(+IF($N34=[1]CURSOS!$D$24,[1]CURSOS!$E$24,(+IF($N34=[1]CURSOS!$D$25,[1]CURSOS!$E$25,(+IF($N34=[1]CURSOS!$D$26,[1]CURSOS!$E$26,(+IF($N34=[1]CURSOS!$D$27,[1]CURSOS!$E$27,(+IF($N34=[1]CURSOS!$D$28,[1]CURSOS!$E$28,(+IF($N34=[1]CURSOS!$D$29,[1]CURSOS!$E$29,(+IF($N34=[1]CURSOS!$D$30,[1]CURSOS!$E$30,(+IF($N34=[1]CURSOS!$D$31,[1]CURSOS!$E$31,(+IF($N34=[1]CURSOS!$D$32,[1]CURSOS!$E$32)))))))))))))))))))))))))))))))))))))))))))))))))))))))))))</f>
        <v xml:space="preserve">ATENCION A VICTIMAS DE VIOLENCIA SEXUAL </v>
      </c>
      <c r="T34" s="16" t="str">
        <f t="shared" si="3"/>
        <v>JENIFFER MARIANA LANDAZURI KLINGER</v>
      </c>
      <c r="U34" s="16" t="str">
        <f t="shared" si="4"/>
        <v>Jeniffer Mariana Landazuri Klinger</v>
      </c>
      <c r="V34" s="16" t="str">
        <f t="shared" si="5"/>
        <v>JENIFFER MARIANA LANDAZURI KLINGER-1010111072-VIOLENCIA SEXUAL</v>
      </c>
    </row>
    <row r="35" spans="1:22" x14ac:dyDescent="0.2">
      <c r="A35" s="16">
        <v>35</v>
      </c>
      <c r="B35" s="16">
        <v>1004638986</v>
      </c>
      <c r="C35" s="16" t="s">
        <v>112</v>
      </c>
      <c r="D35" s="16" t="s">
        <v>132</v>
      </c>
      <c r="E35" s="16" t="s">
        <v>157</v>
      </c>
      <c r="F35" s="17" t="s">
        <v>185</v>
      </c>
      <c r="G35" s="16">
        <v>13</v>
      </c>
      <c r="H35" s="16" t="s">
        <v>41</v>
      </c>
      <c r="I35" s="18">
        <v>45363</v>
      </c>
      <c r="J35" s="19">
        <v>40000</v>
      </c>
      <c r="K35" s="16" t="s">
        <v>32</v>
      </c>
      <c r="L35" s="16" t="s">
        <v>39</v>
      </c>
      <c r="M35" s="16" t="s">
        <v>204</v>
      </c>
      <c r="N35" s="16" t="s">
        <v>25</v>
      </c>
      <c r="O35" s="20" t="s">
        <v>42</v>
      </c>
      <c r="P35" s="21" t="s">
        <v>31</v>
      </c>
      <c r="Q35" s="16" t="s">
        <v>223</v>
      </c>
      <c r="R35" s="16">
        <v>3170303960</v>
      </c>
      <c r="S35" s="16" t="str">
        <f>+IF($N35=[1]CURSOS!$D$3,[1]CURSOS!$E$3,(+IF($N35=[1]CURSOS!$D$4,[1]CURSOS!$E$4,(+IF($N35=[1]CURSOS!$D$5,[1]CURSOS!$E$5,(+IF($N35=[1]CURSOS!$D$6,[1]CURSOS!$E$6,(+IF($N35=[1]CURSOS!$D$7,[1]CURSOS!$E$7,(+IF($N35=[1]CURSOS!$D$8,[1]CURSOS!$E$8,(+IF($N35=[1]CURSOS!$D$9,[1]CURSOS!$E$9,(+IF($N35=[1]CURSOS!$D$10,[1]CURSOS!$E$10,(+IF($N35=[1]CURSOS!$D$11,[1]CURSOS!$E$11,(+IF($N35=[1]CURSOS!$D$12,[1]CURSOS!$E$12,(+IF($N35=[1]CURSOS!$D$13,[1]CURSOS!$E$13,(+IF($N35=[1]CURSOS!$D$14,[1]CURSOS!$E$14,(+IF($N35=[1]CURSOS!$D$15,[1]CURSOS!$E$15,(+IF($N35=[1]CURSOS!$D$16,[1]CURSOS!$E$16,(+IF($N35=[1]CURSOS!$D$17,[1]CURSOS!$E$17,(+IF($N35=[1]CURSOS!$D$18,[1]CURSOS!$E$18,(+IF($N35=[1]CURSOS!$D$19,[1]CURSOS!$E$19,(+IF($N35=[1]CURSOS!$D$20,[1]CURSOS!$E$20,(+IF($N35=[1]CURSOS!$D$21,[1]CURSOS!$E$21,(+IF($N35=[1]CURSOS!$D$22,[1]CURSOS!$E$22,(+IF($N35=[1]CURSOS!$D$23,[1]CURSOS!$E$23,(+IF($N35=[1]CURSOS!$D$24,[1]CURSOS!$E$24,(+IF($N35=[1]CURSOS!$D$25,[1]CURSOS!$E$25,(+IF($N35=[1]CURSOS!$D$26,[1]CURSOS!$E$26,(+IF($N35=[1]CURSOS!$D$27,[1]CURSOS!$E$27,(+IF($N35=[1]CURSOS!$D$28,[1]CURSOS!$E$28,(+IF($N35=[1]CURSOS!$D$29,[1]CURSOS!$E$29,(+IF($N35=[1]CURSOS!$D$30,[1]CURSOS!$E$30,(+IF($N35=[1]CURSOS!$D$31,[1]CURSOS!$E$31,(+IF($N35=[1]CURSOS!$D$32,[1]CURSOS!$E$32)))))))))))))))))))))))))))))))))))))))))))))))))))))))))))</f>
        <v xml:space="preserve">ATENCION A VICTIMAS DE VIOLENCIA SEXUAL </v>
      </c>
      <c r="T35" s="16" t="str">
        <f t="shared" ref="T35:T66" si="6">CONCATENATE(E35," ",F35," ",C35," ",D35)</f>
        <v>NATALIA DANIELA CABEZAS CORTES</v>
      </c>
      <c r="U35" s="16" t="str">
        <f t="shared" ref="U35:U66" si="7">+PROPER(T35)</f>
        <v>Natalia Daniela Cabezas Cortes</v>
      </c>
      <c r="V35" s="16" t="str">
        <f t="shared" ref="V35:V66" si="8">CONCATENATE(T35,"-",B35,"-",N35)</f>
        <v>NATALIA DANIELA CABEZAS CORTES-1004638986-VIOLENCIA SEXUAL</v>
      </c>
    </row>
    <row r="36" spans="1:22" x14ac:dyDescent="0.2">
      <c r="A36" s="16">
        <v>36</v>
      </c>
      <c r="B36" s="16">
        <v>1087207115</v>
      </c>
      <c r="C36" s="16" t="s">
        <v>113</v>
      </c>
      <c r="D36" s="16" t="s">
        <v>139</v>
      </c>
      <c r="E36" s="16" t="s">
        <v>158</v>
      </c>
      <c r="F36" s="17" t="s">
        <v>186</v>
      </c>
      <c r="G36" s="16">
        <v>13</v>
      </c>
      <c r="H36" s="16" t="s">
        <v>41</v>
      </c>
      <c r="I36" s="18">
        <v>45363</v>
      </c>
      <c r="J36" s="19">
        <v>40000</v>
      </c>
      <c r="K36" s="16" t="s">
        <v>32</v>
      </c>
      <c r="L36" s="16" t="s">
        <v>39</v>
      </c>
      <c r="M36" s="16" t="s">
        <v>204</v>
      </c>
      <c r="N36" s="16" t="s">
        <v>25</v>
      </c>
      <c r="O36" s="20" t="s">
        <v>42</v>
      </c>
      <c r="P36" s="21" t="s">
        <v>31</v>
      </c>
      <c r="Q36" s="16" t="s">
        <v>223</v>
      </c>
      <c r="R36" s="16">
        <v>3170303961</v>
      </c>
      <c r="S36" s="16" t="str">
        <f>+IF($N36=[1]CURSOS!$D$3,[1]CURSOS!$E$3,(+IF($N36=[1]CURSOS!$D$4,[1]CURSOS!$E$4,(+IF($N36=[1]CURSOS!$D$5,[1]CURSOS!$E$5,(+IF($N36=[1]CURSOS!$D$6,[1]CURSOS!$E$6,(+IF($N36=[1]CURSOS!$D$7,[1]CURSOS!$E$7,(+IF($N36=[1]CURSOS!$D$8,[1]CURSOS!$E$8,(+IF($N36=[1]CURSOS!$D$9,[1]CURSOS!$E$9,(+IF($N36=[1]CURSOS!$D$10,[1]CURSOS!$E$10,(+IF($N36=[1]CURSOS!$D$11,[1]CURSOS!$E$11,(+IF($N36=[1]CURSOS!$D$12,[1]CURSOS!$E$12,(+IF($N36=[1]CURSOS!$D$13,[1]CURSOS!$E$13,(+IF($N36=[1]CURSOS!$D$14,[1]CURSOS!$E$14,(+IF($N36=[1]CURSOS!$D$15,[1]CURSOS!$E$15,(+IF($N36=[1]CURSOS!$D$16,[1]CURSOS!$E$16,(+IF($N36=[1]CURSOS!$D$17,[1]CURSOS!$E$17,(+IF($N36=[1]CURSOS!$D$18,[1]CURSOS!$E$18,(+IF($N36=[1]CURSOS!$D$19,[1]CURSOS!$E$19,(+IF($N36=[1]CURSOS!$D$20,[1]CURSOS!$E$20,(+IF($N36=[1]CURSOS!$D$21,[1]CURSOS!$E$21,(+IF($N36=[1]CURSOS!$D$22,[1]CURSOS!$E$22,(+IF($N36=[1]CURSOS!$D$23,[1]CURSOS!$E$23,(+IF($N36=[1]CURSOS!$D$24,[1]CURSOS!$E$24,(+IF($N36=[1]CURSOS!$D$25,[1]CURSOS!$E$25,(+IF($N36=[1]CURSOS!$D$26,[1]CURSOS!$E$26,(+IF($N36=[1]CURSOS!$D$27,[1]CURSOS!$E$27,(+IF($N36=[1]CURSOS!$D$28,[1]CURSOS!$E$28,(+IF($N36=[1]CURSOS!$D$29,[1]CURSOS!$E$29,(+IF($N36=[1]CURSOS!$D$30,[1]CURSOS!$E$30,(+IF($N36=[1]CURSOS!$D$31,[1]CURSOS!$E$31,(+IF($N36=[1]CURSOS!$D$32,[1]CURSOS!$E$32)))))))))))))))))))))))))))))))))))))))))))))))))))))))))))</f>
        <v xml:space="preserve">ATENCION A VICTIMAS DE VIOLENCIA SEXUAL </v>
      </c>
      <c r="T36" s="16" t="str">
        <f t="shared" si="6"/>
        <v>MELISSA JAZMIN ORTIZ TELLO</v>
      </c>
      <c r="U36" s="16" t="str">
        <f t="shared" si="7"/>
        <v>Melissa Jazmin Ortiz Tello</v>
      </c>
      <c r="V36" s="16" t="str">
        <f t="shared" si="8"/>
        <v>MELISSA JAZMIN ORTIZ TELLO-1087207115-VIOLENCIA SEXUAL</v>
      </c>
    </row>
    <row r="37" spans="1:22" x14ac:dyDescent="0.2">
      <c r="A37" s="16">
        <v>37</v>
      </c>
      <c r="B37" s="16">
        <v>1061803002</v>
      </c>
      <c r="C37" s="16" t="s">
        <v>114</v>
      </c>
      <c r="D37" s="16" t="s">
        <v>140</v>
      </c>
      <c r="E37" s="16" t="s">
        <v>159</v>
      </c>
      <c r="F37" s="17" t="s">
        <v>187</v>
      </c>
      <c r="G37" s="16">
        <v>13</v>
      </c>
      <c r="H37" s="16" t="s">
        <v>41</v>
      </c>
      <c r="I37" s="18">
        <v>45363</v>
      </c>
      <c r="J37" s="19">
        <v>40000</v>
      </c>
      <c r="K37" s="16" t="s">
        <v>32</v>
      </c>
      <c r="L37" s="16" t="s">
        <v>39</v>
      </c>
      <c r="M37" s="16" t="s">
        <v>204</v>
      </c>
      <c r="N37" s="16" t="s">
        <v>25</v>
      </c>
      <c r="O37" s="20" t="s">
        <v>42</v>
      </c>
      <c r="P37" s="21" t="s">
        <v>31</v>
      </c>
      <c r="Q37" s="16" t="s">
        <v>223</v>
      </c>
      <c r="R37" s="16">
        <v>3170303962</v>
      </c>
      <c r="S37" s="16" t="str">
        <f>+IF($N37=[1]CURSOS!$D$3,[1]CURSOS!$E$3,(+IF($N37=[1]CURSOS!$D$4,[1]CURSOS!$E$4,(+IF($N37=[1]CURSOS!$D$5,[1]CURSOS!$E$5,(+IF($N37=[1]CURSOS!$D$6,[1]CURSOS!$E$6,(+IF($N37=[1]CURSOS!$D$7,[1]CURSOS!$E$7,(+IF($N37=[1]CURSOS!$D$8,[1]CURSOS!$E$8,(+IF($N37=[1]CURSOS!$D$9,[1]CURSOS!$E$9,(+IF($N37=[1]CURSOS!$D$10,[1]CURSOS!$E$10,(+IF($N37=[1]CURSOS!$D$11,[1]CURSOS!$E$11,(+IF($N37=[1]CURSOS!$D$12,[1]CURSOS!$E$12,(+IF($N37=[1]CURSOS!$D$13,[1]CURSOS!$E$13,(+IF($N37=[1]CURSOS!$D$14,[1]CURSOS!$E$14,(+IF($N37=[1]CURSOS!$D$15,[1]CURSOS!$E$15,(+IF($N37=[1]CURSOS!$D$16,[1]CURSOS!$E$16,(+IF($N37=[1]CURSOS!$D$17,[1]CURSOS!$E$17,(+IF($N37=[1]CURSOS!$D$18,[1]CURSOS!$E$18,(+IF($N37=[1]CURSOS!$D$19,[1]CURSOS!$E$19,(+IF($N37=[1]CURSOS!$D$20,[1]CURSOS!$E$20,(+IF($N37=[1]CURSOS!$D$21,[1]CURSOS!$E$21,(+IF($N37=[1]CURSOS!$D$22,[1]CURSOS!$E$22,(+IF($N37=[1]CURSOS!$D$23,[1]CURSOS!$E$23,(+IF($N37=[1]CURSOS!$D$24,[1]CURSOS!$E$24,(+IF($N37=[1]CURSOS!$D$25,[1]CURSOS!$E$25,(+IF($N37=[1]CURSOS!$D$26,[1]CURSOS!$E$26,(+IF($N37=[1]CURSOS!$D$27,[1]CURSOS!$E$27,(+IF($N37=[1]CURSOS!$D$28,[1]CURSOS!$E$28,(+IF($N37=[1]CURSOS!$D$29,[1]CURSOS!$E$29,(+IF($N37=[1]CURSOS!$D$30,[1]CURSOS!$E$30,(+IF($N37=[1]CURSOS!$D$31,[1]CURSOS!$E$31,(+IF($N37=[1]CURSOS!$D$32,[1]CURSOS!$E$32)))))))))))))))))))))))))))))))))))))))))))))))))))))))))))</f>
        <v xml:space="preserve">ATENCION A VICTIMAS DE VIOLENCIA SEXUAL </v>
      </c>
      <c r="T37" s="16" t="str">
        <f t="shared" si="6"/>
        <v>ANGIE VANESSA PRADO TENORIO</v>
      </c>
      <c r="U37" s="16" t="str">
        <f t="shared" si="7"/>
        <v>Angie Vanessa Prado Tenorio</v>
      </c>
      <c r="V37" s="16" t="str">
        <f t="shared" si="8"/>
        <v>ANGIE VANESSA PRADO TENORIO-1061803002-VIOLENCIA SEXUAL</v>
      </c>
    </row>
    <row r="38" spans="1:22" x14ac:dyDescent="0.2">
      <c r="A38" s="16">
        <v>38</v>
      </c>
      <c r="B38" s="16">
        <v>1087195361</v>
      </c>
      <c r="C38" s="16" t="s">
        <v>115</v>
      </c>
      <c r="D38" s="16" t="s">
        <v>141</v>
      </c>
      <c r="E38" s="16" t="s">
        <v>160</v>
      </c>
      <c r="F38" s="17" t="s">
        <v>188</v>
      </c>
      <c r="G38" s="16">
        <v>13</v>
      </c>
      <c r="H38" s="16" t="s">
        <v>41</v>
      </c>
      <c r="I38" s="18">
        <v>45363</v>
      </c>
      <c r="J38" s="19">
        <v>26668</v>
      </c>
      <c r="K38" s="16" t="s">
        <v>32</v>
      </c>
      <c r="L38" s="16" t="s">
        <v>39</v>
      </c>
      <c r="M38" s="16" t="s">
        <v>204</v>
      </c>
      <c r="N38" s="16" t="s">
        <v>25</v>
      </c>
      <c r="O38" s="20" t="s">
        <v>42</v>
      </c>
      <c r="P38" s="21" t="s">
        <v>31</v>
      </c>
      <c r="Q38" s="16" t="s">
        <v>51</v>
      </c>
      <c r="R38" s="16">
        <v>3170303963</v>
      </c>
      <c r="S38" s="16" t="str">
        <f>+IF($N38=[1]CURSOS!$D$3,[1]CURSOS!$E$3,(+IF($N38=[1]CURSOS!$D$4,[1]CURSOS!$E$4,(+IF($N38=[1]CURSOS!$D$5,[1]CURSOS!$E$5,(+IF($N38=[1]CURSOS!$D$6,[1]CURSOS!$E$6,(+IF($N38=[1]CURSOS!$D$7,[1]CURSOS!$E$7,(+IF($N38=[1]CURSOS!$D$8,[1]CURSOS!$E$8,(+IF($N38=[1]CURSOS!$D$9,[1]CURSOS!$E$9,(+IF($N38=[1]CURSOS!$D$10,[1]CURSOS!$E$10,(+IF($N38=[1]CURSOS!$D$11,[1]CURSOS!$E$11,(+IF($N38=[1]CURSOS!$D$12,[1]CURSOS!$E$12,(+IF($N38=[1]CURSOS!$D$13,[1]CURSOS!$E$13,(+IF($N38=[1]CURSOS!$D$14,[1]CURSOS!$E$14,(+IF($N38=[1]CURSOS!$D$15,[1]CURSOS!$E$15,(+IF($N38=[1]CURSOS!$D$16,[1]CURSOS!$E$16,(+IF($N38=[1]CURSOS!$D$17,[1]CURSOS!$E$17,(+IF($N38=[1]CURSOS!$D$18,[1]CURSOS!$E$18,(+IF($N38=[1]CURSOS!$D$19,[1]CURSOS!$E$19,(+IF($N38=[1]CURSOS!$D$20,[1]CURSOS!$E$20,(+IF($N38=[1]CURSOS!$D$21,[1]CURSOS!$E$21,(+IF($N38=[1]CURSOS!$D$22,[1]CURSOS!$E$22,(+IF($N38=[1]CURSOS!$D$23,[1]CURSOS!$E$23,(+IF($N38=[1]CURSOS!$D$24,[1]CURSOS!$E$24,(+IF($N38=[1]CURSOS!$D$25,[1]CURSOS!$E$25,(+IF($N38=[1]CURSOS!$D$26,[1]CURSOS!$E$26,(+IF($N38=[1]CURSOS!$D$27,[1]CURSOS!$E$27,(+IF($N38=[1]CURSOS!$D$28,[1]CURSOS!$E$28,(+IF($N38=[1]CURSOS!$D$29,[1]CURSOS!$E$29,(+IF($N38=[1]CURSOS!$D$30,[1]CURSOS!$E$30,(+IF($N38=[1]CURSOS!$D$31,[1]CURSOS!$E$31,(+IF($N38=[1]CURSOS!$D$32,[1]CURSOS!$E$32)))))))))))))))))))))))))))))))))))))))))))))))))))))))))))</f>
        <v xml:space="preserve">ATENCION A VICTIMAS DE VIOLENCIA SEXUAL </v>
      </c>
      <c r="T38" s="16" t="str">
        <f t="shared" si="6"/>
        <v>RUBY  LILIANA  GUERRERO  RODRIGUEZ</v>
      </c>
      <c r="U38" s="16" t="str">
        <f t="shared" si="7"/>
        <v>Ruby  Liliana  Guerrero  Rodriguez</v>
      </c>
      <c r="V38" s="16" t="str">
        <f t="shared" si="8"/>
        <v>RUBY  LILIANA  GUERRERO  RODRIGUEZ-1087195361-VIOLENCIA SEXUAL</v>
      </c>
    </row>
    <row r="39" spans="1:22" x14ac:dyDescent="0.2">
      <c r="A39" s="16">
        <v>39</v>
      </c>
      <c r="B39" s="16">
        <v>1087196650</v>
      </c>
      <c r="C39" s="16" t="s">
        <v>116</v>
      </c>
      <c r="D39" s="16" t="s">
        <v>142</v>
      </c>
      <c r="E39" s="16" t="s">
        <v>161</v>
      </c>
      <c r="F39" s="17" t="s">
        <v>189</v>
      </c>
      <c r="G39" s="16">
        <v>13</v>
      </c>
      <c r="H39" s="16" t="s">
        <v>41</v>
      </c>
      <c r="I39" s="18">
        <v>45363</v>
      </c>
      <c r="J39" s="19">
        <v>26666</v>
      </c>
      <c r="K39" s="16" t="s">
        <v>32</v>
      </c>
      <c r="L39" s="16" t="s">
        <v>39</v>
      </c>
      <c r="M39" s="16" t="s">
        <v>204</v>
      </c>
      <c r="N39" s="16" t="s">
        <v>25</v>
      </c>
      <c r="O39" s="20" t="s">
        <v>42</v>
      </c>
      <c r="P39" s="21" t="s">
        <v>31</v>
      </c>
      <c r="Q39" s="16" t="s">
        <v>51</v>
      </c>
      <c r="R39" s="16">
        <v>3170303964</v>
      </c>
      <c r="S39" s="16" t="str">
        <f>+IF($N39=[1]CURSOS!$D$3,[1]CURSOS!$E$3,(+IF($N39=[1]CURSOS!$D$4,[1]CURSOS!$E$4,(+IF($N39=[1]CURSOS!$D$5,[1]CURSOS!$E$5,(+IF($N39=[1]CURSOS!$D$6,[1]CURSOS!$E$6,(+IF($N39=[1]CURSOS!$D$7,[1]CURSOS!$E$7,(+IF($N39=[1]CURSOS!$D$8,[1]CURSOS!$E$8,(+IF($N39=[1]CURSOS!$D$9,[1]CURSOS!$E$9,(+IF($N39=[1]CURSOS!$D$10,[1]CURSOS!$E$10,(+IF($N39=[1]CURSOS!$D$11,[1]CURSOS!$E$11,(+IF($N39=[1]CURSOS!$D$12,[1]CURSOS!$E$12,(+IF($N39=[1]CURSOS!$D$13,[1]CURSOS!$E$13,(+IF($N39=[1]CURSOS!$D$14,[1]CURSOS!$E$14,(+IF($N39=[1]CURSOS!$D$15,[1]CURSOS!$E$15,(+IF($N39=[1]CURSOS!$D$16,[1]CURSOS!$E$16,(+IF($N39=[1]CURSOS!$D$17,[1]CURSOS!$E$17,(+IF($N39=[1]CURSOS!$D$18,[1]CURSOS!$E$18,(+IF($N39=[1]CURSOS!$D$19,[1]CURSOS!$E$19,(+IF($N39=[1]CURSOS!$D$20,[1]CURSOS!$E$20,(+IF($N39=[1]CURSOS!$D$21,[1]CURSOS!$E$21,(+IF($N39=[1]CURSOS!$D$22,[1]CURSOS!$E$22,(+IF($N39=[1]CURSOS!$D$23,[1]CURSOS!$E$23,(+IF($N39=[1]CURSOS!$D$24,[1]CURSOS!$E$24,(+IF($N39=[1]CURSOS!$D$25,[1]CURSOS!$E$25,(+IF($N39=[1]CURSOS!$D$26,[1]CURSOS!$E$26,(+IF($N39=[1]CURSOS!$D$27,[1]CURSOS!$E$27,(+IF($N39=[1]CURSOS!$D$28,[1]CURSOS!$E$28,(+IF($N39=[1]CURSOS!$D$29,[1]CURSOS!$E$29,(+IF($N39=[1]CURSOS!$D$30,[1]CURSOS!$E$30,(+IF($N39=[1]CURSOS!$D$31,[1]CURSOS!$E$31,(+IF($N39=[1]CURSOS!$D$32,[1]CURSOS!$E$32)))))))))))))))))))))))))))))))))))))))))))))))))))))))))))</f>
        <v xml:space="preserve">ATENCION A VICTIMAS DE VIOLENCIA SEXUAL </v>
      </c>
      <c r="T39" s="16" t="str">
        <f t="shared" si="6"/>
        <v>OLGA AMPARO  HURTADO  SOLIS</v>
      </c>
      <c r="U39" s="16" t="str">
        <f t="shared" si="7"/>
        <v>Olga Amparo  Hurtado  Solis</v>
      </c>
      <c r="V39" s="16" t="str">
        <f t="shared" si="8"/>
        <v>OLGA AMPARO  HURTADO  SOLIS-1087196650-VIOLENCIA SEXUAL</v>
      </c>
    </row>
    <row r="40" spans="1:22" x14ac:dyDescent="0.2">
      <c r="A40" s="16">
        <v>40</v>
      </c>
      <c r="B40" s="16">
        <v>59671630</v>
      </c>
      <c r="C40" s="16" t="s">
        <v>117</v>
      </c>
      <c r="D40" s="16" t="s">
        <v>143</v>
      </c>
      <c r="E40" s="16" t="s">
        <v>162</v>
      </c>
      <c r="F40" s="17" t="s">
        <v>190</v>
      </c>
      <c r="G40" s="16">
        <v>13</v>
      </c>
      <c r="H40" s="16" t="s">
        <v>41</v>
      </c>
      <c r="I40" s="18">
        <v>45363</v>
      </c>
      <c r="J40" s="19">
        <v>26666</v>
      </c>
      <c r="K40" s="16" t="s">
        <v>32</v>
      </c>
      <c r="L40" s="16" t="s">
        <v>39</v>
      </c>
      <c r="M40" s="16" t="s">
        <v>204</v>
      </c>
      <c r="N40" s="16" t="s">
        <v>25</v>
      </c>
      <c r="O40" s="20" t="s">
        <v>42</v>
      </c>
      <c r="P40" s="21" t="s">
        <v>31</v>
      </c>
      <c r="Q40" s="16" t="s">
        <v>51</v>
      </c>
      <c r="R40" s="16">
        <v>3170303965</v>
      </c>
      <c r="S40" s="16" t="str">
        <f>+IF($N40=[1]CURSOS!$D$3,[1]CURSOS!$E$3,(+IF($N40=[1]CURSOS!$D$4,[1]CURSOS!$E$4,(+IF($N40=[1]CURSOS!$D$5,[1]CURSOS!$E$5,(+IF($N40=[1]CURSOS!$D$6,[1]CURSOS!$E$6,(+IF($N40=[1]CURSOS!$D$7,[1]CURSOS!$E$7,(+IF($N40=[1]CURSOS!$D$8,[1]CURSOS!$E$8,(+IF($N40=[1]CURSOS!$D$9,[1]CURSOS!$E$9,(+IF($N40=[1]CURSOS!$D$10,[1]CURSOS!$E$10,(+IF($N40=[1]CURSOS!$D$11,[1]CURSOS!$E$11,(+IF($N40=[1]CURSOS!$D$12,[1]CURSOS!$E$12,(+IF($N40=[1]CURSOS!$D$13,[1]CURSOS!$E$13,(+IF($N40=[1]CURSOS!$D$14,[1]CURSOS!$E$14,(+IF($N40=[1]CURSOS!$D$15,[1]CURSOS!$E$15,(+IF($N40=[1]CURSOS!$D$16,[1]CURSOS!$E$16,(+IF($N40=[1]CURSOS!$D$17,[1]CURSOS!$E$17,(+IF($N40=[1]CURSOS!$D$18,[1]CURSOS!$E$18,(+IF($N40=[1]CURSOS!$D$19,[1]CURSOS!$E$19,(+IF($N40=[1]CURSOS!$D$20,[1]CURSOS!$E$20,(+IF($N40=[1]CURSOS!$D$21,[1]CURSOS!$E$21,(+IF($N40=[1]CURSOS!$D$22,[1]CURSOS!$E$22,(+IF($N40=[1]CURSOS!$D$23,[1]CURSOS!$E$23,(+IF($N40=[1]CURSOS!$D$24,[1]CURSOS!$E$24,(+IF($N40=[1]CURSOS!$D$25,[1]CURSOS!$E$25,(+IF($N40=[1]CURSOS!$D$26,[1]CURSOS!$E$26,(+IF($N40=[1]CURSOS!$D$27,[1]CURSOS!$E$27,(+IF($N40=[1]CURSOS!$D$28,[1]CURSOS!$E$28,(+IF($N40=[1]CURSOS!$D$29,[1]CURSOS!$E$29,(+IF($N40=[1]CURSOS!$D$30,[1]CURSOS!$E$30,(+IF($N40=[1]CURSOS!$D$31,[1]CURSOS!$E$31,(+IF($N40=[1]CURSOS!$D$32,[1]CURSOS!$E$32)))))))))))))))))))))))))))))))))))))))))))))))))))))))))))</f>
        <v xml:space="preserve">ATENCION A VICTIMAS DE VIOLENCIA SEXUAL </v>
      </c>
      <c r="T40" s="16" t="str">
        <f t="shared" si="6"/>
        <v>TOMASA MARIELA DE LA CRUZ OROBIO</v>
      </c>
      <c r="U40" s="16" t="str">
        <f t="shared" si="7"/>
        <v>Tomasa Mariela De La Cruz Orobio</v>
      </c>
      <c r="V40" s="16" t="str">
        <f t="shared" si="8"/>
        <v>TOMASA MARIELA DE LA CRUZ OROBIO-59671630-VIOLENCIA SEXUAL</v>
      </c>
    </row>
    <row r="41" spans="1:22" x14ac:dyDescent="0.2">
      <c r="A41" s="16">
        <v>41</v>
      </c>
      <c r="B41" s="16">
        <v>1193244176</v>
      </c>
      <c r="C41" s="16" t="s">
        <v>118</v>
      </c>
      <c r="D41" s="16" t="s">
        <v>144</v>
      </c>
      <c r="E41" s="16" t="s">
        <v>163</v>
      </c>
      <c r="F41" s="17" t="s">
        <v>191</v>
      </c>
      <c r="G41" s="16">
        <v>13</v>
      </c>
      <c r="H41" s="16" t="s">
        <v>41</v>
      </c>
      <c r="I41" s="18">
        <v>45363</v>
      </c>
      <c r="J41" s="19">
        <v>26668</v>
      </c>
      <c r="K41" s="16" t="s">
        <v>32</v>
      </c>
      <c r="L41" s="16" t="s">
        <v>39</v>
      </c>
      <c r="M41" s="16" t="s">
        <v>204</v>
      </c>
      <c r="N41" s="16" t="s">
        <v>25</v>
      </c>
      <c r="O41" s="20" t="s">
        <v>42</v>
      </c>
      <c r="P41" s="21" t="s">
        <v>31</v>
      </c>
      <c r="Q41" s="16" t="s">
        <v>51</v>
      </c>
      <c r="R41" s="16">
        <v>3170303966</v>
      </c>
      <c r="S41" s="16" t="str">
        <f>+IF($N41=[1]CURSOS!$D$3,[1]CURSOS!$E$3,(+IF($N41=[1]CURSOS!$D$4,[1]CURSOS!$E$4,(+IF($N41=[1]CURSOS!$D$5,[1]CURSOS!$E$5,(+IF($N41=[1]CURSOS!$D$6,[1]CURSOS!$E$6,(+IF($N41=[1]CURSOS!$D$7,[1]CURSOS!$E$7,(+IF($N41=[1]CURSOS!$D$8,[1]CURSOS!$E$8,(+IF($N41=[1]CURSOS!$D$9,[1]CURSOS!$E$9,(+IF($N41=[1]CURSOS!$D$10,[1]CURSOS!$E$10,(+IF($N41=[1]CURSOS!$D$11,[1]CURSOS!$E$11,(+IF($N41=[1]CURSOS!$D$12,[1]CURSOS!$E$12,(+IF($N41=[1]CURSOS!$D$13,[1]CURSOS!$E$13,(+IF($N41=[1]CURSOS!$D$14,[1]CURSOS!$E$14,(+IF($N41=[1]CURSOS!$D$15,[1]CURSOS!$E$15,(+IF($N41=[1]CURSOS!$D$16,[1]CURSOS!$E$16,(+IF($N41=[1]CURSOS!$D$17,[1]CURSOS!$E$17,(+IF($N41=[1]CURSOS!$D$18,[1]CURSOS!$E$18,(+IF($N41=[1]CURSOS!$D$19,[1]CURSOS!$E$19,(+IF($N41=[1]CURSOS!$D$20,[1]CURSOS!$E$20,(+IF($N41=[1]CURSOS!$D$21,[1]CURSOS!$E$21,(+IF($N41=[1]CURSOS!$D$22,[1]CURSOS!$E$22,(+IF($N41=[1]CURSOS!$D$23,[1]CURSOS!$E$23,(+IF($N41=[1]CURSOS!$D$24,[1]CURSOS!$E$24,(+IF($N41=[1]CURSOS!$D$25,[1]CURSOS!$E$25,(+IF($N41=[1]CURSOS!$D$26,[1]CURSOS!$E$26,(+IF($N41=[1]CURSOS!$D$27,[1]CURSOS!$E$27,(+IF($N41=[1]CURSOS!$D$28,[1]CURSOS!$E$28,(+IF($N41=[1]CURSOS!$D$29,[1]CURSOS!$E$29,(+IF($N41=[1]CURSOS!$D$30,[1]CURSOS!$E$30,(+IF($N41=[1]CURSOS!$D$31,[1]CURSOS!$E$31,(+IF($N41=[1]CURSOS!$D$32,[1]CURSOS!$E$32)))))))))))))))))))))))))))))))))))))))))))))))))))))))))))</f>
        <v xml:space="preserve">ATENCION A VICTIMAS DE VIOLENCIA SEXUAL </v>
      </c>
      <c r="T41" s="16" t="str">
        <f t="shared" si="6"/>
        <v>LULY DEL MAR ANGULO  QUIÑONEZ</v>
      </c>
      <c r="U41" s="16" t="str">
        <f t="shared" si="7"/>
        <v>Luly Del Mar Angulo  Quiñonez</v>
      </c>
      <c r="V41" s="16" t="str">
        <f t="shared" si="8"/>
        <v>LULY DEL MAR ANGULO  QUIÑONEZ-1193244176-VIOLENCIA SEXUAL</v>
      </c>
    </row>
    <row r="42" spans="1:22" x14ac:dyDescent="0.2">
      <c r="A42" s="16">
        <v>42</v>
      </c>
      <c r="B42" s="16">
        <v>59667578</v>
      </c>
      <c r="C42" s="16" t="s">
        <v>119</v>
      </c>
      <c r="D42" s="16" t="s">
        <v>118</v>
      </c>
      <c r="E42" s="16" t="s">
        <v>164</v>
      </c>
      <c r="F42" s="17" t="s">
        <v>192</v>
      </c>
      <c r="G42" s="16">
        <v>13</v>
      </c>
      <c r="H42" s="16" t="s">
        <v>41</v>
      </c>
      <c r="I42" s="18">
        <v>45363</v>
      </c>
      <c r="J42" s="19">
        <v>26666</v>
      </c>
      <c r="K42" s="16" t="s">
        <v>32</v>
      </c>
      <c r="L42" s="16" t="s">
        <v>39</v>
      </c>
      <c r="M42" s="16" t="s">
        <v>204</v>
      </c>
      <c r="N42" s="16" t="s">
        <v>25</v>
      </c>
      <c r="O42" s="20" t="s">
        <v>42</v>
      </c>
      <c r="P42" s="21" t="s">
        <v>31</v>
      </c>
      <c r="Q42" s="16" t="s">
        <v>51</v>
      </c>
      <c r="R42" s="16">
        <v>3170303967</v>
      </c>
      <c r="S42" s="16" t="str">
        <f>+IF($N42=[1]CURSOS!$D$3,[1]CURSOS!$E$3,(+IF($N42=[1]CURSOS!$D$4,[1]CURSOS!$E$4,(+IF($N42=[1]CURSOS!$D$5,[1]CURSOS!$E$5,(+IF($N42=[1]CURSOS!$D$6,[1]CURSOS!$E$6,(+IF($N42=[1]CURSOS!$D$7,[1]CURSOS!$E$7,(+IF($N42=[1]CURSOS!$D$8,[1]CURSOS!$E$8,(+IF($N42=[1]CURSOS!$D$9,[1]CURSOS!$E$9,(+IF($N42=[1]CURSOS!$D$10,[1]CURSOS!$E$10,(+IF($N42=[1]CURSOS!$D$11,[1]CURSOS!$E$11,(+IF($N42=[1]CURSOS!$D$12,[1]CURSOS!$E$12,(+IF($N42=[1]CURSOS!$D$13,[1]CURSOS!$E$13,(+IF($N42=[1]CURSOS!$D$14,[1]CURSOS!$E$14,(+IF($N42=[1]CURSOS!$D$15,[1]CURSOS!$E$15,(+IF($N42=[1]CURSOS!$D$16,[1]CURSOS!$E$16,(+IF($N42=[1]CURSOS!$D$17,[1]CURSOS!$E$17,(+IF($N42=[1]CURSOS!$D$18,[1]CURSOS!$E$18,(+IF($N42=[1]CURSOS!$D$19,[1]CURSOS!$E$19,(+IF($N42=[1]CURSOS!$D$20,[1]CURSOS!$E$20,(+IF($N42=[1]CURSOS!$D$21,[1]CURSOS!$E$21,(+IF($N42=[1]CURSOS!$D$22,[1]CURSOS!$E$22,(+IF($N42=[1]CURSOS!$D$23,[1]CURSOS!$E$23,(+IF($N42=[1]CURSOS!$D$24,[1]CURSOS!$E$24,(+IF($N42=[1]CURSOS!$D$25,[1]CURSOS!$E$25,(+IF($N42=[1]CURSOS!$D$26,[1]CURSOS!$E$26,(+IF($N42=[1]CURSOS!$D$27,[1]CURSOS!$E$27,(+IF($N42=[1]CURSOS!$D$28,[1]CURSOS!$E$28,(+IF($N42=[1]CURSOS!$D$29,[1]CURSOS!$E$29,(+IF($N42=[1]CURSOS!$D$30,[1]CURSOS!$E$30,(+IF($N42=[1]CURSOS!$D$31,[1]CURSOS!$E$31,(+IF($N42=[1]CURSOS!$D$32,[1]CURSOS!$E$32)))))))))))))))))))))))))))))))))))))))))))))))))))))))))))</f>
        <v xml:space="preserve">ATENCION A VICTIMAS DE VIOLENCIA SEXUAL </v>
      </c>
      <c r="T42" s="16" t="str">
        <f t="shared" si="6"/>
        <v xml:space="preserve">MERCEDES  INES BANGUERA ANGULO </v>
      </c>
      <c r="U42" s="16" t="str">
        <f t="shared" si="7"/>
        <v xml:space="preserve">Mercedes  Ines Banguera Angulo </v>
      </c>
      <c r="V42" s="16" t="str">
        <f t="shared" si="8"/>
        <v>MERCEDES  INES BANGUERA ANGULO -59667578-VIOLENCIA SEXUAL</v>
      </c>
    </row>
    <row r="43" spans="1:22" x14ac:dyDescent="0.2">
      <c r="A43" s="16">
        <v>43</v>
      </c>
      <c r="B43" s="16">
        <v>1085285412</v>
      </c>
      <c r="C43" s="16" t="s">
        <v>120</v>
      </c>
      <c r="D43" s="16" t="s">
        <v>137</v>
      </c>
      <c r="E43" s="16" t="s">
        <v>165</v>
      </c>
      <c r="F43" s="17" t="s">
        <v>193</v>
      </c>
      <c r="G43" s="16">
        <v>13</v>
      </c>
      <c r="H43" s="16" t="s">
        <v>41</v>
      </c>
      <c r="I43" s="18">
        <v>45363</v>
      </c>
      <c r="J43" s="19">
        <v>26666</v>
      </c>
      <c r="K43" s="16" t="s">
        <v>32</v>
      </c>
      <c r="L43" s="16" t="s">
        <v>39</v>
      </c>
      <c r="M43" s="16" t="s">
        <v>204</v>
      </c>
      <c r="N43" s="16" t="s">
        <v>25</v>
      </c>
      <c r="O43" s="20" t="s">
        <v>42</v>
      </c>
      <c r="P43" s="21" t="s">
        <v>31</v>
      </c>
      <c r="Q43" s="16" t="s">
        <v>51</v>
      </c>
      <c r="R43" s="16">
        <v>3170303968</v>
      </c>
      <c r="S43" s="16" t="str">
        <f>+IF($N43=[1]CURSOS!$D$3,[1]CURSOS!$E$3,(+IF($N43=[1]CURSOS!$D$4,[1]CURSOS!$E$4,(+IF($N43=[1]CURSOS!$D$5,[1]CURSOS!$E$5,(+IF($N43=[1]CURSOS!$D$6,[1]CURSOS!$E$6,(+IF($N43=[1]CURSOS!$D$7,[1]CURSOS!$E$7,(+IF($N43=[1]CURSOS!$D$8,[1]CURSOS!$E$8,(+IF($N43=[1]CURSOS!$D$9,[1]CURSOS!$E$9,(+IF($N43=[1]CURSOS!$D$10,[1]CURSOS!$E$10,(+IF($N43=[1]CURSOS!$D$11,[1]CURSOS!$E$11,(+IF($N43=[1]CURSOS!$D$12,[1]CURSOS!$E$12,(+IF($N43=[1]CURSOS!$D$13,[1]CURSOS!$E$13,(+IF($N43=[1]CURSOS!$D$14,[1]CURSOS!$E$14,(+IF($N43=[1]CURSOS!$D$15,[1]CURSOS!$E$15,(+IF($N43=[1]CURSOS!$D$16,[1]CURSOS!$E$16,(+IF($N43=[1]CURSOS!$D$17,[1]CURSOS!$E$17,(+IF($N43=[1]CURSOS!$D$18,[1]CURSOS!$E$18,(+IF($N43=[1]CURSOS!$D$19,[1]CURSOS!$E$19,(+IF($N43=[1]CURSOS!$D$20,[1]CURSOS!$E$20,(+IF($N43=[1]CURSOS!$D$21,[1]CURSOS!$E$21,(+IF($N43=[1]CURSOS!$D$22,[1]CURSOS!$E$22,(+IF($N43=[1]CURSOS!$D$23,[1]CURSOS!$E$23,(+IF($N43=[1]CURSOS!$D$24,[1]CURSOS!$E$24,(+IF($N43=[1]CURSOS!$D$25,[1]CURSOS!$E$25,(+IF($N43=[1]CURSOS!$D$26,[1]CURSOS!$E$26,(+IF($N43=[1]CURSOS!$D$27,[1]CURSOS!$E$27,(+IF($N43=[1]CURSOS!$D$28,[1]CURSOS!$E$28,(+IF($N43=[1]CURSOS!$D$29,[1]CURSOS!$E$29,(+IF($N43=[1]CURSOS!$D$30,[1]CURSOS!$E$30,(+IF($N43=[1]CURSOS!$D$31,[1]CURSOS!$E$31,(+IF($N43=[1]CURSOS!$D$32,[1]CURSOS!$E$32)))))))))))))))))))))))))))))))))))))))))))))))))))))))))))</f>
        <v xml:space="preserve">ATENCION A VICTIMAS DE VIOLENCIA SEXUAL </v>
      </c>
      <c r="T43" s="16" t="str">
        <f t="shared" si="6"/>
        <v>VERONICA  SORLAY VILLA  CASTILLO</v>
      </c>
      <c r="U43" s="16" t="str">
        <f t="shared" si="7"/>
        <v>Veronica  Sorlay Villa  Castillo</v>
      </c>
      <c r="V43" s="16" t="str">
        <f t="shared" si="8"/>
        <v>VERONICA  SORLAY VILLA  CASTILLO-1085285412-VIOLENCIA SEXUAL</v>
      </c>
    </row>
    <row r="44" spans="1:22" x14ac:dyDescent="0.2">
      <c r="A44" s="16">
        <v>44</v>
      </c>
      <c r="B44" s="16">
        <v>1087786090</v>
      </c>
      <c r="C44" s="16" t="s">
        <v>121</v>
      </c>
      <c r="D44" s="16" t="s">
        <v>104</v>
      </c>
      <c r="E44" s="16" t="s">
        <v>166</v>
      </c>
      <c r="F44" s="17" t="s">
        <v>153</v>
      </c>
      <c r="G44" s="16">
        <v>13</v>
      </c>
      <c r="H44" s="16" t="s">
        <v>41</v>
      </c>
      <c r="I44" s="18">
        <v>45363</v>
      </c>
      <c r="J44" s="19">
        <v>26668</v>
      </c>
      <c r="K44" s="16" t="s">
        <v>32</v>
      </c>
      <c r="L44" s="16" t="s">
        <v>39</v>
      </c>
      <c r="M44" s="16" t="s">
        <v>204</v>
      </c>
      <c r="N44" s="16" t="s">
        <v>25</v>
      </c>
      <c r="O44" s="20" t="s">
        <v>42</v>
      </c>
      <c r="P44" s="21" t="s">
        <v>83</v>
      </c>
      <c r="Q44" s="16" t="s">
        <v>51</v>
      </c>
      <c r="R44" s="16">
        <v>3170303969</v>
      </c>
      <c r="S44" s="16" t="str">
        <f>+IF($N44=[1]CURSOS!$D$3,[1]CURSOS!$E$3,(+IF($N44=[1]CURSOS!$D$4,[1]CURSOS!$E$4,(+IF($N44=[1]CURSOS!$D$5,[1]CURSOS!$E$5,(+IF($N44=[1]CURSOS!$D$6,[1]CURSOS!$E$6,(+IF($N44=[1]CURSOS!$D$7,[1]CURSOS!$E$7,(+IF($N44=[1]CURSOS!$D$8,[1]CURSOS!$E$8,(+IF($N44=[1]CURSOS!$D$9,[1]CURSOS!$E$9,(+IF($N44=[1]CURSOS!$D$10,[1]CURSOS!$E$10,(+IF($N44=[1]CURSOS!$D$11,[1]CURSOS!$E$11,(+IF($N44=[1]CURSOS!$D$12,[1]CURSOS!$E$12,(+IF($N44=[1]CURSOS!$D$13,[1]CURSOS!$E$13,(+IF($N44=[1]CURSOS!$D$14,[1]CURSOS!$E$14,(+IF($N44=[1]CURSOS!$D$15,[1]CURSOS!$E$15,(+IF($N44=[1]CURSOS!$D$16,[1]CURSOS!$E$16,(+IF($N44=[1]CURSOS!$D$17,[1]CURSOS!$E$17,(+IF($N44=[1]CURSOS!$D$18,[1]CURSOS!$E$18,(+IF($N44=[1]CURSOS!$D$19,[1]CURSOS!$E$19,(+IF($N44=[1]CURSOS!$D$20,[1]CURSOS!$E$20,(+IF($N44=[1]CURSOS!$D$21,[1]CURSOS!$E$21,(+IF($N44=[1]CURSOS!$D$22,[1]CURSOS!$E$22,(+IF($N44=[1]CURSOS!$D$23,[1]CURSOS!$E$23,(+IF($N44=[1]CURSOS!$D$24,[1]CURSOS!$E$24,(+IF($N44=[1]CURSOS!$D$25,[1]CURSOS!$E$25,(+IF($N44=[1]CURSOS!$D$26,[1]CURSOS!$E$26,(+IF($N44=[1]CURSOS!$D$27,[1]CURSOS!$E$27,(+IF($N44=[1]CURSOS!$D$28,[1]CURSOS!$E$28,(+IF($N44=[1]CURSOS!$D$29,[1]CURSOS!$E$29,(+IF($N44=[1]CURSOS!$D$30,[1]CURSOS!$E$30,(+IF($N44=[1]CURSOS!$D$31,[1]CURSOS!$E$31,(+IF($N44=[1]CURSOS!$D$32,[1]CURSOS!$E$32)))))))))))))))))))))))))))))))))))))))))))))))))))))))))))</f>
        <v xml:space="preserve">ATENCION A VICTIMAS DE VIOLENCIA SEXUAL </v>
      </c>
      <c r="T44" s="16" t="str">
        <f t="shared" si="6"/>
        <v>MARIA JOSE CAMPAZ VALENCIA</v>
      </c>
      <c r="U44" s="16" t="str">
        <f t="shared" si="7"/>
        <v>Maria Jose Campaz Valencia</v>
      </c>
      <c r="V44" s="16" t="str">
        <f t="shared" si="8"/>
        <v>MARIA JOSE CAMPAZ VALENCIA-1087786090-VIOLENCIA SEXUAL</v>
      </c>
    </row>
    <row r="45" spans="1:22" x14ac:dyDescent="0.2">
      <c r="A45" s="16">
        <v>45</v>
      </c>
      <c r="B45" s="16">
        <v>1006465244</v>
      </c>
      <c r="C45" s="16" t="s">
        <v>122</v>
      </c>
      <c r="D45" s="16" t="s">
        <v>145</v>
      </c>
      <c r="E45" s="16" t="s">
        <v>167</v>
      </c>
      <c r="F45" s="17" t="s">
        <v>194</v>
      </c>
      <c r="G45" s="16">
        <v>13</v>
      </c>
      <c r="H45" s="16" t="s">
        <v>41</v>
      </c>
      <c r="I45" s="18">
        <v>45363</v>
      </c>
      <c r="J45" s="19">
        <v>26666</v>
      </c>
      <c r="K45" s="16" t="s">
        <v>32</v>
      </c>
      <c r="L45" s="16" t="s">
        <v>39</v>
      </c>
      <c r="M45" s="16" t="s">
        <v>204</v>
      </c>
      <c r="N45" s="16" t="s">
        <v>25</v>
      </c>
      <c r="O45" s="20" t="s">
        <v>42</v>
      </c>
      <c r="P45" s="21" t="s">
        <v>31</v>
      </c>
      <c r="Q45" s="16" t="s">
        <v>51</v>
      </c>
      <c r="R45" s="16">
        <v>3170303970</v>
      </c>
      <c r="S45" s="16" t="str">
        <f>+IF($N45=[1]CURSOS!$D$3,[1]CURSOS!$E$3,(+IF($N45=[1]CURSOS!$D$4,[1]CURSOS!$E$4,(+IF($N45=[1]CURSOS!$D$5,[1]CURSOS!$E$5,(+IF($N45=[1]CURSOS!$D$6,[1]CURSOS!$E$6,(+IF($N45=[1]CURSOS!$D$7,[1]CURSOS!$E$7,(+IF($N45=[1]CURSOS!$D$8,[1]CURSOS!$E$8,(+IF($N45=[1]CURSOS!$D$9,[1]CURSOS!$E$9,(+IF($N45=[1]CURSOS!$D$10,[1]CURSOS!$E$10,(+IF($N45=[1]CURSOS!$D$11,[1]CURSOS!$E$11,(+IF($N45=[1]CURSOS!$D$12,[1]CURSOS!$E$12,(+IF($N45=[1]CURSOS!$D$13,[1]CURSOS!$E$13,(+IF($N45=[1]CURSOS!$D$14,[1]CURSOS!$E$14,(+IF($N45=[1]CURSOS!$D$15,[1]CURSOS!$E$15,(+IF($N45=[1]CURSOS!$D$16,[1]CURSOS!$E$16,(+IF($N45=[1]CURSOS!$D$17,[1]CURSOS!$E$17,(+IF($N45=[1]CURSOS!$D$18,[1]CURSOS!$E$18,(+IF($N45=[1]CURSOS!$D$19,[1]CURSOS!$E$19,(+IF($N45=[1]CURSOS!$D$20,[1]CURSOS!$E$20,(+IF($N45=[1]CURSOS!$D$21,[1]CURSOS!$E$21,(+IF($N45=[1]CURSOS!$D$22,[1]CURSOS!$E$22,(+IF($N45=[1]CURSOS!$D$23,[1]CURSOS!$E$23,(+IF($N45=[1]CURSOS!$D$24,[1]CURSOS!$E$24,(+IF($N45=[1]CURSOS!$D$25,[1]CURSOS!$E$25,(+IF($N45=[1]CURSOS!$D$26,[1]CURSOS!$E$26,(+IF($N45=[1]CURSOS!$D$27,[1]CURSOS!$E$27,(+IF($N45=[1]CURSOS!$D$28,[1]CURSOS!$E$28,(+IF($N45=[1]CURSOS!$D$29,[1]CURSOS!$E$29,(+IF($N45=[1]CURSOS!$D$30,[1]CURSOS!$E$30,(+IF($N45=[1]CURSOS!$D$31,[1]CURSOS!$E$31,(+IF($N45=[1]CURSOS!$D$32,[1]CURSOS!$E$32)))))))))))))))))))))))))))))))))))))))))))))))))))))))))))</f>
        <v xml:space="preserve">ATENCION A VICTIMAS DE VIOLENCIA SEXUAL </v>
      </c>
      <c r="T45" s="16" t="str">
        <f t="shared" si="6"/>
        <v>KEVIN  ANDRES ARBOLEDA  CORTEZ</v>
      </c>
      <c r="U45" s="16" t="str">
        <f t="shared" si="7"/>
        <v>Kevin  Andres Arboleda  Cortez</v>
      </c>
      <c r="V45" s="16" t="str">
        <f t="shared" si="8"/>
        <v>KEVIN  ANDRES ARBOLEDA  CORTEZ-1006465244-VIOLENCIA SEXUAL</v>
      </c>
    </row>
    <row r="46" spans="1:22" x14ac:dyDescent="0.2">
      <c r="A46" s="16">
        <v>46</v>
      </c>
      <c r="B46" s="16">
        <v>1087114485</v>
      </c>
      <c r="C46" s="16" t="s">
        <v>123</v>
      </c>
      <c r="D46" s="16" t="s">
        <v>146</v>
      </c>
      <c r="E46" s="16" t="s">
        <v>168</v>
      </c>
      <c r="F46" s="17" t="s">
        <v>195</v>
      </c>
      <c r="G46" s="16">
        <v>13</v>
      </c>
      <c r="H46" s="16" t="s">
        <v>41</v>
      </c>
      <c r="I46" s="18">
        <v>45363</v>
      </c>
      <c r="J46" s="19">
        <v>26666</v>
      </c>
      <c r="K46" s="16" t="s">
        <v>32</v>
      </c>
      <c r="L46" s="16" t="s">
        <v>39</v>
      </c>
      <c r="M46" s="16" t="s">
        <v>204</v>
      </c>
      <c r="N46" s="16" t="s">
        <v>25</v>
      </c>
      <c r="O46" s="20" t="s">
        <v>42</v>
      </c>
      <c r="P46" s="21" t="s">
        <v>31</v>
      </c>
      <c r="Q46" s="16" t="s">
        <v>51</v>
      </c>
      <c r="R46" s="16">
        <v>3170303971</v>
      </c>
      <c r="S46" s="16" t="str">
        <f>+IF($N46=[1]CURSOS!$D$3,[1]CURSOS!$E$3,(+IF($N46=[1]CURSOS!$D$4,[1]CURSOS!$E$4,(+IF($N46=[1]CURSOS!$D$5,[1]CURSOS!$E$5,(+IF($N46=[1]CURSOS!$D$6,[1]CURSOS!$E$6,(+IF($N46=[1]CURSOS!$D$7,[1]CURSOS!$E$7,(+IF($N46=[1]CURSOS!$D$8,[1]CURSOS!$E$8,(+IF($N46=[1]CURSOS!$D$9,[1]CURSOS!$E$9,(+IF($N46=[1]CURSOS!$D$10,[1]CURSOS!$E$10,(+IF($N46=[1]CURSOS!$D$11,[1]CURSOS!$E$11,(+IF($N46=[1]CURSOS!$D$12,[1]CURSOS!$E$12,(+IF($N46=[1]CURSOS!$D$13,[1]CURSOS!$E$13,(+IF($N46=[1]CURSOS!$D$14,[1]CURSOS!$E$14,(+IF($N46=[1]CURSOS!$D$15,[1]CURSOS!$E$15,(+IF($N46=[1]CURSOS!$D$16,[1]CURSOS!$E$16,(+IF($N46=[1]CURSOS!$D$17,[1]CURSOS!$E$17,(+IF($N46=[1]CURSOS!$D$18,[1]CURSOS!$E$18,(+IF($N46=[1]CURSOS!$D$19,[1]CURSOS!$E$19,(+IF($N46=[1]CURSOS!$D$20,[1]CURSOS!$E$20,(+IF($N46=[1]CURSOS!$D$21,[1]CURSOS!$E$21,(+IF($N46=[1]CURSOS!$D$22,[1]CURSOS!$E$22,(+IF($N46=[1]CURSOS!$D$23,[1]CURSOS!$E$23,(+IF($N46=[1]CURSOS!$D$24,[1]CURSOS!$E$24,(+IF($N46=[1]CURSOS!$D$25,[1]CURSOS!$E$25,(+IF($N46=[1]CURSOS!$D$26,[1]CURSOS!$E$26,(+IF($N46=[1]CURSOS!$D$27,[1]CURSOS!$E$27,(+IF($N46=[1]CURSOS!$D$28,[1]CURSOS!$E$28,(+IF($N46=[1]CURSOS!$D$29,[1]CURSOS!$E$29,(+IF($N46=[1]CURSOS!$D$30,[1]CURSOS!$E$30,(+IF($N46=[1]CURSOS!$D$31,[1]CURSOS!$E$31,(+IF($N46=[1]CURSOS!$D$32,[1]CURSOS!$E$32)))))))))))))))))))))))))))))))))))))))))))))))))))))))))))</f>
        <v xml:space="preserve">ATENCION A VICTIMAS DE VIOLENCIA SEXUAL </v>
      </c>
      <c r="T46" s="16" t="str">
        <f t="shared" si="6"/>
        <v>MARYURI TATIANA RACINES  DIAZ</v>
      </c>
      <c r="U46" s="16" t="str">
        <f t="shared" si="7"/>
        <v>Maryuri Tatiana Racines  Diaz</v>
      </c>
      <c r="V46" s="16" t="str">
        <f t="shared" si="8"/>
        <v>MARYURI TATIANA RACINES  DIAZ-1087114485-VIOLENCIA SEXUAL</v>
      </c>
    </row>
    <row r="47" spans="1:22" x14ac:dyDescent="0.2">
      <c r="A47" s="16">
        <v>47</v>
      </c>
      <c r="B47" s="16">
        <v>1085260722</v>
      </c>
      <c r="C47" s="16" t="s">
        <v>124</v>
      </c>
      <c r="D47" s="16" t="s">
        <v>135</v>
      </c>
      <c r="E47" s="16" t="s">
        <v>169</v>
      </c>
      <c r="F47" s="17" t="s">
        <v>196</v>
      </c>
      <c r="G47" s="16">
        <v>13</v>
      </c>
      <c r="H47" s="16" t="s">
        <v>41</v>
      </c>
      <c r="I47" s="18">
        <v>45363</v>
      </c>
      <c r="J47" s="19">
        <v>26668</v>
      </c>
      <c r="K47" s="16" t="s">
        <v>32</v>
      </c>
      <c r="L47" s="16" t="s">
        <v>39</v>
      </c>
      <c r="M47" s="16" t="s">
        <v>204</v>
      </c>
      <c r="N47" s="16" t="s">
        <v>25</v>
      </c>
      <c r="O47" s="20" t="s">
        <v>42</v>
      </c>
      <c r="P47" s="21" t="s">
        <v>31</v>
      </c>
      <c r="Q47" s="16" t="s">
        <v>51</v>
      </c>
      <c r="R47" s="16">
        <v>3170303972</v>
      </c>
      <c r="S47" s="16" t="str">
        <f>+IF($N47=[1]CURSOS!$D$3,[1]CURSOS!$E$3,(+IF($N47=[1]CURSOS!$D$4,[1]CURSOS!$E$4,(+IF($N47=[1]CURSOS!$D$5,[1]CURSOS!$E$5,(+IF($N47=[1]CURSOS!$D$6,[1]CURSOS!$E$6,(+IF($N47=[1]CURSOS!$D$7,[1]CURSOS!$E$7,(+IF($N47=[1]CURSOS!$D$8,[1]CURSOS!$E$8,(+IF($N47=[1]CURSOS!$D$9,[1]CURSOS!$E$9,(+IF($N47=[1]CURSOS!$D$10,[1]CURSOS!$E$10,(+IF($N47=[1]CURSOS!$D$11,[1]CURSOS!$E$11,(+IF($N47=[1]CURSOS!$D$12,[1]CURSOS!$E$12,(+IF($N47=[1]CURSOS!$D$13,[1]CURSOS!$E$13,(+IF($N47=[1]CURSOS!$D$14,[1]CURSOS!$E$14,(+IF($N47=[1]CURSOS!$D$15,[1]CURSOS!$E$15,(+IF($N47=[1]CURSOS!$D$16,[1]CURSOS!$E$16,(+IF($N47=[1]CURSOS!$D$17,[1]CURSOS!$E$17,(+IF($N47=[1]CURSOS!$D$18,[1]CURSOS!$E$18,(+IF($N47=[1]CURSOS!$D$19,[1]CURSOS!$E$19,(+IF($N47=[1]CURSOS!$D$20,[1]CURSOS!$E$20,(+IF($N47=[1]CURSOS!$D$21,[1]CURSOS!$E$21,(+IF($N47=[1]CURSOS!$D$22,[1]CURSOS!$E$22,(+IF($N47=[1]CURSOS!$D$23,[1]CURSOS!$E$23,(+IF($N47=[1]CURSOS!$D$24,[1]CURSOS!$E$24,(+IF($N47=[1]CURSOS!$D$25,[1]CURSOS!$E$25,(+IF($N47=[1]CURSOS!$D$26,[1]CURSOS!$E$26,(+IF($N47=[1]CURSOS!$D$27,[1]CURSOS!$E$27,(+IF($N47=[1]CURSOS!$D$28,[1]CURSOS!$E$28,(+IF($N47=[1]CURSOS!$D$29,[1]CURSOS!$E$29,(+IF($N47=[1]CURSOS!$D$30,[1]CURSOS!$E$30,(+IF($N47=[1]CURSOS!$D$31,[1]CURSOS!$E$31,(+IF($N47=[1]CURSOS!$D$32,[1]CURSOS!$E$32)))))))))))))))))))))))))))))))))))))))))))))))))))))))))))</f>
        <v xml:space="preserve">ATENCION A VICTIMAS DE VIOLENCIA SEXUAL </v>
      </c>
      <c r="T47" s="16" t="str">
        <f t="shared" si="6"/>
        <v>INGRID  DEL SOCORRO RINCON  CUERO</v>
      </c>
      <c r="U47" s="16" t="str">
        <f t="shared" si="7"/>
        <v>Ingrid  Del Socorro Rincon  Cuero</v>
      </c>
      <c r="V47" s="16" t="str">
        <f t="shared" si="8"/>
        <v>INGRID  DEL SOCORRO RINCON  CUERO-1085260722-VIOLENCIA SEXUAL</v>
      </c>
    </row>
    <row r="48" spans="1:22" x14ac:dyDescent="0.2">
      <c r="A48" s="16">
        <v>48</v>
      </c>
      <c r="B48" s="16">
        <v>1004609427</v>
      </c>
      <c r="C48" s="16" t="s">
        <v>115</v>
      </c>
      <c r="D48" s="16" t="s">
        <v>110</v>
      </c>
      <c r="E48" s="16" t="s">
        <v>170</v>
      </c>
      <c r="F48" s="17" t="s">
        <v>197</v>
      </c>
      <c r="G48" s="16">
        <v>13</v>
      </c>
      <c r="H48" s="16" t="s">
        <v>41</v>
      </c>
      <c r="I48" s="18">
        <v>45363</v>
      </c>
      <c r="J48" s="19">
        <v>26666</v>
      </c>
      <c r="K48" s="16" t="s">
        <v>32</v>
      </c>
      <c r="L48" s="16" t="s">
        <v>39</v>
      </c>
      <c r="M48" s="16" t="s">
        <v>204</v>
      </c>
      <c r="N48" s="16" t="s">
        <v>25</v>
      </c>
      <c r="O48" s="20" t="s">
        <v>42</v>
      </c>
      <c r="P48" s="21" t="s">
        <v>31</v>
      </c>
      <c r="Q48" s="16" t="s">
        <v>51</v>
      </c>
      <c r="R48" s="16">
        <v>3170303973</v>
      </c>
      <c r="S48" s="16" t="str">
        <f>+IF($N48=[1]CURSOS!$D$3,[1]CURSOS!$E$3,(+IF($N48=[1]CURSOS!$D$4,[1]CURSOS!$E$4,(+IF($N48=[1]CURSOS!$D$5,[1]CURSOS!$E$5,(+IF($N48=[1]CURSOS!$D$6,[1]CURSOS!$E$6,(+IF($N48=[1]CURSOS!$D$7,[1]CURSOS!$E$7,(+IF($N48=[1]CURSOS!$D$8,[1]CURSOS!$E$8,(+IF($N48=[1]CURSOS!$D$9,[1]CURSOS!$E$9,(+IF($N48=[1]CURSOS!$D$10,[1]CURSOS!$E$10,(+IF($N48=[1]CURSOS!$D$11,[1]CURSOS!$E$11,(+IF($N48=[1]CURSOS!$D$12,[1]CURSOS!$E$12,(+IF($N48=[1]CURSOS!$D$13,[1]CURSOS!$E$13,(+IF($N48=[1]CURSOS!$D$14,[1]CURSOS!$E$14,(+IF($N48=[1]CURSOS!$D$15,[1]CURSOS!$E$15,(+IF($N48=[1]CURSOS!$D$16,[1]CURSOS!$E$16,(+IF($N48=[1]CURSOS!$D$17,[1]CURSOS!$E$17,(+IF($N48=[1]CURSOS!$D$18,[1]CURSOS!$E$18,(+IF($N48=[1]CURSOS!$D$19,[1]CURSOS!$E$19,(+IF($N48=[1]CURSOS!$D$20,[1]CURSOS!$E$20,(+IF($N48=[1]CURSOS!$D$21,[1]CURSOS!$E$21,(+IF($N48=[1]CURSOS!$D$22,[1]CURSOS!$E$22,(+IF($N48=[1]CURSOS!$D$23,[1]CURSOS!$E$23,(+IF($N48=[1]CURSOS!$D$24,[1]CURSOS!$E$24,(+IF($N48=[1]CURSOS!$D$25,[1]CURSOS!$E$25,(+IF($N48=[1]CURSOS!$D$26,[1]CURSOS!$E$26,(+IF($N48=[1]CURSOS!$D$27,[1]CURSOS!$E$27,(+IF($N48=[1]CURSOS!$D$28,[1]CURSOS!$E$28,(+IF($N48=[1]CURSOS!$D$29,[1]CURSOS!$E$29,(+IF($N48=[1]CURSOS!$D$30,[1]CURSOS!$E$30,(+IF($N48=[1]CURSOS!$D$31,[1]CURSOS!$E$31,(+IF($N48=[1]CURSOS!$D$32,[1]CURSOS!$E$32)))))))))))))))))))))))))))))))))))))))))))))))))))))))))))</f>
        <v xml:space="preserve">ATENCION A VICTIMAS DE VIOLENCIA SEXUAL </v>
      </c>
      <c r="T48" s="16" t="str">
        <f t="shared" si="6"/>
        <v>TATINA  KARINA GUERRERO QUIÑONES</v>
      </c>
      <c r="U48" s="16" t="str">
        <f t="shared" si="7"/>
        <v>Tatina  Karina Guerrero Quiñones</v>
      </c>
      <c r="V48" s="16" t="str">
        <f t="shared" si="8"/>
        <v>TATINA  KARINA GUERRERO QUIÑONES-1004609427-VIOLENCIA SEXUAL</v>
      </c>
    </row>
    <row r="49" spans="1:22" x14ac:dyDescent="0.2">
      <c r="A49" s="16">
        <v>49</v>
      </c>
      <c r="B49" s="16">
        <v>59674851</v>
      </c>
      <c r="C49" s="16" t="s">
        <v>125</v>
      </c>
      <c r="D49" s="16" t="s">
        <v>111</v>
      </c>
      <c r="E49" s="16" t="s">
        <v>171</v>
      </c>
      <c r="F49" s="17" t="s">
        <v>198</v>
      </c>
      <c r="G49" s="16">
        <v>13</v>
      </c>
      <c r="H49" s="16" t="s">
        <v>41</v>
      </c>
      <c r="I49" s="18">
        <v>45363</v>
      </c>
      <c r="J49" s="19">
        <v>26666</v>
      </c>
      <c r="K49" s="16" t="s">
        <v>32</v>
      </c>
      <c r="L49" s="16" t="s">
        <v>39</v>
      </c>
      <c r="M49" s="16" t="s">
        <v>204</v>
      </c>
      <c r="N49" s="16" t="s">
        <v>25</v>
      </c>
      <c r="O49" s="20" t="s">
        <v>42</v>
      </c>
      <c r="P49" s="21" t="s">
        <v>31</v>
      </c>
      <c r="Q49" s="16" t="s">
        <v>51</v>
      </c>
      <c r="R49" s="16">
        <v>3170303974</v>
      </c>
      <c r="S49" s="16" t="str">
        <f>+IF($N49=[1]CURSOS!$D$3,[1]CURSOS!$E$3,(+IF($N49=[1]CURSOS!$D$4,[1]CURSOS!$E$4,(+IF($N49=[1]CURSOS!$D$5,[1]CURSOS!$E$5,(+IF($N49=[1]CURSOS!$D$6,[1]CURSOS!$E$6,(+IF($N49=[1]CURSOS!$D$7,[1]CURSOS!$E$7,(+IF($N49=[1]CURSOS!$D$8,[1]CURSOS!$E$8,(+IF($N49=[1]CURSOS!$D$9,[1]CURSOS!$E$9,(+IF($N49=[1]CURSOS!$D$10,[1]CURSOS!$E$10,(+IF($N49=[1]CURSOS!$D$11,[1]CURSOS!$E$11,(+IF($N49=[1]CURSOS!$D$12,[1]CURSOS!$E$12,(+IF($N49=[1]CURSOS!$D$13,[1]CURSOS!$E$13,(+IF($N49=[1]CURSOS!$D$14,[1]CURSOS!$E$14,(+IF($N49=[1]CURSOS!$D$15,[1]CURSOS!$E$15,(+IF($N49=[1]CURSOS!$D$16,[1]CURSOS!$E$16,(+IF($N49=[1]CURSOS!$D$17,[1]CURSOS!$E$17,(+IF($N49=[1]CURSOS!$D$18,[1]CURSOS!$E$18,(+IF($N49=[1]CURSOS!$D$19,[1]CURSOS!$E$19,(+IF($N49=[1]CURSOS!$D$20,[1]CURSOS!$E$20,(+IF($N49=[1]CURSOS!$D$21,[1]CURSOS!$E$21,(+IF($N49=[1]CURSOS!$D$22,[1]CURSOS!$E$22,(+IF($N49=[1]CURSOS!$D$23,[1]CURSOS!$E$23,(+IF($N49=[1]CURSOS!$D$24,[1]CURSOS!$E$24,(+IF($N49=[1]CURSOS!$D$25,[1]CURSOS!$E$25,(+IF($N49=[1]CURSOS!$D$26,[1]CURSOS!$E$26,(+IF($N49=[1]CURSOS!$D$27,[1]CURSOS!$E$27,(+IF($N49=[1]CURSOS!$D$28,[1]CURSOS!$E$28,(+IF($N49=[1]CURSOS!$D$29,[1]CURSOS!$E$29,(+IF($N49=[1]CURSOS!$D$30,[1]CURSOS!$E$30,(+IF($N49=[1]CURSOS!$D$31,[1]CURSOS!$E$31,(+IF($N49=[1]CURSOS!$D$32,[1]CURSOS!$E$32)))))))))))))))))))))))))))))))))))))))))))))))))))))))))))</f>
        <v xml:space="preserve">ATENCION A VICTIMAS DE VIOLENCIA SEXUAL </v>
      </c>
      <c r="T49" s="16" t="str">
        <f t="shared" si="6"/>
        <v>SANDRA MARISA AMU LANDAZURI</v>
      </c>
      <c r="U49" s="16" t="str">
        <f t="shared" si="7"/>
        <v>Sandra Marisa Amu Landazuri</v>
      </c>
      <c r="V49" s="16" t="str">
        <f t="shared" si="8"/>
        <v>SANDRA MARISA AMU LANDAZURI-59674851-VIOLENCIA SEXUAL</v>
      </c>
    </row>
    <row r="50" spans="1:22" x14ac:dyDescent="0.2">
      <c r="A50" s="16">
        <v>50</v>
      </c>
      <c r="B50" s="16">
        <v>1087195796</v>
      </c>
      <c r="C50" s="16" t="s">
        <v>119</v>
      </c>
      <c r="D50" s="16" t="s">
        <v>127</v>
      </c>
      <c r="E50" s="16" t="s">
        <v>172</v>
      </c>
      <c r="F50" s="17" t="s">
        <v>199</v>
      </c>
      <c r="G50" s="16">
        <v>13</v>
      </c>
      <c r="H50" s="16" t="s">
        <v>41</v>
      </c>
      <c r="I50" s="18">
        <v>45363</v>
      </c>
      <c r="J50" s="19">
        <v>26668</v>
      </c>
      <c r="K50" s="16" t="s">
        <v>32</v>
      </c>
      <c r="L50" s="16" t="s">
        <v>39</v>
      </c>
      <c r="M50" s="16" t="s">
        <v>204</v>
      </c>
      <c r="N50" s="16" t="s">
        <v>25</v>
      </c>
      <c r="O50" s="20" t="s">
        <v>42</v>
      </c>
      <c r="P50" s="21" t="s">
        <v>31</v>
      </c>
      <c r="Q50" s="16" t="s">
        <v>51</v>
      </c>
      <c r="R50" s="16">
        <v>3170303975</v>
      </c>
      <c r="S50" s="16" t="str">
        <f>+IF($N50=[1]CURSOS!$D$3,[1]CURSOS!$E$3,(+IF($N50=[1]CURSOS!$D$4,[1]CURSOS!$E$4,(+IF($N50=[1]CURSOS!$D$5,[1]CURSOS!$E$5,(+IF($N50=[1]CURSOS!$D$6,[1]CURSOS!$E$6,(+IF($N50=[1]CURSOS!$D$7,[1]CURSOS!$E$7,(+IF($N50=[1]CURSOS!$D$8,[1]CURSOS!$E$8,(+IF($N50=[1]CURSOS!$D$9,[1]CURSOS!$E$9,(+IF($N50=[1]CURSOS!$D$10,[1]CURSOS!$E$10,(+IF($N50=[1]CURSOS!$D$11,[1]CURSOS!$E$11,(+IF($N50=[1]CURSOS!$D$12,[1]CURSOS!$E$12,(+IF($N50=[1]CURSOS!$D$13,[1]CURSOS!$E$13,(+IF($N50=[1]CURSOS!$D$14,[1]CURSOS!$E$14,(+IF($N50=[1]CURSOS!$D$15,[1]CURSOS!$E$15,(+IF($N50=[1]CURSOS!$D$16,[1]CURSOS!$E$16,(+IF($N50=[1]CURSOS!$D$17,[1]CURSOS!$E$17,(+IF($N50=[1]CURSOS!$D$18,[1]CURSOS!$E$18,(+IF($N50=[1]CURSOS!$D$19,[1]CURSOS!$E$19,(+IF($N50=[1]CURSOS!$D$20,[1]CURSOS!$E$20,(+IF($N50=[1]CURSOS!$D$21,[1]CURSOS!$E$21,(+IF($N50=[1]CURSOS!$D$22,[1]CURSOS!$E$22,(+IF($N50=[1]CURSOS!$D$23,[1]CURSOS!$E$23,(+IF($N50=[1]CURSOS!$D$24,[1]CURSOS!$E$24,(+IF($N50=[1]CURSOS!$D$25,[1]CURSOS!$E$25,(+IF($N50=[1]CURSOS!$D$26,[1]CURSOS!$E$26,(+IF($N50=[1]CURSOS!$D$27,[1]CURSOS!$E$27,(+IF($N50=[1]CURSOS!$D$28,[1]CURSOS!$E$28,(+IF($N50=[1]CURSOS!$D$29,[1]CURSOS!$E$29,(+IF($N50=[1]CURSOS!$D$30,[1]CURSOS!$E$30,(+IF($N50=[1]CURSOS!$D$31,[1]CURSOS!$E$31,(+IF($N50=[1]CURSOS!$D$32,[1]CURSOS!$E$32)))))))))))))))))))))))))))))))))))))))))))))))))))))))))))</f>
        <v xml:space="preserve">ATENCION A VICTIMAS DE VIOLENCIA SEXUAL </v>
      </c>
      <c r="T50" s="16" t="str">
        <f t="shared" si="6"/>
        <v>LUZ HELENA BANGUERA MONTAÑO</v>
      </c>
      <c r="U50" s="16" t="str">
        <f t="shared" si="7"/>
        <v>Luz Helena Banguera Montaño</v>
      </c>
      <c r="V50" s="16" t="str">
        <f t="shared" si="8"/>
        <v>LUZ HELENA BANGUERA MONTAÑO-1087195796-VIOLENCIA SEXUAL</v>
      </c>
    </row>
    <row r="51" spans="1:22" x14ac:dyDescent="0.2">
      <c r="A51" s="16">
        <v>85</v>
      </c>
      <c r="B51" s="16">
        <v>59683321</v>
      </c>
      <c r="C51" s="16" t="s">
        <v>126</v>
      </c>
      <c r="D51" s="16" t="s">
        <v>127</v>
      </c>
      <c r="E51" s="16" t="s">
        <v>173</v>
      </c>
      <c r="F51" s="17" t="s">
        <v>200</v>
      </c>
      <c r="G51" s="16">
        <v>14</v>
      </c>
      <c r="H51" s="16" t="s">
        <v>41</v>
      </c>
      <c r="I51" s="18">
        <v>45363</v>
      </c>
      <c r="J51" s="16">
        <v>26668</v>
      </c>
      <c r="K51" s="16" t="s">
        <v>356</v>
      </c>
      <c r="L51" s="16" t="s">
        <v>222</v>
      </c>
      <c r="M51" s="16" t="s">
        <v>204</v>
      </c>
      <c r="N51" s="16" t="s">
        <v>21</v>
      </c>
      <c r="P51" s="21" t="s">
        <v>31</v>
      </c>
      <c r="S51" s="16" t="str">
        <f>+IF($N51=[1]CURSOS!$D$3,[1]CURSOS!$E$3,(+IF($N51=[1]CURSOS!$D$4,[1]CURSOS!$E$4,(+IF($N51=[1]CURSOS!$D$5,[1]CURSOS!$E$5,(+IF($N51=[1]CURSOS!$D$6,[1]CURSOS!$E$6,(+IF($N51=[1]CURSOS!$D$7,[1]CURSOS!$E$7,(+IF($N51=[1]CURSOS!$D$8,[1]CURSOS!$E$8,(+IF($N51=[1]CURSOS!$D$9,[1]CURSOS!$E$9,(+IF($N51=[1]CURSOS!$D$10,[1]CURSOS!$E$10,(+IF($N51=[1]CURSOS!$D$11,[1]CURSOS!$E$11,(+IF($N51=[1]CURSOS!$D$12,[1]CURSOS!$E$12,(+IF($N51=[1]CURSOS!$D$13,[1]CURSOS!$E$13,(+IF($N51=[1]CURSOS!$D$14,[1]CURSOS!$E$14,(+IF($N51=[1]CURSOS!$D$15,[1]CURSOS!$E$15,(+IF($N51=[1]CURSOS!$D$16,[1]CURSOS!$E$16,(+IF($N51=[1]CURSOS!$D$17,[1]CURSOS!$E$17,(+IF($N51=[1]CURSOS!$D$18,[1]CURSOS!$E$18,(+IF($N51=[1]CURSOS!$D$19,[1]CURSOS!$E$19,(+IF($N51=[1]CURSOS!$D$20,[1]CURSOS!$E$20,(+IF($N51=[1]CURSOS!$D$21,[1]CURSOS!$E$21,(+IF($N51=[1]CURSOS!$D$22,[1]CURSOS!$E$22,(+IF($N51=[1]CURSOS!$D$23,[1]CURSOS!$E$23,(+IF($N51=[1]CURSOS!$D$24,[1]CURSOS!$E$24,(+IF($N51=[1]CURSOS!$D$25,[1]CURSOS!$E$25,(+IF($N51=[1]CURSOS!$D$26,[1]CURSOS!$E$26,(+IF($N51=[1]CURSOS!$D$27,[1]CURSOS!$E$27,(+IF($N51=[1]CURSOS!$D$28,[1]CURSOS!$E$28,(+IF($N51=[1]CURSOS!$D$29,[1]CURSOS!$E$29,(+IF($N51=[1]CURSOS!$D$30,[1]CURSOS!$E$30,(+IF($N51=[1]CURSOS!$D$31,[1]CURSOS!$E$31,(+IF($N51=[1]CURSOS!$D$32,[1]CURSOS!$E$32)))))))))))))))))))))))))))))))))))))))))))))))))))))))))))</f>
        <v xml:space="preserve">ATENCION A VICTIMAS DE ATAQUE CON AGENTES QUIMICOS </v>
      </c>
      <c r="T51" s="16" t="str">
        <f t="shared" si="6"/>
        <v>KONIE MAURICIA VALVERDE MONTAÑO</v>
      </c>
      <c r="U51" s="16" t="str">
        <f t="shared" si="7"/>
        <v>Konie Mauricia Valverde Montaño</v>
      </c>
      <c r="V51" s="16" t="str">
        <f t="shared" si="8"/>
        <v>KONIE MAURICIA VALVERDE MONTAÑO-59683321-QUIMICOS</v>
      </c>
    </row>
    <row r="52" spans="1:22" x14ac:dyDescent="0.2">
      <c r="A52" s="16">
        <v>52</v>
      </c>
      <c r="B52" s="16">
        <v>59685926</v>
      </c>
      <c r="C52" s="16" t="s">
        <v>127</v>
      </c>
      <c r="D52" s="16" t="s">
        <v>137</v>
      </c>
      <c r="E52" s="16" t="s">
        <v>258</v>
      </c>
      <c r="F52" s="17" t="s">
        <v>201</v>
      </c>
      <c r="G52" s="16">
        <v>13</v>
      </c>
      <c r="H52" s="16" t="s">
        <v>41</v>
      </c>
      <c r="I52" s="18">
        <v>45363</v>
      </c>
      <c r="J52" s="19">
        <v>26666</v>
      </c>
      <c r="K52" s="16" t="s">
        <v>32</v>
      </c>
      <c r="L52" s="16" t="s">
        <v>39</v>
      </c>
      <c r="M52" s="16" t="s">
        <v>204</v>
      </c>
      <c r="N52" s="16" t="s">
        <v>25</v>
      </c>
      <c r="O52" s="20" t="s">
        <v>42</v>
      </c>
      <c r="P52" s="21" t="s">
        <v>31</v>
      </c>
      <c r="Q52" s="16" t="s">
        <v>51</v>
      </c>
      <c r="R52" s="16">
        <v>3170303977</v>
      </c>
      <c r="S52" s="16" t="str">
        <f>+IF($N52=[1]CURSOS!$D$3,[1]CURSOS!$E$3,(+IF($N52=[1]CURSOS!$D$4,[1]CURSOS!$E$4,(+IF($N52=[1]CURSOS!$D$5,[1]CURSOS!$E$5,(+IF($N52=[1]CURSOS!$D$6,[1]CURSOS!$E$6,(+IF($N52=[1]CURSOS!$D$7,[1]CURSOS!$E$7,(+IF($N52=[1]CURSOS!$D$8,[1]CURSOS!$E$8,(+IF($N52=[1]CURSOS!$D$9,[1]CURSOS!$E$9,(+IF($N52=[1]CURSOS!$D$10,[1]CURSOS!$E$10,(+IF($N52=[1]CURSOS!$D$11,[1]CURSOS!$E$11,(+IF($N52=[1]CURSOS!$D$12,[1]CURSOS!$E$12,(+IF($N52=[1]CURSOS!$D$13,[1]CURSOS!$E$13,(+IF($N52=[1]CURSOS!$D$14,[1]CURSOS!$E$14,(+IF($N52=[1]CURSOS!$D$15,[1]CURSOS!$E$15,(+IF($N52=[1]CURSOS!$D$16,[1]CURSOS!$E$16,(+IF($N52=[1]CURSOS!$D$17,[1]CURSOS!$E$17,(+IF($N52=[1]CURSOS!$D$18,[1]CURSOS!$E$18,(+IF($N52=[1]CURSOS!$D$19,[1]CURSOS!$E$19,(+IF($N52=[1]CURSOS!$D$20,[1]CURSOS!$E$20,(+IF($N52=[1]CURSOS!$D$21,[1]CURSOS!$E$21,(+IF($N52=[1]CURSOS!$D$22,[1]CURSOS!$E$22,(+IF($N52=[1]CURSOS!$D$23,[1]CURSOS!$E$23,(+IF($N52=[1]CURSOS!$D$24,[1]CURSOS!$E$24,(+IF($N52=[1]CURSOS!$D$25,[1]CURSOS!$E$25,(+IF($N52=[1]CURSOS!$D$26,[1]CURSOS!$E$26,(+IF($N52=[1]CURSOS!$D$27,[1]CURSOS!$E$27,(+IF($N52=[1]CURSOS!$D$28,[1]CURSOS!$E$28,(+IF($N52=[1]CURSOS!$D$29,[1]CURSOS!$E$29,(+IF($N52=[1]CURSOS!$D$30,[1]CURSOS!$E$30,(+IF($N52=[1]CURSOS!$D$31,[1]CURSOS!$E$31,(+IF($N52=[1]CURSOS!$D$32,[1]CURSOS!$E$32)))))))))))))))))))))))))))))))))))))))))))))))))))))))))))</f>
        <v xml:space="preserve">ATENCION A VICTIMAS DE VIOLENCIA SEXUAL </v>
      </c>
      <c r="T52" s="16" t="str">
        <f t="shared" si="6"/>
        <v>Friny FERNANDA MONTAÑO CASTILLO</v>
      </c>
      <c r="U52" s="16" t="str">
        <f t="shared" si="7"/>
        <v>Friny Fernanda Montaño Castillo</v>
      </c>
      <c r="V52" s="16" t="str">
        <f t="shared" si="8"/>
        <v>Friny FERNANDA MONTAÑO CASTILLO-59685926-VIOLENCIA SEXUAL</v>
      </c>
    </row>
    <row r="53" spans="1:22" x14ac:dyDescent="0.2">
      <c r="A53" s="16">
        <v>53</v>
      </c>
      <c r="B53" s="16">
        <v>1087113564</v>
      </c>
      <c r="C53" s="16" t="s">
        <v>128</v>
      </c>
      <c r="E53" s="16" t="s">
        <v>174</v>
      </c>
      <c r="G53" s="16">
        <v>13</v>
      </c>
      <c r="H53" s="16" t="s">
        <v>41</v>
      </c>
      <c r="I53" s="18">
        <v>45363</v>
      </c>
      <c r="J53" s="19">
        <v>26666</v>
      </c>
      <c r="K53" s="16" t="s">
        <v>32</v>
      </c>
      <c r="L53" s="16" t="s">
        <v>39</v>
      </c>
      <c r="M53" s="16" t="s">
        <v>204</v>
      </c>
      <c r="N53" s="16" t="s">
        <v>25</v>
      </c>
      <c r="O53" s="20" t="s">
        <v>42</v>
      </c>
      <c r="P53" s="21" t="s">
        <v>31</v>
      </c>
      <c r="Q53" s="16" t="s">
        <v>51</v>
      </c>
      <c r="R53" s="16">
        <v>3170303978</v>
      </c>
      <c r="S53" s="16" t="str">
        <f>+IF($N53=[1]CURSOS!$D$3,[1]CURSOS!$E$3,(+IF($N53=[1]CURSOS!$D$4,[1]CURSOS!$E$4,(+IF($N53=[1]CURSOS!$D$5,[1]CURSOS!$E$5,(+IF($N53=[1]CURSOS!$D$6,[1]CURSOS!$E$6,(+IF($N53=[1]CURSOS!$D$7,[1]CURSOS!$E$7,(+IF($N53=[1]CURSOS!$D$8,[1]CURSOS!$E$8,(+IF($N53=[1]CURSOS!$D$9,[1]CURSOS!$E$9,(+IF($N53=[1]CURSOS!$D$10,[1]CURSOS!$E$10,(+IF($N53=[1]CURSOS!$D$11,[1]CURSOS!$E$11,(+IF($N53=[1]CURSOS!$D$12,[1]CURSOS!$E$12,(+IF($N53=[1]CURSOS!$D$13,[1]CURSOS!$E$13,(+IF($N53=[1]CURSOS!$D$14,[1]CURSOS!$E$14,(+IF($N53=[1]CURSOS!$D$15,[1]CURSOS!$E$15,(+IF($N53=[1]CURSOS!$D$16,[1]CURSOS!$E$16,(+IF($N53=[1]CURSOS!$D$17,[1]CURSOS!$E$17,(+IF($N53=[1]CURSOS!$D$18,[1]CURSOS!$E$18,(+IF($N53=[1]CURSOS!$D$19,[1]CURSOS!$E$19,(+IF($N53=[1]CURSOS!$D$20,[1]CURSOS!$E$20,(+IF($N53=[1]CURSOS!$D$21,[1]CURSOS!$E$21,(+IF($N53=[1]CURSOS!$D$22,[1]CURSOS!$E$22,(+IF($N53=[1]CURSOS!$D$23,[1]CURSOS!$E$23,(+IF($N53=[1]CURSOS!$D$24,[1]CURSOS!$E$24,(+IF($N53=[1]CURSOS!$D$25,[1]CURSOS!$E$25,(+IF($N53=[1]CURSOS!$D$26,[1]CURSOS!$E$26,(+IF($N53=[1]CURSOS!$D$27,[1]CURSOS!$E$27,(+IF($N53=[1]CURSOS!$D$28,[1]CURSOS!$E$28,(+IF($N53=[1]CURSOS!$D$29,[1]CURSOS!$E$29,(+IF($N53=[1]CURSOS!$D$30,[1]CURSOS!$E$30,(+IF($N53=[1]CURSOS!$D$31,[1]CURSOS!$E$31,(+IF($N53=[1]CURSOS!$D$32,[1]CURSOS!$E$32)))))))))))))))))))))))))))))))))))))))))))))))))))))))))))</f>
        <v xml:space="preserve">ATENCION A VICTIMAS DE VIOLENCIA SEXUAL </v>
      </c>
      <c r="T53" s="16" t="str">
        <f t="shared" si="6"/>
        <v xml:space="preserve">JOHANA  BIOJO </v>
      </c>
      <c r="U53" s="16" t="str">
        <f t="shared" si="7"/>
        <v xml:space="preserve">Johana  Biojo </v>
      </c>
      <c r="V53" s="16" t="str">
        <f t="shared" si="8"/>
        <v>JOHANA  BIOJO -1087113564-VIOLENCIA SEXUAL</v>
      </c>
    </row>
    <row r="54" spans="1:22" x14ac:dyDescent="0.2">
      <c r="A54" s="16">
        <v>54</v>
      </c>
      <c r="B54" s="16">
        <v>59663880</v>
      </c>
      <c r="C54" s="16" t="s">
        <v>129</v>
      </c>
      <c r="D54" s="16" t="s">
        <v>147</v>
      </c>
      <c r="E54" s="16" t="s">
        <v>175</v>
      </c>
      <c r="F54" s="17" t="s">
        <v>202</v>
      </c>
      <c r="G54" s="16">
        <v>13</v>
      </c>
      <c r="H54" s="16" t="s">
        <v>41</v>
      </c>
      <c r="I54" s="18">
        <v>45363</v>
      </c>
      <c r="J54" s="19">
        <v>40000</v>
      </c>
      <c r="K54" s="16" t="s">
        <v>32</v>
      </c>
      <c r="L54" s="16" t="s">
        <v>39</v>
      </c>
      <c r="M54" s="16" t="s">
        <v>204</v>
      </c>
      <c r="N54" s="16" t="s">
        <v>25</v>
      </c>
      <c r="O54" s="20" t="s">
        <v>42</v>
      </c>
      <c r="P54" s="21" t="s">
        <v>31</v>
      </c>
      <c r="Q54" s="16" t="s">
        <v>65</v>
      </c>
      <c r="R54" s="16">
        <v>3170303979</v>
      </c>
      <c r="S54" s="16" t="str">
        <f>+IF($N54=[1]CURSOS!$D$3,[1]CURSOS!$E$3,(+IF($N54=[1]CURSOS!$D$4,[1]CURSOS!$E$4,(+IF($N54=[1]CURSOS!$D$5,[1]CURSOS!$E$5,(+IF($N54=[1]CURSOS!$D$6,[1]CURSOS!$E$6,(+IF($N54=[1]CURSOS!$D$7,[1]CURSOS!$E$7,(+IF($N54=[1]CURSOS!$D$8,[1]CURSOS!$E$8,(+IF($N54=[1]CURSOS!$D$9,[1]CURSOS!$E$9,(+IF($N54=[1]CURSOS!$D$10,[1]CURSOS!$E$10,(+IF($N54=[1]CURSOS!$D$11,[1]CURSOS!$E$11,(+IF($N54=[1]CURSOS!$D$12,[1]CURSOS!$E$12,(+IF($N54=[1]CURSOS!$D$13,[1]CURSOS!$E$13,(+IF($N54=[1]CURSOS!$D$14,[1]CURSOS!$E$14,(+IF($N54=[1]CURSOS!$D$15,[1]CURSOS!$E$15,(+IF($N54=[1]CURSOS!$D$16,[1]CURSOS!$E$16,(+IF($N54=[1]CURSOS!$D$17,[1]CURSOS!$E$17,(+IF($N54=[1]CURSOS!$D$18,[1]CURSOS!$E$18,(+IF($N54=[1]CURSOS!$D$19,[1]CURSOS!$E$19,(+IF($N54=[1]CURSOS!$D$20,[1]CURSOS!$E$20,(+IF($N54=[1]CURSOS!$D$21,[1]CURSOS!$E$21,(+IF($N54=[1]CURSOS!$D$22,[1]CURSOS!$E$22,(+IF($N54=[1]CURSOS!$D$23,[1]CURSOS!$E$23,(+IF($N54=[1]CURSOS!$D$24,[1]CURSOS!$E$24,(+IF($N54=[1]CURSOS!$D$25,[1]CURSOS!$E$25,(+IF($N54=[1]CURSOS!$D$26,[1]CURSOS!$E$26,(+IF($N54=[1]CURSOS!$D$27,[1]CURSOS!$E$27,(+IF($N54=[1]CURSOS!$D$28,[1]CURSOS!$E$28,(+IF($N54=[1]CURSOS!$D$29,[1]CURSOS!$E$29,(+IF($N54=[1]CURSOS!$D$30,[1]CURSOS!$E$30,(+IF($N54=[1]CURSOS!$D$31,[1]CURSOS!$E$31,(+IF($N54=[1]CURSOS!$D$32,[1]CURSOS!$E$32)))))))))))))))))))))))))))))))))))))))))))))))))))))))))))</f>
        <v xml:space="preserve">ATENCION A VICTIMAS DE VIOLENCIA SEXUAL </v>
      </c>
      <c r="T54" s="16" t="str">
        <f t="shared" si="6"/>
        <v>MARINA  CRISTINA   MOSQUERA BETANCOURT</v>
      </c>
      <c r="U54" s="16" t="str">
        <f t="shared" si="7"/>
        <v>Marina  Cristina   Mosquera Betancourt</v>
      </c>
      <c r="V54" s="16" t="str">
        <f t="shared" si="8"/>
        <v>MARINA  CRISTINA   MOSQUERA BETANCOURT-59663880-VIOLENCIA SEXUAL</v>
      </c>
    </row>
    <row r="55" spans="1:22" x14ac:dyDescent="0.2">
      <c r="A55" s="16">
        <v>55</v>
      </c>
      <c r="B55" s="16">
        <v>59863722</v>
      </c>
      <c r="C55" s="16" t="s">
        <v>112</v>
      </c>
      <c r="D55" s="16" t="s">
        <v>144</v>
      </c>
      <c r="E55" s="16" t="s">
        <v>176</v>
      </c>
      <c r="F55" s="17" t="s">
        <v>203</v>
      </c>
      <c r="G55" s="16">
        <v>13</v>
      </c>
      <c r="H55" s="16" t="s">
        <v>41</v>
      </c>
      <c r="I55" s="18">
        <v>45363</v>
      </c>
      <c r="J55" s="19">
        <v>40000</v>
      </c>
      <c r="K55" s="16" t="s">
        <v>32</v>
      </c>
      <c r="L55" s="16" t="s">
        <v>39</v>
      </c>
      <c r="M55" s="16" t="s">
        <v>204</v>
      </c>
      <c r="N55" s="16" t="s">
        <v>25</v>
      </c>
      <c r="O55" s="20" t="s">
        <v>42</v>
      </c>
      <c r="P55" s="21" t="s">
        <v>31</v>
      </c>
      <c r="Q55" s="16" t="s">
        <v>65</v>
      </c>
      <c r="R55" s="16">
        <v>3170303980</v>
      </c>
      <c r="S55" s="16" t="str">
        <f>+IF($N55=[1]CURSOS!$D$3,[1]CURSOS!$E$3,(+IF($N55=[1]CURSOS!$D$4,[1]CURSOS!$E$4,(+IF($N55=[1]CURSOS!$D$5,[1]CURSOS!$E$5,(+IF($N55=[1]CURSOS!$D$6,[1]CURSOS!$E$6,(+IF($N55=[1]CURSOS!$D$7,[1]CURSOS!$E$7,(+IF($N55=[1]CURSOS!$D$8,[1]CURSOS!$E$8,(+IF($N55=[1]CURSOS!$D$9,[1]CURSOS!$E$9,(+IF($N55=[1]CURSOS!$D$10,[1]CURSOS!$E$10,(+IF($N55=[1]CURSOS!$D$11,[1]CURSOS!$E$11,(+IF($N55=[1]CURSOS!$D$12,[1]CURSOS!$E$12,(+IF($N55=[1]CURSOS!$D$13,[1]CURSOS!$E$13,(+IF($N55=[1]CURSOS!$D$14,[1]CURSOS!$E$14,(+IF($N55=[1]CURSOS!$D$15,[1]CURSOS!$E$15,(+IF($N55=[1]CURSOS!$D$16,[1]CURSOS!$E$16,(+IF($N55=[1]CURSOS!$D$17,[1]CURSOS!$E$17,(+IF($N55=[1]CURSOS!$D$18,[1]CURSOS!$E$18,(+IF($N55=[1]CURSOS!$D$19,[1]CURSOS!$E$19,(+IF($N55=[1]CURSOS!$D$20,[1]CURSOS!$E$20,(+IF($N55=[1]CURSOS!$D$21,[1]CURSOS!$E$21,(+IF($N55=[1]CURSOS!$D$22,[1]CURSOS!$E$22,(+IF($N55=[1]CURSOS!$D$23,[1]CURSOS!$E$23,(+IF($N55=[1]CURSOS!$D$24,[1]CURSOS!$E$24,(+IF($N55=[1]CURSOS!$D$25,[1]CURSOS!$E$25,(+IF($N55=[1]CURSOS!$D$26,[1]CURSOS!$E$26,(+IF($N55=[1]CURSOS!$D$27,[1]CURSOS!$E$27,(+IF($N55=[1]CURSOS!$D$28,[1]CURSOS!$E$28,(+IF($N55=[1]CURSOS!$D$29,[1]CURSOS!$E$29,(+IF($N55=[1]CURSOS!$D$30,[1]CURSOS!$E$30,(+IF($N55=[1]CURSOS!$D$31,[1]CURSOS!$E$31,(+IF($N55=[1]CURSOS!$D$32,[1]CURSOS!$E$32)))))))))))))))))))))))))))))))))))))))))))))))))))))))))))</f>
        <v xml:space="preserve">ATENCION A VICTIMAS DE VIOLENCIA SEXUAL </v>
      </c>
      <c r="T55" s="16" t="str">
        <f t="shared" si="6"/>
        <v>FLOR  MABELIS  CABEZAS QUIÑONEZ</v>
      </c>
      <c r="U55" s="16" t="str">
        <f t="shared" si="7"/>
        <v>Flor  Mabelis  Cabezas Quiñonez</v>
      </c>
      <c r="V55" s="16" t="str">
        <f t="shared" si="8"/>
        <v>FLOR  MABELIS  CABEZAS QUIÑONEZ-59863722-VIOLENCIA SEXUAL</v>
      </c>
    </row>
    <row r="56" spans="1:22" x14ac:dyDescent="0.2">
      <c r="A56" s="16">
        <v>56</v>
      </c>
      <c r="B56" s="16">
        <v>59813519</v>
      </c>
      <c r="C56" s="16" t="s">
        <v>206</v>
      </c>
      <c r="D56" s="16" t="s">
        <v>207</v>
      </c>
      <c r="E56" s="16" t="s">
        <v>208</v>
      </c>
      <c r="F56" s="17" t="s">
        <v>209</v>
      </c>
      <c r="G56" s="16">
        <v>12</v>
      </c>
      <c r="H56" s="16" t="s">
        <v>41</v>
      </c>
      <c r="I56" s="18">
        <v>45366</v>
      </c>
      <c r="J56" s="19">
        <v>15000</v>
      </c>
      <c r="K56" s="16" t="s">
        <v>64</v>
      </c>
      <c r="L56" s="16" t="s">
        <v>222</v>
      </c>
      <c r="M56" s="16" t="s">
        <v>29</v>
      </c>
      <c r="N56" s="16" t="s">
        <v>23</v>
      </c>
      <c r="O56" s="20">
        <v>25990</v>
      </c>
      <c r="P56" s="21" t="s">
        <v>31</v>
      </c>
      <c r="S56" s="16" t="str">
        <f>+IF($N56=[1]CURSOS!$D$3,[1]CURSOS!$E$3,(+IF($N56=[1]CURSOS!$D$4,[1]CURSOS!$E$4,(+IF($N56=[1]CURSOS!$D$5,[1]CURSOS!$E$5,(+IF($N56=[1]CURSOS!$D$6,[1]CURSOS!$E$6,(+IF($N56=[1]CURSOS!$D$7,[1]CURSOS!$E$7,(+IF($N56=[1]CURSOS!$D$8,[1]CURSOS!$E$8,(+IF($N56=[1]CURSOS!$D$9,[1]CURSOS!$E$9,(+IF($N56=[1]CURSOS!$D$10,[1]CURSOS!$E$10,(+IF($N56=[1]CURSOS!$D$11,[1]CURSOS!$E$11,(+IF($N56=[1]CURSOS!$D$12,[1]CURSOS!$E$12,(+IF($N56=[1]CURSOS!$D$13,[1]CURSOS!$E$13,(+IF($N56=[1]CURSOS!$D$14,[1]CURSOS!$E$14,(+IF($N56=[1]CURSOS!$D$15,[1]CURSOS!$E$15,(+IF($N56=[1]CURSOS!$D$16,[1]CURSOS!$E$16,(+IF($N56=[1]CURSOS!$D$17,[1]CURSOS!$E$17,(+IF($N56=[1]CURSOS!$D$18,[1]CURSOS!$E$18,(+IF($N56=[1]CURSOS!$D$19,[1]CURSOS!$E$19,(+IF($N56=[1]CURSOS!$D$20,[1]CURSOS!$E$20,(+IF($N56=[1]CURSOS!$D$21,[1]CURSOS!$E$21,(+IF($N56=[1]CURSOS!$D$22,[1]CURSOS!$E$22,(+IF($N56=[1]CURSOS!$D$23,[1]CURSOS!$E$23,(+IF($N56=[1]CURSOS!$D$24,[1]CURSOS!$E$24,(+IF($N56=[1]CURSOS!$D$25,[1]CURSOS!$E$25,(+IF($N56=[1]CURSOS!$D$26,[1]CURSOS!$E$26,(+IF($N56=[1]CURSOS!$D$27,[1]CURSOS!$E$27,(+IF($N56=[1]CURSOS!$D$28,[1]CURSOS!$E$28,(+IF($N56=[1]CURSOS!$D$29,[1]CURSOS!$E$29,(+IF($N56=[1]CURSOS!$D$30,[1]CURSOS!$E$30,(+IF($N56=[1]CURSOS!$D$31,[1]CURSOS!$E$31,(+IF($N56=[1]CURSOS!$D$32,[1]CURSOS!$E$32)))))))))))))))))))))))))))))))))))))))))))))))))))))))))))</f>
        <v xml:space="preserve">HUMANIZACION EN SALUD, BUENAS PRACTICAS EN PACIENTE </v>
      </c>
      <c r="T56" s="16" t="str">
        <f t="shared" si="6"/>
        <v>PATRICIA PILAR MELO RODRIGUEZ</v>
      </c>
      <c r="U56" s="16" t="str">
        <f t="shared" si="7"/>
        <v>Patricia Pilar Melo Rodriguez</v>
      </c>
      <c r="V56" s="16" t="str">
        <f t="shared" si="8"/>
        <v>PATRICIA PILAR MELO RODRIGUEZ-59813519-HUMANIZACION</v>
      </c>
    </row>
    <row r="57" spans="1:22" x14ac:dyDescent="0.2">
      <c r="A57" s="16">
        <v>57</v>
      </c>
      <c r="B57" s="16">
        <v>37082280</v>
      </c>
      <c r="C57" s="16" t="s">
        <v>210</v>
      </c>
      <c r="D57" s="16" t="s">
        <v>211</v>
      </c>
      <c r="E57" s="16" t="s">
        <v>212</v>
      </c>
      <c r="F57" s="17" t="s">
        <v>213</v>
      </c>
      <c r="G57" s="16">
        <v>12</v>
      </c>
      <c r="H57" s="16" t="s">
        <v>41</v>
      </c>
      <c r="I57" s="18">
        <v>45366</v>
      </c>
      <c r="J57" s="19">
        <v>15000</v>
      </c>
      <c r="K57" s="16" t="s">
        <v>64</v>
      </c>
      <c r="L57" s="16" t="s">
        <v>222</v>
      </c>
      <c r="M57" s="16" t="s">
        <v>29</v>
      </c>
      <c r="N57" s="16" t="s">
        <v>23</v>
      </c>
      <c r="O57" s="20">
        <v>29274</v>
      </c>
      <c r="P57" s="21" t="s">
        <v>31</v>
      </c>
      <c r="S57" s="16" t="str">
        <f>+IF($N57=[1]CURSOS!$D$3,[1]CURSOS!$E$3,(+IF($N57=[1]CURSOS!$D$4,[1]CURSOS!$E$4,(+IF($N57=[1]CURSOS!$D$5,[1]CURSOS!$E$5,(+IF($N57=[1]CURSOS!$D$6,[1]CURSOS!$E$6,(+IF($N57=[1]CURSOS!$D$7,[1]CURSOS!$E$7,(+IF($N57=[1]CURSOS!$D$8,[1]CURSOS!$E$8,(+IF($N57=[1]CURSOS!$D$9,[1]CURSOS!$E$9,(+IF($N57=[1]CURSOS!$D$10,[1]CURSOS!$E$10,(+IF($N57=[1]CURSOS!$D$11,[1]CURSOS!$E$11,(+IF($N57=[1]CURSOS!$D$12,[1]CURSOS!$E$12,(+IF($N57=[1]CURSOS!$D$13,[1]CURSOS!$E$13,(+IF($N57=[1]CURSOS!$D$14,[1]CURSOS!$E$14,(+IF($N57=[1]CURSOS!$D$15,[1]CURSOS!$E$15,(+IF($N57=[1]CURSOS!$D$16,[1]CURSOS!$E$16,(+IF($N57=[1]CURSOS!$D$17,[1]CURSOS!$E$17,(+IF($N57=[1]CURSOS!$D$18,[1]CURSOS!$E$18,(+IF($N57=[1]CURSOS!$D$19,[1]CURSOS!$E$19,(+IF($N57=[1]CURSOS!$D$20,[1]CURSOS!$E$20,(+IF($N57=[1]CURSOS!$D$21,[1]CURSOS!$E$21,(+IF($N57=[1]CURSOS!$D$22,[1]CURSOS!$E$22,(+IF($N57=[1]CURSOS!$D$23,[1]CURSOS!$E$23,(+IF($N57=[1]CURSOS!$D$24,[1]CURSOS!$E$24,(+IF($N57=[1]CURSOS!$D$25,[1]CURSOS!$E$25,(+IF($N57=[1]CURSOS!$D$26,[1]CURSOS!$E$26,(+IF($N57=[1]CURSOS!$D$27,[1]CURSOS!$E$27,(+IF($N57=[1]CURSOS!$D$28,[1]CURSOS!$E$28,(+IF($N57=[1]CURSOS!$D$29,[1]CURSOS!$E$29,(+IF($N57=[1]CURSOS!$D$30,[1]CURSOS!$E$30,(+IF($N57=[1]CURSOS!$D$31,[1]CURSOS!$E$31,(+IF($N57=[1]CURSOS!$D$32,[1]CURSOS!$E$32)))))))))))))))))))))))))))))))))))))))))))))))))))))))))))</f>
        <v xml:space="preserve">HUMANIZACION EN SALUD, BUENAS PRACTICAS EN PACIENTE </v>
      </c>
      <c r="T57" s="16" t="str">
        <f t="shared" si="6"/>
        <v>BLANCA GLORIA MUÑOZ ROJAS</v>
      </c>
      <c r="U57" s="16" t="str">
        <f t="shared" si="7"/>
        <v>Blanca Gloria Muñoz Rojas</v>
      </c>
      <c r="V57" s="16" t="str">
        <f t="shared" si="8"/>
        <v>BLANCA GLORIA MUÑOZ ROJAS-37082280-HUMANIZACION</v>
      </c>
    </row>
    <row r="58" spans="1:22" x14ac:dyDescent="0.2">
      <c r="A58" s="16">
        <v>58</v>
      </c>
      <c r="B58" s="16">
        <v>59837466</v>
      </c>
      <c r="C58" s="16" t="s">
        <v>214</v>
      </c>
      <c r="D58" s="16" t="s">
        <v>214</v>
      </c>
      <c r="E58" s="16" t="s">
        <v>215</v>
      </c>
      <c r="F58" s="17" t="s">
        <v>216</v>
      </c>
      <c r="G58" s="16">
        <v>12</v>
      </c>
      <c r="H58" s="16" t="s">
        <v>41</v>
      </c>
      <c r="I58" s="18">
        <v>45366</v>
      </c>
      <c r="J58" s="19">
        <v>15000</v>
      </c>
      <c r="K58" s="16" t="s">
        <v>64</v>
      </c>
      <c r="L58" s="16" t="s">
        <v>222</v>
      </c>
      <c r="M58" s="16" t="s">
        <v>29</v>
      </c>
      <c r="N58" s="16" t="s">
        <v>23</v>
      </c>
      <c r="O58" s="20">
        <v>25033</v>
      </c>
      <c r="P58" s="21" t="s">
        <v>31</v>
      </c>
      <c r="S58" s="16" t="str">
        <f>+IF($N58=[1]CURSOS!$D$3,[1]CURSOS!$E$3,(+IF($N58=[1]CURSOS!$D$4,[1]CURSOS!$E$4,(+IF($N58=[1]CURSOS!$D$5,[1]CURSOS!$E$5,(+IF($N58=[1]CURSOS!$D$6,[1]CURSOS!$E$6,(+IF($N58=[1]CURSOS!$D$7,[1]CURSOS!$E$7,(+IF($N58=[1]CURSOS!$D$8,[1]CURSOS!$E$8,(+IF($N58=[1]CURSOS!$D$9,[1]CURSOS!$E$9,(+IF($N58=[1]CURSOS!$D$10,[1]CURSOS!$E$10,(+IF($N58=[1]CURSOS!$D$11,[1]CURSOS!$E$11,(+IF($N58=[1]CURSOS!$D$12,[1]CURSOS!$E$12,(+IF($N58=[1]CURSOS!$D$13,[1]CURSOS!$E$13,(+IF($N58=[1]CURSOS!$D$14,[1]CURSOS!$E$14,(+IF($N58=[1]CURSOS!$D$15,[1]CURSOS!$E$15,(+IF($N58=[1]CURSOS!$D$16,[1]CURSOS!$E$16,(+IF($N58=[1]CURSOS!$D$17,[1]CURSOS!$E$17,(+IF($N58=[1]CURSOS!$D$18,[1]CURSOS!$E$18,(+IF($N58=[1]CURSOS!$D$19,[1]CURSOS!$E$19,(+IF($N58=[1]CURSOS!$D$20,[1]CURSOS!$E$20,(+IF($N58=[1]CURSOS!$D$21,[1]CURSOS!$E$21,(+IF($N58=[1]CURSOS!$D$22,[1]CURSOS!$E$22,(+IF($N58=[1]CURSOS!$D$23,[1]CURSOS!$E$23,(+IF($N58=[1]CURSOS!$D$24,[1]CURSOS!$E$24,(+IF($N58=[1]CURSOS!$D$25,[1]CURSOS!$E$25,(+IF($N58=[1]CURSOS!$D$26,[1]CURSOS!$E$26,(+IF($N58=[1]CURSOS!$D$27,[1]CURSOS!$E$27,(+IF($N58=[1]CURSOS!$D$28,[1]CURSOS!$E$28,(+IF($N58=[1]CURSOS!$D$29,[1]CURSOS!$E$29,(+IF($N58=[1]CURSOS!$D$30,[1]CURSOS!$E$30,(+IF($N58=[1]CURSOS!$D$31,[1]CURSOS!$E$31,(+IF($N58=[1]CURSOS!$D$32,[1]CURSOS!$E$32)))))))))))))))))))))))))))))))))))))))))))))))))))))))))))</f>
        <v xml:space="preserve">HUMANIZACION EN SALUD, BUENAS PRACTICAS EN PACIENTE </v>
      </c>
      <c r="T58" s="16" t="str">
        <f t="shared" si="6"/>
        <v>RITA DEL CARMEN BENAVIDES BENAVIDES</v>
      </c>
      <c r="U58" s="16" t="str">
        <f t="shared" si="7"/>
        <v>Rita Del Carmen Benavides Benavides</v>
      </c>
      <c r="V58" s="16" t="str">
        <f t="shared" si="8"/>
        <v>RITA DEL CARMEN BENAVIDES BENAVIDES-59837466-HUMANIZACION</v>
      </c>
    </row>
    <row r="59" spans="1:22" x14ac:dyDescent="0.2">
      <c r="A59" s="16">
        <v>59</v>
      </c>
      <c r="B59" s="16">
        <v>59312008</v>
      </c>
      <c r="C59" s="16" t="s">
        <v>217</v>
      </c>
      <c r="D59" s="16" t="s">
        <v>218</v>
      </c>
      <c r="E59" s="16" t="s">
        <v>219</v>
      </c>
      <c r="F59" s="17" t="s">
        <v>220</v>
      </c>
      <c r="G59" s="16">
        <v>12</v>
      </c>
      <c r="H59" s="16" t="s">
        <v>41</v>
      </c>
      <c r="I59" s="18">
        <v>45366</v>
      </c>
      <c r="J59" s="19">
        <v>15000</v>
      </c>
      <c r="K59" s="16" t="s">
        <v>64</v>
      </c>
      <c r="L59" s="16" t="s">
        <v>222</v>
      </c>
      <c r="M59" s="16" t="s">
        <v>29</v>
      </c>
      <c r="N59" s="16" t="s">
        <v>23</v>
      </c>
      <c r="O59" s="20">
        <v>30254</v>
      </c>
      <c r="P59" s="21" t="s">
        <v>31</v>
      </c>
      <c r="S59" s="16" t="str">
        <f>+IF($N59=[1]CURSOS!$D$3,[1]CURSOS!$E$3,(+IF($N59=[1]CURSOS!$D$4,[1]CURSOS!$E$4,(+IF($N59=[1]CURSOS!$D$5,[1]CURSOS!$E$5,(+IF($N59=[1]CURSOS!$D$6,[1]CURSOS!$E$6,(+IF($N59=[1]CURSOS!$D$7,[1]CURSOS!$E$7,(+IF($N59=[1]CURSOS!$D$8,[1]CURSOS!$E$8,(+IF($N59=[1]CURSOS!$D$9,[1]CURSOS!$E$9,(+IF($N59=[1]CURSOS!$D$10,[1]CURSOS!$E$10,(+IF($N59=[1]CURSOS!$D$11,[1]CURSOS!$E$11,(+IF($N59=[1]CURSOS!$D$12,[1]CURSOS!$E$12,(+IF($N59=[1]CURSOS!$D$13,[1]CURSOS!$E$13,(+IF($N59=[1]CURSOS!$D$14,[1]CURSOS!$E$14,(+IF($N59=[1]CURSOS!$D$15,[1]CURSOS!$E$15,(+IF($N59=[1]CURSOS!$D$16,[1]CURSOS!$E$16,(+IF($N59=[1]CURSOS!$D$17,[1]CURSOS!$E$17,(+IF($N59=[1]CURSOS!$D$18,[1]CURSOS!$E$18,(+IF($N59=[1]CURSOS!$D$19,[1]CURSOS!$E$19,(+IF($N59=[1]CURSOS!$D$20,[1]CURSOS!$E$20,(+IF($N59=[1]CURSOS!$D$21,[1]CURSOS!$E$21,(+IF($N59=[1]CURSOS!$D$22,[1]CURSOS!$E$22,(+IF($N59=[1]CURSOS!$D$23,[1]CURSOS!$E$23,(+IF($N59=[1]CURSOS!$D$24,[1]CURSOS!$E$24,(+IF($N59=[1]CURSOS!$D$25,[1]CURSOS!$E$25,(+IF($N59=[1]CURSOS!$D$26,[1]CURSOS!$E$26,(+IF($N59=[1]CURSOS!$D$27,[1]CURSOS!$E$27,(+IF($N59=[1]CURSOS!$D$28,[1]CURSOS!$E$28,(+IF($N59=[1]CURSOS!$D$29,[1]CURSOS!$E$29,(+IF($N59=[1]CURSOS!$D$30,[1]CURSOS!$E$30,(+IF($N59=[1]CURSOS!$D$31,[1]CURSOS!$E$31,(+IF($N59=[1]CURSOS!$D$32,[1]CURSOS!$E$32)))))))))))))))))))))))))))))))))))))))))))))))))))))))))))</f>
        <v xml:space="preserve">HUMANIZACION EN SALUD, BUENAS PRACTICAS EN PACIENTE </v>
      </c>
      <c r="T59" s="16" t="str">
        <f t="shared" si="6"/>
        <v>NELLY AMPARO ESCOBAR ASCUNTAR</v>
      </c>
      <c r="U59" s="16" t="str">
        <f t="shared" si="7"/>
        <v>Nelly Amparo Escobar Ascuntar</v>
      </c>
      <c r="V59" s="16" t="str">
        <f t="shared" si="8"/>
        <v>NELLY AMPARO ESCOBAR ASCUNTAR-59312008-HUMANIZACION</v>
      </c>
    </row>
    <row r="60" spans="1:22" x14ac:dyDescent="0.2">
      <c r="A60" s="16">
        <v>60</v>
      </c>
      <c r="B60" s="16">
        <v>1087185734</v>
      </c>
      <c r="C60" s="16" t="s">
        <v>103</v>
      </c>
      <c r="D60" s="16" t="s">
        <v>130</v>
      </c>
      <c r="E60" s="16" t="s">
        <v>148</v>
      </c>
      <c r="F60" s="17" t="s">
        <v>201</v>
      </c>
      <c r="G60" s="16">
        <v>12</v>
      </c>
      <c r="H60" s="16" t="s">
        <v>41</v>
      </c>
      <c r="I60" s="18">
        <v>45363</v>
      </c>
      <c r="J60" s="16">
        <v>40000</v>
      </c>
      <c r="K60" s="16" t="s">
        <v>32</v>
      </c>
      <c r="L60" s="16" t="s">
        <v>222</v>
      </c>
      <c r="M60" s="16" t="s">
        <v>204</v>
      </c>
      <c r="N60" s="16" t="s">
        <v>20</v>
      </c>
      <c r="P60" s="21" t="s">
        <v>31</v>
      </c>
      <c r="R60" s="16">
        <v>1087185734</v>
      </c>
      <c r="S60" s="16" t="str">
        <f>+IF($N60=[1]CURSOS!$D$3,[1]CURSOS!$E$3,(+IF($N60=[1]CURSOS!$D$4,[1]CURSOS!$E$4,(+IF($N60=[1]CURSOS!$D$5,[1]CURSOS!$E$5,(+IF($N60=[1]CURSOS!$D$6,[1]CURSOS!$E$6,(+IF($N60=[1]CURSOS!$D$7,[1]CURSOS!$E$7,(+IF($N60=[1]CURSOS!$D$8,[1]CURSOS!$E$8,(+IF($N60=[1]CURSOS!$D$9,[1]CURSOS!$E$9,(+IF($N60=[1]CURSOS!$D$10,[1]CURSOS!$E$10,(+IF($N60=[1]CURSOS!$D$11,[1]CURSOS!$E$11,(+IF($N60=[1]CURSOS!$D$12,[1]CURSOS!$E$12,(+IF($N60=[1]CURSOS!$D$13,[1]CURSOS!$E$13,(+IF($N60=[1]CURSOS!$D$14,[1]CURSOS!$E$14,(+IF($N60=[1]CURSOS!$D$15,[1]CURSOS!$E$15,(+IF($N60=[1]CURSOS!$D$16,[1]CURSOS!$E$16,(+IF($N60=[1]CURSOS!$D$17,[1]CURSOS!$E$17,(+IF($N60=[1]CURSOS!$D$18,[1]CURSOS!$E$18,(+IF($N60=[1]CURSOS!$D$19,[1]CURSOS!$E$19,(+IF($N60=[1]CURSOS!$D$20,[1]CURSOS!$E$20,(+IF($N60=[1]CURSOS!$D$21,[1]CURSOS!$E$21,(+IF($N60=[1]CURSOS!$D$22,[1]CURSOS!$E$22,(+IF($N60=[1]CURSOS!$D$23,[1]CURSOS!$E$23,(+IF($N60=[1]CURSOS!$D$24,[1]CURSOS!$E$24,(+IF($N60=[1]CURSOS!$D$25,[1]CURSOS!$E$25,(+IF($N60=[1]CURSOS!$D$26,[1]CURSOS!$E$26,(+IF($N60=[1]CURSOS!$D$27,[1]CURSOS!$E$27,(+IF($N60=[1]CURSOS!$D$28,[1]CURSOS!$E$28,(+IF($N60=[1]CURSOS!$D$29,[1]CURSOS!$E$29,(+IF($N60=[1]CURSOS!$D$30,[1]CURSOS!$E$30,(+IF($N60=[1]CURSOS!$D$31,[1]CURSOS!$E$31,(+IF($N60=[1]CURSOS!$D$32,[1]CURSOS!$E$32)))))))))))))))))))))))))))))))))))))))))))))))))))))))))))</f>
        <v>ACOMPAÑAMIENTO Y MANEJO DEL DUELO</v>
      </c>
      <c r="T60" s="16" t="str">
        <f t="shared" si="6"/>
        <v>JULLY FERNANDA HENAO SILVA</v>
      </c>
      <c r="U60" s="16" t="str">
        <f t="shared" si="7"/>
        <v>Jully Fernanda Henao Silva</v>
      </c>
      <c r="V60" s="16" t="str">
        <f t="shared" si="8"/>
        <v>JULLY FERNANDA HENAO SILVA-1087185734-DUELO</v>
      </c>
    </row>
    <row r="61" spans="1:22" x14ac:dyDescent="0.2">
      <c r="A61" s="16">
        <v>61</v>
      </c>
      <c r="B61" s="16">
        <v>1010036653</v>
      </c>
      <c r="C61" s="16" t="s">
        <v>104</v>
      </c>
      <c r="D61" s="16" t="s">
        <v>131</v>
      </c>
      <c r="E61" s="16" t="s">
        <v>149</v>
      </c>
      <c r="F61" s="17" t="s">
        <v>205</v>
      </c>
      <c r="G61" s="16">
        <v>12</v>
      </c>
      <c r="H61" s="16" t="s">
        <v>41</v>
      </c>
      <c r="I61" s="18">
        <v>45363</v>
      </c>
      <c r="J61" s="16">
        <v>40000</v>
      </c>
      <c r="K61" s="16" t="s">
        <v>32</v>
      </c>
      <c r="L61" s="16" t="s">
        <v>222</v>
      </c>
      <c r="M61" s="16" t="s">
        <v>204</v>
      </c>
      <c r="N61" s="16" t="s">
        <v>20</v>
      </c>
      <c r="P61" s="21" t="s">
        <v>31</v>
      </c>
      <c r="R61" s="16">
        <v>1010036653</v>
      </c>
      <c r="S61" s="16" t="str">
        <f>+IF($N61=[1]CURSOS!$D$3,[1]CURSOS!$E$3,(+IF($N61=[1]CURSOS!$D$4,[1]CURSOS!$E$4,(+IF($N61=[1]CURSOS!$D$5,[1]CURSOS!$E$5,(+IF($N61=[1]CURSOS!$D$6,[1]CURSOS!$E$6,(+IF($N61=[1]CURSOS!$D$7,[1]CURSOS!$E$7,(+IF($N61=[1]CURSOS!$D$8,[1]CURSOS!$E$8,(+IF($N61=[1]CURSOS!$D$9,[1]CURSOS!$E$9,(+IF($N61=[1]CURSOS!$D$10,[1]CURSOS!$E$10,(+IF($N61=[1]CURSOS!$D$11,[1]CURSOS!$E$11,(+IF($N61=[1]CURSOS!$D$12,[1]CURSOS!$E$12,(+IF($N61=[1]CURSOS!$D$13,[1]CURSOS!$E$13,(+IF($N61=[1]CURSOS!$D$14,[1]CURSOS!$E$14,(+IF($N61=[1]CURSOS!$D$15,[1]CURSOS!$E$15,(+IF($N61=[1]CURSOS!$D$16,[1]CURSOS!$E$16,(+IF($N61=[1]CURSOS!$D$17,[1]CURSOS!$E$17,(+IF($N61=[1]CURSOS!$D$18,[1]CURSOS!$E$18,(+IF($N61=[1]CURSOS!$D$19,[1]CURSOS!$E$19,(+IF($N61=[1]CURSOS!$D$20,[1]CURSOS!$E$20,(+IF($N61=[1]CURSOS!$D$21,[1]CURSOS!$E$21,(+IF($N61=[1]CURSOS!$D$22,[1]CURSOS!$E$22,(+IF($N61=[1]CURSOS!$D$23,[1]CURSOS!$E$23,(+IF($N61=[1]CURSOS!$D$24,[1]CURSOS!$E$24,(+IF($N61=[1]CURSOS!$D$25,[1]CURSOS!$E$25,(+IF($N61=[1]CURSOS!$D$26,[1]CURSOS!$E$26,(+IF($N61=[1]CURSOS!$D$27,[1]CURSOS!$E$27,(+IF($N61=[1]CURSOS!$D$28,[1]CURSOS!$E$28,(+IF($N61=[1]CURSOS!$D$29,[1]CURSOS!$E$29,(+IF($N61=[1]CURSOS!$D$30,[1]CURSOS!$E$30,(+IF($N61=[1]CURSOS!$D$31,[1]CURSOS!$E$31,(+IF($N61=[1]CURSOS!$D$32,[1]CURSOS!$E$32)))))))))))))))))))))))))))))))))))))))))))))))))))))))))))</f>
        <v>ACOMPAÑAMIENTO Y MANEJO DEL DUELO</v>
      </c>
      <c r="T61" s="16" t="str">
        <f t="shared" si="6"/>
        <v>NELLA GETZELY VALENCIA ANGULO</v>
      </c>
      <c r="U61" s="16" t="str">
        <f t="shared" si="7"/>
        <v>Nella Getzely Valencia Angulo</v>
      </c>
      <c r="V61" s="16" t="str">
        <f t="shared" si="8"/>
        <v>NELLA GETZELY VALENCIA ANGULO-1010036653-DUELO</v>
      </c>
    </row>
    <row r="62" spans="1:22" x14ac:dyDescent="0.2">
      <c r="A62" s="16">
        <v>62</v>
      </c>
      <c r="B62" s="16">
        <v>59683464</v>
      </c>
      <c r="C62" s="16" t="s">
        <v>105</v>
      </c>
      <c r="D62" s="16" t="s">
        <v>132</v>
      </c>
      <c r="E62" s="16" t="s">
        <v>150</v>
      </c>
      <c r="F62" s="17" t="s">
        <v>179</v>
      </c>
      <c r="G62" s="16">
        <v>12</v>
      </c>
      <c r="H62" s="16" t="s">
        <v>41</v>
      </c>
      <c r="I62" s="18">
        <v>45363</v>
      </c>
      <c r="J62" s="16">
        <v>40000</v>
      </c>
      <c r="K62" s="16" t="s">
        <v>32</v>
      </c>
      <c r="L62" s="16" t="s">
        <v>222</v>
      </c>
      <c r="M62" s="16" t="s">
        <v>204</v>
      </c>
      <c r="N62" s="16" t="s">
        <v>20</v>
      </c>
      <c r="P62" s="21" t="s">
        <v>31</v>
      </c>
      <c r="R62" s="16">
        <v>59683464</v>
      </c>
      <c r="S62" s="16" t="str">
        <f>+IF($N62=[1]CURSOS!$D$3,[1]CURSOS!$E$3,(+IF($N62=[1]CURSOS!$D$4,[1]CURSOS!$E$4,(+IF($N62=[1]CURSOS!$D$5,[1]CURSOS!$E$5,(+IF($N62=[1]CURSOS!$D$6,[1]CURSOS!$E$6,(+IF($N62=[1]CURSOS!$D$7,[1]CURSOS!$E$7,(+IF($N62=[1]CURSOS!$D$8,[1]CURSOS!$E$8,(+IF($N62=[1]CURSOS!$D$9,[1]CURSOS!$E$9,(+IF($N62=[1]CURSOS!$D$10,[1]CURSOS!$E$10,(+IF($N62=[1]CURSOS!$D$11,[1]CURSOS!$E$11,(+IF($N62=[1]CURSOS!$D$12,[1]CURSOS!$E$12,(+IF($N62=[1]CURSOS!$D$13,[1]CURSOS!$E$13,(+IF($N62=[1]CURSOS!$D$14,[1]CURSOS!$E$14,(+IF($N62=[1]CURSOS!$D$15,[1]CURSOS!$E$15,(+IF($N62=[1]CURSOS!$D$16,[1]CURSOS!$E$16,(+IF($N62=[1]CURSOS!$D$17,[1]CURSOS!$E$17,(+IF($N62=[1]CURSOS!$D$18,[1]CURSOS!$E$18,(+IF($N62=[1]CURSOS!$D$19,[1]CURSOS!$E$19,(+IF($N62=[1]CURSOS!$D$20,[1]CURSOS!$E$20,(+IF($N62=[1]CURSOS!$D$21,[1]CURSOS!$E$21,(+IF($N62=[1]CURSOS!$D$22,[1]CURSOS!$E$22,(+IF($N62=[1]CURSOS!$D$23,[1]CURSOS!$E$23,(+IF($N62=[1]CURSOS!$D$24,[1]CURSOS!$E$24,(+IF($N62=[1]CURSOS!$D$25,[1]CURSOS!$E$25,(+IF($N62=[1]CURSOS!$D$26,[1]CURSOS!$E$26,(+IF($N62=[1]CURSOS!$D$27,[1]CURSOS!$E$27,(+IF($N62=[1]CURSOS!$D$28,[1]CURSOS!$E$28,(+IF($N62=[1]CURSOS!$D$29,[1]CURSOS!$E$29,(+IF($N62=[1]CURSOS!$D$30,[1]CURSOS!$E$30,(+IF($N62=[1]CURSOS!$D$31,[1]CURSOS!$E$31,(+IF($N62=[1]CURSOS!$D$32,[1]CURSOS!$E$32)))))))))))))))))))))))))))))))))))))))))))))))))))))))))))</f>
        <v>ACOMPAÑAMIENTO Y MANEJO DEL DUELO</v>
      </c>
      <c r="T62" s="16" t="str">
        <f t="shared" si="6"/>
        <v>ROCIO DEL PILAR MEJIA CORTES</v>
      </c>
      <c r="U62" s="16" t="str">
        <f t="shared" si="7"/>
        <v>Rocio Del Pilar Mejia Cortes</v>
      </c>
      <c r="V62" s="16" t="str">
        <f t="shared" si="8"/>
        <v>ROCIO DEL PILAR MEJIA CORTES-59683464-DUELO</v>
      </c>
    </row>
    <row r="63" spans="1:22" x14ac:dyDescent="0.2">
      <c r="A63" s="16">
        <v>63</v>
      </c>
      <c r="B63" s="16">
        <v>37086162</v>
      </c>
      <c r="C63" s="16" t="s">
        <v>106</v>
      </c>
      <c r="D63" s="16" t="s">
        <v>133</v>
      </c>
      <c r="E63" s="16" t="s">
        <v>151</v>
      </c>
      <c r="F63" s="17" t="s">
        <v>180</v>
      </c>
      <c r="G63" s="16">
        <v>12</v>
      </c>
      <c r="H63" s="16" t="s">
        <v>41</v>
      </c>
      <c r="I63" s="18">
        <v>45363</v>
      </c>
      <c r="J63" s="16">
        <v>40000</v>
      </c>
      <c r="K63" s="16" t="s">
        <v>32</v>
      </c>
      <c r="L63" s="16" t="s">
        <v>222</v>
      </c>
      <c r="M63" s="16" t="s">
        <v>204</v>
      </c>
      <c r="N63" s="16" t="s">
        <v>20</v>
      </c>
      <c r="P63" s="21" t="s">
        <v>31</v>
      </c>
      <c r="S63" s="16" t="str">
        <f>+IF($N63=[1]CURSOS!$D$3,[1]CURSOS!$E$3,(+IF($N63=[1]CURSOS!$D$4,[1]CURSOS!$E$4,(+IF($N63=[1]CURSOS!$D$5,[1]CURSOS!$E$5,(+IF($N63=[1]CURSOS!$D$6,[1]CURSOS!$E$6,(+IF($N63=[1]CURSOS!$D$7,[1]CURSOS!$E$7,(+IF($N63=[1]CURSOS!$D$8,[1]CURSOS!$E$8,(+IF($N63=[1]CURSOS!$D$9,[1]CURSOS!$E$9,(+IF($N63=[1]CURSOS!$D$10,[1]CURSOS!$E$10,(+IF($N63=[1]CURSOS!$D$11,[1]CURSOS!$E$11,(+IF($N63=[1]CURSOS!$D$12,[1]CURSOS!$E$12,(+IF($N63=[1]CURSOS!$D$13,[1]CURSOS!$E$13,(+IF($N63=[1]CURSOS!$D$14,[1]CURSOS!$E$14,(+IF($N63=[1]CURSOS!$D$15,[1]CURSOS!$E$15,(+IF($N63=[1]CURSOS!$D$16,[1]CURSOS!$E$16,(+IF($N63=[1]CURSOS!$D$17,[1]CURSOS!$E$17,(+IF($N63=[1]CURSOS!$D$18,[1]CURSOS!$E$18,(+IF($N63=[1]CURSOS!$D$19,[1]CURSOS!$E$19,(+IF($N63=[1]CURSOS!$D$20,[1]CURSOS!$E$20,(+IF($N63=[1]CURSOS!$D$21,[1]CURSOS!$E$21,(+IF($N63=[1]CURSOS!$D$22,[1]CURSOS!$E$22,(+IF($N63=[1]CURSOS!$D$23,[1]CURSOS!$E$23,(+IF($N63=[1]CURSOS!$D$24,[1]CURSOS!$E$24,(+IF($N63=[1]CURSOS!$D$25,[1]CURSOS!$E$25,(+IF($N63=[1]CURSOS!$D$26,[1]CURSOS!$E$26,(+IF($N63=[1]CURSOS!$D$27,[1]CURSOS!$E$27,(+IF($N63=[1]CURSOS!$D$28,[1]CURSOS!$E$28,(+IF($N63=[1]CURSOS!$D$29,[1]CURSOS!$E$29,(+IF($N63=[1]CURSOS!$D$30,[1]CURSOS!$E$30,(+IF($N63=[1]CURSOS!$D$31,[1]CURSOS!$E$31,(+IF($N63=[1]CURSOS!$D$32,[1]CURSOS!$E$32)))))))))))))))))))))))))))))))))))))))))))))))))))))))))))</f>
        <v>ACOMPAÑAMIENTO Y MANEJO DEL DUELO</v>
      </c>
      <c r="T63" s="16" t="str">
        <f t="shared" si="6"/>
        <v>VIVIANA NATHALI TRIVIÑO ROSERO</v>
      </c>
      <c r="U63" s="16" t="str">
        <f t="shared" si="7"/>
        <v>Viviana Nathali Triviño Rosero</v>
      </c>
      <c r="V63" s="16" t="str">
        <f t="shared" si="8"/>
        <v>VIVIANA NATHALI TRIVIÑO ROSERO-37086162-DUELO</v>
      </c>
    </row>
    <row r="64" spans="1:22" x14ac:dyDescent="0.2">
      <c r="A64" s="16">
        <v>64</v>
      </c>
      <c r="B64" s="16">
        <v>1085274738</v>
      </c>
      <c r="C64" s="16" t="s">
        <v>107</v>
      </c>
      <c r="D64" s="16" t="s">
        <v>134</v>
      </c>
      <c r="E64" s="16" t="s">
        <v>152</v>
      </c>
      <c r="F64" s="17" t="s">
        <v>181</v>
      </c>
      <c r="G64" s="16">
        <v>12</v>
      </c>
      <c r="H64" s="16" t="s">
        <v>41</v>
      </c>
      <c r="I64" s="18">
        <v>45363</v>
      </c>
      <c r="J64" s="16">
        <v>40000</v>
      </c>
      <c r="K64" s="16" t="s">
        <v>32</v>
      </c>
      <c r="L64" s="16" t="s">
        <v>222</v>
      </c>
      <c r="M64" s="16" t="s">
        <v>204</v>
      </c>
      <c r="N64" s="16" t="s">
        <v>20</v>
      </c>
      <c r="P64" s="21" t="s">
        <v>31</v>
      </c>
      <c r="R64" s="16">
        <v>1085274738</v>
      </c>
      <c r="S64" s="16" t="str">
        <f>+IF($N64=[1]CURSOS!$D$3,[1]CURSOS!$E$3,(+IF($N64=[1]CURSOS!$D$4,[1]CURSOS!$E$4,(+IF($N64=[1]CURSOS!$D$5,[1]CURSOS!$E$5,(+IF($N64=[1]CURSOS!$D$6,[1]CURSOS!$E$6,(+IF($N64=[1]CURSOS!$D$7,[1]CURSOS!$E$7,(+IF($N64=[1]CURSOS!$D$8,[1]CURSOS!$E$8,(+IF($N64=[1]CURSOS!$D$9,[1]CURSOS!$E$9,(+IF($N64=[1]CURSOS!$D$10,[1]CURSOS!$E$10,(+IF($N64=[1]CURSOS!$D$11,[1]CURSOS!$E$11,(+IF($N64=[1]CURSOS!$D$12,[1]CURSOS!$E$12,(+IF($N64=[1]CURSOS!$D$13,[1]CURSOS!$E$13,(+IF($N64=[1]CURSOS!$D$14,[1]CURSOS!$E$14,(+IF($N64=[1]CURSOS!$D$15,[1]CURSOS!$E$15,(+IF($N64=[1]CURSOS!$D$16,[1]CURSOS!$E$16,(+IF($N64=[1]CURSOS!$D$17,[1]CURSOS!$E$17,(+IF($N64=[1]CURSOS!$D$18,[1]CURSOS!$E$18,(+IF($N64=[1]CURSOS!$D$19,[1]CURSOS!$E$19,(+IF($N64=[1]CURSOS!$D$20,[1]CURSOS!$E$20,(+IF($N64=[1]CURSOS!$D$21,[1]CURSOS!$E$21,(+IF($N64=[1]CURSOS!$D$22,[1]CURSOS!$E$22,(+IF($N64=[1]CURSOS!$D$23,[1]CURSOS!$E$23,(+IF($N64=[1]CURSOS!$D$24,[1]CURSOS!$E$24,(+IF($N64=[1]CURSOS!$D$25,[1]CURSOS!$E$25,(+IF($N64=[1]CURSOS!$D$26,[1]CURSOS!$E$26,(+IF($N64=[1]CURSOS!$D$27,[1]CURSOS!$E$27,(+IF($N64=[1]CURSOS!$D$28,[1]CURSOS!$E$28,(+IF($N64=[1]CURSOS!$D$29,[1]CURSOS!$E$29,(+IF($N64=[1]CURSOS!$D$30,[1]CURSOS!$E$30,(+IF($N64=[1]CURSOS!$D$31,[1]CURSOS!$E$31,(+IF($N64=[1]CURSOS!$D$32,[1]CURSOS!$E$32)))))))))))))))))))))))))))))))))))))))))))))))))))))))))))</f>
        <v>ACOMPAÑAMIENTO Y MANEJO DEL DUELO</v>
      </c>
      <c r="T64" s="16" t="str">
        <f t="shared" si="6"/>
        <v>CINTHYA CAROLINA GONZALEZ SALAZAR</v>
      </c>
      <c r="U64" s="16" t="str">
        <f t="shared" si="7"/>
        <v>Cinthya Carolina Gonzalez Salazar</v>
      </c>
      <c r="V64" s="16" t="str">
        <f t="shared" si="8"/>
        <v>CINTHYA CAROLINA GONZALEZ SALAZAR-1085274738-DUELO</v>
      </c>
    </row>
    <row r="65" spans="1:22" x14ac:dyDescent="0.2">
      <c r="A65" s="16">
        <v>65</v>
      </c>
      <c r="B65" s="16">
        <v>1087206823</v>
      </c>
      <c r="C65" s="16" t="s">
        <v>108</v>
      </c>
      <c r="D65" s="16" t="s">
        <v>135</v>
      </c>
      <c r="E65" s="16" t="s">
        <v>153</v>
      </c>
      <c r="F65" s="17" t="s">
        <v>182</v>
      </c>
      <c r="G65" s="16">
        <v>12</v>
      </c>
      <c r="H65" s="16" t="s">
        <v>41</v>
      </c>
      <c r="I65" s="18">
        <v>45363</v>
      </c>
      <c r="J65" s="16">
        <v>40000</v>
      </c>
      <c r="K65" s="16" t="s">
        <v>32</v>
      </c>
      <c r="L65" s="16" t="s">
        <v>222</v>
      </c>
      <c r="M65" s="16" t="s">
        <v>204</v>
      </c>
      <c r="N65" s="16" t="s">
        <v>20</v>
      </c>
      <c r="P65" s="21" t="s">
        <v>83</v>
      </c>
      <c r="R65" s="16">
        <v>1087206823</v>
      </c>
      <c r="S65" s="16" t="str">
        <f>+IF($N65=[1]CURSOS!$D$3,[1]CURSOS!$E$3,(+IF($N65=[1]CURSOS!$D$4,[1]CURSOS!$E$4,(+IF($N65=[1]CURSOS!$D$5,[1]CURSOS!$E$5,(+IF($N65=[1]CURSOS!$D$6,[1]CURSOS!$E$6,(+IF($N65=[1]CURSOS!$D$7,[1]CURSOS!$E$7,(+IF($N65=[1]CURSOS!$D$8,[1]CURSOS!$E$8,(+IF($N65=[1]CURSOS!$D$9,[1]CURSOS!$E$9,(+IF($N65=[1]CURSOS!$D$10,[1]CURSOS!$E$10,(+IF($N65=[1]CURSOS!$D$11,[1]CURSOS!$E$11,(+IF($N65=[1]CURSOS!$D$12,[1]CURSOS!$E$12,(+IF($N65=[1]CURSOS!$D$13,[1]CURSOS!$E$13,(+IF($N65=[1]CURSOS!$D$14,[1]CURSOS!$E$14,(+IF($N65=[1]CURSOS!$D$15,[1]CURSOS!$E$15,(+IF($N65=[1]CURSOS!$D$16,[1]CURSOS!$E$16,(+IF($N65=[1]CURSOS!$D$17,[1]CURSOS!$E$17,(+IF($N65=[1]CURSOS!$D$18,[1]CURSOS!$E$18,(+IF($N65=[1]CURSOS!$D$19,[1]CURSOS!$E$19,(+IF($N65=[1]CURSOS!$D$20,[1]CURSOS!$E$20,(+IF($N65=[1]CURSOS!$D$21,[1]CURSOS!$E$21,(+IF($N65=[1]CURSOS!$D$22,[1]CURSOS!$E$22,(+IF($N65=[1]CURSOS!$D$23,[1]CURSOS!$E$23,(+IF($N65=[1]CURSOS!$D$24,[1]CURSOS!$E$24,(+IF($N65=[1]CURSOS!$D$25,[1]CURSOS!$E$25,(+IF($N65=[1]CURSOS!$D$26,[1]CURSOS!$E$26,(+IF($N65=[1]CURSOS!$D$27,[1]CURSOS!$E$27,(+IF($N65=[1]CURSOS!$D$28,[1]CURSOS!$E$28,(+IF($N65=[1]CURSOS!$D$29,[1]CURSOS!$E$29,(+IF($N65=[1]CURSOS!$D$30,[1]CURSOS!$E$30,(+IF($N65=[1]CURSOS!$D$31,[1]CURSOS!$E$31,(+IF($N65=[1]CURSOS!$D$32,[1]CURSOS!$E$32)))))))))))))))))))))))))))))))))))))))))))))))))))))))))))</f>
        <v>ACOMPAÑAMIENTO Y MANEJO DEL DUELO</v>
      </c>
      <c r="T65" s="16" t="str">
        <f t="shared" si="6"/>
        <v>JOSE LUIS CONTRERAS CUERO</v>
      </c>
      <c r="U65" s="16" t="str">
        <f t="shared" si="7"/>
        <v>Jose Luis Contreras Cuero</v>
      </c>
      <c r="V65" s="16" t="str">
        <f t="shared" si="8"/>
        <v>JOSE LUIS CONTRERAS CUERO-1087206823-DUELO</v>
      </c>
    </row>
    <row r="66" spans="1:22" x14ac:dyDescent="0.2">
      <c r="A66" s="16">
        <v>66</v>
      </c>
      <c r="B66" s="16">
        <v>1061820607</v>
      </c>
      <c r="C66" s="16" t="s">
        <v>109</v>
      </c>
      <c r="D66" s="16" t="s">
        <v>136</v>
      </c>
      <c r="E66" s="16" t="s">
        <v>154</v>
      </c>
      <c r="F66" s="17" t="s">
        <v>166</v>
      </c>
      <c r="G66" s="16">
        <v>12</v>
      </c>
      <c r="H66" s="16" t="s">
        <v>41</v>
      </c>
      <c r="I66" s="18">
        <v>45363</v>
      </c>
      <c r="J66" s="16">
        <v>40000</v>
      </c>
      <c r="K66" s="16" t="s">
        <v>32</v>
      </c>
      <c r="L66" s="16" t="s">
        <v>222</v>
      </c>
      <c r="M66" s="16" t="s">
        <v>204</v>
      </c>
      <c r="N66" s="16" t="s">
        <v>20</v>
      </c>
      <c r="P66" s="21" t="s">
        <v>31</v>
      </c>
      <c r="R66" s="16">
        <v>1061820607</v>
      </c>
      <c r="S66" s="16" t="str">
        <f>+IF($N66=[1]CURSOS!$D$3,[1]CURSOS!$E$3,(+IF($N66=[1]CURSOS!$D$4,[1]CURSOS!$E$4,(+IF($N66=[1]CURSOS!$D$5,[1]CURSOS!$E$5,(+IF($N66=[1]CURSOS!$D$6,[1]CURSOS!$E$6,(+IF($N66=[1]CURSOS!$D$7,[1]CURSOS!$E$7,(+IF($N66=[1]CURSOS!$D$8,[1]CURSOS!$E$8,(+IF($N66=[1]CURSOS!$D$9,[1]CURSOS!$E$9,(+IF($N66=[1]CURSOS!$D$10,[1]CURSOS!$E$10,(+IF($N66=[1]CURSOS!$D$11,[1]CURSOS!$E$11,(+IF($N66=[1]CURSOS!$D$12,[1]CURSOS!$E$12,(+IF($N66=[1]CURSOS!$D$13,[1]CURSOS!$E$13,(+IF($N66=[1]CURSOS!$D$14,[1]CURSOS!$E$14,(+IF($N66=[1]CURSOS!$D$15,[1]CURSOS!$E$15,(+IF($N66=[1]CURSOS!$D$16,[1]CURSOS!$E$16,(+IF($N66=[1]CURSOS!$D$17,[1]CURSOS!$E$17,(+IF($N66=[1]CURSOS!$D$18,[1]CURSOS!$E$18,(+IF($N66=[1]CURSOS!$D$19,[1]CURSOS!$E$19,(+IF($N66=[1]CURSOS!$D$20,[1]CURSOS!$E$20,(+IF($N66=[1]CURSOS!$D$21,[1]CURSOS!$E$21,(+IF($N66=[1]CURSOS!$D$22,[1]CURSOS!$E$22,(+IF($N66=[1]CURSOS!$D$23,[1]CURSOS!$E$23,(+IF($N66=[1]CURSOS!$D$24,[1]CURSOS!$E$24,(+IF($N66=[1]CURSOS!$D$25,[1]CURSOS!$E$25,(+IF($N66=[1]CURSOS!$D$26,[1]CURSOS!$E$26,(+IF($N66=[1]CURSOS!$D$27,[1]CURSOS!$E$27,(+IF($N66=[1]CURSOS!$D$28,[1]CURSOS!$E$28,(+IF($N66=[1]CURSOS!$D$29,[1]CURSOS!$E$29,(+IF($N66=[1]CURSOS!$D$30,[1]CURSOS!$E$30,(+IF($N66=[1]CURSOS!$D$31,[1]CURSOS!$E$31,(+IF($N66=[1]CURSOS!$D$32,[1]CURSOS!$E$32)))))))))))))))))))))))))))))))))))))))))))))))))))))))))))</f>
        <v>ACOMPAÑAMIENTO Y MANEJO DEL DUELO</v>
      </c>
      <c r="T66" s="16" t="str">
        <f t="shared" si="6"/>
        <v>LINA MARIA LASSO CARDONA</v>
      </c>
      <c r="U66" s="16" t="str">
        <f t="shared" si="7"/>
        <v>Lina Maria Lasso Cardona</v>
      </c>
      <c r="V66" s="16" t="str">
        <f t="shared" si="8"/>
        <v>LINA MARIA LASSO CARDONA-1061820607-DUELO</v>
      </c>
    </row>
    <row r="67" spans="1:22" x14ac:dyDescent="0.2">
      <c r="A67" s="16">
        <v>67</v>
      </c>
      <c r="B67" s="16">
        <v>1004609283</v>
      </c>
      <c r="C67" s="16" t="s">
        <v>110</v>
      </c>
      <c r="D67" s="16" t="s">
        <v>137</v>
      </c>
      <c r="E67" s="16" t="s">
        <v>155</v>
      </c>
      <c r="F67" s="17" t="s">
        <v>183</v>
      </c>
      <c r="G67" s="16">
        <v>12</v>
      </c>
      <c r="H67" s="16" t="s">
        <v>41</v>
      </c>
      <c r="I67" s="18">
        <v>45363</v>
      </c>
      <c r="J67" s="16">
        <v>40000</v>
      </c>
      <c r="K67" s="16" t="s">
        <v>32</v>
      </c>
      <c r="L67" s="16" t="s">
        <v>222</v>
      </c>
      <c r="M67" s="16" t="s">
        <v>204</v>
      </c>
      <c r="N67" s="16" t="s">
        <v>20</v>
      </c>
      <c r="P67" s="21" t="s">
        <v>83</v>
      </c>
      <c r="R67" s="16">
        <v>1004609283</v>
      </c>
      <c r="S67" s="16" t="str">
        <f>+IF($N67=[1]CURSOS!$D$3,[1]CURSOS!$E$3,(+IF($N67=[1]CURSOS!$D$4,[1]CURSOS!$E$4,(+IF($N67=[1]CURSOS!$D$5,[1]CURSOS!$E$5,(+IF($N67=[1]CURSOS!$D$6,[1]CURSOS!$E$6,(+IF($N67=[1]CURSOS!$D$7,[1]CURSOS!$E$7,(+IF($N67=[1]CURSOS!$D$8,[1]CURSOS!$E$8,(+IF($N67=[1]CURSOS!$D$9,[1]CURSOS!$E$9,(+IF($N67=[1]CURSOS!$D$10,[1]CURSOS!$E$10,(+IF($N67=[1]CURSOS!$D$11,[1]CURSOS!$E$11,(+IF($N67=[1]CURSOS!$D$12,[1]CURSOS!$E$12,(+IF($N67=[1]CURSOS!$D$13,[1]CURSOS!$E$13,(+IF($N67=[1]CURSOS!$D$14,[1]CURSOS!$E$14,(+IF($N67=[1]CURSOS!$D$15,[1]CURSOS!$E$15,(+IF($N67=[1]CURSOS!$D$16,[1]CURSOS!$E$16,(+IF($N67=[1]CURSOS!$D$17,[1]CURSOS!$E$17,(+IF($N67=[1]CURSOS!$D$18,[1]CURSOS!$E$18,(+IF($N67=[1]CURSOS!$D$19,[1]CURSOS!$E$19,(+IF($N67=[1]CURSOS!$D$20,[1]CURSOS!$E$20,(+IF($N67=[1]CURSOS!$D$21,[1]CURSOS!$E$21,(+IF($N67=[1]CURSOS!$D$22,[1]CURSOS!$E$22,(+IF($N67=[1]CURSOS!$D$23,[1]CURSOS!$E$23,(+IF($N67=[1]CURSOS!$D$24,[1]CURSOS!$E$24,(+IF($N67=[1]CURSOS!$D$25,[1]CURSOS!$E$25,(+IF($N67=[1]CURSOS!$D$26,[1]CURSOS!$E$26,(+IF($N67=[1]CURSOS!$D$27,[1]CURSOS!$E$27,(+IF($N67=[1]CURSOS!$D$28,[1]CURSOS!$E$28,(+IF($N67=[1]CURSOS!$D$29,[1]CURSOS!$E$29,(+IF($N67=[1]CURSOS!$D$30,[1]CURSOS!$E$30,(+IF($N67=[1]CURSOS!$D$31,[1]CURSOS!$E$31,(+IF($N67=[1]CURSOS!$D$32,[1]CURSOS!$E$32)))))))))))))))))))))))))))))))))))))))))))))))))))))))))))</f>
        <v>ACOMPAÑAMIENTO Y MANEJO DEL DUELO</v>
      </c>
      <c r="T67" s="16" t="str">
        <f t="shared" ref="T67:T98" si="9">CONCATENATE(E67," ",F67," ",C67," ",D67)</f>
        <v>JAMES CAMILO QUIÑONES CASTILLO</v>
      </c>
      <c r="U67" s="16" t="str">
        <f t="shared" ref="U67:U98" si="10">+PROPER(T67)</f>
        <v>James Camilo Quiñones Castillo</v>
      </c>
      <c r="V67" s="16" t="str">
        <f t="shared" ref="V67:V98" si="11">CONCATENATE(T67,"-",B67,"-",N67)</f>
        <v>JAMES CAMILO QUIÑONES CASTILLO-1004609283-DUELO</v>
      </c>
    </row>
    <row r="68" spans="1:22" x14ac:dyDescent="0.2">
      <c r="A68" s="16">
        <v>68</v>
      </c>
      <c r="B68" s="16">
        <v>1010111072</v>
      </c>
      <c r="C68" s="16" t="s">
        <v>111</v>
      </c>
      <c r="D68" s="16" t="s">
        <v>138</v>
      </c>
      <c r="E68" s="16" t="s">
        <v>156</v>
      </c>
      <c r="F68" s="17" t="s">
        <v>184</v>
      </c>
      <c r="G68" s="16">
        <v>12</v>
      </c>
      <c r="H68" s="16" t="s">
        <v>41</v>
      </c>
      <c r="I68" s="18">
        <v>45363</v>
      </c>
      <c r="J68" s="16">
        <v>40000</v>
      </c>
      <c r="K68" s="16" t="s">
        <v>32</v>
      </c>
      <c r="L68" s="16" t="s">
        <v>222</v>
      </c>
      <c r="M68" s="16" t="s">
        <v>204</v>
      </c>
      <c r="N68" s="16" t="s">
        <v>20</v>
      </c>
      <c r="P68" s="21" t="s">
        <v>31</v>
      </c>
      <c r="R68" s="16">
        <v>1010111072</v>
      </c>
      <c r="S68" s="16" t="str">
        <f>+IF($N68=[1]CURSOS!$D$3,[1]CURSOS!$E$3,(+IF($N68=[1]CURSOS!$D$4,[1]CURSOS!$E$4,(+IF($N68=[1]CURSOS!$D$5,[1]CURSOS!$E$5,(+IF($N68=[1]CURSOS!$D$6,[1]CURSOS!$E$6,(+IF($N68=[1]CURSOS!$D$7,[1]CURSOS!$E$7,(+IF($N68=[1]CURSOS!$D$8,[1]CURSOS!$E$8,(+IF($N68=[1]CURSOS!$D$9,[1]CURSOS!$E$9,(+IF($N68=[1]CURSOS!$D$10,[1]CURSOS!$E$10,(+IF($N68=[1]CURSOS!$D$11,[1]CURSOS!$E$11,(+IF($N68=[1]CURSOS!$D$12,[1]CURSOS!$E$12,(+IF($N68=[1]CURSOS!$D$13,[1]CURSOS!$E$13,(+IF($N68=[1]CURSOS!$D$14,[1]CURSOS!$E$14,(+IF($N68=[1]CURSOS!$D$15,[1]CURSOS!$E$15,(+IF($N68=[1]CURSOS!$D$16,[1]CURSOS!$E$16,(+IF($N68=[1]CURSOS!$D$17,[1]CURSOS!$E$17,(+IF($N68=[1]CURSOS!$D$18,[1]CURSOS!$E$18,(+IF($N68=[1]CURSOS!$D$19,[1]CURSOS!$E$19,(+IF($N68=[1]CURSOS!$D$20,[1]CURSOS!$E$20,(+IF($N68=[1]CURSOS!$D$21,[1]CURSOS!$E$21,(+IF($N68=[1]CURSOS!$D$22,[1]CURSOS!$E$22,(+IF($N68=[1]CURSOS!$D$23,[1]CURSOS!$E$23,(+IF($N68=[1]CURSOS!$D$24,[1]CURSOS!$E$24,(+IF($N68=[1]CURSOS!$D$25,[1]CURSOS!$E$25,(+IF($N68=[1]CURSOS!$D$26,[1]CURSOS!$E$26,(+IF($N68=[1]CURSOS!$D$27,[1]CURSOS!$E$27,(+IF($N68=[1]CURSOS!$D$28,[1]CURSOS!$E$28,(+IF($N68=[1]CURSOS!$D$29,[1]CURSOS!$E$29,(+IF($N68=[1]CURSOS!$D$30,[1]CURSOS!$E$30,(+IF($N68=[1]CURSOS!$D$31,[1]CURSOS!$E$31,(+IF($N68=[1]CURSOS!$D$32,[1]CURSOS!$E$32)))))))))))))))))))))))))))))))))))))))))))))))))))))))))))</f>
        <v>ACOMPAÑAMIENTO Y MANEJO DEL DUELO</v>
      </c>
      <c r="T68" s="16" t="str">
        <f t="shared" si="9"/>
        <v>JENIFFER MARIANA LANDAZURI KLINGER</v>
      </c>
      <c r="U68" s="16" t="str">
        <f t="shared" si="10"/>
        <v>Jeniffer Mariana Landazuri Klinger</v>
      </c>
      <c r="V68" s="16" t="str">
        <f t="shared" si="11"/>
        <v>JENIFFER MARIANA LANDAZURI KLINGER-1010111072-DUELO</v>
      </c>
    </row>
    <row r="69" spans="1:22" x14ac:dyDescent="0.2">
      <c r="A69" s="16">
        <v>69</v>
      </c>
      <c r="B69" s="16">
        <v>1004638986</v>
      </c>
      <c r="C69" s="16" t="s">
        <v>112</v>
      </c>
      <c r="D69" s="16" t="s">
        <v>132</v>
      </c>
      <c r="E69" s="16" t="s">
        <v>157</v>
      </c>
      <c r="F69" s="17" t="s">
        <v>185</v>
      </c>
      <c r="G69" s="16">
        <v>12</v>
      </c>
      <c r="H69" s="16" t="s">
        <v>41</v>
      </c>
      <c r="I69" s="18">
        <v>45363</v>
      </c>
      <c r="J69" s="16">
        <v>40000</v>
      </c>
      <c r="K69" s="16" t="s">
        <v>32</v>
      </c>
      <c r="L69" s="16" t="s">
        <v>222</v>
      </c>
      <c r="M69" s="16" t="s">
        <v>204</v>
      </c>
      <c r="N69" s="16" t="s">
        <v>20</v>
      </c>
      <c r="P69" s="21" t="s">
        <v>31</v>
      </c>
      <c r="R69" s="16">
        <v>1004638986</v>
      </c>
      <c r="S69" s="16" t="str">
        <f>+IF($N69=[1]CURSOS!$D$3,[1]CURSOS!$E$3,(+IF($N69=[1]CURSOS!$D$4,[1]CURSOS!$E$4,(+IF($N69=[1]CURSOS!$D$5,[1]CURSOS!$E$5,(+IF($N69=[1]CURSOS!$D$6,[1]CURSOS!$E$6,(+IF($N69=[1]CURSOS!$D$7,[1]CURSOS!$E$7,(+IF($N69=[1]CURSOS!$D$8,[1]CURSOS!$E$8,(+IF($N69=[1]CURSOS!$D$9,[1]CURSOS!$E$9,(+IF($N69=[1]CURSOS!$D$10,[1]CURSOS!$E$10,(+IF($N69=[1]CURSOS!$D$11,[1]CURSOS!$E$11,(+IF($N69=[1]CURSOS!$D$12,[1]CURSOS!$E$12,(+IF($N69=[1]CURSOS!$D$13,[1]CURSOS!$E$13,(+IF($N69=[1]CURSOS!$D$14,[1]CURSOS!$E$14,(+IF($N69=[1]CURSOS!$D$15,[1]CURSOS!$E$15,(+IF($N69=[1]CURSOS!$D$16,[1]CURSOS!$E$16,(+IF($N69=[1]CURSOS!$D$17,[1]CURSOS!$E$17,(+IF($N69=[1]CURSOS!$D$18,[1]CURSOS!$E$18,(+IF($N69=[1]CURSOS!$D$19,[1]CURSOS!$E$19,(+IF($N69=[1]CURSOS!$D$20,[1]CURSOS!$E$20,(+IF($N69=[1]CURSOS!$D$21,[1]CURSOS!$E$21,(+IF($N69=[1]CURSOS!$D$22,[1]CURSOS!$E$22,(+IF($N69=[1]CURSOS!$D$23,[1]CURSOS!$E$23,(+IF($N69=[1]CURSOS!$D$24,[1]CURSOS!$E$24,(+IF($N69=[1]CURSOS!$D$25,[1]CURSOS!$E$25,(+IF($N69=[1]CURSOS!$D$26,[1]CURSOS!$E$26,(+IF($N69=[1]CURSOS!$D$27,[1]CURSOS!$E$27,(+IF($N69=[1]CURSOS!$D$28,[1]CURSOS!$E$28,(+IF($N69=[1]CURSOS!$D$29,[1]CURSOS!$E$29,(+IF($N69=[1]CURSOS!$D$30,[1]CURSOS!$E$30,(+IF($N69=[1]CURSOS!$D$31,[1]CURSOS!$E$31,(+IF($N69=[1]CURSOS!$D$32,[1]CURSOS!$E$32)))))))))))))))))))))))))))))))))))))))))))))))))))))))))))</f>
        <v>ACOMPAÑAMIENTO Y MANEJO DEL DUELO</v>
      </c>
      <c r="T69" s="16" t="str">
        <f t="shared" si="9"/>
        <v>NATALIA DANIELA CABEZAS CORTES</v>
      </c>
      <c r="U69" s="16" t="str">
        <f t="shared" si="10"/>
        <v>Natalia Daniela Cabezas Cortes</v>
      </c>
      <c r="V69" s="16" t="str">
        <f t="shared" si="11"/>
        <v>NATALIA DANIELA CABEZAS CORTES-1004638986-DUELO</v>
      </c>
    </row>
    <row r="70" spans="1:22" x14ac:dyDescent="0.2">
      <c r="A70" s="16">
        <v>70</v>
      </c>
      <c r="B70" s="16">
        <v>1087207115</v>
      </c>
      <c r="C70" s="16" t="s">
        <v>113</v>
      </c>
      <c r="D70" s="16" t="s">
        <v>139</v>
      </c>
      <c r="E70" s="16" t="s">
        <v>158</v>
      </c>
      <c r="F70" s="17" t="s">
        <v>186</v>
      </c>
      <c r="G70" s="16">
        <v>12</v>
      </c>
      <c r="H70" s="16" t="s">
        <v>41</v>
      </c>
      <c r="I70" s="18">
        <v>45363</v>
      </c>
      <c r="J70" s="16">
        <v>40000</v>
      </c>
      <c r="K70" s="16" t="s">
        <v>32</v>
      </c>
      <c r="L70" s="16" t="s">
        <v>222</v>
      </c>
      <c r="M70" s="16" t="s">
        <v>204</v>
      </c>
      <c r="N70" s="16" t="s">
        <v>20</v>
      </c>
      <c r="P70" s="21" t="s">
        <v>31</v>
      </c>
      <c r="R70" s="16">
        <v>1087207115</v>
      </c>
      <c r="S70" s="16" t="str">
        <f>+IF($N70=[1]CURSOS!$D$3,[1]CURSOS!$E$3,(+IF($N70=[1]CURSOS!$D$4,[1]CURSOS!$E$4,(+IF($N70=[1]CURSOS!$D$5,[1]CURSOS!$E$5,(+IF($N70=[1]CURSOS!$D$6,[1]CURSOS!$E$6,(+IF($N70=[1]CURSOS!$D$7,[1]CURSOS!$E$7,(+IF($N70=[1]CURSOS!$D$8,[1]CURSOS!$E$8,(+IF($N70=[1]CURSOS!$D$9,[1]CURSOS!$E$9,(+IF($N70=[1]CURSOS!$D$10,[1]CURSOS!$E$10,(+IF($N70=[1]CURSOS!$D$11,[1]CURSOS!$E$11,(+IF($N70=[1]CURSOS!$D$12,[1]CURSOS!$E$12,(+IF($N70=[1]CURSOS!$D$13,[1]CURSOS!$E$13,(+IF($N70=[1]CURSOS!$D$14,[1]CURSOS!$E$14,(+IF($N70=[1]CURSOS!$D$15,[1]CURSOS!$E$15,(+IF($N70=[1]CURSOS!$D$16,[1]CURSOS!$E$16,(+IF($N70=[1]CURSOS!$D$17,[1]CURSOS!$E$17,(+IF($N70=[1]CURSOS!$D$18,[1]CURSOS!$E$18,(+IF($N70=[1]CURSOS!$D$19,[1]CURSOS!$E$19,(+IF($N70=[1]CURSOS!$D$20,[1]CURSOS!$E$20,(+IF($N70=[1]CURSOS!$D$21,[1]CURSOS!$E$21,(+IF($N70=[1]CURSOS!$D$22,[1]CURSOS!$E$22,(+IF($N70=[1]CURSOS!$D$23,[1]CURSOS!$E$23,(+IF($N70=[1]CURSOS!$D$24,[1]CURSOS!$E$24,(+IF($N70=[1]CURSOS!$D$25,[1]CURSOS!$E$25,(+IF($N70=[1]CURSOS!$D$26,[1]CURSOS!$E$26,(+IF($N70=[1]CURSOS!$D$27,[1]CURSOS!$E$27,(+IF($N70=[1]CURSOS!$D$28,[1]CURSOS!$E$28,(+IF($N70=[1]CURSOS!$D$29,[1]CURSOS!$E$29,(+IF($N70=[1]CURSOS!$D$30,[1]CURSOS!$E$30,(+IF($N70=[1]CURSOS!$D$31,[1]CURSOS!$E$31,(+IF($N70=[1]CURSOS!$D$32,[1]CURSOS!$E$32)))))))))))))))))))))))))))))))))))))))))))))))))))))))))))</f>
        <v>ACOMPAÑAMIENTO Y MANEJO DEL DUELO</v>
      </c>
      <c r="T70" s="16" t="str">
        <f t="shared" si="9"/>
        <v>MELISSA JAZMIN ORTIZ TELLO</v>
      </c>
      <c r="U70" s="16" t="str">
        <f t="shared" si="10"/>
        <v>Melissa Jazmin Ortiz Tello</v>
      </c>
      <c r="V70" s="16" t="str">
        <f t="shared" si="11"/>
        <v>MELISSA JAZMIN ORTIZ TELLO-1087207115-DUELO</v>
      </c>
    </row>
    <row r="71" spans="1:22" x14ac:dyDescent="0.2">
      <c r="A71" s="16">
        <v>71</v>
      </c>
      <c r="B71" s="16">
        <v>1061803002</v>
      </c>
      <c r="C71" s="16" t="s">
        <v>114</v>
      </c>
      <c r="D71" s="16" t="s">
        <v>140</v>
      </c>
      <c r="E71" s="16" t="s">
        <v>159</v>
      </c>
      <c r="F71" s="17" t="s">
        <v>187</v>
      </c>
      <c r="G71" s="16">
        <v>12</v>
      </c>
      <c r="H71" s="16" t="s">
        <v>41</v>
      </c>
      <c r="I71" s="18">
        <v>45363</v>
      </c>
      <c r="J71" s="16">
        <v>40000</v>
      </c>
      <c r="K71" s="16" t="s">
        <v>32</v>
      </c>
      <c r="L71" s="16" t="s">
        <v>222</v>
      </c>
      <c r="M71" s="16" t="s">
        <v>204</v>
      </c>
      <c r="N71" s="16" t="s">
        <v>20</v>
      </c>
      <c r="P71" s="21" t="s">
        <v>31</v>
      </c>
      <c r="R71" s="16">
        <v>1061803002</v>
      </c>
      <c r="S71" s="16" t="str">
        <f>+IF($N71=[1]CURSOS!$D$3,[1]CURSOS!$E$3,(+IF($N71=[1]CURSOS!$D$4,[1]CURSOS!$E$4,(+IF($N71=[1]CURSOS!$D$5,[1]CURSOS!$E$5,(+IF($N71=[1]CURSOS!$D$6,[1]CURSOS!$E$6,(+IF($N71=[1]CURSOS!$D$7,[1]CURSOS!$E$7,(+IF($N71=[1]CURSOS!$D$8,[1]CURSOS!$E$8,(+IF($N71=[1]CURSOS!$D$9,[1]CURSOS!$E$9,(+IF($N71=[1]CURSOS!$D$10,[1]CURSOS!$E$10,(+IF($N71=[1]CURSOS!$D$11,[1]CURSOS!$E$11,(+IF($N71=[1]CURSOS!$D$12,[1]CURSOS!$E$12,(+IF($N71=[1]CURSOS!$D$13,[1]CURSOS!$E$13,(+IF($N71=[1]CURSOS!$D$14,[1]CURSOS!$E$14,(+IF($N71=[1]CURSOS!$D$15,[1]CURSOS!$E$15,(+IF($N71=[1]CURSOS!$D$16,[1]CURSOS!$E$16,(+IF($N71=[1]CURSOS!$D$17,[1]CURSOS!$E$17,(+IF($N71=[1]CURSOS!$D$18,[1]CURSOS!$E$18,(+IF($N71=[1]CURSOS!$D$19,[1]CURSOS!$E$19,(+IF($N71=[1]CURSOS!$D$20,[1]CURSOS!$E$20,(+IF($N71=[1]CURSOS!$D$21,[1]CURSOS!$E$21,(+IF($N71=[1]CURSOS!$D$22,[1]CURSOS!$E$22,(+IF($N71=[1]CURSOS!$D$23,[1]CURSOS!$E$23,(+IF($N71=[1]CURSOS!$D$24,[1]CURSOS!$E$24,(+IF($N71=[1]CURSOS!$D$25,[1]CURSOS!$E$25,(+IF($N71=[1]CURSOS!$D$26,[1]CURSOS!$E$26,(+IF($N71=[1]CURSOS!$D$27,[1]CURSOS!$E$27,(+IF($N71=[1]CURSOS!$D$28,[1]CURSOS!$E$28,(+IF($N71=[1]CURSOS!$D$29,[1]CURSOS!$E$29,(+IF($N71=[1]CURSOS!$D$30,[1]CURSOS!$E$30,(+IF($N71=[1]CURSOS!$D$31,[1]CURSOS!$E$31,(+IF($N71=[1]CURSOS!$D$32,[1]CURSOS!$E$32)))))))))))))))))))))))))))))))))))))))))))))))))))))))))))</f>
        <v>ACOMPAÑAMIENTO Y MANEJO DEL DUELO</v>
      </c>
      <c r="T71" s="16" t="str">
        <f t="shared" si="9"/>
        <v>ANGIE VANESSA PRADO TENORIO</v>
      </c>
      <c r="U71" s="16" t="str">
        <f t="shared" si="10"/>
        <v>Angie Vanessa Prado Tenorio</v>
      </c>
      <c r="V71" s="16" t="str">
        <f t="shared" si="11"/>
        <v>ANGIE VANESSA PRADO TENORIO-1061803002-DUELO</v>
      </c>
    </row>
    <row r="72" spans="1:22" x14ac:dyDescent="0.2">
      <c r="A72" s="16">
        <v>72</v>
      </c>
      <c r="B72" s="16">
        <v>1087195361</v>
      </c>
      <c r="C72" s="16" t="s">
        <v>115</v>
      </c>
      <c r="D72" s="16" t="s">
        <v>207</v>
      </c>
      <c r="E72" s="16" t="s">
        <v>160</v>
      </c>
      <c r="F72" s="17" t="s">
        <v>224</v>
      </c>
      <c r="G72" s="16">
        <v>14</v>
      </c>
      <c r="H72" s="16" t="s">
        <v>41</v>
      </c>
      <c r="I72" s="18">
        <v>45363</v>
      </c>
      <c r="J72" s="16">
        <v>26666</v>
      </c>
      <c r="K72" s="16" t="s">
        <v>32</v>
      </c>
      <c r="L72" s="16" t="s">
        <v>222</v>
      </c>
      <c r="M72" s="16" t="s">
        <v>204</v>
      </c>
      <c r="N72" s="16" t="s">
        <v>21</v>
      </c>
      <c r="P72" s="21" t="s">
        <v>31</v>
      </c>
      <c r="S72" s="16" t="str">
        <f>+IF($N72=[1]CURSOS!$D$3,[1]CURSOS!$E$3,(+IF($N72=[1]CURSOS!$D$4,[1]CURSOS!$E$4,(+IF($N72=[1]CURSOS!$D$5,[1]CURSOS!$E$5,(+IF($N72=[1]CURSOS!$D$6,[1]CURSOS!$E$6,(+IF($N72=[1]CURSOS!$D$7,[1]CURSOS!$E$7,(+IF($N72=[1]CURSOS!$D$8,[1]CURSOS!$E$8,(+IF($N72=[1]CURSOS!$D$9,[1]CURSOS!$E$9,(+IF($N72=[1]CURSOS!$D$10,[1]CURSOS!$E$10,(+IF($N72=[1]CURSOS!$D$11,[1]CURSOS!$E$11,(+IF($N72=[1]CURSOS!$D$12,[1]CURSOS!$E$12,(+IF($N72=[1]CURSOS!$D$13,[1]CURSOS!$E$13,(+IF($N72=[1]CURSOS!$D$14,[1]CURSOS!$E$14,(+IF($N72=[1]CURSOS!$D$15,[1]CURSOS!$E$15,(+IF($N72=[1]CURSOS!$D$16,[1]CURSOS!$E$16,(+IF($N72=[1]CURSOS!$D$17,[1]CURSOS!$E$17,(+IF($N72=[1]CURSOS!$D$18,[1]CURSOS!$E$18,(+IF($N72=[1]CURSOS!$D$19,[1]CURSOS!$E$19,(+IF($N72=[1]CURSOS!$D$20,[1]CURSOS!$E$20,(+IF($N72=[1]CURSOS!$D$21,[1]CURSOS!$E$21,(+IF($N72=[1]CURSOS!$D$22,[1]CURSOS!$E$22,(+IF($N72=[1]CURSOS!$D$23,[1]CURSOS!$E$23,(+IF($N72=[1]CURSOS!$D$24,[1]CURSOS!$E$24,(+IF($N72=[1]CURSOS!$D$25,[1]CURSOS!$E$25,(+IF($N72=[1]CURSOS!$D$26,[1]CURSOS!$E$26,(+IF($N72=[1]CURSOS!$D$27,[1]CURSOS!$E$27,(+IF($N72=[1]CURSOS!$D$28,[1]CURSOS!$E$28,(+IF($N72=[1]CURSOS!$D$29,[1]CURSOS!$E$29,(+IF($N72=[1]CURSOS!$D$30,[1]CURSOS!$E$30,(+IF($N72=[1]CURSOS!$D$31,[1]CURSOS!$E$31,(+IF($N72=[1]CURSOS!$D$32,[1]CURSOS!$E$32)))))))))))))))))))))))))))))))))))))))))))))))))))))))))))</f>
        <v xml:space="preserve">ATENCION A VICTIMAS DE ATAQUE CON AGENTES QUIMICOS </v>
      </c>
      <c r="T72" s="16" t="str">
        <f t="shared" si="9"/>
        <v>RUBY LILIANA GUERRERO RODRIGUEZ</v>
      </c>
      <c r="U72" s="16" t="str">
        <f t="shared" si="10"/>
        <v>Ruby Liliana Guerrero Rodriguez</v>
      </c>
      <c r="V72" s="16" t="str">
        <f t="shared" si="11"/>
        <v>RUBY LILIANA GUERRERO RODRIGUEZ-1087195361-QUIMICOS</v>
      </c>
    </row>
    <row r="73" spans="1:22" x14ac:dyDescent="0.2">
      <c r="A73" s="16">
        <v>73</v>
      </c>
      <c r="B73" s="16">
        <v>1087196650</v>
      </c>
      <c r="C73" s="16" t="s">
        <v>225</v>
      </c>
      <c r="D73" s="16" t="s">
        <v>142</v>
      </c>
      <c r="E73" s="16" t="s">
        <v>161</v>
      </c>
      <c r="F73" s="17" t="s">
        <v>220</v>
      </c>
      <c r="G73" s="16">
        <v>14</v>
      </c>
      <c r="H73" s="16" t="s">
        <v>41</v>
      </c>
      <c r="I73" s="18">
        <v>45363</v>
      </c>
      <c r="J73" s="16">
        <v>26666</v>
      </c>
      <c r="K73" s="16" t="s">
        <v>32</v>
      </c>
      <c r="L73" s="16" t="s">
        <v>222</v>
      </c>
      <c r="M73" s="16" t="s">
        <v>204</v>
      </c>
      <c r="N73" s="16" t="s">
        <v>21</v>
      </c>
      <c r="P73" s="21" t="s">
        <v>31</v>
      </c>
      <c r="S73" s="16" t="str">
        <f>+IF($N73=[1]CURSOS!$D$3,[1]CURSOS!$E$3,(+IF($N73=[1]CURSOS!$D$4,[1]CURSOS!$E$4,(+IF($N73=[1]CURSOS!$D$5,[1]CURSOS!$E$5,(+IF($N73=[1]CURSOS!$D$6,[1]CURSOS!$E$6,(+IF($N73=[1]CURSOS!$D$7,[1]CURSOS!$E$7,(+IF($N73=[1]CURSOS!$D$8,[1]CURSOS!$E$8,(+IF($N73=[1]CURSOS!$D$9,[1]CURSOS!$E$9,(+IF($N73=[1]CURSOS!$D$10,[1]CURSOS!$E$10,(+IF($N73=[1]CURSOS!$D$11,[1]CURSOS!$E$11,(+IF($N73=[1]CURSOS!$D$12,[1]CURSOS!$E$12,(+IF($N73=[1]CURSOS!$D$13,[1]CURSOS!$E$13,(+IF($N73=[1]CURSOS!$D$14,[1]CURSOS!$E$14,(+IF($N73=[1]CURSOS!$D$15,[1]CURSOS!$E$15,(+IF($N73=[1]CURSOS!$D$16,[1]CURSOS!$E$16,(+IF($N73=[1]CURSOS!$D$17,[1]CURSOS!$E$17,(+IF($N73=[1]CURSOS!$D$18,[1]CURSOS!$E$18,(+IF($N73=[1]CURSOS!$D$19,[1]CURSOS!$E$19,(+IF($N73=[1]CURSOS!$D$20,[1]CURSOS!$E$20,(+IF($N73=[1]CURSOS!$D$21,[1]CURSOS!$E$21,(+IF($N73=[1]CURSOS!$D$22,[1]CURSOS!$E$22,(+IF($N73=[1]CURSOS!$D$23,[1]CURSOS!$E$23,(+IF($N73=[1]CURSOS!$D$24,[1]CURSOS!$E$24,(+IF($N73=[1]CURSOS!$D$25,[1]CURSOS!$E$25,(+IF($N73=[1]CURSOS!$D$26,[1]CURSOS!$E$26,(+IF($N73=[1]CURSOS!$D$27,[1]CURSOS!$E$27,(+IF($N73=[1]CURSOS!$D$28,[1]CURSOS!$E$28,(+IF($N73=[1]CURSOS!$D$29,[1]CURSOS!$E$29,(+IF($N73=[1]CURSOS!$D$30,[1]CURSOS!$E$30,(+IF($N73=[1]CURSOS!$D$31,[1]CURSOS!$E$31,(+IF($N73=[1]CURSOS!$D$32,[1]CURSOS!$E$32)))))))))))))))))))))))))))))))))))))))))))))))))))))))))))</f>
        <v xml:space="preserve">ATENCION A VICTIMAS DE ATAQUE CON AGENTES QUIMICOS </v>
      </c>
      <c r="T73" s="16" t="str">
        <f t="shared" si="9"/>
        <v>OLGA AMPARO HURTADO SOLIS</v>
      </c>
      <c r="U73" s="16" t="str">
        <f t="shared" si="10"/>
        <v>Olga Amparo Hurtado Solis</v>
      </c>
      <c r="V73" s="16" t="str">
        <f t="shared" si="11"/>
        <v>OLGA AMPARO HURTADO SOLIS-1087196650-QUIMICOS</v>
      </c>
    </row>
    <row r="74" spans="1:22" x14ac:dyDescent="0.2">
      <c r="A74" s="16">
        <v>74</v>
      </c>
      <c r="B74" s="16">
        <v>59671630</v>
      </c>
      <c r="C74" s="16" t="s">
        <v>117</v>
      </c>
      <c r="D74" s="16" t="s">
        <v>143</v>
      </c>
      <c r="E74" s="16" t="s">
        <v>162</v>
      </c>
      <c r="F74" s="17" t="s">
        <v>190</v>
      </c>
      <c r="G74" s="16">
        <v>14</v>
      </c>
      <c r="H74" s="16" t="s">
        <v>41</v>
      </c>
      <c r="I74" s="18">
        <v>45363</v>
      </c>
      <c r="J74" s="16">
        <v>26666</v>
      </c>
      <c r="K74" s="16" t="s">
        <v>32</v>
      </c>
      <c r="L74" s="16" t="s">
        <v>222</v>
      </c>
      <c r="M74" s="16" t="s">
        <v>204</v>
      </c>
      <c r="N74" s="16" t="s">
        <v>21</v>
      </c>
      <c r="P74" s="21" t="s">
        <v>31</v>
      </c>
      <c r="R74" s="16">
        <v>3103703133</v>
      </c>
      <c r="S74" s="16" t="str">
        <f>+IF($N74=[1]CURSOS!$D$3,[1]CURSOS!$E$3,(+IF($N74=[1]CURSOS!$D$4,[1]CURSOS!$E$4,(+IF($N74=[1]CURSOS!$D$5,[1]CURSOS!$E$5,(+IF($N74=[1]CURSOS!$D$6,[1]CURSOS!$E$6,(+IF($N74=[1]CURSOS!$D$7,[1]CURSOS!$E$7,(+IF($N74=[1]CURSOS!$D$8,[1]CURSOS!$E$8,(+IF($N74=[1]CURSOS!$D$9,[1]CURSOS!$E$9,(+IF($N74=[1]CURSOS!$D$10,[1]CURSOS!$E$10,(+IF($N74=[1]CURSOS!$D$11,[1]CURSOS!$E$11,(+IF($N74=[1]CURSOS!$D$12,[1]CURSOS!$E$12,(+IF($N74=[1]CURSOS!$D$13,[1]CURSOS!$E$13,(+IF($N74=[1]CURSOS!$D$14,[1]CURSOS!$E$14,(+IF($N74=[1]CURSOS!$D$15,[1]CURSOS!$E$15,(+IF($N74=[1]CURSOS!$D$16,[1]CURSOS!$E$16,(+IF($N74=[1]CURSOS!$D$17,[1]CURSOS!$E$17,(+IF($N74=[1]CURSOS!$D$18,[1]CURSOS!$E$18,(+IF($N74=[1]CURSOS!$D$19,[1]CURSOS!$E$19,(+IF($N74=[1]CURSOS!$D$20,[1]CURSOS!$E$20,(+IF($N74=[1]CURSOS!$D$21,[1]CURSOS!$E$21,(+IF($N74=[1]CURSOS!$D$22,[1]CURSOS!$E$22,(+IF($N74=[1]CURSOS!$D$23,[1]CURSOS!$E$23,(+IF($N74=[1]CURSOS!$D$24,[1]CURSOS!$E$24,(+IF($N74=[1]CURSOS!$D$25,[1]CURSOS!$E$25,(+IF($N74=[1]CURSOS!$D$26,[1]CURSOS!$E$26,(+IF($N74=[1]CURSOS!$D$27,[1]CURSOS!$E$27,(+IF($N74=[1]CURSOS!$D$28,[1]CURSOS!$E$28,(+IF($N74=[1]CURSOS!$D$29,[1]CURSOS!$E$29,(+IF($N74=[1]CURSOS!$D$30,[1]CURSOS!$E$30,(+IF($N74=[1]CURSOS!$D$31,[1]CURSOS!$E$31,(+IF($N74=[1]CURSOS!$D$32,[1]CURSOS!$E$32)))))))))))))))))))))))))))))))))))))))))))))))))))))))))))</f>
        <v xml:space="preserve">ATENCION A VICTIMAS DE ATAQUE CON AGENTES QUIMICOS </v>
      </c>
      <c r="T74" s="16" t="str">
        <f t="shared" si="9"/>
        <v>TOMASA MARIELA DE LA CRUZ OROBIO</v>
      </c>
      <c r="U74" s="16" t="str">
        <f t="shared" si="10"/>
        <v>Tomasa Mariela De La Cruz Orobio</v>
      </c>
      <c r="V74" s="16" t="str">
        <f t="shared" si="11"/>
        <v>TOMASA MARIELA DE LA CRUZ OROBIO-59671630-QUIMICOS</v>
      </c>
    </row>
    <row r="75" spans="1:22" x14ac:dyDescent="0.2">
      <c r="A75" s="16">
        <v>75</v>
      </c>
      <c r="B75" s="16">
        <v>1193244176</v>
      </c>
      <c r="C75" s="16" t="s">
        <v>131</v>
      </c>
      <c r="D75" s="16" t="s">
        <v>144</v>
      </c>
      <c r="E75" s="16" t="s">
        <v>163</v>
      </c>
      <c r="F75" s="17" t="s">
        <v>191</v>
      </c>
      <c r="G75" s="16">
        <v>14</v>
      </c>
      <c r="H75" s="16" t="s">
        <v>41</v>
      </c>
      <c r="I75" s="18">
        <v>45363</v>
      </c>
      <c r="J75" s="16">
        <v>26666</v>
      </c>
      <c r="K75" s="16" t="s">
        <v>32</v>
      </c>
      <c r="L75" s="16" t="s">
        <v>222</v>
      </c>
      <c r="M75" s="16" t="s">
        <v>204</v>
      </c>
      <c r="N75" s="16" t="s">
        <v>21</v>
      </c>
      <c r="P75" s="21" t="s">
        <v>31</v>
      </c>
      <c r="S75" s="16" t="str">
        <f>+IF($N75=[1]CURSOS!$D$3,[1]CURSOS!$E$3,(+IF($N75=[1]CURSOS!$D$4,[1]CURSOS!$E$4,(+IF($N75=[1]CURSOS!$D$5,[1]CURSOS!$E$5,(+IF($N75=[1]CURSOS!$D$6,[1]CURSOS!$E$6,(+IF($N75=[1]CURSOS!$D$7,[1]CURSOS!$E$7,(+IF($N75=[1]CURSOS!$D$8,[1]CURSOS!$E$8,(+IF($N75=[1]CURSOS!$D$9,[1]CURSOS!$E$9,(+IF($N75=[1]CURSOS!$D$10,[1]CURSOS!$E$10,(+IF($N75=[1]CURSOS!$D$11,[1]CURSOS!$E$11,(+IF($N75=[1]CURSOS!$D$12,[1]CURSOS!$E$12,(+IF($N75=[1]CURSOS!$D$13,[1]CURSOS!$E$13,(+IF($N75=[1]CURSOS!$D$14,[1]CURSOS!$E$14,(+IF($N75=[1]CURSOS!$D$15,[1]CURSOS!$E$15,(+IF($N75=[1]CURSOS!$D$16,[1]CURSOS!$E$16,(+IF($N75=[1]CURSOS!$D$17,[1]CURSOS!$E$17,(+IF($N75=[1]CURSOS!$D$18,[1]CURSOS!$E$18,(+IF($N75=[1]CURSOS!$D$19,[1]CURSOS!$E$19,(+IF($N75=[1]CURSOS!$D$20,[1]CURSOS!$E$20,(+IF($N75=[1]CURSOS!$D$21,[1]CURSOS!$E$21,(+IF($N75=[1]CURSOS!$D$22,[1]CURSOS!$E$22,(+IF($N75=[1]CURSOS!$D$23,[1]CURSOS!$E$23,(+IF($N75=[1]CURSOS!$D$24,[1]CURSOS!$E$24,(+IF($N75=[1]CURSOS!$D$25,[1]CURSOS!$E$25,(+IF($N75=[1]CURSOS!$D$26,[1]CURSOS!$E$26,(+IF($N75=[1]CURSOS!$D$27,[1]CURSOS!$E$27,(+IF($N75=[1]CURSOS!$D$28,[1]CURSOS!$E$28,(+IF($N75=[1]CURSOS!$D$29,[1]CURSOS!$E$29,(+IF($N75=[1]CURSOS!$D$30,[1]CURSOS!$E$30,(+IF($N75=[1]CURSOS!$D$31,[1]CURSOS!$E$31,(+IF($N75=[1]CURSOS!$D$32,[1]CURSOS!$E$32)))))))))))))))))))))))))))))))))))))))))))))))))))))))))))</f>
        <v xml:space="preserve">ATENCION A VICTIMAS DE ATAQUE CON AGENTES QUIMICOS </v>
      </c>
      <c r="T75" s="16" t="str">
        <f t="shared" si="9"/>
        <v>LULY DEL MAR ANGULO QUIÑONEZ</v>
      </c>
      <c r="U75" s="16" t="str">
        <f t="shared" si="10"/>
        <v>Luly Del Mar Angulo Quiñonez</v>
      </c>
      <c r="V75" s="16" t="str">
        <f t="shared" si="11"/>
        <v>LULY DEL MAR ANGULO QUIÑONEZ-1193244176-QUIMICOS</v>
      </c>
    </row>
    <row r="76" spans="1:22" x14ac:dyDescent="0.2">
      <c r="A76" s="16">
        <v>76</v>
      </c>
      <c r="B76" s="16">
        <v>59667578</v>
      </c>
      <c r="C76" s="16" t="s">
        <v>119</v>
      </c>
      <c r="D76" s="16" t="s">
        <v>131</v>
      </c>
      <c r="E76" s="16" t="s">
        <v>226</v>
      </c>
      <c r="F76" s="17" t="s">
        <v>192</v>
      </c>
      <c r="G76" s="16">
        <v>14</v>
      </c>
      <c r="H76" s="16" t="s">
        <v>41</v>
      </c>
      <c r="I76" s="18">
        <v>45363</v>
      </c>
      <c r="J76" s="16">
        <v>26666</v>
      </c>
      <c r="K76" s="16" t="s">
        <v>32</v>
      </c>
      <c r="L76" s="16" t="s">
        <v>222</v>
      </c>
      <c r="M76" s="16" t="s">
        <v>204</v>
      </c>
      <c r="N76" s="16" t="s">
        <v>21</v>
      </c>
      <c r="P76" s="21" t="s">
        <v>31</v>
      </c>
      <c r="R76" s="16">
        <v>3103720491</v>
      </c>
      <c r="S76" s="16" t="str">
        <f>+IF($N76=[1]CURSOS!$D$3,[1]CURSOS!$E$3,(+IF($N76=[1]CURSOS!$D$4,[1]CURSOS!$E$4,(+IF($N76=[1]CURSOS!$D$5,[1]CURSOS!$E$5,(+IF($N76=[1]CURSOS!$D$6,[1]CURSOS!$E$6,(+IF($N76=[1]CURSOS!$D$7,[1]CURSOS!$E$7,(+IF($N76=[1]CURSOS!$D$8,[1]CURSOS!$E$8,(+IF($N76=[1]CURSOS!$D$9,[1]CURSOS!$E$9,(+IF($N76=[1]CURSOS!$D$10,[1]CURSOS!$E$10,(+IF($N76=[1]CURSOS!$D$11,[1]CURSOS!$E$11,(+IF($N76=[1]CURSOS!$D$12,[1]CURSOS!$E$12,(+IF($N76=[1]CURSOS!$D$13,[1]CURSOS!$E$13,(+IF($N76=[1]CURSOS!$D$14,[1]CURSOS!$E$14,(+IF($N76=[1]CURSOS!$D$15,[1]CURSOS!$E$15,(+IF($N76=[1]CURSOS!$D$16,[1]CURSOS!$E$16,(+IF($N76=[1]CURSOS!$D$17,[1]CURSOS!$E$17,(+IF($N76=[1]CURSOS!$D$18,[1]CURSOS!$E$18,(+IF($N76=[1]CURSOS!$D$19,[1]CURSOS!$E$19,(+IF($N76=[1]CURSOS!$D$20,[1]CURSOS!$E$20,(+IF($N76=[1]CURSOS!$D$21,[1]CURSOS!$E$21,(+IF($N76=[1]CURSOS!$D$22,[1]CURSOS!$E$22,(+IF($N76=[1]CURSOS!$D$23,[1]CURSOS!$E$23,(+IF($N76=[1]CURSOS!$D$24,[1]CURSOS!$E$24,(+IF($N76=[1]CURSOS!$D$25,[1]CURSOS!$E$25,(+IF($N76=[1]CURSOS!$D$26,[1]CURSOS!$E$26,(+IF($N76=[1]CURSOS!$D$27,[1]CURSOS!$E$27,(+IF($N76=[1]CURSOS!$D$28,[1]CURSOS!$E$28,(+IF($N76=[1]CURSOS!$D$29,[1]CURSOS!$E$29,(+IF($N76=[1]CURSOS!$D$30,[1]CURSOS!$E$30,(+IF($N76=[1]CURSOS!$D$31,[1]CURSOS!$E$31,(+IF($N76=[1]CURSOS!$D$32,[1]CURSOS!$E$32)))))))))))))))))))))))))))))))))))))))))))))))))))))))))))</f>
        <v xml:space="preserve">ATENCION A VICTIMAS DE ATAQUE CON AGENTES QUIMICOS </v>
      </c>
      <c r="T76" s="16" t="str">
        <f t="shared" si="9"/>
        <v>MERCEDES INES BANGUERA ANGULO</v>
      </c>
      <c r="U76" s="16" t="str">
        <f t="shared" si="10"/>
        <v>Mercedes Ines Banguera Angulo</v>
      </c>
      <c r="V76" s="16" t="str">
        <f t="shared" si="11"/>
        <v>MERCEDES INES BANGUERA ANGULO-59667578-QUIMICOS</v>
      </c>
    </row>
    <row r="77" spans="1:22" x14ac:dyDescent="0.2">
      <c r="A77" s="16">
        <v>77</v>
      </c>
      <c r="B77" s="16">
        <v>1085285412</v>
      </c>
      <c r="C77" s="16" t="s">
        <v>227</v>
      </c>
      <c r="D77" s="16" t="s">
        <v>137</v>
      </c>
      <c r="E77" s="16" t="s">
        <v>228</v>
      </c>
      <c r="F77" s="17" t="s">
        <v>193</v>
      </c>
      <c r="G77" s="16">
        <v>14</v>
      </c>
      <c r="H77" s="16" t="s">
        <v>41</v>
      </c>
      <c r="I77" s="18">
        <v>45363</v>
      </c>
      <c r="J77" s="16">
        <v>26666</v>
      </c>
      <c r="K77" s="16" t="s">
        <v>32</v>
      </c>
      <c r="L77" s="16" t="s">
        <v>222</v>
      </c>
      <c r="M77" s="16" t="s">
        <v>204</v>
      </c>
      <c r="N77" s="16" t="s">
        <v>21</v>
      </c>
      <c r="P77" s="21" t="s">
        <v>31</v>
      </c>
      <c r="R77" s="16">
        <v>3186775383</v>
      </c>
      <c r="S77" s="16" t="str">
        <f>+IF($N77=[1]CURSOS!$D$3,[1]CURSOS!$E$3,(+IF($N77=[1]CURSOS!$D$4,[1]CURSOS!$E$4,(+IF($N77=[1]CURSOS!$D$5,[1]CURSOS!$E$5,(+IF($N77=[1]CURSOS!$D$6,[1]CURSOS!$E$6,(+IF($N77=[1]CURSOS!$D$7,[1]CURSOS!$E$7,(+IF($N77=[1]CURSOS!$D$8,[1]CURSOS!$E$8,(+IF($N77=[1]CURSOS!$D$9,[1]CURSOS!$E$9,(+IF($N77=[1]CURSOS!$D$10,[1]CURSOS!$E$10,(+IF($N77=[1]CURSOS!$D$11,[1]CURSOS!$E$11,(+IF($N77=[1]CURSOS!$D$12,[1]CURSOS!$E$12,(+IF($N77=[1]CURSOS!$D$13,[1]CURSOS!$E$13,(+IF($N77=[1]CURSOS!$D$14,[1]CURSOS!$E$14,(+IF($N77=[1]CURSOS!$D$15,[1]CURSOS!$E$15,(+IF($N77=[1]CURSOS!$D$16,[1]CURSOS!$E$16,(+IF($N77=[1]CURSOS!$D$17,[1]CURSOS!$E$17,(+IF($N77=[1]CURSOS!$D$18,[1]CURSOS!$E$18,(+IF($N77=[1]CURSOS!$D$19,[1]CURSOS!$E$19,(+IF($N77=[1]CURSOS!$D$20,[1]CURSOS!$E$20,(+IF($N77=[1]CURSOS!$D$21,[1]CURSOS!$E$21,(+IF($N77=[1]CURSOS!$D$22,[1]CURSOS!$E$22,(+IF($N77=[1]CURSOS!$D$23,[1]CURSOS!$E$23,(+IF($N77=[1]CURSOS!$D$24,[1]CURSOS!$E$24,(+IF($N77=[1]CURSOS!$D$25,[1]CURSOS!$E$25,(+IF($N77=[1]CURSOS!$D$26,[1]CURSOS!$E$26,(+IF($N77=[1]CURSOS!$D$27,[1]CURSOS!$E$27,(+IF($N77=[1]CURSOS!$D$28,[1]CURSOS!$E$28,(+IF($N77=[1]CURSOS!$D$29,[1]CURSOS!$E$29,(+IF($N77=[1]CURSOS!$D$30,[1]CURSOS!$E$30,(+IF($N77=[1]CURSOS!$D$31,[1]CURSOS!$E$31,(+IF($N77=[1]CURSOS!$D$32,[1]CURSOS!$E$32)))))))))))))))))))))))))))))))))))))))))))))))))))))))))))</f>
        <v xml:space="preserve">ATENCION A VICTIMAS DE ATAQUE CON AGENTES QUIMICOS </v>
      </c>
      <c r="T77" s="16" t="str">
        <f t="shared" si="9"/>
        <v>VERONICA SORLAY VILLA CASTILLO</v>
      </c>
      <c r="U77" s="16" t="str">
        <f t="shared" si="10"/>
        <v>Veronica Sorlay Villa Castillo</v>
      </c>
      <c r="V77" s="16" t="str">
        <f t="shared" si="11"/>
        <v>VERONICA SORLAY VILLA CASTILLO-1085285412-QUIMICOS</v>
      </c>
    </row>
    <row r="78" spans="1:22" x14ac:dyDescent="0.2">
      <c r="A78" s="16">
        <v>78</v>
      </c>
      <c r="B78" s="16">
        <v>1087786090</v>
      </c>
      <c r="C78" s="16" t="s">
        <v>121</v>
      </c>
      <c r="D78" s="16" t="s">
        <v>104</v>
      </c>
      <c r="E78" s="16" t="s">
        <v>166</v>
      </c>
      <c r="F78" s="17" t="s">
        <v>153</v>
      </c>
      <c r="G78" s="16">
        <v>14</v>
      </c>
      <c r="H78" s="16" t="s">
        <v>41</v>
      </c>
      <c r="I78" s="18">
        <v>45363</v>
      </c>
      <c r="J78" s="16">
        <v>26666</v>
      </c>
      <c r="K78" s="16" t="s">
        <v>32</v>
      </c>
      <c r="L78" s="16" t="s">
        <v>222</v>
      </c>
      <c r="M78" s="16" t="s">
        <v>204</v>
      </c>
      <c r="N78" s="16" t="s">
        <v>21</v>
      </c>
      <c r="P78" s="21" t="s">
        <v>31</v>
      </c>
      <c r="S78" s="16" t="str">
        <f>+IF($N78=[1]CURSOS!$D$3,[1]CURSOS!$E$3,(+IF($N78=[1]CURSOS!$D$4,[1]CURSOS!$E$4,(+IF($N78=[1]CURSOS!$D$5,[1]CURSOS!$E$5,(+IF($N78=[1]CURSOS!$D$6,[1]CURSOS!$E$6,(+IF($N78=[1]CURSOS!$D$7,[1]CURSOS!$E$7,(+IF($N78=[1]CURSOS!$D$8,[1]CURSOS!$E$8,(+IF($N78=[1]CURSOS!$D$9,[1]CURSOS!$E$9,(+IF($N78=[1]CURSOS!$D$10,[1]CURSOS!$E$10,(+IF($N78=[1]CURSOS!$D$11,[1]CURSOS!$E$11,(+IF($N78=[1]CURSOS!$D$12,[1]CURSOS!$E$12,(+IF($N78=[1]CURSOS!$D$13,[1]CURSOS!$E$13,(+IF($N78=[1]CURSOS!$D$14,[1]CURSOS!$E$14,(+IF($N78=[1]CURSOS!$D$15,[1]CURSOS!$E$15,(+IF($N78=[1]CURSOS!$D$16,[1]CURSOS!$E$16,(+IF($N78=[1]CURSOS!$D$17,[1]CURSOS!$E$17,(+IF($N78=[1]CURSOS!$D$18,[1]CURSOS!$E$18,(+IF($N78=[1]CURSOS!$D$19,[1]CURSOS!$E$19,(+IF($N78=[1]CURSOS!$D$20,[1]CURSOS!$E$20,(+IF($N78=[1]CURSOS!$D$21,[1]CURSOS!$E$21,(+IF($N78=[1]CURSOS!$D$22,[1]CURSOS!$E$22,(+IF($N78=[1]CURSOS!$D$23,[1]CURSOS!$E$23,(+IF($N78=[1]CURSOS!$D$24,[1]CURSOS!$E$24,(+IF($N78=[1]CURSOS!$D$25,[1]CURSOS!$E$25,(+IF($N78=[1]CURSOS!$D$26,[1]CURSOS!$E$26,(+IF($N78=[1]CURSOS!$D$27,[1]CURSOS!$E$27,(+IF($N78=[1]CURSOS!$D$28,[1]CURSOS!$E$28,(+IF($N78=[1]CURSOS!$D$29,[1]CURSOS!$E$29,(+IF($N78=[1]CURSOS!$D$30,[1]CURSOS!$E$30,(+IF($N78=[1]CURSOS!$D$31,[1]CURSOS!$E$31,(+IF($N78=[1]CURSOS!$D$32,[1]CURSOS!$E$32)))))))))))))))))))))))))))))))))))))))))))))))))))))))))))</f>
        <v xml:space="preserve">ATENCION A VICTIMAS DE ATAQUE CON AGENTES QUIMICOS </v>
      </c>
      <c r="T78" s="16" t="str">
        <f t="shared" si="9"/>
        <v>MARIA JOSE CAMPAZ VALENCIA</v>
      </c>
      <c r="U78" s="16" t="str">
        <f t="shared" si="10"/>
        <v>Maria Jose Campaz Valencia</v>
      </c>
      <c r="V78" s="16" t="str">
        <f t="shared" si="11"/>
        <v>MARIA JOSE CAMPAZ VALENCIA-1087786090-QUIMICOS</v>
      </c>
    </row>
    <row r="79" spans="1:22" x14ac:dyDescent="0.2">
      <c r="A79" s="16">
        <v>79</v>
      </c>
      <c r="B79" s="16">
        <v>1006465244</v>
      </c>
      <c r="C79" s="16" t="s">
        <v>229</v>
      </c>
      <c r="D79" s="16" t="s">
        <v>145</v>
      </c>
      <c r="E79" s="16" t="s">
        <v>230</v>
      </c>
      <c r="F79" s="17" t="s">
        <v>194</v>
      </c>
      <c r="G79" s="16">
        <v>14</v>
      </c>
      <c r="H79" s="16" t="s">
        <v>41</v>
      </c>
      <c r="I79" s="18">
        <v>45363</v>
      </c>
      <c r="J79" s="16">
        <v>26666</v>
      </c>
      <c r="K79" s="16" t="s">
        <v>32</v>
      </c>
      <c r="L79" s="16" t="s">
        <v>222</v>
      </c>
      <c r="M79" s="16" t="s">
        <v>204</v>
      </c>
      <c r="N79" s="16" t="s">
        <v>21</v>
      </c>
      <c r="P79" s="21" t="s">
        <v>83</v>
      </c>
      <c r="S79" s="16" t="str">
        <f>+IF($N79=[1]CURSOS!$D$3,[1]CURSOS!$E$3,(+IF($N79=[1]CURSOS!$D$4,[1]CURSOS!$E$4,(+IF($N79=[1]CURSOS!$D$5,[1]CURSOS!$E$5,(+IF($N79=[1]CURSOS!$D$6,[1]CURSOS!$E$6,(+IF($N79=[1]CURSOS!$D$7,[1]CURSOS!$E$7,(+IF($N79=[1]CURSOS!$D$8,[1]CURSOS!$E$8,(+IF($N79=[1]CURSOS!$D$9,[1]CURSOS!$E$9,(+IF($N79=[1]CURSOS!$D$10,[1]CURSOS!$E$10,(+IF($N79=[1]CURSOS!$D$11,[1]CURSOS!$E$11,(+IF($N79=[1]CURSOS!$D$12,[1]CURSOS!$E$12,(+IF($N79=[1]CURSOS!$D$13,[1]CURSOS!$E$13,(+IF($N79=[1]CURSOS!$D$14,[1]CURSOS!$E$14,(+IF($N79=[1]CURSOS!$D$15,[1]CURSOS!$E$15,(+IF($N79=[1]CURSOS!$D$16,[1]CURSOS!$E$16,(+IF($N79=[1]CURSOS!$D$17,[1]CURSOS!$E$17,(+IF($N79=[1]CURSOS!$D$18,[1]CURSOS!$E$18,(+IF($N79=[1]CURSOS!$D$19,[1]CURSOS!$E$19,(+IF($N79=[1]CURSOS!$D$20,[1]CURSOS!$E$20,(+IF($N79=[1]CURSOS!$D$21,[1]CURSOS!$E$21,(+IF($N79=[1]CURSOS!$D$22,[1]CURSOS!$E$22,(+IF($N79=[1]CURSOS!$D$23,[1]CURSOS!$E$23,(+IF($N79=[1]CURSOS!$D$24,[1]CURSOS!$E$24,(+IF($N79=[1]CURSOS!$D$25,[1]CURSOS!$E$25,(+IF($N79=[1]CURSOS!$D$26,[1]CURSOS!$E$26,(+IF($N79=[1]CURSOS!$D$27,[1]CURSOS!$E$27,(+IF($N79=[1]CURSOS!$D$28,[1]CURSOS!$E$28,(+IF($N79=[1]CURSOS!$D$29,[1]CURSOS!$E$29,(+IF($N79=[1]CURSOS!$D$30,[1]CURSOS!$E$30,(+IF($N79=[1]CURSOS!$D$31,[1]CURSOS!$E$31,(+IF($N79=[1]CURSOS!$D$32,[1]CURSOS!$E$32)))))))))))))))))))))))))))))))))))))))))))))))))))))))))))</f>
        <v xml:space="preserve">ATENCION A VICTIMAS DE ATAQUE CON AGENTES QUIMICOS </v>
      </c>
      <c r="T79" s="16" t="str">
        <f t="shared" si="9"/>
        <v>KEVIN ANDRES ARBOLEDA CORTEZ</v>
      </c>
      <c r="U79" s="16" t="str">
        <f t="shared" si="10"/>
        <v>Kevin Andres Arboleda Cortez</v>
      </c>
      <c r="V79" s="16" t="str">
        <f t="shared" si="11"/>
        <v>KEVIN ANDRES ARBOLEDA CORTEZ-1006465244-QUIMICOS</v>
      </c>
    </row>
    <row r="80" spans="1:22" x14ac:dyDescent="0.2">
      <c r="A80" s="16">
        <v>80</v>
      </c>
      <c r="B80" s="16">
        <v>1087114485</v>
      </c>
      <c r="C80" s="16" t="s">
        <v>231</v>
      </c>
      <c r="D80" s="16" t="s">
        <v>146</v>
      </c>
      <c r="E80" s="16" t="s">
        <v>168</v>
      </c>
      <c r="F80" s="17" t="s">
        <v>195</v>
      </c>
      <c r="G80" s="16">
        <v>14</v>
      </c>
      <c r="H80" s="16" t="s">
        <v>41</v>
      </c>
      <c r="I80" s="18">
        <v>45363</v>
      </c>
      <c r="J80" s="16">
        <v>26666</v>
      </c>
      <c r="K80" s="16" t="s">
        <v>32</v>
      </c>
      <c r="L80" s="16" t="s">
        <v>222</v>
      </c>
      <c r="M80" s="16" t="s">
        <v>204</v>
      </c>
      <c r="N80" s="16" t="s">
        <v>21</v>
      </c>
      <c r="P80" s="21" t="s">
        <v>31</v>
      </c>
      <c r="S80" s="16" t="str">
        <f>+IF($N80=[1]CURSOS!$D$3,[1]CURSOS!$E$3,(+IF($N80=[1]CURSOS!$D$4,[1]CURSOS!$E$4,(+IF($N80=[1]CURSOS!$D$5,[1]CURSOS!$E$5,(+IF($N80=[1]CURSOS!$D$6,[1]CURSOS!$E$6,(+IF($N80=[1]CURSOS!$D$7,[1]CURSOS!$E$7,(+IF($N80=[1]CURSOS!$D$8,[1]CURSOS!$E$8,(+IF($N80=[1]CURSOS!$D$9,[1]CURSOS!$E$9,(+IF($N80=[1]CURSOS!$D$10,[1]CURSOS!$E$10,(+IF($N80=[1]CURSOS!$D$11,[1]CURSOS!$E$11,(+IF($N80=[1]CURSOS!$D$12,[1]CURSOS!$E$12,(+IF($N80=[1]CURSOS!$D$13,[1]CURSOS!$E$13,(+IF($N80=[1]CURSOS!$D$14,[1]CURSOS!$E$14,(+IF($N80=[1]CURSOS!$D$15,[1]CURSOS!$E$15,(+IF($N80=[1]CURSOS!$D$16,[1]CURSOS!$E$16,(+IF($N80=[1]CURSOS!$D$17,[1]CURSOS!$E$17,(+IF($N80=[1]CURSOS!$D$18,[1]CURSOS!$E$18,(+IF($N80=[1]CURSOS!$D$19,[1]CURSOS!$E$19,(+IF($N80=[1]CURSOS!$D$20,[1]CURSOS!$E$20,(+IF($N80=[1]CURSOS!$D$21,[1]CURSOS!$E$21,(+IF($N80=[1]CURSOS!$D$22,[1]CURSOS!$E$22,(+IF($N80=[1]CURSOS!$D$23,[1]CURSOS!$E$23,(+IF($N80=[1]CURSOS!$D$24,[1]CURSOS!$E$24,(+IF($N80=[1]CURSOS!$D$25,[1]CURSOS!$E$25,(+IF($N80=[1]CURSOS!$D$26,[1]CURSOS!$E$26,(+IF($N80=[1]CURSOS!$D$27,[1]CURSOS!$E$27,(+IF($N80=[1]CURSOS!$D$28,[1]CURSOS!$E$28,(+IF($N80=[1]CURSOS!$D$29,[1]CURSOS!$E$29,(+IF($N80=[1]CURSOS!$D$30,[1]CURSOS!$E$30,(+IF($N80=[1]CURSOS!$D$31,[1]CURSOS!$E$31,(+IF($N80=[1]CURSOS!$D$32,[1]CURSOS!$E$32)))))))))))))))))))))))))))))))))))))))))))))))))))))))))))</f>
        <v xml:space="preserve">ATENCION A VICTIMAS DE ATAQUE CON AGENTES QUIMICOS </v>
      </c>
      <c r="T80" s="16" t="str">
        <f t="shared" si="9"/>
        <v>MARYURI TATIANA RACINES DIAZ</v>
      </c>
      <c r="U80" s="16" t="str">
        <f t="shared" si="10"/>
        <v>Maryuri Tatiana Racines Diaz</v>
      </c>
      <c r="V80" s="16" t="str">
        <f t="shared" si="11"/>
        <v>MARYURI TATIANA RACINES DIAZ-1087114485-QUIMICOS</v>
      </c>
    </row>
    <row r="81" spans="1:22" x14ac:dyDescent="0.2">
      <c r="A81" s="16">
        <v>81</v>
      </c>
      <c r="B81" s="16">
        <v>1085260722</v>
      </c>
      <c r="C81" s="16" t="s">
        <v>232</v>
      </c>
      <c r="D81" s="16" t="s">
        <v>135</v>
      </c>
      <c r="E81" s="16" t="s">
        <v>233</v>
      </c>
      <c r="F81" s="17" t="s">
        <v>196</v>
      </c>
      <c r="G81" s="16">
        <v>14</v>
      </c>
      <c r="H81" s="16" t="s">
        <v>41</v>
      </c>
      <c r="I81" s="18">
        <v>45363</v>
      </c>
      <c r="J81" s="16">
        <v>26667</v>
      </c>
      <c r="K81" s="16" t="s">
        <v>32</v>
      </c>
      <c r="L81" s="16" t="s">
        <v>222</v>
      </c>
      <c r="M81" s="16" t="s">
        <v>204</v>
      </c>
      <c r="N81" s="16" t="s">
        <v>21</v>
      </c>
      <c r="P81" s="21" t="s">
        <v>31</v>
      </c>
      <c r="R81" s="16">
        <v>3022533161</v>
      </c>
      <c r="S81" s="16" t="str">
        <f>+IF($N81=[1]CURSOS!$D$3,[1]CURSOS!$E$3,(+IF($N81=[1]CURSOS!$D$4,[1]CURSOS!$E$4,(+IF($N81=[1]CURSOS!$D$5,[1]CURSOS!$E$5,(+IF($N81=[1]CURSOS!$D$6,[1]CURSOS!$E$6,(+IF($N81=[1]CURSOS!$D$7,[1]CURSOS!$E$7,(+IF($N81=[1]CURSOS!$D$8,[1]CURSOS!$E$8,(+IF($N81=[1]CURSOS!$D$9,[1]CURSOS!$E$9,(+IF($N81=[1]CURSOS!$D$10,[1]CURSOS!$E$10,(+IF($N81=[1]CURSOS!$D$11,[1]CURSOS!$E$11,(+IF($N81=[1]CURSOS!$D$12,[1]CURSOS!$E$12,(+IF($N81=[1]CURSOS!$D$13,[1]CURSOS!$E$13,(+IF($N81=[1]CURSOS!$D$14,[1]CURSOS!$E$14,(+IF($N81=[1]CURSOS!$D$15,[1]CURSOS!$E$15,(+IF($N81=[1]CURSOS!$D$16,[1]CURSOS!$E$16,(+IF($N81=[1]CURSOS!$D$17,[1]CURSOS!$E$17,(+IF($N81=[1]CURSOS!$D$18,[1]CURSOS!$E$18,(+IF($N81=[1]CURSOS!$D$19,[1]CURSOS!$E$19,(+IF($N81=[1]CURSOS!$D$20,[1]CURSOS!$E$20,(+IF($N81=[1]CURSOS!$D$21,[1]CURSOS!$E$21,(+IF($N81=[1]CURSOS!$D$22,[1]CURSOS!$E$22,(+IF($N81=[1]CURSOS!$D$23,[1]CURSOS!$E$23,(+IF($N81=[1]CURSOS!$D$24,[1]CURSOS!$E$24,(+IF($N81=[1]CURSOS!$D$25,[1]CURSOS!$E$25,(+IF($N81=[1]CURSOS!$D$26,[1]CURSOS!$E$26,(+IF($N81=[1]CURSOS!$D$27,[1]CURSOS!$E$27,(+IF($N81=[1]CURSOS!$D$28,[1]CURSOS!$E$28,(+IF($N81=[1]CURSOS!$D$29,[1]CURSOS!$E$29,(+IF($N81=[1]CURSOS!$D$30,[1]CURSOS!$E$30,(+IF($N81=[1]CURSOS!$D$31,[1]CURSOS!$E$31,(+IF($N81=[1]CURSOS!$D$32,[1]CURSOS!$E$32)))))))))))))))))))))))))))))))))))))))))))))))))))))))))))</f>
        <v xml:space="preserve">ATENCION A VICTIMAS DE ATAQUE CON AGENTES QUIMICOS </v>
      </c>
      <c r="T81" s="16" t="str">
        <f t="shared" si="9"/>
        <v>INGRID DEL SOCORRO RINCON CUERO</v>
      </c>
      <c r="U81" s="16" t="str">
        <f t="shared" si="10"/>
        <v>Ingrid Del Socorro Rincon Cuero</v>
      </c>
      <c r="V81" s="16" t="str">
        <f t="shared" si="11"/>
        <v>INGRID DEL SOCORRO RINCON CUERO-1085260722-QUIMICOS</v>
      </c>
    </row>
    <row r="82" spans="1:22" x14ac:dyDescent="0.2">
      <c r="A82" s="16">
        <v>82</v>
      </c>
      <c r="B82" s="16">
        <v>1004609427</v>
      </c>
      <c r="C82" s="16" t="s">
        <v>115</v>
      </c>
      <c r="D82" s="16" t="s">
        <v>110</v>
      </c>
      <c r="E82" s="16" t="s">
        <v>234</v>
      </c>
      <c r="F82" s="17" t="s">
        <v>197</v>
      </c>
      <c r="G82" s="16">
        <v>14</v>
      </c>
      <c r="H82" s="16" t="s">
        <v>41</v>
      </c>
      <c r="I82" s="18">
        <v>45363</v>
      </c>
      <c r="J82" s="16">
        <v>26667</v>
      </c>
      <c r="K82" s="16" t="s">
        <v>32</v>
      </c>
      <c r="L82" s="16" t="s">
        <v>222</v>
      </c>
      <c r="M82" s="16" t="s">
        <v>204</v>
      </c>
      <c r="N82" s="16" t="s">
        <v>21</v>
      </c>
      <c r="P82" s="21" t="s">
        <v>31</v>
      </c>
      <c r="S82" s="16" t="str">
        <f>+IF($N82=[1]CURSOS!$D$3,[1]CURSOS!$E$3,(+IF($N82=[1]CURSOS!$D$4,[1]CURSOS!$E$4,(+IF($N82=[1]CURSOS!$D$5,[1]CURSOS!$E$5,(+IF($N82=[1]CURSOS!$D$6,[1]CURSOS!$E$6,(+IF($N82=[1]CURSOS!$D$7,[1]CURSOS!$E$7,(+IF($N82=[1]CURSOS!$D$8,[1]CURSOS!$E$8,(+IF($N82=[1]CURSOS!$D$9,[1]CURSOS!$E$9,(+IF($N82=[1]CURSOS!$D$10,[1]CURSOS!$E$10,(+IF($N82=[1]CURSOS!$D$11,[1]CURSOS!$E$11,(+IF($N82=[1]CURSOS!$D$12,[1]CURSOS!$E$12,(+IF($N82=[1]CURSOS!$D$13,[1]CURSOS!$E$13,(+IF($N82=[1]CURSOS!$D$14,[1]CURSOS!$E$14,(+IF($N82=[1]CURSOS!$D$15,[1]CURSOS!$E$15,(+IF($N82=[1]CURSOS!$D$16,[1]CURSOS!$E$16,(+IF($N82=[1]CURSOS!$D$17,[1]CURSOS!$E$17,(+IF($N82=[1]CURSOS!$D$18,[1]CURSOS!$E$18,(+IF($N82=[1]CURSOS!$D$19,[1]CURSOS!$E$19,(+IF($N82=[1]CURSOS!$D$20,[1]CURSOS!$E$20,(+IF($N82=[1]CURSOS!$D$21,[1]CURSOS!$E$21,(+IF($N82=[1]CURSOS!$D$22,[1]CURSOS!$E$22,(+IF($N82=[1]CURSOS!$D$23,[1]CURSOS!$E$23,(+IF($N82=[1]CURSOS!$D$24,[1]CURSOS!$E$24,(+IF($N82=[1]CURSOS!$D$25,[1]CURSOS!$E$25,(+IF($N82=[1]CURSOS!$D$26,[1]CURSOS!$E$26,(+IF($N82=[1]CURSOS!$D$27,[1]CURSOS!$E$27,(+IF($N82=[1]CURSOS!$D$28,[1]CURSOS!$E$28,(+IF($N82=[1]CURSOS!$D$29,[1]CURSOS!$E$29,(+IF($N82=[1]CURSOS!$D$30,[1]CURSOS!$E$30,(+IF($N82=[1]CURSOS!$D$31,[1]CURSOS!$E$31,(+IF($N82=[1]CURSOS!$D$32,[1]CURSOS!$E$32)))))))))))))))))))))))))))))))))))))))))))))))))))))))))))</f>
        <v xml:space="preserve">ATENCION A VICTIMAS DE ATAQUE CON AGENTES QUIMICOS </v>
      </c>
      <c r="T82" s="16" t="str">
        <f t="shared" si="9"/>
        <v>TATINA KARINA GUERRERO QUIÑONES</v>
      </c>
      <c r="U82" s="16" t="str">
        <f t="shared" si="10"/>
        <v>Tatina Karina Guerrero Quiñones</v>
      </c>
      <c r="V82" s="16" t="str">
        <f t="shared" si="11"/>
        <v>TATINA KARINA GUERRERO QUIÑONES-1004609427-QUIMICOS</v>
      </c>
    </row>
    <row r="83" spans="1:22" x14ac:dyDescent="0.2">
      <c r="A83" s="16">
        <v>83</v>
      </c>
      <c r="B83" s="16">
        <v>59674851</v>
      </c>
      <c r="C83" s="16" t="s">
        <v>125</v>
      </c>
      <c r="D83" s="16" t="s">
        <v>111</v>
      </c>
      <c r="E83" s="16" t="s">
        <v>171</v>
      </c>
      <c r="F83" s="17" t="s">
        <v>198</v>
      </c>
      <c r="G83" s="16">
        <v>14</v>
      </c>
      <c r="H83" s="16" t="s">
        <v>41</v>
      </c>
      <c r="I83" s="18">
        <v>45363</v>
      </c>
      <c r="J83" s="16">
        <v>26667</v>
      </c>
      <c r="K83" s="16" t="s">
        <v>32</v>
      </c>
      <c r="L83" s="16" t="s">
        <v>222</v>
      </c>
      <c r="M83" s="16" t="s">
        <v>204</v>
      </c>
      <c r="N83" s="16" t="s">
        <v>21</v>
      </c>
      <c r="P83" s="21" t="s">
        <v>31</v>
      </c>
      <c r="S83" s="16" t="str">
        <f>+IF($N83=[1]CURSOS!$D$3,[1]CURSOS!$E$3,(+IF($N83=[1]CURSOS!$D$4,[1]CURSOS!$E$4,(+IF($N83=[1]CURSOS!$D$5,[1]CURSOS!$E$5,(+IF($N83=[1]CURSOS!$D$6,[1]CURSOS!$E$6,(+IF($N83=[1]CURSOS!$D$7,[1]CURSOS!$E$7,(+IF($N83=[1]CURSOS!$D$8,[1]CURSOS!$E$8,(+IF($N83=[1]CURSOS!$D$9,[1]CURSOS!$E$9,(+IF($N83=[1]CURSOS!$D$10,[1]CURSOS!$E$10,(+IF($N83=[1]CURSOS!$D$11,[1]CURSOS!$E$11,(+IF($N83=[1]CURSOS!$D$12,[1]CURSOS!$E$12,(+IF($N83=[1]CURSOS!$D$13,[1]CURSOS!$E$13,(+IF($N83=[1]CURSOS!$D$14,[1]CURSOS!$E$14,(+IF($N83=[1]CURSOS!$D$15,[1]CURSOS!$E$15,(+IF($N83=[1]CURSOS!$D$16,[1]CURSOS!$E$16,(+IF($N83=[1]CURSOS!$D$17,[1]CURSOS!$E$17,(+IF($N83=[1]CURSOS!$D$18,[1]CURSOS!$E$18,(+IF($N83=[1]CURSOS!$D$19,[1]CURSOS!$E$19,(+IF($N83=[1]CURSOS!$D$20,[1]CURSOS!$E$20,(+IF($N83=[1]CURSOS!$D$21,[1]CURSOS!$E$21,(+IF($N83=[1]CURSOS!$D$22,[1]CURSOS!$E$22,(+IF($N83=[1]CURSOS!$D$23,[1]CURSOS!$E$23,(+IF($N83=[1]CURSOS!$D$24,[1]CURSOS!$E$24,(+IF($N83=[1]CURSOS!$D$25,[1]CURSOS!$E$25,(+IF($N83=[1]CURSOS!$D$26,[1]CURSOS!$E$26,(+IF($N83=[1]CURSOS!$D$27,[1]CURSOS!$E$27,(+IF($N83=[1]CURSOS!$D$28,[1]CURSOS!$E$28,(+IF($N83=[1]CURSOS!$D$29,[1]CURSOS!$E$29,(+IF($N83=[1]CURSOS!$D$30,[1]CURSOS!$E$30,(+IF($N83=[1]CURSOS!$D$31,[1]CURSOS!$E$31,(+IF($N83=[1]CURSOS!$D$32,[1]CURSOS!$E$32)))))))))))))))))))))))))))))))))))))))))))))))))))))))))))</f>
        <v xml:space="preserve">ATENCION A VICTIMAS DE ATAQUE CON AGENTES QUIMICOS </v>
      </c>
      <c r="T83" s="16" t="str">
        <f t="shared" si="9"/>
        <v>SANDRA MARISA AMU LANDAZURI</v>
      </c>
      <c r="U83" s="16" t="str">
        <f t="shared" si="10"/>
        <v>Sandra Marisa Amu Landazuri</v>
      </c>
      <c r="V83" s="16" t="str">
        <f t="shared" si="11"/>
        <v>SANDRA MARISA AMU LANDAZURI-59674851-QUIMICOS</v>
      </c>
    </row>
    <row r="84" spans="1:22" x14ac:dyDescent="0.2">
      <c r="A84" s="16">
        <v>84</v>
      </c>
      <c r="B84" s="16">
        <v>1087195796</v>
      </c>
      <c r="C84" s="16" t="s">
        <v>119</v>
      </c>
      <c r="D84" s="16" t="s">
        <v>127</v>
      </c>
      <c r="E84" s="16" t="s">
        <v>172</v>
      </c>
      <c r="F84" s="17" t="s">
        <v>199</v>
      </c>
      <c r="G84" s="16">
        <v>14</v>
      </c>
      <c r="H84" s="16" t="s">
        <v>41</v>
      </c>
      <c r="I84" s="18">
        <v>45363</v>
      </c>
      <c r="J84" s="16">
        <v>26667</v>
      </c>
      <c r="K84" s="16" t="s">
        <v>32</v>
      </c>
      <c r="L84" s="16" t="s">
        <v>222</v>
      </c>
      <c r="M84" s="16" t="s">
        <v>204</v>
      </c>
      <c r="N84" s="16" t="s">
        <v>21</v>
      </c>
      <c r="P84" s="21" t="s">
        <v>31</v>
      </c>
      <c r="S84" s="16" t="str">
        <f>+IF($N84=[1]CURSOS!$D$3,[1]CURSOS!$E$3,(+IF($N84=[1]CURSOS!$D$4,[1]CURSOS!$E$4,(+IF($N84=[1]CURSOS!$D$5,[1]CURSOS!$E$5,(+IF($N84=[1]CURSOS!$D$6,[1]CURSOS!$E$6,(+IF($N84=[1]CURSOS!$D$7,[1]CURSOS!$E$7,(+IF($N84=[1]CURSOS!$D$8,[1]CURSOS!$E$8,(+IF($N84=[1]CURSOS!$D$9,[1]CURSOS!$E$9,(+IF($N84=[1]CURSOS!$D$10,[1]CURSOS!$E$10,(+IF($N84=[1]CURSOS!$D$11,[1]CURSOS!$E$11,(+IF($N84=[1]CURSOS!$D$12,[1]CURSOS!$E$12,(+IF($N84=[1]CURSOS!$D$13,[1]CURSOS!$E$13,(+IF($N84=[1]CURSOS!$D$14,[1]CURSOS!$E$14,(+IF($N84=[1]CURSOS!$D$15,[1]CURSOS!$E$15,(+IF($N84=[1]CURSOS!$D$16,[1]CURSOS!$E$16,(+IF($N84=[1]CURSOS!$D$17,[1]CURSOS!$E$17,(+IF($N84=[1]CURSOS!$D$18,[1]CURSOS!$E$18,(+IF($N84=[1]CURSOS!$D$19,[1]CURSOS!$E$19,(+IF($N84=[1]CURSOS!$D$20,[1]CURSOS!$E$20,(+IF($N84=[1]CURSOS!$D$21,[1]CURSOS!$E$21,(+IF($N84=[1]CURSOS!$D$22,[1]CURSOS!$E$22,(+IF($N84=[1]CURSOS!$D$23,[1]CURSOS!$E$23,(+IF($N84=[1]CURSOS!$D$24,[1]CURSOS!$E$24,(+IF($N84=[1]CURSOS!$D$25,[1]CURSOS!$E$25,(+IF($N84=[1]CURSOS!$D$26,[1]CURSOS!$E$26,(+IF($N84=[1]CURSOS!$D$27,[1]CURSOS!$E$27,(+IF($N84=[1]CURSOS!$D$28,[1]CURSOS!$E$28,(+IF($N84=[1]CURSOS!$D$29,[1]CURSOS!$E$29,(+IF($N84=[1]CURSOS!$D$30,[1]CURSOS!$E$30,(+IF($N84=[1]CURSOS!$D$31,[1]CURSOS!$E$31,(+IF($N84=[1]CURSOS!$D$32,[1]CURSOS!$E$32)))))))))))))))))))))))))))))))))))))))))))))))))))))))))))</f>
        <v xml:space="preserve">ATENCION A VICTIMAS DE ATAQUE CON AGENTES QUIMICOS </v>
      </c>
      <c r="T84" s="16" t="str">
        <f t="shared" si="9"/>
        <v>LUZ HELENA BANGUERA MONTAÑO</v>
      </c>
      <c r="U84" s="16" t="str">
        <f t="shared" si="10"/>
        <v>Luz Helena Banguera Montaño</v>
      </c>
      <c r="V84" s="16" t="str">
        <f t="shared" si="11"/>
        <v>LUZ HELENA BANGUERA MONTAÑO-1087195796-QUIMICOS</v>
      </c>
    </row>
    <row r="85" spans="1:22" x14ac:dyDescent="0.2">
      <c r="A85" s="16">
        <v>105</v>
      </c>
      <c r="B85" s="16">
        <v>59683321</v>
      </c>
      <c r="C85" s="16" t="s">
        <v>126</v>
      </c>
      <c r="D85" s="16" t="s">
        <v>127</v>
      </c>
      <c r="E85" s="16" t="s">
        <v>173</v>
      </c>
      <c r="F85" s="17" t="s">
        <v>200</v>
      </c>
      <c r="G85" s="16">
        <v>9</v>
      </c>
      <c r="H85" s="16" t="s">
        <v>41</v>
      </c>
      <c r="I85" s="18">
        <v>45363</v>
      </c>
      <c r="J85" s="16">
        <v>26668</v>
      </c>
      <c r="K85" s="16" t="s">
        <v>356</v>
      </c>
      <c r="L85" s="16" t="s">
        <v>222</v>
      </c>
      <c r="M85" s="16" t="s">
        <v>204</v>
      </c>
      <c r="N85" s="16" t="s">
        <v>19</v>
      </c>
      <c r="P85" s="21" t="s">
        <v>31</v>
      </c>
      <c r="S85" s="16" t="str">
        <f>+IF($N85=[1]CURSOS!$D$3,[1]CURSOS!$E$3,(+IF($N85=[1]CURSOS!$D$4,[1]CURSOS!$E$4,(+IF($N85=[1]CURSOS!$D$5,[1]CURSOS!$E$5,(+IF($N85=[1]CURSOS!$D$6,[1]CURSOS!$E$6,(+IF($N85=[1]CURSOS!$D$7,[1]CURSOS!$E$7,(+IF($N85=[1]CURSOS!$D$8,[1]CURSOS!$E$8,(+IF($N85=[1]CURSOS!$D$9,[1]CURSOS!$E$9,(+IF($N85=[1]CURSOS!$D$10,[1]CURSOS!$E$10,(+IF($N85=[1]CURSOS!$D$11,[1]CURSOS!$E$11,(+IF($N85=[1]CURSOS!$D$12,[1]CURSOS!$E$12,(+IF($N85=[1]CURSOS!$D$13,[1]CURSOS!$E$13,(+IF($N85=[1]CURSOS!$D$14,[1]CURSOS!$E$14,(+IF($N85=[1]CURSOS!$D$15,[1]CURSOS!$E$15,(+IF($N85=[1]CURSOS!$D$16,[1]CURSOS!$E$16,(+IF($N85=[1]CURSOS!$D$17,[1]CURSOS!$E$17,(+IF($N85=[1]CURSOS!$D$18,[1]CURSOS!$E$18,(+IF($N85=[1]CURSOS!$D$19,[1]CURSOS!$E$19,(+IF($N85=[1]CURSOS!$D$20,[1]CURSOS!$E$20,(+IF($N85=[1]CURSOS!$D$21,[1]CURSOS!$E$21,(+IF($N85=[1]CURSOS!$D$22,[1]CURSOS!$E$22,(+IF($N85=[1]CURSOS!$D$23,[1]CURSOS!$E$23,(+IF($N85=[1]CURSOS!$D$24,[1]CURSOS!$E$24,(+IF($N85=[1]CURSOS!$D$25,[1]CURSOS!$E$25,(+IF($N85=[1]CURSOS!$D$26,[1]CURSOS!$E$26,(+IF($N85=[1]CURSOS!$D$27,[1]CURSOS!$E$27,(+IF($N85=[1]CURSOS!$D$28,[1]CURSOS!$E$28,(+IF($N85=[1]CURSOS!$D$29,[1]CURSOS!$E$29,(+IF($N85=[1]CURSOS!$D$30,[1]CURSOS!$E$30,(+IF($N85=[1]CURSOS!$D$31,[1]CURSOS!$E$31,(+IF($N85=[1]CURSOS!$D$32,[1]CURSOS!$E$32)))))))))))))))))))))))))))))))))))))))))))))))))))))))))))</f>
        <v>SOPORTE VITAL BASICO (BLS)</v>
      </c>
      <c r="T85" s="16" t="str">
        <f t="shared" si="9"/>
        <v>KONIE MAURICIA VALVERDE MONTAÑO</v>
      </c>
      <c r="U85" s="16" t="str">
        <f t="shared" si="10"/>
        <v>Konie Mauricia Valverde Montaño</v>
      </c>
      <c r="V85" s="16" t="str">
        <f t="shared" si="11"/>
        <v>KONIE MAURICIA VALVERDE MONTAÑO-59683321-BLS</v>
      </c>
    </row>
    <row r="86" spans="1:22" x14ac:dyDescent="0.2">
      <c r="A86" s="16">
        <v>86</v>
      </c>
      <c r="B86" s="16">
        <v>59685926</v>
      </c>
      <c r="C86" s="16" t="s">
        <v>127</v>
      </c>
      <c r="D86" s="16" t="s">
        <v>137</v>
      </c>
      <c r="E86" s="16" t="s">
        <v>258</v>
      </c>
      <c r="F86" s="17" t="s">
        <v>201</v>
      </c>
      <c r="G86" s="16">
        <v>14</v>
      </c>
      <c r="H86" s="16" t="s">
        <v>41</v>
      </c>
      <c r="I86" s="18">
        <v>45363</v>
      </c>
      <c r="J86" s="16">
        <v>26668</v>
      </c>
      <c r="K86" s="16" t="s">
        <v>32</v>
      </c>
      <c r="L86" s="16" t="s">
        <v>222</v>
      </c>
      <c r="M86" s="16" t="s">
        <v>204</v>
      </c>
      <c r="N86" s="16" t="s">
        <v>21</v>
      </c>
      <c r="P86" s="21" t="s">
        <v>31</v>
      </c>
      <c r="S86" s="16" t="str">
        <f>+IF($N86=[1]CURSOS!$D$3,[1]CURSOS!$E$3,(+IF($N86=[1]CURSOS!$D$4,[1]CURSOS!$E$4,(+IF($N86=[1]CURSOS!$D$5,[1]CURSOS!$E$5,(+IF($N86=[1]CURSOS!$D$6,[1]CURSOS!$E$6,(+IF($N86=[1]CURSOS!$D$7,[1]CURSOS!$E$7,(+IF($N86=[1]CURSOS!$D$8,[1]CURSOS!$E$8,(+IF($N86=[1]CURSOS!$D$9,[1]CURSOS!$E$9,(+IF($N86=[1]CURSOS!$D$10,[1]CURSOS!$E$10,(+IF($N86=[1]CURSOS!$D$11,[1]CURSOS!$E$11,(+IF($N86=[1]CURSOS!$D$12,[1]CURSOS!$E$12,(+IF($N86=[1]CURSOS!$D$13,[1]CURSOS!$E$13,(+IF($N86=[1]CURSOS!$D$14,[1]CURSOS!$E$14,(+IF($N86=[1]CURSOS!$D$15,[1]CURSOS!$E$15,(+IF($N86=[1]CURSOS!$D$16,[1]CURSOS!$E$16,(+IF($N86=[1]CURSOS!$D$17,[1]CURSOS!$E$17,(+IF($N86=[1]CURSOS!$D$18,[1]CURSOS!$E$18,(+IF($N86=[1]CURSOS!$D$19,[1]CURSOS!$E$19,(+IF($N86=[1]CURSOS!$D$20,[1]CURSOS!$E$20,(+IF($N86=[1]CURSOS!$D$21,[1]CURSOS!$E$21,(+IF($N86=[1]CURSOS!$D$22,[1]CURSOS!$E$22,(+IF($N86=[1]CURSOS!$D$23,[1]CURSOS!$E$23,(+IF($N86=[1]CURSOS!$D$24,[1]CURSOS!$E$24,(+IF($N86=[1]CURSOS!$D$25,[1]CURSOS!$E$25,(+IF($N86=[1]CURSOS!$D$26,[1]CURSOS!$E$26,(+IF($N86=[1]CURSOS!$D$27,[1]CURSOS!$E$27,(+IF($N86=[1]CURSOS!$D$28,[1]CURSOS!$E$28,(+IF($N86=[1]CURSOS!$D$29,[1]CURSOS!$E$29,(+IF($N86=[1]CURSOS!$D$30,[1]CURSOS!$E$30,(+IF($N86=[1]CURSOS!$D$31,[1]CURSOS!$E$31,(+IF($N86=[1]CURSOS!$D$32,[1]CURSOS!$E$32)))))))))))))))))))))))))))))))))))))))))))))))))))))))))))</f>
        <v xml:space="preserve">ATENCION A VICTIMAS DE ATAQUE CON AGENTES QUIMICOS </v>
      </c>
      <c r="T86" s="16" t="str">
        <f t="shared" si="9"/>
        <v>Friny FERNANDA MONTAÑO CASTILLO</v>
      </c>
      <c r="U86" s="16" t="str">
        <f t="shared" si="10"/>
        <v>Friny Fernanda Montaño Castillo</v>
      </c>
      <c r="V86" s="16" t="str">
        <f t="shared" si="11"/>
        <v>Friny FERNANDA MONTAÑO CASTILLO-59685926-QUIMICOS</v>
      </c>
    </row>
    <row r="87" spans="1:22" x14ac:dyDescent="0.2">
      <c r="A87" s="16">
        <v>87</v>
      </c>
      <c r="B87" s="16">
        <v>1087113564</v>
      </c>
      <c r="C87" s="16" t="s">
        <v>128</v>
      </c>
      <c r="D87" s="16" t="s">
        <v>235</v>
      </c>
      <c r="E87" s="16" t="s">
        <v>174</v>
      </c>
      <c r="F87" s="17" t="s">
        <v>235</v>
      </c>
      <c r="G87" s="16">
        <v>14</v>
      </c>
      <c r="H87" s="16" t="s">
        <v>41</v>
      </c>
      <c r="I87" s="18">
        <v>45363</v>
      </c>
      <c r="J87" s="16">
        <v>26668</v>
      </c>
      <c r="K87" s="16" t="s">
        <v>32</v>
      </c>
      <c r="L87" s="16" t="s">
        <v>222</v>
      </c>
      <c r="M87" s="16" t="s">
        <v>204</v>
      </c>
      <c r="N87" s="16" t="s">
        <v>21</v>
      </c>
      <c r="P87" s="21" t="s">
        <v>31</v>
      </c>
      <c r="R87" s="16">
        <v>3017982423</v>
      </c>
      <c r="S87" s="16" t="str">
        <f>+IF($N87=[1]CURSOS!$D$3,[1]CURSOS!$E$3,(+IF($N87=[1]CURSOS!$D$4,[1]CURSOS!$E$4,(+IF($N87=[1]CURSOS!$D$5,[1]CURSOS!$E$5,(+IF($N87=[1]CURSOS!$D$6,[1]CURSOS!$E$6,(+IF($N87=[1]CURSOS!$D$7,[1]CURSOS!$E$7,(+IF($N87=[1]CURSOS!$D$8,[1]CURSOS!$E$8,(+IF($N87=[1]CURSOS!$D$9,[1]CURSOS!$E$9,(+IF($N87=[1]CURSOS!$D$10,[1]CURSOS!$E$10,(+IF($N87=[1]CURSOS!$D$11,[1]CURSOS!$E$11,(+IF($N87=[1]CURSOS!$D$12,[1]CURSOS!$E$12,(+IF($N87=[1]CURSOS!$D$13,[1]CURSOS!$E$13,(+IF($N87=[1]CURSOS!$D$14,[1]CURSOS!$E$14,(+IF($N87=[1]CURSOS!$D$15,[1]CURSOS!$E$15,(+IF($N87=[1]CURSOS!$D$16,[1]CURSOS!$E$16,(+IF($N87=[1]CURSOS!$D$17,[1]CURSOS!$E$17,(+IF($N87=[1]CURSOS!$D$18,[1]CURSOS!$E$18,(+IF($N87=[1]CURSOS!$D$19,[1]CURSOS!$E$19,(+IF($N87=[1]CURSOS!$D$20,[1]CURSOS!$E$20,(+IF($N87=[1]CURSOS!$D$21,[1]CURSOS!$E$21,(+IF($N87=[1]CURSOS!$D$22,[1]CURSOS!$E$22,(+IF($N87=[1]CURSOS!$D$23,[1]CURSOS!$E$23,(+IF($N87=[1]CURSOS!$D$24,[1]CURSOS!$E$24,(+IF($N87=[1]CURSOS!$D$25,[1]CURSOS!$E$25,(+IF($N87=[1]CURSOS!$D$26,[1]CURSOS!$E$26,(+IF($N87=[1]CURSOS!$D$27,[1]CURSOS!$E$27,(+IF($N87=[1]CURSOS!$D$28,[1]CURSOS!$E$28,(+IF($N87=[1]CURSOS!$D$29,[1]CURSOS!$E$29,(+IF($N87=[1]CURSOS!$D$30,[1]CURSOS!$E$30,(+IF($N87=[1]CURSOS!$D$31,[1]CURSOS!$E$31,(+IF($N87=[1]CURSOS!$D$32,[1]CURSOS!$E$32)))))))))))))))))))))))))))))))))))))))))))))))))))))))))))</f>
        <v xml:space="preserve">ATENCION A VICTIMAS DE ATAQUE CON AGENTES QUIMICOS </v>
      </c>
      <c r="T87" s="16" t="str">
        <f t="shared" si="9"/>
        <v xml:space="preserve">JOHANA  BIOJO </v>
      </c>
      <c r="U87" s="16" t="str">
        <f t="shared" si="10"/>
        <v xml:space="preserve">Johana  Biojo </v>
      </c>
      <c r="V87" s="16" t="str">
        <f t="shared" si="11"/>
        <v>JOHANA  BIOJO -1087113564-QUIMICOS</v>
      </c>
    </row>
    <row r="88" spans="1:22" x14ac:dyDescent="0.2">
      <c r="A88" s="16">
        <v>88</v>
      </c>
      <c r="B88" s="16">
        <v>59663880</v>
      </c>
      <c r="C88" s="16" t="s">
        <v>129</v>
      </c>
      <c r="D88" s="16" t="s">
        <v>147</v>
      </c>
      <c r="E88" s="16" t="s">
        <v>175</v>
      </c>
      <c r="F88" s="17" t="s">
        <v>236</v>
      </c>
      <c r="G88" s="16">
        <v>14</v>
      </c>
      <c r="H88" s="16" t="s">
        <v>41</v>
      </c>
      <c r="I88" s="18">
        <v>45363</v>
      </c>
      <c r="J88" s="16">
        <v>40000</v>
      </c>
      <c r="K88" s="16" t="s">
        <v>32</v>
      </c>
      <c r="L88" s="16" t="s">
        <v>222</v>
      </c>
      <c r="M88" s="16" t="s">
        <v>204</v>
      </c>
      <c r="N88" s="16" t="s">
        <v>21</v>
      </c>
      <c r="P88" s="21" t="s">
        <v>31</v>
      </c>
      <c r="R88" s="16">
        <v>3217529680</v>
      </c>
      <c r="S88" s="16" t="str">
        <f>+IF($N88=[1]CURSOS!$D$3,[1]CURSOS!$E$3,(+IF($N88=[1]CURSOS!$D$4,[1]CURSOS!$E$4,(+IF($N88=[1]CURSOS!$D$5,[1]CURSOS!$E$5,(+IF($N88=[1]CURSOS!$D$6,[1]CURSOS!$E$6,(+IF($N88=[1]CURSOS!$D$7,[1]CURSOS!$E$7,(+IF($N88=[1]CURSOS!$D$8,[1]CURSOS!$E$8,(+IF($N88=[1]CURSOS!$D$9,[1]CURSOS!$E$9,(+IF($N88=[1]CURSOS!$D$10,[1]CURSOS!$E$10,(+IF($N88=[1]CURSOS!$D$11,[1]CURSOS!$E$11,(+IF($N88=[1]CURSOS!$D$12,[1]CURSOS!$E$12,(+IF($N88=[1]CURSOS!$D$13,[1]CURSOS!$E$13,(+IF($N88=[1]CURSOS!$D$14,[1]CURSOS!$E$14,(+IF($N88=[1]CURSOS!$D$15,[1]CURSOS!$E$15,(+IF($N88=[1]CURSOS!$D$16,[1]CURSOS!$E$16,(+IF($N88=[1]CURSOS!$D$17,[1]CURSOS!$E$17,(+IF($N88=[1]CURSOS!$D$18,[1]CURSOS!$E$18,(+IF($N88=[1]CURSOS!$D$19,[1]CURSOS!$E$19,(+IF($N88=[1]CURSOS!$D$20,[1]CURSOS!$E$20,(+IF($N88=[1]CURSOS!$D$21,[1]CURSOS!$E$21,(+IF($N88=[1]CURSOS!$D$22,[1]CURSOS!$E$22,(+IF($N88=[1]CURSOS!$D$23,[1]CURSOS!$E$23,(+IF($N88=[1]CURSOS!$D$24,[1]CURSOS!$E$24,(+IF($N88=[1]CURSOS!$D$25,[1]CURSOS!$E$25,(+IF($N88=[1]CURSOS!$D$26,[1]CURSOS!$E$26,(+IF($N88=[1]CURSOS!$D$27,[1]CURSOS!$E$27,(+IF($N88=[1]CURSOS!$D$28,[1]CURSOS!$E$28,(+IF($N88=[1]CURSOS!$D$29,[1]CURSOS!$E$29,(+IF($N88=[1]CURSOS!$D$30,[1]CURSOS!$E$30,(+IF($N88=[1]CURSOS!$D$31,[1]CURSOS!$E$31,(+IF($N88=[1]CURSOS!$D$32,[1]CURSOS!$E$32)))))))))))))))))))))))))))))))))))))))))))))))))))))))))))</f>
        <v xml:space="preserve">ATENCION A VICTIMAS DE ATAQUE CON AGENTES QUIMICOS </v>
      </c>
      <c r="T88" s="16" t="str">
        <f t="shared" si="9"/>
        <v>MARINA CRISTINA MOSQUERA BETANCOURT</v>
      </c>
      <c r="U88" s="16" t="str">
        <f t="shared" si="10"/>
        <v>Marina Cristina Mosquera Betancourt</v>
      </c>
      <c r="V88" s="16" t="str">
        <f t="shared" si="11"/>
        <v>MARINA CRISTINA MOSQUERA BETANCOURT-59663880-QUIMICOS</v>
      </c>
    </row>
    <row r="89" spans="1:22" x14ac:dyDescent="0.2">
      <c r="A89" s="16">
        <v>89</v>
      </c>
      <c r="B89" s="16">
        <v>59863722</v>
      </c>
      <c r="C89" s="16" t="s">
        <v>112</v>
      </c>
      <c r="D89" s="16" t="s">
        <v>144</v>
      </c>
      <c r="E89" s="16" t="s">
        <v>176</v>
      </c>
      <c r="F89" s="17" t="s">
        <v>237</v>
      </c>
      <c r="G89" s="16">
        <v>14</v>
      </c>
      <c r="H89" s="16" t="s">
        <v>41</v>
      </c>
      <c r="I89" s="18">
        <v>45363</v>
      </c>
      <c r="J89" s="16">
        <v>40000</v>
      </c>
      <c r="K89" s="16" t="s">
        <v>32</v>
      </c>
      <c r="L89" s="16" t="s">
        <v>222</v>
      </c>
      <c r="M89" s="16" t="s">
        <v>204</v>
      </c>
      <c r="N89" s="16" t="s">
        <v>21</v>
      </c>
      <c r="P89" s="21" t="s">
        <v>31</v>
      </c>
      <c r="R89" s="16">
        <v>3207683236</v>
      </c>
      <c r="S89" s="16" t="str">
        <f>+IF($N89=[1]CURSOS!$D$3,[1]CURSOS!$E$3,(+IF($N89=[1]CURSOS!$D$4,[1]CURSOS!$E$4,(+IF($N89=[1]CURSOS!$D$5,[1]CURSOS!$E$5,(+IF($N89=[1]CURSOS!$D$6,[1]CURSOS!$E$6,(+IF($N89=[1]CURSOS!$D$7,[1]CURSOS!$E$7,(+IF($N89=[1]CURSOS!$D$8,[1]CURSOS!$E$8,(+IF($N89=[1]CURSOS!$D$9,[1]CURSOS!$E$9,(+IF($N89=[1]CURSOS!$D$10,[1]CURSOS!$E$10,(+IF($N89=[1]CURSOS!$D$11,[1]CURSOS!$E$11,(+IF($N89=[1]CURSOS!$D$12,[1]CURSOS!$E$12,(+IF($N89=[1]CURSOS!$D$13,[1]CURSOS!$E$13,(+IF($N89=[1]CURSOS!$D$14,[1]CURSOS!$E$14,(+IF($N89=[1]CURSOS!$D$15,[1]CURSOS!$E$15,(+IF($N89=[1]CURSOS!$D$16,[1]CURSOS!$E$16,(+IF($N89=[1]CURSOS!$D$17,[1]CURSOS!$E$17,(+IF($N89=[1]CURSOS!$D$18,[1]CURSOS!$E$18,(+IF($N89=[1]CURSOS!$D$19,[1]CURSOS!$E$19,(+IF($N89=[1]CURSOS!$D$20,[1]CURSOS!$E$20,(+IF($N89=[1]CURSOS!$D$21,[1]CURSOS!$E$21,(+IF($N89=[1]CURSOS!$D$22,[1]CURSOS!$E$22,(+IF($N89=[1]CURSOS!$D$23,[1]CURSOS!$E$23,(+IF($N89=[1]CURSOS!$D$24,[1]CURSOS!$E$24,(+IF($N89=[1]CURSOS!$D$25,[1]CURSOS!$E$25,(+IF($N89=[1]CURSOS!$D$26,[1]CURSOS!$E$26,(+IF($N89=[1]CURSOS!$D$27,[1]CURSOS!$E$27,(+IF($N89=[1]CURSOS!$D$28,[1]CURSOS!$E$28,(+IF($N89=[1]CURSOS!$D$29,[1]CURSOS!$E$29,(+IF($N89=[1]CURSOS!$D$30,[1]CURSOS!$E$30,(+IF($N89=[1]CURSOS!$D$31,[1]CURSOS!$E$31,(+IF($N89=[1]CURSOS!$D$32,[1]CURSOS!$E$32)))))))))))))))))))))))))))))))))))))))))))))))))))))))))))</f>
        <v xml:space="preserve">ATENCION A VICTIMAS DE ATAQUE CON AGENTES QUIMICOS </v>
      </c>
      <c r="T89" s="16" t="str">
        <f t="shared" si="9"/>
        <v>FLOR MABELIS CABEZAS QUIÑONEZ</v>
      </c>
      <c r="U89" s="16" t="str">
        <f t="shared" si="10"/>
        <v>Flor Mabelis Cabezas Quiñonez</v>
      </c>
      <c r="V89" s="16" t="str">
        <f t="shared" si="11"/>
        <v>FLOR MABELIS CABEZAS QUIÑONEZ-59863722-QUIMICOS</v>
      </c>
    </row>
    <row r="90" spans="1:22" x14ac:dyDescent="0.2">
      <c r="A90" s="16">
        <v>90</v>
      </c>
      <c r="B90" s="16">
        <v>59663880</v>
      </c>
      <c r="C90" s="16" t="s">
        <v>129</v>
      </c>
      <c r="D90" s="16" t="s">
        <v>147</v>
      </c>
      <c r="E90" s="16" t="s">
        <v>175</v>
      </c>
      <c r="F90" s="17" t="s">
        <v>236</v>
      </c>
      <c r="G90" s="16">
        <v>9</v>
      </c>
      <c r="H90" s="16" t="s">
        <v>41</v>
      </c>
      <c r="I90" s="18">
        <v>45363</v>
      </c>
      <c r="J90" s="16">
        <v>70000</v>
      </c>
      <c r="K90" s="16" t="s">
        <v>32</v>
      </c>
      <c r="L90" s="16" t="s">
        <v>222</v>
      </c>
      <c r="M90" s="16" t="s">
        <v>204</v>
      </c>
      <c r="N90" s="16" t="s">
        <v>24</v>
      </c>
      <c r="P90" s="21" t="s">
        <v>31</v>
      </c>
      <c r="R90" s="16">
        <v>3217529680</v>
      </c>
      <c r="S90" s="16" t="str">
        <f>+IF($N90=[1]CURSOS!$D$3,[1]CURSOS!$E$3,(+IF($N90=[1]CURSOS!$D$4,[1]CURSOS!$E$4,(+IF($N90=[1]CURSOS!$D$5,[1]CURSOS!$E$5,(+IF($N90=[1]CURSOS!$D$6,[1]CURSOS!$E$6,(+IF($N90=[1]CURSOS!$D$7,[1]CURSOS!$E$7,(+IF($N90=[1]CURSOS!$D$8,[1]CURSOS!$E$8,(+IF($N90=[1]CURSOS!$D$9,[1]CURSOS!$E$9,(+IF($N90=[1]CURSOS!$D$10,[1]CURSOS!$E$10,(+IF($N90=[1]CURSOS!$D$11,[1]CURSOS!$E$11,(+IF($N90=[1]CURSOS!$D$12,[1]CURSOS!$E$12,(+IF($N90=[1]CURSOS!$D$13,[1]CURSOS!$E$13,(+IF($N90=[1]CURSOS!$D$14,[1]CURSOS!$E$14,(+IF($N90=[1]CURSOS!$D$15,[1]CURSOS!$E$15,(+IF($N90=[1]CURSOS!$D$16,[1]CURSOS!$E$16,(+IF($N90=[1]CURSOS!$D$17,[1]CURSOS!$E$17,(+IF($N90=[1]CURSOS!$D$18,[1]CURSOS!$E$18,(+IF($N90=[1]CURSOS!$D$19,[1]CURSOS!$E$19,(+IF($N90=[1]CURSOS!$D$20,[1]CURSOS!$E$20,(+IF($N90=[1]CURSOS!$D$21,[1]CURSOS!$E$21,(+IF($N90=[1]CURSOS!$D$22,[1]CURSOS!$E$22,(+IF($N90=[1]CURSOS!$D$23,[1]CURSOS!$E$23,(+IF($N90=[1]CURSOS!$D$24,[1]CURSOS!$E$24,(+IF($N90=[1]CURSOS!$D$25,[1]CURSOS!$E$25,(+IF($N90=[1]CURSOS!$D$26,[1]CURSOS!$E$26,(+IF($N90=[1]CURSOS!$D$27,[1]CURSOS!$E$27,(+IF($N90=[1]CURSOS!$D$28,[1]CURSOS!$E$28,(+IF($N90=[1]CURSOS!$D$29,[1]CURSOS!$E$29,(+IF($N90=[1]CURSOS!$D$30,[1]CURSOS!$E$30,(+IF($N90=[1]CURSOS!$D$31,[1]CURSOS!$E$31,(+IF($N90=[1]CURSOS!$D$32,[1]CURSOS!$E$32)))))))))))))))))))))))))))))))))))))))))))))))))))))))))))</f>
        <v xml:space="preserve">SOPORTE CARDIOVASCULAR AVANZADO </v>
      </c>
      <c r="T90" s="16" t="str">
        <f t="shared" si="9"/>
        <v>MARINA CRISTINA MOSQUERA BETANCOURT</v>
      </c>
      <c r="U90" s="16" t="str">
        <f t="shared" si="10"/>
        <v>Marina Cristina Mosquera Betancourt</v>
      </c>
      <c r="V90" s="16" t="str">
        <f t="shared" si="11"/>
        <v>MARINA CRISTINA MOSQUERA BETANCOURT-59663880-ACLS</v>
      </c>
    </row>
    <row r="91" spans="1:22" x14ac:dyDescent="0.2">
      <c r="A91" s="16">
        <v>91</v>
      </c>
      <c r="B91" s="16">
        <v>59863722</v>
      </c>
      <c r="C91" s="16" t="s">
        <v>112</v>
      </c>
      <c r="D91" s="16" t="s">
        <v>144</v>
      </c>
      <c r="E91" s="16" t="s">
        <v>176</v>
      </c>
      <c r="F91" s="17" t="s">
        <v>237</v>
      </c>
      <c r="G91" s="16">
        <v>9</v>
      </c>
      <c r="H91" s="16" t="s">
        <v>41</v>
      </c>
      <c r="I91" s="18">
        <v>45363</v>
      </c>
      <c r="J91" s="16">
        <v>70000</v>
      </c>
      <c r="K91" s="16" t="s">
        <v>32</v>
      </c>
      <c r="L91" s="16" t="s">
        <v>222</v>
      </c>
      <c r="M91" s="16" t="s">
        <v>204</v>
      </c>
      <c r="N91" s="16" t="s">
        <v>24</v>
      </c>
      <c r="P91" s="21" t="s">
        <v>31</v>
      </c>
      <c r="R91" s="16">
        <v>3207683236</v>
      </c>
      <c r="S91" s="16" t="str">
        <f>+IF($N91=[1]CURSOS!$D$3,[1]CURSOS!$E$3,(+IF($N91=[1]CURSOS!$D$4,[1]CURSOS!$E$4,(+IF($N91=[1]CURSOS!$D$5,[1]CURSOS!$E$5,(+IF($N91=[1]CURSOS!$D$6,[1]CURSOS!$E$6,(+IF($N91=[1]CURSOS!$D$7,[1]CURSOS!$E$7,(+IF($N91=[1]CURSOS!$D$8,[1]CURSOS!$E$8,(+IF($N91=[1]CURSOS!$D$9,[1]CURSOS!$E$9,(+IF($N91=[1]CURSOS!$D$10,[1]CURSOS!$E$10,(+IF($N91=[1]CURSOS!$D$11,[1]CURSOS!$E$11,(+IF($N91=[1]CURSOS!$D$12,[1]CURSOS!$E$12,(+IF($N91=[1]CURSOS!$D$13,[1]CURSOS!$E$13,(+IF($N91=[1]CURSOS!$D$14,[1]CURSOS!$E$14,(+IF($N91=[1]CURSOS!$D$15,[1]CURSOS!$E$15,(+IF($N91=[1]CURSOS!$D$16,[1]CURSOS!$E$16,(+IF($N91=[1]CURSOS!$D$17,[1]CURSOS!$E$17,(+IF($N91=[1]CURSOS!$D$18,[1]CURSOS!$E$18,(+IF($N91=[1]CURSOS!$D$19,[1]CURSOS!$E$19,(+IF($N91=[1]CURSOS!$D$20,[1]CURSOS!$E$20,(+IF($N91=[1]CURSOS!$D$21,[1]CURSOS!$E$21,(+IF($N91=[1]CURSOS!$D$22,[1]CURSOS!$E$22,(+IF($N91=[1]CURSOS!$D$23,[1]CURSOS!$E$23,(+IF($N91=[1]CURSOS!$D$24,[1]CURSOS!$E$24,(+IF($N91=[1]CURSOS!$D$25,[1]CURSOS!$E$25,(+IF($N91=[1]CURSOS!$D$26,[1]CURSOS!$E$26,(+IF($N91=[1]CURSOS!$D$27,[1]CURSOS!$E$27,(+IF($N91=[1]CURSOS!$D$28,[1]CURSOS!$E$28,(+IF($N91=[1]CURSOS!$D$29,[1]CURSOS!$E$29,(+IF($N91=[1]CURSOS!$D$30,[1]CURSOS!$E$30,(+IF($N91=[1]CURSOS!$D$31,[1]CURSOS!$E$31,(+IF($N91=[1]CURSOS!$D$32,[1]CURSOS!$E$32)))))))))))))))))))))))))))))))))))))))))))))))))))))))))))</f>
        <v xml:space="preserve">SOPORTE CARDIOVASCULAR AVANZADO </v>
      </c>
      <c r="T91" s="16" t="str">
        <f t="shared" si="9"/>
        <v>FLOR MABELIS CABEZAS QUIÑONEZ</v>
      </c>
      <c r="U91" s="16" t="str">
        <f t="shared" si="10"/>
        <v>Flor Mabelis Cabezas Quiñonez</v>
      </c>
      <c r="V91" s="16" t="str">
        <f t="shared" si="11"/>
        <v>FLOR MABELIS CABEZAS QUIÑONEZ-59863722-ACLS</v>
      </c>
    </row>
    <row r="92" spans="1:22" x14ac:dyDescent="0.2">
      <c r="A92" s="16">
        <v>92</v>
      </c>
      <c r="B92" s="16">
        <v>1087195361</v>
      </c>
      <c r="C92" s="16" t="s">
        <v>115</v>
      </c>
      <c r="D92" s="16" t="s">
        <v>207</v>
      </c>
      <c r="E92" s="16" t="s">
        <v>160</v>
      </c>
      <c r="F92" s="17" t="s">
        <v>224</v>
      </c>
      <c r="G92" s="16">
        <v>9</v>
      </c>
      <c r="H92" s="16" t="s">
        <v>41</v>
      </c>
      <c r="I92" s="18">
        <v>45363</v>
      </c>
      <c r="J92" s="16">
        <v>26666</v>
      </c>
      <c r="K92" s="16" t="s">
        <v>32</v>
      </c>
      <c r="L92" s="16" t="s">
        <v>222</v>
      </c>
      <c r="M92" s="16" t="s">
        <v>204</v>
      </c>
      <c r="N92" s="16" t="s">
        <v>19</v>
      </c>
      <c r="P92" s="21" t="s">
        <v>31</v>
      </c>
      <c r="S92" s="16" t="str">
        <f>+IF($N92=[1]CURSOS!$D$3,[1]CURSOS!$E$3,(+IF($N92=[1]CURSOS!$D$4,[1]CURSOS!$E$4,(+IF($N92=[1]CURSOS!$D$5,[1]CURSOS!$E$5,(+IF($N92=[1]CURSOS!$D$6,[1]CURSOS!$E$6,(+IF($N92=[1]CURSOS!$D$7,[1]CURSOS!$E$7,(+IF($N92=[1]CURSOS!$D$8,[1]CURSOS!$E$8,(+IF($N92=[1]CURSOS!$D$9,[1]CURSOS!$E$9,(+IF($N92=[1]CURSOS!$D$10,[1]CURSOS!$E$10,(+IF($N92=[1]CURSOS!$D$11,[1]CURSOS!$E$11,(+IF($N92=[1]CURSOS!$D$12,[1]CURSOS!$E$12,(+IF($N92=[1]CURSOS!$D$13,[1]CURSOS!$E$13,(+IF($N92=[1]CURSOS!$D$14,[1]CURSOS!$E$14,(+IF($N92=[1]CURSOS!$D$15,[1]CURSOS!$E$15,(+IF($N92=[1]CURSOS!$D$16,[1]CURSOS!$E$16,(+IF($N92=[1]CURSOS!$D$17,[1]CURSOS!$E$17,(+IF($N92=[1]CURSOS!$D$18,[1]CURSOS!$E$18,(+IF($N92=[1]CURSOS!$D$19,[1]CURSOS!$E$19,(+IF($N92=[1]CURSOS!$D$20,[1]CURSOS!$E$20,(+IF($N92=[1]CURSOS!$D$21,[1]CURSOS!$E$21,(+IF($N92=[1]CURSOS!$D$22,[1]CURSOS!$E$22,(+IF($N92=[1]CURSOS!$D$23,[1]CURSOS!$E$23,(+IF($N92=[1]CURSOS!$D$24,[1]CURSOS!$E$24,(+IF($N92=[1]CURSOS!$D$25,[1]CURSOS!$E$25,(+IF($N92=[1]CURSOS!$D$26,[1]CURSOS!$E$26,(+IF($N92=[1]CURSOS!$D$27,[1]CURSOS!$E$27,(+IF($N92=[1]CURSOS!$D$28,[1]CURSOS!$E$28,(+IF($N92=[1]CURSOS!$D$29,[1]CURSOS!$E$29,(+IF($N92=[1]CURSOS!$D$30,[1]CURSOS!$E$30,(+IF($N92=[1]CURSOS!$D$31,[1]CURSOS!$E$31,(+IF($N92=[1]CURSOS!$D$32,[1]CURSOS!$E$32)))))))))))))))))))))))))))))))))))))))))))))))))))))))))))</f>
        <v>SOPORTE VITAL BASICO (BLS)</v>
      </c>
      <c r="T92" s="16" t="str">
        <f t="shared" si="9"/>
        <v>RUBY LILIANA GUERRERO RODRIGUEZ</v>
      </c>
      <c r="U92" s="16" t="str">
        <f t="shared" si="10"/>
        <v>Ruby Liliana Guerrero Rodriguez</v>
      </c>
      <c r="V92" s="16" t="str">
        <f t="shared" si="11"/>
        <v>RUBY LILIANA GUERRERO RODRIGUEZ-1087195361-BLS</v>
      </c>
    </row>
    <row r="93" spans="1:22" x14ac:dyDescent="0.2">
      <c r="A93" s="16">
        <v>93</v>
      </c>
      <c r="B93" s="16">
        <v>1087196650</v>
      </c>
      <c r="C93" s="16" t="s">
        <v>225</v>
      </c>
      <c r="D93" s="16" t="s">
        <v>142</v>
      </c>
      <c r="E93" s="16" t="s">
        <v>161</v>
      </c>
      <c r="F93" s="17" t="s">
        <v>220</v>
      </c>
      <c r="G93" s="16">
        <v>9</v>
      </c>
      <c r="H93" s="16" t="s">
        <v>41</v>
      </c>
      <c r="I93" s="18">
        <v>45363</v>
      </c>
      <c r="J93" s="16">
        <v>26666</v>
      </c>
      <c r="K93" s="16" t="s">
        <v>32</v>
      </c>
      <c r="L93" s="16" t="s">
        <v>222</v>
      </c>
      <c r="M93" s="16" t="s">
        <v>204</v>
      </c>
      <c r="N93" s="16" t="s">
        <v>19</v>
      </c>
      <c r="P93" s="21" t="s">
        <v>31</v>
      </c>
      <c r="S93" s="16" t="str">
        <f>+IF($N93=[1]CURSOS!$D$3,[1]CURSOS!$E$3,(+IF($N93=[1]CURSOS!$D$4,[1]CURSOS!$E$4,(+IF($N93=[1]CURSOS!$D$5,[1]CURSOS!$E$5,(+IF($N93=[1]CURSOS!$D$6,[1]CURSOS!$E$6,(+IF($N93=[1]CURSOS!$D$7,[1]CURSOS!$E$7,(+IF($N93=[1]CURSOS!$D$8,[1]CURSOS!$E$8,(+IF($N93=[1]CURSOS!$D$9,[1]CURSOS!$E$9,(+IF($N93=[1]CURSOS!$D$10,[1]CURSOS!$E$10,(+IF($N93=[1]CURSOS!$D$11,[1]CURSOS!$E$11,(+IF($N93=[1]CURSOS!$D$12,[1]CURSOS!$E$12,(+IF($N93=[1]CURSOS!$D$13,[1]CURSOS!$E$13,(+IF($N93=[1]CURSOS!$D$14,[1]CURSOS!$E$14,(+IF($N93=[1]CURSOS!$D$15,[1]CURSOS!$E$15,(+IF($N93=[1]CURSOS!$D$16,[1]CURSOS!$E$16,(+IF($N93=[1]CURSOS!$D$17,[1]CURSOS!$E$17,(+IF($N93=[1]CURSOS!$D$18,[1]CURSOS!$E$18,(+IF($N93=[1]CURSOS!$D$19,[1]CURSOS!$E$19,(+IF($N93=[1]CURSOS!$D$20,[1]CURSOS!$E$20,(+IF($N93=[1]CURSOS!$D$21,[1]CURSOS!$E$21,(+IF($N93=[1]CURSOS!$D$22,[1]CURSOS!$E$22,(+IF($N93=[1]CURSOS!$D$23,[1]CURSOS!$E$23,(+IF($N93=[1]CURSOS!$D$24,[1]CURSOS!$E$24,(+IF($N93=[1]CURSOS!$D$25,[1]CURSOS!$E$25,(+IF($N93=[1]CURSOS!$D$26,[1]CURSOS!$E$26,(+IF($N93=[1]CURSOS!$D$27,[1]CURSOS!$E$27,(+IF($N93=[1]CURSOS!$D$28,[1]CURSOS!$E$28,(+IF($N93=[1]CURSOS!$D$29,[1]CURSOS!$E$29,(+IF($N93=[1]CURSOS!$D$30,[1]CURSOS!$E$30,(+IF($N93=[1]CURSOS!$D$31,[1]CURSOS!$E$31,(+IF($N93=[1]CURSOS!$D$32,[1]CURSOS!$E$32)))))))))))))))))))))))))))))))))))))))))))))))))))))))))))</f>
        <v>SOPORTE VITAL BASICO (BLS)</v>
      </c>
      <c r="T93" s="16" t="str">
        <f t="shared" si="9"/>
        <v>OLGA AMPARO HURTADO SOLIS</v>
      </c>
      <c r="U93" s="16" t="str">
        <f t="shared" si="10"/>
        <v>Olga Amparo Hurtado Solis</v>
      </c>
      <c r="V93" s="16" t="str">
        <f t="shared" si="11"/>
        <v>OLGA AMPARO HURTADO SOLIS-1087196650-BLS</v>
      </c>
    </row>
    <row r="94" spans="1:22" x14ac:dyDescent="0.2">
      <c r="A94" s="16">
        <v>94</v>
      </c>
      <c r="B94" s="16">
        <v>59671630</v>
      </c>
      <c r="C94" s="16" t="s">
        <v>117</v>
      </c>
      <c r="D94" s="16" t="s">
        <v>143</v>
      </c>
      <c r="E94" s="16" t="s">
        <v>162</v>
      </c>
      <c r="F94" s="17" t="s">
        <v>190</v>
      </c>
      <c r="G94" s="16">
        <v>9</v>
      </c>
      <c r="H94" s="16" t="s">
        <v>41</v>
      </c>
      <c r="I94" s="18">
        <v>45363</v>
      </c>
      <c r="J94" s="16">
        <v>26666</v>
      </c>
      <c r="K94" s="16" t="s">
        <v>32</v>
      </c>
      <c r="L94" s="16" t="s">
        <v>222</v>
      </c>
      <c r="M94" s="16" t="s">
        <v>204</v>
      </c>
      <c r="N94" s="16" t="s">
        <v>19</v>
      </c>
      <c r="P94" s="21" t="s">
        <v>31</v>
      </c>
      <c r="R94" s="16">
        <v>3103703133</v>
      </c>
      <c r="S94" s="16" t="str">
        <f>+IF($N94=[1]CURSOS!$D$3,[1]CURSOS!$E$3,(+IF($N94=[1]CURSOS!$D$4,[1]CURSOS!$E$4,(+IF($N94=[1]CURSOS!$D$5,[1]CURSOS!$E$5,(+IF($N94=[1]CURSOS!$D$6,[1]CURSOS!$E$6,(+IF($N94=[1]CURSOS!$D$7,[1]CURSOS!$E$7,(+IF($N94=[1]CURSOS!$D$8,[1]CURSOS!$E$8,(+IF($N94=[1]CURSOS!$D$9,[1]CURSOS!$E$9,(+IF($N94=[1]CURSOS!$D$10,[1]CURSOS!$E$10,(+IF($N94=[1]CURSOS!$D$11,[1]CURSOS!$E$11,(+IF($N94=[1]CURSOS!$D$12,[1]CURSOS!$E$12,(+IF($N94=[1]CURSOS!$D$13,[1]CURSOS!$E$13,(+IF($N94=[1]CURSOS!$D$14,[1]CURSOS!$E$14,(+IF($N94=[1]CURSOS!$D$15,[1]CURSOS!$E$15,(+IF($N94=[1]CURSOS!$D$16,[1]CURSOS!$E$16,(+IF($N94=[1]CURSOS!$D$17,[1]CURSOS!$E$17,(+IF($N94=[1]CURSOS!$D$18,[1]CURSOS!$E$18,(+IF($N94=[1]CURSOS!$D$19,[1]CURSOS!$E$19,(+IF($N94=[1]CURSOS!$D$20,[1]CURSOS!$E$20,(+IF($N94=[1]CURSOS!$D$21,[1]CURSOS!$E$21,(+IF($N94=[1]CURSOS!$D$22,[1]CURSOS!$E$22,(+IF($N94=[1]CURSOS!$D$23,[1]CURSOS!$E$23,(+IF($N94=[1]CURSOS!$D$24,[1]CURSOS!$E$24,(+IF($N94=[1]CURSOS!$D$25,[1]CURSOS!$E$25,(+IF($N94=[1]CURSOS!$D$26,[1]CURSOS!$E$26,(+IF($N94=[1]CURSOS!$D$27,[1]CURSOS!$E$27,(+IF($N94=[1]CURSOS!$D$28,[1]CURSOS!$E$28,(+IF($N94=[1]CURSOS!$D$29,[1]CURSOS!$E$29,(+IF($N94=[1]CURSOS!$D$30,[1]CURSOS!$E$30,(+IF($N94=[1]CURSOS!$D$31,[1]CURSOS!$E$31,(+IF($N94=[1]CURSOS!$D$32,[1]CURSOS!$E$32)))))))))))))))))))))))))))))))))))))))))))))))))))))))))))</f>
        <v>SOPORTE VITAL BASICO (BLS)</v>
      </c>
      <c r="T94" s="16" t="str">
        <f t="shared" si="9"/>
        <v>TOMASA MARIELA DE LA CRUZ OROBIO</v>
      </c>
      <c r="U94" s="16" t="str">
        <f t="shared" si="10"/>
        <v>Tomasa Mariela De La Cruz Orobio</v>
      </c>
      <c r="V94" s="16" t="str">
        <f t="shared" si="11"/>
        <v>TOMASA MARIELA DE LA CRUZ OROBIO-59671630-BLS</v>
      </c>
    </row>
    <row r="95" spans="1:22" x14ac:dyDescent="0.2">
      <c r="A95" s="16">
        <v>95</v>
      </c>
      <c r="B95" s="16">
        <v>1193244176</v>
      </c>
      <c r="C95" s="16" t="s">
        <v>131</v>
      </c>
      <c r="D95" s="16" t="s">
        <v>144</v>
      </c>
      <c r="E95" s="16" t="s">
        <v>163</v>
      </c>
      <c r="F95" s="17" t="s">
        <v>191</v>
      </c>
      <c r="G95" s="16">
        <v>9</v>
      </c>
      <c r="H95" s="16" t="s">
        <v>41</v>
      </c>
      <c r="I95" s="18">
        <v>45363</v>
      </c>
      <c r="J95" s="16">
        <v>26666</v>
      </c>
      <c r="K95" s="16" t="s">
        <v>32</v>
      </c>
      <c r="L95" s="16" t="s">
        <v>222</v>
      </c>
      <c r="M95" s="16" t="s">
        <v>204</v>
      </c>
      <c r="N95" s="16" t="s">
        <v>19</v>
      </c>
      <c r="P95" s="21" t="s">
        <v>31</v>
      </c>
      <c r="S95" s="16" t="str">
        <f>+IF($N95=[1]CURSOS!$D$3,[1]CURSOS!$E$3,(+IF($N95=[1]CURSOS!$D$4,[1]CURSOS!$E$4,(+IF($N95=[1]CURSOS!$D$5,[1]CURSOS!$E$5,(+IF($N95=[1]CURSOS!$D$6,[1]CURSOS!$E$6,(+IF($N95=[1]CURSOS!$D$7,[1]CURSOS!$E$7,(+IF($N95=[1]CURSOS!$D$8,[1]CURSOS!$E$8,(+IF($N95=[1]CURSOS!$D$9,[1]CURSOS!$E$9,(+IF($N95=[1]CURSOS!$D$10,[1]CURSOS!$E$10,(+IF($N95=[1]CURSOS!$D$11,[1]CURSOS!$E$11,(+IF($N95=[1]CURSOS!$D$12,[1]CURSOS!$E$12,(+IF($N95=[1]CURSOS!$D$13,[1]CURSOS!$E$13,(+IF($N95=[1]CURSOS!$D$14,[1]CURSOS!$E$14,(+IF($N95=[1]CURSOS!$D$15,[1]CURSOS!$E$15,(+IF($N95=[1]CURSOS!$D$16,[1]CURSOS!$E$16,(+IF($N95=[1]CURSOS!$D$17,[1]CURSOS!$E$17,(+IF($N95=[1]CURSOS!$D$18,[1]CURSOS!$E$18,(+IF($N95=[1]CURSOS!$D$19,[1]CURSOS!$E$19,(+IF($N95=[1]CURSOS!$D$20,[1]CURSOS!$E$20,(+IF($N95=[1]CURSOS!$D$21,[1]CURSOS!$E$21,(+IF($N95=[1]CURSOS!$D$22,[1]CURSOS!$E$22,(+IF($N95=[1]CURSOS!$D$23,[1]CURSOS!$E$23,(+IF($N95=[1]CURSOS!$D$24,[1]CURSOS!$E$24,(+IF($N95=[1]CURSOS!$D$25,[1]CURSOS!$E$25,(+IF($N95=[1]CURSOS!$D$26,[1]CURSOS!$E$26,(+IF($N95=[1]CURSOS!$D$27,[1]CURSOS!$E$27,(+IF($N95=[1]CURSOS!$D$28,[1]CURSOS!$E$28,(+IF($N95=[1]CURSOS!$D$29,[1]CURSOS!$E$29,(+IF($N95=[1]CURSOS!$D$30,[1]CURSOS!$E$30,(+IF($N95=[1]CURSOS!$D$31,[1]CURSOS!$E$31,(+IF($N95=[1]CURSOS!$D$32,[1]CURSOS!$E$32)))))))))))))))))))))))))))))))))))))))))))))))))))))))))))</f>
        <v>SOPORTE VITAL BASICO (BLS)</v>
      </c>
      <c r="T95" s="16" t="str">
        <f t="shared" si="9"/>
        <v>LULY DEL MAR ANGULO QUIÑONEZ</v>
      </c>
      <c r="U95" s="16" t="str">
        <f t="shared" si="10"/>
        <v>Luly Del Mar Angulo Quiñonez</v>
      </c>
      <c r="V95" s="16" t="str">
        <f t="shared" si="11"/>
        <v>LULY DEL MAR ANGULO QUIÑONEZ-1193244176-BLS</v>
      </c>
    </row>
    <row r="96" spans="1:22" x14ac:dyDescent="0.2">
      <c r="A96" s="16">
        <v>96</v>
      </c>
      <c r="B96" s="16">
        <v>59667578</v>
      </c>
      <c r="C96" s="16" t="s">
        <v>119</v>
      </c>
      <c r="D96" s="16" t="s">
        <v>131</v>
      </c>
      <c r="E96" s="16" t="s">
        <v>226</v>
      </c>
      <c r="F96" s="17" t="s">
        <v>192</v>
      </c>
      <c r="G96" s="16">
        <v>9</v>
      </c>
      <c r="H96" s="16" t="s">
        <v>41</v>
      </c>
      <c r="I96" s="18">
        <v>45363</v>
      </c>
      <c r="J96" s="16">
        <v>26666</v>
      </c>
      <c r="K96" s="16" t="s">
        <v>32</v>
      </c>
      <c r="L96" s="16" t="s">
        <v>222</v>
      </c>
      <c r="M96" s="16" t="s">
        <v>204</v>
      </c>
      <c r="N96" s="16" t="s">
        <v>19</v>
      </c>
      <c r="P96" s="21" t="s">
        <v>31</v>
      </c>
      <c r="R96" s="16">
        <v>3103720491</v>
      </c>
      <c r="S96" s="16" t="str">
        <f>+IF($N96=[1]CURSOS!$D$3,[1]CURSOS!$E$3,(+IF($N96=[1]CURSOS!$D$4,[1]CURSOS!$E$4,(+IF($N96=[1]CURSOS!$D$5,[1]CURSOS!$E$5,(+IF($N96=[1]CURSOS!$D$6,[1]CURSOS!$E$6,(+IF($N96=[1]CURSOS!$D$7,[1]CURSOS!$E$7,(+IF($N96=[1]CURSOS!$D$8,[1]CURSOS!$E$8,(+IF($N96=[1]CURSOS!$D$9,[1]CURSOS!$E$9,(+IF($N96=[1]CURSOS!$D$10,[1]CURSOS!$E$10,(+IF($N96=[1]CURSOS!$D$11,[1]CURSOS!$E$11,(+IF($N96=[1]CURSOS!$D$12,[1]CURSOS!$E$12,(+IF($N96=[1]CURSOS!$D$13,[1]CURSOS!$E$13,(+IF($N96=[1]CURSOS!$D$14,[1]CURSOS!$E$14,(+IF($N96=[1]CURSOS!$D$15,[1]CURSOS!$E$15,(+IF($N96=[1]CURSOS!$D$16,[1]CURSOS!$E$16,(+IF($N96=[1]CURSOS!$D$17,[1]CURSOS!$E$17,(+IF($N96=[1]CURSOS!$D$18,[1]CURSOS!$E$18,(+IF($N96=[1]CURSOS!$D$19,[1]CURSOS!$E$19,(+IF($N96=[1]CURSOS!$D$20,[1]CURSOS!$E$20,(+IF($N96=[1]CURSOS!$D$21,[1]CURSOS!$E$21,(+IF($N96=[1]CURSOS!$D$22,[1]CURSOS!$E$22,(+IF($N96=[1]CURSOS!$D$23,[1]CURSOS!$E$23,(+IF($N96=[1]CURSOS!$D$24,[1]CURSOS!$E$24,(+IF($N96=[1]CURSOS!$D$25,[1]CURSOS!$E$25,(+IF($N96=[1]CURSOS!$D$26,[1]CURSOS!$E$26,(+IF($N96=[1]CURSOS!$D$27,[1]CURSOS!$E$27,(+IF($N96=[1]CURSOS!$D$28,[1]CURSOS!$E$28,(+IF($N96=[1]CURSOS!$D$29,[1]CURSOS!$E$29,(+IF($N96=[1]CURSOS!$D$30,[1]CURSOS!$E$30,(+IF($N96=[1]CURSOS!$D$31,[1]CURSOS!$E$31,(+IF($N96=[1]CURSOS!$D$32,[1]CURSOS!$E$32)))))))))))))))))))))))))))))))))))))))))))))))))))))))))))</f>
        <v>SOPORTE VITAL BASICO (BLS)</v>
      </c>
      <c r="T96" s="16" t="str">
        <f t="shared" si="9"/>
        <v>MERCEDES INES BANGUERA ANGULO</v>
      </c>
      <c r="U96" s="16" t="str">
        <f t="shared" si="10"/>
        <v>Mercedes Ines Banguera Angulo</v>
      </c>
      <c r="V96" s="16" t="str">
        <f t="shared" si="11"/>
        <v>MERCEDES INES BANGUERA ANGULO-59667578-BLS</v>
      </c>
    </row>
    <row r="97" spans="1:22" x14ac:dyDescent="0.2">
      <c r="A97" s="16">
        <v>97</v>
      </c>
      <c r="B97" s="16">
        <v>1085285412</v>
      </c>
      <c r="C97" s="16" t="s">
        <v>227</v>
      </c>
      <c r="D97" s="16" t="s">
        <v>137</v>
      </c>
      <c r="E97" s="16" t="s">
        <v>228</v>
      </c>
      <c r="F97" s="17" t="s">
        <v>193</v>
      </c>
      <c r="G97" s="16">
        <v>9</v>
      </c>
      <c r="H97" s="16" t="s">
        <v>41</v>
      </c>
      <c r="I97" s="18">
        <v>45363</v>
      </c>
      <c r="J97" s="16">
        <v>26666</v>
      </c>
      <c r="K97" s="16" t="s">
        <v>32</v>
      </c>
      <c r="L97" s="16" t="s">
        <v>222</v>
      </c>
      <c r="M97" s="16" t="s">
        <v>204</v>
      </c>
      <c r="N97" s="16" t="s">
        <v>19</v>
      </c>
      <c r="P97" s="21" t="s">
        <v>31</v>
      </c>
      <c r="R97" s="16">
        <v>3186775383</v>
      </c>
      <c r="S97" s="16" t="str">
        <f>+IF($N97=[1]CURSOS!$D$3,[1]CURSOS!$E$3,(+IF($N97=[1]CURSOS!$D$4,[1]CURSOS!$E$4,(+IF($N97=[1]CURSOS!$D$5,[1]CURSOS!$E$5,(+IF($N97=[1]CURSOS!$D$6,[1]CURSOS!$E$6,(+IF($N97=[1]CURSOS!$D$7,[1]CURSOS!$E$7,(+IF($N97=[1]CURSOS!$D$8,[1]CURSOS!$E$8,(+IF($N97=[1]CURSOS!$D$9,[1]CURSOS!$E$9,(+IF($N97=[1]CURSOS!$D$10,[1]CURSOS!$E$10,(+IF($N97=[1]CURSOS!$D$11,[1]CURSOS!$E$11,(+IF($N97=[1]CURSOS!$D$12,[1]CURSOS!$E$12,(+IF($N97=[1]CURSOS!$D$13,[1]CURSOS!$E$13,(+IF($N97=[1]CURSOS!$D$14,[1]CURSOS!$E$14,(+IF($N97=[1]CURSOS!$D$15,[1]CURSOS!$E$15,(+IF($N97=[1]CURSOS!$D$16,[1]CURSOS!$E$16,(+IF($N97=[1]CURSOS!$D$17,[1]CURSOS!$E$17,(+IF($N97=[1]CURSOS!$D$18,[1]CURSOS!$E$18,(+IF($N97=[1]CURSOS!$D$19,[1]CURSOS!$E$19,(+IF($N97=[1]CURSOS!$D$20,[1]CURSOS!$E$20,(+IF($N97=[1]CURSOS!$D$21,[1]CURSOS!$E$21,(+IF($N97=[1]CURSOS!$D$22,[1]CURSOS!$E$22,(+IF($N97=[1]CURSOS!$D$23,[1]CURSOS!$E$23,(+IF($N97=[1]CURSOS!$D$24,[1]CURSOS!$E$24,(+IF($N97=[1]CURSOS!$D$25,[1]CURSOS!$E$25,(+IF($N97=[1]CURSOS!$D$26,[1]CURSOS!$E$26,(+IF($N97=[1]CURSOS!$D$27,[1]CURSOS!$E$27,(+IF($N97=[1]CURSOS!$D$28,[1]CURSOS!$E$28,(+IF($N97=[1]CURSOS!$D$29,[1]CURSOS!$E$29,(+IF($N97=[1]CURSOS!$D$30,[1]CURSOS!$E$30,(+IF($N97=[1]CURSOS!$D$31,[1]CURSOS!$E$31,(+IF($N97=[1]CURSOS!$D$32,[1]CURSOS!$E$32)))))))))))))))))))))))))))))))))))))))))))))))))))))))))))</f>
        <v>SOPORTE VITAL BASICO (BLS)</v>
      </c>
      <c r="T97" s="16" t="str">
        <f t="shared" si="9"/>
        <v>VERONICA SORLAY VILLA CASTILLO</v>
      </c>
      <c r="U97" s="16" t="str">
        <f t="shared" si="10"/>
        <v>Veronica Sorlay Villa Castillo</v>
      </c>
      <c r="V97" s="16" t="str">
        <f t="shared" si="11"/>
        <v>VERONICA SORLAY VILLA CASTILLO-1085285412-BLS</v>
      </c>
    </row>
    <row r="98" spans="1:22" x14ac:dyDescent="0.2">
      <c r="A98" s="16">
        <v>98</v>
      </c>
      <c r="B98" s="16">
        <v>1087786090</v>
      </c>
      <c r="C98" s="16" t="s">
        <v>121</v>
      </c>
      <c r="D98" s="16" t="s">
        <v>104</v>
      </c>
      <c r="E98" s="16" t="s">
        <v>166</v>
      </c>
      <c r="F98" s="17" t="s">
        <v>153</v>
      </c>
      <c r="G98" s="16">
        <v>9</v>
      </c>
      <c r="H98" s="16" t="s">
        <v>41</v>
      </c>
      <c r="I98" s="18">
        <v>45363</v>
      </c>
      <c r="J98" s="16">
        <v>26666</v>
      </c>
      <c r="K98" s="16" t="s">
        <v>32</v>
      </c>
      <c r="L98" s="16" t="s">
        <v>222</v>
      </c>
      <c r="M98" s="16" t="s">
        <v>204</v>
      </c>
      <c r="N98" s="16" t="s">
        <v>19</v>
      </c>
      <c r="P98" s="21" t="s">
        <v>31</v>
      </c>
      <c r="S98" s="16" t="str">
        <f>+IF($N98=[1]CURSOS!$D$3,[1]CURSOS!$E$3,(+IF($N98=[1]CURSOS!$D$4,[1]CURSOS!$E$4,(+IF($N98=[1]CURSOS!$D$5,[1]CURSOS!$E$5,(+IF($N98=[1]CURSOS!$D$6,[1]CURSOS!$E$6,(+IF($N98=[1]CURSOS!$D$7,[1]CURSOS!$E$7,(+IF($N98=[1]CURSOS!$D$8,[1]CURSOS!$E$8,(+IF($N98=[1]CURSOS!$D$9,[1]CURSOS!$E$9,(+IF($N98=[1]CURSOS!$D$10,[1]CURSOS!$E$10,(+IF($N98=[1]CURSOS!$D$11,[1]CURSOS!$E$11,(+IF($N98=[1]CURSOS!$D$12,[1]CURSOS!$E$12,(+IF($N98=[1]CURSOS!$D$13,[1]CURSOS!$E$13,(+IF($N98=[1]CURSOS!$D$14,[1]CURSOS!$E$14,(+IF($N98=[1]CURSOS!$D$15,[1]CURSOS!$E$15,(+IF($N98=[1]CURSOS!$D$16,[1]CURSOS!$E$16,(+IF($N98=[1]CURSOS!$D$17,[1]CURSOS!$E$17,(+IF($N98=[1]CURSOS!$D$18,[1]CURSOS!$E$18,(+IF($N98=[1]CURSOS!$D$19,[1]CURSOS!$E$19,(+IF($N98=[1]CURSOS!$D$20,[1]CURSOS!$E$20,(+IF($N98=[1]CURSOS!$D$21,[1]CURSOS!$E$21,(+IF($N98=[1]CURSOS!$D$22,[1]CURSOS!$E$22,(+IF($N98=[1]CURSOS!$D$23,[1]CURSOS!$E$23,(+IF($N98=[1]CURSOS!$D$24,[1]CURSOS!$E$24,(+IF($N98=[1]CURSOS!$D$25,[1]CURSOS!$E$25,(+IF($N98=[1]CURSOS!$D$26,[1]CURSOS!$E$26,(+IF($N98=[1]CURSOS!$D$27,[1]CURSOS!$E$27,(+IF($N98=[1]CURSOS!$D$28,[1]CURSOS!$E$28,(+IF($N98=[1]CURSOS!$D$29,[1]CURSOS!$E$29,(+IF($N98=[1]CURSOS!$D$30,[1]CURSOS!$E$30,(+IF($N98=[1]CURSOS!$D$31,[1]CURSOS!$E$31,(+IF($N98=[1]CURSOS!$D$32,[1]CURSOS!$E$32)))))))))))))))))))))))))))))))))))))))))))))))))))))))))))</f>
        <v>SOPORTE VITAL BASICO (BLS)</v>
      </c>
      <c r="T98" s="16" t="str">
        <f t="shared" si="9"/>
        <v>MARIA JOSE CAMPAZ VALENCIA</v>
      </c>
      <c r="U98" s="16" t="str">
        <f t="shared" si="10"/>
        <v>Maria Jose Campaz Valencia</v>
      </c>
      <c r="V98" s="16" t="str">
        <f t="shared" si="11"/>
        <v>MARIA JOSE CAMPAZ VALENCIA-1087786090-BLS</v>
      </c>
    </row>
    <row r="99" spans="1:22" x14ac:dyDescent="0.2">
      <c r="A99" s="16">
        <v>99</v>
      </c>
      <c r="B99" s="16">
        <v>1006465244</v>
      </c>
      <c r="C99" s="16" t="s">
        <v>229</v>
      </c>
      <c r="D99" s="16" t="s">
        <v>145</v>
      </c>
      <c r="E99" s="16" t="s">
        <v>230</v>
      </c>
      <c r="F99" s="17" t="s">
        <v>194</v>
      </c>
      <c r="G99" s="16">
        <v>9</v>
      </c>
      <c r="H99" s="16" t="s">
        <v>41</v>
      </c>
      <c r="I99" s="18">
        <v>45363</v>
      </c>
      <c r="J99" s="16">
        <v>26667</v>
      </c>
      <c r="K99" s="16" t="s">
        <v>32</v>
      </c>
      <c r="L99" s="16" t="s">
        <v>222</v>
      </c>
      <c r="M99" s="16" t="s">
        <v>204</v>
      </c>
      <c r="N99" s="16" t="s">
        <v>19</v>
      </c>
      <c r="P99" s="21" t="s">
        <v>83</v>
      </c>
      <c r="S99" s="16" t="str">
        <f>+IF($N99=[1]CURSOS!$D$3,[1]CURSOS!$E$3,(+IF($N99=[1]CURSOS!$D$4,[1]CURSOS!$E$4,(+IF($N99=[1]CURSOS!$D$5,[1]CURSOS!$E$5,(+IF($N99=[1]CURSOS!$D$6,[1]CURSOS!$E$6,(+IF($N99=[1]CURSOS!$D$7,[1]CURSOS!$E$7,(+IF($N99=[1]CURSOS!$D$8,[1]CURSOS!$E$8,(+IF($N99=[1]CURSOS!$D$9,[1]CURSOS!$E$9,(+IF($N99=[1]CURSOS!$D$10,[1]CURSOS!$E$10,(+IF($N99=[1]CURSOS!$D$11,[1]CURSOS!$E$11,(+IF($N99=[1]CURSOS!$D$12,[1]CURSOS!$E$12,(+IF($N99=[1]CURSOS!$D$13,[1]CURSOS!$E$13,(+IF($N99=[1]CURSOS!$D$14,[1]CURSOS!$E$14,(+IF($N99=[1]CURSOS!$D$15,[1]CURSOS!$E$15,(+IF($N99=[1]CURSOS!$D$16,[1]CURSOS!$E$16,(+IF($N99=[1]CURSOS!$D$17,[1]CURSOS!$E$17,(+IF($N99=[1]CURSOS!$D$18,[1]CURSOS!$E$18,(+IF($N99=[1]CURSOS!$D$19,[1]CURSOS!$E$19,(+IF($N99=[1]CURSOS!$D$20,[1]CURSOS!$E$20,(+IF($N99=[1]CURSOS!$D$21,[1]CURSOS!$E$21,(+IF($N99=[1]CURSOS!$D$22,[1]CURSOS!$E$22,(+IF($N99=[1]CURSOS!$D$23,[1]CURSOS!$E$23,(+IF($N99=[1]CURSOS!$D$24,[1]CURSOS!$E$24,(+IF($N99=[1]CURSOS!$D$25,[1]CURSOS!$E$25,(+IF($N99=[1]CURSOS!$D$26,[1]CURSOS!$E$26,(+IF($N99=[1]CURSOS!$D$27,[1]CURSOS!$E$27,(+IF($N99=[1]CURSOS!$D$28,[1]CURSOS!$E$28,(+IF($N99=[1]CURSOS!$D$29,[1]CURSOS!$E$29,(+IF($N99=[1]CURSOS!$D$30,[1]CURSOS!$E$30,(+IF($N99=[1]CURSOS!$D$31,[1]CURSOS!$E$31,(+IF($N99=[1]CURSOS!$D$32,[1]CURSOS!$E$32)))))))))))))))))))))))))))))))))))))))))))))))))))))))))))</f>
        <v>SOPORTE VITAL BASICO (BLS)</v>
      </c>
      <c r="T99" s="16" t="str">
        <f t="shared" ref="T99:T130" si="12">CONCATENATE(E99," ",F99," ",C99," ",D99)</f>
        <v>KEVIN ANDRES ARBOLEDA CORTEZ</v>
      </c>
      <c r="U99" s="16" t="str">
        <f t="shared" ref="U99:U130" si="13">+PROPER(T99)</f>
        <v>Kevin Andres Arboleda Cortez</v>
      </c>
      <c r="V99" s="16" t="str">
        <f t="shared" ref="V99:V130" si="14">CONCATENATE(T99,"-",B99,"-",N99)</f>
        <v>KEVIN ANDRES ARBOLEDA CORTEZ-1006465244-BLS</v>
      </c>
    </row>
    <row r="100" spans="1:22" x14ac:dyDescent="0.2">
      <c r="A100" s="16">
        <v>100</v>
      </c>
      <c r="B100" s="16">
        <v>1087114485</v>
      </c>
      <c r="C100" s="16" t="s">
        <v>231</v>
      </c>
      <c r="D100" s="16" t="s">
        <v>146</v>
      </c>
      <c r="E100" s="16" t="s">
        <v>168</v>
      </c>
      <c r="F100" s="17" t="s">
        <v>195</v>
      </c>
      <c r="G100" s="16">
        <v>9</v>
      </c>
      <c r="H100" s="16" t="s">
        <v>41</v>
      </c>
      <c r="I100" s="18">
        <v>45363</v>
      </c>
      <c r="J100" s="16">
        <v>26666</v>
      </c>
      <c r="K100" s="16" t="s">
        <v>32</v>
      </c>
      <c r="L100" s="16" t="s">
        <v>222</v>
      </c>
      <c r="M100" s="16" t="s">
        <v>204</v>
      </c>
      <c r="N100" s="16" t="s">
        <v>19</v>
      </c>
      <c r="P100" s="21" t="s">
        <v>31</v>
      </c>
      <c r="S100" s="16" t="str">
        <f>+IF($N100=[1]CURSOS!$D$3,[1]CURSOS!$E$3,(+IF($N100=[1]CURSOS!$D$4,[1]CURSOS!$E$4,(+IF($N100=[1]CURSOS!$D$5,[1]CURSOS!$E$5,(+IF($N100=[1]CURSOS!$D$6,[1]CURSOS!$E$6,(+IF($N100=[1]CURSOS!$D$7,[1]CURSOS!$E$7,(+IF($N100=[1]CURSOS!$D$8,[1]CURSOS!$E$8,(+IF($N100=[1]CURSOS!$D$9,[1]CURSOS!$E$9,(+IF($N100=[1]CURSOS!$D$10,[1]CURSOS!$E$10,(+IF($N100=[1]CURSOS!$D$11,[1]CURSOS!$E$11,(+IF($N100=[1]CURSOS!$D$12,[1]CURSOS!$E$12,(+IF($N100=[1]CURSOS!$D$13,[1]CURSOS!$E$13,(+IF($N100=[1]CURSOS!$D$14,[1]CURSOS!$E$14,(+IF($N100=[1]CURSOS!$D$15,[1]CURSOS!$E$15,(+IF($N100=[1]CURSOS!$D$16,[1]CURSOS!$E$16,(+IF($N100=[1]CURSOS!$D$17,[1]CURSOS!$E$17,(+IF($N100=[1]CURSOS!$D$18,[1]CURSOS!$E$18,(+IF($N100=[1]CURSOS!$D$19,[1]CURSOS!$E$19,(+IF($N100=[1]CURSOS!$D$20,[1]CURSOS!$E$20,(+IF($N100=[1]CURSOS!$D$21,[1]CURSOS!$E$21,(+IF($N100=[1]CURSOS!$D$22,[1]CURSOS!$E$22,(+IF($N100=[1]CURSOS!$D$23,[1]CURSOS!$E$23,(+IF($N100=[1]CURSOS!$D$24,[1]CURSOS!$E$24,(+IF($N100=[1]CURSOS!$D$25,[1]CURSOS!$E$25,(+IF($N100=[1]CURSOS!$D$26,[1]CURSOS!$E$26,(+IF($N100=[1]CURSOS!$D$27,[1]CURSOS!$E$27,(+IF($N100=[1]CURSOS!$D$28,[1]CURSOS!$E$28,(+IF($N100=[1]CURSOS!$D$29,[1]CURSOS!$E$29,(+IF($N100=[1]CURSOS!$D$30,[1]CURSOS!$E$30,(+IF($N100=[1]CURSOS!$D$31,[1]CURSOS!$E$31,(+IF($N100=[1]CURSOS!$D$32,[1]CURSOS!$E$32)))))))))))))))))))))))))))))))))))))))))))))))))))))))))))</f>
        <v>SOPORTE VITAL BASICO (BLS)</v>
      </c>
      <c r="T100" s="16" t="str">
        <f t="shared" si="12"/>
        <v>MARYURI TATIANA RACINES DIAZ</v>
      </c>
      <c r="U100" s="16" t="str">
        <f t="shared" si="13"/>
        <v>Maryuri Tatiana Racines Diaz</v>
      </c>
      <c r="V100" s="16" t="str">
        <f t="shared" si="14"/>
        <v>MARYURI TATIANA RACINES DIAZ-1087114485-BLS</v>
      </c>
    </row>
    <row r="101" spans="1:22" x14ac:dyDescent="0.2">
      <c r="A101" s="16">
        <v>101</v>
      </c>
      <c r="B101" s="16">
        <v>1085260722</v>
      </c>
      <c r="C101" s="16" t="s">
        <v>232</v>
      </c>
      <c r="D101" s="16" t="s">
        <v>135</v>
      </c>
      <c r="E101" s="16" t="s">
        <v>233</v>
      </c>
      <c r="F101" s="17" t="s">
        <v>196</v>
      </c>
      <c r="G101" s="16">
        <v>9</v>
      </c>
      <c r="H101" s="16" t="s">
        <v>41</v>
      </c>
      <c r="I101" s="18">
        <v>45363</v>
      </c>
      <c r="J101" s="16">
        <v>26667</v>
      </c>
      <c r="K101" s="16" t="s">
        <v>32</v>
      </c>
      <c r="L101" s="16" t="s">
        <v>222</v>
      </c>
      <c r="M101" s="16" t="s">
        <v>204</v>
      </c>
      <c r="N101" s="16" t="s">
        <v>19</v>
      </c>
      <c r="P101" s="21" t="s">
        <v>31</v>
      </c>
      <c r="R101" s="16">
        <v>3022533161</v>
      </c>
      <c r="S101" s="16" t="str">
        <f>+IF($N101=[1]CURSOS!$D$3,[1]CURSOS!$E$3,(+IF($N101=[1]CURSOS!$D$4,[1]CURSOS!$E$4,(+IF($N101=[1]CURSOS!$D$5,[1]CURSOS!$E$5,(+IF($N101=[1]CURSOS!$D$6,[1]CURSOS!$E$6,(+IF($N101=[1]CURSOS!$D$7,[1]CURSOS!$E$7,(+IF($N101=[1]CURSOS!$D$8,[1]CURSOS!$E$8,(+IF($N101=[1]CURSOS!$D$9,[1]CURSOS!$E$9,(+IF($N101=[1]CURSOS!$D$10,[1]CURSOS!$E$10,(+IF($N101=[1]CURSOS!$D$11,[1]CURSOS!$E$11,(+IF($N101=[1]CURSOS!$D$12,[1]CURSOS!$E$12,(+IF($N101=[1]CURSOS!$D$13,[1]CURSOS!$E$13,(+IF($N101=[1]CURSOS!$D$14,[1]CURSOS!$E$14,(+IF($N101=[1]CURSOS!$D$15,[1]CURSOS!$E$15,(+IF($N101=[1]CURSOS!$D$16,[1]CURSOS!$E$16,(+IF($N101=[1]CURSOS!$D$17,[1]CURSOS!$E$17,(+IF($N101=[1]CURSOS!$D$18,[1]CURSOS!$E$18,(+IF($N101=[1]CURSOS!$D$19,[1]CURSOS!$E$19,(+IF($N101=[1]CURSOS!$D$20,[1]CURSOS!$E$20,(+IF($N101=[1]CURSOS!$D$21,[1]CURSOS!$E$21,(+IF($N101=[1]CURSOS!$D$22,[1]CURSOS!$E$22,(+IF($N101=[1]CURSOS!$D$23,[1]CURSOS!$E$23,(+IF($N101=[1]CURSOS!$D$24,[1]CURSOS!$E$24,(+IF($N101=[1]CURSOS!$D$25,[1]CURSOS!$E$25,(+IF($N101=[1]CURSOS!$D$26,[1]CURSOS!$E$26,(+IF($N101=[1]CURSOS!$D$27,[1]CURSOS!$E$27,(+IF($N101=[1]CURSOS!$D$28,[1]CURSOS!$E$28,(+IF($N101=[1]CURSOS!$D$29,[1]CURSOS!$E$29,(+IF($N101=[1]CURSOS!$D$30,[1]CURSOS!$E$30,(+IF($N101=[1]CURSOS!$D$31,[1]CURSOS!$E$31,(+IF($N101=[1]CURSOS!$D$32,[1]CURSOS!$E$32)))))))))))))))))))))))))))))))))))))))))))))))))))))))))))</f>
        <v>SOPORTE VITAL BASICO (BLS)</v>
      </c>
      <c r="T101" s="16" t="str">
        <f t="shared" si="12"/>
        <v>INGRID DEL SOCORRO RINCON CUERO</v>
      </c>
      <c r="U101" s="16" t="str">
        <f t="shared" si="13"/>
        <v>Ingrid Del Socorro Rincon Cuero</v>
      </c>
      <c r="V101" s="16" t="str">
        <f t="shared" si="14"/>
        <v>INGRID DEL SOCORRO RINCON CUERO-1085260722-BLS</v>
      </c>
    </row>
    <row r="102" spans="1:22" x14ac:dyDescent="0.2">
      <c r="A102" s="16">
        <v>102</v>
      </c>
      <c r="B102" s="16">
        <v>1004609427</v>
      </c>
      <c r="C102" s="16" t="s">
        <v>115</v>
      </c>
      <c r="D102" s="16" t="s">
        <v>110</v>
      </c>
      <c r="E102" s="16" t="s">
        <v>234</v>
      </c>
      <c r="F102" s="17" t="s">
        <v>197</v>
      </c>
      <c r="G102" s="16">
        <v>9</v>
      </c>
      <c r="H102" s="16" t="s">
        <v>41</v>
      </c>
      <c r="I102" s="18">
        <v>45363</v>
      </c>
      <c r="J102" s="16">
        <v>26667</v>
      </c>
      <c r="K102" s="16" t="s">
        <v>32</v>
      </c>
      <c r="L102" s="16" t="s">
        <v>222</v>
      </c>
      <c r="M102" s="16" t="s">
        <v>204</v>
      </c>
      <c r="N102" s="16" t="s">
        <v>19</v>
      </c>
      <c r="P102" s="21" t="s">
        <v>31</v>
      </c>
      <c r="S102" s="16" t="str">
        <f>+IF($N102=[1]CURSOS!$D$3,[1]CURSOS!$E$3,(+IF($N102=[1]CURSOS!$D$4,[1]CURSOS!$E$4,(+IF($N102=[1]CURSOS!$D$5,[1]CURSOS!$E$5,(+IF($N102=[1]CURSOS!$D$6,[1]CURSOS!$E$6,(+IF($N102=[1]CURSOS!$D$7,[1]CURSOS!$E$7,(+IF($N102=[1]CURSOS!$D$8,[1]CURSOS!$E$8,(+IF($N102=[1]CURSOS!$D$9,[1]CURSOS!$E$9,(+IF($N102=[1]CURSOS!$D$10,[1]CURSOS!$E$10,(+IF($N102=[1]CURSOS!$D$11,[1]CURSOS!$E$11,(+IF($N102=[1]CURSOS!$D$12,[1]CURSOS!$E$12,(+IF($N102=[1]CURSOS!$D$13,[1]CURSOS!$E$13,(+IF($N102=[1]CURSOS!$D$14,[1]CURSOS!$E$14,(+IF($N102=[1]CURSOS!$D$15,[1]CURSOS!$E$15,(+IF($N102=[1]CURSOS!$D$16,[1]CURSOS!$E$16,(+IF($N102=[1]CURSOS!$D$17,[1]CURSOS!$E$17,(+IF($N102=[1]CURSOS!$D$18,[1]CURSOS!$E$18,(+IF($N102=[1]CURSOS!$D$19,[1]CURSOS!$E$19,(+IF($N102=[1]CURSOS!$D$20,[1]CURSOS!$E$20,(+IF($N102=[1]CURSOS!$D$21,[1]CURSOS!$E$21,(+IF($N102=[1]CURSOS!$D$22,[1]CURSOS!$E$22,(+IF($N102=[1]CURSOS!$D$23,[1]CURSOS!$E$23,(+IF($N102=[1]CURSOS!$D$24,[1]CURSOS!$E$24,(+IF($N102=[1]CURSOS!$D$25,[1]CURSOS!$E$25,(+IF($N102=[1]CURSOS!$D$26,[1]CURSOS!$E$26,(+IF($N102=[1]CURSOS!$D$27,[1]CURSOS!$E$27,(+IF($N102=[1]CURSOS!$D$28,[1]CURSOS!$E$28,(+IF($N102=[1]CURSOS!$D$29,[1]CURSOS!$E$29,(+IF($N102=[1]CURSOS!$D$30,[1]CURSOS!$E$30,(+IF($N102=[1]CURSOS!$D$31,[1]CURSOS!$E$31,(+IF($N102=[1]CURSOS!$D$32,[1]CURSOS!$E$32)))))))))))))))))))))))))))))))))))))))))))))))))))))))))))</f>
        <v>SOPORTE VITAL BASICO (BLS)</v>
      </c>
      <c r="T102" s="16" t="str">
        <f t="shared" si="12"/>
        <v>TATINA KARINA GUERRERO QUIÑONES</v>
      </c>
      <c r="U102" s="16" t="str">
        <f t="shared" si="13"/>
        <v>Tatina Karina Guerrero Quiñones</v>
      </c>
      <c r="V102" s="16" t="str">
        <f t="shared" si="14"/>
        <v>TATINA KARINA GUERRERO QUIÑONES-1004609427-BLS</v>
      </c>
    </row>
    <row r="103" spans="1:22" x14ac:dyDescent="0.2">
      <c r="A103" s="16">
        <v>103</v>
      </c>
      <c r="B103" s="16">
        <v>59674851</v>
      </c>
      <c r="C103" s="16" t="s">
        <v>125</v>
      </c>
      <c r="D103" s="16" t="s">
        <v>111</v>
      </c>
      <c r="E103" s="16" t="s">
        <v>171</v>
      </c>
      <c r="F103" s="17" t="s">
        <v>198</v>
      </c>
      <c r="G103" s="16">
        <v>9</v>
      </c>
      <c r="H103" s="16" t="s">
        <v>41</v>
      </c>
      <c r="I103" s="18">
        <v>45363</v>
      </c>
      <c r="J103" s="16">
        <v>26667</v>
      </c>
      <c r="K103" s="16" t="s">
        <v>32</v>
      </c>
      <c r="L103" s="16" t="s">
        <v>222</v>
      </c>
      <c r="M103" s="16" t="s">
        <v>204</v>
      </c>
      <c r="N103" s="16" t="s">
        <v>19</v>
      </c>
      <c r="P103" s="21" t="s">
        <v>31</v>
      </c>
      <c r="S103" s="16" t="str">
        <f>+IF($N103=[1]CURSOS!$D$3,[1]CURSOS!$E$3,(+IF($N103=[1]CURSOS!$D$4,[1]CURSOS!$E$4,(+IF($N103=[1]CURSOS!$D$5,[1]CURSOS!$E$5,(+IF($N103=[1]CURSOS!$D$6,[1]CURSOS!$E$6,(+IF($N103=[1]CURSOS!$D$7,[1]CURSOS!$E$7,(+IF($N103=[1]CURSOS!$D$8,[1]CURSOS!$E$8,(+IF($N103=[1]CURSOS!$D$9,[1]CURSOS!$E$9,(+IF($N103=[1]CURSOS!$D$10,[1]CURSOS!$E$10,(+IF($N103=[1]CURSOS!$D$11,[1]CURSOS!$E$11,(+IF($N103=[1]CURSOS!$D$12,[1]CURSOS!$E$12,(+IF($N103=[1]CURSOS!$D$13,[1]CURSOS!$E$13,(+IF($N103=[1]CURSOS!$D$14,[1]CURSOS!$E$14,(+IF($N103=[1]CURSOS!$D$15,[1]CURSOS!$E$15,(+IF($N103=[1]CURSOS!$D$16,[1]CURSOS!$E$16,(+IF($N103=[1]CURSOS!$D$17,[1]CURSOS!$E$17,(+IF($N103=[1]CURSOS!$D$18,[1]CURSOS!$E$18,(+IF($N103=[1]CURSOS!$D$19,[1]CURSOS!$E$19,(+IF($N103=[1]CURSOS!$D$20,[1]CURSOS!$E$20,(+IF($N103=[1]CURSOS!$D$21,[1]CURSOS!$E$21,(+IF($N103=[1]CURSOS!$D$22,[1]CURSOS!$E$22,(+IF($N103=[1]CURSOS!$D$23,[1]CURSOS!$E$23,(+IF($N103=[1]CURSOS!$D$24,[1]CURSOS!$E$24,(+IF($N103=[1]CURSOS!$D$25,[1]CURSOS!$E$25,(+IF($N103=[1]CURSOS!$D$26,[1]CURSOS!$E$26,(+IF($N103=[1]CURSOS!$D$27,[1]CURSOS!$E$27,(+IF($N103=[1]CURSOS!$D$28,[1]CURSOS!$E$28,(+IF($N103=[1]CURSOS!$D$29,[1]CURSOS!$E$29,(+IF($N103=[1]CURSOS!$D$30,[1]CURSOS!$E$30,(+IF($N103=[1]CURSOS!$D$31,[1]CURSOS!$E$31,(+IF($N103=[1]CURSOS!$D$32,[1]CURSOS!$E$32)))))))))))))))))))))))))))))))))))))))))))))))))))))))))))</f>
        <v>SOPORTE VITAL BASICO (BLS)</v>
      </c>
      <c r="T103" s="16" t="str">
        <f t="shared" si="12"/>
        <v>SANDRA MARISA AMU LANDAZURI</v>
      </c>
      <c r="U103" s="16" t="str">
        <f t="shared" si="13"/>
        <v>Sandra Marisa Amu Landazuri</v>
      </c>
      <c r="V103" s="16" t="str">
        <f t="shared" si="14"/>
        <v>SANDRA MARISA AMU LANDAZURI-59674851-BLS</v>
      </c>
    </row>
    <row r="104" spans="1:22" x14ac:dyDescent="0.2">
      <c r="A104" s="16">
        <v>104</v>
      </c>
      <c r="B104" s="16">
        <v>1087195796</v>
      </c>
      <c r="C104" s="16" t="s">
        <v>119</v>
      </c>
      <c r="D104" s="16" t="s">
        <v>127</v>
      </c>
      <c r="E104" s="16" t="s">
        <v>172</v>
      </c>
      <c r="F104" s="17" t="s">
        <v>199</v>
      </c>
      <c r="G104" s="16">
        <v>9</v>
      </c>
      <c r="H104" s="16" t="s">
        <v>41</v>
      </c>
      <c r="I104" s="18">
        <v>45363</v>
      </c>
      <c r="J104" s="16">
        <v>26668</v>
      </c>
      <c r="K104" s="16" t="s">
        <v>32</v>
      </c>
      <c r="L104" s="16" t="s">
        <v>222</v>
      </c>
      <c r="M104" s="16" t="s">
        <v>204</v>
      </c>
      <c r="N104" s="16" t="s">
        <v>19</v>
      </c>
      <c r="P104" s="21" t="s">
        <v>31</v>
      </c>
      <c r="S104" s="16" t="str">
        <f>+IF($N104=[1]CURSOS!$D$3,[1]CURSOS!$E$3,(+IF($N104=[1]CURSOS!$D$4,[1]CURSOS!$E$4,(+IF($N104=[1]CURSOS!$D$5,[1]CURSOS!$E$5,(+IF($N104=[1]CURSOS!$D$6,[1]CURSOS!$E$6,(+IF($N104=[1]CURSOS!$D$7,[1]CURSOS!$E$7,(+IF($N104=[1]CURSOS!$D$8,[1]CURSOS!$E$8,(+IF($N104=[1]CURSOS!$D$9,[1]CURSOS!$E$9,(+IF($N104=[1]CURSOS!$D$10,[1]CURSOS!$E$10,(+IF($N104=[1]CURSOS!$D$11,[1]CURSOS!$E$11,(+IF($N104=[1]CURSOS!$D$12,[1]CURSOS!$E$12,(+IF($N104=[1]CURSOS!$D$13,[1]CURSOS!$E$13,(+IF($N104=[1]CURSOS!$D$14,[1]CURSOS!$E$14,(+IF($N104=[1]CURSOS!$D$15,[1]CURSOS!$E$15,(+IF($N104=[1]CURSOS!$D$16,[1]CURSOS!$E$16,(+IF($N104=[1]CURSOS!$D$17,[1]CURSOS!$E$17,(+IF($N104=[1]CURSOS!$D$18,[1]CURSOS!$E$18,(+IF($N104=[1]CURSOS!$D$19,[1]CURSOS!$E$19,(+IF($N104=[1]CURSOS!$D$20,[1]CURSOS!$E$20,(+IF($N104=[1]CURSOS!$D$21,[1]CURSOS!$E$21,(+IF($N104=[1]CURSOS!$D$22,[1]CURSOS!$E$22,(+IF($N104=[1]CURSOS!$D$23,[1]CURSOS!$E$23,(+IF($N104=[1]CURSOS!$D$24,[1]CURSOS!$E$24,(+IF($N104=[1]CURSOS!$D$25,[1]CURSOS!$E$25,(+IF($N104=[1]CURSOS!$D$26,[1]CURSOS!$E$26,(+IF($N104=[1]CURSOS!$D$27,[1]CURSOS!$E$27,(+IF($N104=[1]CURSOS!$D$28,[1]CURSOS!$E$28,(+IF($N104=[1]CURSOS!$D$29,[1]CURSOS!$E$29,(+IF($N104=[1]CURSOS!$D$30,[1]CURSOS!$E$30,(+IF($N104=[1]CURSOS!$D$31,[1]CURSOS!$E$31,(+IF($N104=[1]CURSOS!$D$32,[1]CURSOS!$E$32)))))))))))))))))))))))))))))))))))))))))))))))))))))))))))</f>
        <v>SOPORTE VITAL BASICO (BLS)</v>
      </c>
      <c r="T104" s="16" t="str">
        <f t="shared" si="12"/>
        <v>LUZ HELENA BANGUERA MONTAÑO</v>
      </c>
      <c r="U104" s="16" t="str">
        <f t="shared" si="13"/>
        <v>Luz Helena Banguera Montaño</v>
      </c>
      <c r="V104" s="16" t="str">
        <f t="shared" si="14"/>
        <v>LUZ HELENA BANGUERA MONTAÑO-1087195796-BLS</v>
      </c>
    </row>
    <row r="105" spans="1:22" x14ac:dyDescent="0.2">
      <c r="A105" s="16">
        <v>18</v>
      </c>
      <c r="B105" s="16">
        <v>1233192130</v>
      </c>
      <c r="C105" s="16" t="s">
        <v>88</v>
      </c>
      <c r="D105" s="16" t="s">
        <v>88</v>
      </c>
      <c r="E105" s="16" t="s">
        <v>89</v>
      </c>
      <c r="G105" s="16">
        <v>7</v>
      </c>
      <c r="H105" s="16" t="s">
        <v>41</v>
      </c>
      <c r="I105" s="18">
        <v>45358</v>
      </c>
      <c r="J105" s="19">
        <v>35000</v>
      </c>
      <c r="K105" s="16" t="s">
        <v>37</v>
      </c>
      <c r="L105" s="16" t="s">
        <v>39</v>
      </c>
      <c r="M105" s="16" t="s">
        <v>29</v>
      </c>
      <c r="N105" s="16" t="s">
        <v>25</v>
      </c>
      <c r="O105" s="20">
        <v>35929</v>
      </c>
      <c r="P105" s="21" t="s">
        <v>31</v>
      </c>
      <c r="Q105" s="16" t="s">
        <v>51</v>
      </c>
      <c r="R105" s="16">
        <v>3135855759</v>
      </c>
      <c r="S105" s="16" t="str">
        <f>+IF($N105=[1]CURSOS!$D$3,[1]CURSOS!$E$3,(+IF($N105=[1]CURSOS!$D$4,[1]CURSOS!$E$4,(+IF($N105=[1]CURSOS!$D$5,[1]CURSOS!$E$5,(+IF($N105=[1]CURSOS!$D$6,[1]CURSOS!$E$6,(+IF($N105=[1]CURSOS!$D$7,[1]CURSOS!$E$7,(+IF($N105=[1]CURSOS!$D$8,[1]CURSOS!$E$8,(+IF($N105=[1]CURSOS!$D$9,[1]CURSOS!$E$9,(+IF($N105=[1]CURSOS!$D$10,[1]CURSOS!$E$10,(+IF($N105=[1]CURSOS!$D$11,[1]CURSOS!$E$11,(+IF($N105=[1]CURSOS!$D$12,[1]CURSOS!$E$12,(+IF($N105=[1]CURSOS!$D$13,[1]CURSOS!$E$13,(+IF($N105=[1]CURSOS!$D$14,[1]CURSOS!$E$14,(+IF($N105=[1]CURSOS!$D$15,[1]CURSOS!$E$15,(+IF($N105=[1]CURSOS!$D$16,[1]CURSOS!$E$16,(+IF($N105=[1]CURSOS!$D$17,[1]CURSOS!$E$17,(+IF($N105=[1]CURSOS!$D$18,[1]CURSOS!$E$18,(+IF($N105=[1]CURSOS!$D$19,[1]CURSOS!$E$19,(+IF($N105=[1]CURSOS!$D$20,[1]CURSOS!$E$20,(+IF($N105=[1]CURSOS!$D$21,[1]CURSOS!$E$21,(+IF($N105=[1]CURSOS!$D$22,[1]CURSOS!$E$22,(+IF($N105=[1]CURSOS!$D$23,[1]CURSOS!$E$23,(+IF($N105=[1]CURSOS!$D$24,[1]CURSOS!$E$24,(+IF($N105=[1]CURSOS!$D$25,[1]CURSOS!$E$25,(+IF($N105=[1]CURSOS!$D$26,[1]CURSOS!$E$26,(+IF($N105=[1]CURSOS!$D$27,[1]CURSOS!$E$27,(+IF($N105=[1]CURSOS!$D$28,[1]CURSOS!$E$28,(+IF($N105=[1]CURSOS!$D$29,[1]CURSOS!$E$29,(+IF($N105=[1]CURSOS!$D$30,[1]CURSOS!$E$30,(+IF($N105=[1]CURSOS!$D$31,[1]CURSOS!$E$31,(+IF($N105=[1]CURSOS!$D$32,[1]CURSOS!$E$32)))))))))))))))))))))))))))))))))))))))))))))))))))))))))))</f>
        <v xml:space="preserve">ATENCION A VICTIMAS DE VIOLENCIA SEXUAL </v>
      </c>
      <c r="T105" s="16" t="str">
        <f t="shared" si="12"/>
        <v>Lisbeth  Rengifo Rengifo</v>
      </c>
      <c r="U105" s="16" t="str">
        <f t="shared" si="13"/>
        <v>Lisbeth  Rengifo Rengifo</v>
      </c>
      <c r="V105" s="16" t="str">
        <f t="shared" si="14"/>
        <v>Lisbeth  Rengifo Rengifo-1233192130-VIOLENCIA SEXUAL</v>
      </c>
    </row>
    <row r="106" spans="1:22" x14ac:dyDescent="0.2">
      <c r="A106" s="16">
        <v>106</v>
      </c>
      <c r="B106" s="16">
        <v>59685926</v>
      </c>
      <c r="C106" s="16" t="s">
        <v>127</v>
      </c>
      <c r="D106" s="16" t="s">
        <v>137</v>
      </c>
      <c r="E106" s="16" t="s">
        <v>258</v>
      </c>
      <c r="F106" s="17" t="s">
        <v>201</v>
      </c>
      <c r="G106" s="16">
        <v>9</v>
      </c>
      <c r="H106" s="16" t="s">
        <v>41</v>
      </c>
      <c r="I106" s="18">
        <v>45363</v>
      </c>
      <c r="J106" s="16">
        <v>26668</v>
      </c>
      <c r="K106" s="16" t="s">
        <v>32</v>
      </c>
      <c r="L106" s="16" t="s">
        <v>222</v>
      </c>
      <c r="M106" s="16" t="s">
        <v>204</v>
      </c>
      <c r="N106" s="16" t="s">
        <v>19</v>
      </c>
      <c r="P106" s="21" t="s">
        <v>31</v>
      </c>
      <c r="S106" s="16" t="str">
        <f>+IF($N106=[1]CURSOS!$D$3,[1]CURSOS!$E$3,(+IF($N106=[1]CURSOS!$D$4,[1]CURSOS!$E$4,(+IF($N106=[1]CURSOS!$D$5,[1]CURSOS!$E$5,(+IF($N106=[1]CURSOS!$D$6,[1]CURSOS!$E$6,(+IF($N106=[1]CURSOS!$D$7,[1]CURSOS!$E$7,(+IF($N106=[1]CURSOS!$D$8,[1]CURSOS!$E$8,(+IF($N106=[1]CURSOS!$D$9,[1]CURSOS!$E$9,(+IF($N106=[1]CURSOS!$D$10,[1]CURSOS!$E$10,(+IF($N106=[1]CURSOS!$D$11,[1]CURSOS!$E$11,(+IF($N106=[1]CURSOS!$D$12,[1]CURSOS!$E$12,(+IF($N106=[1]CURSOS!$D$13,[1]CURSOS!$E$13,(+IF($N106=[1]CURSOS!$D$14,[1]CURSOS!$E$14,(+IF($N106=[1]CURSOS!$D$15,[1]CURSOS!$E$15,(+IF($N106=[1]CURSOS!$D$16,[1]CURSOS!$E$16,(+IF($N106=[1]CURSOS!$D$17,[1]CURSOS!$E$17,(+IF($N106=[1]CURSOS!$D$18,[1]CURSOS!$E$18,(+IF($N106=[1]CURSOS!$D$19,[1]CURSOS!$E$19,(+IF($N106=[1]CURSOS!$D$20,[1]CURSOS!$E$20,(+IF($N106=[1]CURSOS!$D$21,[1]CURSOS!$E$21,(+IF($N106=[1]CURSOS!$D$22,[1]CURSOS!$E$22,(+IF($N106=[1]CURSOS!$D$23,[1]CURSOS!$E$23,(+IF($N106=[1]CURSOS!$D$24,[1]CURSOS!$E$24,(+IF($N106=[1]CURSOS!$D$25,[1]CURSOS!$E$25,(+IF($N106=[1]CURSOS!$D$26,[1]CURSOS!$E$26,(+IF($N106=[1]CURSOS!$D$27,[1]CURSOS!$E$27,(+IF($N106=[1]CURSOS!$D$28,[1]CURSOS!$E$28,(+IF($N106=[1]CURSOS!$D$29,[1]CURSOS!$E$29,(+IF($N106=[1]CURSOS!$D$30,[1]CURSOS!$E$30,(+IF($N106=[1]CURSOS!$D$31,[1]CURSOS!$E$31,(+IF($N106=[1]CURSOS!$D$32,[1]CURSOS!$E$32)))))))))))))))))))))))))))))))))))))))))))))))))))))))))))</f>
        <v>SOPORTE VITAL BASICO (BLS)</v>
      </c>
      <c r="T106" s="16" t="str">
        <f t="shared" si="12"/>
        <v>Friny FERNANDA MONTAÑO CASTILLO</v>
      </c>
      <c r="U106" s="16" t="str">
        <f t="shared" si="13"/>
        <v>Friny Fernanda Montaño Castillo</v>
      </c>
      <c r="V106" s="16" t="str">
        <f t="shared" si="14"/>
        <v>Friny FERNANDA MONTAÑO CASTILLO-59685926-BLS</v>
      </c>
    </row>
    <row r="107" spans="1:22" x14ac:dyDescent="0.2">
      <c r="A107" s="16">
        <v>107</v>
      </c>
      <c r="B107" s="16">
        <v>1087113564</v>
      </c>
      <c r="C107" s="16" t="s">
        <v>128</v>
      </c>
      <c r="D107" s="16" t="s">
        <v>235</v>
      </c>
      <c r="E107" s="16" t="s">
        <v>174</v>
      </c>
      <c r="F107" s="17" t="s">
        <v>235</v>
      </c>
      <c r="G107" s="16">
        <v>9</v>
      </c>
      <c r="H107" s="16" t="s">
        <v>41</v>
      </c>
      <c r="I107" s="18">
        <v>45363</v>
      </c>
      <c r="J107" s="16">
        <v>26668</v>
      </c>
      <c r="K107" s="16" t="s">
        <v>32</v>
      </c>
      <c r="L107" s="16" t="s">
        <v>222</v>
      </c>
      <c r="M107" s="16" t="s">
        <v>204</v>
      </c>
      <c r="N107" s="16" t="s">
        <v>19</v>
      </c>
      <c r="P107" s="21" t="s">
        <v>31</v>
      </c>
      <c r="R107" s="16">
        <v>3017982423</v>
      </c>
      <c r="S107" s="16" t="str">
        <f>+IF($N107=[1]CURSOS!$D$3,[1]CURSOS!$E$3,(+IF($N107=[1]CURSOS!$D$4,[1]CURSOS!$E$4,(+IF($N107=[1]CURSOS!$D$5,[1]CURSOS!$E$5,(+IF($N107=[1]CURSOS!$D$6,[1]CURSOS!$E$6,(+IF($N107=[1]CURSOS!$D$7,[1]CURSOS!$E$7,(+IF($N107=[1]CURSOS!$D$8,[1]CURSOS!$E$8,(+IF($N107=[1]CURSOS!$D$9,[1]CURSOS!$E$9,(+IF($N107=[1]CURSOS!$D$10,[1]CURSOS!$E$10,(+IF($N107=[1]CURSOS!$D$11,[1]CURSOS!$E$11,(+IF($N107=[1]CURSOS!$D$12,[1]CURSOS!$E$12,(+IF($N107=[1]CURSOS!$D$13,[1]CURSOS!$E$13,(+IF($N107=[1]CURSOS!$D$14,[1]CURSOS!$E$14,(+IF($N107=[1]CURSOS!$D$15,[1]CURSOS!$E$15,(+IF($N107=[1]CURSOS!$D$16,[1]CURSOS!$E$16,(+IF($N107=[1]CURSOS!$D$17,[1]CURSOS!$E$17,(+IF($N107=[1]CURSOS!$D$18,[1]CURSOS!$E$18,(+IF($N107=[1]CURSOS!$D$19,[1]CURSOS!$E$19,(+IF($N107=[1]CURSOS!$D$20,[1]CURSOS!$E$20,(+IF($N107=[1]CURSOS!$D$21,[1]CURSOS!$E$21,(+IF($N107=[1]CURSOS!$D$22,[1]CURSOS!$E$22,(+IF($N107=[1]CURSOS!$D$23,[1]CURSOS!$E$23,(+IF($N107=[1]CURSOS!$D$24,[1]CURSOS!$E$24,(+IF($N107=[1]CURSOS!$D$25,[1]CURSOS!$E$25,(+IF($N107=[1]CURSOS!$D$26,[1]CURSOS!$E$26,(+IF($N107=[1]CURSOS!$D$27,[1]CURSOS!$E$27,(+IF($N107=[1]CURSOS!$D$28,[1]CURSOS!$E$28,(+IF($N107=[1]CURSOS!$D$29,[1]CURSOS!$E$29,(+IF($N107=[1]CURSOS!$D$30,[1]CURSOS!$E$30,(+IF($N107=[1]CURSOS!$D$31,[1]CURSOS!$E$31,(+IF($N107=[1]CURSOS!$D$32,[1]CURSOS!$E$32)))))))))))))))))))))))))))))))))))))))))))))))))))))))))))</f>
        <v>SOPORTE VITAL BASICO (BLS)</v>
      </c>
      <c r="T107" s="16" t="str">
        <f t="shared" si="12"/>
        <v xml:space="preserve">JOHANA  BIOJO </v>
      </c>
      <c r="U107" s="16" t="str">
        <f t="shared" si="13"/>
        <v xml:space="preserve">Johana  Biojo </v>
      </c>
      <c r="V107" s="16" t="str">
        <f t="shared" si="14"/>
        <v>JOHANA  BIOJO -1087113564-BLS</v>
      </c>
    </row>
    <row r="108" spans="1:22" x14ac:dyDescent="0.2">
      <c r="A108" s="16">
        <v>108</v>
      </c>
      <c r="B108" s="16">
        <v>59677180</v>
      </c>
      <c r="C108" s="16" t="s">
        <v>116</v>
      </c>
      <c r="D108" s="16" t="s">
        <v>143</v>
      </c>
      <c r="E108" s="16" t="s">
        <v>255</v>
      </c>
      <c r="F108" s="17" t="s">
        <v>256</v>
      </c>
      <c r="G108" s="16">
        <v>14</v>
      </c>
      <c r="H108" s="16" t="s">
        <v>41</v>
      </c>
      <c r="I108" s="18" t="s">
        <v>257</v>
      </c>
      <c r="J108" s="16">
        <v>26668</v>
      </c>
      <c r="K108" s="16" t="s">
        <v>221</v>
      </c>
      <c r="L108" s="16" t="s">
        <v>39</v>
      </c>
      <c r="M108" s="16" t="s">
        <v>204</v>
      </c>
      <c r="N108" s="16" t="s">
        <v>19</v>
      </c>
      <c r="P108" s="21" t="s">
        <v>31</v>
      </c>
      <c r="Q108" s="16" t="s">
        <v>51</v>
      </c>
      <c r="S108" s="16" t="str">
        <f>+IF($N108=[1]CURSOS!$D$3,[1]CURSOS!$E$3,(+IF($N108=[1]CURSOS!$D$4,[1]CURSOS!$E$4,(+IF($N108=[1]CURSOS!$D$5,[1]CURSOS!$E$5,(+IF($N108=[1]CURSOS!$D$6,[1]CURSOS!$E$6,(+IF($N108=[1]CURSOS!$D$7,[1]CURSOS!$E$7,(+IF($N108=[1]CURSOS!$D$8,[1]CURSOS!$E$8,(+IF($N108=[1]CURSOS!$D$9,[1]CURSOS!$E$9,(+IF($N108=[1]CURSOS!$D$10,[1]CURSOS!$E$10,(+IF($N108=[1]CURSOS!$D$11,[1]CURSOS!$E$11,(+IF($N108=[1]CURSOS!$D$12,[1]CURSOS!$E$12,(+IF($N108=[1]CURSOS!$D$13,[1]CURSOS!$E$13,(+IF($N108=[1]CURSOS!$D$14,[1]CURSOS!$E$14,(+IF($N108=[1]CURSOS!$D$15,[1]CURSOS!$E$15,(+IF($N108=[1]CURSOS!$D$16,[1]CURSOS!$E$16,(+IF($N108=[1]CURSOS!$D$17,[1]CURSOS!$E$17,(+IF($N108=[1]CURSOS!$D$18,[1]CURSOS!$E$18,(+IF($N108=[1]CURSOS!$D$19,[1]CURSOS!$E$19,(+IF($N108=[1]CURSOS!$D$20,[1]CURSOS!$E$20,(+IF($N108=[1]CURSOS!$D$21,[1]CURSOS!$E$21,(+IF($N108=[1]CURSOS!$D$22,[1]CURSOS!$E$22,(+IF($N108=[1]CURSOS!$D$23,[1]CURSOS!$E$23,(+IF($N108=[1]CURSOS!$D$24,[1]CURSOS!$E$24,(+IF($N108=[1]CURSOS!$D$25,[1]CURSOS!$E$25,(+IF($N108=[1]CURSOS!$D$26,[1]CURSOS!$E$26,(+IF($N108=[1]CURSOS!$D$27,[1]CURSOS!$E$27,(+IF($N108=[1]CURSOS!$D$28,[1]CURSOS!$E$28,(+IF($N108=[1]CURSOS!$D$29,[1]CURSOS!$E$29,(+IF($N108=[1]CURSOS!$D$30,[1]CURSOS!$E$30,(+IF($N108=[1]CURSOS!$D$31,[1]CURSOS!$E$31,(+IF($N108=[1]CURSOS!$D$32,[1]CURSOS!$E$32)))))))))))))))))))))))))))))))))))))))))))))))))))))))))))</f>
        <v>SOPORTE VITAL BASICO (BLS)</v>
      </c>
      <c r="T108" s="16" t="str">
        <f t="shared" si="12"/>
        <v>GLORIA  YANIRA HURTADO  OROBIO</v>
      </c>
      <c r="U108" s="16" t="str">
        <f t="shared" si="13"/>
        <v>Gloria  Yanira Hurtado  Orobio</v>
      </c>
      <c r="V108" s="16" t="str">
        <f t="shared" si="14"/>
        <v>GLORIA  YANIRA HURTADO  OROBIO-59677180-BLS</v>
      </c>
    </row>
    <row r="109" spans="1:22" x14ac:dyDescent="0.2">
      <c r="A109" s="16">
        <v>109</v>
      </c>
      <c r="B109" s="16">
        <v>1004609824</v>
      </c>
      <c r="C109" s="16" t="s">
        <v>279</v>
      </c>
      <c r="D109" s="16" t="s">
        <v>280</v>
      </c>
      <c r="E109" s="16" t="s">
        <v>281</v>
      </c>
      <c r="F109" s="17" t="s">
        <v>158</v>
      </c>
      <c r="G109" s="16">
        <v>14</v>
      </c>
      <c r="H109" s="16" t="s">
        <v>41</v>
      </c>
      <c r="I109" s="18" t="s">
        <v>46</v>
      </c>
      <c r="J109" s="16"/>
      <c r="K109" s="16" t="s">
        <v>221</v>
      </c>
      <c r="L109" s="16" t="s">
        <v>39</v>
      </c>
      <c r="M109" s="16" t="s">
        <v>204</v>
      </c>
      <c r="N109" s="16" t="s">
        <v>19</v>
      </c>
      <c r="P109" s="21" t="s">
        <v>31</v>
      </c>
      <c r="Q109" s="16" t="s">
        <v>51</v>
      </c>
      <c r="S109" s="16" t="str">
        <f>+IF($N109=[1]CURSOS!$D$3,[1]CURSOS!$E$3,(+IF($N109=[1]CURSOS!$D$4,[1]CURSOS!$E$4,(+IF($N109=[1]CURSOS!$D$5,[1]CURSOS!$E$5,(+IF($N109=[1]CURSOS!$D$6,[1]CURSOS!$E$6,(+IF($N109=[1]CURSOS!$D$7,[1]CURSOS!$E$7,(+IF($N109=[1]CURSOS!$D$8,[1]CURSOS!$E$8,(+IF($N109=[1]CURSOS!$D$9,[1]CURSOS!$E$9,(+IF($N109=[1]CURSOS!$D$10,[1]CURSOS!$E$10,(+IF($N109=[1]CURSOS!$D$11,[1]CURSOS!$E$11,(+IF($N109=[1]CURSOS!$D$12,[1]CURSOS!$E$12,(+IF($N109=[1]CURSOS!$D$13,[1]CURSOS!$E$13,(+IF($N109=[1]CURSOS!$D$14,[1]CURSOS!$E$14,(+IF($N109=[1]CURSOS!$D$15,[1]CURSOS!$E$15,(+IF($N109=[1]CURSOS!$D$16,[1]CURSOS!$E$16,(+IF($N109=[1]CURSOS!$D$17,[1]CURSOS!$E$17,(+IF($N109=[1]CURSOS!$D$18,[1]CURSOS!$E$18,(+IF($N109=[1]CURSOS!$D$19,[1]CURSOS!$E$19,(+IF($N109=[1]CURSOS!$D$20,[1]CURSOS!$E$20,(+IF($N109=[1]CURSOS!$D$21,[1]CURSOS!$E$21,(+IF($N109=[1]CURSOS!$D$22,[1]CURSOS!$E$22,(+IF($N109=[1]CURSOS!$D$23,[1]CURSOS!$E$23,(+IF($N109=[1]CURSOS!$D$24,[1]CURSOS!$E$24,(+IF($N109=[1]CURSOS!$D$25,[1]CURSOS!$E$25,(+IF($N109=[1]CURSOS!$D$26,[1]CURSOS!$E$26,(+IF($N109=[1]CURSOS!$D$27,[1]CURSOS!$E$27,(+IF($N109=[1]CURSOS!$D$28,[1]CURSOS!$E$28,(+IF($N109=[1]CURSOS!$D$29,[1]CURSOS!$E$29,(+IF($N109=[1]CURSOS!$D$30,[1]CURSOS!$E$30,(+IF($N109=[1]CURSOS!$D$31,[1]CURSOS!$E$31,(+IF($N109=[1]CURSOS!$D$32,[1]CURSOS!$E$32)))))))))))))))))))))))))))))))))))))))))))))))))))))))))))</f>
        <v>SOPORTE VITAL BASICO (BLS)</v>
      </c>
      <c r="T109" s="16" t="str">
        <f t="shared" si="12"/>
        <v>MARTHA MELISSA CASTILLO  CAICEDO</v>
      </c>
      <c r="U109" s="16" t="str">
        <f t="shared" si="13"/>
        <v>Martha Melissa Castillo  Caicedo</v>
      </c>
      <c r="V109" s="16" t="str">
        <f t="shared" si="14"/>
        <v>MARTHA MELISSA CASTILLO  CAICEDO-1004609824-BLS</v>
      </c>
    </row>
    <row r="110" spans="1:22" x14ac:dyDescent="0.2">
      <c r="A110" s="16">
        <v>110</v>
      </c>
      <c r="B110" s="16">
        <v>59677180</v>
      </c>
      <c r="C110" s="16" t="s">
        <v>116</v>
      </c>
      <c r="D110" s="16" t="s">
        <v>143</v>
      </c>
      <c r="E110" s="16" t="s">
        <v>255</v>
      </c>
      <c r="F110" s="17" t="s">
        <v>256</v>
      </c>
      <c r="G110" s="16">
        <v>14</v>
      </c>
      <c r="H110" s="16" t="s">
        <v>41</v>
      </c>
      <c r="I110" s="18" t="s">
        <v>257</v>
      </c>
      <c r="J110" s="16">
        <v>26668</v>
      </c>
      <c r="K110" s="16" t="s">
        <v>221</v>
      </c>
      <c r="L110" s="16" t="s">
        <v>39</v>
      </c>
      <c r="M110" s="16" t="s">
        <v>204</v>
      </c>
      <c r="N110" s="16" t="s">
        <v>21</v>
      </c>
      <c r="P110" s="21" t="s">
        <v>31</v>
      </c>
      <c r="Q110" s="16" t="s">
        <v>51</v>
      </c>
      <c r="S110" s="16" t="str">
        <f>+IF($N110=[1]CURSOS!$D$3,[1]CURSOS!$E$3,(+IF($N110=[1]CURSOS!$D$4,[1]CURSOS!$E$4,(+IF($N110=[1]CURSOS!$D$5,[1]CURSOS!$E$5,(+IF($N110=[1]CURSOS!$D$6,[1]CURSOS!$E$6,(+IF($N110=[1]CURSOS!$D$7,[1]CURSOS!$E$7,(+IF($N110=[1]CURSOS!$D$8,[1]CURSOS!$E$8,(+IF($N110=[1]CURSOS!$D$9,[1]CURSOS!$E$9,(+IF($N110=[1]CURSOS!$D$10,[1]CURSOS!$E$10,(+IF($N110=[1]CURSOS!$D$11,[1]CURSOS!$E$11,(+IF($N110=[1]CURSOS!$D$12,[1]CURSOS!$E$12,(+IF($N110=[1]CURSOS!$D$13,[1]CURSOS!$E$13,(+IF($N110=[1]CURSOS!$D$14,[1]CURSOS!$E$14,(+IF($N110=[1]CURSOS!$D$15,[1]CURSOS!$E$15,(+IF($N110=[1]CURSOS!$D$16,[1]CURSOS!$E$16,(+IF($N110=[1]CURSOS!$D$17,[1]CURSOS!$E$17,(+IF($N110=[1]CURSOS!$D$18,[1]CURSOS!$E$18,(+IF($N110=[1]CURSOS!$D$19,[1]CURSOS!$E$19,(+IF($N110=[1]CURSOS!$D$20,[1]CURSOS!$E$20,(+IF($N110=[1]CURSOS!$D$21,[1]CURSOS!$E$21,(+IF($N110=[1]CURSOS!$D$22,[1]CURSOS!$E$22,(+IF($N110=[1]CURSOS!$D$23,[1]CURSOS!$E$23,(+IF($N110=[1]CURSOS!$D$24,[1]CURSOS!$E$24,(+IF($N110=[1]CURSOS!$D$25,[1]CURSOS!$E$25,(+IF($N110=[1]CURSOS!$D$26,[1]CURSOS!$E$26,(+IF($N110=[1]CURSOS!$D$27,[1]CURSOS!$E$27,(+IF($N110=[1]CURSOS!$D$28,[1]CURSOS!$E$28,(+IF($N110=[1]CURSOS!$D$29,[1]CURSOS!$E$29,(+IF($N110=[1]CURSOS!$D$30,[1]CURSOS!$E$30,(+IF($N110=[1]CURSOS!$D$31,[1]CURSOS!$E$31,(+IF($N110=[1]CURSOS!$D$32,[1]CURSOS!$E$32)))))))))))))))))))))))))))))))))))))))))))))))))))))))))))</f>
        <v xml:space="preserve">ATENCION A VICTIMAS DE ATAQUE CON AGENTES QUIMICOS </v>
      </c>
      <c r="T110" s="16" t="str">
        <f t="shared" si="12"/>
        <v>GLORIA  YANIRA HURTADO  OROBIO</v>
      </c>
      <c r="U110" s="16" t="str">
        <f t="shared" si="13"/>
        <v>Gloria  Yanira Hurtado  Orobio</v>
      </c>
      <c r="V110" s="16" t="str">
        <f t="shared" si="14"/>
        <v>GLORIA  YANIRA HURTADO  OROBIO-59677180-QUIMICOS</v>
      </c>
    </row>
    <row r="111" spans="1:22" x14ac:dyDescent="0.2">
      <c r="A111" s="16">
        <v>111</v>
      </c>
      <c r="B111" s="16">
        <v>59677180</v>
      </c>
      <c r="C111" s="16" t="s">
        <v>116</v>
      </c>
      <c r="D111" s="16" t="s">
        <v>143</v>
      </c>
      <c r="E111" s="16" t="s">
        <v>255</v>
      </c>
      <c r="F111" s="17" t="s">
        <v>256</v>
      </c>
      <c r="G111" s="16">
        <v>14</v>
      </c>
      <c r="H111" s="16" t="s">
        <v>41</v>
      </c>
      <c r="I111" s="18" t="s">
        <v>257</v>
      </c>
      <c r="J111" s="16">
        <v>26668</v>
      </c>
      <c r="K111" s="16" t="s">
        <v>221</v>
      </c>
      <c r="L111" s="16" t="s">
        <v>39</v>
      </c>
      <c r="M111" s="16" t="s">
        <v>204</v>
      </c>
      <c r="N111" s="16" t="s">
        <v>25</v>
      </c>
      <c r="P111" s="21" t="s">
        <v>31</v>
      </c>
      <c r="Q111" s="16" t="s">
        <v>51</v>
      </c>
      <c r="S111" s="16" t="str">
        <f>+IF($N111=[1]CURSOS!$D$3,[1]CURSOS!$E$3,(+IF($N111=[1]CURSOS!$D$4,[1]CURSOS!$E$4,(+IF($N111=[1]CURSOS!$D$5,[1]CURSOS!$E$5,(+IF($N111=[1]CURSOS!$D$6,[1]CURSOS!$E$6,(+IF($N111=[1]CURSOS!$D$7,[1]CURSOS!$E$7,(+IF($N111=[1]CURSOS!$D$8,[1]CURSOS!$E$8,(+IF($N111=[1]CURSOS!$D$9,[1]CURSOS!$E$9,(+IF($N111=[1]CURSOS!$D$10,[1]CURSOS!$E$10,(+IF($N111=[1]CURSOS!$D$11,[1]CURSOS!$E$11,(+IF($N111=[1]CURSOS!$D$12,[1]CURSOS!$E$12,(+IF($N111=[1]CURSOS!$D$13,[1]CURSOS!$E$13,(+IF($N111=[1]CURSOS!$D$14,[1]CURSOS!$E$14,(+IF($N111=[1]CURSOS!$D$15,[1]CURSOS!$E$15,(+IF($N111=[1]CURSOS!$D$16,[1]CURSOS!$E$16,(+IF($N111=[1]CURSOS!$D$17,[1]CURSOS!$E$17,(+IF($N111=[1]CURSOS!$D$18,[1]CURSOS!$E$18,(+IF($N111=[1]CURSOS!$D$19,[1]CURSOS!$E$19,(+IF($N111=[1]CURSOS!$D$20,[1]CURSOS!$E$20,(+IF($N111=[1]CURSOS!$D$21,[1]CURSOS!$E$21,(+IF($N111=[1]CURSOS!$D$22,[1]CURSOS!$E$22,(+IF($N111=[1]CURSOS!$D$23,[1]CURSOS!$E$23,(+IF($N111=[1]CURSOS!$D$24,[1]CURSOS!$E$24,(+IF($N111=[1]CURSOS!$D$25,[1]CURSOS!$E$25,(+IF($N111=[1]CURSOS!$D$26,[1]CURSOS!$E$26,(+IF($N111=[1]CURSOS!$D$27,[1]CURSOS!$E$27,(+IF($N111=[1]CURSOS!$D$28,[1]CURSOS!$E$28,(+IF($N111=[1]CURSOS!$D$29,[1]CURSOS!$E$29,(+IF($N111=[1]CURSOS!$D$30,[1]CURSOS!$E$30,(+IF($N111=[1]CURSOS!$D$31,[1]CURSOS!$E$31,(+IF($N111=[1]CURSOS!$D$32,[1]CURSOS!$E$32)))))))))))))))))))))))))))))))))))))))))))))))))))))))))))</f>
        <v xml:space="preserve">ATENCION A VICTIMAS DE VIOLENCIA SEXUAL </v>
      </c>
      <c r="T111" s="16" t="str">
        <f t="shared" si="12"/>
        <v>GLORIA  YANIRA HURTADO  OROBIO</v>
      </c>
      <c r="U111" s="16" t="str">
        <f t="shared" si="13"/>
        <v>Gloria  Yanira Hurtado  Orobio</v>
      </c>
      <c r="V111" s="16" t="str">
        <f t="shared" si="14"/>
        <v>GLORIA  YANIRA HURTADO  OROBIO-59677180-VIOLENCIA SEXUAL</v>
      </c>
    </row>
    <row r="112" spans="1:22" x14ac:dyDescent="0.2">
      <c r="A112" s="16">
        <v>112</v>
      </c>
      <c r="B112" s="16">
        <v>1085320831</v>
      </c>
      <c r="C112" s="16" t="s">
        <v>259</v>
      </c>
      <c r="D112" s="16" t="s">
        <v>260</v>
      </c>
      <c r="E112" s="16" t="s">
        <v>261</v>
      </c>
      <c r="F112" s="17" t="s">
        <v>240</v>
      </c>
      <c r="G112" s="16">
        <v>14</v>
      </c>
      <c r="H112" s="16" t="s">
        <v>41</v>
      </c>
      <c r="I112" s="18" t="s">
        <v>46</v>
      </c>
      <c r="J112" s="16">
        <v>40000</v>
      </c>
      <c r="K112" s="16" t="s">
        <v>221</v>
      </c>
      <c r="L112" s="16" t="s">
        <v>39</v>
      </c>
      <c r="M112" s="16" t="s">
        <v>204</v>
      </c>
      <c r="N112" s="16" t="s">
        <v>20</v>
      </c>
      <c r="P112" s="21" t="s">
        <v>31</v>
      </c>
      <c r="Q112" s="16" t="s">
        <v>51</v>
      </c>
      <c r="S112" s="16" t="str">
        <f>+IF($N112=[1]CURSOS!$D$3,[1]CURSOS!$E$3,(+IF($N112=[1]CURSOS!$D$4,[1]CURSOS!$E$4,(+IF($N112=[1]CURSOS!$D$5,[1]CURSOS!$E$5,(+IF($N112=[1]CURSOS!$D$6,[1]CURSOS!$E$6,(+IF($N112=[1]CURSOS!$D$7,[1]CURSOS!$E$7,(+IF($N112=[1]CURSOS!$D$8,[1]CURSOS!$E$8,(+IF($N112=[1]CURSOS!$D$9,[1]CURSOS!$E$9,(+IF($N112=[1]CURSOS!$D$10,[1]CURSOS!$E$10,(+IF($N112=[1]CURSOS!$D$11,[1]CURSOS!$E$11,(+IF($N112=[1]CURSOS!$D$12,[1]CURSOS!$E$12,(+IF($N112=[1]CURSOS!$D$13,[1]CURSOS!$E$13,(+IF($N112=[1]CURSOS!$D$14,[1]CURSOS!$E$14,(+IF($N112=[1]CURSOS!$D$15,[1]CURSOS!$E$15,(+IF($N112=[1]CURSOS!$D$16,[1]CURSOS!$E$16,(+IF($N112=[1]CURSOS!$D$17,[1]CURSOS!$E$17,(+IF($N112=[1]CURSOS!$D$18,[1]CURSOS!$E$18,(+IF($N112=[1]CURSOS!$D$19,[1]CURSOS!$E$19,(+IF($N112=[1]CURSOS!$D$20,[1]CURSOS!$E$20,(+IF($N112=[1]CURSOS!$D$21,[1]CURSOS!$E$21,(+IF($N112=[1]CURSOS!$D$22,[1]CURSOS!$E$22,(+IF($N112=[1]CURSOS!$D$23,[1]CURSOS!$E$23,(+IF($N112=[1]CURSOS!$D$24,[1]CURSOS!$E$24,(+IF($N112=[1]CURSOS!$D$25,[1]CURSOS!$E$25,(+IF($N112=[1]CURSOS!$D$26,[1]CURSOS!$E$26,(+IF($N112=[1]CURSOS!$D$27,[1]CURSOS!$E$27,(+IF($N112=[1]CURSOS!$D$28,[1]CURSOS!$E$28,(+IF($N112=[1]CURSOS!$D$29,[1]CURSOS!$E$29,(+IF($N112=[1]CURSOS!$D$30,[1]CURSOS!$E$30,(+IF($N112=[1]CURSOS!$D$31,[1]CURSOS!$E$31,(+IF($N112=[1]CURSOS!$D$32,[1]CURSOS!$E$32)))))))))))))))))))))))))))))))))))))))))))))))))))))))))))</f>
        <v>ACOMPAÑAMIENTO Y MANEJO DEL DUELO</v>
      </c>
      <c r="T112" s="16" t="str">
        <f t="shared" si="12"/>
        <v>Dany Lizeth Salazar  Yepes</v>
      </c>
      <c r="U112" s="16" t="str">
        <f t="shared" si="13"/>
        <v>Dany Lizeth Salazar  Yepes</v>
      </c>
      <c r="V112" s="16" t="str">
        <f t="shared" si="14"/>
        <v>Dany Lizeth Salazar  Yepes-1085320831-DUELO</v>
      </c>
    </row>
    <row r="113" spans="1:22" x14ac:dyDescent="0.2">
      <c r="A113" s="16">
        <v>113</v>
      </c>
      <c r="B113" s="16">
        <v>1085320831</v>
      </c>
      <c r="C113" s="16" t="s">
        <v>259</v>
      </c>
      <c r="D113" s="16" t="s">
        <v>260</v>
      </c>
      <c r="E113" s="16" t="s">
        <v>261</v>
      </c>
      <c r="F113" s="17" t="s">
        <v>240</v>
      </c>
      <c r="G113" s="16">
        <v>14</v>
      </c>
      <c r="H113" s="16" t="s">
        <v>41</v>
      </c>
      <c r="I113" s="18" t="s">
        <v>46</v>
      </c>
      <c r="J113" s="16">
        <v>40000</v>
      </c>
      <c r="K113" s="16" t="s">
        <v>221</v>
      </c>
      <c r="L113" s="16" t="s">
        <v>39</v>
      </c>
      <c r="M113" s="16" t="s">
        <v>204</v>
      </c>
      <c r="N113" s="16" t="s">
        <v>25</v>
      </c>
      <c r="P113" s="21" t="s">
        <v>31</v>
      </c>
      <c r="Q113" s="16" t="s">
        <v>51</v>
      </c>
      <c r="S113" s="16" t="str">
        <f>+IF($N113=[1]CURSOS!$D$3,[1]CURSOS!$E$3,(+IF($N113=[1]CURSOS!$D$4,[1]CURSOS!$E$4,(+IF($N113=[1]CURSOS!$D$5,[1]CURSOS!$E$5,(+IF($N113=[1]CURSOS!$D$6,[1]CURSOS!$E$6,(+IF($N113=[1]CURSOS!$D$7,[1]CURSOS!$E$7,(+IF($N113=[1]CURSOS!$D$8,[1]CURSOS!$E$8,(+IF($N113=[1]CURSOS!$D$9,[1]CURSOS!$E$9,(+IF($N113=[1]CURSOS!$D$10,[1]CURSOS!$E$10,(+IF($N113=[1]CURSOS!$D$11,[1]CURSOS!$E$11,(+IF($N113=[1]CURSOS!$D$12,[1]CURSOS!$E$12,(+IF($N113=[1]CURSOS!$D$13,[1]CURSOS!$E$13,(+IF($N113=[1]CURSOS!$D$14,[1]CURSOS!$E$14,(+IF($N113=[1]CURSOS!$D$15,[1]CURSOS!$E$15,(+IF($N113=[1]CURSOS!$D$16,[1]CURSOS!$E$16,(+IF($N113=[1]CURSOS!$D$17,[1]CURSOS!$E$17,(+IF($N113=[1]CURSOS!$D$18,[1]CURSOS!$E$18,(+IF($N113=[1]CURSOS!$D$19,[1]CURSOS!$E$19,(+IF($N113=[1]CURSOS!$D$20,[1]CURSOS!$E$20,(+IF($N113=[1]CURSOS!$D$21,[1]CURSOS!$E$21,(+IF($N113=[1]CURSOS!$D$22,[1]CURSOS!$E$22,(+IF($N113=[1]CURSOS!$D$23,[1]CURSOS!$E$23,(+IF($N113=[1]CURSOS!$D$24,[1]CURSOS!$E$24,(+IF($N113=[1]CURSOS!$D$25,[1]CURSOS!$E$25,(+IF($N113=[1]CURSOS!$D$26,[1]CURSOS!$E$26,(+IF($N113=[1]CURSOS!$D$27,[1]CURSOS!$E$27,(+IF($N113=[1]CURSOS!$D$28,[1]CURSOS!$E$28,(+IF($N113=[1]CURSOS!$D$29,[1]CURSOS!$E$29,(+IF($N113=[1]CURSOS!$D$30,[1]CURSOS!$E$30,(+IF($N113=[1]CURSOS!$D$31,[1]CURSOS!$E$31,(+IF($N113=[1]CURSOS!$D$32,[1]CURSOS!$E$32)))))))))))))))))))))))))))))))))))))))))))))))))))))))))))</f>
        <v xml:space="preserve">ATENCION A VICTIMAS DE VIOLENCIA SEXUAL </v>
      </c>
      <c r="T113" s="16" t="str">
        <f t="shared" si="12"/>
        <v>Dany Lizeth Salazar  Yepes</v>
      </c>
      <c r="U113" s="16" t="str">
        <f t="shared" si="13"/>
        <v>Dany Lizeth Salazar  Yepes</v>
      </c>
      <c r="V113" s="16" t="str">
        <f t="shared" si="14"/>
        <v>Dany Lizeth Salazar  Yepes-1085320831-VIOLENCIA SEXUAL</v>
      </c>
    </row>
    <row r="114" spans="1:22" x14ac:dyDescent="0.2">
      <c r="A114" s="16">
        <v>114</v>
      </c>
      <c r="B114" s="16">
        <v>1193645355</v>
      </c>
      <c r="C114" s="16" t="s">
        <v>238</v>
      </c>
      <c r="D114" s="16" t="s">
        <v>239</v>
      </c>
      <c r="E114" s="16" t="s">
        <v>240</v>
      </c>
      <c r="F114" s="17" t="s">
        <v>241</v>
      </c>
      <c r="G114" s="16">
        <v>14</v>
      </c>
      <c r="H114" s="16" t="s">
        <v>41</v>
      </c>
      <c r="I114" s="18">
        <v>45365</v>
      </c>
      <c r="J114" s="19">
        <v>50000</v>
      </c>
      <c r="K114" s="16" t="s">
        <v>32</v>
      </c>
      <c r="L114" s="16" t="s">
        <v>39</v>
      </c>
      <c r="M114" s="16" t="s">
        <v>29</v>
      </c>
      <c r="N114" s="16" t="s">
        <v>19</v>
      </c>
      <c r="O114" s="20">
        <v>37340</v>
      </c>
      <c r="P114" s="21" t="s">
        <v>31</v>
      </c>
      <c r="Q114" s="16" t="s">
        <v>51</v>
      </c>
      <c r="R114" s="16">
        <v>3196481288</v>
      </c>
      <c r="S114" s="16" t="str">
        <f>+IF($N114=[1]CURSOS!$D$3,[1]CURSOS!$E$3,(+IF($N114=[1]CURSOS!$D$4,[1]CURSOS!$E$4,(+IF($N114=[1]CURSOS!$D$5,[1]CURSOS!$E$5,(+IF($N114=[1]CURSOS!$D$6,[1]CURSOS!$E$6,(+IF($N114=[1]CURSOS!$D$7,[1]CURSOS!$E$7,(+IF($N114=[1]CURSOS!$D$8,[1]CURSOS!$E$8,(+IF($N114=[1]CURSOS!$D$9,[1]CURSOS!$E$9,(+IF($N114=[1]CURSOS!$D$10,[1]CURSOS!$E$10,(+IF($N114=[1]CURSOS!$D$11,[1]CURSOS!$E$11,(+IF($N114=[1]CURSOS!$D$12,[1]CURSOS!$E$12,(+IF($N114=[1]CURSOS!$D$13,[1]CURSOS!$E$13,(+IF($N114=[1]CURSOS!$D$14,[1]CURSOS!$E$14,(+IF($N114=[1]CURSOS!$D$15,[1]CURSOS!$E$15,(+IF($N114=[1]CURSOS!$D$16,[1]CURSOS!$E$16,(+IF($N114=[1]CURSOS!$D$17,[1]CURSOS!$E$17,(+IF($N114=[1]CURSOS!$D$18,[1]CURSOS!$E$18,(+IF($N114=[1]CURSOS!$D$19,[1]CURSOS!$E$19,(+IF($N114=[1]CURSOS!$D$20,[1]CURSOS!$E$20,(+IF($N114=[1]CURSOS!$D$21,[1]CURSOS!$E$21,(+IF($N114=[1]CURSOS!$D$22,[1]CURSOS!$E$22,(+IF($N114=[1]CURSOS!$D$23,[1]CURSOS!$E$23,(+IF($N114=[1]CURSOS!$D$24,[1]CURSOS!$E$24,(+IF($N114=[1]CURSOS!$D$25,[1]CURSOS!$E$25,(+IF($N114=[1]CURSOS!$D$26,[1]CURSOS!$E$26,(+IF($N114=[1]CURSOS!$D$27,[1]CURSOS!$E$27,(+IF($N114=[1]CURSOS!$D$28,[1]CURSOS!$E$28,(+IF($N114=[1]CURSOS!$D$29,[1]CURSOS!$E$29,(+IF($N114=[1]CURSOS!$D$30,[1]CURSOS!$E$30,(+IF($N114=[1]CURSOS!$D$31,[1]CURSOS!$E$31,(+IF($N114=[1]CURSOS!$D$32,[1]CURSOS!$E$32)))))))))))))))))))))))))))))))))))))))))))))))))))))))))))</f>
        <v>SOPORTE VITAL BASICO (BLS)</v>
      </c>
      <c r="T114" s="16" t="str">
        <f t="shared" si="12"/>
        <v>Lizeth Alejandra  Quintas Jiménez</v>
      </c>
      <c r="U114" s="16" t="str">
        <f t="shared" si="13"/>
        <v>Lizeth Alejandra  Quintas Jiménez</v>
      </c>
      <c r="V114" s="16" t="str">
        <f t="shared" si="14"/>
        <v>Lizeth Alejandra  Quintas Jiménez-1193645355-BLS</v>
      </c>
    </row>
    <row r="115" spans="1:22" x14ac:dyDescent="0.2">
      <c r="A115" s="16">
        <v>115</v>
      </c>
      <c r="B115" s="16">
        <v>1193645355</v>
      </c>
      <c r="C115" s="16" t="s">
        <v>238</v>
      </c>
      <c r="D115" s="16" t="s">
        <v>239</v>
      </c>
      <c r="E115" s="16" t="s">
        <v>240</v>
      </c>
      <c r="F115" s="17" t="s">
        <v>241</v>
      </c>
      <c r="G115" s="16">
        <v>14</v>
      </c>
      <c r="H115" s="16" t="s">
        <v>41</v>
      </c>
      <c r="I115" s="18">
        <v>45365</v>
      </c>
      <c r="J115" s="19">
        <v>50000</v>
      </c>
      <c r="K115" s="16" t="s">
        <v>32</v>
      </c>
      <c r="L115" s="16" t="s">
        <v>39</v>
      </c>
      <c r="M115" s="16" t="s">
        <v>29</v>
      </c>
      <c r="N115" s="16" t="s">
        <v>25</v>
      </c>
      <c r="O115" s="20">
        <v>37340</v>
      </c>
      <c r="P115" s="21" t="s">
        <v>31</v>
      </c>
      <c r="Q115" s="16" t="s">
        <v>51</v>
      </c>
      <c r="R115" s="16">
        <v>3196481288</v>
      </c>
      <c r="S115" s="16" t="str">
        <f>+IF($N115=[1]CURSOS!$D$3,[1]CURSOS!$E$3,(+IF($N115=[1]CURSOS!$D$4,[1]CURSOS!$E$4,(+IF($N115=[1]CURSOS!$D$5,[1]CURSOS!$E$5,(+IF($N115=[1]CURSOS!$D$6,[1]CURSOS!$E$6,(+IF($N115=[1]CURSOS!$D$7,[1]CURSOS!$E$7,(+IF($N115=[1]CURSOS!$D$8,[1]CURSOS!$E$8,(+IF($N115=[1]CURSOS!$D$9,[1]CURSOS!$E$9,(+IF($N115=[1]CURSOS!$D$10,[1]CURSOS!$E$10,(+IF($N115=[1]CURSOS!$D$11,[1]CURSOS!$E$11,(+IF($N115=[1]CURSOS!$D$12,[1]CURSOS!$E$12,(+IF($N115=[1]CURSOS!$D$13,[1]CURSOS!$E$13,(+IF($N115=[1]CURSOS!$D$14,[1]CURSOS!$E$14,(+IF($N115=[1]CURSOS!$D$15,[1]CURSOS!$E$15,(+IF($N115=[1]CURSOS!$D$16,[1]CURSOS!$E$16,(+IF($N115=[1]CURSOS!$D$17,[1]CURSOS!$E$17,(+IF($N115=[1]CURSOS!$D$18,[1]CURSOS!$E$18,(+IF($N115=[1]CURSOS!$D$19,[1]CURSOS!$E$19,(+IF($N115=[1]CURSOS!$D$20,[1]CURSOS!$E$20,(+IF($N115=[1]CURSOS!$D$21,[1]CURSOS!$E$21,(+IF($N115=[1]CURSOS!$D$22,[1]CURSOS!$E$22,(+IF($N115=[1]CURSOS!$D$23,[1]CURSOS!$E$23,(+IF($N115=[1]CURSOS!$D$24,[1]CURSOS!$E$24,(+IF($N115=[1]CURSOS!$D$25,[1]CURSOS!$E$25,(+IF($N115=[1]CURSOS!$D$26,[1]CURSOS!$E$26,(+IF($N115=[1]CURSOS!$D$27,[1]CURSOS!$E$27,(+IF($N115=[1]CURSOS!$D$28,[1]CURSOS!$E$28,(+IF($N115=[1]CURSOS!$D$29,[1]CURSOS!$E$29,(+IF($N115=[1]CURSOS!$D$30,[1]CURSOS!$E$30,(+IF($N115=[1]CURSOS!$D$31,[1]CURSOS!$E$31,(+IF($N115=[1]CURSOS!$D$32,[1]CURSOS!$E$32)))))))))))))))))))))))))))))))))))))))))))))))))))))))))))</f>
        <v xml:space="preserve">ATENCION A VICTIMAS DE VIOLENCIA SEXUAL </v>
      </c>
      <c r="T115" s="16" t="str">
        <f t="shared" si="12"/>
        <v>Lizeth Alejandra  Quintas Jiménez</v>
      </c>
      <c r="U115" s="16" t="str">
        <f t="shared" si="13"/>
        <v>Lizeth Alejandra  Quintas Jiménez</v>
      </c>
      <c r="V115" s="16" t="str">
        <f t="shared" si="14"/>
        <v>Lizeth Alejandra  Quintas Jiménez-1193645355-VIOLENCIA SEXUAL</v>
      </c>
    </row>
    <row r="116" spans="1:22" x14ac:dyDescent="0.2">
      <c r="A116" s="16">
        <v>116</v>
      </c>
      <c r="B116" s="16">
        <v>1088737945</v>
      </c>
      <c r="C116" s="16" t="s">
        <v>242</v>
      </c>
      <c r="D116" s="16" t="s">
        <v>61</v>
      </c>
      <c r="E116" s="16" t="s">
        <v>243</v>
      </c>
      <c r="F116" s="17" t="s">
        <v>185</v>
      </c>
      <c r="G116" s="16">
        <v>14</v>
      </c>
      <c r="H116" s="16" t="s">
        <v>41</v>
      </c>
      <c r="I116" s="18">
        <v>45370</v>
      </c>
      <c r="J116" s="19">
        <v>22800</v>
      </c>
      <c r="K116" s="16" t="s">
        <v>32</v>
      </c>
      <c r="L116" s="16" t="s">
        <v>39</v>
      </c>
      <c r="M116" s="16" t="s">
        <v>47</v>
      </c>
      <c r="N116" s="16" t="s">
        <v>25</v>
      </c>
      <c r="O116" s="20">
        <v>35548</v>
      </c>
      <c r="P116" s="21" t="s">
        <v>31</v>
      </c>
      <c r="Q116" s="16" t="s">
        <v>51</v>
      </c>
      <c r="S116" s="16" t="str">
        <f>+IF($N116=[1]CURSOS!$D$3,[1]CURSOS!$E$3,(+IF($N116=[1]CURSOS!$D$4,[1]CURSOS!$E$4,(+IF($N116=[1]CURSOS!$D$5,[1]CURSOS!$E$5,(+IF($N116=[1]CURSOS!$D$6,[1]CURSOS!$E$6,(+IF($N116=[1]CURSOS!$D$7,[1]CURSOS!$E$7,(+IF($N116=[1]CURSOS!$D$8,[1]CURSOS!$E$8,(+IF($N116=[1]CURSOS!$D$9,[1]CURSOS!$E$9,(+IF($N116=[1]CURSOS!$D$10,[1]CURSOS!$E$10,(+IF($N116=[1]CURSOS!$D$11,[1]CURSOS!$E$11,(+IF($N116=[1]CURSOS!$D$12,[1]CURSOS!$E$12,(+IF($N116=[1]CURSOS!$D$13,[1]CURSOS!$E$13,(+IF($N116=[1]CURSOS!$D$14,[1]CURSOS!$E$14,(+IF($N116=[1]CURSOS!$D$15,[1]CURSOS!$E$15,(+IF($N116=[1]CURSOS!$D$16,[1]CURSOS!$E$16,(+IF($N116=[1]CURSOS!$D$17,[1]CURSOS!$E$17,(+IF($N116=[1]CURSOS!$D$18,[1]CURSOS!$E$18,(+IF($N116=[1]CURSOS!$D$19,[1]CURSOS!$E$19,(+IF($N116=[1]CURSOS!$D$20,[1]CURSOS!$E$20,(+IF($N116=[1]CURSOS!$D$21,[1]CURSOS!$E$21,(+IF($N116=[1]CURSOS!$D$22,[1]CURSOS!$E$22,(+IF($N116=[1]CURSOS!$D$23,[1]CURSOS!$E$23,(+IF($N116=[1]CURSOS!$D$24,[1]CURSOS!$E$24,(+IF($N116=[1]CURSOS!$D$25,[1]CURSOS!$E$25,(+IF($N116=[1]CURSOS!$D$26,[1]CURSOS!$E$26,(+IF($N116=[1]CURSOS!$D$27,[1]CURSOS!$E$27,(+IF($N116=[1]CURSOS!$D$28,[1]CURSOS!$E$28,(+IF($N116=[1]CURSOS!$D$29,[1]CURSOS!$E$29,(+IF($N116=[1]CURSOS!$D$30,[1]CURSOS!$E$30,(+IF($N116=[1]CURSOS!$D$31,[1]CURSOS!$E$31,(+IF($N116=[1]CURSOS!$D$32,[1]CURSOS!$E$32)))))))))))))))))))))))))))))))))))))))))))))))))))))))))))</f>
        <v xml:space="preserve">ATENCION A VICTIMAS DE VIOLENCIA SEXUAL </v>
      </c>
      <c r="T116" s="16" t="str">
        <f t="shared" si="12"/>
        <v>Keissy DANIELA Solarte Gonzalez</v>
      </c>
      <c r="U116" s="16" t="str">
        <f t="shared" si="13"/>
        <v>Keissy Daniela Solarte Gonzalez</v>
      </c>
      <c r="V116" s="16" t="str">
        <f t="shared" si="14"/>
        <v>Keissy DANIELA Solarte Gonzalez-1088737945-VIOLENCIA SEXUAL</v>
      </c>
    </row>
    <row r="117" spans="1:22" x14ac:dyDescent="0.2">
      <c r="A117" s="16">
        <v>117</v>
      </c>
      <c r="B117" s="16">
        <v>1088737945</v>
      </c>
      <c r="C117" s="16" t="s">
        <v>242</v>
      </c>
      <c r="D117" s="16" t="s">
        <v>61</v>
      </c>
      <c r="E117" s="16" t="s">
        <v>243</v>
      </c>
      <c r="F117" s="17" t="s">
        <v>185</v>
      </c>
      <c r="G117" s="16">
        <v>14</v>
      </c>
      <c r="H117" s="16" t="s">
        <v>41</v>
      </c>
      <c r="I117" s="18">
        <v>45370</v>
      </c>
      <c r="J117" s="19">
        <v>22800</v>
      </c>
      <c r="K117" s="16" t="s">
        <v>32</v>
      </c>
      <c r="L117" s="16" t="s">
        <v>39</v>
      </c>
      <c r="M117" s="16" t="s">
        <v>47</v>
      </c>
      <c r="N117" s="16" t="s">
        <v>21</v>
      </c>
      <c r="O117" s="20">
        <v>35548</v>
      </c>
      <c r="P117" s="21" t="s">
        <v>31</v>
      </c>
      <c r="Q117" s="16" t="s">
        <v>51</v>
      </c>
      <c r="S117" s="16" t="str">
        <f>+IF($N117=[1]CURSOS!$D$3,[1]CURSOS!$E$3,(+IF($N117=[1]CURSOS!$D$4,[1]CURSOS!$E$4,(+IF($N117=[1]CURSOS!$D$5,[1]CURSOS!$E$5,(+IF($N117=[1]CURSOS!$D$6,[1]CURSOS!$E$6,(+IF($N117=[1]CURSOS!$D$7,[1]CURSOS!$E$7,(+IF($N117=[1]CURSOS!$D$8,[1]CURSOS!$E$8,(+IF($N117=[1]CURSOS!$D$9,[1]CURSOS!$E$9,(+IF($N117=[1]CURSOS!$D$10,[1]CURSOS!$E$10,(+IF($N117=[1]CURSOS!$D$11,[1]CURSOS!$E$11,(+IF($N117=[1]CURSOS!$D$12,[1]CURSOS!$E$12,(+IF($N117=[1]CURSOS!$D$13,[1]CURSOS!$E$13,(+IF($N117=[1]CURSOS!$D$14,[1]CURSOS!$E$14,(+IF($N117=[1]CURSOS!$D$15,[1]CURSOS!$E$15,(+IF($N117=[1]CURSOS!$D$16,[1]CURSOS!$E$16,(+IF($N117=[1]CURSOS!$D$17,[1]CURSOS!$E$17,(+IF($N117=[1]CURSOS!$D$18,[1]CURSOS!$E$18,(+IF($N117=[1]CURSOS!$D$19,[1]CURSOS!$E$19,(+IF($N117=[1]CURSOS!$D$20,[1]CURSOS!$E$20,(+IF($N117=[1]CURSOS!$D$21,[1]CURSOS!$E$21,(+IF($N117=[1]CURSOS!$D$22,[1]CURSOS!$E$22,(+IF($N117=[1]CURSOS!$D$23,[1]CURSOS!$E$23,(+IF($N117=[1]CURSOS!$D$24,[1]CURSOS!$E$24,(+IF($N117=[1]CURSOS!$D$25,[1]CURSOS!$E$25,(+IF($N117=[1]CURSOS!$D$26,[1]CURSOS!$E$26,(+IF($N117=[1]CURSOS!$D$27,[1]CURSOS!$E$27,(+IF($N117=[1]CURSOS!$D$28,[1]CURSOS!$E$28,(+IF($N117=[1]CURSOS!$D$29,[1]CURSOS!$E$29,(+IF($N117=[1]CURSOS!$D$30,[1]CURSOS!$E$30,(+IF($N117=[1]CURSOS!$D$31,[1]CURSOS!$E$31,(+IF($N117=[1]CURSOS!$D$32,[1]CURSOS!$E$32)))))))))))))))))))))))))))))))))))))))))))))))))))))))))))</f>
        <v xml:space="preserve">ATENCION A VICTIMAS DE ATAQUE CON AGENTES QUIMICOS </v>
      </c>
      <c r="T117" s="16" t="str">
        <f t="shared" si="12"/>
        <v>Keissy DANIELA Solarte Gonzalez</v>
      </c>
      <c r="U117" s="16" t="str">
        <f t="shared" si="13"/>
        <v>Keissy Daniela Solarte Gonzalez</v>
      </c>
      <c r="V117" s="16" t="str">
        <f t="shared" si="14"/>
        <v>Keissy DANIELA Solarte Gonzalez-1088737945-QUIMICOS</v>
      </c>
    </row>
    <row r="118" spans="1:22" x14ac:dyDescent="0.2">
      <c r="A118" s="16">
        <v>118</v>
      </c>
      <c r="B118" s="16">
        <v>1088737945</v>
      </c>
      <c r="C118" s="16" t="s">
        <v>242</v>
      </c>
      <c r="D118" s="16" t="s">
        <v>61</v>
      </c>
      <c r="E118" s="16" t="s">
        <v>243</v>
      </c>
      <c r="F118" s="17" t="s">
        <v>185</v>
      </c>
      <c r="G118" s="16">
        <v>14</v>
      </c>
      <c r="H118" s="16" t="s">
        <v>41</v>
      </c>
      <c r="I118" s="18">
        <v>45370</v>
      </c>
      <c r="J118" s="19">
        <v>22800</v>
      </c>
      <c r="K118" s="16" t="s">
        <v>32</v>
      </c>
      <c r="L118" s="16" t="s">
        <v>39</v>
      </c>
      <c r="M118" s="16" t="s">
        <v>47</v>
      </c>
      <c r="N118" s="16" t="s">
        <v>27</v>
      </c>
      <c r="O118" s="20">
        <v>35548</v>
      </c>
      <c r="P118" s="21" t="s">
        <v>31</v>
      </c>
      <c r="Q118" s="16" t="s">
        <v>51</v>
      </c>
      <c r="S118" s="16" t="str">
        <f>+IF($N118=[1]CURSOS!$D$3,[1]CURSOS!$E$3,(+IF($N118=[1]CURSOS!$D$4,[1]CURSOS!$E$4,(+IF($N118=[1]CURSOS!$D$5,[1]CURSOS!$E$5,(+IF($N118=[1]CURSOS!$D$6,[1]CURSOS!$E$6,(+IF($N118=[1]CURSOS!$D$7,[1]CURSOS!$E$7,(+IF($N118=[1]CURSOS!$D$8,[1]CURSOS!$E$8,(+IF($N118=[1]CURSOS!$D$9,[1]CURSOS!$E$9,(+IF($N118=[1]CURSOS!$D$10,[1]CURSOS!$E$10,(+IF($N118=[1]CURSOS!$D$11,[1]CURSOS!$E$11,(+IF($N118=[1]CURSOS!$D$12,[1]CURSOS!$E$12,(+IF($N118=[1]CURSOS!$D$13,[1]CURSOS!$E$13,(+IF($N118=[1]CURSOS!$D$14,[1]CURSOS!$E$14,(+IF($N118=[1]CURSOS!$D$15,[1]CURSOS!$E$15,(+IF($N118=[1]CURSOS!$D$16,[1]CURSOS!$E$16,(+IF($N118=[1]CURSOS!$D$17,[1]CURSOS!$E$17,(+IF($N118=[1]CURSOS!$D$18,[1]CURSOS!$E$18,(+IF($N118=[1]CURSOS!$D$19,[1]CURSOS!$E$19,(+IF($N118=[1]CURSOS!$D$20,[1]CURSOS!$E$20,(+IF($N118=[1]CURSOS!$D$21,[1]CURSOS!$E$21,(+IF($N118=[1]CURSOS!$D$22,[1]CURSOS!$E$22,(+IF($N118=[1]CURSOS!$D$23,[1]CURSOS!$E$23,(+IF($N118=[1]CURSOS!$D$24,[1]CURSOS!$E$24,(+IF($N118=[1]CURSOS!$D$25,[1]CURSOS!$E$25,(+IF($N118=[1]CURSOS!$D$26,[1]CURSOS!$E$26,(+IF($N118=[1]CURSOS!$D$27,[1]CURSOS!$E$27,(+IF($N118=[1]CURSOS!$D$28,[1]CURSOS!$E$28,(+IF($N118=[1]CURSOS!$D$29,[1]CURSOS!$E$29,(+IF($N118=[1]CURSOS!$D$30,[1]CURSOS!$E$30,(+IF($N118=[1]CURSOS!$D$31,[1]CURSOS!$E$31,(+IF($N118=[1]CURSOS!$D$32,[1]CURSOS!$E$32)))))))))))))))))))))))))))))))))))))))))))))))))))))))))))</f>
        <v xml:space="preserve">ADMINISTRACION DE MEDICAMENTOS, INYECTOLOGIA  Y CANALIZACION </v>
      </c>
      <c r="T118" s="16" t="str">
        <f t="shared" si="12"/>
        <v>Keissy DANIELA Solarte Gonzalez</v>
      </c>
      <c r="U118" s="16" t="str">
        <f t="shared" si="13"/>
        <v>Keissy Daniela Solarte Gonzalez</v>
      </c>
      <c r="V118" s="16" t="str">
        <f t="shared" si="14"/>
        <v>Keissy DANIELA Solarte Gonzalez-1088737945-ADMON DE MEDICAMENTOS</v>
      </c>
    </row>
    <row r="119" spans="1:22" x14ac:dyDescent="0.2">
      <c r="A119" s="16">
        <v>119</v>
      </c>
      <c r="B119" s="16">
        <v>59395265</v>
      </c>
      <c r="C119" s="16" t="s">
        <v>90</v>
      </c>
      <c r="D119" s="16" t="s">
        <v>244</v>
      </c>
      <c r="E119" s="16" t="s">
        <v>245</v>
      </c>
      <c r="F119" s="17" t="s">
        <v>246</v>
      </c>
      <c r="G119" s="16">
        <v>13</v>
      </c>
      <c r="H119" s="16" t="s">
        <v>41</v>
      </c>
      <c r="I119" s="18">
        <v>45370</v>
      </c>
      <c r="J119" s="19">
        <v>22800</v>
      </c>
      <c r="K119" s="16" t="s">
        <v>32</v>
      </c>
      <c r="L119" s="16" t="s">
        <v>39</v>
      </c>
      <c r="M119" s="16" t="s">
        <v>47</v>
      </c>
      <c r="N119" s="16" t="s">
        <v>25</v>
      </c>
      <c r="O119" s="20" t="s">
        <v>247</v>
      </c>
      <c r="P119" s="21" t="s">
        <v>31</v>
      </c>
      <c r="Q119" s="16" t="s">
        <v>51</v>
      </c>
      <c r="S119" s="16" t="str">
        <f>+IF($N119=[1]CURSOS!$D$3,[1]CURSOS!$E$3,(+IF($N119=[1]CURSOS!$D$4,[1]CURSOS!$E$4,(+IF($N119=[1]CURSOS!$D$5,[1]CURSOS!$E$5,(+IF($N119=[1]CURSOS!$D$6,[1]CURSOS!$E$6,(+IF($N119=[1]CURSOS!$D$7,[1]CURSOS!$E$7,(+IF($N119=[1]CURSOS!$D$8,[1]CURSOS!$E$8,(+IF($N119=[1]CURSOS!$D$9,[1]CURSOS!$E$9,(+IF($N119=[1]CURSOS!$D$10,[1]CURSOS!$E$10,(+IF($N119=[1]CURSOS!$D$11,[1]CURSOS!$E$11,(+IF($N119=[1]CURSOS!$D$12,[1]CURSOS!$E$12,(+IF($N119=[1]CURSOS!$D$13,[1]CURSOS!$E$13,(+IF($N119=[1]CURSOS!$D$14,[1]CURSOS!$E$14,(+IF($N119=[1]CURSOS!$D$15,[1]CURSOS!$E$15,(+IF($N119=[1]CURSOS!$D$16,[1]CURSOS!$E$16,(+IF($N119=[1]CURSOS!$D$17,[1]CURSOS!$E$17,(+IF($N119=[1]CURSOS!$D$18,[1]CURSOS!$E$18,(+IF($N119=[1]CURSOS!$D$19,[1]CURSOS!$E$19,(+IF($N119=[1]CURSOS!$D$20,[1]CURSOS!$E$20,(+IF($N119=[1]CURSOS!$D$21,[1]CURSOS!$E$21,(+IF($N119=[1]CURSOS!$D$22,[1]CURSOS!$E$22,(+IF($N119=[1]CURSOS!$D$23,[1]CURSOS!$E$23,(+IF($N119=[1]CURSOS!$D$24,[1]CURSOS!$E$24,(+IF($N119=[1]CURSOS!$D$25,[1]CURSOS!$E$25,(+IF($N119=[1]CURSOS!$D$26,[1]CURSOS!$E$26,(+IF($N119=[1]CURSOS!$D$27,[1]CURSOS!$E$27,(+IF($N119=[1]CURSOS!$D$28,[1]CURSOS!$E$28,(+IF($N119=[1]CURSOS!$D$29,[1]CURSOS!$E$29,(+IF($N119=[1]CURSOS!$D$30,[1]CURSOS!$E$30,(+IF($N119=[1]CURSOS!$D$31,[1]CURSOS!$E$31,(+IF($N119=[1]CURSOS!$D$32,[1]CURSOS!$E$32)))))))))))))))))))))))))))))))))))))))))))))))))))))))))))</f>
        <v xml:space="preserve">ATENCION A VICTIMAS DE VIOLENCIA SEXUAL </v>
      </c>
      <c r="T119" s="16" t="str">
        <f t="shared" si="12"/>
        <v>Claudia Patricia Rosero Ibarra</v>
      </c>
      <c r="U119" s="16" t="str">
        <f t="shared" si="13"/>
        <v>Claudia Patricia Rosero Ibarra</v>
      </c>
      <c r="V119" s="16" t="str">
        <f t="shared" si="14"/>
        <v>Claudia Patricia Rosero Ibarra-59395265-VIOLENCIA SEXUAL</v>
      </c>
    </row>
    <row r="120" spans="1:22" x14ac:dyDescent="0.2">
      <c r="A120" s="16">
        <v>120</v>
      </c>
      <c r="B120" s="16">
        <v>59395265</v>
      </c>
      <c r="C120" s="16" t="s">
        <v>90</v>
      </c>
      <c r="D120" s="16" t="s">
        <v>244</v>
      </c>
      <c r="E120" s="16" t="s">
        <v>245</v>
      </c>
      <c r="F120" s="17" t="s">
        <v>246</v>
      </c>
      <c r="G120" s="16">
        <v>13</v>
      </c>
      <c r="H120" s="16" t="s">
        <v>41</v>
      </c>
      <c r="I120" s="18">
        <v>45370</v>
      </c>
      <c r="J120" s="19">
        <v>22800</v>
      </c>
      <c r="K120" s="16" t="s">
        <v>32</v>
      </c>
      <c r="L120" s="16" t="s">
        <v>39</v>
      </c>
      <c r="M120" s="16" t="s">
        <v>47</v>
      </c>
      <c r="N120" s="16" t="s">
        <v>22</v>
      </c>
      <c r="O120" s="20" t="s">
        <v>247</v>
      </c>
      <c r="P120" s="21" t="s">
        <v>31</v>
      </c>
      <c r="Q120" s="16" t="s">
        <v>51</v>
      </c>
      <c r="S120" s="16" t="str">
        <f>+IF($N120=[1]CURSOS!$D$3,[1]CURSOS!$E$3,(+IF($N120=[1]CURSOS!$D$4,[1]CURSOS!$E$4,(+IF($N120=[1]CURSOS!$D$5,[1]CURSOS!$E$5,(+IF($N120=[1]CURSOS!$D$6,[1]CURSOS!$E$6,(+IF($N120=[1]CURSOS!$D$7,[1]CURSOS!$E$7,(+IF($N120=[1]CURSOS!$D$8,[1]CURSOS!$E$8,(+IF($N120=[1]CURSOS!$D$9,[1]CURSOS!$E$9,(+IF($N120=[1]CURSOS!$D$10,[1]CURSOS!$E$10,(+IF($N120=[1]CURSOS!$D$11,[1]CURSOS!$E$11,(+IF($N120=[1]CURSOS!$D$12,[1]CURSOS!$E$12,(+IF($N120=[1]CURSOS!$D$13,[1]CURSOS!$E$13,(+IF($N120=[1]CURSOS!$D$14,[1]CURSOS!$E$14,(+IF($N120=[1]CURSOS!$D$15,[1]CURSOS!$E$15,(+IF($N120=[1]CURSOS!$D$16,[1]CURSOS!$E$16,(+IF($N120=[1]CURSOS!$D$17,[1]CURSOS!$E$17,(+IF($N120=[1]CURSOS!$D$18,[1]CURSOS!$E$18,(+IF($N120=[1]CURSOS!$D$19,[1]CURSOS!$E$19,(+IF($N120=[1]CURSOS!$D$20,[1]CURSOS!$E$20,(+IF($N120=[1]CURSOS!$D$21,[1]CURSOS!$E$21,(+IF($N120=[1]CURSOS!$D$22,[1]CURSOS!$E$22,(+IF($N120=[1]CURSOS!$D$23,[1]CURSOS!$E$23,(+IF($N120=[1]CURSOS!$D$24,[1]CURSOS!$E$24,(+IF($N120=[1]CURSOS!$D$25,[1]CURSOS!$E$25,(+IF($N120=[1]CURSOS!$D$26,[1]CURSOS!$E$26,(+IF($N120=[1]CURSOS!$D$27,[1]CURSOS!$E$27,(+IF($N120=[1]CURSOS!$D$28,[1]CURSOS!$E$28,(+IF($N120=[1]CURSOS!$D$29,[1]CURSOS!$E$29,(+IF($N120=[1]CURSOS!$D$30,[1]CURSOS!$E$30,(+IF($N120=[1]CURSOS!$D$31,[1]CURSOS!$E$31,(+IF($N120=[1]CURSOS!$D$32,[1]CURSOS!$E$32)))))))))))))))))))))))))))))))))))))))))))))))))))))))))))</f>
        <v>PRIMEROS AUXILIOS</v>
      </c>
      <c r="T120" s="16" t="str">
        <f t="shared" si="12"/>
        <v>Claudia Patricia Rosero Ibarra</v>
      </c>
      <c r="U120" s="16" t="str">
        <f t="shared" si="13"/>
        <v>Claudia Patricia Rosero Ibarra</v>
      </c>
      <c r="V120" s="16" t="str">
        <f t="shared" si="14"/>
        <v>Claudia Patricia Rosero Ibarra-59395265-PRIMEROS AUXILIOS</v>
      </c>
    </row>
    <row r="121" spans="1:22" x14ac:dyDescent="0.2">
      <c r="A121" s="16">
        <v>121</v>
      </c>
      <c r="B121" s="16">
        <v>1004635119</v>
      </c>
      <c r="C121" s="16" t="s">
        <v>248</v>
      </c>
      <c r="D121" s="16" t="s">
        <v>249</v>
      </c>
      <c r="E121" s="16" t="s">
        <v>250</v>
      </c>
      <c r="F121" s="17" t="s">
        <v>59</v>
      </c>
      <c r="G121" s="16">
        <v>14</v>
      </c>
      <c r="H121" s="16" t="s">
        <v>41</v>
      </c>
      <c r="I121" s="18">
        <v>45365</v>
      </c>
      <c r="J121" s="19">
        <v>80000</v>
      </c>
      <c r="K121" s="16" t="s">
        <v>32</v>
      </c>
      <c r="L121" s="16" t="s">
        <v>39</v>
      </c>
      <c r="M121" s="16" t="s">
        <v>29</v>
      </c>
      <c r="N121" s="16" t="s">
        <v>27</v>
      </c>
      <c r="O121" s="20">
        <v>37379</v>
      </c>
      <c r="P121" s="21" t="s">
        <v>31</v>
      </c>
      <c r="Q121" s="16" t="s">
        <v>51</v>
      </c>
      <c r="S121" s="16" t="str">
        <f>+IF($N121=[1]CURSOS!$D$3,[1]CURSOS!$E$3,(+IF($N121=[1]CURSOS!$D$4,[1]CURSOS!$E$4,(+IF($N121=[1]CURSOS!$D$5,[1]CURSOS!$E$5,(+IF($N121=[1]CURSOS!$D$6,[1]CURSOS!$E$6,(+IF($N121=[1]CURSOS!$D$7,[1]CURSOS!$E$7,(+IF($N121=[1]CURSOS!$D$8,[1]CURSOS!$E$8,(+IF($N121=[1]CURSOS!$D$9,[1]CURSOS!$E$9,(+IF($N121=[1]CURSOS!$D$10,[1]CURSOS!$E$10,(+IF($N121=[1]CURSOS!$D$11,[1]CURSOS!$E$11,(+IF($N121=[1]CURSOS!$D$12,[1]CURSOS!$E$12,(+IF($N121=[1]CURSOS!$D$13,[1]CURSOS!$E$13,(+IF($N121=[1]CURSOS!$D$14,[1]CURSOS!$E$14,(+IF($N121=[1]CURSOS!$D$15,[1]CURSOS!$E$15,(+IF($N121=[1]CURSOS!$D$16,[1]CURSOS!$E$16,(+IF($N121=[1]CURSOS!$D$17,[1]CURSOS!$E$17,(+IF($N121=[1]CURSOS!$D$18,[1]CURSOS!$E$18,(+IF($N121=[1]CURSOS!$D$19,[1]CURSOS!$E$19,(+IF($N121=[1]CURSOS!$D$20,[1]CURSOS!$E$20,(+IF($N121=[1]CURSOS!$D$21,[1]CURSOS!$E$21,(+IF($N121=[1]CURSOS!$D$22,[1]CURSOS!$E$22,(+IF($N121=[1]CURSOS!$D$23,[1]CURSOS!$E$23,(+IF($N121=[1]CURSOS!$D$24,[1]CURSOS!$E$24,(+IF($N121=[1]CURSOS!$D$25,[1]CURSOS!$E$25,(+IF($N121=[1]CURSOS!$D$26,[1]CURSOS!$E$26,(+IF($N121=[1]CURSOS!$D$27,[1]CURSOS!$E$27,(+IF($N121=[1]CURSOS!$D$28,[1]CURSOS!$E$28,(+IF($N121=[1]CURSOS!$D$29,[1]CURSOS!$E$29,(+IF($N121=[1]CURSOS!$D$30,[1]CURSOS!$E$30,(+IF($N121=[1]CURSOS!$D$31,[1]CURSOS!$E$31,(+IF($N121=[1]CURSOS!$D$32,[1]CURSOS!$E$32)))))))))))))))))))))))))))))))))))))))))))))))))))))))))))</f>
        <v xml:space="preserve">ADMINISTRACION DE MEDICAMENTOS, INYECTOLOGIA  Y CANALIZACION </v>
      </c>
      <c r="T121" s="16" t="str">
        <f t="shared" si="12"/>
        <v>Juliana Alexandra Posada Acosta</v>
      </c>
      <c r="U121" s="16" t="str">
        <f t="shared" si="13"/>
        <v>Juliana Alexandra Posada Acosta</v>
      </c>
      <c r="V121" s="16" t="str">
        <f t="shared" si="14"/>
        <v>Juliana Alexandra Posada Acosta-1004635119-ADMON DE MEDICAMENTOS</v>
      </c>
    </row>
    <row r="122" spans="1:22" x14ac:dyDescent="0.2">
      <c r="A122" s="16">
        <v>122</v>
      </c>
      <c r="B122" s="16">
        <v>1004635119</v>
      </c>
      <c r="C122" s="16" t="s">
        <v>248</v>
      </c>
      <c r="D122" s="16" t="s">
        <v>249</v>
      </c>
      <c r="E122" s="16" t="s">
        <v>250</v>
      </c>
      <c r="F122" s="17" t="s">
        <v>59</v>
      </c>
      <c r="G122" s="16">
        <v>14</v>
      </c>
      <c r="H122" s="16" t="s">
        <v>41</v>
      </c>
      <c r="I122" s="18">
        <v>45365</v>
      </c>
      <c r="J122" s="19">
        <v>65000</v>
      </c>
      <c r="K122" s="16" t="s">
        <v>32</v>
      </c>
      <c r="L122" s="16" t="s">
        <v>39</v>
      </c>
      <c r="M122" s="16" t="s">
        <v>29</v>
      </c>
      <c r="N122" s="16" t="s">
        <v>22</v>
      </c>
      <c r="O122" s="20">
        <v>37379</v>
      </c>
      <c r="P122" s="21" t="s">
        <v>31</v>
      </c>
      <c r="Q122" s="16" t="s">
        <v>51</v>
      </c>
      <c r="S122" s="16" t="str">
        <f>+IF($N122=[1]CURSOS!$D$3,[1]CURSOS!$E$3,(+IF($N122=[1]CURSOS!$D$4,[1]CURSOS!$E$4,(+IF($N122=[1]CURSOS!$D$5,[1]CURSOS!$E$5,(+IF($N122=[1]CURSOS!$D$6,[1]CURSOS!$E$6,(+IF($N122=[1]CURSOS!$D$7,[1]CURSOS!$E$7,(+IF($N122=[1]CURSOS!$D$8,[1]CURSOS!$E$8,(+IF($N122=[1]CURSOS!$D$9,[1]CURSOS!$E$9,(+IF($N122=[1]CURSOS!$D$10,[1]CURSOS!$E$10,(+IF($N122=[1]CURSOS!$D$11,[1]CURSOS!$E$11,(+IF($N122=[1]CURSOS!$D$12,[1]CURSOS!$E$12,(+IF($N122=[1]CURSOS!$D$13,[1]CURSOS!$E$13,(+IF($N122=[1]CURSOS!$D$14,[1]CURSOS!$E$14,(+IF($N122=[1]CURSOS!$D$15,[1]CURSOS!$E$15,(+IF($N122=[1]CURSOS!$D$16,[1]CURSOS!$E$16,(+IF($N122=[1]CURSOS!$D$17,[1]CURSOS!$E$17,(+IF($N122=[1]CURSOS!$D$18,[1]CURSOS!$E$18,(+IF($N122=[1]CURSOS!$D$19,[1]CURSOS!$E$19,(+IF($N122=[1]CURSOS!$D$20,[1]CURSOS!$E$20,(+IF($N122=[1]CURSOS!$D$21,[1]CURSOS!$E$21,(+IF($N122=[1]CURSOS!$D$22,[1]CURSOS!$E$22,(+IF($N122=[1]CURSOS!$D$23,[1]CURSOS!$E$23,(+IF($N122=[1]CURSOS!$D$24,[1]CURSOS!$E$24,(+IF($N122=[1]CURSOS!$D$25,[1]CURSOS!$E$25,(+IF($N122=[1]CURSOS!$D$26,[1]CURSOS!$E$26,(+IF($N122=[1]CURSOS!$D$27,[1]CURSOS!$E$27,(+IF($N122=[1]CURSOS!$D$28,[1]CURSOS!$E$28,(+IF($N122=[1]CURSOS!$D$29,[1]CURSOS!$E$29,(+IF($N122=[1]CURSOS!$D$30,[1]CURSOS!$E$30,(+IF($N122=[1]CURSOS!$D$31,[1]CURSOS!$E$31,(+IF($N122=[1]CURSOS!$D$32,[1]CURSOS!$E$32)))))))))))))))))))))))))))))))))))))))))))))))))))))))))))</f>
        <v>PRIMEROS AUXILIOS</v>
      </c>
      <c r="T122" s="16" t="str">
        <f t="shared" si="12"/>
        <v>Juliana Alexandra Posada Acosta</v>
      </c>
      <c r="U122" s="16" t="str">
        <f t="shared" si="13"/>
        <v>Juliana Alexandra Posada Acosta</v>
      </c>
      <c r="V122" s="16" t="str">
        <f t="shared" si="14"/>
        <v>Juliana Alexandra Posada Acosta-1004635119-PRIMEROS AUXILIOS</v>
      </c>
    </row>
    <row r="123" spans="1:22" x14ac:dyDescent="0.2">
      <c r="A123" s="16">
        <v>19</v>
      </c>
      <c r="B123" s="16">
        <v>1085292533</v>
      </c>
      <c r="C123" s="16" t="s">
        <v>90</v>
      </c>
      <c r="D123" s="16" t="s">
        <v>91</v>
      </c>
      <c r="E123" s="16" t="s">
        <v>92</v>
      </c>
      <c r="F123" s="17" t="s">
        <v>93</v>
      </c>
      <c r="G123" s="16">
        <v>7</v>
      </c>
      <c r="H123" s="16" t="s">
        <v>41</v>
      </c>
      <c r="I123" s="18">
        <v>45358</v>
      </c>
      <c r="J123" s="19">
        <v>65000</v>
      </c>
      <c r="K123" s="16" t="s">
        <v>37</v>
      </c>
      <c r="L123" s="16" t="s">
        <v>39</v>
      </c>
      <c r="M123" s="16" t="s">
        <v>29</v>
      </c>
      <c r="N123" s="16" t="s">
        <v>25</v>
      </c>
      <c r="O123" s="20">
        <v>33241</v>
      </c>
      <c r="P123" s="21" t="s">
        <v>31</v>
      </c>
      <c r="Q123" s="16" t="s">
        <v>51</v>
      </c>
      <c r="R123" s="16">
        <v>3206588600</v>
      </c>
      <c r="S123" s="16" t="str">
        <f>+IF($N123=[1]CURSOS!$D$3,[1]CURSOS!$E$3,(+IF($N123=[1]CURSOS!$D$4,[1]CURSOS!$E$4,(+IF($N123=[1]CURSOS!$D$5,[1]CURSOS!$E$5,(+IF($N123=[1]CURSOS!$D$6,[1]CURSOS!$E$6,(+IF($N123=[1]CURSOS!$D$7,[1]CURSOS!$E$7,(+IF($N123=[1]CURSOS!$D$8,[1]CURSOS!$E$8,(+IF($N123=[1]CURSOS!$D$9,[1]CURSOS!$E$9,(+IF($N123=[1]CURSOS!$D$10,[1]CURSOS!$E$10,(+IF($N123=[1]CURSOS!$D$11,[1]CURSOS!$E$11,(+IF($N123=[1]CURSOS!$D$12,[1]CURSOS!$E$12,(+IF($N123=[1]CURSOS!$D$13,[1]CURSOS!$E$13,(+IF($N123=[1]CURSOS!$D$14,[1]CURSOS!$E$14,(+IF($N123=[1]CURSOS!$D$15,[1]CURSOS!$E$15,(+IF($N123=[1]CURSOS!$D$16,[1]CURSOS!$E$16,(+IF($N123=[1]CURSOS!$D$17,[1]CURSOS!$E$17,(+IF($N123=[1]CURSOS!$D$18,[1]CURSOS!$E$18,(+IF($N123=[1]CURSOS!$D$19,[1]CURSOS!$E$19,(+IF($N123=[1]CURSOS!$D$20,[1]CURSOS!$E$20,(+IF($N123=[1]CURSOS!$D$21,[1]CURSOS!$E$21,(+IF($N123=[1]CURSOS!$D$22,[1]CURSOS!$E$22,(+IF($N123=[1]CURSOS!$D$23,[1]CURSOS!$E$23,(+IF($N123=[1]CURSOS!$D$24,[1]CURSOS!$E$24,(+IF($N123=[1]CURSOS!$D$25,[1]CURSOS!$E$25,(+IF($N123=[1]CURSOS!$D$26,[1]CURSOS!$E$26,(+IF($N123=[1]CURSOS!$D$27,[1]CURSOS!$E$27,(+IF($N123=[1]CURSOS!$D$28,[1]CURSOS!$E$28,(+IF($N123=[1]CURSOS!$D$29,[1]CURSOS!$E$29,(+IF($N123=[1]CURSOS!$D$30,[1]CURSOS!$E$30,(+IF($N123=[1]CURSOS!$D$31,[1]CURSOS!$E$31,(+IF($N123=[1]CURSOS!$D$32,[1]CURSOS!$E$32)))))))))))))))))))))))))))))))))))))))))))))))))))))))))))</f>
        <v xml:space="preserve">ATENCION A VICTIMAS DE VIOLENCIA SEXUAL </v>
      </c>
      <c r="T123" s="16" t="str">
        <f t="shared" si="12"/>
        <v>Tania Xilena Rosero Marcillo</v>
      </c>
      <c r="U123" s="16" t="str">
        <f t="shared" si="13"/>
        <v>Tania Xilena Rosero Marcillo</v>
      </c>
      <c r="V123" s="16" t="str">
        <f t="shared" si="14"/>
        <v>Tania Xilena Rosero Marcillo-1085292533-VIOLENCIA SEXUAL</v>
      </c>
    </row>
    <row r="124" spans="1:22" x14ac:dyDescent="0.2">
      <c r="A124" s="16">
        <v>20</v>
      </c>
      <c r="B124" s="16">
        <v>1085292533</v>
      </c>
      <c r="C124" s="16" t="s">
        <v>90</v>
      </c>
      <c r="D124" s="16" t="s">
        <v>91</v>
      </c>
      <c r="E124" s="16" t="s">
        <v>92</v>
      </c>
      <c r="F124" s="17" t="s">
        <v>93</v>
      </c>
      <c r="G124" s="16">
        <v>7</v>
      </c>
      <c r="H124" s="16" t="s">
        <v>41</v>
      </c>
      <c r="I124" s="18">
        <v>45358</v>
      </c>
      <c r="J124" s="19">
        <v>65000</v>
      </c>
      <c r="K124" s="16" t="s">
        <v>37</v>
      </c>
      <c r="L124" s="16" t="s">
        <v>39</v>
      </c>
      <c r="M124" s="16" t="s">
        <v>29</v>
      </c>
      <c r="N124" s="16" t="s">
        <v>21</v>
      </c>
      <c r="O124" s="20">
        <v>33241</v>
      </c>
      <c r="P124" s="21" t="s">
        <v>31</v>
      </c>
      <c r="Q124" s="16" t="s">
        <v>51</v>
      </c>
      <c r="R124" s="16">
        <v>3206588600</v>
      </c>
      <c r="S124" s="16" t="str">
        <f>+IF($N124=[1]CURSOS!$D$3,[1]CURSOS!$E$3,(+IF($N124=[1]CURSOS!$D$4,[1]CURSOS!$E$4,(+IF($N124=[1]CURSOS!$D$5,[1]CURSOS!$E$5,(+IF($N124=[1]CURSOS!$D$6,[1]CURSOS!$E$6,(+IF($N124=[1]CURSOS!$D$7,[1]CURSOS!$E$7,(+IF($N124=[1]CURSOS!$D$8,[1]CURSOS!$E$8,(+IF($N124=[1]CURSOS!$D$9,[1]CURSOS!$E$9,(+IF($N124=[1]CURSOS!$D$10,[1]CURSOS!$E$10,(+IF($N124=[1]CURSOS!$D$11,[1]CURSOS!$E$11,(+IF($N124=[1]CURSOS!$D$12,[1]CURSOS!$E$12,(+IF($N124=[1]CURSOS!$D$13,[1]CURSOS!$E$13,(+IF($N124=[1]CURSOS!$D$14,[1]CURSOS!$E$14,(+IF($N124=[1]CURSOS!$D$15,[1]CURSOS!$E$15,(+IF($N124=[1]CURSOS!$D$16,[1]CURSOS!$E$16,(+IF($N124=[1]CURSOS!$D$17,[1]CURSOS!$E$17,(+IF($N124=[1]CURSOS!$D$18,[1]CURSOS!$E$18,(+IF($N124=[1]CURSOS!$D$19,[1]CURSOS!$E$19,(+IF($N124=[1]CURSOS!$D$20,[1]CURSOS!$E$20,(+IF($N124=[1]CURSOS!$D$21,[1]CURSOS!$E$21,(+IF($N124=[1]CURSOS!$D$22,[1]CURSOS!$E$22,(+IF($N124=[1]CURSOS!$D$23,[1]CURSOS!$E$23,(+IF($N124=[1]CURSOS!$D$24,[1]CURSOS!$E$24,(+IF($N124=[1]CURSOS!$D$25,[1]CURSOS!$E$25,(+IF($N124=[1]CURSOS!$D$26,[1]CURSOS!$E$26,(+IF($N124=[1]CURSOS!$D$27,[1]CURSOS!$E$27,(+IF($N124=[1]CURSOS!$D$28,[1]CURSOS!$E$28,(+IF($N124=[1]CURSOS!$D$29,[1]CURSOS!$E$29,(+IF($N124=[1]CURSOS!$D$30,[1]CURSOS!$E$30,(+IF($N124=[1]CURSOS!$D$31,[1]CURSOS!$E$31,(+IF($N124=[1]CURSOS!$D$32,[1]CURSOS!$E$32)))))))))))))))))))))))))))))))))))))))))))))))))))))))))))</f>
        <v xml:space="preserve">ATENCION A VICTIMAS DE ATAQUE CON AGENTES QUIMICOS </v>
      </c>
      <c r="T124" s="16" t="str">
        <f t="shared" si="12"/>
        <v>Tania Xilena Rosero Marcillo</v>
      </c>
      <c r="U124" s="16" t="str">
        <f t="shared" si="13"/>
        <v>Tania Xilena Rosero Marcillo</v>
      </c>
      <c r="V124" s="16" t="str">
        <f t="shared" si="14"/>
        <v>Tania Xilena Rosero Marcillo-1085292533-QUIMICOS</v>
      </c>
    </row>
    <row r="125" spans="1:22" x14ac:dyDescent="0.2">
      <c r="A125" s="16">
        <v>21</v>
      </c>
      <c r="B125" s="16">
        <v>1085292533</v>
      </c>
      <c r="C125" s="16" t="s">
        <v>90</v>
      </c>
      <c r="D125" s="16" t="s">
        <v>91</v>
      </c>
      <c r="E125" s="16" t="s">
        <v>92</v>
      </c>
      <c r="F125" s="17" t="s">
        <v>93</v>
      </c>
      <c r="G125" s="16">
        <v>7</v>
      </c>
      <c r="H125" s="16" t="s">
        <v>41</v>
      </c>
      <c r="I125" s="18">
        <v>45358</v>
      </c>
      <c r="J125" s="19">
        <v>65000</v>
      </c>
      <c r="K125" s="16" t="s">
        <v>37</v>
      </c>
      <c r="L125" s="16" t="s">
        <v>39</v>
      </c>
      <c r="M125" s="16" t="s">
        <v>29</v>
      </c>
      <c r="N125" s="16" t="s">
        <v>20</v>
      </c>
      <c r="O125" s="20">
        <v>33241</v>
      </c>
      <c r="P125" s="21" t="s">
        <v>31</v>
      </c>
      <c r="Q125" s="16" t="s">
        <v>51</v>
      </c>
      <c r="R125" s="16">
        <v>3206588600</v>
      </c>
      <c r="S125" s="16" t="str">
        <f>+IF($N125=[1]CURSOS!$D$3,[1]CURSOS!$E$3,(+IF($N125=[1]CURSOS!$D$4,[1]CURSOS!$E$4,(+IF($N125=[1]CURSOS!$D$5,[1]CURSOS!$E$5,(+IF($N125=[1]CURSOS!$D$6,[1]CURSOS!$E$6,(+IF($N125=[1]CURSOS!$D$7,[1]CURSOS!$E$7,(+IF($N125=[1]CURSOS!$D$8,[1]CURSOS!$E$8,(+IF($N125=[1]CURSOS!$D$9,[1]CURSOS!$E$9,(+IF($N125=[1]CURSOS!$D$10,[1]CURSOS!$E$10,(+IF($N125=[1]CURSOS!$D$11,[1]CURSOS!$E$11,(+IF($N125=[1]CURSOS!$D$12,[1]CURSOS!$E$12,(+IF($N125=[1]CURSOS!$D$13,[1]CURSOS!$E$13,(+IF($N125=[1]CURSOS!$D$14,[1]CURSOS!$E$14,(+IF($N125=[1]CURSOS!$D$15,[1]CURSOS!$E$15,(+IF($N125=[1]CURSOS!$D$16,[1]CURSOS!$E$16,(+IF($N125=[1]CURSOS!$D$17,[1]CURSOS!$E$17,(+IF($N125=[1]CURSOS!$D$18,[1]CURSOS!$E$18,(+IF($N125=[1]CURSOS!$D$19,[1]CURSOS!$E$19,(+IF($N125=[1]CURSOS!$D$20,[1]CURSOS!$E$20,(+IF($N125=[1]CURSOS!$D$21,[1]CURSOS!$E$21,(+IF($N125=[1]CURSOS!$D$22,[1]CURSOS!$E$22,(+IF($N125=[1]CURSOS!$D$23,[1]CURSOS!$E$23,(+IF($N125=[1]CURSOS!$D$24,[1]CURSOS!$E$24,(+IF($N125=[1]CURSOS!$D$25,[1]CURSOS!$E$25,(+IF($N125=[1]CURSOS!$D$26,[1]CURSOS!$E$26,(+IF($N125=[1]CURSOS!$D$27,[1]CURSOS!$E$27,(+IF($N125=[1]CURSOS!$D$28,[1]CURSOS!$E$28,(+IF($N125=[1]CURSOS!$D$29,[1]CURSOS!$E$29,(+IF($N125=[1]CURSOS!$D$30,[1]CURSOS!$E$30,(+IF($N125=[1]CURSOS!$D$31,[1]CURSOS!$E$31,(+IF($N125=[1]CURSOS!$D$32,[1]CURSOS!$E$32)))))))))))))))))))))))))))))))))))))))))))))))))))))))))))</f>
        <v>ACOMPAÑAMIENTO Y MANEJO DEL DUELO</v>
      </c>
      <c r="T125" s="16" t="str">
        <f t="shared" si="12"/>
        <v>Tania Xilena Rosero Marcillo</v>
      </c>
      <c r="U125" s="16" t="str">
        <f t="shared" si="13"/>
        <v>Tania Xilena Rosero Marcillo</v>
      </c>
      <c r="V125" s="16" t="str">
        <f t="shared" si="14"/>
        <v>Tania Xilena Rosero Marcillo-1085292533-DUELO</v>
      </c>
    </row>
    <row r="126" spans="1:22" x14ac:dyDescent="0.2">
      <c r="A126" s="16">
        <v>22</v>
      </c>
      <c r="B126" s="16">
        <v>1084847333</v>
      </c>
      <c r="C126" s="16" t="s">
        <v>57</v>
      </c>
      <c r="D126" s="16" t="s">
        <v>94</v>
      </c>
      <c r="E126" s="16" t="s">
        <v>95</v>
      </c>
      <c r="F126" s="17" t="s">
        <v>96</v>
      </c>
      <c r="G126" s="16">
        <v>7</v>
      </c>
      <c r="H126" s="16" t="s">
        <v>41</v>
      </c>
      <c r="I126" s="18">
        <v>45358</v>
      </c>
      <c r="J126" s="19">
        <v>100000</v>
      </c>
      <c r="K126" s="16" t="s">
        <v>37</v>
      </c>
      <c r="L126" s="16" t="s">
        <v>39</v>
      </c>
      <c r="M126" s="16" t="s">
        <v>29</v>
      </c>
      <c r="N126" s="16" t="s">
        <v>24</v>
      </c>
      <c r="O126" s="20">
        <v>34107</v>
      </c>
      <c r="P126" s="21" t="s">
        <v>83</v>
      </c>
      <c r="Q126" s="16" t="s">
        <v>30</v>
      </c>
      <c r="R126" s="16">
        <v>3175586372</v>
      </c>
      <c r="S126" s="16" t="str">
        <f>+IF($N126=[1]CURSOS!$D$3,[1]CURSOS!$E$3,(+IF($N126=[1]CURSOS!$D$4,[1]CURSOS!$E$4,(+IF($N126=[1]CURSOS!$D$5,[1]CURSOS!$E$5,(+IF($N126=[1]CURSOS!$D$6,[1]CURSOS!$E$6,(+IF($N126=[1]CURSOS!$D$7,[1]CURSOS!$E$7,(+IF($N126=[1]CURSOS!$D$8,[1]CURSOS!$E$8,(+IF($N126=[1]CURSOS!$D$9,[1]CURSOS!$E$9,(+IF($N126=[1]CURSOS!$D$10,[1]CURSOS!$E$10,(+IF($N126=[1]CURSOS!$D$11,[1]CURSOS!$E$11,(+IF($N126=[1]CURSOS!$D$12,[1]CURSOS!$E$12,(+IF($N126=[1]CURSOS!$D$13,[1]CURSOS!$E$13,(+IF($N126=[1]CURSOS!$D$14,[1]CURSOS!$E$14,(+IF($N126=[1]CURSOS!$D$15,[1]CURSOS!$E$15,(+IF($N126=[1]CURSOS!$D$16,[1]CURSOS!$E$16,(+IF($N126=[1]CURSOS!$D$17,[1]CURSOS!$E$17,(+IF($N126=[1]CURSOS!$D$18,[1]CURSOS!$E$18,(+IF($N126=[1]CURSOS!$D$19,[1]CURSOS!$E$19,(+IF($N126=[1]CURSOS!$D$20,[1]CURSOS!$E$20,(+IF($N126=[1]CURSOS!$D$21,[1]CURSOS!$E$21,(+IF($N126=[1]CURSOS!$D$22,[1]CURSOS!$E$22,(+IF($N126=[1]CURSOS!$D$23,[1]CURSOS!$E$23,(+IF($N126=[1]CURSOS!$D$24,[1]CURSOS!$E$24,(+IF($N126=[1]CURSOS!$D$25,[1]CURSOS!$E$25,(+IF($N126=[1]CURSOS!$D$26,[1]CURSOS!$E$26,(+IF($N126=[1]CURSOS!$D$27,[1]CURSOS!$E$27,(+IF($N126=[1]CURSOS!$D$28,[1]CURSOS!$E$28,(+IF($N126=[1]CURSOS!$D$29,[1]CURSOS!$E$29,(+IF($N126=[1]CURSOS!$D$30,[1]CURSOS!$E$30,(+IF($N126=[1]CURSOS!$D$31,[1]CURSOS!$E$31,(+IF($N126=[1]CURSOS!$D$32,[1]CURSOS!$E$32)))))))))))))))))))))))))))))))))))))))))))))))))))))))))))</f>
        <v xml:space="preserve">SOPORTE CARDIOVASCULAR AVANZADO </v>
      </c>
      <c r="T126" s="16" t="str">
        <f t="shared" si="12"/>
        <v>Dario Alexander Benavides Miño</v>
      </c>
      <c r="U126" s="16" t="str">
        <f t="shared" si="13"/>
        <v>Dario Alexander Benavides Miño</v>
      </c>
      <c r="V126" s="16" t="str">
        <f t="shared" si="14"/>
        <v>Dario Alexander Benavides Miño-1084847333-ACLS</v>
      </c>
    </row>
    <row r="127" spans="1:22" x14ac:dyDescent="0.2">
      <c r="A127" s="16">
        <v>23</v>
      </c>
      <c r="B127" s="16">
        <v>1084847333</v>
      </c>
      <c r="C127" s="16" t="s">
        <v>57</v>
      </c>
      <c r="D127" s="16" t="s">
        <v>94</v>
      </c>
      <c r="E127" s="16" t="s">
        <v>95</v>
      </c>
      <c r="F127" s="17" t="s">
        <v>96</v>
      </c>
      <c r="G127" s="16">
        <v>7</v>
      </c>
      <c r="H127" s="16" t="s">
        <v>41</v>
      </c>
      <c r="I127" s="18">
        <v>45358</v>
      </c>
      <c r="J127" s="19">
        <v>30000</v>
      </c>
      <c r="K127" s="16" t="s">
        <v>37</v>
      </c>
      <c r="L127" s="16" t="s">
        <v>39</v>
      </c>
      <c r="M127" s="16" t="s">
        <v>29</v>
      </c>
      <c r="N127" s="16" t="s">
        <v>25</v>
      </c>
      <c r="O127" s="20">
        <v>34107</v>
      </c>
      <c r="P127" s="21" t="s">
        <v>83</v>
      </c>
      <c r="Q127" s="16" t="s">
        <v>30</v>
      </c>
      <c r="R127" s="16">
        <v>3175586372</v>
      </c>
      <c r="S127" s="16" t="str">
        <f>+IF($N127=[1]CURSOS!$D$3,[1]CURSOS!$E$3,(+IF($N127=[1]CURSOS!$D$4,[1]CURSOS!$E$4,(+IF($N127=[1]CURSOS!$D$5,[1]CURSOS!$E$5,(+IF($N127=[1]CURSOS!$D$6,[1]CURSOS!$E$6,(+IF($N127=[1]CURSOS!$D$7,[1]CURSOS!$E$7,(+IF($N127=[1]CURSOS!$D$8,[1]CURSOS!$E$8,(+IF($N127=[1]CURSOS!$D$9,[1]CURSOS!$E$9,(+IF($N127=[1]CURSOS!$D$10,[1]CURSOS!$E$10,(+IF($N127=[1]CURSOS!$D$11,[1]CURSOS!$E$11,(+IF($N127=[1]CURSOS!$D$12,[1]CURSOS!$E$12,(+IF($N127=[1]CURSOS!$D$13,[1]CURSOS!$E$13,(+IF($N127=[1]CURSOS!$D$14,[1]CURSOS!$E$14,(+IF($N127=[1]CURSOS!$D$15,[1]CURSOS!$E$15,(+IF($N127=[1]CURSOS!$D$16,[1]CURSOS!$E$16,(+IF($N127=[1]CURSOS!$D$17,[1]CURSOS!$E$17,(+IF($N127=[1]CURSOS!$D$18,[1]CURSOS!$E$18,(+IF($N127=[1]CURSOS!$D$19,[1]CURSOS!$E$19,(+IF($N127=[1]CURSOS!$D$20,[1]CURSOS!$E$20,(+IF($N127=[1]CURSOS!$D$21,[1]CURSOS!$E$21,(+IF($N127=[1]CURSOS!$D$22,[1]CURSOS!$E$22,(+IF($N127=[1]CURSOS!$D$23,[1]CURSOS!$E$23,(+IF($N127=[1]CURSOS!$D$24,[1]CURSOS!$E$24,(+IF($N127=[1]CURSOS!$D$25,[1]CURSOS!$E$25,(+IF($N127=[1]CURSOS!$D$26,[1]CURSOS!$E$26,(+IF($N127=[1]CURSOS!$D$27,[1]CURSOS!$E$27,(+IF($N127=[1]CURSOS!$D$28,[1]CURSOS!$E$28,(+IF($N127=[1]CURSOS!$D$29,[1]CURSOS!$E$29,(+IF($N127=[1]CURSOS!$D$30,[1]CURSOS!$E$30,(+IF($N127=[1]CURSOS!$D$31,[1]CURSOS!$E$31,(+IF($N127=[1]CURSOS!$D$32,[1]CURSOS!$E$32)))))))))))))))))))))))))))))))))))))))))))))))))))))))))))</f>
        <v xml:space="preserve">ATENCION A VICTIMAS DE VIOLENCIA SEXUAL </v>
      </c>
      <c r="T127" s="16" t="str">
        <f t="shared" si="12"/>
        <v>Dario Alexander Benavides Miño</v>
      </c>
      <c r="U127" s="16" t="str">
        <f t="shared" si="13"/>
        <v>Dario Alexander Benavides Miño</v>
      </c>
      <c r="V127" s="16" t="str">
        <f t="shared" si="14"/>
        <v>Dario Alexander Benavides Miño-1084847333-VIOLENCIA SEXUAL</v>
      </c>
    </row>
    <row r="128" spans="1:22" x14ac:dyDescent="0.2">
      <c r="A128" s="16">
        <v>128</v>
      </c>
      <c r="B128" s="16">
        <v>1088738208</v>
      </c>
      <c r="C128" s="16" t="s">
        <v>270</v>
      </c>
      <c r="D128" s="16" t="s">
        <v>271</v>
      </c>
      <c r="E128" s="16" t="s">
        <v>272</v>
      </c>
      <c r="F128" s="17" t="s">
        <v>273</v>
      </c>
      <c r="G128" s="16">
        <v>15</v>
      </c>
      <c r="H128" s="16" t="s">
        <v>41</v>
      </c>
      <c r="I128" s="18">
        <v>45370</v>
      </c>
      <c r="J128" s="19">
        <v>22800</v>
      </c>
      <c r="K128" s="16" t="s">
        <v>32</v>
      </c>
      <c r="L128" s="16" t="s">
        <v>39</v>
      </c>
      <c r="M128" s="16" t="s">
        <v>47</v>
      </c>
      <c r="N128" s="16" t="s">
        <v>19</v>
      </c>
      <c r="O128" s="20">
        <v>34248</v>
      </c>
      <c r="P128" s="21" t="s">
        <v>31</v>
      </c>
      <c r="Q128" s="16" t="s">
        <v>51</v>
      </c>
      <c r="S128" s="16" t="str">
        <f>+IF($N128=[1]CURSOS!$D$3,[1]CURSOS!$E$3,(+IF($N128=[1]CURSOS!$D$4,[1]CURSOS!$E$4,(+IF($N128=[1]CURSOS!$D$5,[1]CURSOS!$E$5,(+IF($N128=[1]CURSOS!$D$6,[1]CURSOS!$E$6,(+IF($N128=[1]CURSOS!$D$7,[1]CURSOS!$E$7,(+IF($N128=[1]CURSOS!$D$8,[1]CURSOS!$E$8,(+IF($N128=[1]CURSOS!$D$9,[1]CURSOS!$E$9,(+IF($N128=[1]CURSOS!$D$10,[1]CURSOS!$E$10,(+IF($N128=[1]CURSOS!$D$11,[1]CURSOS!$E$11,(+IF($N128=[1]CURSOS!$D$12,[1]CURSOS!$E$12,(+IF($N128=[1]CURSOS!$D$13,[1]CURSOS!$E$13,(+IF($N128=[1]CURSOS!$D$14,[1]CURSOS!$E$14,(+IF($N128=[1]CURSOS!$D$15,[1]CURSOS!$E$15,(+IF($N128=[1]CURSOS!$D$16,[1]CURSOS!$E$16,(+IF($N128=[1]CURSOS!$D$17,[1]CURSOS!$E$17,(+IF($N128=[1]CURSOS!$D$18,[1]CURSOS!$E$18,(+IF($N128=[1]CURSOS!$D$19,[1]CURSOS!$E$19,(+IF($N128=[1]CURSOS!$D$20,[1]CURSOS!$E$20,(+IF($N128=[1]CURSOS!$D$21,[1]CURSOS!$E$21,(+IF($N128=[1]CURSOS!$D$22,[1]CURSOS!$E$22,(+IF($N128=[1]CURSOS!$D$23,[1]CURSOS!$E$23,(+IF($N128=[1]CURSOS!$D$24,[1]CURSOS!$E$24,(+IF($N128=[1]CURSOS!$D$25,[1]CURSOS!$E$25,(+IF($N128=[1]CURSOS!$D$26,[1]CURSOS!$E$26,(+IF($N128=[1]CURSOS!$D$27,[1]CURSOS!$E$27,(+IF($N128=[1]CURSOS!$D$28,[1]CURSOS!$E$28,(+IF($N128=[1]CURSOS!$D$29,[1]CURSOS!$E$29,(+IF($N128=[1]CURSOS!$D$30,[1]CURSOS!$E$30,(+IF($N128=[1]CURSOS!$D$31,[1]CURSOS!$E$31,(+IF($N128=[1]CURSOS!$D$32,[1]CURSOS!$E$32)))))))))))))))))))))))))))))))))))))))))))))))))))))))))))</f>
        <v>SOPORTE VITAL BASICO (BLS)</v>
      </c>
      <c r="T128" s="16" t="str">
        <f t="shared" si="12"/>
        <v>Paola Andrea Moriano  Vallejos</v>
      </c>
      <c r="U128" s="16" t="str">
        <f t="shared" si="13"/>
        <v>Paola Andrea Moriano  Vallejos</v>
      </c>
      <c r="V128" s="16" t="str">
        <f t="shared" si="14"/>
        <v>Paola Andrea Moriano  Vallejos-1088738208-BLS</v>
      </c>
    </row>
    <row r="129" spans="1:22" x14ac:dyDescent="0.2">
      <c r="A129" s="16">
        <v>129</v>
      </c>
      <c r="B129" s="16">
        <v>1088738208</v>
      </c>
      <c r="C129" s="16" t="s">
        <v>270</v>
      </c>
      <c r="D129" s="16" t="s">
        <v>271</v>
      </c>
      <c r="E129" s="16" t="s">
        <v>272</v>
      </c>
      <c r="F129" s="17" t="s">
        <v>273</v>
      </c>
      <c r="G129" s="16">
        <v>15</v>
      </c>
      <c r="H129" s="16" t="s">
        <v>41</v>
      </c>
      <c r="I129" s="18">
        <v>45370</v>
      </c>
      <c r="J129" s="19">
        <v>22800</v>
      </c>
      <c r="K129" s="16" t="s">
        <v>32</v>
      </c>
      <c r="L129" s="16" t="s">
        <v>39</v>
      </c>
      <c r="M129" s="16" t="s">
        <v>47</v>
      </c>
      <c r="N129" s="16" t="s">
        <v>21</v>
      </c>
      <c r="O129" s="20">
        <v>34248</v>
      </c>
      <c r="P129" s="21" t="s">
        <v>31</v>
      </c>
      <c r="Q129" s="16" t="s">
        <v>51</v>
      </c>
      <c r="S129" s="16" t="str">
        <f>+IF($N129=[1]CURSOS!$D$3,[1]CURSOS!$E$3,(+IF($N129=[1]CURSOS!$D$4,[1]CURSOS!$E$4,(+IF($N129=[1]CURSOS!$D$5,[1]CURSOS!$E$5,(+IF($N129=[1]CURSOS!$D$6,[1]CURSOS!$E$6,(+IF($N129=[1]CURSOS!$D$7,[1]CURSOS!$E$7,(+IF($N129=[1]CURSOS!$D$8,[1]CURSOS!$E$8,(+IF($N129=[1]CURSOS!$D$9,[1]CURSOS!$E$9,(+IF($N129=[1]CURSOS!$D$10,[1]CURSOS!$E$10,(+IF($N129=[1]CURSOS!$D$11,[1]CURSOS!$E$11,(+IF($N129=[1]CURSOS!$D$12,[1]CURSOS!$E$12,(+IF($N129=[1]CURSOS!$D$13,[1]CURSOS!$E$13,(+IF($N129=[1]CURSOS!$D$14,[1]CURSOS!$E$14,(+IF($N129=[1]CURSOS!$D$15,[1]CURSOS!$E$15,(+IF($N129=[1]CURSOS!$D$16,[1]CURSOS!$E$16,(+IF($N129=[1]CURSOS!$D$17,[1]CURSOS!$E$17,(+IF($N129=[1]CURSOS!$D$18,[1]CURSOS!$E$18,(+IF($N129=[1]CURSOS!$D$19,[1]CURSOS!$E$19,(+IF($N129=[1]CURSOS!$D$20,[1]CURSOS!$E$20,(+IF($N129=[1]CURSOS!$D$21,[1]CURSOS!$E$21,(+IF($N129=[1]CURSOS!$D$22,[1]CURSOS!$E$22,(+IF($N129=[1]CURSOS!$D$23,[1]CURSOS!$E$23,(+IF($N129=[1]CURSOS!$D$24,[1]CURSOS!$E$24,(+IF($N129=[1]CURSOS!$D$25,[1]CURSOS!$E$25,(+IF($N129=[1]CURSOS!$D$26,[1]CURSOS!$E$26,(+IF($N129=[1]CURSOS!$D$27,[1]CURSOS!$E$27,(+IF($N129=[1]CURSOS!$D$28,[1]CURSOS!$E$28,(+IF($N129=[1]CURSOS!$D$29,[1]CURSOS!$E$29,(+IF($N129=[1]CURSOS!$D$30,[1]CURSOS!$E$30,(+IF($N129=[1]CURSOS!$D$31,[1]CURSOS!$E$31,(+IF($N129=[1]CURSOS!$D$32,[1]CURSOS!$E$32)))))))))))))))))))))))))))))))))))))))))))))))))))))))))))</f>
        <v xml:space="preserve">ATENCION A VICTIMAS DE ATAQUE CON AGENTES QUIMICOS </v>
      </c>
      <c r="T129" s="16" t="str">
        <f t="shared" si="12"/>
        <v>Paola Andrea Moriano  Vallejos</v>
      </c>
      <c r="U129" s="16" t="str">
        <f t="shared" si="13"/>
        <v>Paola Andrea Moriano  Vallejos</v>
      </c>
      <c r="V129" s="16" t="str">
        <f t="shared" si="14"/>
        <v>Paola Andrea Moriano  Vallejos-1088738208-QUIMICOS</v>
      </c>
    </row>
    <row r="130" spans="1:22" x14ac:dyDescent="0.2">
      <c r="A130" s="16">
        <v>130</v>
      </c>
      <c r="B130" s="16">
        <v>1085289724</v>
      </c>
      <c r="C130" s="16" t="s">
        <v>214</v>
      </c>
      <c r="D130" s="16" t="s">
        <v>274</v>
      </c>
      <c r="E130" s="16" t="s">
        <v>275</v>
      </c>
      <c r="F130" s="17" t="s">
        <v>276</v>
      </c>
      <c r="G130" s="16">
        <v>18</v>
      </c>
      <c r="H130" s="16" t="s">
        <v>41</v>
      </c>
      <c r="I130" s="18" t="s">
        <v>277</v>
      </c>
      <c r="J130" s="19">
        <v>26666</v>
      </c>
      <c r="K130" s="16" t="s">
        <v>356</v>
      </c>
      <c r="L130" s="16" t="s">
        <v>39</v>
      </c>
      <c r="M130" s="16" t="s">
        <v>278</v>
      </c>
      <c r="N130" s="16" t="s">
        <v>20</v>
      </c>
      <c r="P130" s="21" t="s">
        <v>31</v>
      </c>
      <c r="Q130" s="16" t="s">
        <v>51</v>
      </c>
      <c r="S130" s="16" t="str">
        <f>+IF($N130=[1]CURSOS!$D$3,[1]CURSOS!$E$3,(+IF($N130=[1]CURSOS!$D$4,[1]CURSOS!$E$4,(+IF($N130=[1]CURSOS!$D$5,[1]CURSOS!$E$5,(+IF($N130=[1]CURSOS!$D$6,[1]CURSOS!$E$6,(+IF($N130=[1]CURSOS!$D$7,[1]CURSOS!$E$7,(+IF($N130=[1]CURSOS!$D$8,[1]CURSOS!$E$8,(+IF($N130=[1]CURSOS!$D$9,[1]CURSOS!$E$9,(+IF($N130=[1]CURSOS!$D$10,[1]CURSOS!$E$10,(+IF($N130=[1]CURSOS!$D$11,[1]CURSOS!$E$11,(+IF($N130=[1]CURSOS!$D$12,[1]CURSOS!$E$12,(+IF($N130=[1]CURSOS!$D$13,[1]CURSOS!$E$13,(+IF($N130=[1]CURSOS!$D$14,[1]CURSOS!$E$14,(+IF($N130=[1]CURSOS!$D$15,[1]CURSOS!$E$15,(+IF($N130=[1]CURSOS!$D$16,[1]CURSOS!$E$16,(+IF($N130=[1]CURSOS!$D$17,[1]CURSOS!$E$17,(+IF($N130=[1]CURSOS!$D$18,[1]CURSOS!$E$18,(+IF($N130=[1]CURSOS!$D$19,[1]CURSOS!$E$19,(+IF($N130=[1]CURSOS!$D$20,[1]CURSOS!$E$20,(+IF($N130=[1]CURSOS!$D$21,[1]CURSOS!$E$21,(+IF($N130=[1]CURSOS!$D$22,[1]CURSOS!$E$22,(+IF($N130=[1]CURSOS!$D$23,[1]CURSOS!$E$23,(+IF($N130=[1]CURSOS!$D$24,[1]CURSOS!$E$24,(+IF($N130=[1]CURSOS!$D$25,[1]CURSOS!$E$25,(+IF($N130=[1]CURSOS!$D$26,[1]CURSOS!$E$26,(+IF($N130=[1]CURSOS!$D$27,[1]CURSOS!$E$27,(+IF($N130=[1]CURSOS!$D$28,[1]CURSOS!$E$28,(+IF($N130=[1]CURSOS!$D$29,[1]CURSOS!$E$29,(+IF($N130=[1]CURSOS!$D$30,[1]CURSOS!$E$30,(+IF($N130=[1]CURSOS!$D$31,[1]CURSOS!$E$31,(+IF($N130=[1]CURSOS!$D$32,[1]CURSOS!$E$32)))))))))))))))))))))))))))))))))))))))))))))))))))))))))))</f>
        <v>ACOMPAÑAMIENTO Y MANEJO DEL DUELO</v>
      </c>
      <c r="T130" s="16" t="str">
        <f t="shared" si="12"/>
        <v>Erika Estefania BENAVIDES Caicedo</v>
      </c>
      <c r="U130" s="16" t="str">
        <f t="shared" si="13"/>
        <v>Erika Estefania Benavides Caicedo</v>
      </c>
      <c r="V130" s="16" t="str">
        <f t="shared" si="14"/>
        <v>Erika Estefania BENAVIDES Caicedo-1085289724-DUELO</v>
      </c>
    </row>
    <row r="131" spans="1:22" x14ac:dyDescent="0.2">
      <c r="A131" s="16">
        <v>131</v>
      </c>
      <c r="B131" s="16">
        <v>1085289724</v>
      </c>
      <c r="C131" s="16" t="s">
        <v>214</v>
      </c>
      <c r="D131" s="16" t="s">
        <v>274</v>
      </c>
      <c r="E131" s="16" t="s">
        <v>275</v>
      </c>
      <c r="F131" s="17" t="s">
        <v>276</v>
      </c>
      <c r="G131" s="16">
        <v>18</v>
      </c>
      <c r="H131" s="16" t="s">
        <v>41</v>
      </c>
      <c r="I131" s="18" t="s">
        <v>277</v>
      </c>
      <c r="J131" s="19">
        <v>26668</v>
      </c>
      <c r="K131" s="16" t="s">
        <v>356</v>
      </c>
      <c r="L131" s="16" t="s">
        <v>39</v>
      </c>
      <c r="M131" s="16" t="s">
        <v>278</v>
      </c>
      <c r="N131" s="16" t="s">
        <v>21</v>
      </c>
      <c r="P131" s="21" t="s">
        <v>31</v>
      </c>
      <c r="Q131" s="16" t="s">
        <v>51</v>
      </c>
      <c r="S131" s="16" t="str">
        <f>+IF($N131=[1]CURSOS!$D$3,[1]CURSOS!$E$3,(+IF($N131=[1]CURSOS!$D$4,[1]CURSOS!$E$4,(+IF($N131=[1]CURSOS!$D$5,[1]CURSOS!$E$5,(+IF($N131=[1]CURSOS!$D$6,[1]CURSOS!$E$6,(+IF($N131=[1]CURSOS!$D$7,[1]CURSOS!$E$7,(+IF($N131=[1]CURSOS!$D$8,[1]CURSOS!$E$8,(+IF($N131=[1]CURSOS!$D$9,[1]CURSOS!$E$9,(+IF($N131=[1]CURSOS!$D$10,[1]CURSOS!$E$10,(+IF($N131=[1]CURSOS!$D$11,[1]CURSOS!$E$11,(+IF($N131=[1]CURSOS!$D$12,[1]CURSOS!$E$12,(+IF($N131=[1]CURSOS!$D$13,[1]CURSOS!$E$13,(+IF($N131=[1]CURSOS!$D$14,[1]CURSOS!$E$14,(+IF($N131=[1]CURSOS!$D$15,[1]CURSOS!$E$15,(+IF($N131=[1]CURSOS!$D$16,[1]CURSOS!$E$16,(+IF($N131=[1]CURSOS!$D$17,[1]CURSOS!$E$17,(+IF($N131=[1]CURSOS!$D$18,[1]CURSOS!$E$18,(+IF($N131=[1]CURSOS!$D$19,[1]CURSOS!$E$19,(+IF($N131=[1]CURSOS!$D$20,[1]CURSOS!$E$20,(+IF($N131=[1]CURSOS!$D$21,[1]CURSOS!$E$21,(+IF($N131=[1]CURSOS!$D$22,[1]CURSOS!$E$22,(+IF($N131=[1]CURSOS!$D$23,[1]CURSOS!$E$23,(+IF($N131=[1]CURSOS!$D$24,[1]CURSOS!$E$24,(+IF($N131=[1]CURSOS!$D$25,[1]CURSOS!$E$25,(+IF($N131=[1]CURSOS!$D$26,[1]CURSOS!$E$26,(+IF($N131=[1]CURSOS!$D$27,[1]CURSOS!$E$27,(+IF($N131=[1]CURSOS!$D$28,[1]CURSOS!$E$28,(+IF($N131=[1]CURSOS!$D$29,[1]CURSOS!$E$29,(+IF($N131=[1]CURSOS!$D$30,[1]CURSOS!$E$30,(+IF($N131=[1]CURSOS!$D$31,[1]CURSOS!$E$31,(+IF($N131=[1]CURSOS!$D$32,[1]CURSOS!$E$32)))))))))))))))))))))))))))))))))))))))))))))))))))))))))))</f>
        <v xml:space="preserve">ATENCION A VICTIMAS DE ATAQUE CON AGENTES QUIMICOS </v>
      </c>
      <c r="T131" s="16" t="str">
        <f t="shared" ref="T131:T162" si="15">CONCATENATE(E131," ",F131," ",C131," ",D131)</f>
        <v>Erika Estefania BENAVIDES Caicedo</v>
      </c>
      <c r="U131" s="16" t="str">
        <f t="shared" ref="U131:U162" si="16">+PROPER(T131)</f>
        <v>Erika Estefania Benavides Caicedo</v>
      </c>
      <c r="V131" s="16" t="str">
        <f t="shared" ref="V131:V162" si="17">CONCATENATE(T131,"-",B131,"-",N131)</f>
        <v>Erika Estefania BENAVIDES Caicedo-1085289724-QUIMICOS</v>
      </c>
    </row>
    <row r="132" spans="1:22" x14ac:dyDescent="0.2">
      <c r="A132" s="16">
        <v>132</v>
      </c>
      <c r="B132" s="16">
        <v>1085289724</v>
      </c>
      <c r="C132" s="16" t="s">
        <v>214</v>
      </c>
      <c r="D132" s="16" t="s">
        <v>274</v>
      </c>
      <c r="E132" s="16" t="s">
        <v>275</v>
      </c>
      <c r="F132" s="17" t="s">
        <v>276</v>
      </c>
      <c r="G132" s="16">
        <v>18</v>
      </c>
      <c r="H132" s="16" t="s">
        <v>41</v>
      </c>
      <c r="I132" s="18" t="s">
        <v>277</v>
      </c>
      <c r="J132" s="19">
        <v>26666</v>
      </c>
      <c r="K132" s="16" t="s">
        <v>356</v>
      </c>
      <c r="L132" s="16" t="s">
        <v>39</v>
      </c>
      <c r="M132" s="16" t="s">
        <v>278</v>
      </c>
      <c r="N132" s="16" t="s">
        <v>25</v>
      </c>
      <c r="P132" s="21" t="s">
        <v>31</v>
      </c>
      <c r="Q132" s="16" t="s">
        <v>51</v>
      </c>
      <c r="S132" s="16" t="str">
        <f>+IF($N132=[1]CURSOS!$D$3,[1]CURSOS!$E$3,(+IF($N132=[1]CURSOS!$D$4,[1]CURSOS!$E$4,(+IF($N132=[1]CURSOS!$D$5,[1]CURSOS!$E$5,(+IF($N132=[1]CURSOS!$D$6,[1]CURSOS!$E$6,(+IF($N132=[1]CURSOS!$D$7,[1]CURSOS!$E$7,(+IF($N132=[1]CURSOS!$D$8,[1]CURSOS!$E$8,(+IF($N132=[1]CURSOS!$D$9,[1]CURSOS!$E$9,(+IF($N132=[1]CURSOS!$D$10,[1]CURSOS!$E$10,(+IF($N132=[1]CURSOS!$D$11,[1]CURSOS!$E$11,(+IF($N132=[1]CURSOS!$D$12,[1]CURSOS!$E$12,(+IF($N132=[1]CURSOS!$D$13,[1]CURSOS!$E$13,(+IF($N132=[1]CURSOS!$D$14,[1]CURSOS!$E$14,(+IF($N132=[1]CURSOS!$D$15,[1]CURSOS!$E$15,(+IF($N132=[1]CURSOS!$D$16,[1]CURSOS!$E$16,(+IF($N132=[1]CURSOS!$D$17,[1]CURSOS!$E$17,(+IF($N132=[1]CURSOS!$D$18,[1]CURSOS!$E$18,(+IF($N132=[1]CURSOS!$D$19,[1]CURSOS!$E$19,(+IF($N132=[1]CURSOS!$D$20,[1]CURSOS!$E$20,(+IF($N132=[1]CURSOS!$D$21,[1]CURSOS!$E$21,(+IF($N132=[1]CURSOS!$D$22,[1]CURSOS!$E$22,(+IF($N132=[1]CURSOS!$D$23,[1]CURSOS!$E$23,(+IF($N132=[1]CURSOS!$D$24,[1]CURSOS!$E$24,(+IF($N132=[1]CURSOS!$D$25,[1]CURSOS!$E$25,(+IF($N132=[1]CURSOS!$D$26,[1]CURSOS!$E$26,(+IF($N132=[1]CURSOS!$D$27,[1]CURSOS!$E$27,(+IF($N132=[1]CURSOS!$D$28,[1]CURSOS!$E$28,(+IF($N132=[1]CURSOS!$D$29,[1]CURSOS!$E$29,(+IF($N132=[1]CURSOS!$D$30,[1]CURSOS!$E$30,(+IF($N132=[1]CURSOS!$D$31,[1]CURSOS!$E$31,(+IF($N132=[1]CURSOS!$D$32,[1]CURSOS!$E$32)))))))))))))))))))))))))))))))))))))))))))))))))))))))))))</f>
        <v xml:space="preserve">ATENCION A VICTIMAS DE VIOLENCIA SEXUAL </v>
      </c>
      <c r="T132" s="16" t="str">
        <f t="shared" si="15"/>
        <v>Erika Estefania BENAVIDES Caicedo</v>
      </c>
      <c r="U132" s="16" t="str">
        <f t="shared" si="16"/>
        <v>Erika Estefania Benavides Caicedo</v>
      </c>
      <c r="V132" s="16" t="str">
        <f t="shared" si="17"/>
        <v>Erika Estefania BENAVIDES Caicedo-1085289724-VIOLENCIA SEXUAL</v>
      </c>
    </row>
    <row r="133" spans="1:22" x14ac:dyDescent="0.2">
      <c r="A133" s="16">
        <v>133</v>
      </c>
      <c r="B133" s="16">
        <v>1085265486</v>
      </c>
      <c r="C133" s="16" t="s">
        <v>282</v>
      </c>
      <c r="D133" s="16" t="s">
        <v>283</v>
      </c>
      <c r="E133" s="16" t="s">
        <v>70</v>
      </c>
      <c r="F133" s="17" t="s">
        <v>284</v>
      </c>
      <c r="G133" s="16">
        <v>18</v>
      </c>
      <c r="H133" s="16" t="s">
        <v>41</v>
      </c>
      <c r="I133" s="18">
        <v>45356</v>
      </c>
      <c r="J133" s="19">
        <v>40000</v>
      </c>
      <c r="K133" s="16" t="s">
        <v>350</v>
      </c>
      <c r="L133" s="16" t="s">
        <v>39</v>
      </c>
      <c r="M133" s="16" t="s">
        <v>29</v>
      </c>
      <c r="N133" s="16" t="s">
        <v>22</v>
      </c>
      <c r="O133" s="20">
        <v>38885</v>
      </c>
      <c r="P133" s="21" t="s">
        <v>31</v>
      </c>
      <c r="Q133" s="16" t="s">
        <v>51</v>
      </c>
      <c r="R133" s="16">
        <v>3145555564</v>
      </c>
      <c r="S133" s="16" t="str">
        <f>+IF($N133=[1]CURSOS!$D$3,[1]CURSOS!$E$3,(+IF($N133=[1]CURSOS!$D$4,[1]CURSOS!$E$4,(+IF($N133=[1]CURSOS!$D$5,[1]CURSOS!$E$5,(+IF($N133=[1]CURSOS!$D$6,[1]CURSOS!$E$6,(+IF($N133=[1]CURSOS!$D$7,[1]CURSOS!$E$7,(+IF($N133=[1]CURSOS!$D$8,[1]CURSOS!$E$8,(+IF($N133=[1]CURSOS!$D$9,[1]CURSOS!$E$9,(+IF($N133=[1]CURSOS!$D$10,[1]CURSOS!$E$10,(+IF($N133=[1]CURSOS!$D$11,[1]CURSOS!$E$11,(+IF($N133=[1]CURSOS!$D$12,[1]CURSOS!$E$12,(+IF($N133=[1]CURSOS!$D$13,[1]CURSOS!$E$13,(+IF($N133=[1]CURSOS!$D$14,[1]CURSOS!$E$14,(+IF($N133=[1]CURSOS!$D$15,[1]CURSOS!$E$15,(+IF($N133=[1]CURSOS!$D$16,[1]CURSOS!$E$16,(+IF($N133=[1]CURSOS!$D$17,[1]CURSOS!$E$17,(+IF($N133=[1]CURSOS!$D$18,[1]CURSOS!$E$18,(+IF($N133=[1]CURSOS!$D$19,[1]CURSOS!$E$19,(+IF($N133=[1]CURSOS!$D$20,[1]CURSOS!$E$20,(+IF($N133=[1]CURSOS!$D$21,[1]CURSOS!$E$21,(+IF($N133=[1]CURSOS!$D$22,[1]CURSOS!$E$22,(+IF($N133=[1]CURSOS!$D$23,[1]CURSOS!$E$23,(+IF($N133=[1]CURSOS!$D$24,[1]CURSOS!$E$24,(+IF($N133=[1]CURSOS!$D$25,[1]CURSOS!$E$25,(+IF($N133=[1]CURSOS!$D$26,[1]CURSOS!$E$26,(+IF($N133=[1]CURSOS!$D$27,[1]CURSOS!$E$27,(+IF($N133=[1]CURSOS!$D$28,[1]CURSOS!$E$28,(+IF($N133=[1]CURSOS!$D$29,[1]CURSOS!$E$29,(+IF($N133=[1]CURSOS!$D$30,[1]CURSOS!$E$30,(+IF($N133=[1]CURSOS!$D$31,[1]CURSOS!$E$31,(+IF($N133=[1]CURSOS!$D$32,[1]CURSOS!$E$32)))))))))))))))))))))))))))))))))))))))))))))))))))))))))))</f>
        <v>PRIMEROS AUXILIOS</v>
      </c>
      <c r="T133" s="16" t="str">
        <f t="shared" si="15"/>
        <v>Angela Nathalia Zúñiga Moreno</v>
      </c>
      <c r="U133" s="16" t="str">
        <f t="shared" si="16"/>
        <v>Angela Nathalia Zúñiga Moreno</v>
      </c>
      <c r="V133" s="16" t="str">
        <f t="shared" si="17"/>
        <v>Angela Nathalia Zúñiga Moreno-1085265486-PRIMEROS AUXILIOS</v>
      </c>
    </row>
    <row r="134" spans="1:22" x14ac:dyDescent="0.2">
      <c r="A134" s="16">
        <v>134</v>
      </c>
      <c r="B134" s="16">
        <v>1085320792</v>
      </c>
      <c r="C134" s="16" t="s">
        <v>285</v>
      </c>
      <c r="D134" s="16" t="s">
        <v>286</v>
      </c>
      <c r="E134" s="16" t="s">
        <v>287</v>
      </c>
      <c r="F134" s="17" t="s">
        <v>288</v>
      </c>
      <c r="G134" s="16">
        <v>18</v>
      </c>
      <c r="H134" s="16" t="s">
        <v>41</v>
      </c>
      <c r="I134" s="18" t="s">
        <v>34</v>
      </c>
      <c r="J134" s="19">
        <v>30000</v>
      </c>
      <c r="K134" s="16" t="s">
        <v>221</v>
      </c>
      <c r="L134" s="16" t="s">
        <v>39</v>
      </c>
      <c r="M134" s="16" t="s">
        <v>289</v>
      </c>
      <c r="N134" s="16" t="s">
        <v>25</v>
      </c>
      <c r="O134" s="20">
        <v>34827</v>
      </c>
      <c r="P134" s="21" t="s">
        <v>83</v>
      </c>
      <c r="Q134" s="16" t="s">
        <v>51</v>
      </c>
      <c r="R134" s="16">
        <v>3158505580</v>
      </c>
      <c r="S134" s="16" t="str">
        <f>+IF($N134=[1]CURSOS!$D$3,[1]CURSOS!$E$3,(+IF($N134=[1]CURSOS!$D$4,[1]CURSOS!$E$4,(+IF($N134=[1]CURSOS!$D$5,[1]CURSOS!$E$5,(+IF($N134=[1]CURSOS!$D$6,[1]CURSOS!$E$6,(+IF($N134=[1]CURSOS!$D$7,[1]CURSOS!$E$7,(+IF($N134=[1]CURSOS!$D$8,[1]CURSOS!$E$8,(+IF($N134=[1]CURSOS!$D$9,[1]CURSOS!$E$9,(+IF($N134=[1]CURSOS!$D$10,[1]CURSOS!$E$10,(+IF($N134=[1]CURSOS!$D$11,[1]CURSOS!$E$11,(+IF($N134=[1]CURSOS!$D$12,[1]CURSOS!$E$12,(+IF($N134=[1]CURSOS!$D$13,[1]CURSOS!$E$13,(+IF($N134=[1]CURSOS!$D$14,[1]CURSOS!$E$14,(+IF($N134=[1]CURSOS!$D$15,[1]CURSOS!$E$15,(+IF($N134=[1]CURSOS!$D$16,[1]CURSOS!$E$16,(+IF($N134=[1]CURSOS!$D$17,[1]CURSOS!$E$17,(+IF($N134=[1]CURSOS!$D$18,[1]CURSOS!$E$18,(+IF($N134=[1]CURSOS!$D$19,[1]CURSOS!$E$19,(+IF($N134=[1]CURSOS!$D$20,[1]CURSOS!$E$20,(+IF($N134=[1]CURSOS!$D$21,[1]CURSOS!$E$21,(+IF($N134=[1]CURSOS!$D$22,[1]CURSOS!$E$22,(+IF($N134=[1]CURSOS!$D$23,[1]CURSOS!$E$23,(+IF($N134=[1]CURSOS!$D$24,[1]CURSOS!$E$24,(+IF($N134=[1]CURSOS!$D$25,[1]CURSOS!$E$25,(+IF($N134=[1]CURSOS!$D$26,[1]CURSOS!$E$26,(+IF($N134=[1]CURSOS!$D$27,[1]CURSOS!$E$27,(+IF($N134=[1]CURSOS!$D$28,[1]CURSOS!$E$28,(+IF($N134=[1]CURSOS!$D$29,[1]CURSOS!$E$29,(+IF($N134=[1]CURSOS!$D$30,[1]CURSOS!$E$30,(+IF($N134=[1]CURSOS!$D$31,[1]CURSOS!$E$31,(+IF($N134=[1]CURSOS!$D$32,[1]CURSOS!$E$32)))))))))))))))))))))))))))))))))))))))))))))))))))))))))))</f>
        <v xml:space="preserve">ATENCION A VICTIMAS DE VIOLENCIA SEXUAL </v>
      </c>
      <c r="T134" s="16" t="str">
        <f t="shared" si="15"/>
        <v>Adisson Orlando Potosi Torres</v>
      </c>
      <c r="U134" s="16" t="str">
        <f t="shared" si="16"/>
        <v>Adisson Orlando Potosi Torres</v>
      </c>
      <c r="V134" s="16" t="str">
        <f t="shared" si="17"/>
        <v>Adisson Orlando Potosi Torres-1085320792-VIOLENCIA SEXUAL</v>
      </c>
    </row>
    <row r="135" spans="1:22" x14ac:dyDescent="0.2">
      <c r="A135" s="16">
        <v>135</v>
      </c>
      <c r="B135" s="16">
        <v>37087363</v>
      </c>
      <c r="C135" s="16" t="s">
        <v>285</v>
      </c>
      <c r="D135" s="16" t="s">
        <v>133</v>
      </c>
      <c r="E135" s="16" t="s">
        <v>290</v>
      </c>
      <c r="G135" s="16">
        <v>18</v>
      </c>
      <c r="H135" s="16" t="s">
        <v>41</v>
      </c>
      <c r="I135" s="18" t="s">
        <v>34</v>
      </c>
      <c r="J135" s="19">
        <v>30000</v>
      </c>
      <c r="K135" s="16" t="s">
        <v>221</v>
      </c>
      <c r="L135" s="16" t="s">
        <v>39</v>
      </c>
      <c r="M135" s="16" t="s">
        <v>289</v>
      </c>
      <c r="N135" s="16" t="s">
        <v>25</v>
      </c>
      <c r="O135" s="20">
        <v>31581</v>
      </c>
      <c r="P135" s="21" t="s">
        <v>31</v>
      </c>
      <c r="Q135" s="16" t="s">
        <v>51</v>
      </c>
      <c r="R135" s="16">
        <v>3166078055</v>
      </c>
      <c r="S135" s="16" t="str">
        <f>+IF($N135=[1]CURSOS!$D$3,[1]CURSOS!$E$3,(+IF($N135=[1]CURSOS!$D$4,[1]CURSOS!$E$4,(+IF($N135=[1]CURSOS!$D$5,[1]CURSOS!$E$5,(+IF($N135=[1]CURSOS!$D$6,[1]CURSOS!$E$6,(+IF($N135=[1]CURSOS!$D$7,[1]CURSOS!$E$7,(+IF($N135=[1]CURSOS!$D$8,[1]CURSOS!$E$8,(+IF($N135=[1]CURSOS!$D$9,[1]CURSOS!$E$9,(+IF($N135=[1]CURSOS!$D$10,[1]CURSOS!$E$10,(+IF($N135=[1]CURSOS!$D$11,[1]CURSOS!$E$11,(+IF($N135=[1]CURSOS!$D$12,[1]CURSOS!$E$12,(+IF($N135=[1]CURSOS!$D$13,[1]CURSOS!$E$13,(+IF($N135=[1]CURSOS!$D$14,[1]CURSOS!$E$14,(+IF($N135=[1]CURSOS!$D$15,[1]CURSOS!$E$15,(+IF($N135=[1]CURSOS!$D$16,[1]CURSOS!$E$16,(+IF($N135=[1]CURSOS!$D$17,[1]CURSOS!$E$17,(+IF($N135=[1]CURSOS!$D$18,[1]CURSOS!$E$18,(+IF($N135=[1]CURSOS!$D$19,[1]CURSOS!$E$19,(+IF($N135=[1]CURSOS!$D$20,[1]CURSOS!$E$20,(+IF($N135=[1]CURSOS!$D$21,[1]CURSOS!$E$21,(+IF($N135=[1]CURSOS!$D$22,[1]CURSOS!$E$22,(+IF($N135=[1]CURSOS!$D$23,[1]CURSOS!$E$23,(+IF($N135=[1]CURSOS!$D$24,[1]CURSOS!$E$24,(+IF($N135=[1]CURSOS!$D$25,[1]CURSOS!$E$25,(+IF($N135=[1]CURSOS!$D$26,[1]CURSOS!$E$26,(+IF($N135=[1]CURSOS!$D$27,[1]CURSOS!$E$27,(+IF($N135=[1]CURSOS!$D$28,[1]CURSOS!$E$28,(+IF($N135=[1]CURSOS!$D$29,[1]CURSOS!$E$29,(+IF($N135=[1]CURSOS!$D$30,[1]CURSOS!$E$30,(+IF($N135=[1]CURSOS!$D$31,[1]CURSOS!$E$31,(+IF($N135=[1]CURSOS!$D$32,[1]CURSOS!$E$32)))))))))))))))))))))))))))))))))))))))))))))))))))))))))))</f>
        <v xml:space="preserve">ATENCION A VICTIMAS DE VIOLENCIA SEXUAL </v>
      </c>
      <c r="T135" s="16" t="str">
        <f t="shared" si="15"/>
        <v>Ermelinda  Potosi ROSERO</v>
      </c>
      <c r="U135" s="16" t="str">
        <f t="shared" si="16"/>
        <v>Ermelinda  Potosi Rosero</v>
      </c>
      <c r="V135" s="16" t="str">
        <f t="shared" si="17"/>
        <v>Ermelinda  Potosi ROSERO-37087363-VIOLENCIA SEXUAL</v>
      </c>
    </row>
    <row r="136" spans="1:22" x14ac:dyDescent="0.2">
      <c r="A136" s="16">
        <v>136</v>
      </c>
      <c r="B136" s="16">
        <v>1085290706</v>
      </c>
      <c r="C136" s="16" t="s">
        <v>291</v>
      </c>
      <c r="D136" s="16" t="s">
        <v>292</v>
      </c>
      <c r="E136" s="16" t="s">
        <v>293</v>
      </c>
      <c r="F136" s="17" t="s">
        <v>294</v>
      </c>
      <c r="G136" s="16">
        <v>18</v>
      </c>
      <c r="H136" s="16" t="s">
        <v>41</v>
      </c>
      <c r="I136" s="18" t="s">
        <v>295</v>
      </c>
      <c r="J136" s="19">
        <v>30000</v>
      </c>
      <c r="K136" s="16" t="s">
        <v>221</v>
      </c>
      <c r="L136" s="16" t="s">
        <v>39</v>
      </c>
      <c r="M136" s="16" t="s">
        <v>289</v>
      </c>
      <c r="N136" s="16" t="s">
        <v>25</v>
      </c>
      <c r="O136" s="20">
        <v>33413</v>
      </c>
      <c r="P136" s="21" t="s">
        <v>31</v>
      </c>
      <c r="Q136" s="16" t="s">
        <v>51</v>
      </c>
      <c r="R136" s="16">
        <v>3127753270</v>
      </c>
      <c r="S136" s="16" t="str">
        <f>+IF($N136=[1]CURSOS!$D$3,[1]CURSOS!$E$3,(+IF($N136=[1]CURSOS!$D$4,[1]CURSOS!$E$4,(+IF($N136=[1]CURSOS!$D$5,[1]CURSOS!$E$5,(+IF($N136=[1]CURSOS!$D$6,[1]CURSOS!$E$6,(+IF($N136=[1]CURSOS!$D$7,[1]CURSOS!$E$7,(+IF($N136=[1]CURSOS!$D$8,[1]CURSOS!$E$8,(+IF($N136=[1]CURSOS!$D$9,[1]CURSOS!$E$9,(+IF($N136=[1]CURSOS!$D$10,[1]CURSOS!$E$10,(+IF($N136=[1]CURSOS!$D$11,[1]CURSOS!$E$11,(+IF($N136=[1]CURSOS!$D$12,[1]CURSOS!$E$12,(+IF($N136=[1]CURSOS!$D$13,[1]CURSOS!$E$13,(+IF($N136=[1]CURSOS!$D$14,[1]CURSOS!$E$14,(+IF($N136=[1]CURSOS!$D$15,[1]CURSOS!$E$15,(+IF($N136=[1]CURSOS!$D$16,[1]CURSOS!$E$16,(+IF($N136=[1]CURSOS!$D$17,[1]CURSOS!$E$17,(+IF($N136=[1]CURSOS!$D$18,[1]CURSOS!$E$18,(+IF($N136=[1]CURSOS!$D$19,[1]CURSOS!$E$19,(+IF($N136=[1]CURSOS!$D$20,[1]CURSOS!$E$20,(+IF($N136=[1]CURSOS!$D$21,[1]CURSOS!$E$21,(+IF($N136=[1]CURSOS!$D$22,[1]CURSOS!$E$22,(+IF($N136=[1]CURSOS!$D$23,[1]CURSOS!$E$23,(+IF($N136=[1]CURSOS!$D$24,[1]CURSOS!$E$24,(+IF($N136=[1]CURSOS!$D$25,[1]CURSOS!$E$25,(+IF($N136=[1]CURSOS!$D$26,[1]CURSOS!$E$26,(+IF($N136=[1]CURSOS!$D$27,[1]CURSOS!$E$27,(+IF($N136=[1]CURSOS!$D$28,[1]CURSOS!$E$28,(+IF($N136=[1]CURSOS!$D$29,[1]CURSOS!$E$29,(+IF($N136=[1]CURSOS!$D$30,[1]CURSOS!$E$30,(+IF($N136=[1]CURSOS!$D$31,[1]CURSOS!$E$31,(+IF($N136=[1]CURSOS!$D$32,[1]CURSOS!$E$32)))))))))))))))))))))))))))))))))))))))))))))))))))))))))))</f>
        <v xml:space="preserve">ATENCION A VICTIMAS DE VIOLENCIA SEXUAL </v>
      </c>
      <c r="T136" s="16" t="str">
        <f t="shared" si="15"/>
        <v>Katherine Yamile Santacruz Muñoz</v>
      </c>
      <c r="U136" s="16" t="str">
        <f t="shared" si="16"/>
        <v>Katherine Yamile Santacruz Muñoz</v>
      </c>
      <c r="V136" s="16" t="str">
        <f t="shared" si="17"/>
        <v>Katherine Yamile Santacruz Muñoz-1085290706-VIOLENCIA SEXUAL</v>
      </c>
    </row>
    <row r="137" spans="1:22" x14ac:dyDescent="0.2">
      <c r="A137" s="16">
        <v>137</v>
      </c>
      <c r="B137" s="16">
        <v>1004410445</v>
      </c>
      <c r="C137" s="16" t="s">
        <v>296</v>
      </c>
      <c r="D137" s="16" t="s">
        <v>297</v>
      </c>
      <c r="E137" s="16" t="s">
        <v>71</v>
      </c>
      <c r="F137" s="17" t="s">
        <v>298</v>
      </c>
      <c r="G137" s="16">
        <v>18</v>
      </c>
      <c r="H137" s="16" t="s">
        <v>41</v>
      </c>
      <c r="I137" s="18" t="s">
        <v>295</v>
      </c>
      <c r="J137" s="19">
        <v>30000</v>
      </c>
      <c r="K137" s="16" t="s">
        <v>221</v>
      </c>
      <c r="L137" s="16" t="s">
        <v>39</v>
      </c>
      <c r="M137" s="16" t="s">
        <v>289</v>
      </c>
      <c r="N137" s="16" t="s">
        <v>25</v>
      </c>
      <c r="O137" s="20">
        <v>37193</v>
      </c>
      <c r="P137" s="21" t="s">
        <v>31</v>
      </c>
      <c r="Q137" s="16" t="s">
        <v>51</v>
      </c>
      <c r="R137" s="16">
        <v>3137032829</v>
      </c>
      <c r="S137" s="16" t="str">
        <f>+IF($N137=[1]CURSOS!$D$3,[1]CURSOS!$E$3,(+IF($N137=[1]CURSOS!$D$4,[1]CURSOS!$E$4,(+IF($N137=[1]CURSOS!$D$5,[1]CURSOS!$E$5,(+IF($N137=[1]CURSOS!$D$6,[1]CURSOS!$E$6,(+IF($N137=[1]CURSOS!$D$7,[1]CURSOS!$E$7,(+IF($N137=[1]CURSOS!$D$8,[1]CURSOS!$E$8,(+IF($N137=[1]CURSOS!$D$9,[1]CURSOS!$E$9,(+IF($N137=[1]CURSOS!$D$10,[1]CURSOS!$E$10,(+IF($N137=[1]CURSOS!$D$11,[1]CURSOS!$E$11,(+IF($N137=[1]CURSOS!$D$12,[1]CURSOS!$E$12,(+IF($N137=[1]CURSOS!$D$13,[1]CURSOS!$E$13,(+IF($N137=[1]CURSOS!$D$14,[1]CURSOS!$E$14,(+IF($N137=[1]CURSOS!$D$15,[1]CURSOS!$E$15,(+IF($N137=[1]CURSOS!$D$16,[1]CURSOS!$E$16,(+IF($N137=[1]CURSOS!$D$17,[1]CURSOS!$E$17,(+IF($N137=[1]CURSOS!$D$18,[1]CURSOS!$E$18,(+IF($N137=[1]CURSOS!$D$19,[1]CURSOS!$E$19,(+IF($N137=[1]CURSOS!$D$20,[1]CURSOS!$E$20,(+IF($N137=[1]CURSOS!$D$21,[1]CURSOS!$E$21,(+IF($N137=[1]CURSOS!$D$22,[1]CURSOS!$E$22,(+IF($N137=[1]CURSOS!$D$23,[1]CURSOS!$E$23,(+IF($N137=[1]CURSOS!$D$24,[1]CURSOS!$E$24,(+IF($N137=[1]CURSOS!$D$25,[1]CURSOS!$E$25,(+IF($N137=[1]CURSOS!$D$26,[1]CURSOS!$E$26,(+IF($N137=[1]CURSOS!$D$27,[1]CURSOS!$E$27,(+IF($N137=[1]CURSOS!$D$28,[1]CURSOS!$E$28,(+IF($N137=[1]CURSOS!$D$29,[1]CURSOS!$E$29,(+IF($N137=[1]CURSOS!$D$30,[1]CURSOS!$E$30,(+IF($N137=[1]CURSOS!$D$31,[1]CURSOS!$E$31,(+IF($N137=[1]CURSOS!$D$32,[1]CURSOS!$E$32)))))))))))))))))))))))))))))))))))))))))))))))))))))))))))</f>
        <v xml:space="preserve">ATENCION A VICTIMAS DE VIOLENCIA SEXUAL </v>
      </c>
      <c r="T137" s="16" t="str">
        <f t="shared" si="15"/>
        <v>Maria Fernanda  Daza Chachinoy</v>
      </c>
      <c r="U137" s="16" t="str">
        <f t="shared" si="16"/>
        <v>Maria Fernanda  Daza Chachinoy</v>
      </c>
      <c r="V137" s="16" t="str">
        <f t="shared" si="17"/>
        <v>Maria Fernanda  Daza Chachinoy-1004410445-VIOLENCIA SEXUAL</v>
      </c>
    </row>
    <row r="138" spans="1:22" x14ac:dyDescent="0.2">
      <c r="A138" s="16">
        <v>138</v>
      </c>
      <c r="B138" s="16">
        <v>1085290706</v>
      </c>
      <c r="C138" s="16" t="s">
        <v>291</v>
      </c>
      <c r="D138" s="16" t="s">
        <v>292</v>
      </c>
      <c r="E138" s="16" t="s">
        <v>293</v>
      </c>
      <c r="F138" s="17" t="s">
        <v>294</v>
      </c>
      <c r="G138" s="16">
        <v>19</v>
      </c>
      <c r="H138" s="16" t="s">
        <v>41</v>
      </c>
      <c r="I138" s="18" t="s">
        <v>295</v>
      </c>
      <c r="J138" s="19">
        <v>30000</v>
      </c>
      <c r="K138" s="16" t="s">
        <v>221</v>
      </c>
      <c r="L138" s="16" t="s">
        <v>39</v>
      </c>
      <c r="M138" s="16" t="s">
        <v>289</v>
      </c>
      <c r="N138" s="16" t="s">
        <v>19</v>
      </c>
      <c r="O138" s="20">
        <v>33413</v>
      </c>
      <c r="P138" s="21" t="s">
        <v>31</v>
      </c>
      <c r="Q138" s="16" t="s">
        <v>51</v>
      </c>
      <c r="R138" s="16">
        <v>3127753270</v>
      </c>
      <c r="S138" s="16" t="str">
        <f>+IF($N138=[1]CURSOS!$D$3,[1]CURSOS!$E$3,(+IF($N138=[1]CURSOS!$D$4,[1]CURSOS!$E$4,(+IF($N138=[1]CURSOS!$D$5,[1]CURSOS!$E$5,(+IF($N138=[1]CURSOS!$D$6,[1]CURSOS!$E$6,(+IF($N138=[1]CURSOS!$D$7,[1]CURSOS!$E$7,(+IF($N138=[1]CURSOS!$D$8,[1]CURSOS!$E$8,(+IF($N138=[1]CURSOS!$D$9,[1]CURSOS!$E$9,(+IF($N138=[1]CURSOS!$D$10,[1]CURSOS!$E$10,(+IF($N138=[1]CURSOS!$D$11,[1]CURSOS!$E$11,(+IF($N138=[1]CURSOS!$D$12,[1]CURSOS!$E$12,(+IF($N138=[1]CURSOS!$D$13,[1]CURSOS!$E$13,(+IF($N138=[1]CURSOS!$D$14,[1]CURSOS!$E$14,(+IF($N138=[1]CURSOS!$D$15,[1]CURSOS!$E$15,(+IF($N138=[1]CURSOS!$D$16,[1]CURSOS!$E$16,(+IF($N138=[1]CURSOS!$D$17,[1]CURSOS!$E$17,(+IF($N138=[1]CURSOS!$D$18,[1]CURSOS!$E$18,(+IF($N138=[1]CURSOS!$D$19,[1]CURSOS!$E$19,(+IF($N138=[1]CURSOS!$D$20,[1]CURSOS!$E$20,(+IF($N138=[1]CURSOS!$D$21,[1]CURSOS!$E$21,(+IF($N138=[1]CURSOS!$D$22,[1]CURSOS!$E$22,(+IF($N138=[1]CURSOS!$D$23,[1]CURSOS!$E$23,(+IF($N138=[1]CURSOS!$D$24,[1]CURSOS!$E$24,(+IF($N138=[1]CURSOS!$D$25,[1]CURSOS!$E$25,(+IF($N138=[1]CURSOS!$D$26,[1]CURSOS!$E$26,(+IF($N138=[1]CURSOS!$D$27,[1]CURSOS!$E$27,(+IF($N138=[1]CURSOS!$D$28,[1]CURSOS!$E$28,(+IF($N138=[1]CURSOS!$D$29,[1]CURSOS!$E$29,(+IF($N138=[1]CURSOS!$D$30,[1]CURSOS!$E$30,(+IF($N138=[1]CURSOS!$D$31,[1]CURSOS!$E$31,(+IF($N138=[1]CURSOS!$D$32,[1]CURSOS!$E$32)))))))))))))))))))))))))))))))))))))))))))))))))))))))))))</f>
        <v>SOPORTE VITAL BASICO (BLS)</v>
      </c>
      <c r="T138" s="16" t="str">
        <f t="shared" si="15"/>
        <v>Katherine Yamile Santacruz Muñoz</v>
      </c>
      <c r="U138" s="16" t="str">
        <f t="shared" si="16"/>
        <v>Katherine Yamile Santacruz Muñoz</v>
      </c>
      <c r="V138" s="16" t="str">
        <f t="shared" si="17"/>
        <v>Katherine Yamile Santacruz Muñoz-1085290706-BLS</v>
      </c>
    </row>
    <row r="139" spans="1:22" x14ac:dyDescent="0.2">
      <c r="A139" s="16">
        <v>139</v>
      </c>
      <c r="B139" s="16">
        <v>69029739</v>
      </c>
      <c r="C139" s="16" t="s">
        <v>53</v>
      </c>
      <c r="D139" s="16" t="s">
        <v>299</v>
      </c>
      <c r="E139" s="16" t="s">
        <v>300</v>
      </c>
      <c r="F139" s="17" t="s">
        <v>301</v>
      </c>
      <c r="G139" s="16">
        <v>19</v>
      </c>
      <c r="H139" s="16" t="s">
        <v>41</v>
      </c>
      <c r="I139" s="18">
        <v>45370</v>
      </c>
      <c r="J139" s="19">
        <v>20000</v>
      </c>
      <c r="K139" s="16" t="s">
        <v>32</v>
      </c>
      <c r="L139" s="16" t="s">
        <v>39</v>
      </c>
      <c r="M139" s="16" t="s">
        <v>29</v>
      </c>
      <c r="N139" s="16" t="s">
        <v>19</v>
      </c>
      <c r="O139" s="20">
        <v>28741</v>
      </c>
      <c r="P139" s="21" t="s">
        <v>31</v>
      </c>
      <c r="Q139" s="16" t="s">
        <v>51</v>
      </c>
      <c r="S139" s="16" t="str">
        <f>+IF($N139=[1]CURSOS!$D$3,[1]CURSOS!$E$3,(+IF($N139=[1]CURSOS!$D$4,[1]CURSOS!$E$4,(+IF($N139=[1]CURSOS!$D$5,[1]CURSOS!$E$5,(+IF($N139=[1]CURSOS!$D$6,[1]CURSOS!$E$6,(+IF($N139=[1]CURSOS!$D$7,[1]CURSOS!$E$7,(+IF($N139=[1]CURSOS!$D$8,[1]CURSOS!$E$8,(+IF($N139=[1]CURSOS!$D$9,[1]CURSOS!$E$9,(+IF($N139=[1]CURSOS!$D$10,[1]CURSOS!$E$10,(+IF($N139=[1]CURSOS!$D$11,[1]CURSOS!$E$11,(+IF($N139=[1]CURSOS!$D$12,[1]CURSOS!$E$12,(+IF($N139=[1]CURSOS!$D$13,[1]CURSOS!$E$13,(+IF($N139=[1]CURSOS!$D$14,[1]CURSOS!$E$14,(+IF($N139=[1]CURSOS!$D$15,[1]CURSOS!$E$15,(+IF($N139=[1]CURSOS!$D$16,[1]CURSOS!$E$16,(+IF($N139=[1]CURSOS!$D$17,[1]CURSOS!$E$17,(+IF($N139=[1]CURSOS!$D$18,[1]CURSOS!$E$18,(+IF($N139=[1]CURSOS!$D$19,[1]CURSOS!$E$19,(+IF($N139=[1]CURSOS!$D$20,[1]CURSOS!$E$20,(+IF($N139=[1]CURSOS!$D$21,[1]CURSOS!$E$21,(+IF($N139=[1]CURSOS!$D$22,[1]CURSOS!$E$22,(+IF($N139=[1]CURSOS!$D$23,[1]CURSOS!$E$23,(+IF($N139=[1]CURSOS!$D$24,[1]CURSOS!$E$24,(+IF($N139=[1]CURSOS!$D$25,[1]CURSOS!$E$25,(+IF($N139=[1]CURSOS!$D$26,[1]CURSOS!$E$26,(+IF($N139=[1]CURSOS!$D$27,[1]CURSOS!$E$27,(+IF($N139=[1]CURSOS!$D$28,[1]CURSOS!$E$28,(+IF($N139=[1]CURSOS!$D$29,[1]CURSOS!$E$29,(+IF($N139=[1]CURSOS!$D$30,[1]CURSOS!$E$30,(+IF($N139=[1]CURSOS!$D$31,[1]CURSOS!$E$31,(+IF($N139=[1]CURSOS!$D$32,[1]CURSOS!$E$32)))))))))))))))))))))))))))))))))))))))))))))))))))))))))))</f>
        <v>SOPORTE VITAL BASICO (BLS)</v>
      </c>
      <c r="T139" s="16" t="str">
        <f t="shared" si="15"/>
        <v>Luz Aida Lopez Ocampo</v>
      </c>
      <c r="U139" s="16" t="str">
        <f t="shared" si="16"/>
        <v>Luz Aida Lopez Ocampo</v>
      </c>
      <c r="V139" s="16" t="str">
        <f t="shared" si="17"/>
        <v>Luz Aida Lopez Ocampo-69029739-BLS</v>
      </c>
    </row>
    <row r="140" spans="1:22" x14ac:dyDescent="0.2">
      <c r="A140" s="16">
        <v>140</v>
      </c>
      <c r="B140" s="16">
        <v>69029739</v>
      </c>
      <c r="C140" s="16" t="s">
        <v>53</v>
      </c>
      <c r="D140" s="16" t="s">
        <v>299</v>
      </c>
      <c r="E140" s="16" t="s">
        <v>300</v>
      </c>
      <c r="F140" s="17" t="s">
        <v>301</v>
      </c>
      <c r="G140" s="16">
        <v>19</v>
      </c>
      <c r="H140" s="16" t="s">
        <v>41</v>
      </c>
      <c r="I140" s="18">
        <v>45370</v>
      </c>
      <c r="J140" s="19">
        <v>20000</v>
      </c>
      <c r="K140" s="16" t="s">
        <v>32</v>
      </c>
      <c r="L140" s="16" t="s">
        <v>39</v>
      </c>
      <c r="M140" s="16" t="s">
        <v>29</v>
      </c>
      <c r="N140" s="16" t="s">
        <v>25</v>
      </c>
      <c r="O140" s="20">
        <v>28741</v>
      </c>
      <c r="P140" s="21" t="s">
        <v>31</v>
      </c>
      <c r="Q140" s="16" t="s">
        <v>51</v>
      </c>
      <c r="S140" s="16" t="str">
        <f>+IF($N140=[1]CURSOS!$D$3,[1]CURSOS!$E$3,(+IF($N140=[1]CURSOS!$D$4,[1]CURSOS!$E$4,(+IF($N140=[1]CURSOS!$D$5,[1]CURSOS!$E$5,(+IF($N140=[1]CURSOS!$D$6,[1]CURSOS!$E$6,(+IF($N140=[1]CURSOS!$D$7,[1]CURSOS!$E$7,(+IF($N140=[1]CURSOS!$D$8,[1]CURSOS!$E$8,(+IF($N140=[1]CURSOS!$D$9,[1]CURSOS!$E$9,(+IF($N140=[1]CURSOS!$D$10,[1]CURSOS!$E$10,(+IF($N140=[1]CURSOS!$D$11,[1]CURSOS!$E$11,(+IF($N140=[1]CURSOS!$D$12,[1]CURSOS!$E$12,(+IF($N140=[1]CURSOS!$D$13,[1]CURSOS!$E$13,(+IF($N140=[1]CURSOS!$D$14,[1]CURSOS!$E$14,(+IF($N140=[1]CURSOS!$D$15,[1]CURSOS!$E$15,(+IF($N140=[1]CURSOS!$D$16,[1]CURSOS!$E$16,(+IF($N140=[1]CURSOS!$D$17,[1]CURSOS!$E$17,(+IF($N140=[1]CURSOS!$D$18,[1]CURSOS!$E$18,(+IF($N140=[1]CURSOS!$D$19,[1]CURSOS!$E$19,(+IF($N140=[1]CURSOS!$D$20,[1]CURSOS!$E$20,(+IF($N140=[1]CURSOS!$D$21,[1]CURSOS!$E$21,(+IF($N140=[1]CURSOS!$D$22,[1]CURSOS!$E$22,(+IF($N140=[1]CURSOS!$D$23,[1]CURSOS!$E$23,(+IF($N140=[1]CURSOS!$D$24,[1]CURSOS!$E$24,(+IF($N140=[1]CURSOS!$D$25,[1]CURSOS!$E$25,(+IF($N140=[1]CURSOS!$D$26,[1]CURSOS!$E$26,(+IF($N140=[1]CURSOS!$D$27,[1]CURSOS!$E$27,(+IF($N140=[1]CURSOS!$D$28,[1]CURSOS!$E$28,(+IF($N140=[1]CURSOS!$D$29,[1]CURSOS!$E$29,(+IF($N140=[1]CURSOS!$D$30,[1]CURSOS!$E$30,(+IF($N140=[1]CURSOS!$D$31,[1]CURSOS!$E$31,(+IF($N140=[1]CURSOS!$D$32,[1]CURSOS!$E$32)))))))))))))))))))))))))))))))))))))))))))))))))))))))))))</f>
        <v xml:space="preserve">ATENCION A VICTIMAS DE VIOLENCIA SEXUAL </v>
      </c>
      <c r="T140" s="16" t="str">
        <f t="shared" si="15"/>
        <v>Luz Aida Lopez Ocampo</v>
      </c>
      <c r="U140" s="16" t="str">
        <f t="shared" si="16"/>
        <v>Luz Aida Lopez Ocampo</v>
      </c>
      <c r="V140" s="16" t="str">
        <f t="shared" si="17"/>
        <v>Luz Aida Lopez Ocampo-69029739-VIOLENCIA SEXUAL</v>
      </c>
    </row>
    <row r="141" spans="1:22" x14ac:dyDescent="0.2">
      <c r="A141" s="16">
        <v>141</v>
      </c>
      <c r="B141" s="16">
        <v>12915312</v>
      </c>
      <c r="C141" s="16" t="s">
        <v>303</v>
      </c>
      <c r="D141" s="16" t="s">
        <v>304</v>
      </c>
      <c r="E141" s="16" t="s">
        <v>305</v>
      </c>
      <c r="F141" s="17" t="s">
        <v>306</v>
      </c>
      <c r="G141" s="16">
        <v>19</v>
      </c>
      <c r="H141" s="16" t="s">
        <v>41</v>
      </c>
      <c r="I141" s="18">
        <v>45370</v>
      </c>
      <c r="J141" s="19">
        <v>32500</v>
      </c>
      <c r="K141" s="16" t="s">
        <v>32</v>
      </c>
      <c r="L141" s="16" t="s">
        <v>39</v>
      </c>
      <c r="M141" s="16" t="s">
        <v>29</v>
      </c>
      <c r="N141" s="16" t="s">
        <v>26</v>
      </c>
      <c r="O141" s="20">
        <v>24889</v>
      </c>
      <c r="P141" s="21" t="s">
        <v>83</v>
      </c>
      <c r="Q141" s="16" t="s">
        <v>30</v>
      </c>
      <c r="R141" s="16" t="s">
        <v>302</v>
      </c>
      <c r="S141" s="16" t="str">
        <f>+IF($N141=[1]CURSOS!$D$3,[1]CURSOS!$E$3,(+IF($N141=[1]CURSOS!$D$4,[1]CURSOS!$E$4,(+IF($N141=[1]CURSOS!$D$5,[1]CURSOS!$E$5,(+IF($N141=[1]CURSOS!$D$6,[1]CURSOS!$E$6,(+IF($N141=[1]CURSOS!$D$7,[1]CURSOS!$E$7,(+IF($N141=[1]CURSOS!$D$8,[1]CURSOS!$E$8,(+IF($N141=[1]CURSOS!$D$9,[1]CURSOS!$E$9,(+IF($N141=[1]CURSOS!$D$10,[1]CURSOS!$E$10,(+IF($N141=[1]CURSOS!$D$11,[1]CURSOS!$E$11,(+IF($N141=[1]CURSOS!$D$12,[1]CURSOS!$E$12,(+IF($N141=[1]CURSOS!$D$13,[1]CURSOS!$E$13,(+IF($N141=[1]CURSOS!$D$14,[1]CURSOS!$E$14,(+IF($N141=[1]CURSOS!$D$15,[1]CURSOS!$E$15,(+IF($N141=[1]CURSOS!$D$16,[1]CURSOS!$E$16,(+IF($N141=[1]CURSOS!$D$17,[1]CURSOS!$E$17,(+IF($N141=[1]CURSOS!$D$18,[1]CURSOS!$E$18,(+IF($N141=[1]CURSOS!$D$19,[1]CURSOS!$E$19,(+IF($N141=[1]CURSOS!$D$20,[1]CURSOS!$E$20,(+IF($N141=[1]CURSOS!$D$21,[1]CURSOS!$E$21,(+IF($N141=[1]CURSOS!$D$22,[1]CURSOS!$E$22,(+IF($N141=[1]CURSOS!$D$23,[1]CURSOS!$E$23,(+IF($N141=[1]CURSOS!$D$24,[1]CURSOS!$E$24,(+IF($N141=[1]CURSOS!$D$25,[1]CURSOS!$E$25,(+IF($N141=[1]CURSOS!$D$26,[1]CURSOS!$E$26,(+IF($N141=[1]CURSOS!$D$27,[1]CURSOS!$E$27,(+IF($N141=[1]CURSOS!$D$28,[1]CURSOS!$E$28,(+IF($N141=[1]CURSOS!$D$29,[1]CURSOS!$E$29,(+IF($N141=[1]CURSOS!$D$30,[1]CURSOS!$E$30,(+IF($N141=[1]CURSOS!$D$31,[1]CURSOS!$E$31,(+IF($N141=[1]CURSOS!$D$32,[1]CURSOS!$E$32)))))))))))))))))))))))))))))))))))))))))))))))))))))))))))</f>
        <v>ATENCION INTEGRAL EN ENFERMEDADES PREVALENTES EN PRIMERA INFANCIA (AIEPI)</v>
      </c>
      <c r="T141" s="16" t="str">
        <f t="shared" si="15"/>
        <v>Wiston Segundo Cuero Cabezas</v>
      </c>
      <c r="U141" s="16" t="str">
        <f t="shared" si="16"/>
        <v>Wiston Segundo Cuero Cabezas</v>
      </c>
      <c r="V141" s="16" t="str">
        <f t="shared" si="17"/>
        <v>Wiston Segundo Cuero Cabezas-12915312-AIEPI</v>
      </c>
    </row>
    <row r="142" spans="1:22" x14ac:dyDescent="0.2">
      <c r="A142" s="16">
        <v>142</v>
      </c>
      <c r="B142" s="16">
        <v>12915312</v>
      </c>
      <c r="C142" s="16" t="s">
        <v>303</v>
      </c>
      <c r="D142" s="16" t="s">
        <v>304</v>
      </c>
      <c r="E142" s="16" t="s">
        <v>305</v>
      </c>
      <c r="F142" s="17" t="s">
        <v>306</v>
      </c>
      <c r="G142" s="16">
        <v>19</v>
      </c>
      <c r="H142" s="16" t="s">
        <v>41</v>
      </c>
      <c r="I142" s="18">
        <v>45370</v>
      </c>
      <c r="J142" s="19">
        <v>32500</v>
      </c>
      <c r="K142" s="16" t="s">
        <v>32</v>
      </c>
      <c r="L142" s="16" t="s">
        <v>39</v>
      </c>
      <c r="M142" s="16" t="s">
        <v>29</v>
      </c>
      <c r="N142" s="16" t="s">
        <v>20</v>
      </c>
      <c r="O142" s="20">
        <v>24889</v>
      </c>
      <c r="P142" s="21" t="s">
        <v>83</v>
      </c>
      <c r="Q142" s="16" t="s">
        <v>30</v>
      </c>
      <c r="R142" s="16" t="s">
        <v>302</v>
      </c>
      <c r="S142" s="16" t="str">
        <f>+IF($N142=[1]CURSOS!$D$3,[1]CURSOS!$E$3,(+IF($N142=[1]CURSOS!$D$4,[1]CURSOS!$E$4,(+IF($N142=[1]CURSOS!$D$5,[1]CURSOS!$E$5,(+IF($N142=[1]CURSOS!$D$6,[1]CURSOS!$E$6,(+IF($N142=[1]CURSOS!$D$7,[1]CURSOS!$E$7,(+IF($N142=[1]CURSOS!$D$8,[1]CURSOS!$E$8,(+IF($N142=[1]CURSOS!$D$9,[1]CURSOS!$E$9,(+IF($N142=[1]CURSOS!$D$10,[1]CURSOS!$E$10,(+IF($N142=[1]CURSOS!$D$11,[1]CURSOS!$E$11,(+IF($N142=[1]CURSOS!$D$12,[1]CURSOS!$E$12,(+IF($N142=[1]CURSOS!$D$13,[1]CURSOS!$E$13,(+IF($N142=[1]CURSOS!$D$14,[1]CURSOS!$E$14,(+IF($N142=[1]CURSOS!$D$15,[1]CURSOS!$E$15,(+IF($N142=[1]CURSOS!$D$16,[1]CURSOS!$E$16,(+IF($N142=[1]CURSOS!$D$17,[1]CURSOS!$E$17,(+IF($N142=[1]CURSOS!$D$18,[1]CURSOS!$E$18,(+IF($N142=[1]CURSOS!$D$19,[1]CURSOS!$E$19,(+IF($N142=[1]CURSOS!$D$20,[1]CURSOS!$E$20,(+IF($N142=[1]CURSOS!$D$21,[1]CURSOS!$E$21,(+IF($N142=[1]CURSOS!$D$22,[1]CURSOS!$E$22,(+IF($N142=[1]CURSOS!$D$23,[1]CURSOS!$E$23,(+IF($N142=[1]CURSOS!$D$24,[1]CURSOS!$E$24,(+IF($N142=[1]CURSOS!$D$25,[1]CURSOS!$E$25,(+IF($N142=[1]CURSOS!$D$26,[1]CURSOS!$E$26,(+IF($N142=[1]CURSOS!$D$27,[1]CURSOS!$E$27,(+IF($N142=[1]CURSOS!$D$28,[1]CURSOS!$E$28,(+IF($N142=[1]CURSOS!$D$29,[1]CURSOS!$E$29,(+IF($N142=[1]CURSOS!$D$30,[1]CURSOS!$E$30,(+IF($N142=[1]CURSOS!$D$31,[1]CURSOS!$E$31,(+IF($N142=[1]CURSOS!$D$32,[1]CURSOS!$E$32)))))))))))))))))))))))))))))))))))))))))))))))))))))))))))</f>
        <v>ACOMPAÑAMIENTO Y MANEJO DEL DUELO</v>
      </c>
      <c r="T142" s="16" t="str">
        <f t="shared" si="15"/>
        <v>Wiston Segundo Cuero Cabezas</v>
      </c>
      <c r="U142" s="16" t="str">
        <f t="shared" si="16"/>
        <v>Wiston Segundo Cuero Cabezas</v>
      </c>
      <c r="V142" s="16" t="str">
        <f t="shared" si="17"/>
        <v>Wiston Segundo Cuero Cabezas-12915312-DUELO</v>
      </c>
    </row>
    <row r="143" spans="1:22" x14ac:dyDescent="0.2">
      <c r="A143" s="16">
        <v>143</v>
      </c>
      <c r="B143" s="16">
        <v>12915312</v>
      </c>
      <c r="C143" s="16" t="s">
        <v>303</v>
      </c>
      <c r="D143" s="16" t="s">
        <v>304</v>
      </c>
      <c r="E143" s="16" t="s">
        <v>305</v>
      </c>
      <c r="F143" s="17" t="s">
        <v>306</v>
      </c>
      <c r="G143" s="16">
        <v>19</v>
      </c>
      <c r="H143" s="16" t="s">
        <v>41</v>
      </c>
      <c r="I143" s="18">
        <v>45370</v>
      </c>
      <c r="J143" s="19">
        <v>32500</v>
      </c>
      <c r="K143" s="16" t="s">
        <v>32</v>
      </c>
      <c r="L143" s="16" t="s">
        <v>39</v>
      </c>
      <c r="M143" s="16" t="s">
        <v>29</v>
      </c>
      <c r="N143" s="16" t="s">
        <v>21</v>
      </c>
      <c r="O143" s="20">
        <v>24889</v>
      </c>
      <c r="P143" s="21" t="s">
        <v>83</v>
      </c>
      <c r="Q143" s="16" t="s">
        <v>30</v>
      </c>
      <c r="R143" s="16" t="s">
        <v>302</v>
      </c>
      <c r="S143" s="16" t="str">
        <f>+IF($N143=[1]CURSOS!$D$3,[1]CURSOS!$E$3,(+IF($N143=[1]CURSOS!$D$4,[1]CURSOS!$E$4,(+IF($N143=[1]CURSOS!$D$5,[1]CURSOS!$E$5,(+IF($N143=[1]CURSOS!$D$6,[1]CURSOS!$E$6,(+IF($N143=[1]CURSOS!$D$7,[1]CURSOS!$E$7,(+IF($N143=[1]CURSOS!$D$8,[1]CURSOS!$E$8,(+IF($N143=[1]CURSOS!$D$9,[1]CURSOS!$E$9,(+IF($N143=[1]CURSOS!$D$10,[1]CURSOS!$E$10,(+IF($N143=[1]CURSOS!$D$11,[1]CURSOS!$E$11,(+IF($N143=[1]CURSOS!$D$12,[1]CURSOS!$E$12,(+IF($N143=[1]CURSOS!$D$13,[1]CURSOS!$E$13,(+IF($N143=[1]CURSOS!$D$14,[1]CURSOS!$E$14,(+IF($N143=[1]CURSOS!$D$15,[1]CURSOS!$E$15,(+IF($N143=[1]CURSOS!$D$16,[1]CURSOS!$E$16,(+IF($N143=[1]CURSOS!$D$17,[1]CURSOS!$E$17,(+IF($N143=[1]CURSOS!$D$18,[1]CURSOS!$E$18,(+IF($N143=[1]CURSOS!$D$19,[1]CURSOS!$E$19,(+IF($N143=[1]CURSOS!$D$20,[1]CURSOS!$E$20,(+IF($N143=[1]CURSOS!$D$21,[1]CURSOS!$E$21,(+IF($N143=[1]CURSOS!$D$22,[1]CURSOS!$E$22,(+IF($N143=[1]CURSOS!$D$23,[1]CURSOS!$E$23,(+IF($N143=[1]CURSOS!$D$24,[1]CURSOS!$E$24,(+IF($N143=[1]CURSOS!$D$25,[1]CURSOS!$E$25,(+IF($N143=[1]CURSOS!$D$26,[1]CURSOS!$E$26,(+IF($N143=[1]CURSOS!$D$27,[1]CURSOS!$E$27,(+IF($N143=[1]CURSOS!$D$28,[1]CURSOS!$E$28,(+IF($N143=[1]CURSOS!$D$29,[1]CURSOS!$E$29,(+IF($N143=[1]CURSOS!$D$30,[1]CURSOS!$E$30,(+IF($N143=[1]CURSOS!$D$31,[1]CURSOS!$E$31,(+IF($N143=[1]CURSOS!$D$32,[1]CURSOS!$E$32)))))))))))))))))))))))))))))))))))))))))))))))))))))))))))</f>
        <v xml:space="preserve">ATENCION A VICTIMAS DE ATAQUE CON AGENTES QUIMICOS </v>
      </c>
      <c r="T143" s="16" t="str">
        <f t="shared" si="15"/>
        <v>Wiston Segundo Cuero Cabezas</v>
      </c>
      <c r="U143" s="16" t="str">
        <f t="shared" si="16"/>
        <v>Wiston Segundo Cuero Cabezas</v>
      </c>
      <c r="V143" s="16" t="str">
        <f t="shared" si="17"/>
        <v>Wiston Segundo Cuero Cabezas-12915312-QUIMICOS</v>
      </c>
    </row>
    <row r="144" spans="1:22" x14ac:dyDescent="0.2">
      <c r="A144" s="16">
        <v>144</v>
      </c>
      <c r="B144" s="16">
        <v>12915312</v>
      </c>
      <c r="C144" s="16" t="s">
        <v>303</v>
      </c>
      <c r="D144" s="16" t="s">
        <v>304</v>
      </c>
      <c r="E144" s="16" t="s">
        <v>305</v>
      </c>
      <c r="F144" s="17" t="s">
        <v>306</v>
      </c>
      <c r="G144" s="16">
        <v>19</v>
      </c>
      <c r="H144" s="16" t="s">
        <v>41</v>
      </c>
      <c r="I144" s="18">
        <v>45370</v>
      </c>
      <c r="J144" s="19">
        <v>32500</v>
      </c>
      <c r="K144" s="16" t="s">
        <v>32</v>
      </c>
      <c r="L144" s="16" t="s">
        <v>39</v>
      </c>
      <c r="M144" s="16" t="s">
        <v>29</v>
      </c>
      <c r="N144" s="16" t="s">
        <v>25</v>
      </c>
      <c r="O144" s="20">
        <v>24889</v>
      </c>
      <c r="P144" s="21" t="s">
        <v>83</v>
      </c>
      <c r="Q144" s="16" t="s">
        <v>30</v>
      </c>
      <c r="R144" s="16" t="s">
        <v>302</v>
      </c>
      <c r="S144" s="16" t="str">
        <f>+IF($N144=[1]CURSOS!$D$3,[1]CURSOS!$E$3,(+IF($N144=[1]CURSOS!$D$4,[1]CURSOS!$E$4,(+IF($N144=[1]CURSOS!$D$5,[1]CURSOS!$E$5,(+IF($N144=[1]CURSOS!$D$6,[1]CURSOS!$E$6,(+IF($N144=[1]CURSOS!$D$7,[1]CURSOS!$E$7,(+IF($N144=[1]CURSOS!$D$8,[1]CURSOS!$E$8,(+IF($N144=[1]CURSOS!$D$9,[1]CURSOS!$E$9,(+IF($N144=[1]CURSOS!$D$10,[1]CURSOS!$E$10,(+IF($N144=[1]CURSOS!$D$11,[1]CURSOS!$E$11,(+IF($N144=[1]CURSOS!$D$12,[1]CURSOS!$E$12,(+IF($N144=[1]CURSOS!$D$13,[1]CURSOS!$E$13,(+IF($N144=[1]CURSOS!$D$14,[1]CURSOS!$E$14,(+IF($N144=[1]CURSOS!$D$15,[1]CURSOS!$E$15,(+IF($N144=[1]CURSOS!$D$16,[1]CURSOS!$E$16,(+IF($N144=[1]CURSOS!$D$17,[1]CURSOS!$E$17,(+IF($N144=[1]CURSOS!$D$18,[1]CURSOS!$E$18,(+IF($N144=[1]CURSOS!$D$19,[1]CURSOS!$E$19,(+IF($N144=[1]CURSOS!$D$20,[1]CURSOS!$E$20,(+IF($N144=[1]CURSOS!$D$21,[1]CURSOS!$E$21,(+IF($N144=[1]CURSOS!$D$22,[1]CURSOS!$E$22,(+IF($N144=[1]CURSOS!$D$23,[1]CURSOS!$E$23,(+IF($N144=[1]CURSOS!$D$24,[1]CURSOS!$E$24,(+IF($N144=[1]CURSOS!$D$25,[1]CURSOS!$E$25,(+IF($N144=[1]CURSOS!$D$26,[1]CURSOS!$E$26,(+IF($N144=[1]CURSOS!$D$27,[1]CURSOS!$E$27,(+IF($N144=[1]CURSOS!$D$28,[1]CURSOS!$E$28,(+IF($N144=[1]CURSOS!$D$29,[1]CURSOS!$E$29,(+IF($N144=[1]CURSOS!$D$30,[1]CURSOS!$E$30,(+IF($N144=[1]CURSOS!$D$31,[1]CURSOS!$E$31,(+IF($N144=[1]CURSOS!$D$32,[1]CURSOS!$E$32)))))))))))))))))))))))))))))))))))))))))))))))))))))))))))</f>
        <v xml:space="preserve">ATENCION A VICTIMAS DE VIOLENCIA SEXUAL </v>
      </c>
      <c r="T144" s="16" t="str">
        <f t="shared" si="15"/>
        <v>Wiston Segundo Cuero Cabezas</v>
      </c>
      <c r="U144" s="16" t="str">
        <f t="shared" si="16"/>
        <v>Wiston Segundo Cuero Cabezas</v>
      </c>
      <c r="V144" s="16" t="str">
        <f t="shared" si="17"/>
        <v>Wiston Segundo Cuero Cabezas-12915312-VIOLENCIA SEXUAL</v>
      </c>
    </row>
    <row r="145" spans="1:22" x14ac:dyDescent="0.2">
      <c r="A145" s="16">
        <v>145</v>
      </c>
      <c r="B145" s="16">
        <v>1085306084</v>
      </c>
      <c r="C145" s="16" t="s">
        <v>307</v>
      </c>
      <c r="D145" s="16" t="s">
        <v>308</v>
      </c>
      <c r="E145" s="16" t="s">
        <v>309</v>
      </c>
      <c r="F145" s="17" t="s">
        <v>310</v>
      </c>
      <c r="G145" s="16">
        <v>19</v>
      </c>
      <c r="H145" s="16" t="s">
        <v>41</v>
      </c>
      <c r="I145" s="18">
        <v>45370</v>
      </c>
      <c r="J145" s="19">
        <v>98000</v>
      </c>
      <c r="K145" s="16" t="s">
        <v>32</v>
      </c>
      <c r="L145" s="16" t="s">
        <v>39</v>
      </c>
      <c r="M145" s="16" t="s">
        <v>29</v>
      </c>
      <c r="N145" s="16" t="s">
        <v>24</v>
      </c>
      <c r="S145" s="16" t="str">
        <f>+IF($N145=[1]CURSOS!$D$3,[1]CURSOS!$E$3,(+IF($N145=[1]CURSOS!$D$4,[1]CURSOS!$E$4,(+IF($N145=[1]CURSOS!$D$5,[1]CURSOS!$E$5,(+IF($N145=[1]CURSOS!$D$6,[1]CURSOS!$E$6,(+IF($N145=[1]CURSOS!$D$7,[1]CURSOS!$E$7,(+IF($N145=[1]CURSOS!$D$8,[1]CURSOS!$E$8,(+IF($N145=[1]CURSOS!$D$9,[1]CURSOS!$E$9,(+IF($N145=[1]CURSOS!$D$10,[1]CURSOS!$E$10,(+IF($N145=[1]CURSOS!$D$11,[1]CURSOS!$E$11,(+IF($N145=[1]CURSOS!$D$12,[1]CURSOS!$E$12,(+IF($N145=[1]CURSOS!$D$13,[1]CURSOS!$E$13,(+IF($N145=[1]CURSOS!$D$14,[1]CURSOS!$E$14,(+IF($N145=[1]CURSOS!$D$15,[1]CURSOS!$E$15,(+IF($N145=[1]CURSOS!$D$16,[1]CURSOS!$E$16,(+IF($N145=[1]CURSOS!$D$17,[1]CURSOS!$E$17,(+IF($N145=[1]CURSOS!$D$18,[1]CURSOS!$E$18,(+IF($N145=[1]CURSOS!$D$19,[1]CURSOS!$E$19,(+IF($N145=[1]CURSOS!$D$20,[1]CURSOS!$E$20,(+IF($N145=[1]CURSOS!$D$21,[1]CURSOS!$E$21,(+IF($N145=[1]CURSOS!$D$22,[1]CURSOS!$E$22,(+IF($N145=[1]CURSOS!$D$23,[1]CURSOS!$E$23,(+IF($N145=[1]CURSOS!$D$24,[1]CURSOS!$E$24,(+IF($N145=[1]CURSOS!$D$25,[1]CURSOS!$E$25,(+IF($N145=[1]CURSOS!$D$26,[1]CURSOS!$E$26,(+IF($N145=[1]CURSOS!$D$27,[1]CURSOS!$E$27,(+IF($N145=[1]CURSOS!$D$28,[1]CURSOS!$E$28,(+IF($N145=[1]CURSOS!$D$29,[1]CURSOS!$E$29,(+IF($N145=[1]CURSOS!$D$30,[1]CURSOS!$E$30,(+IF($N145=[1]CURSOS!$D$31,[1]CURSOS!$E$31,(+IF($N145=[1]CURSOS!$D$32,[1]CURSOS!$E$32)))))))))))))))))))))))))))))))))))))))))))))))))))))))))))</f>
        <v xml:space="preserve">SOPORTE CARDIOVASCULAR AVANZADO </v>
      </c>
      <c r="T145" s="16" t="str">
        <f t="shared" si="15"/>
        <v>Ximena Liceth Realpe Arcos</v>
      </c>
      <c r="U145" s="16" t="str">
        <f t="shared" si="16"/>
        <v>Ximena Liceth Realpe Arcos</v>
      </c>
      <c r="V145" s="16" t="str">
        <f t="shared" si="17"/>
        <v>Ximena Liceth Realpe Arcos-1085306084-ACLS</v>
      </c>
    </row>
    <row r="146" spans="1:22" x14ac:dyDescent="0.2">
      <c r="A146" s="16">
        <v>146</v>
      </c>
      <c r="B146" s="16">
        <v>1085306084</v>
      </c>
      <c r="C146" s="16" t="s">
        <v>307</v>
      </c>
      <c r="D146" s="16" t="s">
        <v>308</v>
      </c>
      <c r="E146" s="16" t="s">
        <v>309</v>
      </c>
      <c r="F146" s="17" t="s">
        <v>310</v>
      </c>
      <c r="G146" s="16">
        <v>19</v>
      </c>
      <c r="H146" s="16" t="s">
        <v>41</v>
      </c>
      <c r="I146" s="18">
        <v>45370</v>
      </c>
      <c r="J146" s="19">
        <v>20000</v>
      </c>
      <c r="K146" s="16" t="s">
        <v>32</v>
      </c>
      <c r="L146" s="16" t="s">
        <v>39</v>
      </c>
      <c r="M146" s="16" t="s">
        <v>29</v>
      </c>
      <c r="N146" s="16" t="s">
        <v>25</v>
      </c>
      <c r="S146" s="16" t="str">
        <f>+IF($N146=[1]CURSOS!$D$3,[1]CURSOS!$E$3,(+IF($N146=[1]CURSOS!$D$4,[1]CURSOS!$E$4,(+IF($N146=[1]CURSOS!$D$5,[1]CURSOS!$E$5,(+IF($N146=[1]CURSOS!$D$6,[1]CURSOS!$E$6,(+IF($N146=[1]CURSOS!$D$7,[1]CURSOS!$E$7,(+IF($N146=[1]CURSOS!$D$8,[1]CURSOS!$E$8,(+IF($N146=[1]CURSOS!$D$9,[1]CURSOS!$E$9,(+IF($N146=[1]CURSOS!$D$10,[1]CURSOS!$E$10,(+IF($N146=[1]CURSOS!$D$11,[1]CURSOS!$E$11,(+IF($N146=[1]CURSOS!$D$12,[1]CURSOS!$E$12,(+IF($N146=[1]CURSOS!$D$13,[1]CURSOS!$E$13,(+IF($N146=[1]CURSOS!$D$14,[1]CURSOS!$E$14,(+IF($N146=[1]CURSOS!$D$15,[1]CURSOS!$E$15,(+IF($N146=[1]CURSOS!$D$16,[1]CURSOS!$E$16,(+IF($N146=[1]CURSOS!$D$17,[1]CURSOS!$E$17,(+IF($N146=[1]CURSOS!$D$18,[1]CURSOS!$E$18,(+IF($N146=[1]CURSOS!$D$19,[1]CURSOS!$E$19,(+IF($N146=[1]CURSOS!$D$20,[1]CURSOS!$E$20,(+IF($N146=[1]CURSOS!$D$21,[1]CURSOS!$E$21,(+IF($N146=[1]CURSOS!$D$22,[1]CURSOS!$E$22,(+IF($N146=[1]CURSOS!$D$23,[1]CURSOS!$E$23,(+IF($N146=[1]CURSOS!$D$24,[1]CURSOS!$E$24,(+IF($N146=[1]CURSOS!$D$25,[1]CURSOS!$E$25,(+IF($N146=[1]CURSOS!$D$26,[1]CURSOS!$E$26,(+IF($N146=[1]CURSOS!$D$27,[1]CURSOS!$E$27,(+IF($N146=[1]CURSOS!$D$28,[1]CURSOS!$E$28,(+IF($N146=[1]CURSOS!$D$29,[1]CURSOS!$E$29,(+IF($N146=[1]CURSOS!$D$30,[1]CURSOS!$E$30,(+IF($N146=[1]CURSOS!$D$31,[1]CURSOS!$E$31,(+IF($N146=[1]CURSOS!$D$32,[1]CURSOS!$E$32)))))))))))))))))))))))))))))))))))))))))))))))))))))))))))</f>
        <v xml:space="preserve">ATENCION A VICTIMAS DE VIOLENCIA SEXUAL </v>
      </c>
      <c r="T146" s="16" t="str">
        <f t="shared" si="15"/>
        <v>Ximena Liceth Realpe Arcos</v>
      </c>
      <c r="U146" s="16" t="str">
        <f t="shared" si="16"/>
        <v>Ximena Liceth Realpe Arcos</v>
      </c>
      <c r="V146" s="16" t="str">
        <f t="shared" si="17"/>
        <v>Ximena Liceth Realpe Arcos-1085306084-VIOLENCIA SEXUAL</v>
      </c>
    </row>
    <row r="147" spans="1:22" x14ac:dyDescent="0.2">
      <c r="A147" s="16">
        <v>147</v>
      </c>
      <c r="B147" s="16">
        <v>1085306084</v>
      </c>
      <c r="C147" s="16" t="s">
        <v>307</v>
      </c>
      <c r="D147" s="16" t="s">
        <v>308</v>
      </c>
      <c r="E147" s="16" t="s">
        <v>309</v>
      </c>
      <c r="F147" s="17" t="s">
        <v>310</v>
      </c>
      <c r="G147" s="16">
        <v>19</v>
      </c>
      <c r="H147" s="16" t="s">
        <v>41</v>
      </c>
      <c r="I147" s="18">
        <v>45370</v>
      </c>
      <c r="J147" s="19">
        <v>20000</v>
      </c>
      <c r="K147" s="16" t="s">
        <v>32</v>
      </c>
      <c r="L147" s="16" t="s">
        <v>39</v>
      </c>
      <c r="M147" s="16" t="s">
        <v>29</v>
      </c>
      <c r="N147" s="16" t="s">
        <v>20</v>
      </c>
      <c r="S147" s="16" t="str">
        <f>+IF($N147=[1]CURSOS!$D$3,[1]CURSOS!$E$3,(+IF($N147=[1]CURSOS!$D$4,[1]CURSOS!$E$4,(+IF($N147=[1]CURSOS!$D$5,[1]CURSOS!$E$5,(+IF($N147=[1]CURSOS!$D$6,[1]CURSOS!$E$6,(+IF($N147=[1]CURSOS!$D$7,[1]CURSOS!$E$7,(+IF($N147=[1]CURSOS!$D$8,[1]CURSOS!$E$8,(+IF($N147=[1]CURSOS!$D$9,[1]CURSOS!$E$9,(+IF($N147=[1]CURSOS!$D$10,[1]CURSOS!$E$10,(+IF($N147=[1]CURSOS!$D$11,[1]CURSOS!$E$11,(+IF($N147=[1]CURSOS!$D$12,[1]CURSOS!$E$12,(+IF($N147=[1]CURSOS!$D$13,[1]CURSOS!$E$13,(+IF($N147=[1]CURSOS!$D$14,[1]CURSOS!$E$14,(+IF($N147=[1]CURSOS!$D$15,[1]CURSOS!$E$15,(+IF($N147=[1]CURSOS!$D$16,[1]CURSOS!$E$16,(+IF($N147=[1]CURSOS!$D$17,[1]CURSOS!$E$17,(+IF($N147=[1]CURSOS!$D$18,[1]CURSOS!$E$18,(+IF($N147=[1]CURSOS!$D$19,[1]CURSOS!$E$19,(+IF($N147=[1]CURSOS!$D$20,[1]CURSOS!$E$20,(+IF($N147=[1]CURSOS!$D$21,[1]CURSOS!$E$21,(+IF($N147=[1]CURSOS!$D$22,[1]CURSOS!$E$22,(+IF($N147=[1]CURSOS!$D$23,[1]CURSOS!$E$23,(+IF($N147=[1]CURSOS!$D$24,[1]CURSOS!$E$24,(+IF($N147=[1]CURSOS!$D$25,[1]CURSOS!$E$25,(+IF($N147=[1]CURSOS!$D$26,[1]CURSOS!$E$26,(+IF($N147=[1]CURSOS!$D$27,[1]CURSOS!$E$27,(+IF($N147=[1]CURSOS!$D$28,[1]CURSOS!$E$28,(+IF($N147=[1]CURSOS!$D$29,[1]CURSOS!$E$29,(+IF($N147=[1]CURSOS!$D$30,[1]CURSOS!$E$30,(+IF($N147=[1]CURSOS!$D$31,[1]CURSOS!$E$31,(+IF($N147=[1]CURSOS!$D$32,[1]CURSOS!$E$32)))))))))))))))))))))))))))))))))))))))))))))))))))))))))))</f>
        <v>ACOMPAÑAMIENTO Y MANEJO DEL DUELO</v>
      </c>
      <c r="T147" s="16" t="str">
        <f t="shared" si="15"/>
        <v>Ximena Liceth Realpe Arcos</v>
      </c>
      <c r="U147" s="16" t="str">
        <f t="shared" si="16"/>
        <v>Ximena Liceth Realpe Arcos</v>
      </c>
      <c r="V147" s="16" t="str">
        <f t="shared" si="17"/>
        <v>Ximena Liceth Realpe Arcos-1085306084-DUELO</v>
      </c>
    </row>
    <row r="148" spans="1:22" x14ac:dyDescent="0.2">
      <c r="A148" s="16">
        <v>148</v>
      </c>
      <c r="B148" s="16">
        <v>1085306084</v>
      </c>
      <c r="C148" s="16" t="s">
        <v>307</v>
      </c>
      <c r="D148" s="16" t="s">
        <v>308</v>
      </c>
      <c r="E148" s="16" t="s">
        <v>309</v>
      </c>
      <c r="F148" s="17" t="s">
        <v>310</v>
      </c>
      <c r="G148" s="16">
        <v>19</v>
      </c>
      <c r="H148" s="16" t="s">
        <v>41</v>
      </c>
      <c r="I148" s="18">
        <v>45370</v>
      </c>
      <c r="J148" s="19">
        <v>20000</v>
      </c>
      <c r="K148" s="16" t="s">
        <v>32</v>
      </c>
      <c r="L148" s="16" t="s">
        <v>39</v>
      </c>
      <c r="M148" s="16" t="s">
        <v>29</v>
      </c>
      <c r="N148" s="16" t="s">
        <v>21</v>
      </c>
      <c r="S148" s="16" t="str">
        <f>+IF($N148=[1]CURSOS!$D$3,[1]CURSOS!$E$3,(+IF($N148=[1]CURSOS!$D$4,[1]CURSOS!$E$4,(+IF($N148=[1]CURSOS!$D$5,[1]CURSOS!$E$5,(+IF($N148=[1]CURSOS!$D$6,[1]CURSOS!$E$6,(+IF($N148=[1]CURSOS!$D$7,[1]CURSOS!$E$7,(+IF($N148=[1]CURSOS!$D$8,[1]CURSOS!$E$8,(+IF($N148=[1]CURSOS!$D$9,[1]CURSOS!$E$9,(+IF($N148=[1]CURSOS!$D$10,[1]CURSOS!$E$10,(+IF($N148=[1]CURSOS!$D$11,[1]CURSOS!$E$11,(+IF($N148=[1]CURSOS!$D$12,[1]CURSOS!$E$12,(+IF($N148=[1]CURSOS!$D$13,[1]CURSOS!$E$13,(+IF($N148=[1]CURSOS!$D$14,[1]CURSOS!$E$14,(+IF($N148=[1]CURSOS!$D$15,[1]CURSOS!$E$15,(+IF($N148=[1]CURSOS!$D$16,[1]CURSOS!$E$16,(+IF($N148=[1]CURSOS!$D$17,[1]CURSOS!$E$17,(+IF($N148=[1]CURSOS!$D$18,[1]CURSOS!$E$18,(+IF($N148=[1]CURSOS!$D$19,[1]CURSOS!$E$19,(+IF($N148=[1]CURSOS!$D$20,[1]CURSOS!$E$20,(+IF($N148=[1]CURSOS!$D$21,[1]CURSOS!$E$21,(+IF($N148=[1]CURSOS!$D$22,[1]CURSOS!$E$22,(+IF($N148=[1]CURSOS!$D$23,[1]CURSOS!$E$23,(+IF($N148=[1]CURSOS!$D$24,[1]CURSOS!$E$24,(+IF($N148=[1]CURSOS!$D$25,[1]CURSOS!$E$25,(+IF($N148=[1]CURSOS!$D$26,[1]CURSOS!$E$26,(+IF($N148=[1]CURSOS!$D$27,[1]CURSOS!$E$27,(+IF($N148=[1]CURSOS!$D$28,[1]CURSOS!$E$28,(+IF($N148=[1]CURSOS!$D$29,[1]CURSOS!$E$29,(+IF($N148=[1]CURSOS!$D$30,[1]CURSOS!$E$30,(+IF($N148=[1]CURSOS!$D$31,[1]CURSOS!$E$31,(+IF($N148=[1]CURSOS!$D$32,[1]CURSOS!$E$32)))))))))))))))))))))))))))))))))))))))))))))))))))))))))))</f>
        <v xml:space="preserve">ATENCION A VICTIMAS DE ATAQUE CON AGENTES QUIMICOS </v>
      </c>
      <c r="T148" s="16" t="str">
        <f t="shared" si="15"/>
        <v>Ximena Liceth Realpe Arcos</v>
      </c>
      <c r="U148" s="16" t="str">
        <f t="shared" si="16"/>
        <v>Ximena Liceth Realpe Arcos</v>
      </c>
      <c r="V148" s="16" t="str">
        <f t="shared" si="17"/>
        <v>Ximena Liceth Realpe Arcos-1085306084-QUIMICOS</v>
      </c>
    </row>
    <row r="149" spans="1:22" x14ac:dyDescent="0.2">
      <c r="A149" s="16">
        <v>149</v>
      </c>
      <c r="B149" s="16">
        <v>87062836</v>
      </c>
      <c r="C149" s="16" t="s">
        <v>214</v>
      </c>
      <c r="D149" s="16" t="s">
        <v>207</v>
      </c>
      <c r="E149" s="16" t="s">
        <v>312</v>
      </c>
      <c r="F149" s="17" t="s">
        <v>311</v>
      </c>
      <c r="G149" s="16">
        <v>19</v>
      </c>
      <c r="H149" s="16" t="s">
        <v>41</v>
      </c>
      <c r="I149" s="18" t="s">
        <v>34</v>
      </c>
      <c r="K149" s="16" t="s">
        <v>221</v>
      </c>
      <c r="L149" s="16" t="s">
        <v>222</v>
      </c>
      <c r="M149" s="16" t="s">
        <v>324</v>
      </c>
      <c r="N149" s="16" t="s">
        <v>25</v>
      </c>
      <c r="P149" s="21" t="s">
        <v>83</v>
      </c>
      <c r="Q149" s="16" t="s">
        <v>30</v>
      </c>
      <c r="S149" s="16" t="str">
        <f>+IF($N149=[1]CURSOS!$D$3,[1]CURSOS!$E$3,(+IF($N149=[1]CURSOS!$D$4,[1]CURSOS!$E$4,(+IF($N149=[1]CURSOS!$D$5,[1]CURSOS!$E$5,(+IF($N149=[1]CURSOS!$D$6,[1]CURSOS!$E$6,(+IF($N149=[1]CURSOS!$D$7,[1]CURSOS!$E$7,(+IF($N149=[1]CURSOS!$D$8,[1]CURSOS!$E$8,(+IF($N149=[1]CURSOS!$D$9,[1]CURSOS!$E$9,(+IF($N149=[1]CURSOS!$D$10,[1]CURSOS!$E$10,(+IF($N149=[1]CURSOS!$D$11,[1]CURSOS!$E$11,(+IF($N149=[1]CURSOS!$D$12,[1]CURSOS!$E$12,(+IF($N149=[1]CURSOS!$D$13,[1]CURSOS!$E$13,(+IF($N149=[1]CURSOS!$D$14,[1]CURSOS!$E$14,(+IF($N149=[1]CURSOS!$D$15,[1]CURSOS!$E$15,(+IF($N149=[1]CURSOS!$D$16,[1]CURSOS!$E$16,(+IF($N149=[1]CURSOS!$D$17,[1]CURSOS!$E$17,(+IF($N149=[1]CURSOS!$D$18,[1]CURSOS!$E$18,(+IF($N149=[1]CURSOS!$D$19,[1]CURSOS!$E$19,(+IF($N149=[1]CURSOS!$D$20,[1]CURSOS!$E$20,(+IF($N149=[1]CURSOS!$D$21,[1]CURSOS!$E$21,(+IF($N149=[1]CURSOS!$D$22,[1]CURSOS!$E$22,(+IF($N149=[1]CURSOS!$D$23,[1]CURSOS!$E$23,(+IF($N149=[1]CURSOS!$D$24,[1]CURSOS!$E$24,(+IF($N149=[1]CURSOS!$D$25,[1]CURSOS!$E$25,(+IF($N149=[1]CURSOS!$D$26,[1]CURSOS!$E$26,(+IF($N149=[1]CURSOS!$D$27,[1]CURSOS!$E$27,(+IF($N149=[1]CURSOS!$D$28,[1]CURSOS!$E$28,(+IF($N149=[1]CURSOS!$D$29,[1]CURSOS!$E$29,(+IF($N149=[1]CURSOS!$D$30,[1]CURSOS!$E$30,(+IF($N149=[1]CURSOS!$D$31,[1]CURSOS!$E$31,(+IF($N149=[1]CURSOS!$D$32,[1]CURSOS!$E$32)))))))))))))))))))))))))))))))))))))))))))))))))))))))))))</f>
        <v xml:space="preserve">ATENCION A VICTIMAS DE VIOLENCIA SEXUAL </v>
      </c>
      <c r="T149" s="16" t="str">
        <f t="shared" si="15"/>
        <v>LIBARDO ERNESTO BENAVIDES RODRIGUEZ</v>
      </c>
      <c r="U149" s="16" t="str">
        <f t="shared" si="16"/>
        <v>Libardo Ernesto Benavides Rodriguez</v>
      </c>
      <c r="V149" s="16" t="str">
        <f t="shared" si="17"/>
        <v>LIBARDO ERNESTO BENAVIDES RODRIGUEZ-87062836-VIOLENCIA SEXUAL</v>
      </c>
    </row>
    <row r="150" spans="1:22" x14ac:dyDescent="0.2">
      <c r="A150" s="16">
        <v>150</v>
      </c>
      <c r="B150" s="16">
        <v>12752007</v>
      </c>
      <c r="C150" s="16" t="s">
        <v>316</v>
      </c>
      <c r="D150" s="16" t="s">
        <v>315</v>
      </c>
      <c r="E150" s="16" t="s">
        <v>314</v>
      </c>
      <c r="F150" s="17" t="s">
        <v>313</v>
      </c>
      <c r="G150" s="16">
        <v>19</v>
      </c>
      <c r="H150" s="16" t="s">
        <v>41</v>
      </c>
      <c r="I150" s="18" t="s">
        <v>34</v>
      </c>
      <c r="K150" s="16" t="s">
        <v>221</v>
      </c>
      <c r="L150" s="16" t="s">
        <v>222</v>
      </c>
      <c r="M150" s="16" t="s">
        <v>324</v>
      </c>
      <c r="N150" s="16" t="s">
        <v>25</v>
      </c>
      <c r="P150" s="21" t="s">
        <v>83</v>
      </c>
      <c r="Q150" s="16" t="s">
        <v>30</v>
      </c>
      <c r="S150" s="16" t="str">
        <f>+IF($N150=[1]CURSOS!$D$3,[1]CURSOS!$E$3,(+IF($N150=[1]CURSOS!$D$4,[1]CURSOS!$E$4,(+IF($N150=[1]CURSOS!$D$5,[1]CURSOS!$E$5,(+IF($N150=[1]CURSOS!$D$6,[1]CURSOS!$E$6,(+IF($N150=[1]CURSOS!$D$7,[1]CURSOS!$E$7,(+IF($N150=[1]CURSOS!$D$8,[1]CURSOS!$E$8,(+IF($N150=[1]CURSOS!$D$9,[1]CURSOS!$E$9,(+IF($N150=[1]CURSOS!$D$10,[1]CURSOS!$E$10,(+IF($N150=[1]CURSOS!$D$11,[1]CURSOS!$E$11,(+IF($N150=[1]CURSOS!$D$12,[1]CURSOS!$E$12,(+IF($N150=[1]CURSOS!$D$13,[1]CURSOS!$E$13,(+IF($N150=[1]CURSOS!$D$14,[1]CURSOS!$E$14,(+IF($N150=[1]CURSOS!$D$15,[1]CURSOS!$E$15,(+IF($N150=[1]CURSOS!$D$16,[1]CURSOS!$E$16,(+IF($N150=[1]CURSOS!$D$17,[1]CURSOS!$E$17,(+IF($N150=[1]CURSOS!$D$18,[1]CURSOS!$E$18,(+IF($N150=[1]CURSOS!$D$19,[1]CURSOS!$E$19,(+IF($N150=[1]CURSOS!$D$20,[1]CURSOS!$E$20,(+IF($N150=[1]CURSOS!$D$21,[1]CURSOS!$E$21,(+IF($N150=[1]CURSOS!$D$22,[1]CURSOS!$E$22,(+IF($N150=[1]CURSOS!$D$23,[1]CURSOS!$E$23,(+IF($N150=[1]CURSOS!$D$24,[1]CURSOS!$E$24,(+IF($N150=[1]CURSOS!$D$25,[1]CURSOS!$E$25,(+IF($N150=[1]CURSOS!$D$26,[1]CURSOS!$E$26,(+IF($N150=[1]CURSOS!$D$27,[1]CURSOS!$E$27,(+IF($N150=[1]CURSOS!$D$28,[1]CURSOS!$E$28,(+IF($N150=[1]CURSOS!$D$29,[1]CURSOS!$E$29,(+IF($N150=[1]CURSOS!$D$30,[1]CURSOS!$E$30,(+IF($N150=[1]CURSOS!$D$31,[1]CURSOS!$E$31,(+IF($N150=[1]CURSOS!$D$32,[1]CURSOS!$E$32)))))))))))))))))))))))))))))))))))))))))))))))))))))))))))</f>
        <v xml:space="preserve">ATENCION A VICTIMAS DE VIOLENCIA SEXUAL </v>
      </c>
      <c r="T150" s="16" t="str">
        <f t="shared" si="15"/>
        <v>IVAN DARIO HERNANDEZ ERAZO</v>
      </c>
      <c r="U150" s="16" t="str">
        <f t="shared" si="16"/>
        <v>Ivan Dario Hernandez Erazo</v>
      </c>
      <c r="V150" s="16" t="str">
        <f t="shared" si="17"/>
        <v>IVAN DARIO HERNANDEZ ERAZO-12752007-VIOLENCIA SEXUAL</v>
      </c>
    </row>
    <row r="151" spans="1:22" x14ac:dyDescent="0.2">
      <c r="A151" s="16">
        <v>151</v>
      </c>
      <c r="B151" s="16">
        <v>4617346</v>
      </c>
      <c r="C151" s="16" t="s">
        <v>319</v>
      </c>
      <c r="D151" s="16" t="s">
        <v>318</v>
      </c>
      <c r="E151" s="16" t="s">
        <v>182</v>
      </c>
      <c r="F151" s="17" t="s">
        <v>317</v>
      </c>
      <c r="G151" s="16">
        <v>19</v>
      </c>
      <c r="H151" s="16" t="s">
        <v>41</v>
      </c>
      <c r="I151" s="18" t="s">
        <v>34</v>
      </c>
      <c r="K151" s="16" t="s">
        <v>221</v>
      </c>
      <c r="L151" s="16" t="s">
        <v>222</v>
      </c>
      <c r="M151" s="16" t="s">
        <v>324</v>
      </c>
      <c r="N151" s="16" t="s">
        <v>25</v>
      </c>
      <c r="P151" s="21" t="s">
        <v>83</v>
      </c>
      <c r="Q151" s="16" t="s">
        <v>30</v>
      </c>
      <c r="S151" s="16" t="str">
        <f>+IF($N151=[1]CURSOS!$D$3,[1]CURSOS!$E$3,(+IF($N151=[1]CURSOS!$D$4,[1]CURSOS!$E$4,(+IF($N151=[1]CURSOS!$D$5,[1]CURSOS!$E$5,(+IF($N151=[1]CURSOS!$D$6,[1]CURSOS!$E$6,(+IF($N151=[1]CURSOS!$D$7,[1]CURSOS!$E$7,(+IF($N151=[1]CURSOS!$D$8,[1]CURSOS!$E$8,(+IF($N151=[1]CURSOS!$D$9,[1]CURSOS!$E$9,(+IF($N151=[1]CURSOS!$D$10,[1]CURSOS!$E$10,(+IF($N151=[1]CURSOS!$D$11,[1]CURSOS!$E$11,(+IF($N151=[1]CURSOS!$D$12,[1]CURSOS!$E$12,(+IF($N151=[1]CURSOS!$D$13,[1]CURSOS!$E$13,(+IF($N151=[1]CURSOS!$D$14,[1]CURSOS!$E$14,(+IF($N151=[1]CURSOS!$D$15,[1]CURSOS!$E$15,(+IF($N151=[1]CURSOS!$D$16,[1]CURSOS!$E$16,(+IF($N151=[1]CURSOS!$D$17,[1]CURSOS!$E$17,(+IF($N151=[1]CURSOS!$D$18,[1]CURSOS!$E$18,(+IF($N151=[1]CURSOS!$D$19,[1]CURSOS!$E$19,(+IF($N151=[1]CURSOS!$D$20,[1]CURSOS!$E$20,(+IF($N151=[1]CURSOS!$D$21,[1]CURSOS!$E$21,(+IF($N151=[1]CURSOS!$D$22,[1]CURSOS!$E$22,(+IF($N151=[1]CURSOS!$D$23,[1]CURSOS!$E$23,(+IF($N151=[1]CURSOS!$D$24,[1]CURSOS!$E$24,(+IF($N151=[1]CURSOS!$D$25,[1]CURSOS!$E$25,(+IF($N151=[1]CURSOS!$D$26,[1]CURSOS!$E$26,(+IF($N151=[1]CURSOS!$D$27,[1]CURSOS!$E$27,(+IF($N151=[1]CURSOS!$D$28,[1]CURSOS!$E$28,(+IF($N151=[1]CURSOS!$D$29,[1]CURSOS!$E$29,(+IF($N151=[1]CURSOS!$D$30,[1]CURSOS!$E$30,(+IF($N151=[1]CURSOS!$D$31,[1]CURSOS!$E$31,(+IF($N151=[1]CURSOS!$D$32,[1]CURSOS!$E$32)))))))))))))))))))))))))))))))))))))))))))))))))))))))))))</f>
        <v xml:space="preserve">ATENCION A VICTIMAS DE VIOLENCIA SEXUAL </v>
      </c>
      <c r="T151" s="16" t="str">
        <f t="shared" si="15"/>
        <v>LUIS GABRIEL PORTILLA BURBANO</v>
      </c>
      <c r="U151" s="16" t="str">
        <f t="shared" si="16"/>
        <v>Luis Gabriel Portilla Burbano</v>
      </c>
      <c r="V151" s="16" t="str">
        <f t="shared" si="17"/>
        <v>LUIS GABRIEL PORTILLA BURBANO-4617346-VIOLENCIA SEXUAL</v>
      </c>
    </row>
    <row r="152" spans="1:22" x14ac:dyDescent="0.2">
      <c r="A152" s="16">
        <v>152</v>
      </c>
      <c r="B152" s="16">
        <v>79831304</v>
      </c>
      <c r="C152" s="16" t="s">
        <v>214</v>
      </c>
      <c r="D152" s="16" t="s">
        <v>214</v>
      </c>
      <c r="E152" s="16" t="s">
        <v>321</v>
      </c>
      <c r="F152" s="17" t="s">
        <v>320</v>
      </c>
      <c r="G152" s="16">
        <v>19</v>
      </c>
      <c r="H152" s="16" t="s">
        <v>41</v>
      </c>
      <c r="I152" s="18" t="s">
        <v>34</v>
      </c>
      <c r="K152" s="16" t="s">
        <v>221</v>
      </c>
      <c r="L152" s="16" t="s">
        <v>222</v>
      </c>
      <c r="M152" s="16" t="s">
        <v>324</v>
      </c>
      <c r="N152" s="16" t="s">
        <v>25</v>
      </c>
      <c r="P152" s="21" t="s">
        <v>83</v>
      </c>
      <c r="Q152" s="16" t="s">
        <v>30</v>
      </c>
      <c r="S152" s="16" t="str">
        <f>+IF($N152=[1]CURSOS!$D$3,[1]CURSOS!$E$3,(+IF($N152=[1]CURSOS!$D$4,[1]CURSOS!$E$4,(+IF($N152=[1]CURSOS!$D$5,[1]CURSOS!$E$5,(+IF($N152=[1]CURSOS!$D$6,[1]CURSOS!$E$6,(+IF($N152=[1]CURSOS!$D$7,[1]CURSOS!$E$7,(+IF($N152=[1]CURSOS!$D$8,[1]CURSOS!$E$8,(+IF($N152=[1]CURSOS!$D$9,[1]CURSOS!$E$9,(+IF($N152=[1]CURSOS!$D$10,[1]CURSOS!$E$10,(+IF($N152=[1]CURSOS!$D$11,[1]CURSOS!$E$11,(+IF($N152=[1]CURSOS!$D$12,[1]CURSOS!$E$12,(+IF($N152=[1]CURSOS!$D$13,[1]CURSOS!$E$13,(+IF($N152=[1]CURSOS!$D$14,[1]CURSOS!$E$14,(+IF($N152=[1]CURSOS!$D$15,[1]CURSOS!$E$15,(+IF($N152=[1]CURSOS!$D$16,[1]CURSOS!$E$16,(+IF($N152=[1]CURSOS!$D$17,[1]CURSOS!$E$17,(+IF($N152=[1]CURSOS!$D$18,[1]CURSOS!$E$18,(+IF($N152=[1]CURSOS!$D$19,[1]CURSOS!$E$19,(+IF($N152=[1]CURSOS!$D$20,[1]CURSOS!$E$20,(+IF($N152=[1]CURSOS!$D$21,[1]CURSOS!$E$21,(+IF($N152=[1]CURSOS!$D$22,[1]CURSOS!$E$22,(+IF($N152=[1]CURSOS!$D$23,[1]CURSOS!$E$23,(+IF($N152=[1]CURSOS!$D$24,[1]CURSOS!$E$24,(+IF($N152=[1]CURSOS!$D$25,[1]CURSOS!$E$25,(+IF($N152=[1]CURSOS!$D$26,[1]CURSOS!$E$26,(+IF($N152=[1]CURSOS!$D$27,[1]CURSOS!$E$27,(+IF($N152=[1]CURSOS!$D$28,[1]CURSOS!$E$28,(+IF($N152=[1]CURSOS!$D$29,[1]CURSOS!$E$29,(+IF($N152=[1]CURSOS!$D$30,[1]CURSOS!$E$30,(+IF($N152=[1]CURSOS!$D$31,[1]CURSOS!$E$31,(+IF($N152=[1]CURSOS!$D$32,[1]CURSOS!$E$32)))))))))))))))))))))))))))))))))))))))))))))))))))))))))))</f>
        <v xml:space="preserve">ATENCION A VICTIMAS DE VIOLENCIA SEXUAL </v>
      </c>
      <c r="T152" s="16" t="str">
        <f t="shared" si="15"/>
        <v>CARLOS GERMAN BENAVIDES BENAVIDES</v>
      </c>
      <c r="U152" s="16" t="str">
        <f t="shared" si="16"/>
        <v>Carlos German Benavides Benavides</v>
      </c>
      <c r="V152" s="16" t="str">
        <f t="shared" si="17"/>
        <v>CARLOS GERMAN BENAVIDES BENAVIDES-79831304-VIOLENCIA SEXUAL</v>
      </c>
    </row>
    <row r="153" spans="1:22" x14ac:dyDescent="0.2">
      <c r="A153" s="16">
        <v>153</v>
      </c>
      <c r="B153" s="16">
        <v>52387294</v>
      </c>
      <c r="C153" s="16" t="s">
        <v>323</v>
      </c>
      <c r="D153" s="16" t="s">
        <v>322</v>
      </c>
      <c r="E153" s="16" t="s">
        <v>171</v>
      </c>
      <c r="F153" s="17" t="s">
        <v>208</v>
      </c>
      <c r="G153" s="16">
        <v>19</v>
      </c>
      <c r="H153" s="16" t="s">
        <v>41</v>
      </c>
      <c r="I153" s="18" t="s">
        <v>34</v>
      </c>
      <c r="K153" s="16" t="s">
        <v>221</v>
      </c>
      <c r="L153" s="16" t="s">
        <v>222</v>
      </c>
      <c r="M153" s="16" t="s">
        <v>324</v>
      </c>
      <c r="N153" s="16" t="s">
        <v>25</v>
      </c>
      <c r="P153" s="21" t="s">
        <v>31</v>
      </c>
      <c r="Q153" s="16" t="s">
        <v>30</v>
      </c>
      <c r="S153" s="16" t="str">
        <f>+IF($N153=[1]CURSOS!$D$3,[1]CURSOS!$E$3,(+IF($N153=[1]CURSOS!$D$4,[1]CURSOS!$E$4,(+IF($N153=[1]CURSOS!$D$5,[1]CURSOS!$E$5,(+IF($N153=[1]CURSOS!$D$6,[1]CURSOS!$E$6,(+IF($N153=[1]CURSOS!$D$7,[1]CURSOS!$E$7,(+IF($N153=[1]CURSOS!$D$8,[1]CURSOS!$E$8,(+IF($N153=[1]CURSOS!$D$9,[1]CURSOS!$E$9,(+IF($N153=[1]CURSOS!$D$10,[1]CURSOS!$E$10,(+IF($N153=[1]CURSOS!$D$11,[1]CURSOS!$E$11,(+IF($N153=[1]CURSOS!$D$12,[1]CURSOS!$E$12,(+IF($N153=[1]CURSOS!$D$13,[1]CURSOS!$E$13,(+IF($N153=[1]CURSOS!$D$14,[1]CURSOS!$E$14,(+IF($N153=[1]CURSOS!$D$15,[1]CURSOS!$E$15,(+IF($N153=[1]CURSOS!$D$16,[1]CURSOS!$E$16,(+IF($N153=[1]CURSOS!$D$17,[1]CURSOS!$E$17,(+IF($N153=[1]CURSOS!$D$18,[1]CURSOS!$E$18,(+IF($N153=[1]CURSOS!$D$19,[1]CURSOS!$E$19,(+IF($N153=[1]CURSOS!$D$20,[1]CURSOS!$E$20,(+IF($N153=[1]CURSOS!$D$21,[1]CURSOS!$E$21,(+IF($N153=[1]CURSOS!$D$22,[1]CURSOS!$E$22,(+IF($N153=[1]CURSOS!$D$23,[1]CURSOS!$E$23,(+IF($N153=[1]CURSOS!$D$24,[1]CURSOS!$E$24,(+IF($N153=[1]CURSOS!$D$25,[1]CURSOS!$E$25,(+IF($N153=[1]CURSOS!$D$26,[1]CURSOS!$E$26,(+IF($N153=[1]CURSOS!$D$27,[1]CURSOS!$E$27,(+IF($N153=[1]CURSOS!$D$28,[1]CURSOS!$E$28,(+IF($N153=[1]CURSOS!$D$29,[1]CURSOS!$E$29,(+IF($N153=[1]CURSOS!$D$30,[1]CURSOS!$E$30,(+IF($N153=[1]CURSOS!$D$31,[1]CURSOS!$E$31,(+IF($N153=[1]CURSOS!$D$32,[1]CURSOS!$E$32)))))))))))))))))))))))))))))))))))))))))))))))))))))))))))</f>
        <v xml:space="preserve">ATENCION A VICTIMAS DE VIOLENCIA SEXUAL </v>
      </c>
      <c r="T153" s="16" t="str">
        <f t="shared" si="15"/>
        <v>SANDRA PATRICIA CIFUENTES AMORTEGUI</v>
      </c>
      <c r="U153" s="16" t="str">
        <f t="shared" si="16"/>
        <v>Sandra Patricia Cifuentes Amortegui</v>
      </c>
      <c r="V153" s="16" t="str">
        <f t="shared" si="17"/>
        <v>SANDRA PATRICIA CIFUENTES AMORTEGUI-52387294-VIOLENCIA SEXUAL</v>
      </c>
    </row>
    <row r="154" spans="1:22" x14ac:dyDescent="0.2">
      <c r="A154" s="16">
        <v>24</v>
      </c>
      <c r="B154" s="16">
        <v>1084847333</v>
      </c>
      <c r="C154" s="16" t="s">
        <v>57</v>
      </c>
      <c r="D154" s="16" t="s">
        <v>94</v>
      </c>
      <c r="E154" s="16" t="s">
        <v>95</v>
      </c>
      <c r="F154" s="17" t="s">
        <v>96</v>
      </c>
      <c r="G154" s="16">
        <v>7</v>
      </c>
      <c r="H154" s="16" t="s">
        <v>41</v>
      </c>
      <c r="I154" s="18">
        <v>45358</v>
      </c>
      <c r="J154" s="19">
        <v>30000</v>
      </c>
      <c r="K154" s="16" t="s">
        <v>37</v>
      </c>
      <c r="L154" s="16" t="s">
        <v>39</v>
      </c>
      <c r="M154" s="16" t="s">
        <v>29</v>
      </c>
      <c r="N154" s="16" t="s">
        <v>21</v>
      </c>
      <c r="O154" s="20">
        <v>34107</v>
      </c>
      <c r="P154" s="21" t="s">
        <v>83</v>
      </c>
      <c r="Q154" s="16" t="s">
        <v>30</v>
      </c>
      <c r="R154" s="16">
        <v>3175586372</v>
      </c>
      <c r="S154" s="16" t="str">
        <f>+IF($N154=[1]CURSOS!$D$3,[1]CURSOS!$E$3,(+IF($N154=[1]CURSOS!$D$4,[1]CURSOS!$E$4,(+IF($N154=[1]CURSOS!$D$5,[1]CURSOS!$E$5,(+IF($N154=[1]CURSOS!$D$6,[1]CURSOS!$E$6,(+IF($N154=[1]CURSOS!$D$7,[1]CURSOS!$E$7,(+IF($N154=[1]CURSOS!$D$8,[1]CURSOS!$E$8,(+IF($N154=[1]CURSOS!$D$9,[1]CURSOS!$E$9,(+IF($N154=[1]CURSOS!$D$10,[1]CURSOS!$E$10,(+IF($N154=[1]CURSOS!$D$11,[1]CURSOS!$E$11,(+IF($N154=[1]CURSOS!$D$12,[1]CURSOS!$E$12,(+IF($N154=[1]CURSOS!$D$13,[1]CURSOS!$E$13,(+IF($N154=[1]CURSOS!$D$14,[1]CURSOS!$E$14,(+IF($N154=[1]CURSOS!$D$15,[1]CURSOS!$E$15,(+IF($N154=[1]CURSOS!$D$16,[1]CURSOS!$E$16,(+IF($N154=[1]CURSOS!$D$17,[1]CURSOS!$E$17,(+IF($N154=[1]CURSOS!$D$18,[1]CURSOS!$E$18,(+IF($N154=[1]CURSOS!$D$19,[1]CURSOS!$E$19,(+IF($N154=[1]CURSOS!$D$20,[1]CURSOS!$E$20,(+IF($N154=[1]CURSOS!$D$21,[1]CURSOS!$E$21,(+IF($N154=[1]CURSOS!$D$22,[1]CURSOS!$E$22,(+IF($N154=[1]CURSOS!$D$23,[1]CURSOS!$E$23,(+IF($N154=[1]CURSOS!$D$24,[1]CURSOS!$E$24,(+IF($N154=[1]CURSOS!$D$25,[1]CURSOS!$E$25,(+IF($N154=[1]CURSOS!$D$26,[1]CURSOS!$E$26,(+IF($N154=[1]CURSOS!$D$27,[1]CURSOS!$E$27,(+IF($N154=[1]CURSOS!$D$28,[1]CURSOS!$E$28,(+IF($N154=[1]CURSOS!$D$29,[1]CURSOS!$E$29,(+IF($N154=[1]CURSOS!$D$30,[1]CURSOS!$E$30,(+IF($N154=[1]CURSOS!$D$31,[1]CURSOS!$E$31,(+IF($N154=[1]CURSOS!$D$32,[1]CURSOS!$E$32)))))))))))))))))))))))))))))))))))))))))))))))))))))))))))</f>
        <v xml:space="preserve">ATENCION A VICTIMAS DE ATAQUE CON AGENTES QUIMICOS </v>
      </c>
      <c r="T154" s="16" t="str">
        <f t="shared" si="15"/>
        <v>Dario Alexander Benavides Miño</v>
      </c>
      <c r="U154" s="16" t="str">
        <f t="shared" si="16"/>
        <v>Dario Alexander Benavides Miño</v>
      </c>
      <c r="V154" s="16" t="str">
        <f t="shared" si="17"/>
        <v>Dario Alexander Benavides Miño-1084847333-QUIMICOS</v>
      </c>
    </row>
    <row r="155" spans="1:22" x14ac:dyDescent="0.2">
      <c r="A155" s="16">
        <v>25</v>
      </c>
      <c r="B155" s="16">
        <v>1004231900</v>
      </c>
      <c r="C155" s="16" t="s">
        <v>97</v>
      </c>
      <c r="D155" s="16" t="s">
        <v>98</v>
      </c>
      <c r="E155" s="16" t="s">
        <v>99</v>
      </c>
      <c r="F155" s="17" t="s">
        <v>100</v>
      </c>
      <c r="G155" s="16">
        <v>7</v>
      </c>
      <c r="H155" s="16" t="s">
        <v>41</v>
      </c>
      <c r="I155" s="18">
        <v>45358</v>
      </c>
      <c r="J155" s="19">
        <v>65000</v>
      </c>
      <c r="K155" s="16" t="s">
        <v>37</v>
      </c>
      <c r="L155" s="16" t="s">
        <v>101</v>
      </c>
      <c r="M155" s="16" t="s">
        <v>29</v>
      </c>
      <c r="N155" s="16" t="s">
        <v>21</v>
      </c>
      <c r="O155" s="20">
        <v>36650</v>
      </c>
      <c r="P155" s="21" t="s">
        <v>31</v>
      </c>
      <c r="Q155" s="16" t="s">
        <v>102</v>
      </c>
      <c r="R155" s="16">
        <v>3170303950</v>
      </c>
      <c r="S155" s="16" t="str">
        <f>+IF($N155=[1]CURSOS!$D$3,[1]CURSOS!$E$3,(+IF($N155=[1]CURSOS!$D$4,[1]CURSOS!$E$4,(+IF($N155=[1]CURSOS!$D$5,[1]CURSOS!$E$5,(+IF($N155=[1]CURSOS!$D$6,[1]CURSOS!$E$6,(+IF($N155=[1]CURSOS!$D$7,[1]CURSOS!$E$7,(+IF($N155=[1]CURSOS!$D$8,[1]CURSOS!$E$8,(+IF($N155=[1]CURSOS!$D$9,[1]CURSOS!$E$9,(+IF($N155=[1]CURSOS!$D$10,[1]CURSOS!$E$10,(+IF($N155=[1]CURSOS!$D$11,[1]CURSOS!$E$11,(+IF($N155=[1]CURSOS!$D$12,[1]CURSOS!$E$12,(+IF($N155=[1]CURSOS!$D$13,[1]CURSOS!$E$13,(+IF($N155=[1]CURSOS!$D$14,[1]CURSOS!$E$14,(+IF($N155=[1]CURSOS!$D$15,[1]CURSOS!$E$15,(+IF($N155=[1]CURSOS!$D$16,[1]CURSOS!$E$16,(+IF($N155=[1]CURSOS!$D$17,[1]CURSOS!$E$17,(+IF($N155=[1]CURSOS!$D$18,[1]CURSOS!$E$18,(+IF($N155=[1]CURSOS!$D$19,[1]CURSOS!$E$19,(+IF($N155=[1]CURSOS!$D$20,[1]CURSOS!$E$20,(+IF($N155=[1]CURSOS!$D$21,[1]CURSOS!$E$21,(+IF($N155=[1]CURSOS!$D$22,[1]CURSOS!$E$22,(+IF($N155=[1]CURSOS!$D$23,[1]CURSOS!$E$23,(+IF($N155=[1]CURSOS!$D$24,[1]CURSOS!$E$24,(+IF($N155=[1]CURSOS!$D$25,[1]CURSOS!$E$25,(+IF($N155=[1]CURSOS!$D$26,[1]CURSOS!$E$26,(+IF($N155=[1]CURSOS!$D$27,[1]CURSOS!$E$27,(+IF($N155=[1]CURSOS!$D$28,[1]CURSOS!$E$28,(+IF($N155=[1]CURSOS!$D$29,[1]CURSOS!$E$29,(+IF($N155=[1]CURSOS!$D$30,[1]CURSOS!$E$30,(+IF($N155=[1]CURSOS!$D$31,[1]CURSOS!$E$31,(+IF($N155=[1]CURSOS!$D$32,[1]CURSOS!$E$32)))))))))))))))))))))))))))))))))))))))))))))))))))))))))))</f>
        <v xml:space="preserve">ATENCION A VICTIMAS DE ATAQUE CON AGENTES QUIMICOS </v>
      </c>
      <c r="T155" s="16" t="str">
        <f t="shared" si="15"/>
        <v>sammy nathalia munares mera</v>
      </c>
      <c r="U155" s="16" t="str">
        <f t="shared" si="16"/>
        <v>Sammy Nathalia Munares Mera</v>
      </c>
      <c r="V155" s="16" t="str">
        <f t="shared" si="17"/>
        <v>sammy nathalia munares mera-1004231900-QUIMICOS</v>
      </c>
    </row>
    <row r="156" spans="1:22" x14ac:dyDescent="0.2">
      <c r="A156" s="16">
        <v>11</v>
      </c>
      <c r="B156" s="16">
        <v>1085338976</v>
      </c>
      <c r="C156" s="16" t="s">
        <v>57</v>
      </c>
      <c r="D156" s="16" t="s">
        <v>72</v>
      </c>
      <c r="E156" s="16" t="s">
        <v>73</v>
      </c>
      <c r="F156" s="17" t="s">
        <v>74</v>
      </c>
      <c r="G156" s="16">
        <v>5</v>
      </c>
      <c r="H156" s="16" t="s">
        <v>41</v>
      </c>
      <c r="I156" s="18">
        <v>45356</v>
      </c>
      <c r="J156" s="19">
        <v>40000</v>
      </c>
      <c r="K156" s="16" t="s">
        <v>37</v>
      </c>
      <c r="L156" s="16" t="s">
        <v>39</v>
      </c>
      <c r="M156" s="16" t="s">
        <v>29</v>
      </c>
      <c r="N156" s="16" t="s">
        <v>28</v>
      </c>
      <c r="O156" s="20">
        <v>35823</v>
      </c>
      <c r="P156" s="21" t="s">
        <v>31</v>
      </c>
      <c r="Q156" s="16" t="s">
        <v>30</v>
      </c>
      <c r="R156" s="16">
        <v>3218497253</v>
      </c>
      <c r="S156" s="16" t="str">
        <f>+IF($N156=[1]CURSOS!$D$3,[1]CURSOS!$E$3,(+IF($N156=[1]CURSOS!$D$4,[1]CURSOS!$E$4,(+IF($N156=[1]CURSOS!$D$5,[1]CURSOS!$E$5,(+IF($N156=[1]CURSOS!$D$6,[1]CURSOS!$E$6,(+IF($N156=[1]CURSOS!$D$7,[1]CURSOS!$E$7,(+IF($N156=[1]CURSOS!$D$8,[1]CURSOS!$E$8,(+IF($N156=[1]CURSOS!$D$9,[1]CURSOS!$E$9,(+IF($N156=[1]CURSOS!$D$10,[1]CURSOS!$E$10,(+IF($N156=[1]CURSOS!$D$11,[1]CURSOS!$E$11,(+IF($N156=[1]CURSOS!$D$12,[1]CURSOS!$E$12,(+IF($N156=[1]CURSOS!$D$13,[1]CURSOS!$E$13,(+IF($N156=[1]CURSOS!$D$14,[1]CURSOS!$E$14,(+IF($N156=[1]CURSOS!$D$15,[1]CURSOS!$E$15,(+IF($N156=[1]CURSOS!$D$16,[1]CURSOS!$E$16,(+IF($N156=[1]CURSOS!$D$17,[1]CURSOS!$E$17,(+IF($N156=[1]CURSOS!$D$18,[1]CURSOS!$E$18,(+IF($N156=[1]CURSOS!$D$19,[1]CURSOS!$E$19,(+IF($N156=[1]CURSOS!$D$20,[1]CURSOS!$E$20,(+IF($N156=[1]CURSOS!$D$21,[1]CURSOS!$E$21,(+IF($N156=[1]CURSOS!$D$22,[1]CURSOS!$E$22,(+IF($N156=[1]CURSOS!$D$23,[1]CURSOS!$E$23,(+IF($N156=[1]CURSOS!$D$24,[1]CURSOS!$E$24,(+IF($N156=[1]CURSOS!$D$25,[1]CURSOS!$E$25,(+IF($N156=[1]CURSOS!$D$26,[1]CURSOS!$E$26,(+IF($N156=[1]CURSOS!$D$27,[1]CURSOS!$E$27,(+IF($N156=[1]CURSOS!$D$28,[1]CURSOS!$E$28,(+IF($N156=[1]CURSOS!$D$29,[1]CURSOS!$E$29,(+IF($N156=[1]CURSOS!$D$30,[1]CURSOS!$E$30,(+IF($N156=[1]CURSOS!$D$31,[1]CURSOS!$E$31,(+IF($N156=[1]CURSOS!$D$32,[1]CURSOS!$E$32)))))))))))))))))))))))))))))))))))))))))))))))))))))))))))</f>
        <v>MANEJO DEL DOLOR Y CUIDADOS PALIATIVOS</v>
      </c>
      <c r="T156" s="16" t="str">
        <f t="shared" si="15"/>
        <v>Daira Yalile Benavides Benitez</v>
      </c>
      <c r="U156" s="16" t="str">
        <f t="shared" si="16"/>
        <v>Daira Yalile Benavides Benitez</v>
      </c>
      <c r="V156" s="16" t="str">
        <f t="shared" si="17"/>
        <v>Daira Yalile Benavides Benitez-1085338976-PALIATIVOS</v>
      </c>
    </row>
    <row r="157" spans="1:22" x14ac:dyDescent="0.2">
      <c r="A157" s="16">
        <v>16</v>
      </c>
      <c r="B157" s="16">
        <v>1026594949</v>
      </c>
      <c r="C157" s="16" t="s">
        <v>84</v>
      </c>
      <c r="D157" s="16" t="s">
        <v>85</v>
      </c>
      <c r="E157" s="16" t="s">
        <v>86</v>
      </c>
      <c r="F157" s="17" t="s">
        <v>87</v>
      </c>
      <c r="G157" s="16">
        <v>7</v>
      </c>
      <c r="H157" s="16" t="s">
        <v>41</v>
      </c>
      <c r="I157" s="18">
        <v>45355</v>
      </c>
      <c r="J157" s="19">
        <v>50000</v>
      </c>
      <c r="K157" s="16" t="s">
        <v>37</v>
      </c>
      <c r="L157" s="16" t="s">
        <v>39</v>
      </c>
      <c r="M157" s="16" t="s">
        <v>29</v>
      </c>
      <c r="N157" s="16" t="s">
        <v>25</v>
      </c>
      <c r="O157" s="20">
        <v>35959</v>
      </c>
      <c r="P157" s="21" t="s">
        <v>31</v>
      </c>
      <c r="Q157" s="16" t="s">
        <v>30</v>
      </c>
      <c r="R157" s="16">
        <v>3216736676</v>
      </c>
      <c r="S157" s="16" t="str">
        <f>+IF($N157=[1]CURSOS!$D$3,[1]CURSOS!$E$3,(+IF($N157=[1]CURSOS!$D$4,[1]CURSOS!$E$4,(+IF($N157=[1]CURSOS!$D$5,[1]CURSOS!$E$5,(+IF($N157=[1]CURSOS!$D$6,[1]CURSOS!$E$6,(+IF($N157=[1]CURSOS!$D$7,[1]CURSOS!$E$7,(+IF($N157=[1]CURSOS!$D$8,[1]CURSOS!$E$8,(+IF($N157=[1]CURSOS!$D$9,[1]CURSOS!$E$9,(+IF($N157=[1]CURSOS!$D$10,[1]CURSOS!$E$10,(+IF($N157=[1]CURSOS!$D$11,[1]CURSOS!$E$11,(+IF($N157=[1]CURSOS!$D$12,[1]CURSOS!$E$12,(+IF($N157=[1]CURSOS!$D$13,[1]CURSOS!$E$13,(+IF($N157=[1]CURSOS!$D$14,[1]CURSOS!$E$14,(+IF($N157=[1]CURSOS!$D$15,[1]CURSOS!$E$15,(+IF($N157=[1]CURSOS!$D$16,[1]CURSOS!$E$16,(+IF($N157=[1]CURSOS!$D$17,[1]CURSOS!$E$17,(+IF($N157=[1]CURSOS!$D$18,[1]CURSOS!$E$18,(+IF($N157=[1]CURSOS!$D$19,[1]CURSOS!$E$19,(+IF($N157=[1]CURSOS!$D$20,[1]CURSOS!$E$20,(+IF($N157=[1]CURSOS!$D$21,[1]CURSOS!$E$21,(+IF($N157=[1]CURSOS!$D$22,[1]CURSOS!$E$22,(+IF($N157=[1]CURSOS!$D$23,[1]CURSOS!$E$23,(+IF($N157=[1]CURSOS!$D$24,[1]CURSOS!$E$24,(+IF($N157=[1]CURSOS!$D$25,[1]CURSOS!$E$25,(+IF($N157=[1]CURSOS!$D$26,[1]CURSOS!$E$26,(+IF($N157=[1]CURSOS!$D$27,[1]CURSOS!$E$27,(+IF($N157=[1]CURSOS!$D$28,[1]CURSOS!$E$28,(+IF($N157=[1]CURSOS!$D$29,[1]CURSOS!$E$29,(+IF($N157=[1]CURSOS!$D$30,[1]CURSOS!$E$30,(+IF($N157=[1]CURSOS!$D$31,[1]CURSOS!$E$31,(+IF($N157=[1]CURSOS!$D$32,[1]CURSOS!$E$32)))))))))))))))))))))))))))))))))))))))))))))))))))))))))))</f>
        <v xml:space="preserve">ATENCION A VICTIMAS DE VIOLENCIA SEXUAL </v>
      </c>
      <c r="T157" s="16" t="str">
        <f t="shared" si="15"/>
        <v>Danna Elizabeth Valencia Viveros</v>
      </c>
      <c r="U157" s="16" t="str">
        <f t="shared" si="16"/>
        <v>Danna Elizabeth Valencia Viveros</v>
      </c>
      <c r="V157" s="16" t="str">
        <f t="shared" si="17"/>
        <v>Danna Elizabeth Valencia Viveros-1026594949-VIOLENCIA SEXUAL</v>
      </c>
    </row>
    <row r="158" spans="1:22" x14ac:dyDescent="0.2">
      <c r="A158" s="16">
        <v>158</v>
      </c>
      <c r="B158" s="16">
        <v>59796093</v>
      </c>
      <c r="C158" s="16" t="s">
        <v>334</v>
      </c>
      <c r="D158" s="16" t="s">
        <v>335</v>
      </c>
      <c r="E158" s="16" t="s">
        <v>336</v>
      </c>
      <c r="F158" s="17" t="s">
        <v>337</v>
      </c>
      <c r="G158" s="16">
        <v>21</v>
      </c>
      <c r="H158" s="16" t="s">
        <v>41</v>
      </c>
      <c r="I158" s="18">
        <v>45378</v>
      </c>
      <c r="J158" s="19">
        <v>32000</v>
      </c>
      <c r="K158" s="16" t="s">
        <v>32</v>
      </c>
      <c r="L158" s="16" t="s">
        <v>39</v>
      </c>
      <c r="M158" s="16" t="s">
        <v>47</v>
      </c>
      <c r="N158" s="16" t="s">
        <v>20</v>
      </c>
      <c r="O158" s="20">
        <v>28542</v>
      </c>
      <c r="P158" s="21" t="s">
        <v>31</v>
      </c>
      <c r="Q158" s="16" t="s">
        <v>329</v>
      </c>
      <c r="S158" s="16" t="str">
        <f>+IF($N158=[1]CURSOS!$D$3,[1]CURSOS!$E$3,(+IF($N158=[1]CURSOS!$D$4,[1]CURSOS!$E$4,(+IF($N158=[1]CURSOS!$D$5,[1]CURSOS!$E$5,(+IF($N158=[1]CURSOS!$D$6,[1]CURSOS!$E$6,(+IF($N158=[1]CURSOS!$D$7,[1]CURSOS!$E$7,(+IF($N158=[1]CURSOS!$D$8,[1]CURSOS!$E$8,(+IF($N158=[1]CURSOS!$D$9,[1]CURSOS!$E$9,(+IF($N158=[1]CURSOS!$D$10,[1]CURSOS!$E$10,(+IF($N158=[1]CURSOS!$D$11,[1]CURSOS!$E$11,(+IF($N158=[1]CURSOS!$D$12,[1]CURSOS!$E$12,(+IF($N158=[1]CURSOS!$D$13,[1]CURSOS!$E$13,(+IF($N158=[1]CURSOS!$D$14,[1]CURSOS!$E$14,(+IF($N158=[1]CURSOS!$D$15,[1]CURSOS!$E$15,(+IF($N158=[1]CURSOS!$D$16,[1]CURSOS!$E$16,(+IF($N158=[1]CURSOS!$D$17,[1]CURSOS!$E$17,(+IF($N158=[1]CURSOS!$D$18,[1]CURSOS!$E$18,(+IF($N158=[1]CURSOS!$D$19,[1]CURSOS!$E$19,(+IF($N158=[1]CURSOS!$D$20,[1]CURSOS!$E$20,(+IF($N158=[1]CURSOS!$D$21,[1]CURSOS!$E$21,(+IF($N158=[1]CURSOS!$D$22,[1]CURSOS!$E$22,(+IF($N158=[1]CURSOS!$D$23,[1]CURSOS!$E$23,(+IF($N158=[1]CURSOS!$D$24,[1]CURSOS!$E$24,(+IF($N158=[1]CURSOS!$D$25,[1]CURSOS!$E$25,(+IF($N158=[1]CURSOS!$D$26,[1]CURSOS!$E$26,(+IF($N158=[1]CURSOS!$D$27,[1]CURSOS!$E$27,(+IF($N158=[1]CURSOS!$D$28,[1]CURSOS!$E$28,(+IF($N158=[1]CURSOS!$D$29,[1]CURSOS!$E$29,(+IF($N158=[1]CURSOS!$D$30,[1]CURSOS!$E$30,(+IF($N158=[1]CURSOS!$D$31,[1]CURSOS!$E$31,(+IF($N158=[1]CURSOS!$D$32,[1]CURSOS!$E$32)))))))))))))))))))))))))))))))))))))))))))))))))))))))))))</f>
        <v>ACOMPAÑAMIENTO Y MANEJO DEL DUELO</v>
      </c>
      <c r="T158" s="16" t="str">
        <f t="shared" si="15"/>
        <v>Zeneida Del Socorro Florez Eraso</v>
      </c>
      <c r="U158" s="16" t="str">
        <f t="shared" si="16"/>
        <v>Zeneida Del Socorro Florez Eraso</v>
      </c>
      <c r="V158" s="16" t="str">
        <f t="shared" si="17"/>
        <v>Zeneida Del Socorro Florez Eraso-59796093-DUELO</v>
      </c>
    </row>
    <row r="159" spans="1:22" x14ac:dyDescent="0.2">
      <c r="A159" s="16">
        <v>17</v>
      </c>
      <c r="B159" s="16">
        <v>1026594949</v>
      </c>
      <c r="C159" s="16" t="s">
        <v>84</v>
      </c>
      <c r="D159" s="16" t="s">
        <v>85</v>
      </c>
      <c r="E159" s="16" t="s">
        <v>86</v>
      </c>
      <c r="F159" s="17" t="s">
        <v>87</v>
      </c>
      <c r="G159" s="16">
        <v>7</v>
      </c>
      <c r="H159" s="16" t="s">
        <v>41</v>
      </c>
      <c r="I159" s="18">
        <v>45355</v>
      </c>
      <c r="J159" s="19">
        <v>50000</v>
      </c>
      <c r="K159" s="16" t="s">
        <v>37</v>
      </c>
      <c r="L159" s="16" t="s">
        <v>39</v>
      </c>
      <c r="M159" s="16" t="s">
        <v>29</v>
      </c>
      <c r="N159" s="16" t="s">
        <v>23</v>
      </c>
      <c r="O159" s="20">
        <v>35959</v>
      </c>
      <c r="P159" s="21" t="s">
        <v>31</v>
      </c>
      <c r="Q159" s="16" t="s">
        <v>30</v>
      </c>
      <c r="R159" s="16">
        <v>3216736676</v>
      </c>
      <c r="S159" s="16" t="str">
        <f>+IF($N159=[1]CURSOS!$D$3,[1]CURSOS!$E$3,(+IF($N159=[1]CURSOS!$D$4,[1]CURSOS!$E$4,(+IF($N159=[1]CURSOS!$D$5,[1]CURSOS!$E$5,(+IF($N159=[1]CURSOS!$D$6,[1]CURSOS!$E$6,(+IF($N159=[1]CURSOS!$D$7,[1]CURSOS!$E$7,(+IF($N159=[1]CURSOS!$D$8,[1]CURSOS!$E$8,(+IF($N159=[1]CURSOS!$D$9,[1]CURSOS!$E$9,(+IF($N159=[1]CURSOS!$D$10,[1]CURSOS!$E$10,(+IF($N159=[1]CURSOS!$D$11,[1]CURSOS!$E$11,(+IF($N159=[1]CURSOS!$D$12,[1]CURSOS!$E$12,(+IF($N159=[1]CURSOS!$D$13,[1]CURSOS!$E$13,(+IF($N159=[1]CURSOS!$D$14,[1]CURSOS!$E$14,(+IF($N159=[1]CURSOS!$D$15,[1]CURSOS!$E$15,(+IF($N159=[1]CURSOS!$D$16,[1]CURSOS!$E$16,(+IF($N159=[1]CURSOS!$D$17,[1]CURSOS!$E$17,(+IF($N159=[1]CURSOS!$D$18,[1]CURSOS!$E$18,(+IF($N159=[1]CURSOS!$D$19,[1]CURSOS!$E$19,(+IF($N159=[1]CURSOS!$D$20,[1]CURSOS!$E$20,(+IF($N159=[1]CURSOS!$D$21,[1]CURSOS!$E$21,(+IF($N159=[1]CURSOS!$D$22,[1]CURSOS!$E$22,(+IF($N159=[1]CURSOS!$D$23,[1]CURSOS!$E$23,(+IF($N159=[1]CURSOS!$D$24,[1]CURSOS!$E$24,(+IF($N159=[1]CURSOS!$D$25,[1]CURSOS!$E$25,(+IF($N159=[1]CURSOS!$D$26,[1]CURSOS!$E$26,(+IF($N159=[1]CURSOS!$D$27,[1]CURSOS!$E$27,(+IF($N159=[1]CURSOS!$D$28,[1]CURSOS!$E$28,(+IF($N159=[1]CURSOS!$D$29,[1]CURSOS!$E$29,(+IF($N159=[1]CURSOS!$D$30,[1]CURSOS!$E$30,(+IF($N159=[1]CURSOS!$D$31,[1]CURSOS!$E$31,(+IF($N159=[1]CURSOS!$D$32,[1]CURSOS!$E$32)))))))))))))))))))))))))))))))))))))))))))))))))))))))))))</f>
        <v xml:space="preserve">HUMANIZACION EN SALUD, BUENAS PRACTICAS EN PACIENTE </v>
      </c>
      <c r="T159" s="16" t="str">
        <f t="shared" si="15"/>
        <v>Danna Elizabeth Valencia Viveros</v>
      </c>
      <c r="U159" s="16" t="str">
        <f t="shared" si="16"/>
        <v>Danna Elizabeth Valencia Viveros</v>
      </c>
      <c r="V159" s="16" t="str">
        <f t="shared" si="17"/>
        <v>Danna Elizabeth Valencia Viveros-1026594949-HUMANIZACION</v>
      </c>
    </row>
    <row r="160" spans="1:22" x14ac:dyDescent="0.2">
      <c r="A160" s="16">
        <v>2</v>
      </c>
      <c r="B160" s="16">
        <v>1085337212</v>
      </c>
      <c r="C160" s="16" t="s">
        <v>48</v>
      </c>
      <c r="D160" s="16" t="s">
        <v>49</v>
      </c>
      <c r="E160" s="16" t="s">
        <v>50</v>
      </c>
      <c r="F160" s="17" t="s">
        <v>40</v>
      </c>
      <c r="G160" s="16">
        <v>1</v>
      </c>
      <c r="H160" s="16" t="s">
        <v>41</v>
      </c>
      <c r="I160" s="18">
        <v>45352</v>
      </c>
      <c r="J160" s="19">
        <v>50000</v>
      </c>
      <c r="K160" s="16" t="s">
        <v>37</v>
      </c>
      <c r="L160" s="16" t="s">
        <v>39</v>
      </c>
      <c r="M160" s="16" t="s">
        <v>29</v>
      </c>
      <c r="N160" s="16" t="s">
        <v>27</v>
      </c>
      <c r="O160" s="20">
        <v>45555</v>
      </c>
      <c r="P160" s="21" t="s">
        <v>31</v>
      </c>
      <c r="Q160" s="16" t="s">
        <v>51</v>
      </c>
      <c r="R160" s="16">
        <v>3217131045</v>
      </c>
      <c r="S160" s="16" t="str">
        <f>+IF($N160=[1]CURSOS!$D$3,[1]CURSOS!$E$3,(+IF($N160=[1]CURSOS!$D$4,[1]CURSOS!$E$4,(+IF($N160=[1]CURSOS!$D$5,[1]CURSOS!$E$5,(+IF($N160=[1]CURSOS!$D$6,[1]CURSOS!$E$6,(+IF($N160=[1]CURSOS!$D$7,[1]CURSOS!$E$7,(+IF($N160=[1]CURSOS!$D$8,[1]CURSOS!$E$8,(+IF($N160=[1]CURSOS!$D$9,[1]CURSOS!$E$9,(+IF($N160=[1]CURSOS!$D$10,[1]CURSOS!$E$10,(+IF($N160=[1]CURSOS!$D$11,[1]CURSOS!$E$11,(+IF($N160=[1]CURSOS!$D$12,[1]CURSOS!$E$12,(+IF($N160=[1]CURSOS!$D$13,[1]CURSOS!$E$13,(+IF($N160=[1]CURSOS!$D$14,[1]CURSOS!$E$14,(+IF($N160=[1]CURSOS!$D$15,[1]CURSOS!$E$15,(+IF($N160=[1]CURSOS!$D$16,[1]CURSOS!$E$16,(+IF($N160=[1]CURSOS!$D$17,[1]CURSOS!$E$17,(+IF($N160=[1]CURSOS!$D$18,[1]CURSOS!$E$18,(+IF($N160=[1]CURSOS!$D$19,[1]CURSOS!$E$19,(+IF($N160=[1]CURSOS!$D$20,[1]CURSOS!$E$20,(+IF($N160=[1]CURSOS!$D$21,[1]CURSOS!$E$21,(+IF($N160=[1]CURSOS!$D$22,[1]CURSOS!$E$22,(+IF($N160=[1]CURSOS!$D$23,[1]CURSOS!$E$23,(+IF($N160=[1]CURSOS!$D$24,[1]CURSOS!$E$24,(+IF($N160=[1]CURSOS!$D$25,[1]CURSOS!$E$25,(+IF($N160=[1]CURSOS!$D$26,[1]CURSOS!$E$26,(+IF($N160=[1]CURSOS!$D$27,[1]CURSOS!$E$27,(+IF($N160=[1]CURSOS!$D$28,[1]CURSOS!$E$28,(+IF($N160=[1]CURSOS!$D$29,[1]CURSOS!$E$29,(+IF($N160=[1]CURSOS!$D$30,[1]CURSOS!$E$30,(+IF($N160=[1]CURSOS!$D$31,[1]CURSOS!$E$31,(+IF($N160=[1]CURSOS!$D$32,[1]CURSOS!$E$32)))))))))))))))))))))))))))))))))))))))))))))))))))))))))))</f>
        <v xml:space="preserve">ADMINISTRACION DE MEDICAMENTOS, INYECTOLOGIA  Y CANALIZACION </v>
      </c>
      <c r="T160" s="16" t="str">
        <f t="shared" si="15"/>
        <v>Neidy Carolina Guancha Chicaiza</v>
      </c>
      <c r="U160" s="16" t="str">
        <f t="shared" si="16"/>
        <v>Neidy Carolina Guancha Chicaiza</v>
      </c>
      <c r="V160" s="16" t="str">
        <f t="shared" si="17"/>
        <v>Neidy Carolina Guancha Chicaiza-1085337212-ADMON DE MEDICAMENTOS</v>
      </c>
    </row>
    <row r="161" spans="1:22" x14ac:dyDescent="0.2">
      <c r="A161" s="16">
        <v>8</v>
      </c>
      <c r="B161" s="16">
        <v>1086133424</v>
      </c>
      <c r="C161" s="16" t="s">
        <v>53</v>
      </c>
      <c r="D161" s="16" t="s">
        <v>57</v>
      </c>
      <c r="E161" s="16" t="s">
        <v>70</v>
      </c>
      <c r="F161" s="16" t="s">
        <v>71</v>
      </c>
      <c r="G161" s="16">
        <v>4</v>
      </c>
      <c r="H161" s="16" t="s">
        <v>41</v>
      </c>
      <c r="I161" s="18">
        <v>45352</v>
      </c>
      <c r="J161" s="19">
        <v>30000</v>
      </c>
      <c r="K161" s="16" t="s">
        <v>37</v>
      </c>
      <c r="L161" s="16" t="s">
        <v>39</v>
      </c>
      <c r="M161" s="16" t="s">
        <v>29</v>
      </c>
      <c r="N161" s="16" t="s">
        <v>19</v>
      </c>
      <c r="O161" s="20">
        <v>38597</v>
      </c>
      <c r="P161" s="21" t="s">
        <v>31</v>
      </c>
      <c r="Q161" s="16" t="s">
        <v>51</v>
      </c>
      <c r="R161" s="16">
        <v>3117758552</v>
      </c>
      <c r="S161" s="16" t="str">
        <f>+IF($N161=[1]CURSOS!$D$3,[1]CURSOS!$E$3,(+IF($N161=[1]CURSOS!$D$4,[1]CURSOS!$E$4,(+IF($N161=[1]CURSOS!$D$5,[1]CURSOS!$E$5,(+IF($N161=[1]CURSOS!$D$6,[1]CURSOS!$E$6,(+IF($N161=[1]CURSOS!$D$7,[1]CURSOS!$E$7,(+IF($N161=[1]CURSOS!$D$8,[1]CURSOS!$E$8,(+IF($N161=[1]CURSOS!$D$9,[1]CURSOS!$E$9,(+IF($N161=[1]CURSOS!$D$10,[1]CURSOS!$E$10,(+IF($N161=[1]CURSOS!$D$11,[1]CURSOS!$E$11,(+IF($N161=[1]CURSOS!$D$12,[1]CURSOS!$E$12,(+IF($N161=[1]CURSOS!$D$13,[1]CURSOS!$E$13,(+IF($N161=[1]CURSOS!$D$14,[1]CURSOS!$E$14,(+IF($N161=[1]CURSOS!$D$15,[1]CURSOS!$E$15,(+IF($N161=[1]CURSOS!$D$16,[1]CURSOS!$E$16,(+IF($N161=[1]CURSOS!$D$17,[1]CURSOS!$E$17,(+IF($N161=[1]CURSOS!$D$18,[1]CURSOS!$E$18,(+IF($N161=[1]CURSOS!$D$19,[1]CURSOS!$E$19,(+IF($N161=[1]CURSOS!$D$20,[1]CURSOS!$E$20,(+IF($N161=[1]CURSOS!$D$21,[1]CURSOS!$E$21,(+IF($N161=[1]CURSOS!$D$22,[1]CURSOS!$E$22,(+IF($N161=[1]CURSOS!$D$23,[1]CURSOS!$E$23,(+IF($N161=[1]CURSOS!$D$24,[1]CURSOS!$E$24,(+IF($N161=[1]CURSOS!$D$25,[1]CURSOS!$E$25,(+IF($N161=[1]CURSOS!$D$26,[1]CURSOS!$E$26,(+IF($N161=[1]CURSOS!$D$27,[1]CURSOS!$E$27,(+IF($N161=[1]CURSOS!$D$28,[1]CURSOS!$E$28,(+IF($N161=[1]CURSOS!$D$29,[1]CURSOS!$E$29,(+IF($N161=[1]CURSOS!$D$30,[1]CURSOS!$E$30,(+IF($N161=[1]CURSOS!$D$31,[1]CURSOS!$E$31,(+IF($N161=[1]CURSOS!$D$32,[1]CURSOS!$E$32)))))))))))))))))))))))))))))))))))))))))))))))))))))))))))</f>
        <v>SOPORTE VITAL BASICO (BLS)</v>
      </c>
      <c r="T161" s="16" t="str">
        <f t="shared" si="15"/>
        <v>Angela Maria Lopez Benavides</v>
      </c>
      <c r="U161" s="16" t="str">
        <f t="shared" si="16"/>
        <v>Angela Maria Lopez Benavides</v>
      </c>
      <c r="V161" s="16" t="str">
        <f t="shared" si="17"/>
        <v>Angela Maria Lopez Benavides-1086133424-BLS</v>
      </c>
    </row>
    <row r="162" spans="1:22" x14ac:dyDescent="0.2">
      <c r="A162" s="16">
        <v>3</v>
      </c>
      <c r="B162" s="16">
        <v>1087960554</v>
      </c>
      <c r="C162" s="16" t="s">
        <v>52</v>
      </c>
      <c r="D162" s="16" t="s">
        <v>53</v>
      </c>
      <c r="E162" s="16" t="s">
        <v>54</v>
      </c>
      <c r="F162" s="17" t="s">
        <v>55</v>
      </c>
      <c r="G162" s="16">
        <v>2</v>
      </c>
      <c r="H162" s="16" t="s">
        <v>41</v>
      </c>
      <c r="I162" s="18">
        <v>44984</v>
      </c>
      <c r="K162" s="16" t="s">
        <v>221</v>
      </c>
      <c r="L162" s="16" t="s">
        <v>39</v>
      </c>
      <c r="M162" s="16" t="s">
        <v>357</v>
      </c>
      <c r="N162" s="16" t="s">
        <v>27</v>
      </c>
      <c r="O162" s="20">
        <v>35147</v>
      </c>
      <c r="P162" s="21" t="s">
        <v>31</v>
      </c>
      <c r="Q162" s="16" t="s">
        <v>51</v>
      </c>
      <c r="S162" s="16" t="str">
        <f>+IF($N162=[1]CURSOS!$D$3,[1]CURSOS!$E$3,(+IF($N162=[1]CURSOS!$D$4,[1]CURSOS!$E$4,(+IF($N162=[1]CURSOS!$D$5,[1]CURSOS!$E$5,(+IF($N162=[1]CURSOS!$D$6,[1]CURSOS!$E$6,(+IF($N162=[1]CURSOS!$D$7,[1]CURSOS!$E$7,(+IF($N162=[1]CURSOS!$D$8,[1]CURSOS!$E$8,(+IF($N162=[1]CURSOS!$D$9,[1]CURSOS!$E$9,(+IF($N162=[1]CURSOS!$D$10,[1]CURSOS!$E$10,(+IF($N162=[1]CURSOS!$D$11,[1]CURSOS!$E$11,(+IF($N162=[1]CURSOS!$D$12,[1]CURSOS!$E$12,(+IF($N162=[1]CURSOS!$D$13,[1]CURSOS!$E$13,(+IF($N162=[1]CURSOS!$D$14,[1]CURSOS!$E$14,(+IF($N162=[1]CURSOS!$D$15,[1]CURSOS!$E$15,(+IF($N162=[1]CURSOS!$D$16,[1]CURSOS!$E$16,(+IF($N162=[1]CURSOS!$D$17,[1]CURSOS!$E$17,(+IF($N162=[1]CURSOS!$D$18,[1]CURSOS!$E$18,(+IF($N162=[1]CURSOS!$D$19,[1]CURSOS!$E$19,(+IF($N162=[1]CURSOS!$D$20,[1]CURSOS!$E$20,(+IF($N162=[1]CURSOS!$D$21,[1]CURSOS!$E$21,(+IF($N162=[1]CURSOS!$D$22,[1]CURSOS!$E$22,(+IF($N162=[1]CURSOS!$D$23,[1]CURSOS!$E$23,(+IF($N162=[1]CURSOS!$D$24,[1]CURSOS!$E$24,(+IF($N162=[1]CURSOS!$D$25,[1]CURSOS!$E$25,(+IF($N162=[1]CURSOS!$D$26,[1]CURSOS!$E$26,(+IF($N162=[1]CURSOS!$D$27,[1]CURSOS!$E$27,(+IF($N162=[1]CURSOS!$D$28,[1]CURSOS!$E$28,(+IF($N162=[1]CURSOS!$D$29,[1]CURSOS!$E$29,(+IF($N162=[1]CURSOS!$D$30,[1]CURSOS!$E$30,(+IF($N162=[1]CURSOS!$D$31,[1]CURSOS!$E$31,(+IF($N162=[1]CURSOS!$D$32,[1]CURSOS!$E$32)))))))))))))))))))))))))))))))))))))))))))))))))))))))))))</f>
        <v xml:space="preserve">ADMINISTRACION DE MEDICAMENTOS, INYECTOLOGIA  Y CANALIZACION </v>
      </c>
      <c r="T162" s="16" t="str">
        <f t="shared" si="15"/>
        <v>Thania Mireya Cano Lopez</v>
      </c>
      <c r="U162" s="16" t="str">
        <f t="shared" si="16"/>
        <v>Thania Mireya Cano Lopez</v>
      </c>
      <c r="V162" s="16" t="str">
        <f t="shared" si="17"/>
        <v>Thania Mireya Cano Lopez-1087960554-ADMON DE MEDICAMENTOS</v>
      </c>
    </row>
    <row r="163" spans="1:22" x14ac:dyDescent="0.2">
      <c r="A163" s="16">
        <v>163</v>
      </c>
      <c r="B163" s="16">
        <v>59820802</v>
      </c>
      <c r="C163" s="16" t="s">
        <v>341</v>
      </c>
      <c r="D163" s="16" t="s">
        <v>53</v>
      </c>
      <c r="E163" s="16" t="s">
        <v>342</v>
      </c>
      <c r="F163" s="17" t="s">
        <v>246</v>
      </c>
      <c r="G163" s="16">
        <v>25</v>
      </c>
      <c r="H163" s="16" t="s">
        <v>41</v>
      </c>
      <c r="I163" s="18">
        <v>45375</v>
      </c>
      <c r="J163" s="19">
        <v>40000</v>
      </c>
      <c r="K163" s="16" t="s">
        <v>64</v>
      </c>
      <c r="L163" s="16" t="s">
        <v>39</v>
      </c>
      <c r="M163" s="16" t="s">
        <v>29</v>
      </c>
      <c r="N163" s="16" t="s">
        <v>20</v>
      </c>
      <c r="O163" s="20">
        <v>26818</v>
      </c>
      <c r="P163" s="21" t="s">
        <v>31</v>
      </c>
      <c r="Q163" s="16" t="s">
        <v>329</v>
      </c>
      <c r="S163" s="16" t="str">
        <f>+IF($N163=[1]CURSOS!$D$3,[1]CURSOS!$E$3,(+IF($N163=[1]CURSOS!$D$4,[1]CURSOS!$E$4,(+IF($N163=[1]CURSOS!$D$5,[1]CURSOS!$E$5,(+IF($N163=[1]CURSOS!$D$6,[1]CURSOS!$E$6,(+IF($N163=[1]CURSOS!$D$7,[1]CURSOS!$E$7,(+IF($N163=[1]CURSOS!$D$8,[1]CURSOS!$E$8,(+IF($N163=[1]CURSOS!$D$9,[1]CURSOS!$E$9,(+IF($N163=[1]CURSOS!$D$10,[1]CURSOS!$E$10,(+IF($N163=[1]CURSOS!$D$11,[1]CURSOS!$E$11,(+IF($N163=[1]CURSOS!$D$12,[1]CURSOS!$E$12,(+IF($N163=[1]CURSOS!$D$13,[1]CURSOS!$E$13,(+IF($N163=[1]CURSOS!$D$14,[1]CURSOS!$E$14,(+IF($N163=[1]CURSOS!$D$15,[1]CURSOS!$E$15,(+IF($N163=[1]CURSOS!$D$16,[1]CURSOS!$E$16,(+IF($N163=[1]CURSOS!$D$17,[1]CURSOS!$E$17,(+IF($N163=[1]CURSOS!$D$18,[1]CURSOS!$E$18,(+IF($N163=[1]CURSOS!$D$19,[1]CURSOS!$E$19,(+IF($N163=[1]CURSOS!$D$20,[1]CURSOS!$E$20,(+IF($N163=[1]CURSOS!$D$21,[1]CURSOS!$E$21,(+IF($N163=[1]CURSOS!$D$22,[1]CURSOS!$E$22,(+IF($N163=[1]CURSOS!$D$23,[1]CURSOS!$E$23,(+IF($N163=[1]CURSOS!$D$24,[1]CURSOS!$E$24,(+IF($N163=[1]CURSOS!$D$25,[1]CURSOS!$E$25,(+IF($N163=[1]CURSOS!$D$26,[1]CURSOS!$E$26,(+IF($N163=[1]CURSOS!$D$27,[1]CURSOS!$E$27,(+IF($N163=[1]CURSOS!$D$28,[1]CURSOS!$E$28,(+IF($N163=[1]CURSOS!$D$29,[1]CURSOS!$E$29,(+IF($N163=[1]CURSOS!$D$30,[1]CURSOS!$E$30,(+IF($N163=[1]CURSOS!$D$31,[1]CURSOS!$E$31,(+IF($N163=[1]CURSOS!$D$32,[1]CURSOS!$E$32)))))))))))))))))))))))))))))))))))))))))))))))))))))))))))</f>
        <v>ACOMPAÑAMIENTO Y MANEJO DEL DUELO</v>
      </c>
      <c r="T163" s="16" t="str">
        <f t="shared" ref="T163:T171" si="18">CONCATENATE(E163," ",F163," ",C163," ",D163)</f>
        <v>Sandra Patricia Albornoz Lopez</v>
      </c>
      <c r="U163" s="16" t="str">
        <f t="shared" ref="U163:U171" si="19">+PROPER(T163)</f>
        <v>Sandra Patricia Albornoz Lopez</v>
      </c>
      <c r="V163" s="16" t="str">
        <f t="shared" ref="V163:V171" si="20">CONCATENATE(T163,"-",B163,"-",N163)</f>
        <v>Sandra Patricia Albornoz Lopez-59820802-DUELO</v>
      </c>
    </row>
    <row r="164" spans="1:22" x14ac:dyDescent="0.2">
      <c r="A164" s="16">
        <v>164</v>
      </c>
      <c r="B164" s="16">
        <v>510177</v>
      </c>
      <c r="C164" s="16" t="s">
        <v>343</v>
      </c>
      <c r="D164" s="16" t="s">
        <v>147</v>
      </c>
      <c r="E164" s="16" t="s">
        <v>344</v>
      </c>
      <c r="F164" s="17" t="s">
        <v>345</v>
      </c>
      <c r="G164" s="16">
        <v>26</v>
      </c>
      <c r="H164" s="16" t="s">
        <v>41</v>
      </c>
      <c r="I164" s="18" t="s">
        <v>346</v>
      </c>
      <c r="J164" s="19">
        <v>40000</v>
      </c>
      <c r="K164" s="16" t="s">
        <v>221</v>
      </c>
      <c r="L164" s="16" t="s">
        <v>39</v>
      </c>
      <c r="M164" s="16" t="s">
        <v>328</v>
      </c>
      <c r="N164" s="16" t="s">
        <v>28</v>
      </c>
      <c r="O164" s="20" t="s">
        <v>42</v>
      </c>
      <c r="P164" s="21" t="s">
        <v>83</v>
      </c>
      <c r="Q164" s="16" t="s">
        <v>30</v>
      </c>
      <c r="S164" s="16" t="str">
        <f>+IF($N164=[1]CURSOS!$D$3,[1]CURSOS!$E$3,(+IF($N164=[1]CURSOS!$D$4,[1]CURSOS!$E$4,(+IF($N164=[1]CURSOS!$D$5,[1]CURSOS!$E$5,(+IF($N164=[1]CURSOS!$D$6,[1]CURSOS!$E$6,(+IF($N164=[1]CURSOS!$D$7,[1]CURSOS!$E$7,(+IF($N164=[1]CURSOS!$D$8,[1]CURSOS!$E$8,(+IF($N164=[1]CURSOS!$D$9,[1]CURSOS!$E$9,(+IF($N164=[1]CURSOS!$D$10,[1]CURSOS!$E$10,(+IF($N164=[1]CURSOS!$D$11,[1]CURSOS!$E$11,(+IF($N164=[1]CURSOS!$D$12,[1]CURSOS!$E$12,(+IF($N164=[1]CURSOS!$D$13,[1]CURSOS!$E$13,(+IF($N164=[1]CURSOS!$D$14,[1]CURSOS!$E$14,(+IF($N164=[1]CURSOS!$D$15,[1]CURSOS!$E$15,(+IF($N164=[1]CURSOS!$D$16,[1]CURSOS!$E$16,(+IF($N164=[1]CURSOS!$D$17,[1]CURSOS!$E$17,(+IF($N164=[1]CURSOS!$D$18,[1]CURSOS!$E$18,(+IF($N164=[1]CURSOS!$D$19,[1]CURSOS!$E$19,(+IF($N164=[1]CURSOS!$D$20,[1]CURSOS!$E$20,(+IF($N164=[1]CURSOS!$D$21,[1]CURSOS!$E$21,(+IF($N164=[1]CURSOS!$D$22,[1]CURSOS!$E$22,(+IF($N164=[1]CURSOS!$D$23,[1]CURSOS!$E$23,(+IF($N164=[1]CURSOS!$D$24,[1]CURSOS!$E$24,(+IF($N164=[1]CURSOS!$D$25,[1]CURSOS!$E$25,(+IF($N164=[1]CURSOS!$D$26,[1]CURSOS!$E$26,(+IF($N164=[1]CURSOS!$D$27,[1]CURSOS!$E$27,(+IF($N164=[1]CURSOS!$D$28,[1]CURSOS!$E$28,(+IF($N164=[1]CURSOS!$D$29,[1]CURSOS!$E$29,(+IF($N164=[1]CURSOS!$D$30,[1]CURSOS!$E$30,(+IF($N164=[1]CURSOS!$D$31,[1]CURSOS!$E$31,(+IF($N164=[1]CURSOS!$D$32,[1]CURSOS!$E$32)))))))))))))))))))))))))))))))))))))))))))))))))))))))))))</f>
        <v>MANEJO DEL DOLOR Y CUIDADOS PALIATIVOS</v>
      </c>
      <c r="T164" s="16" t="str">
        <f t="shared" si="18"/>
        <v>Frank Emilio Martinez BETANCOURT</v>
      </c>
      <c r="U164" s="16" t="str">
        <f t="shared" si="19"/>
        <v>Frank Emilio Martinez Betancourt</v>
      </c>
      <c r="V164" s="16" t="str">
        <f t="shared" si="20"/>
        <v>Frank Emilio Martinez BETANCOURT-510177-PALIATIVOS</v>
      </c>
    </row>
    <row r="165" spans="1:22" x14ac:dyDescent="0.2">
      <c r="A165" s="16">
        <v>165</v>
      </c>
      <c r="B165" s="16">
        <v>510177</v>
      </c>
      <c r="C165" s="16" t="s">
        <v>343</v>
      </c>
      <c r="D165" s="16" t="s">
        <v>147</v>
      </c>
      <c r="E165" s="16" t="s">
        <v>344</v>
      </c>
      <c r="F165" s="17" t="s">
        <v>345</v>
      </c>
      <c r="G165" s="16">
        <v>26</v>
      </c>
      <c r="H165" s="16" t="s">
        <v>41</v>
      </c>
      <c r="I165" s="18" t="s">
        <v>346</v>
      </c>
      <c r="J165" s="19">
        <v>40000</v>
      </c>
      <c r="K165" s="16" t="s">
        <v>221</v>
      </c>
      <c r="L165" s="16" t="s">
        <v>39</v>
      </c>
      <c r="M165" s="16" t="s">
        <v>328</v>
      </c>
      <c r="N165" s="16" t="s">
        <v>23</v>
      </c>
      <c r="O165" s="20" t="s">
        <v>42</v>
      </c>
      <c r="P165" s="21" t="s">
        <v>83</v>
      </c>
      <c r="Q165" s="16" t="s">
        <v>30</v>
      </c>
      <c r="S165" s="16" t="str">
        <f>+IF($N165=[1]CURSOS!$D$3,[1]CURSOS!$E$3,(+IF($N165=[1]CURSOS!$D$4,[1]CURSOS!$E$4,(+IF($N165=[1]CURSOS!$D$5,[1]CURSOS!$E$5,(+IF($N165=[1]CURSOS!$D$6,[1]CURSOS!$E$6,(+IF($N165=[1]CURSOS!$D$7,[1]CURSOS!$E$7,(+IF($N165=[1]CURSOS!$D$8,[1]CURSOS!$E$8,(+IF($N165=[1]CURSOS!$D$9,[1]CURSOS!$E$9,(+IF($N165=[1]CURSOS!$D$10,[1]CURSOS!$E$10,(+IF($N165=[1]CURSOS!$D$11,[1]CURSOS!$E$11,(+IF($N165=[1]CURSOS!$D$12,[1]CURSOS!$E$12,(+IF($N165=[1]CURSOS!$D$13,[1]CURSOS!$E$13,(+IF($N165=[1]CURSOS!$D$14,[1]CURSOS!$E$14,(+IF($N165=[1]CURSOS!$D$15,[1]CURSOS!$E$15,(+IF($N165=[1]CURSOS!$D$16,[1]CURSOS!$E$16,(+IF($N165=[1]CURSOS!$D$17,[1]CURSOS!$E$17,(+IF($N165=[1]CURSOS!$D$18,[1]CURSOS!$E$18,(+IF($N165=[1]CURSOS!$D$19,[1]CURSOS!$E$19,(+IF($N165=[1]CURSOS!$D$20,[1]CURSOS!$E$20,(+IF($N165=[1]CURSOS!$D$21,[1]CURSOS!$E$21,(+IF($N165=[1]CURSOS!$D$22,[1]CURSOS!$E$22,(+IF($N165=[1]CURSOS!$D$23,[1]CURSOS!$E$23,(+IF($N165=[1]CURSOS!$D$24,[1]CURSOS!$E$24,(+IF($N165=[1]CURSOS!$D$25,[1]CURSOS!$E$25,(+IF($N165=[1]CURSOS!$D$26,[1]CURSOS!$E$26,(+IF($N165=[1]CURSOS!$D$27,[1]CURSOS!$E$27,(+IF($N165=[1]CURSOS!$D$28,[1]CURSOS!$E$28,(+IF($N165=[1]CURSOS!$D$29,[1]CURSOS!$E$29,(+IF($N165=[1]CURSOS!$D$30,[1]CURSOS!$E$30,(+IF($N165=[1]CURSOS!$D$31,[1]CURSOS!$E$31,(+IF($N165=[1]CURSOS!$D$32,[1]CURSOS!$E$32)))))))))))))))))))))))))))))))))))))))))))))))))))))))))))</f>
        <v xml:space="preserve">HUMANIZACION EN SALUD, BUENAS PRACTICAS EN PACIENTE </v>
      </c>
      <c r="T165" s="16" t="str">
        <f t="shared" si="18"/>
        <v>Frank Emilio Martinez BETANCOURT</v>
      </c>
      <c r="U165" s="16" t="str">
        <f t="shared" si="19"/>
        <v>Frank Emilio Martinez Betancourt</v>
      </c>
      <c r="V165" s="16" t="str">
        <f t="shared" si="20"/>
        <v>Frank Emilio Martinez BETANCOURT-510177-HUMANIZACION</v>
      </c>
    </row>
    <row r="166" spans="1:22" x14ac:dyDescent="0.2">
      <c r="A166" s="16">
        <v>166</v>
      </c>
      <c r="B166" s="16">
        <v>1085280790</v>
      </c>
      <c r="C166" s="16" t="s">
        <v>291</v>
      </c>
      <c r="D166" s="16" t="s">
        <v>347</v>
      </c>
      <c r="E166" s="16" t="s">
        <v>349</v>
      </c>
      <c r="F166" s="17" t="s">
        <v>348</v>
      </c>
      <c r="G166" s="16">
        <v>26</v>
      </c>
      <c r="H166" s="16" t="s">
        <v>41</v>
      </c>
      <c r="I166" s="18">
        <v>45377</v>
      </c>
      <c r="J166" s="19">
        <v>20000</v>
      </c>
      <c r="K166" s="16" t="s">
        <v>350</v>
      </c>
      <c r="L166" s="16" t="s">
        <v>222</v>
      </c>
      <c r="M166" s="16" t="s">
        <v>29</v>
      </c>
      <c r="N166" s="16" t="s">
        <v>19</v>
      </c>
      <c r="O166" s="20">
        <v>32916</v>
      </c>
      <c r="P166" s="21" t="s">
        <v>33</v>
      </c>
      <c r="Q166" s="16" t="s">
        <v>329</v>
      </c>
      <c r="R166" s="16" t="s">
        <v>351</v>
      </c>
      <c r="S166" s="16" t="str">
        <f>+IF($N166=[1]CURSOS!$D$3,[1]CURSOS!$E$3,(+IF($N166=[1]CURSOS!$D$4,[1]CURSOS!$E$4,(+IF($N166=[1]CURSOS!$D$5,[1]CURSOS!$E$5,(+IF($N166=[1]CURSOS!$D$6,[1]CURSOS!$E$6,(+IF($N166=[1]CURSOS!$D$7,[1]CURSOS!$E$7,(+IF($N166=[1]CURSOS!$D$8,[1]CURSOS!$E$8,(+IF($N166=[1]CURSOS!$D$9,[1]CURSOS!$E$9,(+IF($N166=[1]CURSOS!$D$10,[1]CURSOS!$E$10,(+IF($N166=[1]CURSOS!$D$11,[1]CURSOS!$E$11,(+IF($N166=[1]CURSOS!$D$12,[1]CURSOS!$E$12,(+IF($N166=[1]CURSOS!$D$13,[1]CURSOS!$E$13,(+IF($N166=[1]CURSOS!$D$14,[1]CURSOS!$E$14,(+IF($N166=[1]CURSOS!$D$15,[1]CURSOS!$E$15,(+IF($N166=[1]CURSOS!$D$16,[1]CURSOS!$E$16,(+IF($N166=[1]CURSOS!$D$17,[1]CURSOS!$E$17,(+IF($N166=[1]CURSOS!$D$18,[1]CURSOS!$E$18,(+IF($N166=[1]CURSOS!$D$19,[1]CURSOS!$E$19,(+IF($N166=[1]CURSOS!$D$20,[1]CURSOS!$E$20,(+IF($N166=[1]CURSOS!$D$21,[1]CURSOS!$E$21,(+IF($N166=[1]CURSOS!$D$22,[1]CURSOS!$E$22,(+IF($N166=[1]CURSOS!$D$23,[1]CURSOS!$E$23,(+IF($N166=[1]CURSOS!$D$24,[1]CURSOS!$E$24,(+IF($N166=[1]CURSOS!$D$25,[1]CURSOS!$E$25,(+IF($N166=[1]CURSOS!$D$26,[1]CURSOS!$E$26,(+IF($N166=[1]CURSOS!$D$27,[1]CURSOS!$E$27,(+IF($N166=[1]CURSOS!$D$28,[1]CURSOS!$E$28,(+IF($N166=[1]CURSOS!$D$29,[1]CURSOS!$E$29,(+IF($N166=[1]CURSOS!$D$30,[1]CURSOS!$E$30,(+IF($N166=[1]CURSOS!$D$31,[1]CURSOS!$E$31,(+IF($N166=[1]CURSOS!$D$32,[1]CURSOS!$E$32)))))))))))))))))))))))))))))))))))))))))))))))))))))))))))</f>
        <v>SOPORTE VITAL BASICO (BLS)</v>
      </c>
      <c r="T166" s="16" t="str">
        <f t="shared" si="18"/>
        <v>Cristhian Camilo Santacruz Pabón</v>
      </c>
      <c r="U166" s="16" t="str">
        <f t="shared" si="19"/>
        <v>Cristhian Camilo Santacruz Pabón</v>
      </c>
      <c r="V166" s="16" t="str">
        <f t="shared" si="20"/>
        <v>Cristhian Camilo Santacruz Pabón-1085280790-BLS</v>
      </c>
    </row>
    <row r="167" spans="1:22" x14ac:dyDescent="0.2">
      <c r="A167" s="16">
        <v>167</v>
      </c>
      <c r="B167" s="16">
        <v>1085280790</v>
      </c>
      <c r="C167" s="16" t="s">
        <v>291</v>
      </c>
      <c r="D167" s="16" t="s">
        <v>347</v>
      </c>
      <c r="E167" s="16" t="s">
        <v>349</v>
      </c>
      <c r="F167" s="17" t="s">
        <v>348</v>
      </c>
      <c r="G167" s="16">
        <v>27</v>
      </c>
      <c r="H167" s="16" t="s">
        <v>41</v>
      </c>
      <c r="I167" s="18">
        <v>45377</v>
      </c>
      <c r="J167" s="19">
        <v>20000</v>
      </c>
      <c r="K167" s="16" t="s">
        <v>350</v>
      </c>
      <c r="L167" s="16" t="s">
        <v>222</v>
      </c>
      <c r="M167" s="16" t="s">
        <v>29</v>
      </c>
      <c r="N167" s="16" t="s">
        <v>25</v>
      </c>
      <c r="O167" s="20">
        <v>32916</v>
      </c>
      <c r="P167" s="21" t="s">
        <v>33</v>
      </c>
      <c r="Q167" s="16" t="s">
        <v>329</v>
      </c>
      <c r="R167" s="16" t="s">
        <v>351</v>
      </c>
      <c r="S167" s="16" t="str">
        <f>+IF($N167=[1]CURSOS!$D$3,[1]CURSOS!$E$3,(+IF($N167=[1]CURSOS!$D$4,[1]CURSOS!$E$4,(+IF($N167=[1]CURSOS!$D$5,[1]CURSOS!$E$5,(+IF($N167=[1]CURSOS!$D$6,[1]CURSOS!$E$6,(+IF($N167=[1]CURSOS!$D$7,[1]CURSOS!$E$7,(+IF($N167=[1]CURSOS!$D$8,[1]CURSOS!$E$8,(+IF($N167=[1]CURSOS!$D$9,[1]CURSOS!$E$9,(+IF($N167=[1]CURSOS!$D$10,[1]CURSOS!$E$10,(+IF($N167=[1]CURSOS!$D$11,[1]CURSOS!$E$11,(+IF($N167=[1]CURSOS!$D$12,[1]CURSOS!$E$12,(+IF($N167=[1]CURSOS!$D$13,[1]CURSOS!$E$13,(+IF($N167=[1]CURSOS!$D$14,[1]CURSOS!$E$14,(+IF($N167=[1]CURSOS!$D$15,[1]CURSOS!$E$15,(+IF($N167=[1]CURSOS!$D$16,[1]CURSOS!$E$16,(+IF($N167=[1]CURSOS!$D$17,[1]CURSOS!$E$17,(+IF($N167=[1]CURSOS!$D$18,[1]CURSOS!$E$18,(+IF($N167=[1]CURSOS!$D$19,[1]CURSOS!$E$19,(+IF($N167=[1]CURSOS!$D$20,[1]CURSOS!$E$20,(+IF($N167=[1]CURSOS!$D$21,[1]CURSOS!$E$21,(+IF($N167=[1]CURSOS!$D$22,[1]CURSOS!$E$22,(+IF($N167=[1]CURSOS!$D$23,[1]CURSOS!$E$23,(+IF($N167=[1]CURSOS!$D$24,[1]CURSOS!$E$24,(+IF($N167=[1]CURSOS!$D$25,[1]CURSOS!$E$25,(+IF($N167=[1]CURSOS!$D$26,[1]CURSOS!$E$26,(+IF($N167=[1]CURSOS!$D$27,[1]CURSOS!$E$27,(+IF($N167=[1]CURSOS!$D$28,[1]CURSOS!$E$28,(+IF($N167=[1]CURSOS!$D$29,[1]CURSOS!$E$29,(+IF($N167=[1]CURSOS!$D$30,[1]CURSOS!$E$30,(+IF($N167=[1]CURSOS!$D$31,[1]CURSOS!$E$31,(+IF($N167=[1]CURSOS!$D$32,[1]CURSOS!$E$32)))))))))))))))))))))))))))))))))))))))))))))))))))))))))))</f>
        <v xml:space="preserve">ATENCION A VICTIMAS DE VIOLENCIA SEXUAL </v>
      </c>
      <c r="T167" s="16" t="str">
        <f t="shared" si="18"/>
        <v>Cristhian Camilo Santacruz Pabón</v>
      </c>
      <c r="U167" s="16" t="str">
        <f t="shared" si="19"/>
        <v>Cristhian Camilo Santacruz Pabón</v>
      </c>
      <c r="V167" s="16" t="str">
        <f t="shared" si="20"/>
        <v>Cristhian Camilo Santacruz Pabón-1085280790-VIOLENCIA SEXUAL</v>
      </c>
    </row>
    <row r="168" spans="1:22" x14ac:dyDescent="0.2">
      <c r="A168" s="16">
        <v>168</v>
      </c>
      <c r="B168" s="16">
        <v>1085280790</v>
      </c>
      <c r="C168" s="16" t="s">
        <v>291</v>
      </c>
      <c r="D168" s="16" t="s">
        <v>347</v>
      </c>
      <c r="E168" s="16" t="s">
        <v>349</v>
      </c>
      <c r="F168" s="17" t="s">
        <v>348</v>
      </c>
      <c r="G168" s="16">
        <v>23</v>
      </c>
      <c r="H168" s="16" t="s">
        <v>41</v>
      </c>
      <c r="I168" s="18">
        <v>45377</v>
      </c>
      <c r="J168" s="19">
        <v>20000</v>
      </c>
      <c r="K168" s="16" t="s">
        <v>350</v>
      </c>
      <c r="L168" s="16" t="s">
        <v>222</v>
      </c>
      <c r="M168" s="16" t="s">
        <v>29</v>
      </c>
      <c r="N168" s="16" t="s">
        <v>21</v>
      </c>
      <c r="O168" s="20">
        <v>32916</v>
      </c>
      <c r="P168" s="21" t="s">
        <v>33</v>
      </c>
      <c r="Q168" s="16" t="s">
        <v>329</v>
      </c>
      <c r="R168" s="16" t="s">
        <v>351</v>
      </c>
      <c r="S168" s="16" t="str">
        <f>+IF($N168=[1]CURSOS!$D$3,[1]CURSOS!$E$3,(+IF($N168=[1]CURSOS!$D$4,[1]CURSOS!$E$4,(+IF($N168=[1]CURSOS!$D$5,[1]CURSOS!$E$5,(+IF($N168=[1]CURSOS!$D$6,[1]CURSOS!$E$6,(+IF($N168=[1]CURSOS!$D$7,[1]CURSOS!$E$7,(+IF($N168=[1]CURSOS!$D$8,[1]CURSOS!$E$8,(+IF($N168=[1]CURSOS!$D$9,[1]CURSOS!$E$9,(+IF($N168=[1]CURSOS!$D$10,[1]CURSOS!$E$10,(+IF($N168=[1]CURSOS!$D$11,[1]CURSOS!$E$11,(+IF($N168=[1]CURSOS!$D$12,[1]CURSOS!$E$12,(+IF($N168=[1]CURSOS!$D$13,[1]CURSOS!$E$13,(+IF($N168=[1]CURSOS!$D$14,[1]CURSOS!$E$14,(+IF($N168=[1]CURSOS!$D$15,[1]CURSOS!$E$15,(+IF($N168=[1]CURSOS!$D$16,[1]CURSOS!$E$16,(+IF($N168=[1]CURSOS!$D$17,[1]CURSOS!$E$17,(+IF($N168=[1]CURSOS!$D$18,[1]CURSOS!$E$18,(+IF($N168=[1]CURSOS!$D$19,[1]CURSOS!$E$19,(+IF($N168=[1]CURSOS!$D$20,[1]CURSOS!$E$20,(+IF($N168=[1]CURSOS!$D$21,[1]CURSOS!$E$21,(+IF($N168=[1]CURSOS!$D$22,[1]CURSOS!$E$22,(+IF($N168=[1]CURSOS!$D$23,[1]CURSOS!$E$23,(+IF($N168=[1]CURSOS!$D$24,[1]CURSOS!$E$24,(+IF($N168=[1]CURSOS!$D$25,[1]CURSOS!$E$25,(+IF($N168=[1]CURSOS!$D$26,[1]CURSOS!$E$26,(+IF($N168=[1]CURSOS!$D$27,[1]CURSOS!$E$27,(+IF($N168=[1]CURSOS!$D$28,[1]CURSOS!$E$28,(+IF($N168=[1]CURSOS!$D$29,[1]CURSOS!$E$29,(+IF($N168=[1]CURSOS!$D$30,[1]CURSOS!$E$30,(+IF($N168=[1]CURSOS!$D$31,[1]CURSOS!$E$31,(+IF($N168=[1]CURSOS!$D$32,[1]CURSOS!$E$32)))))))))))))))))))))))))))))))))))))))))))))))))))))))))))</f>
        <v xml:space="preserve">ATENCION A VICTIMAS DE ATAQUE CON AGENTES QUIMICOS </v>
      </c>
      <c r="T168" s="16" t="str">
        <f t="shared" si="18"/>
        <v>Cristhian Camilo Santacruz Pabón</v>
      </c>
      <c r="U168" s="16" t="str">
        <f t="shared" si="19"/>
        <v>Cristhian Camilo Santacruz Pabón</v>
      </c>
      <c r="V168" s="16" t="str">
        <f t="shared" si="20"/>
        <v>Cristhian Camilo Santacruz Pabón-1085280790-QUIMICOS</v>
      </c>
    </row>
    <row r="169" spans="1:22" x14ac:dyDescent="0.2">
      <c r="A169" s="16">
        <v>169</v>
      </c>
      <c r="B169" s="16">
        <v>1085280790</v>
      </c>
      <c r="C169" s="16" t="s">
        <v>291</v>
      </c>
      <c r="D169" s="16" t="s">
        <v>347</v>
      </c>
      <c r="E169" s="16" t="s">
        <v>349</v>
      </c>
      <c r="F169" s="17" t="s">
        <v>348</v>
      </c>
      <c r="G169" s="16">
        <v>21</v>
      </c>
      <c r="H169" s="16" t="s">
        <v>41</v>
      </c>
      <c r="I169" s="18">
        <v>45377</v>
      </c>
      <c r="J169" s="19">
        <v>20000</v>
      </c>
      <c r="K169" s="16" t="s">
        <v>350</v>
      </c>
      <c r="L169" s="16" t="s">
        <v>222</v>
      </c>
      <c r="M169" s="16" t="s">
        <v>29</v>
      </c>
      <c r="N169" s="16" t="s">
        <v>20</v>
      </c>
      <c r="O169" s="20">
        <v>32916</v>
      </c>
      <c r="P169" s="21" t="s">
        <v>33</v>
      </c>
      <c r="Q169" s="16" t="s">
        <v>329</v>
      </c>
      <c r="R169" s="16" t="s">
        <v>351</v>
      </c>
      <c r="S169" s="16" t="str">
        <f>+IF($N169=[1]CURSOS!$D$3,[1]CURSOS!$E$3,(+IF($N169=[1]CURSOS!$D$4,[1]CURSOS!$E$4,(+IF($N169=[1]CURSOS!$D$5,[1]CURSOS!$E$5,(+IF($N169=[1]CURSOS!$D$6,[1]CURSOS!$E$6,(+IF($N169=[1]CURSOS!$D$7,[1]CURSOS!$E$7,(+IF($N169=[1]CURSOS!$D$8,[1]CURSOS!$E$8,(+IF($N169=[1]CURSOS!$D$9,[1]CURSOS!$E$9,(+IF($N169=[1]CURSOS!$D$10,[1]CURSOS!$E$10,(+IF($N169=[1]CURSOS!$D$11,[1]CURSOS!$E$11,(+IF($N169=[1]CURSOS!$D$12,[1]CURSOS!$E$12,(+IF($N169=[1]CURSOS!$D$13,[1]CURSOS!$E$13,(+IF($N169=[1]CURSOS!$D$14,[1]CURSOS!$E$14,(+IF($N169=[1]CURSOS!$D$15,[1]CURSOS!$E$15,(+IF($N169=[1]CURSOS!$D$16,[1]CURSOS!$E$16,(+IF($N169=[1]CURSOS!$D$17,[1]CURSOS!$E$17,(+IF($N169=[1]CURSOS!$D$18,[1]CURSOS!$E$18,(+IF($N169=[1]CURSOS!$D$19,[1]CURSOS!$E$19,(+IF($N169=[1]CURSOS!$D$20,[1]CURSOS!$E$20,(+IF($N169=[1]CURSOS!$D$21,[1]CURSOS!$E$21,(+IF($N169=[1]CURSOS!$D$22,[1]CURSOS!$E$22,(+IF($N169=[1]CURSOS!$D$23,[1]CURSOS!$E$23,(+IF($N169=[1]CURSOS!$D$24,[1]CURSOS!$E$24,(+IF($N169=[1]CURSOS!$D$25,[1]CURSOS!$E$25,(+IF($N169=[1]CURSOS!$D$26,[1]CURSOS!$E$26,(+IF($N169=[1]CURSOS!$D$27,[1]CURSOS!$E$27,(+IF($N169=[1]CURSOS!$D$28,[1]CURSOS!$E$28,(+IF($N169=[1]CURSOS!$D$29,[1]CURSOS!$E$29,(+IF($N169=[1]CURSOS!$D$30,[1]CURSOS!$E$30,(+IF($N169=[1]CURSOS!$D$31,[1]CURSOS!$E$31,(+IF($N169=[1]CURSOS!$D$32,[1]CURSOS!$E$32)))))))))))))))))))))))))))))))))))))))))))))))))))))))))))</f>
        <v>ACOMPAÑAMIENTO Y MANEJO DEL DUELO</v>
      </c>
      <c r="T169" s="16" t="str">
        <f t="shared" si="18"/>
        <v>Cristhian Camilo Santacruz Pabón</v>
      </c>
      <c r="U169" s="16" t="str">
        <f t="shared" si="19"/>
        <v>Cristhian Camilo Santacruz Pabón</v>
      </c>
      <c r="V169" s="16" t="str">
        <f t="shared" si="20"/>
        <v>Cristhian Camilo Santacruz Pabón-1085280790-DUELO</v>
      </c>
    </row>
    <row r="170" spans="1:22" x14ac:dyDescent="0.2">
      <c r="A170" s="16">
        <v>170</v>
      </c>
      <c r="B170" s="16">
        <v>1085280790</v>
      </c>
      <c r="C170" s="16" t="s">
        <v>291</v>
      </c>
      <c r="D170" s="16" t="s">
        <v>347</v>
      </c>
      <c r="E170" s="16" t="s">
        <v>349</v>
      </c>
      <c r="F170" s="17" t="s">
        <v>348</v>
      </c>
      <c r="G170" s="16">
        <v>30</v>
      </c>
      <c r="H170" s="16" t="s">
        <v>41</v>
      </c>
      <c r="I170" s="18">
        <v>45377</v>
      </c>
      <c r="J170" s="19">
        <v>20000</v>
      </c>
      <c r="K170" s="16" t="s">
        <v>350</v>
      </c>
      <c r="L170" s="16" t="s">
        <v>222</v>
      </c>
      <c r="M170" s="16" t="s">
        <v>29</v>
      </c>
      <c r="N170" s="16" t="s">
        <v>23</v>
      </c>
      <c r="O170" s="20">
        <v>32916</v>
      </c>
      <c r="P170" s="21" t="s">
        <v>33</v>
      </c>
      <c r="Q170" s="16" t="s">
        <v>329</v>
      </c>
      <c r="R170" s="16" t="s">
        <v>351</v>
      </c>
      <c r="S170" s="16" t="str">
        <f>+IF($N170=[1]CURSOS!$D$3,[1]CURSOS!$E$3,(+IF($N170=[1]CURSOS!$D$4,[1]CURSOS!$E$4,(+IF($N170=[1]CURSOS!$D$5,[1]CURSOS!$E$5,(+IF($N170=[1]CURSOS!$D$6,[1]CURSOS!$E$6,(+IF($N170=[1]CURSOS!$D$7,[1]CURSOS!$E$7,(+IF($N170=[1]CURSOS!$D$8,[1]CURSOS!$E$8,(+IF($N170=[1]CURSOS!$D$9,[1]CURSOS!$E$9,(+IF($N170=[1]CURSOS!$D$10,[1]CURSOS!$E$10,(+IF($N170=[1]CURSOS!$D$11,[1]CURSOS!$E$11,(+IF($N170=[1]CURSOS!$D$12,[1]CURSOS!$E$12,(+IF($N170=[1]CURSOS!$D$13,[1]CURSOS!$E$13,(+IF($N170=[1]CURSOS!$D$14,[1]CURSOS!$E$14,(+IF($N170=[1]CURSOS!$D$15,[1]CURSOS!$E$15,(+IF($N170=[1]CURSOS!$D$16,[1]CURSOS!$E$16,(+IF($N170=[1]CURSOS!$D$17,[1]CURSOS!$E$17,(+IF($N170=[1]CURSOS!$D$18,[1]CURSOS!$E$18,(+IF($N170=[1]CURSOS!$D$19,[1]CURSOS!$E$19,(+IF($N170=[1]CURSOS!$D$20,[1]CURSOS!$E$20,(+IF($N170=[1]CURSOS!$D$21,[1]CURSOS!$E$21,(+IF($N170=[1]CURSOS!$D$22,[1]CURSOS!$E$22,(+IF($N170=[1]CURSOS!$D$23,[1]CURSOS!$E$23,(+IF($N170=[1]CURSOS!$D$24,[1]CURSOS!$E$24,(+IF($N170=[1]CURSOS!$D$25,[1]CURSOS!$E$25,(+IF($N170=[1]CURSOS!$D$26,[1]CURSOS!$E$26,(+IF($N170=[1]CURSOS!$D$27,[1]CURSOS!$E$27,(+IF($N170=[1]CURSOS!$D$28,[1]CURSOS!$E$28,(+IF($N170=[1]CURSOS!$D$29,[1]CURSOS!$E$29,(+IF($N170=[1]CURSOS!$D$30,[1]CURSOS!$E$30,(+IF($N170=[1]CURSOS!$D$31,[1]CURSOS!$E$31,(+IF($N170=[1]CURSOS!$D$32,[1]CURSOS!$E$32)))))))))))))))))))))))))))))))))))))))))))))))))))))))))))</f>
        <v xml:space="preserve">HUMANIZACION EN SALUD, BUENAS PRACTICAS EN PACIENTE </v>
      </c>
      <c r="T170" s="16" t="str">
        <f t="shared" si="18"/>
        <v>Cristhian Camilo Santacruz Pabón</v>
      </c>
      <c r="U170" s="16" t="str">
        <f t="shared" si="19"/>
        <v>Cristhian Camilo Santacruz Pabón</v>
      </c>
      <c r="V170" s="16" t="str">
        <f t="shared" si="20"/>
        <v>Cristhian Camilo Santacruz Pabón-1085280790-HUMANIZACION</v>
      </c>
    </row>
    <row r="171" spans="1:22" x14ac:dyDescent="0.2">
      <c r="A171" s="16">
        <v>4</v>
      </c>
      <c r="B171" s="16">
        <v>1085304157</v>
      </c>
      <c r="C171" s="16" t="s">
        <v>56</v>
      </c>
      <c r="D171" s="16" t="s">
        <v>57</v>
      </c>
      <c r="E171" s="16" t="s">
        <v>58</v>
      </c>
      <c r="F171" s="17" t="s">
        <v>59</v>
      </c>
      <c r="G171" s="16">
        <v>2</v>
      </c>
      <c r="H171" s="16" t="s">
        <v>41</v>
      </c>
      <c r="I171" s="18">
        <v>44984</v>
      </c>
      <c r="K171" s="16" t="s">
        <v>221</v>
      </c>
      <c r="L171" s="16" t="s">
        <v>39</v>
      </c>
      <c r="M171" s="16" t="s">
        <v>357</v>
      </c>
      <c r="N171" s="16" t="s">
        <v>27</v>
      </c>
      <c r="O171" s="20">
        <v>33858</v>
      </c>
      <c r="P171" s="21" t="s">
        <v>31</v>
      </c>
      <c r="Q171" s="16" t="s">
        <v>51</v>
      </c>
      <c r="S171" s="16" t="str">
        <f>+IF($N171=[1]CURSOS!$D$3,[1]CURSOS!$E$3,(+IF($N171=[1]CURSOS!$D$4,[1]CURSOS!$E$4,(+IF($N171=[1]CURSOS!$D$5,[1]CURSOS!$E$5,(+IF($N171=[1]CURSOS!$D$6,[1]CURSOS!$E$6,(+IF($N171=[1]CURSOS!$D$7,[1]CURSOS!$E$7,(+IF($N171=[1]CURSOS!$D$8,[1]CURSOS!$E$8,(+IF($N171=[1]CURSOS!$D$9,[1]CURSOS!$E$9,(+IF($N171=[1]CURSOS!$D$10,[1]CURSOS!$E$10,(+IF($N171=[1]CURSOS!$D$11,[1]CURSOS!$E$11,(+IF($N171=[1]CURSOS!$D$12,[1]CURSOS!$E$12,(+IF($N171=[1]CURSOS!$D$13,[1]CURSOS!$E$13,(+IF($N171=[1]CURSOS!$D$14,[1]CURSOS!$E$14,(+IF($N171=[1]CURSOS!$D$15,[1]CURSOS!$E$15,(+IF($N171=[1]CURSOS!$D$16,[1]CURSOS!$E$16,(+IF($N171=[1]CURSOS!$D$17,[1]CURSOS!$E$17,(+IF($N171=[1]CURSOS!$D$18,[1]CURSOS!$E$18,(+IF($N171=[1]CURSOS!$D$19,[1]CURSOS!$E$19,(+IF($N171=[1]CURSOS!$D$20,[1]CURSOS!$E$20,(+IF($N171=[1]CURSOS!$D$21,[1]CURSOS!$E$21,(+IF($N171=[1]CURSOS!$D$22,[1]CURSOS!$E$22,(+IF($N171=[1]CURSOS!$D$23,[1]CURSOS!$E$23,(+IF($N171=[1]CURSOS!$D$24,[1]CURSOS!$E$24,(+IF($N171=[1]CURSOS!$D$25,[1]CURSOS!$E$25,(+IF($N171=[1]CURSOS!$D$26,[1]CURSOS!$E$26,(+IF($N171=[1]CURSOS!$D$27,[1]CURSOS!$E$27,(+IF($N171=[1]CURSOS!$D$28,[1]CURSOS!$E$28,(+IF($N171=[1]CURSOS!$D$29,[1]CURSOS!$E$29,(+IF($N171=[1]CURSOS!$D$30,[1]CURSOS!$E$30,(+IF($N171=[1]CURSOS!$D$31,[1]CURSOS!$E$31,(+IF($N171=[1]CURSOS!$D$32,[1]CURSOS!$E$32)))))))))))))))))))))))))))))))))))))))))))))))))))))))))))</f>
        <v xml:space="preserve">ADMINISTRACION DE MEDICAMENTOS, INYECTOLOGIA  Y CANALIZACION </v>
      </c>
      <c r="T171" s="16" t="str">
        <f t="shared" si="18"/>
        <v>Yenny Alexandra Pantoja Benavides</v>
      </c>
      <c r="U171" s="16" t="str">
        <f t="shared" si="19"/>
        <v>Yenny Alexandra Pantoja Benavides</v>
      </c>
      <c r="V171" s="16" t="str">
        <f t="shared" si="20"/>
        <v>Yenny Alexandra Pantoja Benavides-1085304157-ADMON DE MEDICAMENTOS</v>
      </c>
    </row>
    <row r="172" spans="1:22" x14ac:dyDescent="0.2">
      <c r="A172" s="16">
        <v>172</v>
      </c>
      <c r="B172" s="16">
        <v>1088735917</v>
      </c>
      <c r="C172" s="16" t="s">
        <v>352</v>
      </c>
      <c r="D172" s="16" t="s">
        <v>66</v>
      </c>
      <c r="E172" s="16" t="s">
        <v>353</v>
      </c>
      <c r="G172" s="16">
        <v>27</v>
      </c>
      <c r="H172" s="16" t="s">
        <v>41</v>
      </c>
      <c r="I172" s="18">
        <v>45378</v>
      </c>
      <c r="J172" s="19">
        <v>30000</v>
      </c>
      <c r="K172" s="16" t="s">
        <v>32</v>
      </c>
      <c r="L172" s="16" t="s">
        <v>39</v>
      </c>
      <c r="M172" s="16" t="s">
        <v>47</v>
      </c>
      <c r="N172" s="16" t="s">
        <v>25</v>
      </c>
      <c r="O172" s="20">
        <v>34141</v>
      </c>
      <c r="P172" s="21" t="s">
        <v>31</v>
      </c>
      <c r="Q172" s="16" t="s">
        <v>329</v>
      </c>
      <c r="S172" s="16" t="str">
        <f>+IF($N172=[1]CURSOS!$D$3,[1]CURSOS!$E$3,(+IF($N172=[1]CURSOS!$D$4,[1]CURSOS!$E$4,(+IF($N172=[1]CURSOS!$D$5,[1]CURSOS!$E$5,(+IF($N172=[1]CURSOS!$D$6,[1]CURSOS!$E$6,(+IF($N172=[1]CURSOS!$D$7,[1]CURSOS!$E$7,(+IF($N172=[1]CURSOS!$D$8,[1]CURSOS!$E$8,(+IF($N172=[1]CURSOS!$D$9,[1]CURSOS!$E$9,(+IF($N172=[1]CURSOS!$D$10,[1]CURSOS!$E$10,(+IF($N172=[1]CURSOS!$D$11,[1]CURSOS!$E$11,(+IF($N172=[1]CURSOS!$D$12,[1]CURSOS!$E$12,(+IF($N172=[1]CURSOS!$D$13,[1]CURSOS!$E$13,(+IF($N172=[1]CURSOS!$D$14,[1]CURSOS!$E$14,(+IF($N172=[1]CURSOS!$D$15,[1]CURSOS!$E$15,(+IF($N172=[1]CURSOS!$D$16,[1]CURSOS!$E$16,(+IF($N172=[1]CURSOS!$D$17,[1]CURSOS!$E$17,(+IF($N172=[1]CURSOS!$D$18,[1]CURSOS!$E$18,(+IF($N172=[1]CURSOS!$D$19,[1]CURSOS!$E$19,(+IF($N172=[1]CURSOS!$D$20,[1]CURSOS!$E$20,(+IF($N172=[1]CURSOS!$D$21,[1]CURSOS!$E$21,(+IF($N172=[1]CURSOS!$D$22,[1]CURSOS!$E$22,(+IF($N172=[1]CURSOS!$D$23,[1]CURSOS!$E$23,(+IF($N172=[1]CURSOS!$D$24,[1]CURSOS!$E$24,(+IF($N172=[1]CURSOS!$D$25,[1]CURSOS!$E$25,(+IF($N172=[1]CURSOS!$D$26,[1]CURSOS!$E$26,(+IF($N172=[1]CURSOS!$D$27,[1]CURSOS!$E$27,(+IF($N172=[1]CURSOS!$D$28,[1]CURSOS!$E$28,(+IF($N172=[1]CURSOS!$D$29,[1]CURSOS!$E$29,(+IF($N172=[1]CURSOS!$D$30,[1]CURSOS!$E$30,(+IF($N172=[1]CURSOS!$D$31,[1]CURSOS!$E$31,(+IF($N172=[1]CURSOS!$D$32,[1]CURSOS!$E$32)))))))))))))))))))))))))))))))))))))))))))))))))))))))))))</f>
        <v xml:space="preserve">ATENCION A VICTIMAS DE VIOLENCIA SEXUAL </v>
      </c>
      <c r="T172" s="16" t="str">
        <f t="shared" ref="T172" si="21">CONCATENATE(E172," ",F172," ",C172," ",D172)</f>
        <v>Lizbeth  Cabrera Melo</v>
      </c>
      <c r="U172" s="16" t="str">
        <f t="shared" ref="U172" si="22">+PROPER(T172)</f>
        <v>Lizbeth  Cabrera Melo</v>
      </c>
      <c r="V172" s="16" t="str">
        <f t="shared" ref="V172" si="23">CONCATENATE(T172,"-",B172,"-",N172)</f>
        <v>Lizbeth  Cabrera Melo-1088735917-VIOLENCIA SEXUAL</v>
      </c>
    </row>
  </sheetData>
  <phoneticPr fontId="3" type="noConversion"/>
  <pageMargins left="0.7" right="0.7" top="0.75" bottom="0.75" header="0.3" footer="0.3"/>
  <pageSetup paperSize="9" scale="1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Hugo Cabrera</cp:lastModifiedBy>
  <cp:lastPrinted>2023-10-09T20:56:18Z</cp:lastPrinted>
  <dcterms:created xsi:type="dcterms:W3CDTF">2023-09-02T16:45:54Z</dcterms:created>
  <dcterms:modified xsi:type="dcterms:W3CDTF">2025-08-02T13:32:47Z</dcterms:modified>
</cp:coreProperties>
</file>