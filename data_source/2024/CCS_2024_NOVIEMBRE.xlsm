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DESKTOP-EGV7T27\ccs\CCS\2.Certificado\2024\11.NOVIEMBRE\"/>
    </mc:Choice>
  </mc:AlternateContent>
  <xr:revisionPtr revIDLastSave="0" documentId="13_ncr:1_{448EE36E-511D-458D-91E2-894523D09C7A}" xr6:coauthVersionLast="47" xr6:coauthVersionMax="47" xr10:uidLastSave="{00000000-0000-0000-0000-000000000000}"/>
  <bookViews>
    <workbookView xWindow="-120" yWindow="-120" windowWidth="21840" windowHeight="13140" tabRatio="574" xr2:uid="{00000000-000D-0000-FFFF-FFFF00000000}"/>
  </bookViews>
  <sheets>
    <sheet name="INSCRITOS" sheetId="1" r:id="rId1"/>
    <sheet name="CURSOS" sheetId="2" r:id="rId2"/>
    <sheet name="LINK" sheetId="7" r:id="rId3"/>
  </sheets>
  <functionGroups builtInGroupCount="19"/>
  <definedNames>
    <definedName name="_xlnm._FilterDatabase" localSheetId="0" hidden="1">INSCRITOS!$A$1:$X$248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37" i="1" l="1"/>
  <c r="W237" i="1" s="1"/>
  <c r="V238" i="1"/>
  <c r="X238" i="1" s="1"/>
  <c r="V239" i="1"/>
  <c r="X239" i="1" s="1"/>
  <c r="U239" i="1"/>
  <c r="U238" i="1"/>
  <c r="A280" i="7"/>
  <c r="B280" i="7" s="1"/>
  <c r="C280" i="7"/>
  <c r="A281" i="7"/>
  <c r="B281" i="7" s="1"/>
  <c r="C281" i="7"/>
  <c r="A282" i="7"/>
  <c r="B282" i="7" s="1"/>
  <c r="C282" i="7"/>
  <c r="A283" i="7"/>
  <c r="B283" i="7" s="1"/>
  <c r="D283" i="7" s="1"/>
  <c r="C283" i="7"/>
  <c r="A284" i="7"/>
  <c r="B284" i="7" s="1"/>
  <c r="C284" i="7"/>
  <c r="A285" i="7"/>
  <c r="B285" i="7" s="1"/>
  <c r="C285" i="7"/>
  <c r="A286" i="7"/>
  <c r="B286" i="7" s="1"/>
  <c r="C286" i="7"/>
  <c r="A287" i="7"/>
  <c r="B287" i="7" s="1"/>
  <c r="C287" i="7"/>
  <c r="A288" i="7"/>
  <c r="B288" i="7" s="1"/>
  <c r="C288" i="7"/>
  <c r="A289" i="7"/>
  <c r="B289" i="7" s="1"/>
  <c r="C289" i="7"/>
  <c r="A290" i="7"/>
  <c r="B290" i="7" s="1"/>
  <c r="C290" i="7"/>
  <c r="A291" i="7"/>
  <c r="B291" i="7" s="1"/>
  <c r="C291" i="7"/>
  <c r="A292" i="7"/>
  <c r="B292" i="7" s="1"/>
  <c r="C292" i="7"/>
  <c r="A293" i="7"/>
  <c r="B293" i="7" s="1"/>
  <c r="C293" i="7"/>
  <c r="A294" i="7"/>
  <c r="B294" i="7" s="1"/>
  <c r="C294" i="7"/>
  <c r="A295" i="7"/>
  <c r="B295" i="7" s="1"/>
  <c r="C295" i="7"/>
  <c r="A296" i="7"/>
  <c r="B296" i="7" s="1"/>
  <c r="D296" i="7" s="1"/>
  <c r="C296" i="7"/>
  <c r="A297" i="7"/>
  <c r="B297" i="7" s="1"/>
  <c r="C297" i="7"/>
  <c r="A298" i="7"/>
  <c r="B298" i="7" s="1"/>
  <c r="D298" i="7" s="1"/>
  <c r="C298" i="7"/>
  <c r="A299" i="7"/>
  <c r="B299" i="7" s="1"/>
  <c r="C299" i="7"/>
  <c r="A300" i="7"/>
  <c r="B300" i="7" s="1"/>
  <c r="C300" i="7"/>
  <c r="A301" i="7"/>
  <c r="B301" i="7" s="1"/>
  <c r="D301" i="7" s="1"/>
  <c r="C301" i="7"/>
  <c r="A302" i="7"/>
  <c r="B302" i="7" s="1"/>
  <c r="D302" i="7" s="1"/>
  <c r="C302" i="7"/>
  <c r="A303" i="7"/>
  <c r="B303" i="7"/>
  <c r="D303" i="7" s="1"/>
  <c r="C303" i="7"/>
  <c r="A304" i="7"/>
  <c r="B304" i="7" s="1"/>
  <c r="D304" i="7" s="1"/>
  <c r="C304" i="7"/>
  <c r="A305" i="7"/>
  <c r="B305" i="7" s="1"/>
  <c r="D305" i="7" s="1"/>
  <c r="C305" i="7"/>
  <c r="A306" i="7"/>
  <c r="B306" i="7" s="1"/>
  <c r="D306" i="7" s="1"/>
  <c r="C306" i="7"/>
  <c r="A307" i="7"/>
  <c r="B307" i="7" s="1"/>
  <c r="D307" i="7" s="1"/>
  <c r="C307" i="7"/>
  <c r="A308" i="7"/>
  <c r="B308" i="7" s="1"/>
  <c r="C308" i="7"/>
  <c r="A309" i="7"/>
  <c r="B309" i="7" s="1"/>
  <c r="D309" i="7" s="1"/>
  <c r="C309" i="7"/>
  <c r="A310" i="7"/>
  <c r="B310" i="7" s="1"/>
  <c r="D310" i="7" s="1"/>
  <c r="C310" i="7"/>
  <c r="A311" i="7"/>
  <c r="B311" i="7"/>
  <c r="D311" i="7" s="1"/>
  <c r="C311" i="7"/>
  <c r="A312" i="7"/>
  <c r="B312" i="7" s="1"/>
  <c r="D312" i="7" s="1"/>
  <c r="C312" i="7"/>
  <c r="A313" i="7"/>
  <c r="B313" i="7" s="1"/>
  <c r="D313" i="7" s="1"/>
  <c r="C313" i="7"/>
  <c r="A314" i="7"/>
  <c r="B314" i="7" s="1"/>
  <c r="D314" i="7" s="1"/>
  <c r="C314" i="7"/>
  <c r="A315" i="7"/>
  <c r="B315" i="7" s="1"/>
  <c r="D315" i="7" s="1"/>
  <c r="C315" i="7"/>
  <c r="A316" i="7"/>
  <c r="B316" i="7" s="1"/>
  <c r="C316" i="7"/>
  <c r="A317" i="7"/>
  <c r="B317" i="7" s="1"/>
  <c r="D317" i="7" s="1"/>
  <c r="C317" i="7"/>
  <c r="A318" i="7"/>
  <c r="B318" i="7" s="1"/>
  <c r="D318" i="7" s="1"/>
  <c r="C318" i="7"/>
  <c r="A319" i="7"/>
  <c r="B319" i="7"/>
  <c r="D319" i="7" s="1"/>
  <c r="C319" i="7"/>
  <c r="A320" i="7"/>
  <c r="B320" i="7" s="1"/>
  <c r="D320" i="7" s="1"/>
  <c r="C320" i="7"/>
  <c r="A321" i="7"/>
  <c r="B321" i="7" s="1"/>
  <c r="D321" i="7" s="1"/>
  <c r="C321" i="7"/>
  <c r="A322" i="7"/>
  <c r="B322" i="7" s="1"/>
  <c r="D322" i="7" s="1"/>
  <c r="C322" i="7"/>
  <c r="A323" i="7"/>
  <c r="B323" i="7" s="1"/>
  <c r="D323" i="7" s="1"/>
  <c r="C323" i="7"/>
  <c r="A324" i="7"/>
  <c r="B324" i="7" s="1"/>
  <c r="C324" i="7"/>
  <c r="A325" i="7"/>
  <c r="B325" i="7" s="1"/>
  <c r="D325" i="7" s="1"/>
  <c r="C325" i="7"/>
  <c r="A326" i="7"/>
  <c r="B326" i="7" s="1"/>
  <c r="D326" i="7" s="1"/>
  <c r="C326" i="7"/>
  <c r="A327" i="7"/>
  <c r="B327" i="7"/>
  <c r="D327" i="7" s="1"/>
  <c r="C327" i="7"/>
  <c r="A328" i="7"/>
  <c r="B328" i="7" s="1"/>
  <c r="D328" i="7" s="1"/>
  <c r="C328" i="7"/>
  <c r="A329" i="7"/>
  <c r="B329" i="7" s="1"/>
  <c r="D329" i="7" s="1"/>
  <c r="C329" i="7"/>
  <c r="A330" i="7"/>
  <c r="B330" i="7" s="1"/>
  <c r="D330" i="7" s="1"/>
  <c r="C330" i="7"/>
  <c r="A331" i="7"/>
  <c r="B331" i="7" s="1"/>
  <c r="D331" i="7" s="1"/>
  <c r="C331" i="7"/>
  <c r="A332" i="7"/>
  <c r="B332" i="7" s="1"/>
  <c r="C332" i="7"/>
  <c r="A333" i="7"/>
  <c r="B333" i="7" s="1"/>
  <c r="D333" i="7" s="1"/>
  <c r="C333" i="7"/>
  <c r="A334" i="7"/>
  <c r="B334" i="7" s="1"/>
  <c r="D334" i="7" s="1"/>
  <c r="C334" i="7"/>
  <c r="A335" i="7"/>
  <c r="B335" i="7"/>
  <c r="D335" i="7" s="1"/>
  <c r="C335" i="7"/>
  <c r="A336" i="7"/>
  <c r="B336" i="7" s="1"/>
  <c r="D336" i="7" s="1"/>
  <c r="C336" i="7"/>
  <c r="A337" i="7"/>
  <c r="B337" i="7" s="1"/>
  <c r="D337" i="7" s="1"/>
  <c r="C337" i="7"/>
  <c r="A338" i="7"/>
  <c r="B338" i="7" s="1"/>
  <c r="D338" i="7" s="1"/>
  <c r="C338" i="7"/>
  <c r="A339" i="7"/>
  <c r="B339" i="7" s="1"/>
  <c r="D339" i="7" s="1"/>
  <c r="C339" i="7"/>
  <c r="A340" i="7"/>
  <c r="B340" i="7" s="1"/>
  <c r="C340" i="7"/>
  <c r="A341" i="7"/>
  <c r="B341" i="7" s="1"/>
  <c r="D341" i="7" s="1"/>
  <c r="C341" i="7"/>
  <c r="A342" i="7"/>
  <c r="B342" i="7" s="1"/>
  <c r="D342" i="7" s="1"/>
  <c r="C342" i="7"/>
  <c r="A343" i="7"/>
  <c r="B343" i="7"/>
  <c r="D343" i="7" s="1"/>
  <c r="C343" i="7"/>
  <c r="A344" i="7"/>
  <c r="B344" i="7" s="1"/>
  <c r="D344" i="7" s="1"/>
  <c r="C344" i="7"/>
  <c r="A345" i="7"/>
  <c r="B345" i="7" s="1"/>
  <c r="D345" i="7" s="1"/>
  <c r="C345" i="7"/>
  <c r="A346" i="7"/>
  <c r="B346" i="7" s="1"/>
  <c r="D346" i="7" s="1"/>
  <c r="C346" i="7"/>
  <c r="A347" i="7"/>
  <c r="B347" i="7" s="1"/>
  <c r="D347" i="7" s="1"/>
  <c r="C347" i="7"/>
  <c r="A348" i="7"/>
  <c r="B348" i="7" s="1"/>
  <c r="C348" i="7"/>
  <c r="A349" i="7"/>
  <c r="B349" i="7" s="1"/>
  <c r="D349" i="7" s="1"/>
  <c r="C349" i="7"/>
  <c r="A350" i="7"/>
  <c r="B350" i="7" s="1"/>
  <c r="D350" i="7" s="1"/>
  <c r="C350" i="7"/>
  <c r="A351" i="7"/>
  <c r="B351" i="7"/>
  <c r="D351" i="7" s="1"/>
  <c r="C351" i="7"/>
  <c r="A352" i="7"/>
  <c r="B352" i="7" s="1"/>
  <c r="D352" i="7" s="1"/>
  <c r="C352" i="7"/>
  <c r="A353" i="7"/>
  <c r="B353" i="7" s="1"/>
  <c r="D353" i="7" s="1"/>
  <c r="C353" i="7"/>
  <c r="A354" i="7"/>
  <c r="B354" i="7" s="1"/>
  <c r="D354" i="7" s="1"/>
  <c r="C354" i="7"/>
  <c r="A355" i="7"/>
  <c r="B355" i="7" s="1"/>
  <c r="D355" i="7" s="1"/>
  <c r="C355" i="7"/>
  <c r="D282" i="7" l="1"/>
  <c r="D280" i="7"/>
  <c r="W238" i="1"/>
  <c r="D287" i="7"/>
  <c r="D295" i="7"/>
  <c r="D293" i="7"/>
  <c r="D291" i="7"/>
  <c r="D289" i="7"/>
  <c r="W239" i="1"/>
  <c r="X237" i="1"/>
  <c r="D294" i="7"/>
  <c r="D281" i="7"/>
  <c r="D299" i="7"/>
  <c r="D297" i="7"/>
  <c r="D290" i="7"/>
  <c r="D340" i="7"/>
  <c r="D324" i="7"/>
  <c r="D308" i="7"/>
  <c r="D286" i="7"/>
  <c r="D348" i="7"/>
  <c r="D332" i="7"/>
  <c r="D316" i="7"/>
  <c r="D300" i="7"/>
  <c r="D292" i="7"/>
  <c r="D284" i="7"/>
  <c r="D288" i="7"/>
  <c r="D285" i="7"/>
  <c r="U225" i="1"/>
  <c r="V225" i="1"/>
  <c r="W225" i="1" s="1"/>
  <c r="U226" i="1"/>
  <c r="V226" i="1"/>
  <c r="W226" i="1" s="1"/>
  <c r="U227" i="1"/>
  <c r="V227" i="1"/>
  <c r="W227" i="1" s="1"/>
  <c r="U228" i="1"/>
  <c r="V228" i="1"/>
  <c r="W228" i="1" s="1"/>
  <c r="U229" i="1"/>
  <c r="V229" i="1"/>
  <c r="W229" i="1" s="1"/>
  <c r="U230" i="1"/>
  <c r="V230" i="1"/>
  <c r="W230" i="1" s="1"/>
  <c r="U231" i="1"/>
  <c r="V231" i="1"/>
  <c r="W231" i="1" s="1"/>
  <c r="U232" i="1"/>
  <c r="V232" i="1"/>
  <c r="W232" i="1" s="1"/>
  <c r="U233" i="1"/>
  <c r="V233" i="1"/>
  <c r="W233" i="1" s="1"/>
  <c r="U234" i="1"/>
  <c r="V234" i="1"/>
  <c r="W234" i="1" s="1"/>
  <c r="U235" i="1"/>
  <c r="V235" i="1"/>
  <c r="W235" i="1" s="1"/>
  <c r="U236" i="1"/>
  <c r="V236" i="1"/>
  <c r="W236" i="1" s="1"/>
  <c r="U237" i="1"/>
  <c r="U240" i="1"/>
  <c r="V240" i="1"/>
  <c r="W240" i="1" s="1"/>
  <c r="U241" i="1"/>
  <c r="V241" i="1"/>
  <c r="W241" i="1" s="1"/>
  <c r="U242" i="1"/>
  <c r="V242" i="1"/>
  <c r="W242" i="1" s="1"/>
  <c r="U243" i="1"/>
  <c r="V243" i="1"/>
  <c r="W243" i="1" s="1"/>
  <c r="U244" i="1"/>
  <c r="V244" i="1"/>
  <c r="W244" i="1" s="1"/>
  <c r="U174" i="1"/>
  <c r="V174" i="1"/>
  <c r="W174" i="1" s="1"/>
  <c r="U175" i="1"/>
  <c r="V175" i="1"/>
  <c r="W175" i="1" s="1"/>
  <c r="U176" i="1"/>
  <c r="V176" i="1"/>
  <c r="W176" i="1" s="1"/>
  <c r="U177" i="1"/>
  <c r="V177" i="1"/>
  <c r="W177" i="1" s="1"/>
  <c r="U178" i="1"/>
  <c r="V178" i="1"/>
  <c r="W178" i="1" s="1"/>
  <c r="U179" i="1"/>
  <c r="V179" i="1"/>
  <c r="W179" i="1" s="1"/>
  <c r="U180" i="1"/>
  <c r="V180" i="1"/>
  <c r="W180" i="1" s="1"/>
  <c r="U181" i="1"/>
  <c r="V181" i="1"/>
  <c r="W181" i="1" s="1"/>
  <c r="U182" i="1"/>
  <c r="V182" i="1"/>
  <c r="W182" i="1" s="1"/>
  <c r="U183" i="1"/>
  <c r="V183" i="1"/>
  <c r="W183" i="1" s="1"/>
  <c r="U184" i="1"/>
  <c r="V184" i="1"/>
  <c r="W184" i="1" s="1"/>
  <c r="U185" i="1"/>
  <c r="V185" i="1"/>
  <c r="W185" i="1" s="1"/>
  <c r="U186" i="1"/>
  <c r="V186" i="1"/>
  <c r="W186" i="1" s="1"/>
  <c r="U187" i="1"/>
  <c r="V187" i="1"/>
  <c r="W187" i="1" s="1"/>
  <c r="U188" i="1"/>
  <c r="V188" i="1"/>
  <c r="W188" i="1" s="1"/>
  <c r="U189" i="1"/>
  <c r="V189" i="1"/>
  <c r="W189" i="1" s="1"/>
  <c r="U190" i="1"/>
  <c r="V190" i="1"/>
  <c r="W190" i="1" s="1"/>
  <c r="U191" i="1"/>
  <c r="V191" i="1"/>
  <c r="W191" i="1" s="1"/>
  <c r="U192" i="1"/>
  <c r="V192" i="1"/>
  <c r="W192" i="1" s="1"/>
  <c r="U193" i="1"/>
  <c r="V193" i="1"/>
  <c r="W193" i="1" s="1"/>
  <c r="U194" i="1"/>
  <c r="V194" i="1"/>
  <c r="W194" i="1" s="1"/>
  <c r="U195" i="1"/>
  <c r="V195" i="1"/>
  <c r="W195" i="1" s="1"/>
  <c r="U196" i="1"/>
  <c r="V196" i="1"/>
  <c r="W196" i="1" s="1"/>
  <c r="U197" i="1"/>
  <c r="V197" i="1"/>
  <c r="W197" i="1" s="1"/>
  <c r="U198" i="1"/>
  <c r="V198" i="1"/>
  <c r="W198" i="1" s="1"/>
  <c r="U199" i="1"/>
  <c r="V199" i="1"/>
  <c r="W199" i="1" s="1"/>
  <c r="U200" i="1"/>
  <c r="V200" i="1"/>
  <c r="W200" i="1" s="1"/>
  <c r="U201" i="1"/>
  <c r="V201" i="1"/>
  <c r="W201" i="1" s="1"/>
  <c r="U202" i="1"/>
  <c r="V202" i="1"/>
  <c r="W202" i="1" s="1"/>
  <c r="U203" i="1"/>
  <c r="V203" i="1"/>
  <c r="W203" i="1" s="1"/>
  <c r="U204" i="1"/>
  <c r="V204" i="1"/>
  <c r="W204" i="1" s="1"/>
  <c r="U205" i="1"/>
  <c r="V205" i="1"/>
  <c r="W205" i="1" s="1"/>
  <c r="U206" i="1"/>
  <c r="V206" i="1"/>
  <c r="W206" i="1" s="1"/>
  <c r="U207" i="1"/>
  <c r="V207" i="1"/>
  <c r="W207" i="1" s="1"/>
  <c r="U208" i="1"/>
  <c r="V208" i="1"/>
  <c r="W208" i="1" s="1"/>
  <c r="U209" i="1"/>
  <c r="V209" i="1"/>
  <c r="W209" i="1" s="1"/>
  <c r="U210" i="1"/>
  <c r="V210" i="1"/>
  <c r="W210" i="1" s="1"/>
  <c r="U211" i="1"/>
  <c r="V211" i="1"/>
  <c r="W211" i="1" s="1"/>
  <c r="U212" i="1"/>
  <c r="V212" i="1"/>
  <c r="W212" i="1" s="1"/>
  <c r="U213" i="1"/>
  <c r="V213" i="1"/>
  <c r="W213" i="1" s="1"/>
  <c r="U214" i="1"/>
  <c r="V214" i="1"/>
  <c r="W214" i="1" s="1"/>
  <c r="U215" i="1"/>
  <c r="V215" i="1"/>
  <c r="W215" i="1" s="1"/>
  <c r="U216" i="1"/>
  <c r="V216" i="1"/>
  <c r="W216" i="1" s="1"/>
  <c r="U217" i="1"/>
  <c r="V217" i="1"/>
  <c r="W217" i="1" s="1"/>
  <c r="U218" i="1"/>
  <c r="V218" i="1"/>
  <c r="W218" i="1" s="1"/>
  <c r="U219" i="1"/>
  <c r="V219" i="1"/>
  <c r="W219" i="1" s="1"/>
  <c r="U220" i="1"/>
  <c r="V220" i="1"/>
  <c r="W220" i="1" s="1"/>
  <c r="U221" i="1"/>
  <c r="V221" i="1"/>
  <c r="W221" i="1" s="1"/>
  <c r="U222" i="1"/>
  <c r="V222" i="1"/>
  <c r="W222" i="1" s="1"/>
  <c r="U223" i="1"/>
  <c r="V223" i="1"/>
  <c r="W223" i="1" s="1"/>
  <c r="U224" i="1"/>
  <c r="V224" i="1"/>
  <c r="W224" i="1" s="1"/>
  <c r="A214" i="7"/>
  <c r="B214" i="7" s="1"/>
  <c r="C214" i="7"/>
  <c r="A215" i="7"/>
  <c r="B215" i="7" s="1"/>
  <c r="C215" i="7"/>
  <c r="A216" i="7"/>
  <c r="B216" i="7" s="1"/>
  <c r="C216" i="7"/>
  <c r="A217" i="7"/>
  <c r="B217" i="7" s="1"/>
  <c r="C217" i="7"/>
  <c r="A218" i="7"/>
  <c r="B218" i="7" s="1"/>
  <c r="C218" i="7"/>
  <c r="A219" i="7"/>
  <c r="B219" i="7" s="1"/>
  <c r="C219" i="7"/>
  <c r="A220" i="7"/>
  <c r="B220" i="7" s="1"/>
  <c r="C220" i="7"/>
  <c r="A221" i="7"/>
  <c r="B221" i="7" s="1"/>
  <c r="C221" i="7"/>
  <c r="A222" i="7"/>
  <c r="B222" i="7" s="1"/>
  <c r="C222" i="7"/>
  <c r="A223" i="7"/>
  <c r="B223" i="7" s="1"/>
  <c r="C223" i="7"/>
  <c r="A224" i="7"/>
  <c r="B224" i="7" s="1"/>
  <c r="C224" i="7"/>
  <c r="A225" i="7"/>
  <c r="B225" i="7" s="1"/>
  <c r="C225" i="7"/>
  <c r="A226" i="7"/>
  <c r="B226" i="7" s="1"/>
  <c r="C226" i="7"/>
  <c r="A227" i="7"/>
  <c r="C227" i="7"/>
  <c r="A228" i="7"/>
  <c r="B228" i="7" s="1"/>
  <c r="C228" i="7"/>
  <c r="A229" i="7"/>
  <c r="B229" i="7" s="1"/>
  <c r="C229" i="7"/>
  <c r="A230" i="7"/>
  <c r="B230" i="7" s="1"/>
  <c r="C230" i="7"/>
  <c r="A231" i="7"/>
  <c r="B231" i="7" s="1"/>
  <c r="C231" i="7"/>
  <c r="A232" i="7"/>
  <c r="B232" i="7" s="1"/>
  <c r="C232" i="7"/>
  <c r="A233" i="7"/>
  <c r="B233" i="7" s="1"/>
  <c r="C233" i="7"/>
  <c r="A234" i="7"/>
  <c r="B234" i="7" s="1"/>
  <c r="C234" i="7"/>
  <c r="A235" i="7"/>
  <c r="B235" i="7" s="1"/>
  <c r="C235" i="7"/>
  <c r="A236" i="7"/>
  <c r="B236" i="7" s="1"/>
  <c r="C236" i="7"/>
  <c r="A237" i="7"/>
  <c r="B237" i="7" s="1"/>
  <c r="C237" i="7"/>
  <c r="A238" i="7"/>
  <c r="B238" i="7" s="1"/>
  <c r="C238" i="7"/>
  <c r="A239" i="7"/>
  <c r="B239" i="7" s="1"/>
  <c r="C239" i="7"/>
  <c r="A240" i="7"/>
  <c r="B240" i="7" s="1"/>
  <c r="C240" i="7"/>
  <c r="A241" i="7"/>
  <c r="B241" i="7" s="1"/>
  <c r="C241" i="7"/>
  <c r="A242" i="7"/>
  <c r="B242" i="7" s="1"/>
  <c r="C242" i="7"/>
  <c r="A243" i="7"/>
  <c r="B243" i="7" s="1"/>
  <c r="C243" i="7"/>
  <c r="A244" i="7"/>
  <c r="B244" i="7" s="1"/>
  <c r="C244" i="7"/>
  <c r="A245" i="7"/>
  <c r="B245" i="7" s="1"/>
  <c r="C245" i="7"/>
  <c r="A246" i="7"/>
  <c r="B246" i="7" s="1"/>
  <c r="C246" i="7"/>
  <c r="A247" i="7"/>
  <c r="B247" i="7" s="1"/>
  <c r="C247" i="7"/>
  <c r="A248" i="7"/>
  <c r="B248" i="7" s="1"/>
  <c r="C248" i="7"/>
  <c r="A249" i="7"/>
  <c r="B249" i="7" s="1"/>
  <c r="C249" i="7"/>
  <c r="A250" i="7"/>
  <c r="B250" i="7" s="1"/>
  <c r="C250" i="7"/>
  <c r="A251" i="7"/>
  <c r="B251" i="7" s="1"/>
  <c r="C251" i="7"/>
  <c r="A252" i="7"/>
  <c r="C252" i="7"/>
  <c r="A253" i="7"/>
  <c r="B253" i="7" s="1"/>
  <c r="C253" i="7"/>
  <c r="A254" i="7"/>
  <c r="B254" i="7" s="1"/>
  <c r="C254" i="7"/>
  <c r="A255" i="7"/>
  <c r="B255" i="7" s="1"/>
  <c r="C255" i="7"/>
  <c r="A256" i="7"/>
  <c r="B256" i="7" s="1"/>
  <c r="C256" i="7"/>
  <c r="A257" i="7"/>
  <c r="B257" i="7" s="1"/>
  <c r="C257" i="7"/>
  <c r="A258" i="7"/>
  <c r="B258" i="7" s="1"/>
  <c r="C258" i="7"/>
  <c r="A259" i="7"/>
  <c r="B259" i="7" s="1"/>
  <c r="C259" i="7"/>
  <c r="A260" i="7"/>
  <c r="B260" i="7" s="1"/>
  <c r="C260" i="7"/>
  <c r="A261" i="7"/>
  <c r="B261" i="7" s="1"/>
  <c r="C261" i="7"/>
  <c r="A262" i="7"/>
  <c r="B262" i="7" s="1"/>
  <c r="C262" i="7"/>
  <c r="A263" i="7"/>
  <c r="B263" i="7" s="1"/>
  <c r="C263" i="7"/>
  <c r="A264" i="7"/>
  <c r="B264" i="7" s="1"/>
  <c r="C264" i="7"/>
  <c r="A265" i="7"/>
  <c r="B265" i="7" s="1"/>
  <c r="C265" i="7"/>
  <c r="A266" i="7"/>
  <c r="B266" i="7" s="1"/>
  <c r="C266" i="7"/>
  <c r="A267" i="7"/>
  <c r="B267" i="7" s="1"/>
  <c r="C267" i="7"/>
  <c r="A268" i="7"/>
  <c r="B268" i="7" s="1"/>
  <c r="C268" i="7"/>
  <c r="A269" i="7"/>
  <c r="B269" i="7" s="1"/>
  <c r="C269" i="7"/>
  <c r="A270" i="7"/>
  <c r="B270" i="7" s="1"/>
  <c r="C270" i="7"/>
  <c r="A271" i="7"/>
  <c r="B271" i="7" s="1"/>
  <c r="C271" i="7"/>
  <c r="A272" i="7"/>
  <c r="B272" i="7" s="1"/>
  <c r="C272" i="7"/>
  <c r="A273" i="7"/>
  <c r="B273" i="7" s="1"/>
  <c r="C273" i="7"/>
  <c r="A274" i="7"/>
  <c r="B274" i="7" s="1"/>
  <c r="C274" i="7"/>
  <c r="A275" i="7"/>
  <c r="B275" i="7" s="1"/>
  <c r="C275" i="7"/>
  <c r="A276" i="7"/>
  <c r="B276" i="7" s="1"/>
  <c r="C276" i="7"/>
  <c r="A277" i="7"/>
  <c r="B277" i="7" s="1"/>
  <c r="C277" i="7"/>
  <c r="A278" i="7"/>
  <c r="B278" i="7" s="1"/>
  <c r="C278" i="7"/>
  <c r="A279" i="7"/>
  <c r="B279" i="7" s="1"/>
  <c r="C279" i="7"/>
  <c r="A208" i="7"/>
  <c r="B208" i="7" s="1"/>
  <c r="C208" i="7"/>
  <c r="A209" i="7"/>
  <c r="B209" i="7" s="1"/>
  <c r="C209" i="7"/>
  <c r="A210" i="7"/>
  <c r="B210" i="7" s="1"/>
  <c r="C210" i="7"/>
  <c r="A211" i="7"/>
  <c r="B211" i="7" s="1"/>
  <c r="C211" i="7"/>
  <c r="E288" i="7" a="1"/>
  <c r="E289" i="7" a="1"/>
  <c r="E290" i="7" a="1"/>
  <c r="E289" i="7" l="1"/>
  <c r="E290" i="7"/>
  <c r="E288" i="7"/>
  <c r="X243" i="1"/>
  <c r="X241" i="1"/>
  <c r="X235" i="1"/>
  <c r="X233" i="1"/>
  <c r="X230" i="1"/>
  <c r="X228" i="1"/>
  <c r="X226" i="1"/>
  <c r="X244" i="1"/>
  <c r="X242" i="1"/>
  <c r="X240" i="1"/>
  <c r="X236" i="1"/>
  <c r="X234" i="1"/>
  <c r="X232" i="1"/>
  <c r="X231" i="1"/>
  <c r="X229" i="1"/>
  <c r="X227" i="1"/>
  <c r="X225" i="1"/>
  <c r="X215" i="1"/>
  <c r="D270" i="7"/>
  <c r="D246" i="7"/>
  <c r="D222" i="7"/>
  <c r="X223" i="1"/>
  <c r="D279" i="7"/>
  <c r="D271" i="7"/>
  <c r="X219" i="1"/>
  <c r="D278" i="7"/>
  <c r="D274" i="7"/>
  <c r="D265" i="7"/>
  <c r="D217" i="7"/>
  <c r="X221" i="1"/>
  <c r="D216" i="7"/>
  <c r="X217" i="1"/>
  <c r="D277" i="7"/>
  <c r="X185" i="1"/>
  <c r="X207" i="1"/>
  <c r="D256" i="7"/>
  <c r="X205" i="1"/>
  <c r="D255" i="7"/>
  <c r="X203" i="1"/>
  <c r="D254" i="7"/>
  <c r="D218" i="7"/>
  <c r="D214" i="7"/>
  <c r="D264" i="7"/>
  <c r="X213" i="1"/>
  <c r="D263" i="7"/>
  <c r="D240" i="7"/>
  <c r="X209" i="1"/>
  <c r="X175" i="1"/>
  <c r="D266" i="7"/>
  <c r="D262" i="7"/>
  <c r="D223" i="7"/>
  <c r="D273" i="7"/>
  <c r="D258" i="7"/>
  <c r="D215" i="7"/>
  <c r="X211" i="1"/>
  <c r="D272" i="7"/>
  <c r="D257" i="7"/>
  <c r="X201" i="1"/>
  <c r="X199" i="1"/>
  <c r="D250" i="7"/>
  <c r="D249" i="7"/>
  <c r="D248" i="7"/>
  <c r="X197" i="1"/>
  <c r="D247" i="7"/>
  <c r="X195" i="1"/>
  <c r="X193" i="1"/>
  <c r="X191" i="1"/>
  <c r="D242" i="7"/>
  <c r="D241" i="7"/>
  <c r="X189" i="1"/>
  <c r="D239" i="7"/>
  <c r="X187" i="1"/>
  <c r="D238" i="7"/>
  <c r="X183" i="1"/>
  <c r="D234" i="7"/>
  <c r="D233" i="7"/>
  <c r="D232" i="7"/>
  <c r="X181" i="1"/>
  <c r="D231" i="7"/>
  <c r="X179" i="1"/>
  <c r="D230" i="7"/>
  <c r="X177" i="1"/>
  <c r="X224" i="1"/>
  <c r="X222" i="1"/>
  <c r="X220" i="1"/>
  <c r="X218" i="1"/>
  <c r="X216" i="1"/>
  <c r="X214" i="1"/>
  <c r="X212" i="1"/>
  <c r="X210" i="1"/>
  <c r="X208" i="1"/>
  <c r="X206" i="1"/>
  <c r="X204" i="1"/>
  <c r="X202" i="1"/>
  <c r="X200" i="1"/>
  <c r="X198" i="1"/>
  <c r="X196" i="1"/>
  <c r="X194" i="1"/>
  <c r="X192" i="1"/>
  <c r="X190" i="1"/>
  <c r="X188" i="1"/>
  <c r="X186" i="1"/>
  <c r="X184" i="1"/>
  <c r="X182" i="1"/>
  <c r="X180" i="1"/>
  <c r="X178" i="1"/>
  <c r="X176" i="1"/>
  <c r="X174" i="1"/>
  <c r="D226" i="7"/>
  <c r="D259" i="7"/>
  <c r="D252" i="7"/>
  <c r="D245" i="7"/>
  <c r="D227" i="7"/>
  <c r="D220" i="7"/>
  <c r="D208" i="7"/>
  <c r="D276" i="7"/>
  <c r="D269" i="7"/>
  <c r="D251" i="7"/>
  <c r="D244" i="7"/>
  <c r="D237" i="7"/>
  <c r="D219" i="7"/>
  <c r="D275" i="7"/>
  <c r="D268" i="7"/>
  <c r="D261" i="7"/>
  <c r="D243" i="7"/>
  <c r="D236" i="7"/>
  <c r="D229" i="7"/>
  <c r="D267" i="7"/>
  <c r="D260" i="7"/>
  <c r="D253" i="7"/>
  <c r="D235" i="7"/>
  <c r="D228" i="7"/>
  <c r="D221" i="7"/>
  <c r="D225" i="7"/>
  <c r="D224" i="7"/>
  <c r="D211" i="7"/>
  <c r="D210" i="7"/>
  <c r="D209" i="7"/>
  <c r="U123" i="1"/>
  <c r="V123" i="1"/>
  <c r="W123" i="1" s="1"/>
  <c r="U124" i="1"/>
  <c r="V124" i="1"/>
  <c r="W124" i="1" s="1"/>
  <c r="U125" i="1"/>
  <c r="V125" i="1"/>
  <c r="W125" i="1" s="1"/>
  <c r="U126" i="1"/>
  <c r="V126" i="1"/>
  <c r="W126" i="1" s="1"/>
  <c r="U127" i="1"/>
  <c r="V127" i="1"/>
  <c r="W127" i="1" s="1"/>
  <c r="U128" i="1"/>
  <c r="V128" i="1"/>
  <c r="W128" i="1" s="1"/>
  <c r="U129" i="1"/>
  <c r="V129" i="1"/>
  <c r="W129" i="1" s="1"/>
  <c r="U130" i="1"/>
  <c r="V130" i="1"/>
  <c r="W130" i="1" s="1"/>
  <c r="U131" i="1"/>
  <c r="V131" i="1"/>
  <c r="W131" i="1" s="1"/>
  <c r="U132" i="1"/>
  <c r="V132" i="1"/>
  <c r="W132" i="1" s="1"/>
  <c r="U133" i="1"/>
  <c r="V133" i="1"/>
  <c r="W133" i="1" s="1"/>
  <c r="U134" i="1"/>
  <c r="V134" i="1"/>
  <c r="W134" i="1" s="1"/>
  <c r="U135" i="1"/>
  <c r="V135" i="1"/>
  <c r="W135" i="1" s="1"/>
  <c r="U136" i="1"/>
  <c r="V136" i="1"/>
  <c r="W136" i="1" s="1"/>
  <c r="U137" i="1"/>
  <c r="V137" i="1"/>
  <c r="W137" i="1" s="1"/>
  <c r="U138" i="1"/>
  <c r="V138" i="1"/>
  <c r="W138" i="1" s="1"/>
  <c r="U139" i="1"/>
  <c r="V139" i="1"/>
  <c r="W139" i="1" s="1"/>
  <c r="U140" i="1"/>
  <c r="V140" i="1"/>
  <c r="W140" i="1" s="1"/>
  <c r="U141" i="1"/>
  <c r="V141" i="1"/>
  <c r="W141" i="1" s="1"/>
  <c r="U142" i="1"/>
  <c r="V142" i="1"/>
  <c r="W142" i="1" s="1"/>
  <c r="U143" i="1"/>
  <c r="V143" i="1"/>
  <c r="W143" i="1" s="1"/>
  <c r="U144" i="1"/>
  <c r="V144" i="1"/>
  <c r="W144" i="1" s="1"/>
  <c r="U145" i="1"/>
  <c r="V145" i="1"/>
  <c r="W145" i="1" s="1"/>
  <c r="U146" i="1"/>
  <c r="V146" i="1"/>
  <c r="W146" i="1" s="1"/>
  <c r="U147" i="1"/>
  <c r="V147" i="1"/>
  <c r="W147" i="1" s="1"/>
  <c r="U148" i="1"/>
  <c r="V148" i="1"/>
  <c r="W148" i="1" s="1"/>
  <c r="U149" i="1"/>
  <c r="V149" i="1"/>
  <c r="W149" i="1" s="1"/>
  <c r="U150" i="1"/>
  <c r="V150" i="1"/>
  <c r="W150" i="1" s="1"/>
  <c r="U151" i="1"/>
  <c r="V151" i="1"/>
  <c r="W151" i="1" s="1"/>
  <c r="U152" i="1"/>
  <c r="V152" i="1"/>
  <c r="W152" i="1" s="1"/>
  <c r="U153" i="1"/>
  <c r="V153" i="1"/>
  <c r="W153" i="1" s="1"/>
  <c r="U154" i="1"/>
  <c r="V154" i="1"/>
  <c r="W154" i="1" s="1"/>
  <c r="U155" i="1"/>
  <c r="V155" i="1"/>
  <c r="W155" i="1" s="1"/>
  <c r="U156" i="1"/>
  <c r="V156" i="1"/>
  <c r="W156" i="1" s="1"/>
  <c r="U157" i="1"/>
  <c r="V157" i="1"/>
  <c r="W157" i="1" s="1"/>
  <c r="U158" i="1"/>
  <c r="V158" i="1"/>
  <c r="W158" i="1" s="1"/>
  <c r="U159" i="1"/>
  <c r="V159" i="1"/>
  <c r="W159" i="1" s="1"/>
  <c r="U160" i="1"/>
  <c r="V160" i="1"/>
  <c r="W160" i="1" s="1"/>
  <c r="U161" i="1"/>
  <c r="V161" i="1"/>
  <c r="W161" i="1" s="1"/>
  <c r="U162" i="1"/>
  <c r="V162" i="1"/>
  <c r="W162" i="1" s="1"/>
  <c r="U163" i="1"/>
  <c r="V163" i="1"/>
  <c r="W163" i="1" s="1"/>
  <c r="U164" i="1"/>
  <c r="V164" i="1"/>
  <c r="W164" i="1" s="1"/>
  <c r="U165" i="1"/>
  <c r="V165" i="1"/>
  <c r="W165" i="1" s="1"/>
  <c r="U166" i="1"/>
  <c r="V166" i="1"/>
  <c r="W166" i="1" s="1"/>
  <c r="U167" i="1"/>
  <c r="V167" i="1"/>
  <c r="W167" i="1" s="1"/>
  <c r="U168" i="1"/>
  <c r="V168" i="1"/>
  <c r="W168" i="1" s="1"/>
  <c r="U169" i="1"/>
  <c r="V169" i="1"/>
  <c r="W169" i="1" s="1"/>
  <c r="U170" i="1"/>
  <c r="V170" i="1"/>
  <c r="W170" i="1" s="1"/>
  <c r="U171" i="1"/>
  <c r="V171" i="1"/>
  <c r="W171" i="1" s="1"/>
  <c r="U172" i="1"/>
  <c r="V172" i="1"/>
  <c r="W172" i="1" s="1"/>
  <c r="U173" i="1"/>
  <c r="V173" i="1"/>
  <c r="W173" i="1" s="1"/>
  <c r="X134" i="1" l="1"/>
  <c r="X172" i="1"/>
  <c r="X152" i="1"/>
  <c r="X156" i="1"/>
  <c r="X166" i="1"/>
  <c r="X142" i="1"/>
  <c r="X168" i="1"/>
  <c r="X158" i="1"/>
  <c r="X144" i="1"/>
  <c r="X154" i="1"/>
  <c r="X170" i="1"/>
  <c r="X160" i="1"/>
  <c r="X140" i="1"/>
  <c r="X138" i="1"/>
  <c r="X164" i="1"/>
  <c r="X148" i="1"/>
  <c r="X128" i="1"/>
  <c r="X124" i="1"/>
  <c r="X150" i="1"/>
  <c r="X130" i="1"/>
  <c r="X162" i="1"/>
  <c r="X146" i="1"/>
  <c r="X126" i="1"/>
  <c r="X136" i="1"/>
  <c r="X132" i="1"/>
  <c r="X173" i="1"/>
  <c r="X171" i="1"/>
  <c r="X169" i="1"/>
  <c r="X167" i="1"/>
  <c r="X165" i="1"/>
  <c r="X163" i="1"/>
  <c r="X161" i="1"/>
  <c r="X159" i="1"/>
  <c r="X157" i="1"/>
  <c r="X155" i="1"/>
  <c r="X153" i="1"/>
  <c r="X151" i="1"/>
  <c r="X149" i="1"/>
  <c r="X147" i="1"/>
  <c r="X145" i="1"/>
  <c r="X143" i="1"/>
  <c r="X141" i="1"/>
  <c r="X139" i="1"/>
  <c r="X137" i="1"/>
  <c r="X135" i="1"/>
  <c r="X133" i="1"/>
  <c r="X131" i="1"/>
  <c r="X129" i="1"/>
  <c r="X127" i="1"/>
  <c r="X125" i="1"/>
  <c r="X123" i="1"/>
  <c r="A173" i="7"/>
  <c r="B173" i="7" s="1"/>
  <c r="C173" i="7"/>
  <c r="C134" i="7"/>
  <c r="C135" i="7"/>
  <c r="C136" i="7"/>
  <c r="C137" i="7"/>
  <c r="U79" i="1"/>
  <c r="V79" i="1"/>
  <c r="W79" i="1" s="1"/>
  <c r="U80" i="1"/>
  <c r="V80" i="1"/>
  <c r="W80" i="1" s="1"/>
  <c r="U81" i="1"/>
  <c r="V81" i="1"/>
  <c r="W81" i="1" s="1"/>
  <c r="U82" i="1"/>
  <c r="V82" i="1"/>
  <c r="W82" i="1" s="1"/>
  <c r="U83" i="1"/>
  <c r="V83" i="1"/>
  <c r="W83" i="1" s="1"/>
  <c r="U84" i="1"/>
  <c r="V84" i="1"/>
  <c r="W84" i="1" s="1"/>
  <c r="U85" i="1"/>
  <c r="V85" i="1"/>
  <c r="W85" i="1" s="1"/>
  <c r="U86" i="1"/>
  <c r="V86" i="1"/>
  <c r="W86" i="1" s="1"/>
  <c r="U87" i="1"/>
  <c r="V87" i="1"/>
  <c r="W87" i="1" s="1"/>
  <c r="U88" i="1"/>
  <c r="V88" i="1"/>
  <c r="W88" i="1" s="1"/>
  <c r="U89" i="1"/>
  <c r="V89" i="1"/>
  <c r="W89" i="1" s="1"/>
  <c r="U90" i="1"/>
  <c r="V90" i="1"/>
  <c r="W90" i="1" s="1"/>
  <c r="U91" i="1"/>
  <c r="V91" i="1"/>
  <c r="W91" i="1" s="1"/>
  <c r="U92" i="1"/>
  <c r="V92" i="1"/>
  <c r="W92" i="1" s="1"/>
  <c r="U93" i="1"/>
  <c r="V93" i="1"/>
  <c r="W93" i="1" s="1"/>
  <c r="U94" i="1"/>
  <c r="V94" i="1"/>
  <c r="W94" i="1" s="1"/>
  <c r="U95" i="1"/>
  <c r="V95" i="1"/>
  <c r="W95" i="1" s="1"/>
  <c r="U96" i="1"/>
  <c r="V96" i="1"/>
  <c r="W96" i="1" s="1"/>
  <c r="U97" i="1"/>
  <c r="V97" i="1"/>
  <c r="W97" i="1" s="1"/>
  <c r="U98" i="1"/>
  <c r="V98" i="1"/>
  <c r="W98" i="1" s="1"/>
  <c r="U99" i="1"/>
  <c r="V99" i="1"/>
  <c r="W99" i="1" s="1"/>
  <c r="U100" i="1"/>
  <c r="V100" i="1"/>
  <c r="W100" i="1" s="1"/>
  <c r="U101" i="1"/>
  <c r="V101" i="1"/>
  <c r="W101" i="1" s="1"/>
  <c r="U102" i="1"/>
  <c r="V102" i="1"/>
  <c r="W102" i="1" s="1"/>
  <c r="U103" i="1"/>
  <c r="V103" i="1"/>
  <c r="W103" i="1" s="1"/>
  <c r="U104" i="1"/>
  <c r="V104" i="1"/>
  <c r="W104" i="1" s="1"/>
  <c r="U105" i="1"/>
  <c r="V105" i="1"/>
  <c r="W105" i="1" s="1"/>
  <c r="U106" i="1"/>
  <c r="V106" i="1"/>
  <c r="W106" i="1" s="1"/>
  <c r="U107" i="1"/>
  <c r="V107" i="1"/>
  <c r="W107" i="1" s="1"/>
  <c r="U108" i="1"/>
  <c r="V108" i="1"/>
  <c r="W108" i="1" s="1"/>
  <c r="U109" i="1"/>
  <c r="V109" i="1"/>
  <c r="W109" i="1" s="1"/>
  <c r="U110" i="1"/>
  <c r="V110" i="1"/>
  <c r="W110" i="1" s="1"/>
  <c r="U111" i="1"/>
  <c r="V111" i="1"/>
  <c r="W111" i="1" s="1"/>
  <c r="U112" i="1"/>
  <c r="V112" i="1"/>
  <c r="W112" i="1" s="1"/>
  <c r="U113" i="1"/>
  <c r="V113" i="1"/>
  <c r="W113" i="1" s="1"/>
  <c r="U114" i="1"/>
  <c r="V114" i="1"/>
  <c r="W114" i="1" s="1"/>
  <c r="U115" i="1"/>
  <c r="V115" i="1"/>
  <c r="W115" i="1" s="1"/>
  <c r="U116" i="1"/>
  <c r="V116" i="1"/>
  <c r="W116" i="1" s="1"/>
  <c r="U117" i="1"/>
  <c r="V117" i="1"/>
  <c r="W117" i="1" s="1"/>
  <c r="U118" i="1"/>
  <c r="V118" i="1"/>
  <c r="W118" i="1" s="1"/>
  <c r="U119" i="1"/>
  <c r="V119" i="1"/>
  <c r="W119" i="1" s="1"/>
  <c r="U120" i="1"/>
  <c r="V120" i="1"/>
  <c r="W120" i="1" s="1"/>
  <c r="U121" i="1"/>
  <c r="V121" i="1"/>
  <c r="W121" i="1" s="1"/>
  <c r="U122" i="1"/>
  <c r="V122" i="1"/>
  <c r="W122" i="1" s="1"/>
  <c r="V2" i="1"/>
  <c r="X2" i="1" s="1"/>
  <c r="C39" i="7"/>
  <c r="A40" i="7"/>
  <c r="B40" i="7" s="1"/>
  <c r="C40" i="7"/>
  <c r="A41" i="7"/>
  <c r="B41" i="7" s="1"/>
  <c r="C41" i="7"/>
  <c r="A42" i="7"/>
  <c r="B42" i="7" s="1"/>
  <c r="C42" i="7"/>
  <c r="A43" i="7"/>
  <c r="B43" i="7" s="1"/>
  <c r="C43" i="7"/>
  <c r="A44" i="7"/>
  <c r="B44" i="7" s="1"/>
  <c r="C44" i="7"/>
  <c r="A45" i="7"/>
  <c r="B45" i="7" s="1"/>
  <c r="C45" i="7"/>
  <c r="A46" i="7"/>
  <c r="B46" i="7" s="1"/>
  <c r="C46" i="7"/>
  <c r="A47" i="7"/>
  <c r="B47" i="7" s="1"/>
  <c r="C47" i="7"/>
  <c r="A48" i="7"/>
  <c r="B48" i="7" s="1"/>
  <c r="C48" i="7"/>
  <c r="A49" i="7"/>
  <c r="B49" i="7" s="1"/>
  <c r="C49" i="7"/>
  <c r="A50" i="7"/>
  <c r="B50" i="7" s="1"/>
  <c r="C50" i="7"/>
  <c r="A51" i="7"/>
  <c r="B51" i="7" s="1"/>
  <c r="C51" i="7"/>
  <c r="A52" i="7"/>
  <c r="B52" i="7" s="1"/>
  <c r="C52" i="7"/>
  <c r="A53" i="7"/>
  <c r="B53" i="7" s="1"/>
  <c r="C53" i="7"/>
  <c r="A54" i="7"/>
  <c r="B54" i="7" s="1"/>
  <c r="C54" i="7"/>
  <c r="A55" i="7"/>
  <c r="B55" i="7" s="1"/>
  <c r="C55" i="7"/>
  <c r="A56" i="7"/>
  <c r="B56" i="7" s="1"/>
  <c r="C56" i="7"/>
  <c r="A57" i="7"/>
  <c r="B57" i="7" s="1"/>
  <c r="C57" i="7"/>
  <c r="A58" i="7"/>
  <c r="B58" i="7" s="1"/>
  <c r="C58" i="7"/>
  <c r="A59" i="7"/>
  <c r="B59" i="7" s="1"/>
  <c r="C59" i="7"/>
  <c r="A60" i="7"/>
  <c r="B60" i="7" s="1"/>
  <c r="C60" i="7"/>
  <c r="A61" i="7"/>
  <c r="B61" i="7" s="1"/>
  <c r="C61" i="7"/>
  <c r="A62" i="7"/>
  <c r="B62" i="7" s="1"/>
  <c r="C62" i="7"/>
  <c r="A63" i="7"/>
  <c r="B63" i="7" s="1"/>
  <c r="C63" i="7"/>
  <c r="A64" i="7"/>
  <c r="B64" i="7" s="1"/>
  <c r="C64" i="7"/>
  <c r="A65" i="7"/>
  <c r="C65" i="7"/>
  <c r="A66" i="7"/>
  <c r="B66" i="7" s="1"/>
  <c r="C66" i="7"/>
  <c r="A67" i="7"/>
  <c r="B67" i="7" s="1"/>
  <c r="C67" i="7"/>
  <c r="A68" i="7"/>
  <c r="B68" i="7" s="1"/>
  <c r="C68" i="7"/>
  <c r="A69" i="7"/>
  <c r="B69" i="7" s="1"/>
  <c r="C69" i="7"/>
  <c r="A70" i="7"/>
  <c r="B70" i="7" s="1"/>
  <c r="C70" i="7"/>
  <c r="A71" i="7"/>
  <c r="B71" i="7" s="1"/>
  <c r="C71" i="7"/>
  <c r="A72" i="7"/>
  <c r="B72" i="7" s="1"/>
  <c r="C72" i="7"/>
  <c r="A73" i="7"/>
  <c r="B73" i="7" s="1"/>
  <c r="C73" i="7"/>
  <c r="A74" i="7"/>
  <c r="B74" i="7" s="1"/>
  <c r="C74" i="7"/>
  <c r="A75" i="7"/>
  <c r="B75" i="7" s="1"/>
  <c r="C75" i="7"/>
  <c r="A76" i="7"/>
  <c r="B76" i="7" s="1"/>
  <c r="C76" i="7"/>
  <c r="A77" i="7"/>
  <c r="B77" i="7" s="1"/>
  <c r="C77" i="7"/>
  <c r="A78" i="7"/>
  <c r="B78" i="7" s="1"/>
  <c r="C78" i="7"/>
  <c r="A79" i="7"/>
  <c r="B79" i="7" s="1"/>
  <c r="C79" i="7"/>
  <c r="A80" i="7"/>
  <c r="B80" i="7" s="1"/>
  <c r="C80" i="7"/>
  <c r="A81" i="7"/>
  <c r="B81" i="7" s="1"/>
  <c r="C81" i="7"/>
  <c r="A82" i="7"/>
  <c r="B82" i="7" s="1"/>
  <c r="C82" i="7"/>
  <c r="A83" i="7"/>
  <c r="B83" i="7" s="1"/>
  <c r="C83" i="7"/>
  <c r="A84" i="7"/>
  <c r="B84" i="7" s="1"/>
  <c r="C84" i="7"/>
  <c r="A85" i="7"/>
  <c r="B85" i="7" s="1"/>
  <c r="C85" i="7"/>
  <c r="A86" i="7"/>
  <c r="B86" i="7" s="1"/>
  <c r="C86" i="7"/>
  <c r="A87" i="7"/>
  <c r="B87" i="7" s="1"/>
  <c r="C87" i="7"/>
  <c r="A88" i="7"/>
  <c r="B88" i="7" s="1"/>
  <c r="C88" i="7"/>
  <c r="A89" i="7"/>
  <c r="B89" i="7" s="1"/>
  <c r="C89" i="7"/>
  <c r="A90" i="7"/>
  <c r="B90" i="7" s="1"/>
  <c r="C90" i="7"/>
  <c r="A91" i="7"/>
  <c r="B91" i="7" s="1"/>
  <c r="C91" i="7"/>
  <c r="A92" i="7"/>
  <c r="B92" i="7" s="1"/>
  <c r="C92" i="7"/>
  <c r="A93" i="7"/>
  <c r="B93" i="7" s="1"/>
  <c r="C93" i="7"/>
  <c r="A94" i="7"/>
  <c r="B94" i="7" s="1"/>
  <c r="C94" i="7"/>
  <c r="A95" i="7"/>
  <c r="B95" i="7" s="1"/>
  <c r="C95" i="7"/>
  <c r="A96" i="7"/>
  <c r="B96" i="7" s="1"/>
  <c r="C96" i="7"/>
  <c r="A97" i="7"/>
  <c r="B97" i="7" s="1"/>
  <c r="C97" i="7"/>
  <c r="A98" i="7"/>
  <c r="B98" i="7" s="1"/>
  <c r="C98" i="7"/>
  <c r="A99" i="7"/>
  <c r="B99" i="7" s="1"/>
  <c r="C99" i="7"/>
  <c r="A100" i="7"/>
  <c r="B100" i="7" s="1"/>
  <c r="C100" i="7"/>
  <c r="A101" i="7"/>
  <c r="B101" i="7" s="1"/>
  <c r="C101" i="7"/>
  <c r="A102" i="7"/>
  <c r="B102" i="7" s="1"/>
  <c r="C102" i="7"/>
  <c r="A103" i="7"/>
  <c r="B103" i="7" s="1"/>
  <c r="C103" i="7"/>
  <c r="A104" i="7"/>
  <c r="B104" i="7" s="1"/>
  <c r="C104" i="7"/>
  <c r="A105" i="7"/>
  <c r="B105" i="7" s="1"/>
  <c r="C105" i="7"/>
  <c r="A106" i="7"/>
  <c r="B106" i="7" s="1"/>
  <c r="C106" i="7"/>
  <c r="A107" i="7"/>
  <c r="B107" i="7" s="1"/>
  <c r="C107" i="7"/>
  <c r="A108" i="7"/>
  <c r="B108" i="7" s="1"/>
  <c r="C108" i="7"/>
  <c r="A109" i="7"/>
  <c r="B109" i="7" s="1"/>
  <c r="C109" i="7"/>
  <c r="A110" i="7"/>
  <c r="B110" i="7" s="1"/>
  <c r="C110" i="7"/>
  <c r="A111" i="7"/>
  <c r="B111" i="7" s="1"/>
  <c r="C111" i="7"/>
  <c r="A112" i="7"/>
  <c r="B112" i="7" s="1"/>
  <c r="C112" i="7"/>
  <c r="A113" i="7"/>
  <c r="B113" i="7" s="1"/>
  <c r="C113" i="7"/>
  <c r="A114" i="7"/>
  <c r="B114" i="7" s="1"/>
  <c r="C114" i="7"/>
  <c r="A115" i="7"/>
  <c r="B115" i="7" s="1"/>
  <c r="C115" i="7"/>
  <c r="A116" i="7"/>
  <c r="B116" i="7" s="1"/>
  <c r="C116" i="7"/>
  <c r="A117" i="7"/>
  <c r="B117" i="7" s="1"/>
  <c r="C117" i="7"/>
  <c r="A118" i="7"/>
  <c r="B118" i="7" s="1"/>
  <c r="C118" i="7"/>
  <c r="A119" i="7"/>
  <c r="B119" i="7" s="1"/>
  <c r="C119" i="7"/>
  <c r="A120" i="7"/>
  <c r="B120" i="7" s="1"/>
  <c r="C120" i="7"/>
  <c r="A121" i="7"/>
  <c r="B121" i="7" s="1"/>
  <c r="C121" i="7"/>
  <c r="A122" i="7"/>
  <c r="B122" i="7" s="1"/>
  <c r="C122" i="7"/>
  <c r="A123" i="7"/>
  <c r="B123" i="7" s="1"/>
  <c r="C123" i="7"/>
  <c r="A124" i="7"/>
  <c r="B124" i="7" s="1"/>
  <c r="C124" i="7"/>
  <c r="A125" i="7"/>
  <c r="B125" i="7" s="1"/>
  <c r="C125" i="7"/>
  <c r="A126" i="7"/>
  <c r="B126" i="7" s="1"/>
  <c r="C126" i="7"/>
  <c r="A127" i="7"/>
  <c r="B127" i="7" s="1"/>
  <c r="C127" i="7"/>
  <c r="A128" i="7"/>
  <c r="B128" i="7" s="1"/>
  <c r="C128" i="7"/>
  <c r="A129" i="7"/>
  <c r="B129" i="7" s="1"/>
  <c r="C129" i="7"/>
  <c r="A130" i="7"/>
  <c r="B130" i="7" s="1"/>
  <c r="C130" i="7"/>
  <c r="A131" i="7"/>
  <c r="B131" i="7" s="1"/>
  <c r="C131" i="7"/>
  <c r="A132" i="7"/>
  <c r="B132" i="7" s="1"/>
  <c r="C132" i="7"/>
  <c r="A133" i="7"/>
  <c r="B133" i="7" s="1"/>
  <c r="C133" i="7"/>
  <c r="A134" i="7"/>
  <c r="B134" i="7" s="1"/>
  <c r="A135" i="7"/>
  <c r="B135" i="7" s="1"/>
  <c r="A136" i="7"/>
  <c r="B136" i="7" s="1"/>
  <c r="A137" i="7"/>
  <c r="B137" i="7" s="1"/>
  <c r="A138" i="7"/>
  <c r="B138" i="7" s="1"/>
  <c r="C138" i="7"/>
  <c r="A139" i="7"/>
  <c r="B139" i="7" s="1"/>
  <c r="C139" i="7"/>
  <c r="A140" i="7"/>
  <c r="B140" i="7" s="1"/>
  <c r="C140" i="7"/>
  <c r="A141" i="7"/>
  <c r="B141" i="7" s="1"/>
  <c r="C141" i="7"/>
  <c r="A142" i="7"/>
  <c r="B142" i="7" s="1"/>
  <c r="C142" i="7"/>
  <c r="A143" i="7"/>
  <c r="B143" i="7" s="1"/>
  <c r="C143" i="7"/>
  <c r="A144" i="7"/>
  <c r="B144" i="7" s="1"/>
  <c r="C144" i="7"/>
  <c r="A145" i="7"/>
  <c r="B145" i="7" s="1"/>
  <c r="C145" i="7"/>
  <c r="A146" i="7"/>
  <c r="B146" i="7" s="1"/>
  <c r="C146" i="7"/>
  <c r="A147" i="7"/>
  <c r="C147" i="7"/>
  <c r="A148" i="7"/>
  <c r="B148" i="7" s="1"/>
  <c r="C148" i="7"/>
  <c r="A149" i="7"/>
  <c r="B149" i="7" s="1"/>
  <c r="C149" i="7"/>
  <c r="A150" i="7"/>
  <c r="B150" i="7" s="1"/>
  <c r="C150" i="7"/>
  <c r="A151" i="7"/>
  <c r="B151" i="7" s="1"/>
  <c r="C151" i="7"/>
  <c r="A152" i="7"/>
  <c r="B152" i="7" s="1"/>
  <c r="C152" i="7"/>
  <c r="A153" i="7"/>
  <c r="B153" i="7" s="1"/>
  <c r="C153" i="7"/>
  <c r="A154" i="7"/>
  <c r="B154" i="7" s="1"/>
  <c r="C154" i="7"/>
  <c r="A155" i="7"/>
  <c r="C155" i="7"/>
  <c r="A156" i="7"/>
  <c r="B156" i="7" s="1"/>
  <c r="C156" i="7"/>
  <c r="A157" i="7"/>
  <c r="B157" i="7" s="1"/>
  <c r="C157" i="7"/>
  <c r="A158" i="7"/>
  <c r="B158" i="7" s="1"/>
  <c r="C158" i="7"/>
  <c r="A159" i="7"/>
  <c r="B159" i="7" s="1"/>
  <c r="C159" i="7"/>
  <c r="A160" i="7"/>
  <c r="B160" i="7" s="1"/>
  <c r="C160" i="7"/>
  <c r="A161" i="7"/>
  <c r="B161" i="7" s="1"/>
  <c r="C161" i="7"/>
  <c r="A162" i="7"/>
  <c r="C162" i="7"/>
  <c r="A163" i="7"/>
  <c r="B163" i="7" s="1"/>
  <c r="C163" i="7"/>
  <c r="A164" i="7"/>
  <c r="B164" i="7" s="1"/>
  <c r="C164" i="7"/>
  <c r="A165" i="7"/>
  <c r="B165" i="7" s="1"/>
  <c r="C165" i="7"/>
  <c r="A166" i="7"/>
  <c r="B166" i="7" s="1"/>
  <c r="C166" i="7"/>
  <c r="A167" i="7"/>
  <c r="B167" i="7" s="1"/>
  <c r="C167" i="7"/>
  <c r="A168" i="7"/>
  <c r="B168" i="7" s="1"/>
  <c r="C168" i="7"/>
  <c r="A169" i="7"/>
  <c r="B169" i="7" s="1"/>
  <c r="C169" i="7"/>
  <c r="A170" i="7"/>
  <c r="B170" i="7" s="1"/>
  <c r="C170" i="7"/>
  <c r="A171" i="7"/>
  <c r="B171" i="7" s="1"/>
  <c r="C171" i="7"/>
  <c r="A172" i="7"/>
  <c r="B172" i="7" s="1"/>
  <c r="C172" i="7"/>
  <c r="A174" i="7"/>
  <c r="B174" i="7" s="1"/>
  <c r="C174" i="7"/>
  <c r="A175" i="7"/>
  <c r="B175" i="7" s="1"/>
  <c r="C175" i="7"/>
  <c r="A176" i="7"/>
  <c r="B176" i="7" s="1"/>
  <c r="C176" i="7"/>
  <c r="A177" i="7"/>
  <c r="B177" i="7" s="1"/>
  <c r="C177" i="7"/>
  <c r="A178" i="7"/>
  <c r="B178" i="7" s="1"/>
  <c r="C178" i="7"/>
  <c r="A179" i="7"/>
  <c r="B179" i="7" s="1"/>
  <c r="C179" i="7"/>
  <c r="A180" i="7"/>
  <c r="B180" i="7" s="1"/>
  <c r="C180" i="7"/>
  <c r="A181" i="7"/>
  <c r="B181" i="7" s="1"/>
  <c r="C181" i="7"/>
  <c r="A182" i="7"/>
  <c r="B182" i="7" s="1"/>
  <c r="C182" i="7"/>
  <c r="A183" i="7"/>
  <c r="B183" i="7" s="1"/>
  <c r="C183" i="7"/>
  <c r="A184" i="7"/>
  <c r="B184" i="7" s="1"/>
  <c r="C184" i="7"/>
  <c r="A185" i="7"/>
  <c r="B185" i="7" s="1"/>
  <c r="C185" i="7"/>
  <c r="A186" i="7"/>
  <c r="B186" i="7" s="1"/>
  <c r="C186" i="7"/>
  <c r="A187" i="7"/>
  <c r="B187" i="7" s="1"/>
  <c r="C187" i="7"/>
  <c r="A188" i="7"/>
  <c r="B188" i="7" s="1"/>
  <c r="C188" i="7"/>
  <c r="A189" i="7"/>
  <c r="B189" i="7" s="1"/>
  <c r="C189" i="7"/>
  <c r="A190" i="7"/>
  <c r="B190" i="7" s="1"/>
  <c r="C190" i="7"/>
  <c r="A191" i="7"/>
  <c r="B191" i="7" s="1"/>
  <c r="C191" i="7"/>
  <c r="A192" i="7"/>
  <c r="B192" i="7" s="1"/>
  <c r="C192" i="7"/>
  <c r="A193" i="7"/>
  <c r="B193" i="7" s="1"/>
  <c r="C193" i="7"/>
  <c r="A194" i="7"/>
  <c r="B194" i="7" s="1"/>
  <c r="C194" i="7"/>
  <c r="A195" i="7"/>
  <c r="B195" i="7" s="1"/>
  <c r="C195" i="7"/>
  <c r="A196" i="7"/>
  <c r="B196" i="7" s="1"/>
  <c r="C196" i="7"/>
  <c r="A197" i="7"/>
  <c r="B197" i="7" s="1"/>
  <c r="C197" i="7"/>
  <c r="A198" i="7"/>
  <c r="B198" i="7" s="1"/>
  <c r="C198" i="7"/>
  <c r="A199" i="7"/>
  <c r="B199" i="7" s="1"/>
  <c r="C199" i="7"/>
  <c r="A200" i="7"/>
  <c r="B200" i="7" s="1"/>
  <c r="C200" i="7"/>
  <c r="A201" i="7"/>
  <c r="B201" i="7" s="1"/>
  <c r="C201" i="7"/>
  <c r="A202" i="7"/>
  <c r="B202" i="7" s="1"/>
  <c r="C202" i="7"/>
  <c r="A203" i="7"/>
  <c r="B203" i="7" s="1"/>
  <c r="C203" i="7"/>
  <c r="A204" i="7"/>
  <c r="B204" i="7" s="1"/>
  <c r="C204" i="7"/>
  <c r="A205" i="7"/>
  <c r="B205" i="7" s="1"/>
  <c r="C205" i="7"/>
  <c r="A206" i="7"/>
  <c r="B206" i="7" s="1"/>
  <c r="C206" i="7"/>
  <c r="A207" i="7"/>
  <c r="B207" i="7" s="1"/>
  <c r="C207" i="7"/>
  <c r="A212" i="7"/>
  <c r="B212" i="7" s="1"/>
  <c r="C212" i="7"/>
  <c r="A213" i="7"/>
  <c r="B213" i="7" s="1"/>
  <c r="C213" i="7"/>
  <c r="U3" i="1"/>
  <c r="V3" i="1"/>
  <c r="W3" i="1" s="1"/>
  <c r="U4" i="1"/>
  <c r="V4" i="1"/>
  <c r="W4" i="1" s="1"/>
  <c r="U5" i="1"/>
  <c r="V5" i="1"/>
  <c r="W5" i="1" s="1"/>
  <c r="U6" i="1"/>
  <c r="V6" i="1"/>
  <c r="W6" i="1" s="1"/>
  <c r="U7" i="1"/>
  <c r="V7" i="1"/>
  <c r="W7" i="1" s="1"/>
  <c r="U8" i="1"/>
  <c r="V8" i="1"/>
  <c r="W8" i="1" s="1"/>
  <c r="U9" i="1"/>
  <c r="V9" i="1"/>
  <c r="W9" i="1" s="1"/>
  <c r="U10" i="1"/>
  <c r="V10" i="1"/>
  <c r="W10" i="1" s="1"/>
  <c r="U11" i="1"/>
  <c r="V11" i="1"/>
  <c r="W11" i="1" s="1"/>
  <c r="U12" i="1"/>
  <c r="V12" i="1"/>
  <c r="W12" i="1" s="1"/>
  <c r="U13" i="1"/>
  <c r="V13" i="1"/>
  <c r="W13" i="1" s="1"/>
  <c r="U14" i="1"/>
  <c r="V14" i="1"/>
  <c r="W14" i="1" s="1"/>
  <c r="U15" i="1"/>
  <c r="V15" i="1"/>
  <c r="W15" i="1" s="1"/>
  <c r="U16" i="1"/>
  <c r="V16" i="1"/>
  <c r="W16" i="1" s="1"/>
  <c r="U17" i="1"/>
  <c r="V17" i="1"/>
  <c r="W17" i="1" s="1"/>
  <c r="U18" i="1"/>
  <c r="V18" i="1"/>
  <c r="W18" i="1" s="1"/>
  <c r="U19" i="1"/>
  <c r="V19" i="1"/>
  <c r="W19" i="1" s="1"/>
  <c r="U20" i="1"/>
  <c r="V20" i="1"/>
  <c r="W20" i="1" s="1"/>
  <c r="U21" i="1"/>
  <c r="V21" i="1"/>
  <c r="W21" i="1" s="1"/>
  <c r="U22" i="1"/>
  <c r="V22" i="1"/>
  <c r="W22" i="1" s="1"/>
  <c r="U23" i="1"/>
  <c r="V23" i="1"/>
  <c r="W23" i="1" s="1"/>
  <c r="U24" i="1"/>
  <c r="V24" i="1"/>
  <c r="W24" i="1" s="1"/>
  <c r="U25" i="1"/>
  <c r="V25" i="1"/>
  <c r="W25" i="1" s="1"/>
  <c r="U26" i="1"/>
  <c r="V26" i="1"/>
  <c r="W26" i="1" s="1"/>
  <c r="U27" i="1"/>
  <c r="V27" i="1"/>
  <c r="W27" i="1" s="1"/>
  <c r="U28" i="1"/>
  <c r="V28" i="1"/>
  <c r="W28" i="1" s="1"/>
  <c r="U29" i="1"/>
  <c r="V29" i="1"/>
  <c r="X29" i="1" s="1"/>
  <c r="U30" i="1"/>
  <c r="V30" i="1"/>
  <c r="W30" i="1" s="1"/>
  <c r="U31" i="1"/>
  <c r="V31" i="1"/>
  <c r="U32" i="1"/>
  <c r="V32" i="1"/>
  <c r="W32" i="1" s="1"/>
  <c r="U33" i="1"/>
  <c r="V33" i="1"/>
  <c r="V34" i="1"/>
  <c r="W34" i="1" s="1"/>
  <c r="U35" i="1"/>
  <c r="V35" i="1"/>
  <c r="U36" i="1"/>
  <c r="V36" i="1"/>
  <c r="W36" i="1" s="1"/>
  <c r="U37" i="1"/>
  <c r="V37" i="1"/>
  <c r="U38" i="1"/>
  <c r="V38" i="1"/>
  <c r="W38" i="1" s="1"/>
  <c r="U39" i="1"/>
  <c r="V39" i="1"/>
  <c r="U40" i="1"/>
  <c r="V40" i="1"/>
  <c r="W40" i="1" s="1"/>
  <c r="U41" i="1"/>
  <c r="V41" i="1"/>
  <c r="U42" i="1"/>
  <c r="V42" i="1"/>
  <c r="W42" i="1" s="1"/>
  <c r="U43" i="1"/>
  <c r="V43" i="1"/>
  <c r="U44" i="1"/>
  <c r="V44" i="1"/>
  <c r="W44" i="1" s="1"/>
  <c r="U45" i="1"/>
  <c r="V45" i="1"/>
  <c r="U46" i="1"/>
  <c r="V46" i="1"/>
  <c r="W46" i="1" s="1"/>
  <c r="U47" i="1"/>
  <c r="V47" i="1"/>
  <c r="U48" i="1"/>
  <c r="V48" i="1"/>
  <c r="W48" i="1" s="1"/>
  <c r="U49" i="1"/>
  <c r="V49" i="1"/>
  <c r="U50" i="1"/>
  <c r="V50" i="1"/>
  <c r="W50" i="1" s="1"/>
  <c r="U51" i="1"/>
  <c r="V51" i="1"/>
  <c r="U52" i="1"/>
  <c r="V52" i="1"/>
  <c r="W52" i="1" s="1"/>
  <c r="U53" i="1"/>
  <c r="V53" i="1"/>
  <c r="U54" i="1"/>
  <c r="V54" i="1"/>
  <c r="W54" i="1" s="1"/>
  <c r="U55" i="1"/>
  <c r="V55" i="1"/>
  <c r="U56" i="1"/>
  <c r="V56" i="1"/>
  <c r="W56" i="1" s="1"/>
  <c r="U57" i="1"/>
  <c r="V57" i="1"/>
  <c r="U58" i="1"/>
  <c r="V58" i="1"/>
  <c r="W58" i="1" s="1"/>
  <c r="U59" i="1"/>
  <c r="V59" i="1"/>
  <c r="U60" i="1"/>
  <c r="V60" i="1"/>
  <c r="W60" i="1" s="1"/>
  <c r="U61" i="1"/>
  <c r="V61" i="1"/>
  <c r="U62" i="1"/>
  <c r="V62" i="1"/>
  <c r="W62" i="1" s="1"/>
  <c r="U63" i="1"/>
  <c r="V63" i="1"/>
  <c r="U64" i="1"/>
  <c r="V64" i="1"/>
  <c r="W64" i="1" s="1"/>
  <c r="U65" i="1"/>
  <c r="V65" i="1"/>
  <c r="U66" i="1"/>
  <c r="V66" i="1"/>
  <c r="W66" i="1" s="1"/>
  <c r="U67" i="1"/>
  <c r="V67" i="1"/>
  <c r="U68" i="1"/>
  <c r="V68" i="1"/>
  <c r="W68" i="1" s="1"/>
  <c r="U69" i="1"/>
  <c r="V69" i="1"/>
  <c r="U70" i="1"/>
  <c r="V70" i="1"/>
  <c r="W70" i="1" s="1"/>
  <c r="U71" i="1"/>
  <c r="V71" i="1"/>
  <c r="U72" i="1"/>
  <c r="V72" i="1"/>
  <c r="W72" i="1" s="1"/>
  <c r="U73" i="1"/>
  <c r="V73" i="1"/>
  <c r="U74" i="1"/>
  <c r="V74" i="1"/>
  <c r="W74" i="1" s="1"/>
  <c r="U75" i="1"/>
  <c r="V75" i="1"/>
  <c r="U76" i="1"/>
  <c r="V76" i="1"/>
  <c r="W76" i="1" s="1"/>
  <c r="U77" i="1"/>
  <c r="V77" i="1"/>
  <c r="U78" i="1"/>
  <c r="V78" i="1"/>
  <c r="W78" i="1" s="1"/>
  <c r="U2" i="1"/>
  <c r="X82" i="1" l="1"/>
  <c r="D173" i="7"/>
  <c r="X119" i="1"/>
  <c r="X103" i="1"/>
  <c r="X86" i="1"/>
  <c r="X121" i="1"/>
  <c r="X88" i="1"/>
  <c r="X105" i="1"/>
  <c r="X80" i="1"/>
  <c r="X109" i="1"/>
  <c r="X115" i="1"/>
  <c r="X99" i="1"/>
  <c r="X111" i="1"/>
  <c r="X117" i="1"/>
  <c r="X101" i="1"/>
  <c r="X84" i="1"/>
  <c r="X107" i="1"/>
  <c r="X113" i="1"/>
  <c r="X97" i="1"/>
  <c r="X95" i="1"/>
  <c r="X93" i="1"/>
  <c r="X90" i="1"/>
  <c r="X122" i="1"/>
  <c r="X120" i="1"/>
  <c r="X118" i="1"/>
  <c r="X116" i="1"/>
  <c r="X114" i="1"/>
  <c r="X112" i="1"/>
  <c r="X110" i="1"/>
  <c r="X108" i="1"/>
  <c r="X106" i="1"/>
  <c r="X104" i="1"/>
  <c r="X102" i="1"/>
  <c r="X100" i="1"/>
  <c r="X98" i="1"/>
  <c r="X96" i="1"/>
  <c r="X94" i="1"/>
  <c r="X92" i="1"/>
  <c r="X91" i="1"/>
  <c r="X89" i="1"/>
  <c r="X87" i="1"/>
  <c r="X85" i="1"/>
  <c r="X83" i="1"/>
  <c r="X81" i="1"/>
  <c r="X79" i="1"/>
  <c r="D188" i="7"/>
  <c r="X22" i="1"/>
  <c r="D62" i="7"/>
  <c r="B155" i="7"/>
  <c r="D155" i="7" s="1"/>
  <c r="B147" i="7"/>
  <c r="D147" i="7" s="1"/>
  <c r="B162" i="7"/>
  <c r="D162" i="7" s="1"/>
  <c r="B65" i="7"/>
  <c r="D65" i="7" s="1"/>
  <c r="D55" i="7"/>
  <c r="D205" i="7"/>
  <c r="D141" i="7"/>
  <c r="D101" i="7"/>
  <c r="D53" i="7"/>
  <c r="D99" i="7"/>
  <c r="D97" i="7"/>
  <c r="X28" i="1"/>
  <c r="D213" i="7"/>
  <c r="D137" i="7"/>
  <c r="D92" i="7"/>
  <c r="D88" i="7"/>
  <c r="X27" i="1"/>
  <c r="D194" i="7"/>
  <c r="D95" i="7"/>
  <c r="X26" i="1"/>
  <c r="D117" i="7"/>
  <c r="D113" i="7"/>
  <c r="D91" i="7"/>
  <c r="D87" i="7"/>
  <c r="D71" i="7"/>
  <c r="X25" i="1"/>
  <c r="X24" i="1"/>
  <c r="D139" i="7"/>
  <c r="D116" i="7"/>
  <c r="D112" i="7"/>
  <c r="D94" i="7"/>
  <c r="X23" i="1"/>
  <c r="D180" i="7"/>
  <c r="D153" i="7"/>
  <c r="D149" i="7"/>
  <c r="D119" i="7"/>
  <c r="D115" i="7"/>
  <c r="D93" i="7"/>
  <c r="D89" i="7"/>
  <c r="D85" i="7"/>
  <c r="X21" i="1"/>
  <c r="X20" i="1"/>
  <c r="D81" i="7"/>
  <c r="D77" i="7"/>
  <c r="D75" i="7"/>
  <c r="D74" i="7"/>
  <c r="D73" i="7"/>
  <c r="D69" i="7"/>
  <c r="D63" i="7"/>
  <c r="D61" i="7"/>
  <c r="D60" i="7"/>
  <c r="D59" i="7"/>
  <c r="D57" i="7"/>
  <c r="D56" i="7"/>
  <c r="D186" i="7"/>
  <c r="D156" i="7"/>
  <c r="D135" i="7"/>
  <c r="D131" i="7"/>
  <c r="D106" i="7"/>
  <c r="D102" i="7"/>
  <c r="D78" i="7"/>
  <c r="D49" i="7"/>
  <c r="D46" i="7"/>
  <c r="X42" i="1"/>
  <c r="D189" i="7"/>
  <c r="D148" i="7"/>
  <c r="D185" i="7"/>
  <c r="D181" i="7"/>
  <c r="D163" i="7"/>
  <c r="D127" i="7"/>
  <c r="D123" i="7"/>
  <c r="D109" i="7"/>
  <c r="D105" i="7"/>
  <c r="D129" i="7"/>
  <c r="D111" i="7"/>
  <c r="D100" i="7"/>
  <c r="D90" i="7"/>
  <c r="D79" i="7"/>
  <c r="D76" i="7"/>
  <c r="D72" i="7"/>
  <c r="D58" i="7"/>
  <c r="D195" i="7"/>
  <c r="D187" i="7"/>
  <c r="D154" i="7"/>
  <c r="D212" i="7"/>
  <c r="D157" i="7"/>
  <c r="D146" i="7"/>
  <c r="D132" i="7"/>
  <c r="D114" i="7"/>
  <c r="D107" i="7"/>
  <c r="D103" i="7"/>
  <c r="D47" i="7"/>
  <c r="D44" i="7"/>
  <c r="D42" i="7"/>
  <c r="D40" i="7"/>
  <c r="D45" i="7"/>
  <c r="X10" i="1"/>
  <c r="D43" i="7"/>
  <c r="D41" i="7"/>
  <c r="D202" i="7"/>
  <c r="D170" i="7"/>
  <c r="D125" i="7"/>
  <c r="D122" i="7"/>
  <c r="D108" i="7"/>
  <c r="D84" i="7"/>
  <c r="D68" i="7"/>
  <c r="D52" i="7"/>
  <c r="D201" i="7"/>
  <c r="D169" i="7"/>
  <c r="D138" i="7"/>
  <c r="D124" i="7"/>
  <c r="D121" i="7"/>
  <c r="D110" i="7"/>
  <c r="D96" i="7"/>
  <c r="D80" i="7"/>
  <c r="D67" i="7"/>
  <c r="D64" i="7"/>
  <c r="D51" i="7"/>
  <c r="D48" i="7"/>
  <c r="D204" i="7"/>
  <c r="D197" i="7"/>
  <c r="D179" i="7"/>
  <c r="D172" i="7"/>
  <c r="D165" i="7"/>
  <c r="D118" i="7"/>
  <c r="D104" i="7"/>
  <c r="D86" i="7"/>
  <c r="D70" i="7"/>
  <c r="D54" i="7"/>
  <c r="D203" i="7"/>
  <c r="D196" i="7"/>
  <c r="D178" i="7"/>
  <c r="D171" i="7"/>
  <c r="D164" i="7"/>
  <c r="D140" i="7"/>
  <c r="D133" i="7"/>
  <c r="D130" i="7"/>
  <c r="D120" i="7"/>
  <c r="D98" i="7"/>
  <c r="D82" i="7"/>
  <c r="D66" i="7"/>
  <c r="D50" i="7"/>
  <c r="D168" i="7"/>
  <c r="D152" i="7"/>
  <c r="D184" i="7"/>
  <c r="D193" i="7"/>
  <c r="D177" i="7"/>
  <c r="D161" i="7"/>
  <c r="D145" i="7"/>
  <c r="D199" i="7"/>
  <c r="D183" i="7"/>
  <c r="D167" i="7"/>
  <c r="D151" i="7"/>
  <c r="D190" i="7"/>
  <c r="D206" i="7"/>
  <c r="D198" i="7"/>
  <c r="D192" i="7"/>
  <c r="D182" i="7"/>
  <c r="D176" i="7"/>
  <c r="D166" i="7"/>
  <c r="D160" i="7"/>
  <c r="D174" i="7"/>
  <c r="D200" i="7"/>
  <c r="D207" i="7"/>
  <c r="D191" i="7"/>
  <c r="D175" i="7"/>
  <c r="D159" i="7"/>
  <c r="D143" i="7"/>
  <c r="D158" i="7"/>
  <c r="D150" i="7"/>
  <c r="D142" i="7"/>
  <c r="D134" i="7"/>
  <c r="D126" i="7"/>
  <c r="D144" i="7"/>
  <c r="D136" i="7"/>
  <c r="D128" i="7"/>
  <c r="X34" i="1"/>
  <c r="X30" i="1"/>
  <c r="X50" i="1"/>
  <c r="X18" i="1"/>
  <c r="X6" i="1"/>
  <c r="X68" i="1"/>
  <c r="X38" i="1"/>
  <c r="X44" i="1"/>
  <c r="X14" i="1"/>
  <c r="X76" i="1"/>
  <c r="X70" i="1"/>
  <c r="X66" i="1"/>
  <c r="X60" i="1"/>
  <c r="X54" i="1"/>
  <c r="W67" i="1"/>
  <c r="X67" i="1"/>
  <c r="W35" i="1"/>
  <c r="X35" i="1"/>
  <c r="W41" i="1"/>
  <c r="X41" i="1"/>
  <c r="X8" i="1"/>
  <c r="W31" i="1"/>
  <c r="X31" i="1"/>
  <c r="X72" i="1"/>
  <c r="W69" i="1"/>
  <c r="X69" i="1"/>
  <c r="X56" i="1"/>
  <c r="W53" i="1"/>
  <c r="X53" i="1"/>
  <c r="X40" i="1"/>
  <c r="W37" i="1"/>
  <c r="X37" i="1"/>
  <c r="X4" i="1"/>
  <c r="W51" i="1"/>
  <c r="X51" i="1"/>
  <c r="W63" i="1"/>
  <c r="X63" i="1"/>
  <c r="W47" i="1"/>
  <c r="X47" i="1"/>
  <c r="X78" i="1"/>
  <c r="W75" i="1"/>
  <c r="X75" i="1"/>
  <c r="X62" i="1"/>
  <c r="W59" i="1"/>
  <c r="X59" i="1"/>
  <c r="X46" i="1"/>
  <c r="W43" i="1"/>
  <c r="X43" i="1"/>
  <c r="W57" i="1"/>
  <c r="X57" i="1"/>
  <c r="W65" i="1"/>
  <c r="X65" i="1"/>
  <c r="X52" i="1"/>
  <c r="W49" i="1"/>
  <c r="X49" i="1"/>
  <c r="X36" i="1"/>
  <c r="W33" i="1"/>
  <c r="X33" i="1"/>
  <c r="W29" i="1"/>
  <c r="X16" i="1"/>
  <c r="W73" i="1"/>
  <c r="X73" i="1"/>
  <c r="X74" i="1"/>
  <c r="W71" i="1"/>
  <c r="X71" i="1"/>
  <c r="X58" i="1"/>
  <c r="W55" i="1"/>
  <c r="X55" i="1"/>
  <c r="W39" i="1"/>
  <c r="X39" i="1"/>
  <c r="W77" i="1"/>
  <c r="X77" i="1"/>
  <c r="X64" i="1"/>
  <c r="W61" i="1"/>
  <c r="X61" i="1"/>
  <c r="X48" i="1"/>
  <c r="W45" i="1"/>
  <c r="X45" i="1"/>
  <c r="X32" i="1"/>
  <c r="X12" i="1"/>
  <c r="X19" i="1"/>
  <c r="X17" i="1"/>
  <c r="X15" i="1"/>
  <c r="X13" i="1"/>
  <c r="X11" i="1"/>
  <c r="X9" i="1"/>
  <c r="X7" i="1"/>
  <c r="X5" i="1"/>
  <c r="X3" i="1"/>
  <c r="A39" i="7" l="1"/>
  <c r="B39" i="7" s="1"/>
  <c r="W2" i="1" l="1"/>
  <c r="D39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<sst xmlns="http://schemas.openxmlformats.org/spreadsheetml/2006/main" count="3195" uniqueCount="502">
  <si>
    <t xml:space="preserve">NUMERO DE IDENTIFICACION </t>
  </si>
  <si>
    <t>PRIMER APELLIDO</t>
  </si>
  <si>
    <t>SEGUNDO APELLIDO</t>
  </si>
  <si>
    <t>PRIMER NOMBRE</t>
  </si>
  <si>
    <t>SEGUNDO NOMBRE</t>
  </si>
  <si>
    <t>DIA</t>
  </si>
  <si>
    <t>MES</t>
  </si>
  <si>
    <t>FECHA DE PAGO</t>
  </si>
  <si>
    <t>VALOR UNITARIO</t>
  </si>
  <si>
    <t>MEDIO DE PAGO</t>
  </si>
  <si>
    <t>RESPONSABLE</t>
  </si>
  <si>
    <t>CURSO</t>
  </si>
  <si>
    <t>GENERO</t>
  </si>
  <si>
    <t>PERFIL DEL PROFESIONAL</t>
  </si>
  <si>
    <t>CELULAR</t>
  </si>
  <si>
    <t>NOMBRE CURSO</t>
  </si>
  <si>
    <t>NOMBRE COMPLETO</t>
  </si>
  <si>
    <t>NOMBRE CERTIFICADO</t>
  </si>
  <si>
    <t>NOMBRE PDF</t>
  </si>
  <si>
    <t>BLS</t>
  </si>
  <si>
    <t>CODIGO</t>
  </si>
  <si>
    <t>ATENCION PRE-HOSPITALARIA</t>
  </si>
  <si>
    <t>DIPLOMADO EN ATENCION PRE-HOSPITALARIA</t>
  </si>
  <si>
    <t>DUELO</t>
  </si>
  <si>
    <t>ACOMPAÑAMIENTO Y MANEJO DEL DUELO</t>
  </si>
  <si>
    <t>QUIMICOS</t>
  </si>
  <si>
    <t>PRIMEROS AUXILIOS</t>
  </si>
  <si>
    <t xml:space="preserve">PRIMEROS AUXILIOS </t>
  </si>
  <si>
    <t>UCI</t>
  </si>
  <si>
    <t>DIPLOMADO DE UNIDAD DE CUIDADOS INTENSIVOS (UCI)</t>
  </si>
  <si>
    <t>CODIGO VERDE</t>
  </si>
  <si>
    <t>MODELO DE ATENCION PARA EVENTOS EMERGENTES EN SALUD MENTAL (CODIGO VERDE)</t>
  </si>
  <si>
    <t>HUMANIZACION</t>
  </si>
  <si>
    <t>CLINICA DE HERIDAS</t>
  </si>
  <si>
    <t xml:space="preserve">CLINICA DE HERIDAS </t>
  </si>
  <si>
    <t>CITOLOGIA</t>
  </si>
  <si>
    <t xml:space="preserve">TOMA DE CITOLOGIA A CERVICO VAGINAL </t>
  </si>
  <si>
    <t>ACLS</t>
  </si>
  <si>
    <t>CAMILLERO</t>
  </si>
  <si>
    <t xml:space="preserve">CAMILLERO </t>
  </si>
  <si>
    <t>TOMA DE MUESTRAS</t>
  </si>
  <si>
    <t>SOPORTE VITAL BASICO (BLS)</t>
  </si>
  <si>
    <t>VIOLENCIA SEXUAL</t>
  </si>
  <si>
    <t>PROGRAMADO AMPLIADO DE INMUNIZACION (PAI - COVID 19)</t>
  </si>
  <si>
    <t>AIEPI</t>
  </si>
  <si>
    <t>ADMON DE MEDICAMENTOS</t>
  </si>
  <si>
    <t>OVE</t>
  </si>
  <si>
    <t>OPERADOR DE VEHICULOS DE EMERGENCIA (OVE)</t>
  </si>
  <si>
    <t>IAMI</t>
  </si>
  <si>
    <t>INSTITUCIONES AMIGAS DE LA MUJER Y LA INFANCIA (IAMI)</t>
  </si>
  <si>
    <t>DONANTE</t>
  </si>
  <si>
    <t>CUIDADO DEL DONANTE DE ORGANOS</t>
  </si>
  <si>
    <t>VIOLENCIA DE GENERO</t>
  </si>
  <si>
    <t>IGUALDAD DE GENERO</t>
  </si>
  <si>
    <t>IGUALDAD DE GENERO EN LA SALUD</t>
  </si>
  <si>
    <t>BRIGADA</t>
  </si>
  <si>
    <t>BRIGADA DE EMERGENCIA</t>
  </si>
  <si>
    <t>PALIATIVOS</t>
  </si>
  <si>
    <t>MANEJO DEL DOLOR Y CUIDADOS PALIATIVOS</t>
  </si>
  <si>
    <t>POCT</t>
  </si>
  <si>
    <t>IMPLANTE</t>
  </si>
  <si>
    <t>SALUD MENTAL</t>
  </si>
  <si>
    <t>PRIMEROS AUXILIOS P</t>
  </si>
  <si>
    <t>PRIMEROS AUXILIOS PSICOLOGICOS</t>
  </si>
  <si>
    <t>CONFLICTO ARMADO</t>
  </si>
  <si>
    <t>ATENCION A VICTIMAS POR CONFLICTO ARMADO</t>
  </si>
  <si>
    <t>FECHA DE NACIMIENTO</t>
  </si>
  <si>
    <t>X</t>
  </si>
  <si>
    <t>ELABORO</t>
  </si>
  <si>
    <t xml:space="preserve">CORREO </t>
  </si>
  <si>
    <t>LINK BASE</t>
  </si>
  <si>
    <t>CEDULA</t>
  </si>
  <si>
    <t>LINK</t>
  </si>
  <si>
    <t>PAI</t>
  </si>
  <si>
    <t>MANIPULACION DE ALIMENTOS</t>
  </si>
  <si>
    <t>MANIPULACION DE ALIMENTOS Y BPM</t>
  </si>
  <si>
    <t>ATENCION A PERSONAS CON DISCAPACIDAD</t>
  </si>
  <si>
    <t>DISCAPACIDAD</t>
  </si>
  <si>
    <t>ADULTO MAYOR</t>
  </si>
  <si>
    <t>CUIDADO INTEGRAL DEL PACIENTE ADULTO</t>
  </si>
  <si>
    <t>CAMILO</t>
  </si>
  <si>
    <t>MANEJO DEFENSIVO</t>
  </si>
  <si>
    <t>ACLSN</t>
  </si>
  <si>
    <t>SOPORTE CARDIOVASCULAR AVANZADO NEONATAL</t>
  </si>
  <si>
    <t>SOPORTE CARDIOVASCULAR AVANZADO (ACLS)</t>
  </si>
  <si>
    <t>TOMA DE MUESTRAS Y LABORATORIO POCT</t>
  </si>
  <si>
    <t>IMPLANTE SUBDERMICO DE DISPOSITIVO INTRAUTERINO</t>
  </si>
  <si>
    <t>SEGURIDAD DEL PACIENTE</t>
  </si>
  <si>
    <t>PACIENTE</t>
  </si>
  <si>
    <t>F</t>
  </si>
  <si>
    <t>CCS</t>
  </si>
  <si>
    <t>MODALIDAD</t>
  </si>
  <si>
    <t>CAPACITACION</t>
  </si>
  <si>
    <t>TOMA DE MUESTRAS Y LABORATORIO CLINICO</t>
  </si>
  <si>
    <t>Cordoba</t>
  </si>
  <si>
    <t>RESIDUOS</t>
  </si>
  <si>
    <t>Alejandra</t>
  </si>
  <si>
    <t>MANEJO DE RESIDUOS HOSPITALARIOS</t>
  </si>
  <si>
    <t>https://centrodecapacitaciondelsur.com/manejo-de-residuos-hospitalarios-</t>
  </si>
  <si>
    <t>Arteaga</t>
  </si>
  <si>
    <t>Noviembre</t>
  </si>
  <si>
    <t>REGENTE DE FARMACIA</t>
  </si>
  <si>
    <t>fenix1494@hotmail.com</t>
  </si>
  <si>
    <t>Yudy</t>
  </si>
  <si>
    <t>Moran</t>
  </si>
  <si>
    <t>Guio</t>
  </si>
  <si>
    <t>Cesar</t>
  </si>
  <si>
    <t>David</t>
  </si>
  <si>
    <t>Apraez</t>
  </si>
  <si>
    <t>Acosta</t>
  </si>
  <si>
    <t>Rovira</t>
  </si>
  <si>
    <t xml:space="preserve">Del Carmen </t>
  </si>
  <si>
    <t>Rodriguez</t>
  </si>
  <si>
    <t>Calvache</t>
  </si>
  <si>
    <t>Bibiana</t>
  </si>
  <si>
    <t>Martinez</t>
  </si>
  <si>
    <t>Narvaez</t>
  </si>
  <si>
    <t>Juan</t>
  </si>
  <si>
    <t>Jose</t>
  </si>
  <si>
    <t>Noguera</t>
  </si>
  <si>
    <t>Ordoñez</t>
  </si>
  <si>
    <t>Paola</t>
  </si>
  <si>
    <t>Carolina</t>
  </si>
  <si>
    <t>Benavides</t>
  </si>
  <si>
    <t xml:space="preserve">Daniela </t>
  </si>
  <si>
    <t>Fernanda</t>
  </si>
  <si>
    <t>Vergara</t>
  </si>
  <si>
    <t>Galindes</t>
  </si>
  <si>
    <t>Yolenis</t>
  </si>
  <si>
    <t>Erazo</t>
  </si>
  <si>
    <t>Rosero</t>
  </si>
  <si>
    <t>Karol</t>
  </si>
  <si>
    <t>Dayana</t>
  </si>
  <si>
    <t>Jaramillo</t>
  </si>
  <si>
    <t>Oscar</t>
  </si>
  <si>
    <t>Nicandro</t>
  </si>
  <si>
    <t>Adarme</t>
  </si>
  <si>
    <t>Angela</t>
  </si>
  <si>
    <t>Maria</t>
  </si>
  <si>
    <t>NEQUI</t>
  </si>
  <si>
    <t>PEÑOL</t>
  </si>
  <si>
    <t>SEBASTIAN</t>
  </si>
  <si>
    <t xml:space="preserve">Lopez </t>
  </si>
  <si>
    <t>Jurado</t>
  </si>
  <si>
    <t>Naudy</t>
  </si>
  <si>
    <t>Jhoana</t>
  </si>
  <si>
    <t>RENOVACION</t>
  </si>
  <si>
    <t>EFECTIVO</t>
  </si>
  <si>
    <t>M</t>
  </si>
  <si>
    <t>Montenegro</t>
  </si>
  <si>
    <t>Caicedo</t>
  </si>
  <si>
    <t>Silvana</t>
  </si>
  <si>
    <t>Marcela</t>
  </si>
  <si>
    <t xml:space="preserve"> 12/04/1997</t>
  </si>
  <si>
    <t>silvanamar1204@gmail.com</t>
  </si>
  <si>
    <t>naudy.777@hotmail.com</t>
  </si>
  <si>
    <t>Cuadrado</t>
  </si>
  <si>
    <t>Zambrano</t>
  </si>
  <si>
    <t>Lisley</t>
  </si>
  <si>
    <t>YURANI</t>
  </si>
  <si>
    <t>Liselyzambrano@gmail.com</t>
  </si>
  <si>
    <t>Portillo</t>
  </si>
  <si>
    <t>Villota</t>
  </si>
  <si>
    <t>Shakira</t>
  </si>
  <si>
    <t>shakiraportillo2002@gmail.com</t>
  </si>
  <si>
    <t>Ibañez</t>
  </si>
  <si>
    <t>López</t>
  </si>
  <si>
    <t>Kevin</t>
  </si>
  <si>
    <t>Vidal</t>
  </si>
  <si>
    <t>ibanezkevin200@gmail.com</t>
  </si>
  <si>
    <t>Cadena</t>
  </si>
  <si>
    <t>Burbano</t>
  </si>
  <si>
    <t>Angie</t>
  </si>
  <si>
    <t>Ximena</t>
  </si>
  <si>
    <t>Ramos</t>
  </si>
  <si>
    <t>Jazmin</t>
  </si>
  <si>
    <t>Villareal</t>
  </si>
  <si>
    <t>Liseth</t>
  </si>
  <si>
    <t>Estefanía</t>
  </si>
  <si>
    <t>Vanessa</t>
  </si>
  <si>
    <t>NUTRICIONISTA DIETISTA</t>
  </si>
  <si>
    <t>Vallejos</t>
  </si>
  <si>
    <t>Morales</t>
  </si>
  <si>
    <t>Milvia</t>
  </si>
  <si>
    <t>Ceneida</t>
  </si>
  <si>
    <t>Ceneidavallejos1623@gmail.com</t>
  </si>
  <si>
    <t>FRANCISCO</t>
  </si>
  <si>
    <t>Rosales</t>
  </si>
  <si>
    <t>Nelson</t>
  </si>
  <si>
    <t>AUX DE ENFERMERIA</t>
  </si>
  <si>
    <t>Cortes</t>
  </si>
  <si>
    <t>Castillo</t>
  </si>
  <si>
    <t>Didier</t>
  </si>
  <si>
    <t>Eleiter</t>
  </si>
  <si>
    <t>Triage</t>
  </si>
  <si>
    <t>CLASIFICACION DEL PACIENTE EN URGENCIAS (TRIAGE)</t>
  </si>
  <si>
    <t>https://centrodecapacitaciondelsur.com/triage-1087122975/</t>
  </si>
  <si>
    <t>Quiñones</t>
  </si>
  <si>
    <t>Murillo</t>
  </si>
  <si>
    <t>Arnulfo</t>
  </si>
  <si>
    <t>Toro</t>
  </si>
  <si>
    <t>Córdoba</t>
  </si>
  <si>
    <t>Johana</t>
  </si>
  <si>
    <t>Madeleiner</t>
  </si>
  <si>
    <t>Toroy0447@gmail.com</t>
  </si>
  <si>
    <t>Andrade</t>
  </si>
  <si>
    <t>Hernández</t>
  </si>
  <si>
    <t>Yuliana</t>
  </si>
  <si>
    <t>PSICOLOG@</t>
  </si>
  <si>
    <t>karolyulianaandrade@gmail.com</t>
  </si>
  <si>
    <t>Rodríguez</t>
  </si>
  <si>
    <t>Doris</t>
  </si>
  <si>
    <t>Yurany</t>
  </si>
  <si>
    <t>GESTORA COMUNITARIA</t>
  </si>
  <si>
    <t>Moreno</t>
  </si>
  <si>
    <t>Camilo</t>
  </si>
  <si>
    <t xml:space="preserve">Jcmr987@hotmail.com </t>
  </si>
  <si>
    <t>Ibarra</t>
  </si>
  <si>
    <t>Obando</t>
  </si>
  <si>
    <t>Adriana</t>
  </si>
  <si>
    <t>Patricia</t>
  </si>
  <si>
    <t>ODONTOLOGA</t>
  </si>
  <si>
    <t>AdrianaObandomax22@gmail.com</t>
  </si>
  <si>
    <t>Andres</t>
  </si>
  <si>
    <t>Geovanny</t>
  </si>
  <si>
    <t>Andres_obando46@hotmail.com</t>
  </si>
  <si>
    <t xml:space="preserve">Ruales </t>
  </si>
  <si>
    <t xml:space="preserve">Benavides </t>
  </si>
  <si>
    <t xml:space="preserve">darube999@gmail.com </t>
  </si>
  <si>
    <t>Yela</t>
  </si>
  <si>
    <t>Guevara</t>
  </si>
  <si>
    <t>Aura</t>
  </si>
  <si>
    <t>Elizabeth</t>
  </si>
  <si>
    <t>yelaelizabeth@hotmail.com</t>
  </si>
  <si>
    <t>Dania</t>
  </si>
  <si>
    <t>BANCOLOMBIA</t>
  </si>
  <si>
    <t>Marley</t>
  </si>
  <si>
    <t>Karina</t>
  </si>
  <si>
    <t xml:space="preserve">Ana </t>
  </si>
  <si>
    <t>Lucia</t>
  </si>
  <si>
    <t xml:space="preserve">analu0303@hotmail.com </t>
  </si>
  <si>
    <t>Tobar</t>
  </si>
  <si>
    <t>Carmen</t>
  </si>
  <si>
    <t>Alicia</t>
  </si>
  <si>
    <t>alicia5931lopez@gmail.com</t>
  </si>
  <si>
    <t>Arteagakarina120@gmail.com</t>
  </si>
  <si>
    <t>Códoba</t>
  </si>
  <si>
    <t>Daira</t>
  </si>
  <si>
    <t>Yadira</t>
  </si>
  <si>
    <t>ya.dis21@hotmail.com</t>
  </si>
  <si>
    <t>Paja</t>
  </si>
  <si>
    <t>Chavaco</t>
  </si>
  <si>
    <t>Audyn</t>
  </si>
  <si>
    <t>Brigiethe</t>
  </si>
  <si>
    <t xml:space="preserve">brigiethepch@hotmail.com </t>
  </si>
  <si>
    <t>FISIOTERAPEUTA</t>
  </si>
  <si>
    <t>Torres</t>
  </si>
  <si>
    <t>Patiño</t>
  </si>
  <si>
    <t>María</t>
  </si>
  <si>
    <t>Cielo</t>
  </si>
  <si>
    <t>cielocielo341@gmail.com</t>
  </si>
  <si>
    <t>Daza</t>
  </si>
  <si>
    <t>Dalila</t>
  </si>
  <si>
    <t>Rosio</t>
  </si>
  <si>
    <t>daliladaza27@gmail.com</t>
  </si>
  <si>
    <t>FUNDONAR</t>
  </si>
  <si>
    <t>Perez</t>
  </si>
  <si>
    <t>Guerrero</t>
  </si>
  <si>
    <t>Oranci</t>
  </si>
  <si>
    <t>Regina</t>
  </si>
  <si>
    <t>Bastidas</t>
  </si>
  <si>
    <t>Fajardo</t>
  </si>
  <si>
    <t>Gonzales</t>
  </si>
  <si>
    <t xml:space="preserve">Esperanza </t>
  </si>
  <si>
    <t>Pelaez</t>
  </si>
  <si>
    <t>Calvo</t>
  </si>
  <si>
    <t>Augusto</t>
  </si>
  <si>
    <t>orancy.085@gmail.com</t>
  </si>
  <si>
    <t>auraoftalmo@gmail.com</t>
  </si>
  <si>
    <t>joseaugustopelaez@gmail.com</t>
  </si>
  <si>
    <t>Tunubalá</t>
  </si>
  <si>
    <t>Yalanda</t>
  </si>
  <si>
    <t>Jenny</t>
  </si>
  <si>
    <t>Ascención</t>
  </si>
  <si>
    <t xml:space="preserve">jennya.tunubalay@autonoma.edu.co </t>
  </si>
  <si>
    <t>ENFERMER@</t>
  </si>
  <si>
    <t>MEDIC@</t>
  </si>
  <si>
    <t>Casanova</t>
  </si>
  <si>
    <t>Fernando</t>
  </si>
  <si>
    <t xml:space="preserve">osfercaza@gmail.com </t>
  </si>
  <si>
    <t>Chamorro</t>
  </si>
  <si>
    <t>Cortez</t>
  </si>
  <si>
    <t>Mireya</t>
  </si>
  <si>
    <t>Samirna</t>
  </si>
  <si>
    <t>Samy2342@hotmail.com</t>
  </si>
  <si>
    <t>Ceballos</t>
  </si>
  <si>
    <t>Meneses</t>
  </si>
  <si>
    <t>Sandra</t>
  </si>
  <si>
    <t>ceballosximena7@gmail.com</t>
  </si>
  <si>
    <t>Rodíguez</t>
  </si>
  <si>
    <t>Luz</t>
  </si>
  <si>
    <t>luz.adruana_1998@hotmail.com</t>
  </si>
  <si>
    <t>Camila</t>
  </si>
  <si>
    <t>TRABAJADORA SOCIAL</t>
  </si>
  <si>
    <t>makabaro2517@gmail.com</t>
  </si>
  <si>
    <t>Ruales</t>
  </si>
  <si>
    <t>Melo</t>
  </si>
  <si>
    <t>Yaneth</t>
  </si>
  <si>
    <t xml:space="preserve">patriciaruales8677@gmail.com </t>
  </si>
  <si>
    <t>Miriam</t>
  </si>
  <si>
    <t>aleruales20@gmail.com</t>
  </si>
  <si>
    <t>Hanya</t>
  </si>
  <si>
    <t>Yeraldy</t>
  </si>
  <si>
    <t>hanyita1991@gmail.com</t>
  </si>
  <si>
    <t>Mora</t>
  </si>
  <si>
    <t>Arevalo</t>
  </si>
  <si>
    <t>Catherin</t>
  </si>
  <si>
    <t>valenmora0704@gmail.com</t>
  </si>
  <si>
    <t>España</t>
  </si>
  <si>
    <t>Quintero</t>
  </si>
  <si>
    <t>Yilver</t>
  </si>
  <si>
    <t>Alexander</t>
  </si>
  <si>
    <t>yilverespa@gmail.com</t>
  </si>
  <si>
    <t>Ortega</t>
  </si>
  <si>
    <t>Ortiz</t>
  </si>
  <si>
    <t>Claudia</t>
  </si>
  <si>
    <t xml:space="preserve">xmenortega1227@gmail.com </t>
  </si>
  <si>
    <t>DAVIPLATA</t>
  </si>
  <si>
    <t>Cepeda</t>
  </si>
  <si>
    <t>Lesli</t>
  </si>
  <si>
    <t>Greis</t>
  </si>
  <si>
    <t>lesgec.0310@gmail.com</t>
  </si>
  <si>
    <t>Muñoz</t>
  </si>
  <si>
    <t>Sonia</t>
  </si>
  <si>
    <t>soniamug@gmail.com</t>
  </si>
  <si>
    <t>Getial</t>
  </si>
  <si>
    <t>Ojeda</t>
  </si>
  <si>
    <t>Karen</t>
  </si>
  <si>
    <t>oyuli3132@gmail.com</t>
  </si>
  <si>
    <t>Jeison</t>
  </si>
  <si>
    <t>Norbey</t>
  </si>
  <si>
    <t xml:space="preserve">Jenobe92@hotmail.com </t>
  </si>
  <si>
    <t>Caipe</t>
  </si>
  <si>
    <t>Quenan</t>
  </si>
  <si>
    <t>Isabel</t>
  </si>
  <si>
    <t>caipeana841@gmail.com</t>
  </si>
  <si>
    <t>Junca</t>
  </si>
  <si>
    <t>Eraso</t>
  </si>
  <si>
    <t>James</t>
  </si>
  <si>
    <t xml:space="preserve">jdavidj951105@gmail.com </t>
  </si>
  <si>
    <t>Alba</t>
  </si>
  <si>
    <t>Lorena</t>
  </si>
  <si>
    <t>TECNICO EN SALUD ORAL</t>
  </si>
  <si>
    <t>lorenha0607@hotmail.com</t>
  </si>
  <si>
    <t xml:space="preserve">ATENCIÓN A VÍCTIMAS DE ATAQUE CON AGENTES QUIMICOS </t>
  </si>
  <si>
    <t xml:space="preserve">HUMANIZACIÓN EN EL SERVICIO DE LA SALUD Y BUENAS PRACTICAS EN PACIENTE </t>
  </si>
  <si>
    <t xml:space="preserve">ATENCIÓN A VÍCTIMAS DE VIOLENCIA SEXUAL </t>
  </si>
  <si>
    <t>ATENCIÓN INTEGRAL EN ENFERMEDADES PREVALENTES EN PRIMERA INFANCIA (AIEPI)</t>
  </si>
  <si>
    <t xml:space="preserve">ADMINISTRACIÓN DE MEDICAMENTOS, INYECTOLOGIA  Y CANALIZACION </t>
  </si>
  <si>
    <t>ATENCIÓN A VICTIMAS POR VIOLENCIA DE GENERO</t>
  </si>
  <si>
    <t>Cuaran</t>
  </si>
  <si>
    <t>Medina</t>
  </si>
  <si>
    <t>Jorge</t>
  </si>
  <si>
    <t>Armando</t>
  </si>
  <si>
    <t>CONDUCTOR</t>
  </si>
  <si>
    <t xml:space="preserve">jorgejac1989@gmail.com </t>
  </si>
  <si>
    <t>Paz</t>
  </si>
  <si>
    <t>Gineth</t>
  </si>
  <si>
    <t>Pabón</t>
  </si>
  <si>
    <t>Deivit</t>
  </si>
  <si>
    <t>acostadeivit14@gmail.com</t>
  </si>
  <si>
    <t>Pazmiño</t>
  </si>
  <si>
    <t>Santacruz</t>
  </si>
  <si>
    <t>Fabio</t>
  </si>
  <si>
    <t>Roberto</t>
  </si>
  <si>
    <t>Betancohurt</t>
  </si>
  <si>
    <t>Gabriela</t>
  </si>
  <si>
    <t>Rocio</t>
  </si>
  <si>
    <t>LUIS PINTA</t>
  </si>
  <si>
    <t xml:space="preserve">Gabyss03@hotmail.com </t>
  </si>
  <si>
    <t>Madroñero</t>
  </si>
  <si>
    <t>Pablo</t>
  </si>
  <si>
    <t xml:space="preserve">juanpamm05@hotmail.com </t>
  </si>
  <si>
    <t>Chana</t>
  </si>
  <si>
    <t>Erica</t>
  </si>
  <si>
    <t xml:space="preserve">erikittachana@gmail.com </t>
  </si>
  <si>
    <t>Santander</t>
  </si>
  <si>
    <t>Doralba</t>
  </si>
  <si>
    <t xml:space="preserve">yanethsantander1980@gmail.com </t>
  </si>
  <si>
    <t>Pastas</t>
  </si>
  <si>
    <t>Ipujan</t>
  </si>
  <si>
    <t>Yohana</t>
  </si>
  <si>
    <t>Verónica</t>
  </si>
  <si>
    <t>pastasveronica6@gmail.com</t>
  </si>
  <si>
    <t>Ayala</t>
  </si>
  <si>
    <t>Delgado</t>
  </si>
  <si>
    <t>Diana</t>
  </si>
  <si>
    <t>Balvina</t>
  </si>
  <si>
    <t>dianitaa34@gmail.com</t>
  </si>
  <si>
    <t>Díaz</t>
  </si>
  <si>
    <t>Leidy</t>
  </si>
  <si>
    <t>carolina1999ro@gmail.com</t>
  </si>
  <si>
    <t>Betancourth</t>
  </si>
  <si>
    <t xml:space="preserve">dianabc97@hotmail.com </t>
  </si>
  <si>
    <t>ESTUDIANTE DE MEDICINA</t>
  </si>
  <si>
    <t>angelaguerrero1733@gmail.com</t>
  </si>
  <si>
    <t>Del Pilar</t>
  </si>
  <si>
    <t>Pabon</t>
  </si>
  <si>
    <t>Christian</t>
  </si>
  <si>
    <t>cristhiancamilo1202@gmail.com</t>
  </si>
  <si>
    <t>https://centrodecapacitaciondelsur.com/salud-mental-</t>
  </si>
  <si>
    <t>Ceron</t>
  </si>
  <si>
    <t>Martha</t>
  </si>
  <si>
    <t>marthameloceron@hotmail.com</t>
  </si>
  <si>
    <t>Herrera</t>
  </si>
  <si>
    <t>Lizeth</t>
  </si>
  <si>
    <t xml:space="preserve">Hrndezherrera@gmail.com </t>
  </si>
  <si>
    <t>Edwin</t>
  </si>
  <si>
    <t>Ferney</t>
  </si>
  <si>
    <t>Edwin.rodriguez8701@gmail.com</t>
  </si>
  <si>
    <t>Mafla</t>
  </si>
  <si>
    <t>maflaleydi34@gmail.com</t>
  </si>
  <si>
    <t>Pantoja</t>
  </si>
  <si>
    <t>Daneida</t>
  </si>
  <si>
    <t>Yenifer</t>
  </si>
  <si>
    <t>Dane06pantoja@gmail.com</t>
  </si>
  <si>
    <t>Usama</t>
  </si>
  <si>
    <t>Arias</t>
  </si>
  <si>
    <t>Zuleima</t>
  </si>
  <si>
    <t>Dayeli</t>
  </si>
  <si>
    <t>dayeliarias897@gmail.com</t>
  </si>
  <si>
    <t>Ruiz</t>
  </si>
  <si>
    <t>Mendez</t>
  </si>
  <si>
    <t>Vanesa</t>
  </si>
  <si>
    <t xml:space="preserve">Vanesa.31@hotmail.com </t>
  </si>
  <si>
    <t>Leyton</t>
  </si>
  <si>
    <t>Cindy</t>
  </si>
  <si>
    <t xml:space="preserve">vane.304@hotmail.es </t>
  </si>
  <si>
    <t>Velásquez</t>
  </si>
  <si>
    <t>Chávez</t>
  </si>
  <si>
    <t>Joana</t>
  </si>
  <si>
    <t>Mabel</t>
  </si>
  <si>
    <t>johanavelasquezc@hotmail.com</t>
  </si>
  <si>
    <t>Pejendino</t>
  </si>
  <si>
    <t>Merchancano</t>
  </si>
  <si>
    <t>analupejendino@gmail.com</t>
  </si>
  <si>
    <t>Johanna</t>
  </si>
  <si>
    <t>Leidytobar.a27@gmail.com</t>
  </si>
  <si>
    <t>VACUNACION</t>
  </si>
  <si>
    <t>https://centrodecapacitaciondelsur.com/vacunacion-</t>
  </si>
  <si>
    <t>Diaz</t>
  </si>
  <si>
    <t>Brenda</t>
  </si>
  <si>
    <t>Rocío</t>
  </si>
  <si>
    <t>Danielasofia_diaz@hotmail.com</t>
  </si>
  <si>
    <t>Estrada</t>
  </si>
  <si>
    <t>Tania</t>
  </si>
  <si>
    <t>Yamile</t>
  </si>
  <si>
    <t>AUXILIAR DE ODONTOLOGIA</t>
  </si>
  <si>
    <t>roseroyamile88@gmail.com</t>
  </si>
  <si>
    <t>Posada</t>
  </si>
  <si>
    <t>Solarte</t>
  </si>
  <si>
    <t>Alan</t>
  </si>
  <si>
    <t>Josue</t>
  </si>
  <si>
    <t>BACTERIOLOGO</t>
  </si>
  <si>
    <t>alanposo2@hotmail.com</t>
  </si>
  <si>
    <t>Moriano</t>
  </si>
  <si>
    <t>Linares</t>
  </si>
  <si>
    <t>Anyi</t>
  </si>
  <si>
    <t>Manuela</t>
  </si>
  <si>
    <t>Castro</t>
  </si>
  <si>
    <t>Linda</t>
  </si>
  <si>
    <t>Valentina</t>
  </si>
  <si>
    <t xml:space="preserve">lindavalentinabur@gmail.com </t>
  </si>
  <si>
    <t>Narváez</t>
  </si>
  <si>
    <t>Yulieth</t>
  </si>
  <si>
    <t>yuliethdiaz017@gmail.com</t>
  </si>
  <si>
    <t>Calderón</t>
  </si>
  <si>
    <t>Clarita</t>
  </si>
  <si>
    <t>Miguel</t>
  </si>
  <si>
    <t>juridicacalderon1086@gmail.com</t>
  </si>
  <si>
    <t>Magda</t>
  </si>
  <si>
    <t>Deni</t>
  </si>
  <si>
    <t xml:space="preserve">magdaarteaga1704@gmail.com </t>
  </si>
  <si>
    <t>AUXILIAR DE FARMACIA</t>
  </si>
  <si>
    <t>Dianaem2110@gmail.com</t>
  </si>
  <si>
    <t>Yomaira</t>
  </si>
  <si>
    <t xml:space="preserve">clauc2610@gmail.com </t>
  </si>
  <si>
    <t>15/11/2024-29/11/2024</t>
  </si>
  <si>
    <t>Yohan</t>
  </si>
  <si>
    <t>Jairo</t>
  </si>
  <si>
    <t xml:space="preserve">yojar24@hotmail.com </t>
  </si>
  <si>
    <t>Carlos</t>
  </si>
  <si>
    <t>Diciembre</t>
  </si>
  <si>
    <t>carlos-rosero95@hotmail.com</t>
  </si>
  <si>
    <t>Sara</t>
  </si>
  <si>
    <t xml:space="preserve">saritapaolita03@gmail.com </t>
  </si>
  <si>
    <t>Kelly</t>
  </si>
  <si>
    <t>Meza</t>
  </si>
  <si>
    <t>Parreño</t>
  </si>
  <si>
    <t>f</t>
  </si>
  <si>
    <t xml:space="preserve">Kellymeza1506@gmail.com </t>
  </si>
  <si>
    <t>nicolas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</si>
</sst>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6" formatCode="_-* #,##0_-;\-* #,##0_-;_-* &quot;-&quot;??_-;_-@_-"/>
  </numFmts>
  <fonts count="13" x14ac:knownFonts="1"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b/>
      <sz val="12"/>
      <color theme="1"/>
      <name val="Arial"/>
      <family val="2"/>
    </font>
    <font>
      <u/>
      <sz val="12"/>
      <color theme="10"/>
      <name val="Arial"/>
      <family val="2"/>
    </font>
    <font>
      <sz val="12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0" tint="-0.14999847407452621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5" fillId="0" borderId="7" xfId="0" applyFont="1" applyBorder="1"/>
    <xf numFmtId="0" fontId="5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8" fillId="0" borderId="0" xfId="3"/>
    <xf numFmtId="0" fontId="2" fillId="0" borderId="9" xfId="0" applyFont="1" applyBorder="1" applyAlignment="1">
      <alignment horizontal="center"/>
    </xf>
    <xf numFmtId="0" fontId="4" fillId="2" borderId="8" xfId="0" applyFont="1" applyFill="1" applyBorder="1"/>
    <xf numFmtId="0" fontId="2" fillId="0" borderId="10" xfId="0" applyFont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5" fillId="0" borderId="14" xfId="0" applyFont="1" applyBorder="1" applyAlignment="1">
      <alignment horizontal="center"/>
    </xf>
    <xf numFmtId="0" fontId="5" fillId="0" borderId="5" xfId="0" applyFont="1" applyBorder="1" applyAlignment="1">
      <alignment horizontal="left" vertical="center"/>
    </xf>
    <xf numFmtId="0" fontId="0" fillId="0" borderId="6" xfId="0" applyBorder="1" applyAlignment="1">
      <alignment horizontal="center"/>
    </xf>
    <xf numFmtId="0" fontId="5" fillId="0" borderId="7" xfId="0" applyFont="1" applyFill="1" applyBorder="1"/>
    <xf numFmtId="0" fontId="0" fillId="0" borderId="6" xfId="0" applyFill="1" applyBorder="1" applyAlignment="1">
      <alignment horizontal="center"/>
    </xf>
    <xf numFmtId="0" fontId="5" fillId="0" borderId="16" xfId="0" applyFont="1" applyFill="1" applyBorder="1"/>
    <xf numFmtId="14" fontId="4" fillId="2" borderId="8" xfId="0" applyNumberFormat="1" applyFont="1" applyFill="1" applyBorder="1"/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/>
    <xf numFmtId="0" fontId="9" fillId="0" borderId="6" xfId="0" applyFont="1" applyBorder="1" applyAlignment="1">
      <alignment horizontal="center"/>
    </xf>
    <xf numFmtId="0" fontId="9" fillId="0" borderId="1" xfId="0" applyFont="1" applyBorder="1" applyAlignment="1">
      <alignment horizontal="left"/>
    </xf>
    <xf numFmtId="0" fontId="4" fillId="0" borderId="7" xfId="0" applyFont="1" applyBorder="1"/>
    <xf numFmtId="0" fontId="4" fillId="0" borderId="6" xfId="0" applyFont="1" applyBorder="1" applyAlignment="1">
      <alignment horizontal="center" vertic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/>
    <xf numFmtId="0" fontId="9" fillId="0" borderId="7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4" fillId="0" borderId="1" xfId="0" applyFont="1" applyFill="1" applyBorder="1"/>
    <xf numFmtId="0" fontId="4" fillId="0" borderId="7" xfId="0" applyFont="1" applyFill="1" applyBorder="1"/>
    <xf numFmtId="0" fontId="4" fillId="0" borderId="14" xfId="0" applyFont="1" applyBorder="1" applyAlignment="1">
      <alignment horizontal="center"/>
    </xf>
    <xf numFmtId="0" fontId="4" fillId="0" borderId="15" xfId="0" applyFont="1" applyFill="1" applyBorder="1"/>
    <xf numFmtId="0" fontId="4" fillId="0" borderId="16" xfId="0" applyFont="1" applyFill="1" applyBorder="1"/>
    <xf numFmtId="0" fontId="10" fillId="0" borderId="2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Fill="1" applyBorder="1"/>
    <xf numFmtId="0" fontId="9" fillId="2" borderId="1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 wrapText="1"/>
    </xf>
    <xf numFmtId="0" fontId="9" fillId="2" borderId="0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horizontal="center" vertical="center"/>
    </xf>
    <xf numFmtId="14" fontId="9" fillId="2" borderId="0" xfId="1" applyNumberFormat="1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horizontal="center" vertical="center" wrapText="1"/>
    </xf>
    <xf numFmtId="0" fontId="9" fillId="3" borderId="0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49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2" borderId="1" xfId="0" applyFont="1" applyFill="1" applyBorder="1" applyAlignment="1">
      <alignment horizontal="center" vertical="center"/>
    </xf>
    <xf numFmtId="14" fontId="9" fillId="2" borderId="1" xfId="0" applyNumberFormat="1" applyFont="1" applyFill="1" applyBorder="1" applyAlignment="1">
      <alignment horizontal="center" vertical="center"/>
    </xf>
    <xf numFmtId="14" fontId="9" fillId="2" borderId="1" xfId="1" applyNumberFormat="1" applyFont="1" applyFill="1" applyBorder="1" applyAlignment="1">
      <alignment horizontal="center" vertical="center"/>
    </xf>
    <xf numFmtId="0" fontId="9" fillId="2" borderId="1" xfId="3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/>
    </xf>
    <xf numFmtId="0" fontId="9" fillId="2" borderId="1" xfId="3" applyNumberFormat="1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14" fontId="9" fillId="2" borderId="17" xfId="0" applyNumberFormat="1" applyFont="1" applyFill="1" applyBorder="1" applyAlignment="1">
      <alignment horizontal="center" vertical="center"/>
    </xf>
    <xf numFmtId="0" fontId="9" fillId="2" borderId="17" xfId="0" applyNumberFormat="1" applyFont="1" applyFill="1" applyBorder="1" applyAlignment="1">
      <alignment horizontal="center" vertical="center"/>
    </xf>
    <xf numFmtId="0" fontId="9" fillId="2" borderId="17" xfId="3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0" borderId="18" xfId="0" applyNumberFormat="1" applyFont="1" applyFill="1" applyBorder="1" applyAlignment="1">
      <alignment horizontal="center" vertical="center"/>
    </xf>
    <xf numFmtId="0" fontId="9" fillId="5" borderId="1" xfId="0" applyNumberFormat="1" applyFont="1" applyFill="1" applyBorder="1" applyAlignment="1">
      <alignment horizontal="center" vertical="center"/>
    </xf>
    <xf numFmtId="0" fontId="9" fillId="5" borderId="1" xfId="3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5" borderId="17" xfId="3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 wrapText="1"/>
    </xf>
    <xf numFmtId="0" fontId="9" fillId="0" borderId="18" xfId="0" applyNumberFormat="1" applyFont="1" applyFill="1" applyBorder="1" applyAlignment="1">
      <alignment horizontal="center" vertical="center" wrapText="1"/>
    </xf>
    <xf numFmtId="0" fontId="11" fillId="2" borderId="1" xfId="3" applyNumberFormat="1" applyFont="1" applyFill="1" applyBorder="1" applyAlignment="1">
      <alignment horizontal="center" vertical="center"/>
    </xf>
    <xf numFmtId="14" fontId="9" fillId="2" borderId="17" xfId="1" applyNumberFormat="1" applyFont="1" applyFill="1" applyBorder="1" applyAlignment="1">
      <alignment horizontal="center" vertical="center"/>
    </xf>
    <xf numFmtId="0" fontId="9" fillId="2" borderId="17" xfId="3" applyNumberFormat="1" applyFont="1" applyFill="1" applyBorder="1" applyAlignment="1">
      <alignment horizontal="center" vertical="center"/>
    </xf>
    <xf numFmtId="14" fontId="9" fillId="2" borderId="1" xfId="1" applyNumberFormat="1" applyFont="1" applyFill="1" applyBorder="1" applyAlignment="1">
      <alignment horizontal="center" vertical="center" wrapText="1"/>
    </xf>
    <xf numFmtId="0" fontId="9" fillId="2" borderId="1" xfId="0" applyNumberFormat="1" applyFont="1" applyFill="1" applyBorder="1" applyAlignment="1">
      <alignment horizontal="center" vertical="center" wrapText="1"/>
    </xf>
    <xf numFmtId="14" fontId="9" fillId="2" borderId="1" xfId="0" applyNumberFormat="1" applyFont="1" applyFill="1" applyBorder="1" applyAlignment="1">
      <alignment horizontal="center" vertical="center" wrapText="1"/>
    </xf>
    <xf numFmtId="0" fontId="9" fillId="2" borderId="1" xfId="3" applyFont="1" applyFill="1" applyBorder="1" applyAlignment="1">
      <alignment horizontal="center" vertical="center" wrapText="1"/>
    </xf>
    <xf numFmtId="0" fontId="8" fillId="2" borderId="1" xfId="3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/>
    </xf>
    <xf numFmtId="0" fontId="8" fillId="2" borderId="1" xfId="3" applyFill="1" applyBorder="1" applyAlignment="1">
      <alignment horizontal="center" vertical="center"/>
    </xf>
    <xf numFmtId="14" fontId="9" fillId="2" borderId="17" xfId="0" applyNumberFormat="1" applyFont="1" applyFill="1" applyBorder="1" applyAlignment="1">
      <alignment horizontal="center" vertical="center" wrapText="1"/>
    </xf>
    <xf numFmtId="14" fontId="9" fillId="2" borderId="17" xfId="1" applyNumberFormat="1" applyFont="1" applyFill="1" applyBorder="1" applyAlignment="1">
      <alignment horizontal="center" vertical="center" wrapText="1"/>
    </xf>
    <xf numFmtId="0" fontId="9" fillId="2" borderId="17" xfId="0" applyNumberFormat="1" applyFont="1" applyFill="1" applyBorder="1" applyAlignment="1">
      <alignment horizontal="center" vertical="center" wrapText="1"/>
    </xf>
    <xf numFmtId="0" fontId="8" fillId="2" borderId="17" xfId="3" applyFill="1" applyBorder="1" applyAlignment="1">
      <alignment horizontal="center" vertical="center" wrapText="1"/>
    </xf>
    <xf numFmtId="0" fontId="8" fillId="2" borderId="17" xfId="3" applyFill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 wrapText="1"/>
    </xf>
    <xf numFmtId="14" fontId="9" fillId="2" borderId="19" xfId="0" applyNumberFormat="1" applyFont="1" applyFill="1" applyBorder="1" applyAlignment="1">
      <alignment horizontal="center" vertical="center" wrapText="1"/>
    </xf>
    <xf numFmtId="0" fontId="9" fillId="2" borderId="19" xfId="0" applyNumberFormat="1" applyFont="1" applyFill="1" applyBorder="1" applyAlignment="1">
      <alignment horizontal="center" vertical="center"/>
    </xf>
    <xf numFmtId="14" fontId="9" fillId="2" borderId="19" xfId="0" applyNumberFormat="1" applyFont="1" applyFill="1" applyBorder="1" applyAlignment="1">
      <alignment horizontal="center" vertical="center"/>
    </xf>
    <xf numFmtId="0" fontId="8" fillId="2" borderId="19" xfId="3" applyFill="1" applyBorder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1" fontId="9" fillId="2" borderId="17" xfId="0" applyNumberFormat="1" applyFont="1" applyFill="1" applyBorder="1" applyAlignment="1">
      <alignment horizontal="center" vertical="center"/>
    </xf>
    <xf numFmtId="1" fontId="12" fillId="2" borderId="1" xfId="0" applyNumberFormat="1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14" fontId="12" fillId="2" borderId="1" xfId="0" applyNumberFormat="1" applyFont="1" applyFill="1" applyBorder="1" applyAlignment="1">
      <alignment horizontal="center" vertical="center"/>
    </xf>
    <xf numFmtId="14" fontId="12" fillId="2" borderId="1" xfId="1" applyNumberFormat="1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 wrapText="1"/>
    </xf>
    <xf numFmtId="0" fontId="12" fillId="2" borderId="1" xfId="0" applyNumberFormat="1" applyFont="1" applyFill="1" applyBorder="1" applyAlignment="1">
      <alignment horizontal="center" vertical="center"/>
    </xf>
    <xf numFmtId="0" fontId="8" fillId="2" borderId="1" xfId="3" applyNumberFormat="1" applyFill="1" applyBorder="1" applyAlignment="1">
      <alignment horizontal="center" vertical="center"/>
    </xf>
    <xf numFmtId="0" fontId="8" fillId="2" borderId="17" xfId="3" applyNumberForma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1" xfId="0" applyNumberFormat="1" applyFont="1" applyFill="1" applyBorder="1" applyAlignment="1">
      <alignment horizontal="center" vertical="center"/>
    </xf>
    <xf numFmtId="1" fontId="9" fillId="2" borderId="8" xfId="0" applyNumberFormat="1" applyFont="1" applyFill="1" applyBorder="1" applyAlignment="1">
      <alignment horizontal="center" vertical="center"/>
    </xf>
    <xf numFmtId="0" fontId="9" fillId="3" borderId="17" xfId="0" applyNumberFormat="1" applyFont="1" applyFill="1" applyBorder="1" applyAlignment="1">
      <alignment horizontal="center" vertical="center"/>
    </xf>
    <xf numFmtId="166" fontId="9" fillId="2" borderId="1" xfId="1" applyNumberFormat="1" applyFont="1" applyFill="1" applyBorder="1" applyAlignment="1">
      <alignment horizontal="center" vertical="center"/>
    </xf>
    <xf numFmtId="166" fontId="12" fillId="2" borderId="1" xfId="1" applyNumberFormat="1" applyFont="1" applyFill="1" applyBorder="1" applyAlignment="1">
      <alignment horizontal="center" vertical="center"/>
    </xf>
    <xf numFmtId="166" fontId="9" fillId="2" borderId="17" xfId="1" applyNumberFormat="1" applyFont="1" applyFill="1" applyBorder="1" applyAlignment="1">
      <alignment horizontal="center" vertical="center"/>
    </xf>
    <xf numFmtId="166" fontId="9" fillId="2" borderId="1" xfId="1" applyNumberFormat="1" applyFont="1" applyFill="1" applyBorder="1" applyAlignment="1">
      <alignment horizontal="center" vertical="center" wrapText="1"/>
    </xf>
    <xf numFmtId="166" fontId="9" fillId="2" borderId="0" xfId="1" applyNumberFormat="1" applyFont="1" applyFill="1" applyBorder="1" applyAlignment="1">
      <alignment horizontal="center" vertical="center"/>
    </xf>
    <xf numFmtId="0" fontId="3" fillId="2" borderId="1" xfId="2" applyNumberFormat="1" applyFont="1" applyFill="1" applyBorder="1" applyAlignment="1" applyProtection="1">
      <alignment horizontal="center" vertical="center" wrapText="1"/>
      <protection locked="0"/>
    </xf>
    <xf numFmtId="14" fontId="3" fillId="2" borderId="1" xfId="2" applyNumberFormat="1" applyFont="1" applyFill="1" applyBorder="1" applyAlignment="1" applyProtection="1">
      <alignment horizontal="center" vertical="center" wrapText="1"/>
      <protection locked="0"/>
    </xf>
    <xf numFmtId="166" fontId="3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14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3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</cellXfs>
  <cellStyles count="4">
    <cellStyle name="Hipervínculo" xfId="3" builtinId="8"/>
    <cellStyle name="Millares" xfId="1" builtinId="3"/>
    <cellStyle name="Millares [0]" xfId="2" builtinId="6"/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336369</xdr:colOff>
      <xdr:row>114</xdr:row>
      <xdr:rowOff>45851</xdr:rowOff>
    </xdr:from>
    <xdr:to>
      <xdr:col>5</xdr:col>
      <xdr:colOff>139882</xdr:colOff>
      <xdr:row>114</xdr:row>
      <xdr:rowOff>1506714</xdr:rowOff>
    </xdr:to>
    <xdr:grpSp>
      <xdr:nvGrpSpPr>
        <xdr:cNvPr id="2102" name="$E$115" descr="QuickResponse barcode, level L, version 4, mode binary, 33x33 cells" title="https://centrodecapacitaciondelsur.com/manejo-del-duelo-59395650/">
          <a:extLst>
            <a:ext uri="{FF2B5EF4-FFF2-40B4-BE49-F238E27FC236}">
              <a16:creationId xmlns:a16="http://schemas.microsoft.com/office/drawing/2014/main" id="{00000000-0008-0000-0200-000036080000}"/>
            </a:ext>
          </a:extLst>
        </xdr:cNvPr>
        <xdr:cNvGrpSpPr>
          <a:grpSpLocks noChangeAspect="1"/>
        </xdr:cNvGrpSpPr>
      </xdr:nvGrpSpPr>
      <xdr:grpSpPr>
        <a:xfrm>
          <a:off x="20910369" y="126416624"/>
          <a:ext cx="1466058" cy="1460863"/>
          <a:chOff x="0" y="0"/>
          <a:chExt cx="419100" cy="419100"/>
        </a:xfrm>
      </xdr:grpSpPr>
      <xdr:sp macro="" textlink="">
        <xdr:nvSpPr>
          <xdr:cNvPr id="1549" name="$E$115">
            <a:extLst>
              <a:ext uri="{FF2B5EF4-FFF2-40B4-BE49-F238E27FC236}">
                <a16:creationId xmlns:a16="http://schemas.microsoft.com/office/drawing/2014/main" id="{00000000-0008-0000-0200-00000D06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0" name="$E$115">
            <a:extLst>
              <a:ext uri="{FF2B5EF4-FFF2-40B4-BE49-F238E27FC236}">
                <a16:creationId xmlns:a16="http://schemas.microsoft.com/office/drawing/2014/main" id="{00000000-0008-0000-0200-00000E06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1" name="$E$115">
            <a:extLst>
              <a:ext uri="{FF2B5EF4-FFF2-40B4-BE49-F238E27FC236}">
                <a16:creationId xmlns:a16="http://schemas.microsoft.com/office/drawing/2014/main" id="{00000000-0008-0000-0200-00000F06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2" name="$E$115">
            <a:extLst>
              <a:ext uri="{FF2B5EF4-FFF2-40B4-BE49-F238E27FC236}">
                <a16:creationId xmlns:a16="http://schemas.microsoft.com/office/drawing/2014/main" id="{00000000-0008-0000-0200-00001006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3" name="$E$115">
            <a:extLst>
              <a:ext uri="{FF2B5EF4-FFF2-40B4-BE49-F238E27FC236}">
                <a16:creationId xmlns:a16="http://schemas.microsoft.com/office/drawing/2014/main" id="{00000000-0008-0000-0200-00001106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4" name="$E$115">
            <a:extLst>
              <a:ext uri="{FF2B5EF4-FFF2-40B4-BE49-F238E27FC236}">
                <a16:creationId xmlns:a16="http://schemas.microsoft.com/office/drawing/2014/main" id="{00000000-0008-0000-0200-00001206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5" name="$E$115">
            <a:extLst>
              <a:ext uri="{FF2B5EF4-FFF2-40B4-BE49-F238E27FC236}">
                <a16:creationId xmlns:a16="http://schemas.microsoft.com/office/drawing/2014/main" id="{00000000-0008-0000-0200-00001306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6" name="$E$115">
            <a:extLst>
              <a:ext uri="{FF2B5EF4-FFF2-40B4-BE49-F238E27FC236}">
                <a16:creationId xmlns:a16="http://schemas.microsoft.com/office/drawing/2014/main" id="{00000000-0008-0000-0200-00001406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7" name="$E$115">
            <a:extLst>
              <a:ext uri="{FF2B5EF4-FFF2-40B4-BE49-F238E27FC236}">
                <a16:creationId xmlns:a16="http://schemas.microsoft.com/office/drawing/2014/main" id="{00000000-0008-0000-0200-00001506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8" name="$E$115">
            <a:extLst>
              <a:ext uri="{FF2B5EF4-FFF2-40B4-BE49-F238E27FC236}">
                <a16:creationId xmlns:a16="http://schemas.microsoft.com/office/drawing/2014/main" id="{00000000-0008-0000-0200-000016060000}"/>
              </a:ext>
            </a:extLst>
          </xdr:cNvPr>
          <xdr:cNvSpPr/>
        </xdr:nvSpPr>
        <xdr:spPr>
          <a:xfrm>
            <a:off x="165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9" name="$E$115">
            <a:extLst>
              <a:ext uri="{FF2B5EF4-FFF2-40B4-BE49-F238E27FC236}">
                <a16:creationId xmlns:a16="http://schemas.microsoft.com/office/drawing/2014/main" id="{00000000-0008-0000-0200-000017060000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0" name="$E$115">
            <a:extLst>
              <a:ext uri="{FF2B5EF4-FFF2-40B4-BE49-F238E27FC236}">
                <a16:creationId xmlns:a16="http://schemas.microsoft.com/office/drawing/2014/main" id="{00000000-0008-0000-0200-000018060000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1" name="$E$115">
            <a:extLst>
              <a:ext uri="{FF2B5EF4-FFF2-40B4-BE49-F238E27FC236}">
                <a16:creationId xmlns:a16="http://schemas.microsoft.com/office/drawing/2014/main" id="{00000000-0008-0000-0200-000019060000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2" name="$E$115">
            <a:extLst>
              <a:ext uri="{FF2B5EF4-FFF2-40B4-BE49-F238E27FC236}">
                <a16:creationId xmlns:a16="http://schemas.microsoft.com/office/drawing/2014/main" id="{00000000-0008-0000-0200-00001A060000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3" name="$E$115">
            <a:extLst>
              <a:ext uri="{FF2B5EF4-FFF2-40B4-BE49-F238E27FC236}">
                <a16:creationId xmlns:a16="http://schemas.microsoft.com/office/drawing/2014/main" id="{00000000-0008-0000-0200-00001B06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4" name="$E$115">
            <a:extLst>
              <a:ext uri="{FF2B5EF4-FFF2-40B4-BE49-F238E27FC236}">
                <a16:creationId xmlns:a16="http://schemas.microsoft.com/office/drawing/2014/main" id="{00000000-0008-0000-0200-00001C06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5" name="$E$115">
            <a:extLst>
              <a:ext uri="{FF2B5EF4-FFF2-40B4-BE49-F238E27FC236}">
                <a16:creationId xmlns:a16="http://schemas.microsoft.com/office/drawing/2014/main" id="{00000000-0008-0000-0200-00001D06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6" name="$E$115">
            <a:extLst>
              <a:ext uri="{FF2B5EF4-FFF2-40B4-BE49-F238E27FC236}">
                <a16:creationId xmlns:a16="http://schemas.microsoft.com/office/drawing/2014/main" id="{00000000-0008-0000-0200-00001E06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7" name="$E$115">
            <a:extLst>
              <a:ext uri="{FF2B5EF4-FFF2-40B4-BE49-F238E27FC236}">
                <a16:creationId xmlns:a16="http://schemas.microsoft.com/office/drawing/2014/main" id="{00000000-0008-0000-0200-00001F06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8" name="$E$115">
            <a:extLst>
              <a:ext uri="{FF2B5EF4-FFF2-40B4-BE49-F238E27FC236}">
                <a16:creationId xmlns:a16="http://schemas.microsoft.com/office/drawing/2014/main" id="{00000000-0008-0000-0200-000020060000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9" name="$E$115">
            <a:extLst>
              <a:ext uri="{FF2B5EF4-FFF2-40B4-BE49-F238E27FC236}">
                <a16:creationId xmlns:a16="http://schemas.microsoft.com/office/drawing/2014/main" id="{00000000-0008-0000-0200-000021060000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0" name="$E$115">
            <a:extLst>
              <a:ext uri="{FF2B5EF4-FFF2-40B4-BE49-F238E27FC236}">
                <a16:creationId xmlns:a16="http://schemas.microsoft.com/office/drawing/2014/main" id="{00000000-0008-0000-0200-000022060000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1" name="$E$115">
            <a:extLst>
              <a:ext uri="{FF2B5EF4-FFF2-40B4-BE49-F238E27FC236}">
                <a16:creationId xmlns:a16="http://schemas.microsoft.com/office/drawing/2014/main" id="{00000000-0008-0000-0200-000023060000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2" name="$E$115">
            <a:extLst>
              <a:ext uri="{FF2B5EF4-FFF2-40B4-BE49-F238E27FC236}">
                <a16:creationId xmlns:a16="http://schemas.microsoft.com/office/drawing/2014/main" id="{00000000-0008-0000-0200-00002406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3" name="$E$115">
            <a:extLst>
              <a:ext uri="{FF2B5EF4-FFF2-40B4-BE49-F238E27FC236}">
                <a16:creationId xmlns:a16="http://schemas.microsoft.com/office/drawing/2014/main" id="{00000000-0008-0000-0200-00002506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4" name="$E$115">
            <a:extLst>
              <a:ext uri="{FF2B5EF4-FFF2-40B4-BE49-F238E27FC236}">
                <a16:creationId xmlns:a16="http://schemas.microsoft.com/office/drawing/2014/main" id="{00000000-0008-0000-0200-00002606000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5" name="$E$115">
            <a:extLst>
              <a:ext uri="{FF2B5EF4-FFF2-40B4-BE49-F238E27FC236}">
                <a16:creationId xmlns:a16="http://schemas.microsoft.com/office/drawing/2014/main" id="{00000000-0008-0000-0200-00002706000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6" name="$E$115">
            <a:extLst>
              <a:ext uri="{FF2B5EF4-FFF2-40B4-BE49-F238E27FC236}">
                <a16:creationId xmlns:a16="http://schemas.microsoft.com/office/drawing/2014/main" id="{00000000-0008-0000-0200-00002806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7" name="$E$115">
            <a:extLst>
              <a:ext uri="{FF2B5EF4-FFF2-40B4-BE49-F238E27FC236}">
                <a16:creationId xmlns:a16="http://schemas.microsoft.com/office/drawing/2014/main" id="{00000000-0008-0000-0200-00002906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8" name="$E$115">
            <a:extLst>
              <a:ext uri="{FF2B5EF4-FFF2-40B4-BE49-F238E27FC236}">
                <a16:creationId xmlns:a16="http://schemas.microsoft.com/office/drawing/2014/main" id="{00000000-0008-0000-0200-00002A060000}"/>
              </a:ext>
            </a:extLst>
          </xdr:cNvPr>
          <xdr:cNvSpPr/>
        </xdr:nvSpPr>
        <xdr:spPr>
          <a:xfrm>
            <a:off x="215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9" name="$E$115">
            <a:extLst>
              <a:ext uri="{FF2B5EF4-FFF2-40B4-BE49-F238E27FC236}">
                <a16:creationId xmlns:a16="http://schemas.microsoft.com/office/drawing/2014/main" id="{00000000-0008-0000-0200-00002B060000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0" name="$E$115">
            <a:extLst>
              <a:ext uri="{FF2B5EF4-FFF2-40B4-BE49-F238E27FC236}">
                <a16:creationId xmlns:a16="http://schemas.microsoft.com/office/drawing/2014/main" id="{00000000-0008-0000-0200-00002C060000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1" name="$E$115">
            <a:extLst>
              <a:ext uri="{FF2B5EF4-FFF2-40B4-BE49-F238E27FC236}">
                <a16:creationId xmlns:a16="http://schemas.microsoft.com/office/drawing/2014/main" id="{00000000-0008-0000-0200-00002D06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2" name="$E$115">
            <a:extLst>
              <a:ext uri="{FF2B5EF4-FFF2-40B4-BE49-F238E27FC236}">
                <a16:creationId xmlns:a16="http://schemas.microsoft.com/office/drawing/2014/main" id="{00000000-0008-0000-0200-00002E060000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3" name="$E$115">
            <a:extLst>
              <a:ext uri="{FF2B5EF4-FFF2-40B4-BE49-F238E27FC236}">
                <a16:creationId xmlns:a16="http://schemas.microsoft.com/office/drawing/2014/main" id="{00000000-0008-0000-0200-00002F060000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4" name="$E$115">
            <a:extLst>
              <a:ext uri="{FF2B5EF4-FFF2-40B4-BE49-F238E27FC236}">
                <a16:creationId xmlns:a16="http://schemas.microsoft.com/office/drawing/2014/main" id="{00000000-0008-0000-0200-0000300600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5" name="$E$115">
            <a:extLst>
              <a:ext uri="{FF2B5EF4-FFF2-40B4-BE49-F238E27FC236}">
                <a16:creationId xmlns:a16="http://schemas.microsoft.com/office/drawing/2014/main" id="{00000000-0008-0000-0200-0000310600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6" name="$E$115">
            <a:extLst>
              <a:ext uri="{FF2B5EF4-FFF2-40B4-BE49-F238E27FC236}">
                <a16:creationId xmlns:a16="http://schemas.microsoft.com/office/drawing/2014/main" id="{00000000-0008-0000-0200-0000320600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7" name="$E$115">
            <a:extLst>
              <a:ext uri="{FF2B5EF4-FFF2-40B4-BE49-F238E27FC236}">
                <a16:creationId xmlns:a16="http://schemas.microsoft.com/office/drawing/2014/main" id="{00000000-0008-0000-0200-0000330600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8" name="$E$115">
            <a:extLst>
              <a:ext uri="{FF2B5EF4-FFF2-40B4-BE49-F238E27FC236}">
                <a16:creationId xmlns:a16="http://schemas.microsoft.com/office/drawing/2014/main" id="{00000000-0008-0000-0200-0000340600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9" name="$E$115">
            <a:extLst>
              <a:ext uri="{FF2B5EF4-FFF2-40B4-BE49-F238E27FC236}">
                <a16:creationId xmlns:a16="http://schemas.microsoft.com/office/drawing/2014/main" id="{00000000-0008-0000-0200-0000350600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0" name="$E$115">
            <a:extLst>
              <a:ext uri="{FF2B5EF4-FFF2-40B4-BE49-F238E27FC236}">
                <a16:creationId xmlns:a16="http://schemas.microsoft.com/office/drawing/2014/main" id="{00000000-0008-0000-0200-000036060000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1" name="$E$115">
            <a:extLst>
              <a:ext uri="{FF2B5EF4-FFF2-40B4-BE49-F238E27FC236}">
                <a16:creationId xmlns:a16="http://schemas.microsoft.com/office/drawing/2014/main" id="{00000000-0008-0000-0200-000037060000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2" name="$E$115">
            <a:extLst>
              <a:ext uri="{FF2B5EF4-FFF2-40B4-BE49-F238E27FC236}">
                <a16:creationId xmlns:a16="http://schemas.microsoft.com/office/drawing/2014/main" id="{00000000-0008-0000-0200-0000380600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3" name="$E$115">
            <a:extLst>
              <a:ext uri="{FF2B5EF4-FFF2-40B4-BE49-F238E27FC236}">
                <a16:creationId xmlns:a16="http://schemas.microsoft.com/office/drawing/2014/main" id="{00000000-0008-0000-0200-000039060000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4" name="$E$115">
            <a:extLst>
              <a:ext uri="{FF2B5EF4-FFF2-40B4-BE49-F238E27FC236}">
                <a16:creationId xmlns:a16="http://schemas.microsoft.com/office/drawing/2014/main" id="{00000000-0008-0000-0200-00003A060000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5" name="$E$115">
            <a:extLst>
              <a:ext uri="{FF2B5EF4-FFF2-40B4-BE49-F238E27FC236}">
                <a16:creationId xmlns:a16="http://schemas.microsoft.com/office/drawing/2014/main" id="{00000000-0008-0000-0200-00003B0600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6" name="$E$115">
            <a:extLst>
              <a:ext uri="{FF2B5EF4-FFF2-40B4-BE49-F238E27FC236}">
                <a16:creationId xmlns:a16="http://schemas.microsoft.com/office/drawing/2014/main" id="{00000000-0008-0000-0200-00003C0600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7" name="$E$115">
            <a:extLst>
              <a:ext uri="{FF2B5EF4-FFF2-40B4-BE49-F238E27FC236}">
                <a16:creationId xmlns:a16="http://schemas.microsoft.com/office/drawing/2014/main" id="{00000000-0008-0000-0200-00003D060000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8" name="$E$115">
            <a:extLst>
              <a:ext uri="{FF2B5EF4-FFF2-40B4-BE49-F238E27FC236}">
                <a16:creationId xmlns:a16="http://schemas.microsoft.com/office/drawing/2014/main" id="{00000000-0008-0000-0200-00003E060000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9" name="$E$115">
            <a:extLst>
              <a:ext uri="{FF2B5EF4-FFF2-40B4-BE49-F238E27FC236}">
                <a16:creationId xmlns:a16="http://schemas.microsoft.com/office/drawing/2014/main" id="{00000000-0008-0000-0200-00003F060000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0" name="$E$115">
            <a:extLst>
              <a:ext uri="{FF2B5EF4-FFF2-40B4-BE49-F238E27FC236}">
                <a16:creationId xmlns:a16="http://schemas.microsoft.com/office/drawing/2014/main" id="{00000000-0008-0000-0200-0000400600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1" name="$E$115">
            <a:extLst>
              <a:ext uri="{FF2B5EF4-FFF2-40B4-BE49-F238E27FC236}">
                <a16:creationId xmlns:a16="http://schemas.microsoft.com/office/drawing/2014/main" id="{00000000-0008-0000-0200-0000410600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2" name="$E$115">
            <a:extLst>
              <a:ext uri="{FF2B5EF4-FFF2-40B4-BE49-F238E27FC236}">
                <a16:creationId xmlns:a16="http://schemas.microsoft.com/office/drawing/2014/main" id="{00000000-0008-0000-0200-0000420600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3" name="$E$115">
            <a:extLst>
              <a:ext uri="{FF2B5EF4-FFF2-40B4-BE49-F238E27FC236}">
                <a16:creationId xmlns:a16="http://schemas.microsoft.com/office/drawing/2014/main" id="{00000000-0008-0000-0200-0000430600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4" name="$E$115">
            <a:extLst>
              <a:ext uri="{FF2B5EF4-FFF2-40B4-BE49-F238E27FC236}">
                <a16:creationId xmlns:a16="http://schemas.microsoft.com/office/drawing/2014/main" id="{00000000-0008-0000-0200-0000440600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5" name="$E$115">
            <a:extLst>
              <a:ext uri="{FF2B5EF4-FFF2-40B4-BE49-F238E27FC236}">
                <a16:creationId xmlns:a16="http://schemas.microsoft.com/office/drawing/2014/main" id="{00000000-0008-0000-0200-00004506000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6" name="$E$115">
            <a:extLst>
              <a:ext uri="{FF2B5EF4-FFF2-40B4-BE49-F238E27FC236}">
                <a16:creationId xmlns:a16="http://schemas.microsoft.com/office/drawing/2014/main" id="{00000000-0008-0000-0200-000046060000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7" name="$E$115">
            <a:extLst>
              <a:ext uri="{FF2B5EF4-FFF2-40B4-BE49-F238E27FC236}">
                <a16:creationId xmlns:a16="http://schemas.microsoft.com/office/drawing/2014/main" id="{00000000-0008-0000-0200-000047060000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8" name="$E$115">
            <a:extLst>
              <a:ext uri="{FF2B5EF4-FFF2-40B4-BE49-F238E27FC236}">
                <a16:creationId xmlns:a16="http://schemas.microsoft.com/office/drawing/2014/main" id="{00000000-0008-0000-0200-0000480600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9" name="$E$115">
            <a:extLst>
              <a:ext uri="{FF2B5EF4-FFF2-40B4-BE49-F238E27FC236}">
                <a16:creationId xmlns:a16="http://schemas.microsoft.com/office/drawing/2014/main" id="{00000000-0008-0000-0200-0000490600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0" name="$E$115">
            <a:extLst>
              <a:ext uri="{FF2B5EF4-FFF2-40B4-BE49-F238E27FC236}">
                <a16:creationId xmlns:a16="http://schemas.microsoft.com/office/drawing/2014/main" id="{00000000-0008-0000-0200-00004A060000}"/>
              </a:ext>
            </a:extLst>
          </xdr:cNvPr>
          <xdr:cNvSpPr/>
        </xdr:nvSpPr>
        <xdr:spPr>
          <a:xfrm>
            <a:off x="190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1" name="$E$115">
            <a:extLst>
              <a:ext uri="{FF2B5EF4-FFF2-40B4-BE49-F238E27FC236}">
                <a16:creationId xmlns:a16="http://schemas.microsoft.com/office/drawing/2014/main" id="{00000000-0008-0000-0200-00004B060000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2" name="$E$115">
            <a:extLst>
              <a:ext uri="{FF2B5EF4-FFF2-40B4-BE49-F238E27FC236}">
                <a16:creationId xmlns:a16="http://schemas.microsoft.com/office/drawing/2014/main" id="{00000000-0008-0000-0200-00004C060000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3" name="$E$115">
            <a:extLst>
              <a:ext uri="{FF2B5EF4-FFF2-40B4-BE49-F238E27FC236}">
                <a16:creationId xmlns:a16="http://schemas.microsoft.com/office/drawing/2014/main" id="{00000000-0008-0000-0200-00004D0600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4" name="$E$115">
            <a:extLst>
              <a:ext uri="{FF2B5EF4-FFF2-40B4-BE49-F238E27FC236}">
                <a16:creationId xmlns:a16="http://schemas.microsoft.com/office/drawing/2014/main" id="{00000000-0008-0000-0200-00004E060000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5" name="$E$115">
            <a:extLst>
              <a:ext uri="{FF2B5EF4-FFF2-40B4-BE49-F238E27FC236}">
                <a16:creationId xmlns:a16="http://schemas.microsoft.com/office/drawing/2014/main" id="{00000000-0008-0000-0200-00004F0600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6" name="$E$115">
            <a:extLst>
              <a:ext uri="{FF2B5EF4-FFF2-40B4-BE49-F238E27FC236}">
                <a16:creationId xmlns:a16="http://schemas.microsoft.com/office/drawing/2014/main" id="{00000000-0008-0000-0200-0000500600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7" name="$E$115">
            <a:extLst>
              <a:ext uri="{FF2B5EF4-FFF2-40B4-BE49-F238E27FC236}">
                <a16:creationId xmlns:a16="http://schemas.microsoft.com/office/drawing/2014/main" id="{00000000-0008-0000-0200-0000510600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8" name="$E$115">
            <a:extLst>
              <a:ext uri="{FF2B5EF4-FFF2-40B4-BE49-F238E27FC236}">
                <a16:creationId xmlns:a16="http://schemas.microsoft.com/office/drawing/2014/main" id="{00000000-0008-0000-0200-000052060000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9" name="$E$115">
            <a:extLst>
              <a:ext uri="{FF2B5EF4-FFF2-40B4-BE49-F238E27FC236}">
                <a16:creationId xmlns:a16="http://schemas.microsoft.com/office/drawing/2014/main" id="{00000000-0008-0000-0200-000053060000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0" name="$E$115">
            <a:extLst>
              <a:ext uri="{FF2B5EF4-FFF2-40B4-BE49-F238E27FC236}">
                <a16:creationId xmlns:a16="http://schemas.microsoft.com/office/drawing/2014/main" id="{00000000-0008-0000-0200-000054060000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1" name="$E$115">
            <a:extLst>
              <a:ext uri="{FF2B5EF4-FFF2-40B4-BE49-F238E27FC236}">
                <a16:creationId xmlns:a16="http://schemas.microsoft.com/office/drawing/2014/main" id="{00000000-0008-0000-0200-0000550600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2" name="$E$115">
            <a:extLst>
              <a:ext uri="{FF2B5EF4-FFF2-40B4-BE49-F238E27FC236}">
                <a16:creationId xmlns:a16="http://schemas.microsoft.com/office/drawing/2014/main" id="{00000000-0008-0000-0200-0000560600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3" name="$E$115">
            <a:extLst>
              <a:ext uri="{FF2B5EF4-FFF2-40B4-BE49-F238E27FC236}">
                <a16:creationId xmlns:a16="http://schemas.microsoft.com/office/drawing/2014/main" id="{00000000-0008-0000-0200-0000570600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4" name="$E$115">
            <a:extLst>
              <a:ext uri="{FF2B5EF4-FFF2-40B4-BE49-F238E27FC236}">
                <a16:creationId xmlns:a16="http://schemas.microsoft.com/office/drawing/2014/main" id="{00000000-0008-0000-0200-0000580600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5" name="$E$115">
            <a:extLst>
              <a:ext uri="{FF2B5EF4-FFF2-40B4-BE49-F238E27FC236}">
                <a16:creationId xmlns:a16="http://schemas.microsoft.com/office/drawing/2014/main" id="{00000000-0008-0000-0200-0000590600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6" name="$E$115">
            <a:extLst>
              <a:ext uri="{FF2B5EF4-FFF2-40B4-BE49-F238E27FC236}">
                <a16:creationId xmlns:a16="http://schemas.microsoft.com/office/drawing/2014/main" id="{00000000-0008-0000-0200-00005A060000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7" name="$E$115">
            <a:extLst>
              <a:ext uri="{FF2B5EF4-FFF2-40B4-BE49-F238E27FC236}">
                <a16:creationId xmlns:a16="http://schemas.microsoft.com/office/drawing/2014/main" id="{00000000-0008-0000-0200-00005B0600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8" name="$E$115">
            <a:extLst>
              <a:ext uri="{FF2B5EF4-FFF2-40B4-BE49-F238E27FC236}">
                <a16:creationId xmlns:a16="http://schemas.microsoft.com/office/drawing/2014/main" id="{00000000-0008-0000-0200-00005C060000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9" name="$E$115">
            <a:extLst>
              <a:ext uri="{FF2B5EF4-FFF2-40B4-BE49-F238E27FC236}">
                <a16:creationId xmlns:a16="http://schemas.microsoft.com/office/drawing/2014/main" id="{00000000-0008-0000-0200-00005D0600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0" name="$E$115">
            <a:extLst>
              <a:ext uri="{FF2B5EF4-FFF2-40B4-BE49-F238E27FC236}">
                <a16:creationId xmlns:a16="http://schemas.microsoft.com/office/drawing/2014/main" id="{00000000-0008-0000-0200-00005E0600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1" name="$E$115">
            <a:extLst>
              <a:ext uri="{FF2B5EF4-FFF2-40B4-BE49-F238E27FC236}">
                <a16:creationId xmlns:a16="http://schemas.microsoft.com/office/drawing/2014/main" id="{00000000-0008-0000-0200-00005F0600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2" name="$E$115">
            <a:extLst>
              <a:ext uri="{FF2B5EF4-FFF2-40B4-BE49-F238E27FC236}">
                <a16:creationId xmlns:a16="http://schemas.microsoft.com/office/drawing/2014/main" id="{00000000-0008-0000-0200-000060060000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3" name="$E$115">
            <a:extLst>
              <a:ext uri="{FF2B5EF4-FFF2-40B4-BE49-F238E27FC236}">
                <a16:creationId xmlns:a16="http://schemas.microsoft.com/office/drawing/2014/main" id="{00000000-0008-0000-0200-000061060000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4" name="$E$115">
            <a:extLst>
              <a:ext uri="{FF2B5EF4-FFF2-40B4-BE49-F238E27FC236}">
                <a16:creationId xmlns:a16="http://schemas.microsoft.com/office/drawing/2014/main" id="{00000000-0008-0000-0200-0000620600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5" name="$E$115">
            <a:extLst>
              <a:ext uri="{FF2B5EF4-FFF2-40B4-BE49-F238E27FC236}">
                <a16:creationId xmlns:a16="http://schemas.microsoft.com/office/drawing/2014/main" id="{00000000-0008-0000-0200-0000630600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6" name="$E$115">
            <a:extLst>
              <a:ext uri="{FF2B5EF4-FFF2-40B4-BE49-F238E27FC236}">
                <a16:creationId xmlns:a16="http://schemas.microsoft.com/office/drawing/2014/main" id="{00000000-0008-0000-0200-000064060000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7" name="$E$115">
            <a:extLst>
              <a:ext uri="{FF2B5EF4-FFF2-40B4-BE49-F238E27FC236}">
                <a16:creationId xmlns:a16="http://schemas.microsoft.com/office/drawing/2014/main" id="{00000000-0008-0000-0200-000065060000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8" name="$E$115">
            <a:extLst>
              <a:ext uri="{FF2B5EF4-FFF2-40B4-BE49-F238E27FC236}">
                <a16:creationId xmlns:a16="http://schemas.microsoft.com/office/drawing/2014/main" id="{00000000-0008-0000-0200-000066060000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9" name="$E$115">
            <a:extLst>
              <a:ext uri="{FF2B5EF4-FFF2-40B4-BE49-F238E27FC236}">
                <a16:creationId xmlns:a16="http://schemas.microsoft.com/office/drawing/2014/main" id="{00000000-0008-0000-0200-0000670600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0" name="$E$115">
            <a:extLst>
              <a:ext uri="{FF2B5EF4-FFF2-40B4-BE49-F238E27FC236}">
                <a16:creationId xmlns:a16="http://schemas.microsoft.com/office/drawing/2014/main" id="{00000000-0008-0000-0200-0000680600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1" name="$E$115">
            <a:extLst>
              <a:ext uri="{FF2B5EF4-FFF2-40B4-BE49-F238E27FC236}">
                <a16:creationId xmlns:a16="http://schemas.microsoft.com/office/drawing/2014/main" id="{00000000-0008-0000-0200-0000690600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2" name="$E$115">
            <a:extLst>
              <a:ext uri="{FF2B5EF4-FFF2-40B4-BE49-F238E27FC236}">
                <a16:creationId xmlns:a16="http://schemas.microsoft.com/office/drawing/2014/main" id="{00000000-0008-0000-0200-00006A060000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3" name="$E$115">
            <a:extLst>
              <a:ext uri="{FF2B5EF4-FFF2-40B4-BE49-F238E27FC236}">
                <a16:creationId xmlns:a16="http://schemas.microsoft.com/office/drawing/2014/main" id="{00000000-0008-0000-0200-00006B06000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4" name="$E$115">
            <a:extLst>
              <a:ext uri="{FF2B5EF4-FFF2-40B4-BE49-F238E27FC236}">
                <a16:creationId xmlns:a16="http://schemas.microsoft.com/office/drawing/2014/main" id="{00000000-0008-0000-0200-00006C060000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5" name="$E$115">
            <a:extLst>
              <a:ext uri="{FF2B5EF4-FFF2-40B4-BE49-F238E27FC236}">
                <a16:creationId xmlns:a16="http://schemas.microsoft.com/office/drawing/2014/main" id="{00000000-0008-0000-0200-00006D060000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6" name="$E$115">
            <a:extLst>
              <a:ext uri="{FF2B5EF4-FFF2-40B4-BE49-F238E27FC236}">
                <a16:creationId xmlns:a16="http://schemas.microsoft.com/office/drawing/2014/main" id="{00000000-0008-0000-0200-00006E0600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7" name="$E$115">
            <a:extLst>
              <a:ext uri="{FF2B5EF4-FFF2-40B4-BE49-F238E27FC236}">
                <a16:creationId xmlns:a16="http://schemas.microsoft.com/office/drawing/2014/main" id="{00000000-0008-0000-0200-00006F0600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8" name="$E$115">
            <a:extLst>
              <a:ext uri="{FF2B5EF4-FFF2-40B4-BE49-F238E27FC236}">
                <a16:creationId xmlns:a16="http://schemas.microsoft.com/office/drawing/2014/main" id="{00000000-0008-0000-0200-000070060000}"/>
              </a:ext>
            </a:extLst>
          </xdr:cNvPr>
          <xdr:cNvSpPr/>
        </xdr:nvSpPr>
        <xdr:spPr>
          <a:xfrm>
            <a:off x="215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9" name="$E$115">
            <a:extLst>
              <a:ext uri="{FF2B5EF4-FFF2-40B4-BE49-F238E27FC236}">
                <a16:creationId xmlns:a16="http://schemas.microsoft.com/office/drawing/2014/main" id="{00000000-0008-0000-0200-000071060000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0" name="$E$115">
            <a:extLst>
              <a:ext uri="{FF2B5EF4-FFF2-40B4-BE49-F238E27FC236}">
                <a16:creationId xmlns:a16="http://schemas.microsoft.com/office/drawing/2014/main" id="{00000000-0008-0000-0200-0000720600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1" name="$E$115">
            <a:extLst>
              <a:ext uri="{FF2B5EF4-FFF2-40B4-BE49-F238E27FC236}">
                <a16:creationId xmlns:a16="http://schemas.microsoft.com/office/drawing/2014/main" id="{00000000-0008-0000-0200-000073060000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2" name="$E$115">
            <a:extLst>
              <a:ext uri="{FF2B5EF4-FFF2-40B4-BE49-F238E27FC236}">
                <a16:creationId xmlns:a16="http://schemas.microsoft.com/office/drawing/2014/main" id="{00000000-0008-0000-0200-000074060000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3" name="$E$115">
            <a:extLst>
              <a:ext uri="{FF2B5EF4-FFF2-40B4-BE49-F238E27FC236}">
                <a16:creationId xmlns:a16="http://schemas.microsoft.com/office/drawing/2014/main" id="{00000000-0008-0000-0200-0000750600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4" name="$E$115">
            <a:extLst>
              <a:ext uri="{FF2B5EF4-FFF2-40B4-BE49-F238E27FC236}">
                <a16:creationId xmlns:a16="http://schemas.microsoft.com/office/drawing/2014/main" id="{00000000-0008-0000-0200-0000760600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5" name="$E$115">
            <a:extLst>
              <a:ext uri="{FF2B5EF4-FFF2-40B4-BE49-F238E27FC236}">
                <a16:creationId xmlns:a16="http://schemas.microsoft.com/office/drawing/2014/main" id="{00000000-0008-0000-0200-0000770600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6" name="$E$115">
            <a:extLst>
              <a:ext uri="{FF2B5EF4-FFF2-40B4-BE49-F238E27FC236}">
                <a16:creationId xmlns:a16="http://schemas.microsoft.com/office/drawing/2014/main" id="{00000000-0008-0000-0200-0000780600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7" name="$E$115">
            <a:extLst>
              <a:ext uri="{FF2B5EF4-FFF2-40B4-BE49-F238E27FC236}">
                <a16:creationId xmlns:a16="http://schemas.microsoft.com/office/drawing/2014/main" id="{00000000-0008-0000-0200-0000790600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8" name="$E$115">
            <a:extLst>
              <a:ext uri="{FF2B5EF4-FFF2-40B4-BE49-F238E27FC236}">
                <a16:creationId xmlns:a16="http://schemas.microsoft.com/office/drawing/2014/main" id="{00000000-0008-0000-0200-00007A0600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9" name="$E$115">
            <a:extLst>
              <a:ext uri="{FF2B5EF4-FFF2-40B4-BE49-F238E27FC236}">
                <a16:creationId xmlns:a16="http://schemas.microsoft.com/office/drawing/2014/main" id="{00000000-0008-0000-0200-00007B0600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0" name="$E$115">
            <a:extLst>
              <a:ext uri="{FF2B5EF4-FFF2-40B4-BE49-F238E27FC236}">
                <a16:creationId xmlns:a16="http://schemas.microsoft.com/office/drawing/2014/main" id="{00000000-0008-0000-0200-00007C0600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1" name="$E$115">
            <a:extLst>
              <a:ext uri="{FF2B5EF4-FFF2-40B4-BE49-F238E27FC236}">
                <a16:creationId xmlns:a16="http://schemas.microsoft.com/office/drawing/2014/main" id="{00000000-0008-0000-0200-00007D0600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2" name="$E$115">
            <a:extLst>
              <a:ext uri="{FF2B5EF4-FFF2-40B4-BE49-F238E27FC236}">
                <a16:creationId xmlns:a16="http://schemas.microsoft.com/office/drawing/2014/main" id="{00000000-0008-0000-0200-00007E0600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3" name="$E$115">
            <a:extLst>
              <a:ext uri="{FF2B5EF4-FFF2-40B4-BE49-F238E27FC236}">
                <a16:creationId xmlns:a16="http://schemas.microsoft.com/office/drawing/2014/main" id="{00000000-0008-0000-0200-00007F0600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4" name="$E$115">
            <a:extLst>
              <a:ext uri="{FF2B5EF4-FFF2-40B4-BE49-F238E27FC236}">
                <a16:creationId xmlns:a16="http://schemas.microsoft.com/office/drawing/2014/main" id="{00000000-0008-0000-0200-0000800600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5" name="$E$115">
            <a:extLst>
              <a:ext uri="{FF2B5EF4-FFF2-40B4-BE49-F238E27FC236}">
                <a16:creationId xmlns:a16="http://schemas.microsoft.com/office/drawing/2014/main" id="{00000000-0008-0000-0200-0000810600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6" name="$E$115">
            <a:extLst>
              <a:ext uri="{FF2B5EF4-FFF2-40B4-BE49-F238E27FC236}">
                <a16:creationId xmlns:a16="http://schemas.microsoft.com/office/drawing/2014/main" id="{00000000-0008-0000-0200-0000820600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7" name="$E$115">
            <a:extLst>
              <a:ext uri="{FF2B5EF4-FFF2-40B4-BE49-F238E27FC236}">
                <a16:creationId xmlns:a16="http://schemas.microsoft.com/office/drawing/2014/main" id="{00000000-0008-0000-0200-0000830600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8" name="$E$115">
            <a:extLst>
              <a:ext uri="{FF2B5EF4-FFF2-40B4-BE49-F238E27FC236}">
                <a16:creationId xmlns:a16="http://schemas.microsoft.com/office/drawing/2014/main" id="{00000000-0008-0000-0200-0000840600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9" name="$E$115">
            <a:extLst>
              <a:ext uri="{FF2B5EF4-FFF2-40B4-BE49-F238E27FC236}">
                <a16:creationId xmlns:a16="http://schemas.microsoft.com/office/drawing/2014/main" id="{00000000-0008-0000-0200-0000850600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0" name="$E$115">
            <a:extLst>
              <a:ext uri="{FF2B5EF4-FFF2-40B4-BE49-F238E27FC236}">
                <a16:creationId xmlns:a16="http://schemas.microsoft.com/office/drawing/2014/main" id="{00000000-0008-0000-0200-0000860600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1" name="$E$115">
            <a:extLst>
              <a:ext uri="{FF2B5EF4-FFF2-40B4-BE49-F238E27FC236}">
                <a16:creationId xmlns:a16="http://schemas.microsoft.com/office/drawing/2014/main" id="{00000000-0008-0000-0200-0000870600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2" name="$E$115">
            <a:extLst>
              <a:ext uri="{FF2B5EF4-FFF2-40B4-BE49-F238E27FC236}">
                <a16:creationId xmlns:a16="http://schemas.microsoft.com/office/drawing/2014/main" id="{00000000-0008-0000-0200-000088060000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3" name="$E$115">
            <a:extLst>
              <a:ext uri="{FF2B5EF4-FFF2-40B4-BE49-F238E27FC236}">
                <a16:creationId xmlns:a16="http://schemas.microsoft.com/office/drawing/2014/main" id="{00000000-0008-0000-0200-000089060000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4" name="$E$115">
            <a:extLst>
              <a:ext uri="{FF2B5EF4-FFF2-40B4-BE49-F238E27FC236}">
                <a16:creationId xmlns:a16="http://schemas.microsoft.com/office/drawing/2014/main" id="{00000000-0008-0000-0200-00008A060000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5" name="$E$115">
            <a:extLst>
              <a:ext uri="{FF2B5EF4-FFF2-40B4-BE49-F238E27FC236}">
                <a16:creationId xmlns:a16="http://schemas.microsoft.com/office/drawing/2014/main" id="{00000000-0008-0000-0200-00008B060000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6" name="$E$115">
            <a:extLst>
              <a:ext uri="{FF2B5EF4-FFF2-40B4-BE49-F238E27FC236}">
                <a16:creationId xmlns:a16="http://schemas.microsoft.com/office/drawing/2014/main" id="{00000000-0008-0000-0200-00008C0600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7" name="$E$115">
            <a:extLst>
              <a:ext uri="{FF2B5EF4-FFF2-40B4-BE49-F238E27FC236}">
                <a16:creationId xmlns:a16="http://schemas.microsoft.com/office/drawing/2014/main" id="{00000000-0008-0000-0200-00008D0600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8" name="$E$115">
            <a:extLst>
              <a:ext uri="{FF2B5EF4-FFF2-40B4-BE49-F238E27FC236}">
                <a16:creationId xmlns:a16="http://schemas.microsoft.com/office/drawing/2014/main" id="{00000000-0008-0000-0200-00008E060000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9" name="$E$115">
            <a:extLst>
              <a:ext uri="{FF2B5EF4-FFF2-40B4-BE49-F238E27FC236}">
                <a16:creationId xmlns:a16="http://schemas.microsoft.com/office/drawing/2014/main" id="{00000000-0008-0000-0200-00008F060000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0" name="$E$115">
            <a:extLst>
              <a:ext uri="{FF2B5EF4-FFF2-40B4-BE49-F238E27FC236}">
                <a16:creationId xmlns:a16="http://schemas.microsoft.com/office/drawing/2014/main" id="{00000000-0008-0000-0200-0000900600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1" name="$E$115">
            <a:extLst>
              <a:ext uri="{FF2B5EF4-FFF2-40B4-BE49-F238E27FC236}">
                <a16:creationId xmlns:a16="http://schemas.microsoft.com/office/drawing/2014/main" id="{00000000-0008-0000-0200-000091060000}"/>
              </a:ext>
            </a:extLst>
          </xdr:cNvPr>
          <xdr:cNvSpPr/>
        </xdr:nvSpPr>
        <xdr:spPr>
          <a:xfrm>
            <a:off x="241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2" name="$E$115">
            <a:extLst>
              <a:ext uri="{FF2B5EF4-FFF2-40B4-BE49-F238E27FC236}">
                <a16:creationId xmlns:a16="http://schemas.microsoft.com/office/drawing/2014/main" id="{00000000-0008-0000-0200-000092060000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3" name="$E$115">
            <a:extLst>
              <a:ext uri="{FF2B5EF4-FFF2-40B4-BE49-F238E27FC236}">
                <a16:creationId xmlns:a16="http://schemas.microsoft.com/office/drawing/2014/main" id="{00000000-0008-0000-0200-000093060000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4" name="$E$115">
            <a:extLst>
              <a:ext uri="{FF2B5EF4-FFF2-40B4-BE49-F238E27FC236}">
                <a16:creationId xmlns:a16="http://schemas.microsoft.com/office/drawing/2014/main" id="{00000000-0008-0000-0200-000094060000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5" name="$E$115">
            <a:extLst>
              <a:ext uri="{FF2B5EF4-FFF2-40B4-BE49-F238E27FC236}">
                <a16:creationId xmlns:a16="http://schemas.microsoft.com/office/drawing/2014/main" id="{00000000-0008-0000-0200-0000950600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6" name="$E$115">
            <a:extLst>
              <a:ext uri="{FF2B5EF4-FFF2-40B4-BE49-F238E27FC236}">
                <a16:creationId xmlns:a16="http://schemas.microsoft.com/office/drawing/2014/main" id="{00000000-0008-0000-0200-000096060000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7" name="$E$115">
            <a:extLst>
              <a:ext uri="{FF2B5EF4-FFF2-40B4-BE49-F238E27FC236}">
                <a16:creationId xmlns:a16="http://schemas.microsoft.com/office/drawing/2014/main" id="{00000000-0008-0000-0200-000097060000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8" name="$E$115">
            <a:extLst>
              <a:ext uri="{FF2B5EF4-FFF2-40B4-BE49-F238E27FC236}">
                <a16:creationId xmlns:a16="http://schemas.microsoft.com/office/drawing/2014/main" id="{00000000-0008-0000-0200-0000980600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9" name="$E$115">
            <a:extLst>
              <a:ext uri="{FF2B5EF4-FFF2-40B4-BE49-F238E27FC236}">
                <a16:creationId xmlns:a16="http://schemas.microsoft.com/office/drawing/2014/main" id="{00000000-0008-0000-0200-000099060000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0" name="$E$115">
            <a:extLst>
              <a:ext uri="{FF2B5EF4-FFF2-40B4-BE49-F238E27FC236}">
                <a16:creationId xmlns:a16="http://schemas.microsoft.com/office/drawing/2014/main" id="{00000000-0008-0000-0200-00009A0600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1" name="$E$115">
            <a:extLst>
              <a:ext uri="{FF2B5EF4-FFF2-40B4-BE49-F238E27FC236}">
                <a16:creationId xmlns:a16="http://schemas.microsoft.com/office/drawing/2014/main" id="{00000000-0008-0000-0200-00009B060000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2" name="$E$115">
            <a:extLst>
              <a:ext uri="{FF2B5EF4-FFF2-40B4-BE49-F238E27FC236}">
                <a16:creationId xmlns:a16="http://schemas.microsoft.com/office/drawing/2014/main" id="{00000000-0008-0000-0200-00009C0600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3" name="$E$115">
            <a:extLst>
              <a:ext uri="{FF2B5EF4-FFF2-40B4-BE49-F238E27FC236}">
                <a16:creationId xmlns:a16="http://schemas.microsoft.com/office/drawing/2014/main" id="{00000000-0008-0000-0200-00009D0600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4" name="$E$115">
            <a:extLst>
              <a:ext uri="{FF2B5EF4-FFF2-40B4-BE49-F238E27FC236}">
                <a16:creationId xmlns:a16="http://schemas.microsoft.com/office/drawing/2014/main" id="{00000000-0008-0000-0200-00009E060000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5" name="$E$115">
            <a:extLst>
              <a:ext uri="{FF2B5EF4-FFF2-40B4-BE49-F238E27FC236}">
                <a16:creationId xmlns:a16="http://schemas.microsoft.com/office/drawing/2014/main" id="{00000000-0008-0000-0200-00009F060000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6" name="$E$115">
            <a:extLst>
              <a:ext uri="{FF2B5EF4-FFF2-40B4-BE49-F238E27FC236}">
                <a16:creationId xmlns:a16="http://schemas.microsoft.com/office/drawing/2014/main" id="{00000000-0008-0000-0200-0000A00600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7" name="$E$115">
            <a:extLst>
              <a:ext uri="{FF2B5EF4-FFF2-40B4-BE49-F238E27FC236}">
                <a16:creationId xmlns:a16="http://schemas.microsoft.com/office/drawing/2014/main" id="{00000000-0008-0000-0200-0000A10600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8" name="$E$115">
            <a:extLst>
              <a:ext uri="{FF2B5EF4-FFF2-40B4-BE49-F238E27FC236}">
                <a16:creationId xmlns:a16="http://schemas.microsoft.com/office/drawing/2014/main" id="{00000000-0008-0000-0200-0000A20600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9" name="$E$115">
            <a:extLst>
              <a:ext uri="{FF2B5EF4-FFF2-40B4-BE49-F238E27FC236}">
                <a16:creationId xmlns:a16="http://schemas.microsoft.com/office/drawing/2014/main" id="{00000000-0008-0000-0200-0000A306000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0" name="$E$115">
            <a:extLst>
              <a:ext uri="{FF2B5EF4-FFF2-40B4-BE49-F238E27FC236}">
                <a16:creationId xmlns:a16="http://schemas.microsoft.com/office/drawing/2014/main" id="{00000000-0008-0000-0200-0000A4060000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1" name="$E$115">
            <a:extLst>
              <a:ext uri="{FF2B5EF4-FFF2-40B4-BE49-F238E27FC236}">
                <a16:creationId xmlns:a16="http://schemas.microsoft.com/office/drawing/2014/main" id="{00000000-0008-0000-0200-0000A50600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2" name="$E$115">
            <a:extLst>
              <a:ext uri="{FF2B5EF4-FFF2-40B4-BE49-F238E27FC236}">
                <a16:creationId xmlns:a16="http://schemas.microsoft.com/office/drawing/2014/main" id="{00000000-0008-0000-0200-0000A6060000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3" name="$E$115">
            <a:extLst>
              <a:ext uri="{FF2B5EF4-FFF2-40B4-BE49-F238E27FC236}">
                <a16:creationId xmlns:a16="http://schemas.microsoft.com/office/drawing/2014/main" id="{00000000-0008-0000-0200-0000A7060000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4" name="$E$115">
            <a:extLst>
              <a:ext uri="{FF2B5EF4-FFF2-40B4-BE49-F238E27FC236}">
                <a16:creationId xmlns:a16="http://schemas.microsoft.com/office/drawing/2014/main" id="{00000000-0008-0000-0200-0000A8060000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5" name="$E$115">
            <a:extLst>
              <a:ext uri="{FF2B5EF4-FFF2-40B4-BE49-F238E27FC236}">
                <a16:creationId xmlns:a16="http://schemas.microsoft.com/office/drawing/2014/main" id="{00000000-0008-0000-0200-0000A9060000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6" name="$E$115">
            <a:extLst>
              <a:ext uri="{FF2B5EF4-FFF2-40B4-BE49-F238E27FC236}">
                <a16:creationId xmlns:a16="http://schemas.microsoft.com/office/drawing/2014/main" id="{00000000-0008-0000-0200-0000AA060000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7" name="$E$115">
            <a:extLst>
              <a:ext uri="{FF2B5EF4-FFF2-40B4-BE49-F238E27FC236}">
                <a16:creationId xmlns:a16="http://schemas.microsoft.com/office/drawing/2014/main" id="{00000000-0008-0000-0200-0000AB060000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8" name="$E$115">
            <a:extLst>
              <a:ext uri="{FF2B5EF4-FFF2-40B4-BE49-F238E27FC236}">
                <a16:creationId xmlns:a16="http://schemas.microsoft.com/office/drawing/2014/main" id="{00000000-0008-0000-0200-0000AC060000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9" name="$E$115">
            <a:extLst>
              <a:ext uri="{FF2B5EF4-FFF2-40B4-BE49-F238E27FC236}">
                <a16:creationId xmlns:a16="http://schemas.microsoft.com/office/drawing/2014/main" id="{00000000-0008-0000-0200-0000AD06000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0" name="$E$115">
            <a:extLst>
              <a:ext uri="{FF2B5EF4-FFF2-40B4-BE49-F238E27FC236}">
                <a16:creationId xmlns:a16="http://schemas.microsoft.com/office/drawing/2014/main" id="{00000000-0008-0000-0200-0000AE060000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1" name="$E$115">
            <a:extLst>
              <a:ext uri="{FF2B5EF4-FFF2-40B4-BE49-F238E27FC236}">
                <a16:creationId xmlns:a16="http://schemas.microsoft.com/office/drawing/2014/main" id="{00000000-0008-0000-0200-0000AF060000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2" name="$E$115">
            <a:extLst>
              <a:ext uri="{FF2B5EF4-FFF2-40B4-BE49-F238E27FC236}">
                <a16:creationId xmlns:a16="http://schemas.microsoft.com/office/drawing/2014/main" id="{00000000-0008-0000-0200-0000B00600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3" name="$E$115">
            <a:extLst>
              <a:ext uri="{FF2B5EF4-FFF2-40B4-BE49-F238E27FC236}">
                <a16:creationId xmlns:a16="http://schemas.microsoft.com/office/drawing/2014/main" id="{00000000-0008-0000-0200-0000B1060000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4" name="$E$115">
            <a:extLst>
              <a:ext uri="{FF2B5EF4-FFF2-40B4-BE49-F238E27FC236}">
                <a16:creationId xmlns:a16="http://schemas.microsoft.com/office/drawing/2014/main" id="{00000000-0008-0000-0200-0000B20600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5" name="$E$115">
            <a:extLst>
              <a:ext uri="{FF2B5EF4-FFF2-40B4-BE49-F238E27FC236}">
                <a16:creationId xmlns:a16="http://schemas.microsoft.com/office/drawing/2014/main" id="{00000000-0008-0000-0200-0000B3060000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6" name="$E$115">
            <a:extLst>
              <a:ext uri="{FF2B5EF4-FFF2-40B4-BE49-F238E27FC236}">
                <a16:creationId xmlns:a16="http://schemas.microsoft.com/office/drawing/2014/main" id="{00000000-0008-0000-0200-0000B40600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7" name="$E$115">
            <a:extLst>
              <a:ext uri="{FF2B5EF4-FFF2-40B4-BE49-F238E27FC236}">
                <a16:creationId xmlns:a16="http://schemas.microsoft.com/office/drawing/2014/main" id="{00000000-0008-0000-0200-0000B50600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8" name="$E$115">
            <a:extLst>
              <a:ext uri="{FF2B5EF4-FFF2-40B4-BE49-F238E27FC236}">
                <a16:creationId xmlns:a16="http://schemas.microsoft.com/office/drawing/2014/main" id="{00000000-0008-0000-0200-0000B6060000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9" name="$E$115">
            <a:extLst>
              <a:ext uri="{FF2B5EF4-FFF2-40B4-BE49-F238E27FC236}">
                <a16:creationId xmlns:a16="http://schemas.microsoft.com/office/drawing/2014/main" id="{00000000-0008-0000-0200-0000B7060000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0" name="$E$115">
            <a:extLst>
              <a:ext uri="{FF2B5EF4-FFF2-40B4-BE49-F238E27FC236}">
                <a16:creationId xmlns:a16="http://schemas.microsoft.com/office/drawing/2014/main" id="{00000000-0008-0000-0200-0000B8060000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1" name="$E$115">
            <a:extLst>
              <a:ext uri="{FF2B5EF4-FFF2-40B4-BE49-F238E27FC236}">
                <a16:creationId xmlns:a16="http://schemas.microsoft.com/office/drawing/2014/main" id="{00000000-0008-0000-0200-0000B9060000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2" name="$E$115">
            <a:extLst>
              <a:ext uri="{FF2B5EF4-FFF2-40B4-BE49-F238E27FC236}">
                <a16:creationId xmlns:a16="http://schemas.microsoft.com/office/drawing/2014/main" id="{00000000-0008-0000-0200-0000BA06000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3" name="$E$115">
            <a:extLst>
              <a:ext uri="{FF2B5EF4-FFF2-40B4-BE49-F238E27FC236}">
                <a16:creationId xmlns:a16="http://schemas.microsoft.com/office/drawing/2014/main" id="{00000000-0008-0000-0200-0000BB0600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4" name="$E$115">
            <a:extLst>
              <a:ext uri="{FF2B5EF4-FFF2-40B4-BE49-F238E27FC236}">
                <a16:creationId xmlns:a16="http://schemas.microsoft.com/office/drawing/2014/main" id="{00000000-0008-0000-0200-0000BC060000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5" name="$E$115">
            <a:extLst>
              <a:ext uri="{FF2B5EF4-FFF2-40B4-BE49-F238E27FC236}">
                <a16:creationId xmlns:a16="http://schemas.microsoft.com/office/drawing/2014/main" id="{00000000-0008-0000-0200-0000BD0600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6" name="$E$115">
            <a:extLst>
              <a:ext uri="{FF2B5EF4-FFF2-40B4-BE49-F238E27FC236}">
                <a16:creationId xmlns:a16="http://schemas.microsoft.com/office/drawing/2014/main" id="{00000000-0008-0000-0200-0000BE0600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7" name="$E$115">
            <a:extLst>
              <a:ext uri="{FF2B5EF4-FFF2-40B4-BE49-F238E27FC236}">
                <a16:creationId xmlns:a16="http://schemas.microsoft.com/office/drawing/2014/main" id="{00000000-0008-0000-0200-0000BF060000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8" name="$E$115">
            <a:extLst>
              <a:ext uri="{FF2B5EF4-FFF2-40B4-BE49-F238E27FC236}">
                <a16:creationId xmlns:a16="http://schemas.microsoft.com/office/drawing/2014/main" id="{00000000-0008-0000-0200-0000C00600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9" name="$E$115">
            <a:extLst>
              <a:ext uri="{FF2B5EF4-FFF2-40B4-BE49-F238E27FC236}">
                <a16:creationId xmlns:a16="http://schemas.microsoft.com/office/drawing/2014/main" id="{00000000-0008-0000-0200-0000C10600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0" name="$E$115">
            <a:extLst>
              <a:ext uri="{FF2B5EF4-FFF2-40B4-BE49-F238E27FC236}">
                <a16:creationId xmlns:a16="http://schemas.microsoft.com/office/drawing/2014/main" id="{00000000-0008-0000-0200-0000C20600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1" name="$E$115">
            <a:extLst>
              <a:ext uri="{FF2B5EF4-FFF2-40B4-BE49-F238E27FC236}">
                <a16:creationId xmlns:a16="http://schemas.microsoft.com/office/drawing/2014/main" id="{00000000-0008-0000-0200-0000C30600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2" name="$E$115">
            <a:extLst>
              <a:ext uri="{FF2B5EF4-FFF2-40B4-BE49-F238E27FC236}">
                <a16:creationId xmlns:a16="http://schemas.microsoft.com/office/drawing/2014/main" id="{00000000-0008-0000-0200-0000C40600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3" name="$E$115">
            <a:extLst>
              <a:ext uri="{FF2B5EF4-FFF2-40B4-BE49-F238E27FC236}">
                <a16:creationId xmlns:a16="http://schemas.microsoft.com/office/drawing/2014/main" id="{00000000-0008-0000-0200-0000C5060000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4" name="$E$115">
            <a:extLst>
              <a:ext uri="{FF2B5EF4-FFF2-40B4-BE49-F238E27FC236}">
                <a16:creationId xmlns:a16="http://schemas.microsoft.com/office/drawing/2014/main" id="{00000000-0008-0000-0200-0000C60600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5" name="$E$115">
            <a:extLst>
              <a:ext uri="{FF2B5EF4-FFF2-40B4-BE49-F238E27FC236}">
                <a16:creationId xmlns:a16="http://schemas.microsoft.com/office/drawing/2014/main" id="{00000000-0008-0000-0200-0000C70600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6" name="$E$115">
            <a:extLst>
              <a:ext uri="{FF2B5EF4-FFF2-40B4-BE49-F238E27FC236}">
                <a16:creationId xmlns:a16="http://schemas.microsoft.com/office/drawing/2014/main" id="{00000000-0008-0000-0200-0000C80600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7" name="$E$115">
            <a:extLst>
              <a:ext uri="{FF2B5EF4-FFF2-40B4-BE49-F238E27FC236}">
                <a16:creationId xmlns:a16="http://schemas.microsoft.com/office/drawing/2014/main" id="{00000000-0008-0000-0200-0000C9060000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8" name="$E$115">
            <a:extLst>
              <a:ext uri="{FF2B5EF4-FFF2-40B4-BE49-F238E27FC236}">
                <a16:creationId xmlns:a16="http://schemas.microsoft.com/office/drawing/2014/main" id="{00000000-0008-0000-0200-0000CA060000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9" name="$E$115">
            <a:extLst>
              <a:ext uri="{FF2B5EF4-FFF2-40B4-BE49-F238E27FC236}">
                <a16:creationId xmlns:a16="http://schemas.microsoft.com/office/drawing/2014/main" id="{00000000-0008-0000-0200-0000CB060000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0" name="$E$115">
            <a:extLst>
              <a:ext uri="{FF2B5EF4-FFF2-40B4-BE49-F238E27FC236}">
                <a16:creationId xmlns:a16="http://schemas.microsoft.com/office/drawing/2014/main" id="{00000000-0008-0000-0200-0000CC0600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1" name="$E$115">
            <a:extLst>
              <a:ext uri="{FF2B5EF4-FFF2-40B4-BE49-F238E27FC236}">
                <a16:creationId xmlns:a16="http://schemas.microsoft.com/office/drawing/2014/main" id="{00000000-0008-0000-0200-0000CD0600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2" name="$E$115">
            <a:extLst>
              <a:ext uri="{FF2B5EF4-FFF2-40B4-BE49-F238E27FC236}">
                <a16:creationId xmlns:a16="http://schemas.microsoft.com/office/drawing/2014/main" id="{00000000-0008-0000-0200-0000CE060000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3" name="$E$115">
            <a:extLst>
              <a:ext uri="{FF2B5EF4-FFF2-40B4-BE49-F238E27FC236}">
                <a16:creationId xmlns:a16="http://schemas.microsoft.com/office/drawing/2014/main" id="{00000000-0008-0000-0200-0000CF0600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4" name="$E$115">
            <a:extLst>
              <a:ext uri="{FF2B5EF4-FFF2-40B4-BE49-F238E27FC236}">
                <a16:creationId xmlns:a16="http://schemas.microsoft.com/office/drawing/2014/main" id="{00000000-0008-0000-0200-0000D00600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5" name="$E$115">
            <a:extLst>
              <a:ext uri="{FF2B5EF4-FFF2-40B4-BE49-F238E27FC236}">
                <a16:creationId xmlns:a16="http://schemas.microsoft.com/office/drawing/2014/main" id="{00000000-0008-0000-0200-0000D10600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6" name="$E$115">
            <a:extLst>
              <a:ext uri="{FF2B5EF4-FFF2-40B4-BE49-F238E27FC236}">
                <a16:creationId xmlns:a16="http://schemas.microsoft.com/office/drawing/2014/main" id="{00000000-0008-0000-0200-0000D2060000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7" name="$E$115">
            <a:extLst>
              <a:ext uri="{FF2B5EF4-FFF2-40B4-BE49-F238E27FC236}">
                <a16:creationId xmlns:a16="http://schemas.microsoft.com/office/drawing/2014/main" id="{00000000-0008-0000-0200-0000D3060000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8" name="$E$115">
            <a:extLst>
              <a:ext uri="{FF2B5EF4-FFF2-40B4-BE49-F238E27FC236}">
                <a16:creationId xmlns:a16="http://schemas.microsoft.com/office/drawing/2014/main" id="{00000000-0008-0000-0200-0000D40600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9" name="$E$115">
            <a:extLst>
              <a:ext uri="{FF2B5EF4-FFF2-40B4-BE49-F238E27FC236}">
                <a16:creationId xmlns:a16="http://schemas.microsoft.com/office/drawing/2014/main" id="{00000000-0008-0000-0200-0000D5060000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0" name="$E$115">
            <a:extLst>
              <a:ext uri="{FF2B5EF4-FFF2-40B4-BE49-F238E27FC236}">
                <a16:creationId xmlns:a16="http://schemas.microsoft.com/office/drawing/2014/main" id="{00000000-0008-0000-0200-0000D6060000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1" name="$E$115">
            <a:extLst>
              <a:ext uri="{FF2B5EF4-FFF2-40B4-BE49-F238E27FC236}">
                <a16:creationId xmlns:a16="http://schemas.microsoft.com/office/drawing/2014/main" id="{00000000-0008-0000-0200-0000D7060000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2" name="$E$115">
            <a:extLst>
              <a:ext uri="{FF2B5EF4-FFF2-40B4-BE49-F238E27FC236}">
                <a16:creationId xmlns:a16="http://schemas.microsoft.com/office/drawing/2014/main" id="{00000000-0008-0000-0200-0000D8060000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3" name="$E$115">
            <a:extLst>
              <a:ext uri="{FF2B5EF4-FFF2-40B4-BE49-F238E27FC236}">
                <a16:creationId xmlns:a16="http://schemas.microsoft.com/office/drawing/2014/main" id="{00000000-0008-0000-0200-0000D90600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4" name="$E$115">
            <a:extLst>
              <a:ext uri="{FF2B5EF4-FFF2-40B4-BE49-F238E27FC236}">
                <a16:creationId xmlns:a16="http://schemas.microsoft.com/office/drawing/2014/main" id="{00000000-0008-0000-0200-0000DA0600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5" name="$E$115">
            <a:extLst>
              <a:ext uri="{FF2B5EF4-FFF2-40B4-BE49-F238E27FC236}">
                <a16:creationId xmlns:a16="http://schemas.microsoft.com/office/drawing/2014/main" id="{00000000-0008-0000-0200-0000DB0600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6" name="$E$115">
            <a:extLst>
              <a:ext uri="{FF2B5EF4-FFF2-40B4-BE49-F238E27FC236}">
                <a16:creationId xmlns:a16="http://schemas.microsoft.com/office/drawing/2014/main" id="{00000000-0008-0000-0200-0000DC0600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7" name="$E$115">
            <a:extLst>
              <a:ext uri="{FF2B5EF4-FFF2-40B4-BE49-F238E27FC236}">
                <a16:creationId xmlns:a16="http://schemas.microsoft.com/office/drawing/2014/main" id="{00000000-0008-0000-0200-0000DD060000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8" name="$E$115">
            <a:extLst>
              <a:ext uri="{FF2B5EF4-FFF2-40B4-BE49-F238E27FC236}">
                <a16:creationId xmlns:a16="http://schemas.microsoft.com/office/drawing/2014/main" id="{00000000-0008-0000-0200-0000DE060000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9" name="$E$115">
            <a:extLst>
              <a:ext uri="{FF2B5EF4-FFF2-40B4-BE49-F238E27FC236}">
                <a16:creationId xmlns:a16="http://schemas.microsoft.com/office/drawing/2014/main" id="{00000000-0008-0000-0200-0000DF0600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0" name="$E$115">
            <a:extLst>
              <a:ext uri="{FF2B5EF4-FFF2-40B4-BE49-F238E27FC236}">
                <a16:creationId xmlns:a16="http://schemas.microsoft.com/office/drawing/2014/main" id="{00000000-0008-0000-0200-0000E0060000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1" name="$E$115">
            <a:extLst>
              <a:ext uri="{FF2B5EF4-FFF2-40B4-BE49-F238E27FC236}">
                <a16:creationId xmlns:a16="http://schemas.microsoft.com/office/drawing/2014/main" id="{00000000-0008-0000-0200-0000E1060000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2" name="$E$115">
            <a:extLst>
              <a:ext uri="{FF2B5EF4-FFF2-40B4-BE49-F238E27FC236}">
                <a16:creationId xmlns:a16="http://schemas.microsoft.com/office/drawing/2014/main" id="{00000000-0008-0000-0200-0000E2060000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3" name="$E$115">
            <a:extLst>
              <a:ext uri="{FF2B5EF4-FFF2-40B4-BE49-F238E27FC236}">
                <a16:creationId xmlns:a16="http://schemas.microsoft.com/office/drawing/2014/main" id="{00000000-0008-0000-0200-0000E3060000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4" name="$E$115">
            <a:extLst>
              <a:ext uri="{FF2B5EF4-FFF2-40B4-BE49-F238E27FC236}">
                <a16:creationId xmlns:a16="http://schemas.microsoft.com/office/drawing/2014/main" id="{00000000-0008-0000-0200-0000E4060000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5" name="$E$115">
            <a:extLst>
              <a:ext uri="{FF2B5EF4-FFF2-40B4-BE49-F238E27FC236}">
                <a16:creationId xmlns:a16="http://schemas.microsoft.com/office/drawing/2014/main" id="{00000000-0008-0000-0200-0000E5060000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6" name="$E$115">
            <a:extLst>
              <a:ext uri="{FF2B5EF4-FFF2-40B4-BE49-F238E27FC236}">
                <a16:creationId xmlns:a16="http://schemas.microsoft.com/office/drawing/2014/main" id="{00000000-0008-0000-0200-0000E60600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7" name="$E$115">
            <a:extLst>
              <a:ext uri="{FF2B5EF4-FFF2-40B4-BE49-F238E27FC236}">
                <a16:creationId xmlns:a16="http://schemas.microsoft.com/office/drawing/2014/main" id="{00000000-0008-0000-0200-0000E7060000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8" name="$E$115">
            <a:extLst>
              <a:ext uri="{FF2B5EF4-FFF2-40B4-BE49-F238E27FC236}">
                <a16:creationId xmlns:a16="http://schemas.microsoft.com/office/drawing/2014/main" id="{00000000-0008-0000-0200-0000E8060000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9" name="$E$115">
            <a:extLst>
              <a:ext uri="{FF2B5EF4-FFF2-40B4-BE49-F238E27FC236}">
                <a16:creationId xmlns:a16="http://schemas.microsoft.com/office/drawing/2014/main" id="{00000000-0008-0000-0200-0000E90600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0" name="$E$115">
            <a:extLst>
              <a:ext uri="{FF2B5EF4-FFF2-40B4-BE49-F238E27FC236}">
                <a16:creationId xmlns:a16="http://schemas.microsoft.com/office/drawing/2014/main" id="{00000000-0008-0000-0200-0000EA0600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1" name="$E$115">
            <a:extLst>
              <a:ext uri="{FF2B5EF4-FFF2-40B4-BE49-F238E27FC236}">
                <a16:creationId xmlns:a16="http://schemas.microsoft.com/office/drawing/2014/main" id="{00000000-0008-0000-0200-0000EB060000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2" name="$E$115">
            <a:extLst>
              <a:ext uri="{FF2B5EF4-FFF2-40B4-BE49-F238E27FC236}">
                <a16:creationId xmlns:a16="http://schemas.microsoft.com/office/drawing/2014/main" id="{00000000-0008-0000-0200-0000EC060000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3" name="$E$115">
            <a:extLst>
              <a:ext uri="{FF2B5EF4-FFF2-40B4-BE49-F238E27FC236}">
                <a16:creationId xmlns:a16="http://schemas.microsoft.com/office/drawing/2014/main" id="{00000000-0008-0000-0200-0000ED0600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4" name="$E$115">
            <a:extLst>
              <a:ext uri="{FF2B5EF4-FFF2-40B4-BE49-F238E27FC236}">
                <a16:creationId xmlns:a16="http://schemas.microsoft.com/office/drawing/2014/main" id="{00000000-0008-0000-0200-0000EE0600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5" name="$E$115">
            <a:extLst>
              <a:ext uri="{FF2B5EF4-FFF2-40B4-BE49-F238E27FC236}">
                <a16:creationId xmlns:a16="http://schemas.microsoft.com/office/drawing/2014/main" id="{00000000-0008-0000-0200-0000EF060000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6" name="$E$115">
            <a:extLst>
              <a:ext uri="{FF2B5EF4-FFF2-40B4-BE49-F238E27FC236}">
                <a16:creationId xmlns:a16="http://schemas.microsoft.com/office/drawing/2014/main" id="{00000000-0008-0000-0200-0000F00600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7" name="$E$115">
            <a:extLst>
              <a:ext uri="{FF2B5EF4-FFF2-40B4-BE49-F238E27FC236}">
                <a16:creationId xmlns:a16="http://schemas.microsoft.com/office/drawing/2014/main" id="{00000000-0008-0000-0200-0000F1060000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8" name="$E$115">
            <a:extLst>
              <a:ext uri="{FF2B5EF4-FFF2-40B4-BE49-F238E27FC236}">
                <a16:creationId xmlns:a16="http://schemas.microsoft.com/office/drawing/2014/main" id="{00000000-0008-0000-0200-0000F2060000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9" name="$E$115">
            <a:extLst>
              <a:ext uri="{FF2B5EF4-FFF2-40B4-BE49-F238E27FC236}">
                <a16:creationId xmlns:a16="http://schemas.microsoft.com/office/drawing/2014/main" id="{00000000-0008-0000-0200-0000F3060000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0" name="$E$115">
            <a:extLst>
              <a:ext uri="{FF2B5EF4-FFF2-40B4-BE49-F238E27FC236}">
                <a16:creationId xmlns:a16="http://schemas.microsoft.com/office/drawing/2014/main" id="{00000000-0008-0000-0200-0000F4060000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1" name="$E$115">
            <a:extLst>
              <a:ext uri="{FF2B5EF4-FFF2-40B4-BE49-F238E27FC236}">
                <a16:creationId xmlns:a16="http://schemas.microsoft.com/office/drawing/2014/main" id="{00000000-0008-0000-0200-0000F5060000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2" name="$E$115">
            <a:extLst>
              <a:ext uri="{FF2B5EF4-FFF2-40B4-BE49-F238E27FC236}">
                <a16:creationId xmlns:a16="http://schemas.microsoft.com/office/drawing/2014/main" id="{00000000-0008-0000-0200-0000F6060000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3" name="$E$115">
            <a:extLst>
              <a:ext uri="{FF2B5EF4-FFF2-40B4-BE49-F238E27FC236}">
                <a16:creationId xmlns:a16="http://schemas.microsoft.com/office/drawing/2014/main" id="{00000000-0008-0000-0200-0000F70600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4" name="$E$115">
            <a:extLst>
              <a:ext uri="{FF2B5EF4-FFF2-40B4-BE49-F238E27FC236}">
                <a16:creationId xmlns:a16="http://schemas.microsoft.com/office/drawing/2014/main" id="{00000000-0008-0000-0200-0000F80600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5" name="$E$115">
            <a:extLst>
              <a:ext uri="{FF2B5EF4-FFF2-40B4-BE49-F238E27FC236}">
                <a16:creationId xmlns:a16="http://schemas.microsoft.com/office/drawing/2014/main" id="{00000000-0008-0000-0200-0000F9060000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6" name="$E$115">
            <a:extLst>
              <a:ext uri="{FF2B5EF4-FFF2-40B4-BE49-F238E27FC236}">
                <a16:creationId xmlns:a16="http://schemas.microsoft.com/office/drawing/2014/main" id="{00000000-0008-0000-0200-0000FA0600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7" name="$E$115">
            <a:extLst>
              <a:ext uri="{FF2B5EF4-FFF2-40B4-BE49-F238E27FC236}">
                <a16:creationId xmlns:a16="http://schemas.microsoft.com/office/drawing/2014/main" id="{00000000-0008-0000-0200-0000FB060000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8" name="$E$115">
            <a:extLst>
              <a:ext uri="{FF2B5EF4-FFF2-40B4-BE49-F238E27FC236}">
                <a16:creationId xmlns:a16="http://schemas.microsoft.com/office/drawing/2014/main" id="{00000000-0008-0000-0200-0000FC0600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9" name="$E$115">
            <a:extLst>
              <a:ext uri="{FF2B5EF4-FFF2-40B4-BE49-F238E27FC236}">
                <a16:creationId xmlns:a16="http://schemas.microsoft.com/office/drawing/2014/main" id="{00000000-0008-0000-0200-0000FD0600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0" name="$E$115">
            <a:extLst>
              <a:ext uri="{FF2B5EF4-FFF2-40B4-BE49-F238E27FC236}">
                <a16:creationId xmlns:a16="http://schemas.microsoft.com/office/drawing/2014/main" id="{00000000-0008-0000-0200-0000FE0600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1" name="$E$115">
            <a:extLst>
              <a:ext uri="{FF2B5EF4-FFF2-40B4-BE49-F238E27FC236}">
                <a16:creationId xmlns:a16="http://schemas.microsoft.com/office/drawing/2014/main" id="{00000000-0008-0000-0200-0000FF060000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2" name="$E$115">
            <a:extLst>
              <a:ext uri="{FF2B5EF4-FFF2-40B4-BE49-F238E27FC236}">
                <a16:creationId xmlns:a16="http://schemas.microsoft.com/office/drawing/2014/main" id="{00000000-0008-0000-0200-000000070000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3" name="$E$115">
            <a:extLst>
              <a:ext uri="{FF2B5EF4-FFF2-40B4-BE49-F238E27FC236}">
                <a16:creationId xmlns:a16="http://schemas.microsoft.com/office/drawing/2014/main" id="{00000000-0008-0000-0200-000001070000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4" name="$E$115">
            <a:extLst>
              <a:ext uri="{FF2B5EF4-FFF2-40B4-BE49-F238E27FC236}">
                <a16:creationId xmlns:a16="http://schemas.microsoft.com/office/drawing/2014/main" id="{00000000-0008-0000-0200-0000020700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5" name="$E$115">
            <a:extLst>
              <a:ext uri="{FF2B5EF4-FFF2-40B4-BE49-F238E27FC236}">
                <a16:creationId xmlns:a16="http://schemas.microsoft.com/office/drawing/2014/main" id="{00000000-0008-0000-0200-000003070000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6" name="$E$115">
            <a:extLst>
              <a:ext uri="{FF2B5EF4-FFF2-40B4-BE49-F238E27FC236}">
                <a16:creationId xmlns:a16="http://schemas.microsoft.com/office/drawing/2014/main" id="{00000000-0008-0000-0200-000004070000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7" name="$E$115">
            <a:extLst>
              <a:ext uri="{FF2B5EF4-FFF2-40B4-BE49-F238E27FC236}">
                <a16:creationId xmlns:a16="http://schemas.microsoft.com/office/drawing/2014/main" id="{00000000-0008-0000-0200-0000050700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8" name="$E$115">
            <a:extLst>
              <a:ext uri="{FF2B5EF4-FFF2-40B4-BE49-F238E27FC236}">
                <a16:creationId xmlns:a16="http://schemas.microsoft.com/office/drawing/2014/main" id="{00000000-0008-0000-0200-0000060700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9" name="$E$115">
            <a:extLst>
              <a:ext uri="{FF2B5EF4-FFF2-40B4-BE49-F238E27FC236}">
                <a16:creationId xmlns:a16="http://schemas.microsoft.com/office/drawing/2014/main" id="{00000000-0008-0000-0200-0000070700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0" name="$E$115">
            <a:extLst>
              <a:ext uri="{FF2B5EF4-FFF2-40B4-BE49-F238E27FC236}">
                <a16:creationId xmlns:a16="http://schemas.microsoft.com/office/drawing/2014/main" id="{00000000-0008-0000-0200-000008070000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1" name="$E$115">
            <a:extLst>
              <a:ext uri="{FF2B5EF4-FFF2-40B4-BE49-F238E27FC236}">
                <a16:creationId xmlns:a16="http://schemas.microsoft.com/office/drawing/2014/main" id="{00000000-0008-0000-0200-0000090700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2" name="$E$115">
            <a:extLst>
              <a:ext uri="{FF2B5EF4-FFF2-40B4-BE49-F238E27FC236}">
                <a16:creationId xmlns:a16="http://schemas.microsoft.com/office/drawing/2014/main" id="{00000000-0008-0000-0200-00000A070000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3" name="$E$115">
            <a:extLst>
              <a:ext uri="{FF2B5EF4-FFF2-40B4-BE49-F238E27FC236}">
                <a16:creationId xmlns:a16="http://schemas.microsoft.com/office/drawing/2014/main" id="{00000000-0008-0000-0200-00000B0700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4" name="$E$115">
            <a:extLst>
              <a:ext uri="{FF2B5EF4-FFF2-40B4-BE49-F238E27FC236}">
                <a16:creationId xmlns:a16="http://schemas.microsoft.com/office/drawing/2014/main" id="{00000000-0008-0000-0200-00000C070000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5" name="$E$115">
            <a:extLst>
              <a:ext uri="{FF2B5EF4-FFF2-40B4-BE49-F238E27FC236}">
                <a16:creationId xmlns:a16="http://schemas.microsoft.com/office/drawing/2014/main" id="{00000000-0008-0000-0200-00000D0700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6" name="$E$115">
            <a:extLst>
              <a:ext uri="{FF2B5EF4-FFF2-40B4-BE49-F238E27FC236}">
                <a16:creationId xmlns:a16="http://schemas.microsoft.com/office/drawing/2014/main" id="{00000000-0008-0000-0200-00000E0700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7" name="$E$115">
            <a:extLst>
              <a:ext uri="{FF2B5EF4-FFF2-40B4-BE49-F238E27FC236}">
                <a16:creationId xmlns:a16="http://schemas.microsoft.com/office/drawing/2014/main" id="{00000000-0008-0000-0200-00000F0700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8" name="$E$115">
            <a:extLst>
              <a:ext uri="{FF2B5EF4-FFF2-40B4-BE49-F238E27FC236}">
                <a16:creationId xmlns:a16="http://schemas.microsoft.com/office/drawing/2014/main" id="{00000000-0008-0000-0200-000010070000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9" name="$E$115">
            <a:extLst>
              <a:ext uri="{FF2B5EF4-FFF2-40B4-BE49-F238E27FC236}">
                <a16:creationId xmlns:a16="http://schemas.microsoft.com/office/drawing/2014/main" id="{00000000-0008-0000-0200-000011070000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0" name="$E$115">
            <a:extLst>
              <a:ext uri="{FF2B5EF4-FFF2-40B4-BE49-F238E27FC236}">
                <a16:creationId xmlns:a16="http://schemas.microsoft.com/office/drawing/2014/main" id="{00000000-0008-0000-0200-0000120700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1" name="$E$115">
            <a:extLst>
              <a:ext uri="{FF2B5EF4-FFF2-40B4-BE49-F238E27FC236}">
                <a16:creationId xmlns:a16="http://schemas.microsoft.com/office/drawing/2014/main" id="{00000000-0008-0000-0200-000013070000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2" name="$E$115">
            <a:extLst>
              <a:ext uri="{FF2B5EF4-FFF2-40B4-BE49-F238E27FC236}">
                <a16:creationId xmlns:a16="http://schemas.microsoft.com/office/drawing/2014/main" id="{00000000-0008-0000-0200-000014070000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3" name="$E$115">
            <a:extLst>
              <a:ext uri="{FF2B5EF4-FFF2-40B4-BE49-F238E27FC236}">
                <a16:creationId xmlns:a16="http://schemas.microsoft.com/office/drawing/2014/main" id="{00000000-0008-0000-0200-0000150700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4" name="$E$115">
            <a:extLst>
              <a:ext uri="{FF2B5EF4-FFF2-40B4-BE49-F238E27FC236}">
                <a16:creationId xmlns:a16="http://schemas.microsoft.com/office/drawing/2014/main" id="{00000000-0008-0000-0200-0000160700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5" name="$E$115">
            <a:extLst>
              <a:ext uri="{FF2B5EF4-FFF2-40B4-BE49-F238E27FC236}">
                <a16:creationId xmlns:a16="http://schemas.microsoft.com/office/drawing/2014/main" id="{00000000-0008-0000-0200-0000170700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6" name="$E$115">
            <a:extLst>
              <a:ext uri="{FF2B5EF4-FFF2-40B4-BE49-F238E27FC236}">
                <a16:creationId xmlns:a16="http://schemas.microsoft.com/office/drawing/2014/main" id="{00000000-0008-0000-0200-000018070000}"/>
              </a:ext>
            </a:extLst>
          </xdr:cNvPr>
          <xdr:cNvSpPr/>
        </xdr:nvSpPr>
        <xdr:spPr>
          <a:xfrm>
            <a:off x="88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7" name="$E$115">
            <a:extLst>
              <a:ext uri="{FF2B5EF4-FFF2-40B4-BE49-F238E27FC236}">
                <a16:creationId xmlns:a16="http://schemas.microsoft.com/office/drawing/2014/main" id="{00000000-0008-0000-0200-000019070000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8" name="$E$115">
            <a:extLst>
              <a:ext uri="{FF2B5EF4-FFF2-40B4-BE49-F238E27FC236}">
                <a16:creationId xmlns:a16="http://schemas.microsoft.com/office/drawing/2014/main" id="{00000000-0008-0000-0200-00001A070000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9" name="$E$115">
            <a:extLst>
              <a:ext uri="{FF2B5EF4-FFF2-40B4-BE49-F238E27FC236}">
                <a16:creationId xmlns:a16="http://schemas.microsoft.com/office/drawing/2014/main" id="{00000000-0008-0000-0200-00001B0700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0" name="$E$115">
            <a:extLst>
              <a:ext uri="{FF2B5EF4-FFF2-40B4-BE49-F238E27FC236}">
                <a16:creationId xmlns:a16="http://schemas.microsoft.com/office/drawing/2014/main" id="{00000000-0008-0000-0200-00001C0700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1" name="$E$115">
            <a:extLst>
              <a:ext uri="{FF2B5EF4-FFF2-40B4-BE49-F238E27FC236}">
                <a16:creationId xmlns:a16="http://schemas.microsoft.com/office/drawing/2014/main" id="{00000000-0008-0000-0200-00001D0700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2" name="$E$115">
            <a:extLst>
              <a:ext uri="{FF2B5EF4-FFF2-40B4-BE49-F238E27FC236}">
                <a16:creationId xmlns:a16="http://schemas.microsoft.com/office/drawing/2014/main" id="{00000000-0008-0000-0200-00001E070000}"/>
              </a:ext>
            </a:extLst>
          </xdr:cNvPr>
          <xdr:cNvSpPr/>
        </xdr:nvSpPr>
        <xdr:spPr>
          <a:xfrm>
            <a:off x="241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3" name="$E$115">
            <a:extLst>
              <a:ext uri="{FF2B5EF4-FFF2-40B4-BE49-F238E27FC236}">
                <a16:creationId xmlns:a16="http://schemas.microsoft.com/office/drawing/2014/main" id="{00000000-0008-0000-0200-00001F0700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4" name="$E$115">
            <a:extLst>
              <a:ext uri="{FF2B5EF4-FFF2-40B4-BE49-F238E27FC236}">
                <a16:creationId xmlns:a16="http://schemas.microsoft.com/office/drawing/2014/main" id="{00000000-0008-0000-0200-000020070000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5" name="$E$115">
            <a:extLst>
              <a:ext uri="{FF2B5EF4-FFF2-40B4-BE49-F238E27FC236}">
                <a16:creationId xmlns:a16="http://schemas.microsoft.com/office/drawing/2014/main" id="{00000000-0008-0000-0200-0000210700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6" name="$E$115">
            <a:extLst>
              <a:ext uri="{FF2B5EF4-FFF2-40B4-BE49-F238E27FC236}">
                <a16:creationId xmlns:a16="http://schemas.microsoft.com/office/drawing/2014/main" id="{00000000-0008-0000-0200-0000220700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7" name="$E$115">
            <a:extLst>
              <a:ext uri="{FF2B5EF4-FFF2-40B4-BE49-F238E27FC236}">
                <a16:creationId xmlns:a16="http://schemas.microsoft.com/office/drawing/2014/main" id="{00000000-0008-0000-0200-0000230700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8" name="$E$115">
            <a:extLst>
              <a:ext uri="{FF2B5EF4-FFF2-40B4-BE49-F238E27FC236}">
                <a16:creationId xmlns:a16="http://schemas.microsoft.com/office/drawing/2014/main" id="{00000000-0008-0000-0200-000024070000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9" name="$E$115">
            <a:extLst>
              <a:ext uri="{FF2B5EF4-FFF2-40B4-BE49-F238E27FC236}">
                <a16:creationId xmlns:a16="http://schemas.microsoft.com/office/drawing/2014/main" id="{00000000-0008-0000-0200-000025070000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0" name="$E$115">
            <a:extLst>
              <a:ext uri="{FF2B5EF4-FFF2-40B4-BE49-F238E27FC236}">
                <a16:creationId xmlns:a16="http://schemas.microsoft.com/office/drawing/2014/main" id="{00000000-0008-0000-0200-000026070000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1" name="$E$115">
            <a:extLst>
              <a:ext uri="{FF2B5EF4-FFF2-40B4-BE49-F238E27FC236}">
                <a16:creationId xmlns:a16="http://schemas.microsoft.com/office/drawing/2014/main" id="{00000000-0008-0000-0200-0000270700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2" name="$E$115">
            <a:extLst>
              <a:ext uri="{FF2B5EF4-FFF2-40B4-BE49-F238E27FC236}">
                <a16:creationId xmlns:a16="http://schemas.microsoft.com/office/drawing/2014/main" id="{00000000-0008-0000-0200-0000280700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3" name="$E$115">
            <a:extLst>
              <a:ext uri="{FF2B5EF4-FFF2-40B4-BE49-F238E27FC236}">
                <a16:creationId xmlns:a16="http://schemas.microsoft.com/office/drawing/2014/main" id="{00000000-0008-0000-0200-0000290700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4" name="$E$115">
            <a:extLst>
              <a:ext uri="{FF2B5EF4-FFF2-40B4-BE49-F238E27FC236}">
                <a16:creationId xmlns:a16="http://schemas.microsoft.com/office/drawing/2014/main" id="{00000000-0008-0000-0200-00002A070000}"/>
              </a:ext>
            </a:extLst>
          </xdr:cNvPr>
          <xdr:cNvSpPr/>
        </xdr:nvSpPr>
        <xdr:spPr>
          <a:xfrm>
            <a:off x="114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5" name="$E$115">
            <a:extLst>
              <a:ext uri="{FF2B5EF4-FFF2-40B4-BE49-F238E27FC236}">
                <a16:creationId xmlns:a16="http://schemas.microsoft.com/office/drawing/2014/main" id="{00000000-0008-0000-0200-00002B0700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6" name="$E$115">
            <a:extLst>
              <a:ext uri="{FF2B5EF4-FFF2-40B4-BE49-F238E27FC236}">
                <a16:creationId xmlns:a16="http://schemas.microsoft.com/office/drawing/2014/main" id="{00000000-0008-0000-0200-00002C0700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7" name="$E$115">
            <a:extLst>
              <a:ext uri="{FF2B5EF4-FFF2-40B4-BE49-F238E27FC236}">
                <a16:creationId xmlns:a16="http://schemas.microsoft.com/office/drawing/2014/main" id="{00000000-0008-0000-0200-00002D070000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8" name="$E$115">
            <a:extLst>
              <a:ext uri="{FF2B5EF4-FFF2-40B4-BE49-F238E27FC236}">
                <a16:creationId xmlns:a16="http://schemas.microsoft.com/office/drawing/2014/main" id="{00000000-0008-0000-0200-00002E0700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9" name="$E$115">
            <a:extLst>
              <a:ext uri="{FF2B5EF4-FFF2-40B4-BE49-F238E27FC236}">
                <a16:creationId xmlns:a16="http://schemas.microsoft.com/office/drawing/2014/main" id="{00000000-0008-0000-0200-00002F0700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0" name="$E$115">
            <a:extLst>
              <a:ext uri="{FF2B5EF4-FFF2-40B4-BE49-F238E27FC236}">
                <a16:creationId xmlns:a16="http://schemas.microsoft.com/office/drawing/2014/main" id="{00000000-0008-0000-0200-0000300700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1" name="$E$115">
            <a:extLst>
              <a:ext uri="{FF2B5EF4-FFF2-40B4-BE49-F238E27FC236}">
                <a16:creationId xmlns:a16="http://schemas.microsoft.com/office/drawing/2014/main" id="{00000000-0008-0000-0200-0000310700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2" name="$E$115">
            <a:extLst>
              <a:ext uri="{FF2B5EF4-FFF2-40B4-BE49-F238E27FC236}">
                <a16:creationId xmlns:a16="http://schemas.microsoft.com/office/drawing/2014/main" id="{00000000-0008-0000-0200-000032070000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3" name="$E$115">
            <a:extLst>
              <a:ext uri="{FF2B5EF4-FFF2-40B4-BE49-F238E27FC236}">
                <a16:creationId xmlns:a16="http://schemas.microsoft.com/office/drawing/2014/main" id="{00000000-0008-0000-0200-0000330700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4" name="$E$115">
            <a:extLst>
              <a:ext uri="{FF2B5EF4-FFF2-40B4-BE49-F238E27FC236}">
                <a16:creationId xmlns:a16="http://schemas.microsoft.com/office/drawing/2014/main" id="{00000000-0008-0000-0200-000034070000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5" name="$E$115">
            <a:extLst>
              <a:ext uri="{FF2B5EF4-FFF2-40B4-BE49-F238E27FC236}">
                <a16:creationId xmlns:a16="http://schemas.microsoft.com/office/drawing/2014/main" id="{00000000-0008-0000-0200-000035070000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6" name="$E$115">
            <a:extLst>
              <a:ext uri="{FF2B5EF4-FFF2-40B4-BE49-F238E27FC236}">
                <a16:creationId xmlns:a16="http://schemas.microsoft.com/office/drawing/2014/main" id="{00000000-0008-0000-0200-000036070000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7" name="$E$115">
            <a:extLst>
              <a:ext uri="{FF2B5EF4-FFF2-40B4-BE49-F238E27FC236}">
                <a16:creationId xmlns:a16="http://schemas.microsoft.com/office/drawing/2014/main" id="{00000000-0008-0000-0200-0000370700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8" name="$E$115">
            <a:extLst>
              <a:ext uri="{FF2B5EF4-FFF2-40B4-BE49-F238E27FC236}">
                <a16:creationId xmlns:a16="http://schemas.microsoft.com/office/drawing/2014/main" id="{00000000-0008-0000-0200-0000380700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9" name="$E$115">
            <a:extLst>
              <a:ext uri="{FF2B5EF4-FFF2-40B4-BE49-F238E27FC236}">
                <a16:creationId xmlns:a16="http://schemas.microsoft.com/office/drawing/2014/main" id="{00000000-0008-0000-0200-0000390700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0" name="$E$115">
            <a:extLst>
              <a:ext uri="{FF2B5EF4-FFF2-40B4-BE49-F238E27FC236}">
                <a16:creationId xmlns:a16="http://schemas.microsoft.com/office/drawing/2014/main" id="{00000000-0008-0000-0200-00003A0700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1" name="$E$115">
            <a:extLst>
              <a:ext uri="{FF2B5EF4-FFF2-40B4-BE49-F238E27FC236}">
                <a16:creationId xmlns:a16="http://schemas.microsoft.com/office/drawing/2014/main" id="{00000000-0008-0000-0200-00003B070000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2" name="$E$115">
            <a:extLst>
              <a:ext uri="{FF2B5EF4-FFF2-40B4-BE49-F238E27FC236}">
                <a16:creationId xmlns:a16="http://schemas.microsoft.com/office/drawing/2014/main" id="{00000000-0008-0000-0200-00003C0700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3" name="$E$115">
            <a:extLst>
              <a:ext uri="{FF2B5EF4-FFF2-40B4-BE49-F238E27FC236}">
                <a16:creationId xmlns:a16="http://schemas.microsoft.com/office/drawing/2014/main" id="{00000000-0008-0000-0200-00003D070000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4" name="$E$115">
            <a:extLst>
              <a:ext uri="{FF2B5EF4-FFF2-40B4-BE49-F238E27FC236}">
                <a16:creationId xmlns:a16="http://schemas.microsoft.com/office/drawing/2014/main" id="{00000000-0008-0000-0200-00003E07000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5" name="$E$115">
            <a:extLst>
              <a:ext uri="{FF2B5EF4-FFF2-40B4-BE49-F238E27FC236}">
                <a16:creationId xmlns:a16="http://schemas.microsoft.com/office/drawing/2014/main" id="{00000000-0008-0000-0200-00003F070000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6" name="$E$115">
            <a:extLst>
              <a:ext uri="{FF2B5EF4-FFF2-40B4-BE49-F238E27FC236}">
                <a16:creationId xmlns:a16="http://schemas.microsoft.com/office/drawing/2014/main" id="{00000000-0008-0000-0200-000040070000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7" name="$E$115">
            <a:extLst>
              <a:ext uri="{FF2B5EF4-FFF2-40B4-BE49-F238E27FC236}">
                <a16:creationId xmlns:a16="http://schemas.microsoft.com/office/drawing/2014/main" id="{00000000-0008-0000-0200-0000410700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8" name="$E$115">
            <a:extLst>
              <a:ext uri="{FF2B5EF4-FFF2-40B4-BE49-F238E27FC236}">
                <a16:creationId xmlns:a16="http://schemas.microsoft.com/office/drawing/2014/main" id="{00000000-0008-0000-0200-000042070000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9" name="$E$115">
            <a:extLst>
              <a:ext uri="{FF2B5EF4-FFF2-40B4-BE49-F238E27FC236}">
                <a16:creationId xmlns:a16="http://schemas.microsoft.com/office/drawing/2014/main" id="{00000000-0008-0000-0200-000043070000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0" name="$E$115">
            <a:extLst>
              <a:ext uri="{FF2B5EF4-FFF2-40B4-BE49-F238E27FC236}">
                <a16:creationId xmlns:a16="http://schemas.microsoft.com/office/drawing/2014/main" id="{00000000-0008-0000-0200-000044070000}"/>
              </a:ext>
            </a:extLst>
          </xdr:cNvPr>
          <xdr:cNvSpPr/>
        </xdr:nvSpPr>
        <xdr:spPr>
          <a:xfrm>
            <a:off x="12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1" name="$E$115">
            <a:extLst>
              <a:ext uri="{FF2B5EF4-FFF2-40B4-BE49-F238E27FC236}">
                <a16:creationId xmlns:a16="http://schemas.microsoft.com/office/drawing/2014/main" id="{00000000-0008-0000-0200-0000450700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2" name="$E$115">
            <a:extLst>
              <a:ext uri="{FF2B5EF4-FFF2-40B4-BE49-F238E27FC236}">
                <a16:creationId xmlns:a16="http://schemas.microsoft.com/office/drawing/2014/main" id="{00000000-0008-0000-0200-0000460700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3" name="$E$115">
            <a:extLst>
              <a:ext uri="{FF2B5EF4-FFF2-40B4-BE49-F238E27FC236}">
                <a16:creationId xmlns:a16="http://schemas.microsoft.com/office/drawing/2014/main" id="{00000000-0008-0000-0200-000047070000}"/>
              </a:ext>
            </a:extLst>
          </xdr:cNvPr>
          <xdr:cNvSpPr/>
        </xdr:nvSpPr>
        <xdr:spPr>
          <a:xfrm>
            <a:off x="50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4" name="$E$115">
            <a:extLst>
              <a:ext uri="{FF2B5EF4-FFF2-40B4-BE49-F238E27FC236}">
                <a16:creationId xmlns:a16="http://schemas.microsoft.com/office/drawing/2014/main" id="{00000000-0008-0000-0200-000048070000}"/>
              </a:ext>
            </a:extLst>
          </xdr:cNvPr>
          <xdr:cNvSpPr/>
        </xdr:nvSpPr>
        <xdr:spPr>
          <a:xfrm>
            <a:off x="63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5" name="$E$115">
            <a:extLst>
              <a:ext uri="{FF2B5EF4-FFF2-40B4-BE49-F238E27FC236}">
                <a16:creationId xmlns:a16="http://schemas.microsoft.com/office/drawing/2014/main" id="{00000000-0008-0000-0200-0000490700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6" name="$E$115">
            <a:extLst>
              <a:ext uri="{FF2B5EF4-FFF2-40B4-BE49-F238E27FC236}">
                <a16:creationId xmlns:a16="http://schemas.microsoft.com/office/drawing/2014/main" id="{00000000-0008-0000-0200-00004A0700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7" name="$E$115">
            <a:extLst>
              <a:ext uri="{FF2B5EF4-FFF2-40B4-BE49-F238E27FC236}">
                <a16:creationId xmlns:a16="http://schemas.microsoft.com/office/drawing/2014/main" id="{00000000-0008-0000-0200-00004B070000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8" name="$E$115">
            <a:extLst>
              <a:ext uri="{FF2B5EF4-FFF2-40B4-BE49-F238E27FC236}">
                <a16:creationId xmlns:a16="http://schemas.microsoft.com/office/drawing/2014/main" id="{00000000-0008-0000-0200-00004C070000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9" name="$E$115">
            <a:extLst>
              <a:ext uri="{FF2B5EF4-FFF2-40B4-BE49-F238E27FC236}">
                <a16:creationId xmlns:a16="http://schemas.microsoft.com/office/drawing/2014/main" id="{00000000-0008-0000-0200-00004D0700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0" name="$E$115">
            <a:extLst>
              <a:ext uri="{FF2B5EF4-FFF2-40B4-BE49-F238E27FC236}">
                <a16:creationId xmlns:a16="http://schemas.microsoft.com/office/drawing/2014/main" id="{00000000-0008-0000-0200-00004E070000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1" name="$E$115">
            <a:extLst>
              <a:ext uri="{FF2B5EF4-FFF2-40B4-BE49-F238E27FC236}">
                <a16:creationId xmlns:a16="http://schemas.microsoft.com/office/drawing/2014/main" id="{00000000-0008-0000-0200-00004F070000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2" name="$E$115">
            <a:extLst>
              <a:ext uri="{FF2B5EF4-FFF2-40B4-BE49-F238E27FC236}">
                <a16:creationId xmlns:a16="http://schemas.microsoft.com/office/drawing/2014/main" id="{00000000-0008-0000-0200-000050070000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3" name="$E$115">
            <a:extLst>
              <a:ext uri="{FF2B5EF4-FFF2-40B4-BE49-F238E27FC236}">
                <a16:creationId xmlns:a16="http://schemas.microsoft.com/office/drawing/2014/main" id="{00000000-0008-0000-0200-0000510700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4" name="$E$115">
            <a:extLst>
              <a:ext uri="{FF2B5EF4-FFF2-40B4-BE49-F238E27FC236}">
                <a16:creationId xmlns:a16="http://schemas.microsoft.com/office/drawing/2014/main" id="{00000000-0008-0000-0200-000052070000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5" name="$E$115">
            <a:extLst>
              <a:ext uri="{FF2B5EF4-FFF2-40B4-BE49-F238E27FC236}">
                <a16:creationId xmlns:a16="http://schemas.microsoft.com/office/drawing/2014/main" id="{00000000-0008-0000-0200-0000530700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6" name="$E$115">
            <a:extLst>
              <a:ext uri="{FF2B5EF4-FFF2-40B4-BE49-F238E27FC236}">
                <a16:creationId xmlns:a16="http://schemas.microsoft.com/office/drawing/2014/main" id="{00000000-0008-0000-0200-000054070000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7" name="$E$115">
            <a:extLst>
              <a:ext uri="{FF2B5EF4-FFF2-40B4-BE49-F238E27FC236}">
                <a16:creationId xmlns:a16="http://schemas.microsoft.com/office/drawing/2014/main" id="{00000000-0008-0000-0200-0000550700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8" name="$E$115">
            <a:extLst>
              <a:ext uri="{FF2B5EF4-FFF2-40B4-BE49-F238E27FC236}">
                <a16:creationId xmlns:a16="http://schemas.microsoft.com/office/drawing/2014/main" id="{00000000-0008-0000-0200-000056070000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9" name="$E$115">
            <a:extLst>
              <a:ext uri="{FF2B5EF4-FFF2-40B4-BE49-F238E27FC236}">
                <a16:creationId xmlns:a16="http://schemas.microsoft.com/office/drawing/2014/main" id="{00000000-0008-0000-0200-0000570700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0" name="$E$115">
            <a:extLst>
              <a:ext uri="{FF2B5EF4-FFF2-40B4-BE49-F238E27FC236}">
                <a16:creationId xmlns:a16="http://schemas.microsoft.com/office/drawing/2014/main" id="{00000000-0008-0000-0200-000058070000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1" name="$E$115">
            <a:extLst>
              <a:ext uri="{FF2B5EF4-FFF2-40B4-BE49-F238E27FC236}">
                <a16:creationId xmlns:a16="http://schemas.microsoft.com/office/drawing/2014/main" id="{00000000-0008-0000-0200-0000590700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2" name="$E$115">
            <a:extLst>
              <a:ext uri="{FF2B5EF4-FFF2-40B4-BE49-F238E27FC236}">
                <a16:creationId xmlns:a16="http://schemas.microsoft.com/office/drawing/2014/main" id="{00000000-0008-0000-0200-00005A070000}"/>
              </a:ext>
            </a:extLst>
          </xdr:cNvPr>
          <xdr:cNvSpPr/>
        </xdr:nvSpPr>
        <xdr:spPr>
          <a:xfrm>
            <a:off x="88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3" name="$E$115">
            <a:extLst>
              <a:ext uri="{FF2B5EF4-FFF2-40B4-BE49-F238E27FC236}">
                <a16:creationId xmlns:a16="http://schemas.microsoft.com/office/drawing/2014/main" id="{00000000-0008-0000-0200-00005B070000}"/>
              </a:ext>
            </a:extLst>
          </xdr:cNvPr>
          <xdr:cNvSpPr/>
        </xdr:nvSpPr>
        <xdr:spPr>
          <a:xfrm>
            <a:off x="101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4" name="$E$115">
            <a:extLst>
              <a:ext uri="{FF2B5EF4-FFF2-40B4-BE49-F238E27FC236}">
                <a16:creationId xmlns:a16="http://schemas.microsoft.com/office/drawing/2014/main" id="{00000000-0008-0000-0200-00005C070000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5" name="$E$115">
            <a:extLst>
              <a:ext uri="{FF2B5EF4-FFF2-40B4-BE49-F238E27FC236}">
                <a16:creationId xmlns:a16="http://schemas.microsoft.com/office/drawing/2014/main" id="{00000000-0008-0000-0200-00005D070000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6" name="$E$115">
            <a:extLst>
              <a:ext uri="{FF2B5EF4-FFF2-40B4-BE49-F238E27FC236}">
                <a16:creationId xmlns:a16="http://schemas.microsoft.com/office/drawing/2014/main" id="{00000000-0008-0000-0200-00005E070000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7" name="$E$115">
            <a:extLst>
              <a:ext uri="{FF2B5EF4-FFF2-40B4-BE49-F238E27FC236}">
                <a16:creationId xmlns:a16="http://schemas.microsoft.com/office/drawing/2014/main" id="{00000000-0008-0000-0200-00005F070000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8" name="$E$115">
            <a:extLst>
              <a:ext uri="{FF2B5EF4-FFF2-40B4-BE49-F238E27FC236}">
                <a16:creationId xmlns:a16="http://schemas.microsoft.com/office/drawing/2014/main" id="{00000000-0008-0000-0200-0000600700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9" name="$E$115">
            <a:extLst>
              <a:ext uri="{FF2B5EF4-FFF2-40B4-BE49-F238E27FC236}">
                <a16:creationId xmlns:a16="http://schemas.microsoft.com/office/drawing/2014/main" id="{00000000-0008-0000-0200-000061070000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0" name="$E$115">
            <a:extLst>
              <a:ext uri="{FF2B5EF4-FFF2-40B4-BE49-F238E27FC236}">
                <a16:creationId xmlns:a16="http://schemas.microsoft.com/office/drawing/2014/main" id="{00000000-0008-0000-0200-0000620700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1" name="$E$115">
            <a:extLst>
              <a:ext uri="{FF2B5EF4-FFF2-40B4-BE49-F238E27FC236}">
                <a16:creationId xmlns:a16="http://schemas.microsoft.com/office/drawing/2014/main" id="{00000000-0008-0000-0200-0000630700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2" name="$E$115">
            <a:extLst>
              <a:ext uri="{FF2B5EF4-FFF2-40B4-BE49-F238E27FC236}">
                <a16:creationId xmlns:a16="http://schemas.microsoft.com/office/drawing/2014/main" id="{00000000-0008-0000-0200-000064070000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3" name="$E$115">
            <a:extLst>
              <a:ext uri="{FF2B5EF4-FFF2-40B4-BE49-F238E27FC236}">
                <a16:creationId xmlns:a16="http://schemas.microsoft.com/office/drawing/2014/main" id="{00000000-0008-0000-0200-000065070000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4" name="$E$115">
            <a:extLst>
              <a:ext uri="{FF2B5EF4-FFF2-40B4-BE49-F238E27FC236}">
                <a16:creationId xmlns:a16="http://schemas.microsoft.com/office/drawing/2014/main" id="{00000000-0008-0000-0200-000066070000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5" name="$E$115">
            <a:extLst>
              <a:ext uri="{FF2B5EF4-FFF2-40B4-BE49-F238E27FC236}">
                <a16:creationId xmlns:a16="http://schemas.microsoft.com/office/drawing/2014/main" id="{00000000-0008-0000-0200-000067070000}"/>
              </a:ext>
            </a:extLst>
          </xdr:cNvPr>
          <xdr:cNvSpPr/>
        </xdr:nvSpPr>
        <xdr:spPr>
          <a:xfrm>
            <a:off x="25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6" name="$E$115">
            <a:extLst>
              <a:ext uri="{FF2B5EF4-FFF2-40B4-BE49-F238E27FC236}">
                <a16:creationId xmlns:a16="http://schemas.microsoft.com/office/drawing/2014/main" id="{00000000-0008-0000-0200-000068070000}"/>
              </a:ext>
            </a:extLst>
          </xdr:cNvPr>
          <xdr:cNvSpPr/>
        </xdr:nvSpPr>
        <xdr:spPr>
          <a:xfrm>
            <a:off x="38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7" name="$E$115">
            <a:extLst>
              <a:ext uri="{FF2B5EF4-FFF2-40B4-BE49-F238E27FC236}">
                <a16:creationId xmlns:a16="http://schemas.microsoft.com/office/drawing/2014/main" id="{00000000-0008-0000-0200-000069070000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8" name="$E$115">
            <a:extLst>
              <a:ext uri="{FF2B5EF4-FFF2-40B4-BE49-F238E27FC236}">
                <a16:creationId xmlns:a16="http://schemas.microsoft.com/office/drawing/2014/main" id="{00000000-0008-0000-0200-00006A0700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9" name="$E$115">
            <a:extLst>
              <a:ext uri="{FF2B5EF4-FFF2-40B4-BE49-F238E27FC236}">
                <a16:creationId xmlns:a16="http://schemas.microsoft.com/office/drawing/2014/main" id="{00000000-0008-0000-0200-00006B070000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0" name="$E$115">
            <a:extLst>
              <a:ext uri="{FF2B5EF4-FFF2-40B4-BE49-F238E27FC236}">
                <a16:creationId xmlns:a16="http://schemas.microsoft.com/office/drawing/2014/main" id="{00000000-0008-0000-0200-00006C070000}"/>
              </a:ext>
            </a:extLst>
          </xdr:cNvPr>
          <xdr:cNvSpPr/>
        </xdr:nvSpPr>
        <xdr:spPr>
          <a:xfrm>
            <a:off x="165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1" name="$E$115">
            <a:extLst>
              <a:ext uri="{FF2B5EF4-FFF2-40B4-BE49-F238E27FC236}">
                <a16:creationId xmlns:a16="http://schemas.microsoft.com/office/drawing/2014/main" id="{00000000-0008-0000-0200-00006D070000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2" name="$E$115">
            <a:extLst>
              <a:ext uri="{FF2B5EF4-FFF2-40B4-BE49-F238E27FC236}">
                <a16:creationId xmlns:a16="http://schemas.microsoft.com/office/drawing/2014/main" id="{00000000-0008-0000-0200-00006E070000}"/>
              </a:ext>
            </a:extLst>
          </xdr:cNvPr>
          <xdr:cNvSpPr/>
        </xdr:nvSpPr>
        <xdr:spPr>
          <a:xfrm>
            <a:off x="215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3" name="$E$115">
            <a:extLst>
              <a:ext uri="{FF2B5EF4-FFF2-40B4-BE49-F238E27FC236}">
                <a16:creationId xmlns:a16="http://schemas.microsoft.com/office/drawing/2014/main" id="{00000000-0008-0000-0200-00006F0700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4" name="$E$115">
            <a:extLst>
              <a:ext uri="{FF2B5EF4-FFF2-40B4-BE49-F238E27FC236}">
                <a16:creationId xmlns:a16="http://schemas.microsoft.com/office/drawing/2014/main" id="{00000000-0008-0000-0200-0000700700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5" name="$E$115">
            <a:extLst>
              <a:ext uri="{FF2B5EF4-FFF2-40B4-BE49-F238E27FC236}">
                <a16:creationId xmlns:a16="http://schemas.microsoft.com/office/drawing/2014/main" id="{00000000-0008-0000-0200-000071070000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6" name="$E$115">
            <a:extLst>
              <a:ext uri="{FF2B5EF4-FFF2-40B4-BE49-F238E27FC236}">
                <a16:creationId xmlns:a16="http://schemas.microsoft.com/office/drawing/2014/main" id="{00000000-0008-0000-0200-000072070000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7" name="$E$115">
            <a:extLst>
              <a:ext uri="{FF2B5EF4-FFF2-40B4-BE49-F238E27FC236}">
                <a16:creationId xmlns:a16="http://schemas.microsoft.com/office/drawing/2014/main" id="{00000000-0008-0000-0200-000073070000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8" name="$E$115">
            <a:extLst>
              <a:ext uri="{FF2B5EF4-FFF2-40B4-BE49-F238E27FC236}">
                <a16:creationId xmlns:a16="http://schemas.microsoft.com/office/drawing/2014/main" id="{00000000-0008-0000-0200-000074070000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9" name="$E$115">
            <a:extLst>
              <a:ext uri="{FF2B5EF4-FFF2-40B4-BE49-F238E27FC236}">
                <a16:creationId xmlns:a16="http://schemas.microsoft.com/office/drawing/2014/main" id="{00000000-0008-0000-0200-0000750700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0" name="$E$115">
            <a:extLst>
              <a:ext uri="{FF2B5EF4-FFF2-40B4-BE49-F238E27FC236}">
                <a16:creationId xmlns:a16="http://schemas.microsoft.com/office/drawing/2014/main" id="{00000000-0008-0000-0200-000076070000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1" name="$E$115">
            <a:extLst>
              <a:ext uri="{FF2B5EF4-FFF2-40B4-BE49-F238E27FC236}">
                <a16:creationId xmlns:a16="http://schemas.microsoft.com/office/drawing/2014/main" id="{00000000-0008-0000-0200-000077070000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2" name="$E$115">
            <a:extLst>
              <a:ext uri="{FF2B5EF4-FFF2-40B4-BE49-F238E27FC236}">
                <a16:creationId xmlns:a16="http://schemas.microsoft.com/office/drawing/2014/main" id="{00000000-0008-0000-0200-000078070000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3" name="$E$115">
            <a:extLst>
              <a:ext uri="{FF2B5EF4-FFF2-40B4-BE49-F238E27FC236}">
                <a16:creationId xmlns:a16="http://schemas.microsoft.com/office/drawing/2014/main" id="{00000000-0008-0000-0200-0000790700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4" name="$E$115">
            <a:extLst>
              <a:ext uri="{FF2B5EF4-FFF2-40B4-BE49-F238E27FC236}">
                <a16:creationId xmlns:a16="http://schemas.microsoft.com/office/drawing/2014/main" id="{00000000-0008-0000-0200-00007A0700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5" name="$E$115">
            <a:extLst>
              <a:ext uri="{FF2B5EF4-FFF2-40B4-BE49-F238E27FC236}">
                <a16:creationId xmlns:a16="http://schemas.microsoft.com/office/drawing/2014/main" id="{00000000-0008-0000-0200-00007B0700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6" name="$E$115">
            <a:extLst>
              <a:ext uri="{FF2B5EF4-FFF2-40B4-BE49-F238E27FC236}">
                <a16:creationId xmlns:a16="http://schemas.microsoft.com/office/drawing/2014/main" id="{00000000-0008-0000-0200-00007C0700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7" name="$E$115">
            <a:extLst>
              <a:ext uri="{FF2B5EF4-FFF2-40B4-BE49-F238E27FC236}">
                <a16:creationId xmlns:a16="http://schemas.microsoft.com/office/drawing/2014/main" id="{00000000-0008-0000-0200-00007D0700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8" name="$E$115">
            <a:extLst>
              <a:ext uri="{FF2B5EF4-FFF2-40B4-BE49-F238E27FC236}">
                <a16:creationId xmlns:a16="http://schemas.microsoft.com/office/drawing/2014/main" id="{00000000-0008-0000-0200-00007E070000}"/>
              </a:ext>
            </a:extLst>
          </xdr:cNvPr>
          <xdr:cNvSpPr/>
        </xdr:nvSpPr>
        <xdr:spPr>
          <a:xfrm>
            <a:off x="139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9" name="$E$115">
            <a:extLst>
              <a:ext uri="{FF2B5EF4-FFF2-40B4-BE49-F238E27FC236}">
                <a16:creationId xmlns:a16="http://schemas.microsoft.com/office/drawing/2014/main" id="{00000000-0008-0000-0200-00007F0700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0" name="$E$115">
            <a:extLst>
              <a:ext uri="{FF2B5EF4-FFF2-40B4-BE49-F238E27FC236}">
                <a16:creationId xmlns:a16="http://schemas.microsoft.com/office/drawing/2014/main" id="{00000000-0008-0000-0200-000080070000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1" name="$E$115">
            <a:extLst>
              <a:ext uri="{FF2B5EF4-FFF2-40B4-BE49-F238E27FC236}">
                <a16:creationId xmlns:a16="http://schemas.microsoft.com/office/drawing/2014/main" id="{00000000-0008-0000-0200-000081070000}"/>
              </a:ext>
            </a:extLst>
          </xdr:cNvPr>
          <xdr:cNvSpPr/>
        </xdr:nvSpPr>
        <xdr:spPr>
          <a:xfrm>
            <a:off x="177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2" name="$E$115">
            <a:extLst>
              <a:ext uri="{FF2B5EF4-FFF2-40B4-BE49-F238E27FC236}">
                <a16:creationId xmlns:a16="http://schemas.microsoft.com/office/drawing/2014/main" id="{00000000-0008-0000-0200-0000820700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3" name="$E$115">
            <a:extLst>
              <a:ext uri="{FF2B5EF4-FFF2-40B4-BE49-F238E27FC236}">
                <a16:creationId xmlns:a16="http://schemas.microsoft.com/office/drawing/2014/main" id="{00000000-0008-0000-0200-0000830700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4" name="$E$115">
            <a:extLst>
              <a:ext uri="{FF2B5EF4-FFF2-40B4-BE49-F238E27FC236}">
                <a16:creationId xmlns:a16="http://schemas.microsoft.com/office/drawing/2014/main" id="{00000000-0008-0000-0200-000084070000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5" name="$E$115">
            <a:extLst>
              <a:ext uri="{FF2B5EF4-FFF2-40B4-BE49-F238E27FC236}">
                <a16:creationId xmlns:a16="http://schemas.microsoft.com/office/drawing/2014/main" id="{00000000-0008-0000-0200-0000850700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6" name="$E$115">
            <a:extLst>
              <a:ext uri="{FF2B5EF4-FFF2-40B4-BE49-F238E27FC236}">
                <a16:creationId xmlns:a16="http://schemas.microsoft.com/office/drawing/2014/main" id="{00000000-0008-0000-0200-000086070000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7" name="$E$115">
            <a:extLst>
              <a:ext uri="{FF2B5EF4-FFF2-40B4-BE49-F238E27FC236}">
                <a16:creationId xmlns:a16="http://schemas.microsoft.com/office/drawing/2014/main" id="{00000000-0008-0000-0200-000087070000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8" name="$E$115">
            <a:extLst>
              <a:ext uri="{FF2B5EF4-FFF2-40B4-BE49-F238E27FC236}">
                <a16:creationId xmlns:a16="http://schemas.microsoft.com/office/drawing/2014/main" id="{00000000-0008-0000-0200-000088070000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9" name="$E$115">
            <a:extLst>
              <a:ext uri="{FF2B5EF4-FFF2-40B4-BE49-F238E27FC236}">
                <a16:creationId xmlns:a16="http://schemas.microsoft.com/office/drawing/2014/main" id="{00000000-0008-0000-0200-0000890700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0" name="$E$115">
            <a:extLst>
              <a:ext uri="{FF2B5EF4-FFF2-40B4-BE49-F238E27FC236}">
                <a16:creationId xmlns:a16="http://schemas.microsoft.com/office/drawing/2014/main" id="{00000000-0008-0000-0200-00008A070000}"/>
              </a:ext>
            </a:extLst>
          </xdr:cNvPr>
          <xdr:cNvSpPr/>
        </xdr:nvSpPr>
        <xdr:spPr>
          <a:xfrm>
            <a:off x="25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1" name="$E$115">
            <a:extLst>
              <a:ext uri="{FF2B5EF4-FFF2-40B4-BE49-F238E27FC236}">
                <a16:creationId xmlns:a16="http://schemas.microsoft.com/office/drawing/2014/main" id="{00000000-0008-0000-0200-00008B070000}"/>
              </a:ext>
            </a:extLst>
          </xdr:cNvPr>
          <xdr:cNvSpPr/>
        </xdr:nvSpPr>
        <xdr:spPr>
          <a:xfrm>
            <a:off x="38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2" name="$E$115">
            <a:extLst>
              <a:ext uri="{FF2B5EF4-FFF2-40B4-BE49-F238E27FC236}">
                <a16:creationId xmlns:a16="http://schemas.microsoft.com/office/drawing/2014/main" id="{00000000-0008-0000-0200-00008C070000}"/>
              </a:ext>
            </a:extLst>
          </xdr:cNvPr>
          <xdr:cNvSpPr/>
        </xdr:nvSpPr>
        <xdr:spPr>
          <a:xfrm>
            <a:off x="63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3" name="$E$115">
            <a:extLst>
              <a:ext uri="{FF2B5EF4-FFF2-40B4-BE49-F238E27FC236}">
                <a16:creationId xmlns:a16="http://schemas.microsoft.com/office/drawing/2014/main" id="{00000000-0008-0000-0200-00008D070000}"/>
              </a:ext>
            </a:extLst>
          </xdr:cNvPr>
          <xdr:cNvSpPr/>
        </xdr:nvSpPr>
        <xdr:spPr>
          <a:xfrm>
            <a:off x="88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4" name="$E$115">
            <a:extLst>
              <a:ext uri="{FF2B5EF4-FFF2-40B4-BE49-F238E27FC236}">
                <a16:creationId xmlns:a16="http://schemas.microsoft.com/office/drawing/2014/main" id="{00000000-0008-0000-0200-00008E0700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5" name="$E$115">
            <a:extLst>
              <a:ext uri="{FF2B5EF4-FFF2-40B4-BE49-F238E27FC236}">
                <a16:creationId xmlns:a16="http://schemas.microsoft.com/office/drawing/2014/main" id="{00000000-0008-0000-0200-00008F070000}"/>
              </a:ext>
            </a:extLst>
          </xdr:cNvPr>
          <xdr:cNvSpPr/>
        </xdr:nvSpPr>
        <xdr:spPr>
          <a:xfrm>
            <a:off x="114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6" name="$E$115">
            <a:extLst>
              <a:ext uri="{FF2B5EF4-FFF2-40B4-BE49-F238E27FC236}">
                <a16:creationId xmlns:a16="http://schemas.microsoft.com/office/drawing/2014/main" id="{00000000-0008-0000-0200-000090070000}"/>
              </a:ext>
            </a:extLst>
          </xdr:cNvPr>
          <xdr:cNvSpPr/>
        </xdr:nvSpPr>
        <xdr:spPr>
          <a:xfrm>
            <a:off x="127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7" name="$E$115">
            <a:extLst>
              <a:ext uri="{FF2B5EF4-FFF2-40B4-BE49-F238E27FC236}">
                <a16:creationId xmlns:a16="http://schemas.microsoft.com/office/drawing/2014/main" id="{00000000-0008-0000-0200-000091070000}"/>
              </a:ext>
            </a:extLst>
          </xdr:cNvPr>
          <xdr:cNvSpPr/>
        </xdr:nvSpPr>
        <xdr:spPr>
          <a:xfrm>
            <a:off x="139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8" name="$E$115">
            <a:extLst>
              <a:ext uri="{FF2B5EF4-FFF2-40B4-BE49-F238E27FC236}">
                <a16:creationId xmlns:a16="http://schemas.microsoft.com/office/drawing/2014/main" id="{00000000-0008-0000-0200-0000920700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9" name="$E$115">
            <a:extLst>
              <a:ext uri="{FF2B5EF4-FFF2-40B4-BE49-F238E27FC236}">
                <a16:creationId xmlns:a16="http://schemas.microsoft.com/office/drawing/2014/main" id="{00000000-0008-0000-0200-000093070000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0" name="$E$115">
            <a:extLst>
              <a:ext uri="{FF2B5EF4-FFF2-40B4-BE49-F238E27FC236}">
                <a16:creationId xmlns:a16="http://schemas.microsoft.com/office/drawing/2014/main" id="{00000000-0008-0000-0200-0000940700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1" name="$E$115">
            <a:extLst>
              <a:ext uri="{FF2B5EF4-FFF2-40B4-BE49-F238E27FC236}">
                <a16:creationId xmlns:a16="http://schemas.microsoft.com/office/drawing/2014/main" id="{00000000-0008-0000-0200-000095070000}"/>
              </a:ext>
            </a:extLst>
          </xdr:cNvPr>
          <xdr:cNvSpPr/>
        </xdr:nvSpPr>
        <xdr:spPr>
          <a:xfrm>
            <a:off x="228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2" name="$E$115">
            <a:extLst>
              <a:ext uri="{FF2B5EF4-FFF2-40B4-BE49-F238E27FC236}">
                <a16:creationId xmlns:a16="http://schemas.microsoft.com/office/drawing/2014/main" id="{00000000-0008-0000-0200-0000960700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3" name="$E$115">
            <a:extLst>
              <a:ext uri="{FF2B5EF4-FFF2-40B4-BE49-F238E27FC236}">
                <a16:creationId xmlns:a16="http://schemas.microsoft.com/office/drawing/2014/main" id="{00000000-0008-0000-0200-000097070000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4" name="$E$115">
            <a:extLst>
              <a:ext uri="{FF2B5EF4-FFF2-40B4-BE49-F238E27FC236}">
                <a16:creationId xmlns:a16="http://schemas.microsoft.com/office/drawing/2014/main" id="{00000000-0008-0000-0200-000098070000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5" name="$E$115">
            <a:extLst>
              <a:ext uri="{FF2B5EF4-FFF2-40B4-BE49-F238E27FC236}">
                <a16:creationId xmlns:a16="http://schemas.microsoft.com/office/drawing/2014/main" id="{00000000-0008-0000-0200-0000990700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6" name="$E$115">
            <a:extLst>
              <a:ext uri="{FF2B5EF4-FFF2-40B4-BE49-F238E27FC236}">
                <a16:creationId xmlns:a16="http://schemas.microsoft.com/office/drawing/2014/main" id="{00000000-0008-0000-0200-00009A070000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7" name="$E$115">
            <a:extLst>
              <a:ext uri="{FF2B5EF4-FFF2-40B4-BE49-F238E27FC236}">
                <a16:creationId xmlns:a16="http://schemas.microsoft.com/office/drawing/2014/main" id="{00000000-0008-0000-0200-00009B070000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8" name="$E$115">
            <a:extLst>
              <a:ext uri="{FF2B5EF4-FFF2-40B4-BE49-F238E27FC236}">
                <a16:creationId xmlns:a16="http://schemas.microsoft.com/office/drawing/2014/main" id="{00000000-0008-0000-0200-00009C0700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9" name="$E$115">
            <a:extLst>
              <a:ext uri="{FF2B5EF4-FFF2-40B4-BE49-F238E27FC236}">
                <a16:creationId xmlns:a16="http://schemas.microsoft.com/office/drawing/2014/main" id="{00000000-0008-0000-0200-00009D0700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0" name="$E$115">
            <a:extLst>
              <a:ext uri="{FF2B5EF4-FFF2-40B4-BE49-F238E27FC236}">
                <a16:creationId xmlns:a16="http://schemas.microsoft.com/office/drawing/2014/main" id="{00000000-0008-0000-0200-00009E0700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1" name="$E$115">
            <a:extLst>
              <a:ext uri="{FF2B5EF4-FFF2-40B4-BE49-F238E27FC236}">
                <a16:creationId xmlns:a16="http://schemas.microsoft.com/office/drawing/2014/main" id="{00000000-0008-0000-0200-00009F070000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2" name="$E$115">
            <a:extLst>
              <a:ext uri="{FF2B5EF4-FFF2-40B4-BE49-F238E27FC236}">
                <a16:creationId xmlns:a16="http://schemas.microsoft.com/office/drawing/2014/main" id="{00000000-0008-0000-0200-0000A00700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3" name="$E$115">
            <a:extLst>
              <a:ext uri="{FF2B5EF4-FFF2-40B4-BE49-F238E27FC236}">
                <a16:creationId xmlns:a16="http://schemas.microsoft.com/office/drawing/2014/main" id="{00000000-0008-0000-0200-0000A10700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4" name="$E$115">
            <a:extLst>
              <a:ext uri="{FF2B5EF4-FFF2-40B4-BE49-F238E27FC236}">
                <a16:creationId xmlns:a16="http://schemas.microsoft.com/office/drawing/2014/main" id="{00000000-0008-0000-0200-0000A20700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5" name="$E$115">
            <a:extLst>
              <a:ext uri="{FF2B5EF4-FFF2-40B4-BE49-F238E27FC236}">
                <a16:creationId xmlns:a16="http://schemas.microsoft.com/office/drawing/2014/main" id="{00000000-0008-0000-0200-0000A30700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6" name="$E$115">
            <a:extLst>
              <a:ext uri="{FF2B5EF4-FFF2-40B4-BE49-F238E27FC236}">
                <a16:creationId xmlns:a16="http://schemas.microsoft.com/office/drawing/2014/main" id="{00000000-0008-0000-0200-0000A40700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7" name="$E$115">
            <a:extLst>
              <a:ext uri="{FF2B5EF4-FFF2-40B4-BE49-F238E27FC236}">
                <a16:creationId xmlns:a16="http://schemas.microsoft.com/office/drawing/2014/main" id="{00000000-0008-0000-0200-0000A50700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8" name="$E$115">
            <a:extLst>
              <a:ext uri="{FF2B5EF4-FFF2-40B4-BE49-F238E27FC236}">
                <a16:creationId xmlns:a16="http://schemas.microsoft.com/office/drawing/2014/main" id="{00000000-0008-0000-0200-0000A60700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9" name="$E$115">
            <a:extLst>
              <a:ext uri="{FF2B5EF4-FFF2-40B4-BE49-F238E27FC236}">
                <a16:creationId xmlns:a16="http://schemas.microsoft.com/office/drawing/2014/main" id="{00000000-0008-0000-0200-0000A70700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0" name="$E$115">
            <a:extLst>
              <a:ext uri="{FF2B5EF4-FFF2-40B4-BE49-F238E27FC236}">
                <a16:creationId xmlns:a16="http://schemas.microsoft.com/office/drawing/2014/main" id="{00000000-0008-0000-0200-0000A80700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1" name="$E$115">
            <a:extLst>
              <a:ext uri="{FF2B5EF4-FFF2-40B4-BE49-F238E27FC236}">
                <a16:creationId xmlns:a16="http://schemas.microsoft.com/office/drawing/2014/main" id="{00000000-0008-0000-0200-0000A9070000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2" name="$E$115">
            <a:extLst>
              <a:ext uri="{FF2B5EF4-FFF2-40B4-BE49-F238E27FC236}">
                <a16:creationId xmlns:a16="http://schemas.microsoft.com/office/drawing/2014/main" id="{00000000-0008-0000-0200-0000AA0700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3" name="$E$115">
            <a:extLst>
              <a:ext uri="{FF2B5EF4-FFF2-40B4-BE49-F238E27FC236}">
                <a16:creationId xmlns:a16="http://schemas.microsoft.com/office/drawing/2014/main" id="{00000000-0008-0000-0200-0000AB0700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4" name="$E$115">
            <a:extLst>
              <a:ext uri="{FF2B5EF4-FFF2-40B4-BE49-F238E27FC236}">
                <a16:creationId xmlns:a16="http://schemas.microsoft.com/office/drawing/2014/main" id="{00000000-0008-0000-0200-0000AC0700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5" name="$E$115">
            <a:extLst>
              <a:ext uri="{FF2B5EF4-FFF2-40B4-BE49-F238E27FC236}">
                <a16:creationId xmlns:a16="http://schemas.microsoft.com/office/drawing/2014/main" id="{00000000-0008-0000-0200-0000AD070000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6" name="$E$115">
            <a:extLst>
              <a:ext uri="{FF2B5EF4-FFF2-40B4-BE49-F238E27FC236}">
                <a16:creationId xmlns:a16="http://schemas.microsoft.com/office/drawing/2014/main" id="{00000000-0008-0000-0200-0000AE0700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7" name="$E$115">
            <a:extLst>
              <a:ext uri="{FF2B5EF4-FFF2-40B4-BE49-F238E27FC236}">
                <a16:creationId xmlns:a16="http://schemas.microsoft.com/office/drawing/2014/main" id="{00000000-0008-0000-0200-0000AF070000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8" name="$E$115">
            <a:extLst>
              <a:ext uri="{FF2B5EF4-FFF2-40B4-BE49-F238E27FC236}">
                <a16:creationId xmlns:a16="http://schemas.microsoft.com/office/drawing/2014/main" id="{00000000-0008-0000-0200-0000B0070000}"/>
              </a:ext>
            </a:extLst>
          </xdr:cNvPr>
          <xdr:cNvSpPr/>
        </xdr:nvSpPr>
        <xdr:spPr>
          <a:xfrm>
            <a:off x="127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9" name="$E$115">
            <a:extLst>
              <a:ext uri="{FF2B5EF4-FFF2-40B4-BE49-F238E27FC236}">
                <a16:creationId xmlns:a16="http://schemas.microsoft.com/office/drawing/2014/main" id="{00000000-0008-0000-0200-0000B1070000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0" name="$E$115">
            <a:extLst>
              <a:ext uri="{FF2B5EF4-FFF2-40B4-BE49-F238E27FC236}">
                <a16:creationId xmlns:a16="http://schemas.microsoft.com/office/drawing/2014/main" id="{00000000-0008-0000-0200-0000B20700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1" name="$E$115">
            <a:extLst>
              <a:ext uri="{FF2B5EF4-FFF2-40B4-BE49-F238E27FC236}">
                <a16:creationId xmlns:a16="http://schemas.microsoft.com/office/drawing/2014/main" id="{00000000-0008-0000-0200-0000B30700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2" name="$E$115">
            <a:extLst>
              <a:ext uri="{FF2B5EF4-FFF2-40B4-BE49-F238E27FC236}">
                <a16:creationId xmlns:a16="http://schemas.microsoft.com/office/drawing/2014/main" id="{00000000-0008-0000-0200-0000B4070000}"/>
              </a:ext>
            </a:extLst>
          </xdr:cNvPr>
          <xdr:cNvSpPr/>
        </xdr:nvSpPr>
        <xdr:spPr>
          <a:xfrm>
            <a:off x="215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3" name="$E$115">
            <a:extLst>
              <a:ext uri="{FF2B5EF4-FFF2-40B4-BE49-F238E27FC236}">
                <a16:creationId xmlns:a16="http://schemas.microsoft.com/office/drawing/2014/main" id="{00000000-0008-0000-0200-0000B50700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4" name="$E$115">
            <a:extLst>
              <a:ext uri="{FF2B5EF4-FFF2-40B4-BE49-F238E27FC236}">
                <a16:creationId xmlns:a16="http://schemas.microsoft.com/office/drawing/2014/main" id="{00000000-0008-0000-0200-0000B60700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5" name="$E$115">
            <a:extLst>
              <a:ext uri="{FF2B5EF4-FFF2-40B4-BE49-F238E27FC236}">
                <a16:creationId xmlns:a16="http://schemas.microsoft.com/office/drawing/2014/main" id="{00000000-0008-0000-0200-0000B70700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6" name="$E$115">
            <a:extLst>
              <a:ext uri="{FF2B5EF4-FFF2-40B4-BE49-F238E27FC236}">
                <a16:creationId xmlns:a16="http://schemas.microsoft.com/office/drawing/2014/main" id="{00000000-0008-0000-0200-0000B80700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7" name="$E$115">
            <a:extLst>
              <a:ext uri="{FF2B5EF4-FFF2-40B4-BE49-F238E27FC236}">
                <a16:creationId xmlns:a16="http://schemas.microsoft.com/office/drawing/2014/main" id="{00000000-0008-0000-0200-0000B9070000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8" name="$E$115">
            <a:extLst>
              <a:ext uri="{FF2B5EF4-FFF2-40B4-BE49-F238E27FC236}">
                <a16:creationId xmlns:a16="http://schemas.microsoft.com/office/drawing/2014/main" id="{00000000-0008-0000-0200-0000BA070000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9" name="$E$115">
            <a:extLst>
              <a:ext uri="{FF2B5EF4-FFF2-40B4-BE49-F238E27FC236}">
                <a16:creationId xmlns:a16="http://schemas.microsoft.com/office/drawing/2014/main" id="{00000000-0008-0000-0200-0000BB070000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0" name="$E$115">
            <a:extLst>
              <a:ext uri="{FF2B5EF4-FFF2-40B4-BE49-F238E27FC236}">
                <a16:creationId xmlns:a16="http://schemas.microsoft.com/office/drawing/2014/main" id="{00000000-0008-0000-0200-0000BC070000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1" name="$E$115">
            <a:extLst>
              <a:ext uri="{FF2B5EF4-FFF2-40B4-BE49-F238E27FC236}">
                <a16:creationId xmlns:a16="http://schemas.microsoft.com/office/drawing/2014/main" id="{00000000-0008-0000-0200-0000BD070000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2" name="$E$115">
            <a:extLst>
              <a:ext uri="{FF2B5EF4-FFF2-40B4-BE49-F238E27FC236}">
                <a16:creationId xmlns:a16="http://schemas.microsoft.com/office/drawing/2014/main" id="{00000000-0008-0000-0200-0000BE0700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3" name="$E$115">
            <a:extLst>
              <a:ext uri="{FF2B5EF4-FFF2-40B4-BE49-F238E27FC236}">
                <a16:creationId xmlns:a16="http://schemas.microsoft.com/office/drawing/2014/main" id="{00000000-0008-0000-0200-0000BF070000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4" name="$E$115">
            <a:extLst>
              <a:ext uri="{FF2B5EF4-FFF2-40B4-BE49-F238E27FC236}">
                <a16:creationId xmlns:a16="http://schemas.microsoft.com/office/drawing/2014/main" id="{00000000-0008-0000-0200-0000C00700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5" name="$E$115">
            <a:extLst>
              <a:ext uri="{FF2B5EF4-FFF2-40B4-BE49-F238E27FC236}">
                <a16:creationId xmlns:a16="http://schemas.microsoft.com/office/drawing/2014/main" id="{00000000-0008-0000-0200-0000C10700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6" name="$E$115">
            <a:extLst>
              <a:ext uri="{FF2B5EF4-FFF2-40B4-BE49-F238E27FC236}">
                <a16:creationId xmlns:a16="http://schemas.microsoft.com/office/drawing/2014/main" id="{00000000-0008-0000-0200-0000C20700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7" name="$E$115">
            <a:extLst>
              <a:ext uri="{FF2B5EF4-FFF2-40B4-BE49-F238E27FC236}">
                <a16:creationId xmlns:a16="http://schemas.microsoft.com/office/drawing/2014/main" id="{00000000-0008-0000-0200-0000C3070000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8" name="$E$115">
            <a:extLst>
              <a:ext uri="{FF2B5EF4-FFF2-40B4-BE49-F238E27FC236}">
                <a16:creationId xmlns:a16="http://schemas.microsoft.com/office/drawing/2014/main" id="{00000000-0008-0000-0200-0000C40700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9" name="$E$115">
            <a:extLst>
              <a:ext uri="{FF2B5EF4-FFF2-40B4-BE49-F238E27FC236}">
                <a16:creationId xmlns:a16="http://schemas.microsoft.com/office/drawing/2014/main" id="{00000000-0008-0000-0200-0000C5070000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0" name="$E$115">
            <a:extLst>
              <a:ext uri="{FF2B5EF4-FFF2-40B4-BE49-F238E27FC236}">
                <a16:creationId xmlns:a16="http://schemas.microsoft.com/office/drawing/2014/main" id="{00000000-0008-0000-0200-0000C6070000}"/>
              </a:ext>
            </a:extLst>
          </xdr:cNvPr>
          <xdr:cNvSpPr/>
        </xdr:nvSpPr>
        <xdr:spPr>
          <a:xfrm>
            <a:off x="114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1" name="$E$115">
            <a:extLst>
              <a:ext uri="{FF2B5EF4-FFF2-40B4-BE49-F238E27FC236}">
                <a16:creationId xmlns:a16="http://schemas.microsoft.com/office/drawing/2014/main" id="{00000000-0008-0000-0200-0000C70700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2" name="$E$115">
            <a:extLst>
              <a:ext uri="{FF2B5EF4-FFF2-40B4-BE49-F238E27FC236}">
                <a16:creationId xmlns:a16="http://schemas.microsoft.com/office/drawing/2014/main" id="{00000000-0008-0000-0200-0000C8070000}"/>
              </a:ext>
            </a:extLst>
          </xdr:cNvPr>
          <xdr:cNvSpPr/>
        </xdr:nvSpPr>
        <xdr:spPr>
          <a:xfrm>
            <a:off x="177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3" name="$E$115">
            <a:extLst>
              <a:ext uri="{FF2B5EF4-FFF2-40B4-BE49-F238E27FC236}">
                <a16:creationId xmlns:a16="http://schemas.microsoft.com/office/drawing/2014/main" id="{00000000-0008-0000-0200-0000C90700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4" name="$E$115">
            <a:extLst>
              <a:ext uri="{FF2B5EF4-FFF2-40B4-BE49-F238E27FC236}">
                <a16:creationId xmlns:a16="http://schemas.microsoft.com/office/drawing/2014/main" id="{00000000-0008-0000-0200-0000CA070000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5" name="$E$115">
            <a:extLst>
              <a:ext uri="{FF2B5EF4-FFF2-40B4-BE49-F238E27FC236}">
                <a16:creationId xmlns:a16="http://schemas.microsoft.com/office/drawing/2014/main" id="{00000000-0008-0000-0200-0000CB070000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6" name="$E$115">
            <a:extLst>
              <a:ext uri="{FF2B5EF4-FFF2-40B4-BE49-F238E27FC236}">
                <a16:creationId xmlns:a16="http://schemas.microsoft.com/office/drawing/2014/main" id="{00000000-0008-0000-0200-0000CC0700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7" name="$E$115">
            <a:extLst>
              <a:ext uri="{FF2B5EF4-FFF2-40B4-BE49-F238E27FC236}">
                <a16:creationId xmlns:a16="http://schemas.microsoft.com/office/drawing/2014/main" id="{00000000-0008-0000-0200-0000CD070000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8" name="$E$115">
            <a:extLst>
              <a:ext uri="{FF2B5EF4-FFF2-40B4-BE49-F238E27FC236}">
                <a16:creationId xmlns:a16="http://schemas.microsoft.com/office/drawing/2014/main" id="{00000000-0008-0000-0200-0000CE0700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9" name="$E$115">
            <a:extLst>
              <a:ext uri="{FF2B5EF4-FFF2-40B4-BE49-F238E27FC236}">
                <a16:creationId xmlns:a16="http://schemas.microsoft.com/office/drawing/2014/main" id="{00000000-0008-0000-0200-0000CF0700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0" name="$E$115">
            <a:extLst>
              <a:ext uri="{FF2B5EF4-FFF2-40B4-BE49-F238E27FC236}">
                <a16:creationId xmlns:a16="http://schemas.microsoft.com/office/drawing/2014/main" id="{00000000-0008-0000-0200-0000D0070000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1" name="$E$115">
            <a:extLst>
              <a:ext uri="{FF2B5EF4-FFF2-40B4-BE49-F238E27FC236}">
                <a16:creationId xmlns:a16="http://schemas.microsoft.com/office/drawing/2014/main" id="{00000000-0008-0000-0200-0000D1070000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2" name="$E$115">
            <a:extLst>
              <a:ext uri="{FF2B5EF4-FFF2-40B4-BE49-F238E27FC236}">
                <a16:creationId xmlns:a16="http://schemas.microsoft.com/office/drawing/2014/main" id="{00000000-0008-0000-0200-0000D20700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3" name="$E$115">
            <a:extLst>
              <a:ext uri="{FF2B5EF4-FFF2-40B4-BE49-F238E27FC236}">
                <a16:creationId xmlns:a16="http://schemas.microsoft.com/office/drawing/2014/main" id="{00000000-0008-0000-0200-0000D30700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4" name="$E$115">
            <a:extLst>
              <a:ext uri="{FF2B5EF4-FFF2-40B4-BE49-F238E27FC236}">
                <a16:creationId xmlns:a16="http://schemas.microsoft.com/office/drawing/2014/main" id="{00000000-0008-0000-0200-0000D40700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5" name="$E$115">
            <a:extLst>
              <a:ext uri="{FF2B5EF4-FFF2-40B4-BE49-F238E27FC236}">
                <a16:creationId xmlns:a16="http://schemas.microsoft.com/office/drawing/2014/main" id="{00000000-0008-0000-0200-0000D50700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6" name="$E$115">
            <a:extLst>
              <a:ext uri="{FF2B5EF4-FFF2-40B4-BE49-F238E27FC236}">
                <a16:creationId xmlns:a16="http://schemas.microsoft.com/office/drawing/2014/main" id="{00000000-0008-0000-0200-0000D60700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7" name="$E$115">
            <a:extLst>
              <a:ext uri="{FF2B5EF4-FFF2-40B4-BE49-F238E27FC236}">
                <a16:creationId xmlns:a16="http://schemas.microsoft.com/office/drawing/2014/main" id="{00000000-0008-0000-0200-0000D70700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8" name="$E$115">
            <a:extLst>
              <a:ext uri="{FF2B5EF4-FFF2-40B4-BE49-F238E27FC236}">
                <a16:creationId xmlns:a16="http://schemas.microsoft.com/office/drawing/2014/main" id="{00000000-0008-0000-0200-0000D8070000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9" name="$E$115">
            <a:extLst>
              <a:ext uri="{FF2B5EF4-FFF2-40B4-BE49-F238E27FC236}">
                <a16:creationId xmlns:a16="http://schemas.microsoft.com/office/drawing/2014/main" id="{00000000-0008-0000-0200-0000D9070000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0" name="$E$115">
            <a:extLst>
              <a:ext uri="{FF2B5EF4-FFF2-40B4-BE49-F238E27FC236}">
                <a16:creationId xmlns:a16="http://schemas.microsoft.com/office/drawing/2014/main" id="{00000000-0008-0000-0200-0000DA0700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1" name="$E$115">
            <a:extLst>
              <a:ext uri="{FF2B5EF4-FFF2-40B4-BE49-F238E27FC236}">
                <a16:creationId xmlns:a16="http://schemas.microsoft.com/office/drawing/2014/main" id="{00000000-0008-0000-0200-0000DB070000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2" name="$E$115">
            <a:extLst>
              <a:ext uri="{FF2B5EF4-FFF2-40B4-BE49-F238E27FC236}">
                <a16:creationId xmlns:a16="http://schemas.microsoft.com/office/drawing/2014/main" id="{00000000-0008-0000-0200-0000DC070000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3" name="$E$115">
            <a:extLst>
              <a:ext uri="{FF2B5EF4-FFF2-40B4-BE49-F238E27FC236}">
                <a16:creationId xmlns:a16="http://schemas.microsoft.com/office/drawing/2014/main" id="{00000000-0008-0000-0200-0000DD070000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4" name="$E$115">
            <a:extLst>
              <a:ext uri="{FF2B5EF4-FFF2-40B4-BE49-F238E27FC236}">
                <a16:creationId xmlns:a16="http://schemas.microsoft.com/office/drawing/2014/main" id="{00000000-0008-0000-0200-0000DE070000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5" name="$E$115">
            <a:extLst>
              <a:ext uri="{FF2B5EF4-FFF2-40B4-BE49-F238E27FC236}">
                <a16:creationId xmlns:a16="http://schemas.microsoft.com/office/drawing/2014/main" id="{00000000-0008-0000-0200-0000DF070000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6" name="$E$115">
            <a:extLst>
              <a:ext uri="{FF2B5EF4-FFF2-40B4-BE49-F238E27FC236}">
                <a16:creationId xmlns:a16="http://schemas.microsoft.com/office/drawing/2014/main" id="{00000000-0008-0000-0200-0000E0070000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7" name="$E$115">
            <a:extLst>
              <a:ext uri="{FF2B5EF4-FFF2-40B4-BE49-F238E27FC236}">
                <a16:creationId xmlns:a16="http://schemas.microsoft.com/office/drawing/2014/main" id="{00000000-0008-0000-0200-0000E1070000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8" name="$E$115">
            <a:extLst>
              <a:ext uri="{FF2B5EF4-FFF2-40B4-BE49-F238E27FC236}">
                <a16:creationId xmlns:a16="http://schemas.microsoft.com/office/drawing/2014/main" id="{00000000-0008-0000-0200-0000E20700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9" name="$E$115">
            <a:extLst>
              <a:ext uri="{FF2B5EF4-FFF2-40B4-BE49-F238E27FC236}">
                <a16:creationId xmlns:a16="http://schemas.microsoft.com/office/drawing/2014/main" id="{00000000-0008-0000-0200-0000E30700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0" name="$E$115">
            <a:extLst>
              <a:ext uri="{FF2B5EF4-FFF2-40B4-BE49-F238E27FC236}">
                <a16:creationId xmlns:a16="http://schemas.microsoft.com/office/drawing/2014/main" id="{00000000-0008-0000-0200-0000E40700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1" name="$E$115">
            <a:extLst>
              <a:ext uri="{FF2B5EF4-FFF2-40B4-BE49-F238E27FC236}">
                <a16:creationId xmlns:a16="http://schemas.microsoft.com/office/drawing/2014/main" id="{00000000-0008-0000-0200-0000E50700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2" name="$E$115">
            <a:extLst>
              <a:ext uri="{FF2B5EF4-FFF2-40B4-BE49-F238E27FC236}">
                <a16:creationId xmlns:a16="http://schemas.microsoft.com/office/drawing/2014/main" id="{00000000-0008-0000-0200-0000E60700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3" name="$E$115">
            <a:extLst>
              <a:ext uri="{FF2B5EF4-FFF2-40B4-BE49-F238E27FC236}">
                <a16:creationId xmlns:a16="http://schemas.microsoft.com/office/drawing/2014/main" id="{00000000-0008-0000-0200-0000E70700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4" name="$E$115">
            <a:extLst>
              <a:ext uri="{FF2B5EF4-FFF2-40B4-BE49-F238E27FC236}">
                <a16:creationId xmlns:a16="http://schemas.microsoft.com/office/drawing/2014/main" id="{00000000-0008-0000-0200-0000E80700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5" name="$E$115">
            <a:extLst>
              <a:ext uri="{FF2B5EF4-FFF2-40B4-BE49-F238E27FC236}">
                <a16:creationId xmlns:a16="http://schemas.microsoft.com/office/drawing/2014/main" id="{00000000-0008-0000-0200-0000E90700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6" name="$E$115">
            <a:extLst>
              <a:ext uri="{FF2B5EF4-FFF2-40B4-BE49-F238E27FC236}">
                <a16:creationId xmlns:a16="http://schemas.microsoft.com/office/drawing/2014/main" id="{00000000-0008-0000-0200-0000EA070000}"/>
              </a:ext>
            </a:extLst>
          </xdr:cNvPr>
          <xdr:cNvSpPr/>
        </xdr:nvSpPr>
        <xdr:spPr>
          <a:xfrm>
            <a:off x="177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7" name="$E$115">
            <a:extLst>
              <a:ext uri="{FF2B5EF4-FFF2-40B4-BE49-F238E27FC236}">
                <a16:creationId xmlns:a16="http://schemas.microsoft.com/office/drawing/2014/main" id="{00000000-0008-0000-0200-0000EB070000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8" name="$E$115">
            <a:extLst>
              <a:ext uri="{FF2B5EF4-FFF2-40B4-BE49-F238E27FC236}">
                <a16:creationId xmlns:a16="http://schemas.microsoft.com/office/drawing/2014/main" id="{00000000-0008-0000-0200-0000EC0700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9" name="$E$115">
            <a:extLst>
              <a:ext uri="{FF2B5EF4-FFF2-40B4-BE49-F238E27FC236}">
                <a16:creationId xmlns:a16="http://schemas.microsoft.com/office/drawing/2014/main" id="{00000000-0008-0000-0200-0000ED0700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0" name="$E$115">
            <a:extLst>
              <a:ext uri="{FF2B5EF4-FFF2-40B4-BE49-F238E27FC236}">
                <a16:creationId xmlns:a16="http://schemas.microsoft.com/office/drawing/2014/main" id="{00000000-0008-0000-0200-0000EE0700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1" name="$E$115">
            <a:extLst>
              <a:ext uri="{FF2B5EF4-FFF2-40B4-BE49-F238E27FC236}">
                <a16:creationId xmlns:a16="http://schemas.microsoft.com/office/drawing/2014/main" id="{00000000-0008-0000-0200-0000EF0700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2" name="$E$115">
            <a:extLst>
              <a:ext uri="{FF2B5EF4-FFF2-40B4-BE49-F238E27FC236}">
                <a16:creationId xmlns:a16="http://schemas.microsoft.com/office/drawing/2014/main" id="{00000000-0008-0000-0200-0000F0070000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3" name="$E$115">
            <a:extLst>
              <a:ext uri="{FF2B5EF4-FFF2-40B4-BE49-F238E27FC236}">
                <a16:creationId xmlns:a16="http://schemas.microsoft.com/office/drawing/2014/main" id="{00000000-0008-0000-0200-0000F10700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4" name="$E$115">
            <a:extLst>
              <a:ext uri="{FF2B5EF4-FFF2-40B4-BE49-F238E27FC236}">
                <a16:creationId xmlns:a16="http://schemas.microsoft.com/office/drawing/2014/main" id="{00000000-0008-0000-0200-0000F2070000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5" name="$E$115">
            <a:extLst>
              <a:ext uri="{FF2B5EF4-FFF2-40B4-BE49-F238E27FC236}">
                <a16:creationId xmlns:a16="http://schemas.microsoft.com/office/drawing/2014/main" id="{00000000-0008-0000-0200-0000F3070000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6" name="$E$115">
            <a:extLst>
              <a:ext uri="{FF2B5EF4-FFF2-40B4-BE49-F238E27FC236}">
                <a16:creationId xmlns:a16="http://schemas.microsoft.com/office/drawing/2014/main" id="{00000000-0008-0000-0200-0000F4070000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7" name="$E$115">
            <a:extLst>
              <a:ext uri="{FF2B5EF4-FFF2-40B4-BE49-F238E27FC236}">
                <a16:creationId xmlns:a16="http://schemas.microsoft.com/office/drawing/2014/main" id="{00000000-0008-0000-0200-0000F5070000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8" name="$E$115">
            <a:extLst>
              <a:ext uri="{FF2B5EF4-FFF2-40B4-BE49-F238E27FC236}">
                <a16:creationId xmlns:a16="http://schemas.microsoft.com/office/drawing/2014/main" id="{00000000-0008-0000-0200-0000F6070000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9" name="$E$115">
            <a:extLst>
              <a:ext uri="{FF2B5EF4-FFF2-40B4-BE49-F238E27FC236}">
                <a16:creationId xmlns:a16="http://schemas.microsoft.com/office/drawing/2014/main" id="{00000000-0008-0000-0200-0000F7070000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0" name="$E$115">
            <a:extLst>
              <a:ext uri="{FF2B5EF4-FFF2-40B4-BE49-F238E27FC236}">
                <a16:creationId xmlns:a16="http://schemas.microsoft.com/office/drawing/2014/main" id="{00000000-0008-0000-0200-0000F8070000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1" name="$E$115">
            <a:extLst>
              <a:ext uri="{FF2B5EF4-FFF2-40B4-BE49-F238E27FC236}">
                <a16:creationId xmlns:a16="http://schemas.microsoft.com/office/drawing/2014/main" id="{00000000-0008-0000-0200-0000F9070000}"/>
              </a:ext>
            </a:extLst>
          </xdr:cNvPr>
          <xdr:cNvSpPr/>
        </xdr:nvSpPr>
        <xdr:spPr>
          <a:xfrm>
            <a:off x="114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2" name="$E$115">
            <a:extLst>
              <a:ext uri="{FF2B5EF4-FFF2-40B4-BE49-F238E27FC236}">
                <a16:creationId xmlns:a16="http://schemas.microsoft.com/office/drawing/2014/main" id="{00000000-0008-0000-0200-0000FA070000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3" name="$E$115">
            <a:extLst>
              <a:ext uri="{FF2B5EF4-FFF2-40B4-BE49-F238E27FC236}">
                <a16:creationId xmlns:a16="http://schemas.microsoft.com/office/drawing/2014/main" id="{00000000-0008-0000-0200-0000FB070000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4" name="$E$115">
            <a:extLst>
              <a:ext uri="{FF2B5EF4-FFF2-40B4-BE49-F238E27FC236}">
                <a16:creationId xmlns:a16="http://schemas.microsoft.com/office/drawing/2014/main" id="{00000000-0008-0000-0200-0000FC070000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5" name="$E$115">
            <a:extLst>
              <a:ext uri="{FF2B5EF4-FFF2-40B4-BE49-F238E27FC236}">
                <a16:creationId xmlns:a16="http://schemas.microsoft.com/office/drawing/2014/main" id="{00000000-0008-0000-0200-0000FD070000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6" name="$E$115">
            <a:extLst>
              <a:ext uri="{FF2B5EF4-FFF2-40B4-BE49-F238E27FC236}">
                <a16:creationId xmlns:a16="http://schemas.microsoft.com/office/drawing/2014/main" id="{00000000-0008-0000-0200-0000FE070000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7" name="$E$115">
            <a:extLst>
              <a:ext uri="{FF2B5EF4-FFF2-40B4-BE49-F238E27FC236}">
                <a16:creationId xmlns:a16="http://schemas.microsoft.com/office/drawing/2014/main" id="{00000000-0008-0000-0200-0000FF070000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8" name="$E$115">
            <a:extLst>
              <a:ext uri="{FF2B5EF4-FFF2-40B4-BE49-F238E27FC236}">
                <a16:creationId xmlns:a16="http://schemas.microsoft.com/office/drawing/2014/main" id="{00000000-0008-0000-0200-000000080000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9" name="$E$115">
            <a:extLst>
              <a:ext uri="{FF2B5EF4-FFF2-40B4-BE49-F238E27FC236}">
                <a16:creationId xmlns:a16="http://schemas.microsoft.com/office/drawing/2014/main" id="{00000000-0008-0000-0200-000001080000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0" name="$E$115">
            <a:extLst>
              <a:ext uri="{FF2B5EF4-FFF2-40B4-BE49-F238E27FC236}">
                <a16:creationId xmlns:a16="http://schemas.microsoft.com/office/drawing/2014/main" id="{00000000-0008-0000-0200-000002080000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1" name="$E$115">
            <a:extLst>
              <a:ext uri="{FF2B5EF4-FFF2-40B4-BE49-F238E27FC236}">
                <a16:creationId xmlns:a16="http://schemas.microsoft.com/office/drawing/2014/main" id="{00000000-0008-0000-0200-000003080000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2" name="$E$115">
            <a:extLst>
              <a:ext uri="{FF2B5EF4-FFF2-40B4-BE49-F238E27FC236}">
                <a16:creationId xmlns:a16="http://schemas.microsoft.com/office/drawing/2014/main" id="{00000000-0008-0000-0200-000004080000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3" name="$E$115">
            <a:extLst>
              <a:ext uri="{FF2B5EF4-FFF2-40B4-BE49-F238E27FC236}">
                <a16:creationId xmlns:a16="http://schemas.microsoft.com/office/drawing/2014/main" id="{00000000-0008-0000-0200-000005080000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4" name="$E$115">
            <a:extLst>
              <a:ext uri="{FF2B5EF4-FFF2-40B4-BE49-F238E27FC236}">
                <a16:creationId xmlns:a16="http://schemas.microsoft.com/office/drawing/2014/main" id="{00000000-0008-0000-0200-000006080000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5" name="$E$115">
            <a:extLst>
              <a:ext uri="{FF2B5EF4-FFF2-40B4-BE49-F238E27FC236}">
                <a16:creationId xmlns:a16="http://schemas.microsoft.com/office/drawing/2014/main" id="{00000000-0008-0000-0200-000007080000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6" name="$E$115">
            <a:extLst>
              <a:ext uri="{FF2B5EF4-FFF2-40B4-BE49-F238E27FC236}">
                <a16:creationId xmlns:a16="http://schemas.microsoft.com/office/drawing/2014/main" id="{00000000-0008-0000-0200-000008080000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7" name="$E$115">
            <a:extLst>
              <a:ext uri="{FF2B5EF4-FFF2-40B4-BE49-F238E27FC236}">
                <a16:creationId xmlns:a16="http://schemas.microsoft.com/office/drawing/2014/main" id="{00000000-0008-0000-0200-000009080000}"/>
              </a:ext>
            </a:extLst>
          </xdr:cNvPr>
          <xdr:cNvSpPr/>
        </xdr:nvSpPr>
        <xdr:spPr>
          <a:xfrm>
            <a:off x="114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8" name="$E$115">
            <a:extLst>
              <a:ext uri="{FF2B5EF4-FFF2-40B4-BE49-F238E27FC236}">
                <a16:creationId xmlns:a16="http://schemas.microsoft.com/office/drawing/2014/main" id="{00000000-0008-0000-0200-00000A080000}"/>
              </a:ext>
            </a:extLst>
          </xdr:cNvPr>
          <xdr:cNvSpPr/>
        </xdr:nvSpPr>
        <xdr:spPr>
          <a:xfrm>
            <a:off x="139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9" name="$E$115">
            <a:extLst>
              <a:ext uri="{FF2B5EF4-FFF2-40B4-BE49-F238E27FC236}">
                <a16:creationId xmlns:a16="http://schemas.microsoft.com/office/drawing/2014/main" id="{00000000-0008-0000-0200-00000B080000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0" name="$E$115">
            <a:extLst>
              <a:ext uri="{FF2B5EF4-FFF2-40B4-BE49-F238E27FC236}">
                <a16:creationId xmlns:a16="http://schemas.microsoft.com/office/drawing/2014/main" id="{00000000-0008-0000-0200-00000C080000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1" name="$E$115">
            <a:extLst>
              <a:ext uri="{FF2B5EF4-FFF2-40B4-BE49-F238E27FC236}">
                <a16:creationId xmlns:a16="http://schemas.microsoft.com/office/drawing/2014/main" id="{00000000-0008-0000-0200-00000D080000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2" name="$E$115">
            <a:extLst>
              <a:ext uri="{FF2B5EF4-FFF2-40B4-BE49-F238E27FC236}">
                <a16:creationId xmlns:a16="http://schemas.microsoft.com/office/drawing/2014/main" id="{00000000-0008-0000-0200-00000E080000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3" name="$E$115">
            <a:extLst>
              <a:ext uri="{FF2B5EF4-FFF2-40B4-BE49-F238E27FC236}">
                <a16:creationId xmlns:a16="http://schemas.microsoft.com/office/drawing/2014/main" id="{00000000-0008-0000-0200-00000F080000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4" name="$E$115">
            <a:extLst>
              <a:ext uri="{FF2B5EF4-FFF2-40B4-BE49-F238E27FC236}">
                <a16:creationId xmlns:a16="http://schemas.microsoft.com/office/drawing/2014/main" id="{00000000-0008-0000-0200-000010080000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5" name="$E$115">
            <a:extLst>
              <a:ext uri="{FF2B5EF4-FFF2-40B4-BE49-F238E27FC236}">
                <a16:creationId xmlns:a16="http://schemas.microsoft.com/office/drawing/2014/main" id="{00000000-0008-0000-0200-000011080000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6" name="$E$115">
            <a:extLst>
              <a:ext uri="{FF2B5EF4-FFF2-40B4-BE49-F238E27FC236}">
                <a16:creationId xmlns:a16="http://schemas.microsoft.com/office/drawing/2014/main" id="{00000000-0008-0000-0200-000012080000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7" name="$E$115">
            <a:extLst>
              <a:ext uri="{FF2B5EF4-FFF2-40B4-BE49-F238E27FC236}">
                <a16:creationId xmlns:a16="http://schemas.microsoft.com/office/drawing/2014/main" id="{00000000-0008-0000-0200-000013080000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8" name="$E$115">
            <a:extLst>
              <a:ext uri="{FF2B5EF4-FFF2-40B4-BE49-F238E27FC236}">
                <a16:creationId xmlns:a16="http://schemas.microsoft.com/office/drawing/2014/main" id="{00000000-0008-0000-0200-000014080000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9" name="$E$115">
            <a:extLst>
              <a:ext uri="{FF2B5EF4-FFF2-40B4-BE49-F238E27FC236}">
                <a16:creationId xmlns:a16="http://schemas.microsoft.com/office/drawing/2014/main" id="{00000000-0008-0000-0200-000015080000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0" name="$E$115">
            <a:extLst>
              <a:ext uri="{FF2B5EF4-FFF2-40B4-BE49-F238E27FC236}">
                <a16:creationId xmlns:a16="http://schemas.microsoft.com/office/drawing/2014/main" id="{00000000-0008-0000-0200-000016080000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1" name="$E$115">
            <a:extLst>
              <a:ext uri="{FF2B5EF4-FFF2-40B4-BE49-F238E27FC236}">
                <a16:creationId xmlns:a16="http://schemas.microsoft.com/office/drawing/2014/main" id="{00000000-0008-0000-0200-000017080000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2" name="$E$115">
            <a:extLst>
              <a:ext uri="{FF2B5EF4-FFF2-40B4-BE49-F238E27FC236}">
                <a16:creationId xmlns:a16="http://schemas.microsoft.com/office/drawing/2014/main" id="{00000000-0008-0000-0200-000018080000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3" name="$E$115">
            <a:extLst>
              <a:ext uri="{FF2B5EF4-FFF2-40B4-BE49-F238E27FC236}">
                <a16:creationId xmlns:a16="http://schemas.microsoft.com/office/drawing/2014/main" id="{00000000-0008-0000-0200-000019080000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4" name="$E$115">
            <a:extLst>
              <a:ext uri="{FF2B5EF4-FFF2-40B4-BE49-F238E27FC236}">
                <a16:creationId xmlns:a16="http://schemas.microsoft.com/office/drawing/2014/main" id="{00000000-0008-0000-0200-00001A080000}"/>
              </a:ext>
            </a:extLst>
          </xdr:cNvPr>
          <xdr:cNvSpPr/>
        </xdr:nvSpPr>
        <xdr:spPr>
          <a:xfrm>
            <a:off x="190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5" name="$E$115">
            <a:extLst>
              <a:ext uri="{FF2B5EF4-FFF2-40B4-BE49-F238E27FC236}">
                <a16:creationId xmlns:a16="http://schemas.microsoft.com/office/drawing/2014/main" id="{00000000-0008-0000-0200-00001B080000}"/>
              </a:ext>
            </a:extLst>
          </xdr:cNvPr>
          <xdr:cNvSpPr/>
        </xdr:nvSpPr>
        <xdr:spPr>
          <a:xfrm>
            <a:off x="203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6" name="$E$115">
            <a:extLst>
              <a:ext uri="{FF2B5EF4-FFF2-40B4-BE49-F238E27FC236}">
                <a16:creationId xmlns:a16="http://schemas.microsoft.com/office/drawing/2014/main" id="{00000000-0008-0000-0200-00001C080000}"/>
              </a:ext>
            </a:extLst>
          </xdr:cNvPr>
          <xdr:cNvSpPr/>
        </xdr:nvSpPr>
        <xdr:spPr>
          <a:xfrm>
            <a:off x="228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7" name="$E$115">
            <a:extLst>
              <a:ext uri="{FF2B5EF4-FFF2-40B4-BE49-F238E27FC236}">
                <a16:creationId xmlns:a16="http://schemas.microsoft.com/office/drawing/2014/main" id="{00000000-0008-0000-0200-00001D080000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8" name="$E$115">
            <a:extLst>
              <a:ext uri="{FF2B5EF4-FFF2-40B4-BE49-F238E27FC236}">
                <a16:creationId xmlns:a16="http://schemas.microsoft.com/office/drawing/2014/main" id="{00000000-0008-0000-0200-00001E080000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9" name="$E$115">
            <a:extLst>
              <a:ext uri="{FF2B5EF4-FFF2-40B4-BE49-F238E27FC236}">
                <a16:creationId xmlns:a16="http://schemas.microsoft.com/office/drawing/2014/main" id="{00000000-0008-0000-0200-00001F080000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0" name="$E$115">
            <a:extLst>
              <a:ext uri="{FF2B5EF4-FFF2-40B4-BE49-F238E27FC236}">
                <a16:creationId xmlns:a16="http://schemas.microsoft.com/office/drawing/2014/main" id="{00000000-0008-0000-0200-000020080000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1" name="$E$115">
            <a:extLst>
              <a:ext uri="{FF2B5EF4-FFF2-40B4-BE49-F238E27FC236}">
                <a16:creationId xmlns:a16="http://schemas.microsoft.com/office/drawing/2014/main" id="{00000000-0008-0000-0200-000021080000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2" name="$E$115">
            <a:extLst>
              <a:ext uri="{FF2B5EF4-FFF2-40B4-BE49-F238E27FC236}">
                <a16:creationId xmlns:a16="http://schemas.microsoft.com/office/drawing/2014/main" id="{00000000-0008-0000-0200-000022080000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3" name="$E$115">
            <a:extLst>
              <a:ext uri="{FF2B5EF4-FFF2-40B4-BE49-F238E27FC236}">
                <a16:creationId xmlns:a16="http://schemas.microsoft.com/office/drawing/2014/main" id="{00000000-0008-0000-0200-000023080000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4" name="$E$115">
            <a:extLst>
              <a:ext uri="{FF2B5EF4-FFF2-40B4-BE49-F238E27FC236}">
                <a16:creationId xmlns:a16="http://schemas.microsoft.com/office/drawing/2014/main" id="{00000000-0008-0000-0200-000024080000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5" name="$E$115">
            <a:extLst>
              <a:ext uri="{FF2B5EF4-FFF2-40B4-BE49-F238E27FC236}">
                <a16:creationId xmlns:a16="http://schemas.microsoft.com/office/drawing/2014/main" id="{00000000-0008-0000-0200-000025080000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6" name="$E$115">
            <a:extLst>
              <a:ext uri="{FF2B5EF4-FFF2-40B4-BE49-F238E27FC236}">
                <a16:creationId xmlns:a16="http://schemas.microsoft.com/office/drawing/2014/main" id="{00000000-0008-0000-0200-000026080000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7" name="$E$115">
            <a:extLst>
              <a:ext uri="{FF2B5EF4-FFF2-40B4-BE49-F238E27FC236}">
                <a16:creationId xmlns:a16="http://schemas.microsoft.com/office/drawing/2014/main" id="{00000000-0008-0000-0200-000027080000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8" name="$E$115">
            <a:extLst>
              <a:ext uri="{FF2B5EF4-FFF2-40B4-BE49-F238E27FC236}">
                <a16:creationId xmlns:a16="http://schemas.microsoft.com/office/drawing/2014/main" id="{00000000-0008-0000-0200-000028080000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9" name="$E$115">
            <a:extLst>
              <a:ext uri="{FF2B5EF4-FFF2-40B4-BE49-F238E27FC236}">
                <a16:creationId xmlns:a16="http://schemas.microsoft.com/office/drawing/2014/main" id="{00000000-0008-0000-0200-000029080000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0" name="$E$115">
            <a:extLst>
              <a:ext uri="{FF2B5EF4-FFF2-40B4-BE49-F238E27FC236}">
                <a16:creationId xmlns:a16="http://schemas.microsoft.com/office/drawing/2014/main" id="{00000000-0008-0000-0200-00002A080000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1" name="$E$115">
            <a:extLst>
              <a:ext uri="{FF2B5EF4-FFF2-40B4-BE49-F238E27FC236}">
                <a16:creationId xmlns:a16="http://schemas.microsoft.com/office/drawing/2014/main" id="{00000000-0008-0000-0200-00002B080000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2" name="$E$115">
            <a:extLst>
              <a:ext uri="{FF2B5EF4-FFF2-40B4-BE49-F238E27FC236}">
                <a16:creationId xmlns:a16="http://schemas.microsoft.com/office/drawing/2014/main" id="{00000000-0008-0000-0200-00002C080000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3" name="$E$115">
            <a:extLst>
              <a:ext uri="{FF2B5EF4-FFF2-40B4-BE49-F238E27FC236}">
                <a16:creationId xmlns:a16="http://schemas.microsoft.com/office/drawing/2014/main" id="{00000000-0008-0000-0200-00002D080000}"/>
              </a:ext>
            </a:extLst>
          </xdr:cNvPr>
          <xdr:cNvSpPr/>
        </xdr:nvSpPr>
        <xdr:spPr>
          <a:xfrm>
            <a:off x="190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4" name="$E$115">
            <a:extLst>
              <a:ext uri="{FF2B5EF4-FFF2-40B4-BE49-F238E27FC236}">
                <a16:creationId xmlns:a16="http://schemas.microsoft.com/office/drawing/2014/main" id="{00000000-0008-0000-0200-00002E080000}"/>
              </a:ext>
            </a:extLst>
          </xdr:cNvPr>
          <xdr:cNvSpPr/>
        </xdr:nvSpPr>
        <xdr:spPr>
          <a:xfrm>
            <a:off x="203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5" name="$E$115">
            <a:extLst>
              <a:ext uri="{FF2B5EF4-FFF2-40B4-BE49-F238E27FC236}">
                <a16:creationId xmlns:a16="http://schemas.microsoft.com/office/drawing/2014/main" id="{00000000-0008-0000-0200-00002F080000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6" name="$E$115">
            <a:extLst>
              <a:ext uri="{FF2B5EF4-FFF2-40B4-BE49-F238E27FC236}">
                <a16:creationId xmlns:a16="http://schemas.microsoft.com/office/drawing/2014/main" id="{00000000-0008-0000-0200-000030080000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7" name="$E$115">
            <a:extLst>
              <a:ext uri="{FF2B5EF4-FFF2-40B4-BE49-F238E27FC236}">
                <a16:creationId xmlns:a16="http://schemas.microsoft.com/office/drawing/2014/main" id="{00000000-0008-0000-0200-000031080000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8" name="$E$115">
            <a:extLst>
              <a:ext uri="{FF2B5EF4-FFF2-40B4-BE49-F238E27FC236}">
                <a16:creationId xmlns:a16="http://schemas.microsoft.com/office/drawing/2014/main" id="{00000000-0008-0000-0200-000032080000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9" name="$E$115">
            <a:extLst>
              <a:ext uri="{FF2B5EF4-FFF2-40B4-BE49-F238E27FC236}">
                <a16:creationId xmlns:a16="http://schemas.microsoft.com/office/drawing/2014/main" id="{00000000-0008-0000-0200-000033080000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0" name="$E$115">
            <a:extLst>
              <a:ext uri="{FF2B5EF4-FFF2-40B4-BE49-F238E27FC236}">
                <a16:creationId xmlns:a16="http://schemas.microsoft.com/office/drawing/2014/main" id="{00000000-0008-0000-0200-000034080000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1" name="$E$115">
            <a:extLst>
              <a:ext uri="{FF2B5EF4-FFF2-40B4-BE49-F238E27FC236}">
                <a16:creationId xmlns:a16="http://schemas.microsoft.com/office/drawing/2014/main" id="{00000000-0008-0000-0200-000035080000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331828</xdr:colOff>
      <xdr:row>110</xdr:row>
      <xdr:rowOff>41312</xdr:rowOff>
    </xdr:from>
    <xdr:to>
      <xdr:col>5</xdr:col>
      <xdr:colOff>144422</xdr:colOff>
      <xdr:row>110</xdr:row>
      <xdr:rowOff>1511256</xdr:rowOff>
    </xdr:to>
    <xdr:grpSp>
      <xdr:nvGrpSpPr>
        <xdr:cNvPr id="2813" name="$E$111" descr="QuickResponse barcode, level M, version 5, mode binary, 37x37 cells" title="https://centrodecapacitaciondelsur.com/victimas-por-agentes-quimicos-1233193095/">
          <a:extLst>
            <a:ext uri="{FF2B5EF4-FFF2-40B4-BE49-F238E27FC236}">
              <a16:creationId xmlns:a16="http://schemas.microsoft.com/office/drawing/2014/main" id="{00000000-0008-0000-0200-0000FD0A0000}"/>
            </a:ext>
          </a:extLst>
        </xdr:cNvPr>
        <xdr:cNvGrpSpPr>
          <a:grpSpLocks noChangeAspect="1"/>
        </xdr:cNvGrpSpPr>
      </xdr:nvGrpSpPr>
      <xdr:grpSpPr>
        <a:xfrm>
          <a:off x="20905828" y="120177539"/>
          <a:ext cx="1475139" cy="1469944"/>
          <a:chOff x="0" y="0"/>
          <a:chExt cx="469900" cy="469900"/>
        </a:xfrm>
      </xdr:grpSpPr>
      <xdr:sp macro="" textlink="">
        <xdr:nvSpPr>
          <xdr:cNvPr id="2103" name="$E$111">
            <a:extLst>
              <a:ext uri="{FF2B5EF4-FFF2-40B4-BE49-F238E27FC236}">
                <a16:creationId xmlns:a16="http://schemas.microsoft.com/office/drawing/2014/main" id="{00000000-0008-0000-0200-00003708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4" name="$E$111">
            <a:extLst>
              <a:ext uri="{FF2B5EF4-FFF2-40B4-BE49-F238E27FC236}">
                <a16:creationId xmlns:a16="http://schemas.microsoft.com/office/drawing/2014/main" id="{00000000-0008-0000-0200-00003808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5" name="$E$111">
            <a:extLst>
              <a:ext uri="{FF2B5EF4-FFF2-40B4-BE49-F238E27FC236}">
                <a16:creationId xmlns:a16="http://schemas.microsoft.com/office/drawing/2014/main" id="{00000000-0008-0000-0200-00003908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6" name="$E$111">
            <a:extLst>
              <a:ext uri="{FF2B5EF4-FFF2-40B4-BE49-F238E27FC236}">
                <a16:creationId xmlns:a16="http://schemas.microsoft.com/office/drawing/2014/main" id="{00000000-0008-0000-0200-00003A08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7" name="$E$111">
            <a:extLst>
              <a:ext uri="{FF2B5EF4-FFF2-40B4-BE49-F238E27FC236}">
                <a16:creationId xmlns:a16="http://schemas.microsoft.com/office/drawing/2014/main" id="{00000000-0008-0000-0200-00003B08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8" name="$E$111">
            <a:extLst>
              <a:ext uri="{FF2B5EF4-FFF2-40B4-BE49-F238E27FC236}">
                <a16:creationId xmlns:a16="http://schemas.microsoft.com/office/drawing/2014/main" id="{00000000-0008-0000-0200-00003C08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9" name="$E$111">
            <a:extLst>
              <a:ext uri="{FF2B5EF4-FFF2-40B4-BE49-F238E27FC236}">
                <a16:creationId xmlns:a16="http://schemas.microsoft.com/office/drawing/2014/main" id="{00000000-0008-0000-0200-00003D08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0" name="$E$111">
            <a:extLst>
              <a:ext uri="{FF2B5EF4-FFF2-40B4-BE49-F238E27FC236}">
                <a16:creationId xmlns:a16="http://schemas.microsoft.com/office/drawing/2014/main" id="{00000000-0008-0000-0200-00003E08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1" name="$E$111">
            <a:extLst>
              <a:ext uri="{FF2B5EF4-FFF2-40B4-BE49-F238E27FC236}">
                <a16:creationId xmlns:a16="http://schemas.microsoft.com/office/drawing/2014/main" id="{00000000-0008-0000-0200-00003F08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2" name="$E$111">
            <a:extLst>
              <a:ext uri="{FF2B5EF4-FFF2-40B4-BE49-F238E27FC236}">
                <a16:creationId xmlns:a16="http://schemas.microsoft.com/office/drawing/2014/main" id="{00000000-0008-0000-0200-00004008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3" name="$E$111">
            <a:extLst>
              <a:ext uri="{FF2B5EF4-FFF2-40B4-BE49-F238E27FC236}">
                <a16:creationId xmlns:a16="http://schemas.microsoft.com/office/drawing/2014/main" id="{00000000-0008-0000-0200-000041080000}"/>
              </a:ext>
            </a:extLst>
          </xdr:cNvPr>
          <xdr:cNvSpPr/>
        </xdr:nvSpPr>
        <xdr:spPr>
          <a:xfrm>
            <a:off x="165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4" name="$E$111">
            <a:extLst>
              <a:ext uri="{FF2B5EF4-FFF2-40B4-BE49-F238E27FC236}">
                <a16:creationId xmlns:a16="http://schemas.microsoft.com/office/drawing/2014/main" id="{00000000-0008-0000-0200-00004208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5" name="$E$111">
            <a:extLst>
              <a:ext uri="{FF2B5EF4-FFF2-40B4-BE49-F238E27FC236}">
                <a16:creationId xmlns:a16="http://schemas.microsoft.com/office/drawing/2014/main" id="{00000000-0008-0000-0200-000043080000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6" name="$E$111">
            <a:extLst>
              <a:ext uri="{FF2B5EF4-FFF2-40B4-BE49-F238E27FC236}">
                <a16:creationId xmlns:a16="http://schemas.microsoft.com/office/drawing/2014/main" id="{00000000-0008-0000-0200-000044080000}"/>
              </a:ext>
            </a:extLst>
          </xdr:cNvPr>
          <xdr:cNvSpPr/>
        </xdr:nvSpPr>
        <xdr:spPr>
          <a:xfrm>
            <a:off x="266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7" name="$E$111">
            <a:extLst>
              <a:ext uri="{FF2B5EF4-FFF2-40B4-BE49-F238E27FC236}">
                <a16:creationId xmlns:a16="http://schemas.microsoft.com/office/drawing/2014/main" id="{00000000-0008-0000-0200-00004508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8" name="$E$111">
            <a:extLst>
              <a:ext uri="{FF2B5EF4-FFF2-40B4-BE49-F238E27FC236}">
                <a16:creationId xmlns:a16="http://schemas.microsoft.com/office/drawing/2014/main" id="{00000000-0008-0000-0200-00004608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9" name="$E$111">
            <a:extLst>
              <a:ext uri="{FF2B5EF4-FFF2-40B4-BE49-F238E27FC236}">
                <a16:creationId xmlns:a16="http://schemas.microsoft.com/office/drawing/2014/main" id="{00000000-0008-0000-0200-00004708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0" name="$E$111">
            <a:extLst>
              <a:ext uri="{FF2B5EF4-FFF2-40B4-BE49-F238E27FC236}">
                <a16:creationId xmlns:a16="http://schemas.microsoft.com/office/drawing/2014/main" id="{00000000-0008-0000-0200-00004808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1" name="$E$111">
            <a:extLst>
              <a:ext uri="{FF2B5EF4-FFF2-40B4-BE49-F238E27FC236}">
                <a16:creationId xmlns:a16="http://schemas.microsoft.com/office/drawing/2014/main" id="{00000000-0008-0000-0200-000049080000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2" name="$E$111">
            <a:extLst>
              <a:ext uri="{FF2B5EF4-FFF2-40B4-BE49-F238E27FC236}">
                <a16:creationId xmlns:a16="http://schemas.microsoft.com/office/drawing/2014/main" id="{00000000-0008-0000-0200-00004A080000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3" name="$E$111">
            <a:extLst>
              <a:ext uri="{FF2B5EF4-FFF2-40B4-BE49-F238E27FC236}">
                <a16:creationId xmlns:a16="http://schemas.microsoft.com/office/drawing/2014/main" id="{00000000-0008-0000-0200-00004B080000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4" name="$E$111">
            <a:extLst>
              <a:ext uri="{FF2B5EF4-FFF2-40B4-BE49-F238E27FC236}">
                <a16:creationId xmlns:a16="http://schemas.microsoft.com/office/drawing/2014/main" id="{00000000-0008-0000-0200-00004C080000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5" name="$E$111">
            <a:extLst>
              <a:ext uri="{FF2B5EF4-FFF2-40B4-BE49-F238E27FC236}">
                <a16:creationId xmlns:a16="http://schemas.microsoft.com/office/drawing/2014/main" id="{00000000-0008-0000-0200-00004D080000}"/>
              </a:ext>
            </a:extLst>
          </xdr:cNvPr>
          <xdr:cNvSpPr/>
        </xdr:nvSpPr>
        <xdr:spPr>
          <a:xfrm>
            <a:off x="431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6" name="$E$111">
            <a:extLst>
              <a:ext uri="{FF2B5EF4-FFF2-40B4-BE49-F238E27FC236}">
                <a16:creationId xmlns:a16="http://schemas.microsoft.com/office/drawing/2014/main" id="{00000000-0008-0000-0200-00004E080000}"/>
              </a:ext>
            </a:extLst>
          </xdr:cNvPr>
          <xdr:cNvSpPr/>
        </xdr:nvSpPr>
        <xdr:spPr>
          <a:xfrm>
            <a:off x="444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7" name="$E$111">
            <a:extLst>
              <a:ext uri="{FF2B5EF4-FFF2-40B4-BE49-F238E27FC236}">
                <a16:creationId xmlns:a16="http://schemas.microsoft.com/office/drawing/2014/main" id="{00000000-0008-0000-0200-00004F080000}"/>
              </a:ext>
            </a:extLst>
          </xdr:cNvPr>
          <xdr:cNvSpPr/>
        </xdr:nvSpPr>
        <xdr:spPr>
          <a:xfrm>
            <a:off x="457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8" name="$E$111">
            <a:extLst>
              <a:ext uri="{FF2B5EF4-FFF2-40B4-BE49-F238E27FC236}">
                <a16:creationId xmlns:a16="http://schemas.microsoft.com/office/drawing/2014/main" id="{00000000-0008-0000-0200-00005008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9" name="$E$111">
            <a:extLst>
              <a:ext uri="{FF2B5EF4-FFF2-40B4-BE49-F238E27FC236}">
                <a16:creationId xmlns:a16="http://schemas.microsoft.com/office/drawing/2014/main" id="{00000000-0008-0000-0200-00005108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0" name="$E$111">
            <a:extLst>
              <a:ext uri="{FF2B5EF4-FFF2-40B4-BE49-F238E27FC236}">
                <a16:creationId xmlns:a16="http://schemas.microsoft.com/office/drawing/2014/main" id="{00000000-0008-0000-0200-0000520800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1" name="$E$111">
            <a:extLst>
              <a:ext uri="{FF2B5EF4-FFF2-40B4-BE49-F238E27FC236}">
                <a16:creationId xmlns:a16="http://schemas.microsoft.com/office/drawing/2014/main" id="{00000000-0008-0000-0200-0000530800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2" name="$E$111">
            <a:extLst>
              <a:ext uri="{FF2B5EF4-FFF2-40B4-BE49-F238E27FC236}">
                <a16:creationId xmlns:a16="http://schemas.microsoft.com/office/drawing/2014/main" id="{00000000-0008-0000-0200-000054080000}"/>
              </a:ext>
            </a:extLst>
          </xdr:cNvPr>
          <xdr:cNvSpPr/>
        </xdr:nvSpPr>
        <xdr:spPr>
          <a:xfrm>
            <a:off x="165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3" name="$E$111">
            <a:extLst>
              <a:ext uri="{FF2B5EF4-FFF2-40B4-BE49-F238E27FC236}">
                <a16:creationId xmlns:a16="http://schemas.microsoft.com/office/drawing/2014/main" id="{00000000-0008-0000-0200-000055080000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4" name="$E$111">
            <a:extLst>
              <a:ext uri="{FF2B5EF4-FFF2-40B4-BE49-F238E27FC236}">
                <a16:creationId xmlns:a16="http://schemas.microsoft.com/office/drawing/2014/main" id="{00000000-0008-0000-0200-00005608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5" name="$E$111">
            <a:extLst>
              <a:ext uri="{FF2B5EF4-FFF2-40B4-BE49-F238E27FC236}">
                <a16:creationId xmlns:a16="http://schemas.microsoft.com/office/drawing/2014/main" id="{00000000-0008-0000-0200-000057080000}"/>
              </a:ext>
            </a:extLst>
          </xdr:cNvPr>
          <xdr:cNvSpPr/>
        </xdr:nvSpPr>
        <xdr:spPr>
          <a:xfrm>
            <a:off x="215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6" name="$E$111">
            <a:extLst>
              <a:ext uri="{FF2B5EF4-FFF2-40B4-BE49-F238E27FC236}">
                <a16:creationId xmlns:a16="http://schemas.microsoft.com/office/drawing/2014/main" id="{00000000-0008-0000-0200-000058080000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7" name="$E$111">
            <a:extLst>
              <a:ext uri="{FF2B5EF4-FFF2-40B4-BE49-F238E27FC236}">
                <a16:creationId xmlns:a16="http://schemas.microsoft.com/office/drawing/2014/main" id="{00000000-0008-0000-0200-000059080000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8" name="$E$111">
            <a:extLst>
              <a:ext uri="{FF2B5EF4-FFF2-40B4-BE49-F238E27FC236}">
                <a16:creationId xmlns:a16="http://schemas.microsoft.com/office/drawing/2014/main" id="{00000000-0008-0000-0200-00005A080000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9" name="$E$111">
            <a:extLst>
              <a:ext uri="{FF2B5EF4-FFF2-40B4-BE49-F238E27FC236}">
                <a16:creationId xmlns:a16="http://schemas.microsoft.com/office/drawing/2014/main" id="{00000000-0008-0000-0200-00005B080000}"/>
              </a:ext>
            </a:extLst>
          </xdr:cNvPr>
          <xdr:cNvSpPr/>
        </xdr:nvSpPr>
        <xdr:spPr>
          <a:xfrm>
            <a:off x="342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0" name="$E$111">
            <a:extLst>
              <a:ext uri="{FF2B5EF4-FFF2-40B4-BE49-F238E27FC236}">
                <a16:creationId xmlns:a16="http://schemas.microsoft.com/office/drawing/2014/main" id="{00000000-0008-0000-0200-00005C0800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1" name="$E$111">
            <a:extLst>
              <a:ext uri="{FF2B5EF4-FFF2-40B4-BE49-F238E27FC236}">
                <a16:creationId xmlns:a16="http://schemas.microsoft.com/office/drawing/2014/main" id="{00000000-0008-0000-0200-00005D080000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2" name="$E$111">
            <a:extLst>
              <a:ext uri="{FF2B5EF4-FFF2-40B4-BE49-F238E27FC236}">
                <a16:creationId xmlns:a16="http://schemas.microsoft.com/office/drawing/2014/main" id="{00000000-0008-0000-0200-00005E080000}"/>
              </a:ext>
            </a:extLst>
          </xdr:cNvPr>
          <xdr:cNvSpPr/>
        </xdr:nvSpPr>
        <xdr:spPr>
          <a:xfrm>
            <a:off x="457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3" name="$E$111">
            <a:extLst>
              <a:ext uri="{FF2B5EF4-FFF2-40B4-BE49-F238E27FC236}">
                <a16:creationId xmlns:a16="http://schemas.microsoft.com/office/drawing/2014/main" id="{00000000-0008-0000-0200-00005F0800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4" name="$E$111">
            <a:extLst>
              <a:ext uri="{FF2B5EF4-FFF2-40B4-BE49-F238E27FC236}">
                <a16:creationId xmlns:a16="http://schemas.microsoft.com/office/drawing/2014/main" id="{00000000-0008-0000-0200-0000600800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5" name="$E$111">
            <a:extLst>
              <a:ext uri="{FF2B5EF4-FFF2-40B4-BE49-F238E27FC236}">
                <a16:creationId xmlns:a16="http://schemas.microsoft.com/office/drawing/2014/main" id="{00000000-0008-0000-0200-0000610800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6" name="$E$111">
            <a:extLst>
              <a:ext uri="{FF2B5EF4-FFF2-40B4-BE49-F238E27FC236}">
                <a16:creationId xmlns:a16="http://schemas.microsoft.com/office/drawing/2014/main" id="{00000000-0008-0000-0200-0000620800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7" name="$E$111">
            <a:extLst>
              <a:ext uri="{FF2B5EF4-FFF2-40B4-BE49-F238E27FC236}">
                <a16:creationId xmlns:a16="http://schemas.microsoft.com/office/drawing/2014/main" id="{00000000-0008-0000-0200-0000630800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8" name="$E$111">
            <a:extLst>
              <a:ext uri="{FF2B5EF4-FFF2-40B4-BE49-F238E27FC236}">
                <a16:creationId xmlns:a16="http://schemas.microsoft.com/office/drawing/2014/main" id="{00000000-0008-0000-0200-000064080000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9" name="$E$111">
            <a:extLst>
              <a:ext uri="{FF2B5EF4-FFF2-40B4-BE49-F238E27FC236}">
                <a16:creationId xmlns:a16="http://schemas.microsoft.com/office/drawing/2014/main" id="{00000000-0008-0000-0200-000065080000}"/>
              </a:ext>
            </a:extLst>
          </xdr:cNvPr>
          <xdr:cNvSpPr/>
        </xdr:nvSpPr>
        <xdr:spPr>
          <a:xfrm>
            <a:off x="165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0" name="$E$111">
            <a:extLst>
              <a:ext uri="{FF2B5EF4-FFF2-40B4-BE49-F238E27FC236}">
                <a16:creationId xmlns:a16="http://schemas.microsoft.com/office/drawing/2014/main" id="{00000000-0008-0000-0200-000066080000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1" name="$E$111">
            <a:extLst>
              <a:ext uri="{FF2B5EF4-FFF2-40B4-BE49-F238E27FC236}">
                <a16:creationId xmlns:a16="http://schemas.microsoft.com/office/drawing/2014/main" id="{00000000-0008-0000-0200-000067080000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2" name="$E$111">
            <a:extLst>
              <a:ext uri="{FF2B5EF4-FFF2-40B4-BE49-F238E27FC236}">
                <a16:creationId xmlns:a16="http://schemas.microsoft.com/office/drawing/2014/main" id="{00000000-0008-0000-0200-000068080000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3" name="$E$111">
            <a:extLst>
              <a:ext uri="{FF2B5EF4-FFF2-40B4-BE49-F238E27FC236}">
                <a16:creationId xmlns:a16="http://schemas.microsoft.com/office/drawing/2014/main" id="{00000000-0008-0000-0200-000069080000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4" name="$E$111">
            <a:extLst>
              <a:ext uri="{FF2B5EF4-FFF2-40B4-BE49-F238E27FC236}">
                <a16:creationId xmlns:a16="http://schemas.microsoft.com/office/drawing/2014/main" id="{00000000-0008-0000-0200-00006A0800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5" name="$E$111">
            <a:extLst>
              <a:ext uri="{FF2B5EF4-FFF2-40B4-BE49-F238E27FC236}">
                <a16:creationId xmlns:a16="http://schemas.microsoft.com/office/drawing/2014/main" id="{00000000-0008-0000-0200-00006B080000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6" name="$E$111">
            <a:extLst>
              <a:ext uri="{FF2B5EF4-FFF2-40B4-BE49-F238E27FC236}">
                <a16:creationId xmlns:a16="http://schemas.microsoft.com/office/drawing/2014/main" id="{00000000-0008-0000-0200-00006C0800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7" name="$E$111">
            <a:extLst>
              <a:ext uri="{FF2B5EF4-FFF2-40B4-BE49-F238E27FC236}">
                <a16:creationId xmlns:a16="http://schemas.microsoft.com/office/drawing/2014/main" id="{00000000-0008-0000-0200-00006D080000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8" name="$E$111">
            <a:extLst>
              <a:ext uri="{FF2B5EF4-FFF2-40B4-BE49-F238E27FC236}">
                <a16:creationId xmlns:a16="http://schemas.microsoft.com/office/drawing/2014/main" id="{00000000-0008-0000-0200-00006E0800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9" name="$E$111">
            <a:extLst>
              <a:ext uri="{FF2B5EF4-FFF2-40B4-BE49-F238E27FC236}">
                <a16:creationId xmlns:a16="http://schemas.microsoft.com/office/drawing/2014/main" id="{00000000-0008-0000-0200-00006F080000}"/>
              </a:ext>
            </a:extLst>
          </xdr:cNvPr>
          <xdr:cNvSpPr/>
        </xdr:nvSpPr>
        <xdr:spPr>
          <a:xfrm>
            <a:off x="342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0" name="$E$111">
            <a:extLst>
              <a:ext uri="{FF2B5EF4-FFF2-40B4-BE49-F238E27FC236}">
                <a16:creationId xmlns:a16="http://schemas.microsoft.com/office/drawing/2014/main" id="{00000000-0008-0000-0200-0000700800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1" name="$E$111">
            <a:extLst>
              <a:ext uri="{FF2B5EF4-FFF2-40B4-BE49-F238E27FC236}">
                <a16:creationId xmlns:a16="http://schemas.microsoft.com/office/drawing/2014/main" id="{00000000-0008-0000-0200-000071080000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2" name="$E$111">
            <a:extLst>
              <a:ext uri="{FF2B5EF4-FFF2-40B4-BE49-F238E27FC236}">
                <a16:creationId xmlns:a16="http://schemas.microsoft.com/office/drawing/2014/main" id="{00000000-0008-0000-0200-000072080000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3" name="$E$111">
            <a:extLst>
              <a:ext uri="{FF2B5EF4-FFF2-40B4-BE49-F238E27FC236}">
                <a16:creationId xmlns:a16="http://schemas.microsoft.com/office/drawing/2014/main" id="{00000000-0008-0000-0200-000073080000}"/>
              </a:ext>
            </a:extLst>
          </xdr:cNvPr>
          <xdr:cNvSpPr/>
        </xdr:nvSpPr>
        <xdr:spPr>
          <a:xfrm>
            <a:off x="419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4" name="$E$111">
            <a:extLst>
              <a:ext uri="{FF2B5EF4-FFF2-40B4-BE49-F238E27FC236}">
                <a16:creationId xmlns:a16="http://schemas.microsoft.com/office/drawing/2014/main" id="{00000000-0008-0000-0200-000074080000}"/>
              </a:ext>
            </a:extLst>
          </xdr:cNvPr>
          <xdr:cNvSpPr/>
        </xdr:nvSpPr>
        <xdr:spPr>
          <a:xfrm>
            <a:off x="431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5" name="$E$111">
            <a:extLst>
              <a:ext uri="{FF2B5EF4-FFF2-40B4-BE49-F238E27FC236}">
                <a16:creationId xmlns:a16="http://schemas.microsoft.com/office/drawing/2014/main" id="{00000000-0008-0000-0200-000075080000}"/>
              </a:ext>
            </a:extLst>
          </xdr:cNvPr>
          <xdr:cNvSpPr/>
        </xdr:nvSpPr>
        <xdr:spPr>
          <a:xfrm>
            <a:off x="457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6" name="$E$111">
            <a:extLst>
              <a:ext uri="{FF2B5EF4-FFF2-40B4-BE49-F238E27FC236}">
                <a16:creationId xmlns:a16="http://schemas.microsoft.com/office/drawing/2014/main" id="{00000000-0008-0000-0200-0000760800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7" name="$E$111">
            <a:extLst>
              <a:ext uri="{FF2B5EF4-FFF2-40B4-BE49-F238E27FC236}">
                <a16:creationId xmlns:a16="http://schemas.microsoft.com/office/drawing/2014/main" id="{00000000-0008-0000-0200-0000770800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8" name="$E$111">
            <a:extLst>
              <a:ext uri="{FF2B5EF4-FFF2-40B4-BE49-F238E27FC236}">
                <a16:creationId xmlns:a16="http://schemas.microsoft.com/office/drawing/2014/main" id="{00000000-0008-0000-0200-0000780800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9" name="$E$111">
            <a:extLst>
              <a:ext uri="{FF2B5EF4-FFF2-40B4-BE49-F238E27FC236}">
                <a16:creationId xmlns:a16="http://schemas.microsoft.com/office/drawing/2014/main" id="{00000000-0008-0000-0200-0000790800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0" name="$E$111">
            <a:extLst>
              <a:ext uri="{FF2B5EF4-FFF2-40B4-BE49-F238E27FC236}">
                <a16:creationId xmlns:a16="http://schemas.microsoft.com/office/drawing/2014/main" id="{00000000-0008-0000-0200-00007A0800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1" name="$E$111">
            <a:extLst>
              <a:ext uri="{FF2B5EF4-FFF2-40B4-BE49-F238E27FC236}">
                <a16:creationId xmlns:a16="http://schemas.microsoft.com/office/drawing/2014/main" id="{00000000-0008-0000-0200-00007B08000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2" name="$E$111">
            <a:extLst>
              <a:ext uri="{FF2B5EF4-FFF2-40B4-BE49-F238E27FC236}">
                <a16:creationId xmlns:a16="http://schemas.microsoft.com/office/drawing/2014/main" id="{00000000-0008-0000-0200-00007C080000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3" name="$E$111">
            <a:extLst>
              <a:ext uri="{FF2B5EF4-FFF2-40B4-BE49-F238E27FC236}">
                <a16:creationId xmlns:a16="http://schemas.microsoft.com/office/drawing/2014/main" id="{00000000-0008-0000-0200-00007D080000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4" name="$E$111">
            <a:extLst>
              <a:ext uri="{FF2B5EF4-FFF2-40B4-BE49-F238E27FC236}">
                <a16:creationId xmlns:a16="http://schemas.microsoft.com/office/drawing/2014/main" id="{00000000-0008-0000-0200-00007E0800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5" name="$E$111">
            <a:extLst>
              <a:ext uri="{FF2B5EF4-FFF2-40B4-BE49-F238E27FC236}">
                <a16:creationId xmlns:a16="http://schemas.microsoft.com/office/drawing/2014/main" id="{00000000-0008-0000-0200-00007F080000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6" name="$E$111">
            <a:extLst>
              <a:ext uri="{FF2B5EF4-FFF2-40B4-BE49-F238E27FC236}">
                <a16:creationId xmlns:a16="http://schemas.microsoft.com/office/drawing/2014/main" id="{00000000-0008-0000-0200-0000800800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7" name="$E$111">
            <a:extLst>
              <a:ext uri="{FF2B5EF4-FFF2-40B4-BE49-F238E27FC236}">
                <a16:creationId xmlns:a16="http://schemas.microsoft.com/office/drawing/2014/main" id="{00000000-0008-0000-0200-0000810800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8" name="$E$111">
            <a:extLst>
              <a:ext uri="{FF2B5EF4-FFF2-40B4-BE49-F238E27FC236}">
                <a16:creationId xmlns:a16="http://schemas.microsoft.com/office/drawing/2014/main" id="{00000000-0008-0000-0200-0000820800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9" name="$E$111">
            <a:extLst>
              <a:ext uri="{FF2B5EF4-FFF2-40B4-BE49-F238E27FC236}">
                <a16:creationId xmlns:a16="http://schemas.microsoft.com/office/drawing/2014/main" id="{00000000-0008-0000-0200-000083080000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0" name="$E$111">
            <a:extLst>
              <a:ext uri="{FF2B5EF4-FFF2-40B4-BE49-F238E27FC236}">
                <a16:creationId xmlns:a16="http://schemas.microsoft.com/office/drawing/2014/main" id="{00000000-0008-0000-0200-0000840800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1" name="$E$111">
            <a:extLst>
              <a:ext uri="{FF2B5EF4-FFF2-40B4-BE49-F238E27FC236}">
                <a16:creationId xmlns:a16="http://schemas.microsoft.com/office/drawing/2014/main" id="{00000000-0008-0000-0200-0000850800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2" name="$E$111">
            <a:extLst>
              <a:ext uri="{FF2B5EF4-FFF2-40B4-BE49-F238E27FC236}">
                <a16:creationId xmlns:a16="http://schemas.microsoft.com/office/drawing/2014/main" id="{00000000-0008-0000-0200-0000860800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3" name="$E$111">
            <a:extLst>
              <a:ext uri="{FF2B5EF4-FFF2-40B4-BE49-F238E27FC236}">
                <a16:creationId xmlns:a16="http://schemas.microsoft.com/office/drawing/2014/main" id="{00000000-0008-0000-0200-000087080000}"/>
              </a:ext>
            </a:extLst>
          </xdr:cNvPr>
          <xdr:cNvSpPr/>
        </xdr:nvSpPr>
        <xdr:spPr>
          <a:xfrm>
            <a:off x="342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4" name="$E$111">
            <a:extLst>
              <a:ext uri="{FF2B5EF4-FFF2-40B4-BE49-F238E27FC236}">
                <a16:creationId xmlns:a16="http://schemas.microsoft.com/office/drawing/2014/main" id="{00000000-0008-0000-0200-000088080000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5" name="$E$111">
            <a:extLst>
              <a:ext uri="{FF2B5EF4-FFF2-40B4-BE49-F238E27FC236}">
                <a16:creationId xmlns:a16="http://schemas.microsoft.com/office/drawing/2014/main" id="{00000000-0008-0000-0200-000089080000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6" name="$E$111">
            <a:extLst>
              <a:ext uri="{FF2B5EF4-FFF2-40B4-BE49-F238E27FC236}">
                <a16:creationId xmlns:a16="http://schemas.microsoft.com/office/drawing/2014/main" id="{00000000-0008-0000-0200-00008A080000}"/>
              </a:ext>
            </a:extLst>
          </xdr:cNvPr>
          <xdr:cNvSpPr/>
        </xdr:nvSpPr>
        <xdr:spPr>
          <a:xfrm>
            <a:off x="419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7" name="$E$111">
            <a:extLst>
              <a:ext uri="{FF2B5EF4-FFF2-40B4-BE49-F238E27FC236}">
                <a16:creationId xmlns:a16="http://schemas.microsoft.com/office/drawing/2014/main" id="{00000000-0008-0000-0200-00008B080000}"/>
              </a:ext>
            </a:extLst>
          </xdr:cNvPr>
          <xdr:cNvSpPr/>
        </xdr:nvSpPr>
        <xdr:spPr>
          <a:xfrm>
            <a:off x="431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8" name="$E$111">
            <a:extLst>
              <a:ext uri="{FF2B5EF4-FFF2-40B4-BE49-F238E27FC236}">
                <a16:creationId xmlns:a16="http://schemas.microsoft.com/office/drawing/2014/main" id="{00000000-0008-0000-0200-00008C080000}"/>
              </a:ext>
            </a:extLst>
          </xdr:cNvPr>
          <xdr:cNvSpPr/>
        </xdr:nvSpPr>
        <xdr:spPr>
          <a:xfrm>
            <a:off x="457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9" name="$E$111">
            <a:extLst>
              <a:ext uri="{FF2B5EF4-FFF2-40B4-BE49-F238E27FC236}">
                <a16:creationId xmlns:a16="http://schemas.microsoft.com/office/drawing/2014/main" id="{00000000-0008-0000-0200-00008D0800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0" name="$E$111">
            <a:extLst>
              <a:ext uri="{FF2B5EF4-FFF2-40B4-BE49-F238E27FC236}">
                <a16:creationId xmlns:a16="http://schemas.microsoft.com/office/drawing/2014/main" id="{00000000-0008-0000-0200-00008E0800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1" name="$E$111">
            <a:extLst>
              <a:ext uri="{FF2B5EF4-FFF2-40B4-BE49-F238E27FC236}">
                <a16:creationId xmlns:a16="http://schemas.microsoft.com/office/drawing/2014/main" id="{00000000-0008-0000-0200-00008F0800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2" name="$E$111">
            <a:extLst>
              <a:ext uri="{FF2B5EF4-FFF2-40B4-BE49-F238E27FC236}">
                <a16:creationId xmlns:a16="http://schemas.microsoft.com/office/drawing/2014/main" id="{00000000-0008-0000-0200-0000900800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3" name="$E$111">
            <a:extLst>
              <a:ext uri="{FF2B5EF4-FFF2-40B4-BE49-F238E27FC236}">
                <a16:creationId xmlns:a16="http://schemas.microsoft.com/office/drawing/2014/main" id="{00000000-0008-0000-0200-0000910800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4" name="$E$111">
            <a:extLst>
              <a:ext uri="{FF2B5EF4-FFF2-40B4-BE49-F238E27FC236}">
                <a16:creationId xmlns:a16="http://schemas.microsoft.com/office/drawing/2014/main" id="{00000000-0008-0000-0200-000092080000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5" name="$E$111">
            <a:extLst>
              <a:ext uri="{FF2B5EF4-FFF2-40B4-BE49-F238E27FC236}">
                <a16:creationId xmlns:a16="http://schemas.microsoft.com/office/drawing/2014/main" id="{00000000-0008-0000-0200-000093080000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6" name="$E$111">
            <a:extLst>
              <a:ext uri="{FF2B5EF4-FFF2-40B4-BE49-F238E27FC236}">
                <a16:creationId xmlns:a16="http://schemas.microsoft.com/office/drawing/2014/main" id="{00000000-0008-0000-0200-000094080000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7" name="$E$111">
            <a:extLst>
              <a:ext uri="{FF2B5EF4-FFF2-40B4-BE49-F238E27FC236}">
                <a16:creationId xmlns:a16="http://schemas.microsoft.com/office/drawing/2014/main" id="{00000000-0008-0000-0200-0000950800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8" name="$E$111">
            <a:extLst>
              <a:ext uri="{FF2B5EF4-FFF2-40B4-BE49-F238E27FC236}">
                <a16:creationId xmlns:a16="http://schemas.microsoft.com/office/drawing/2014/main" id="{00000000-0008-0000-0200-000096080000}"/>
              </a:ext>
            </a:extLst>
          </xdr:cNvPr>
          <xdr:cNvSpPr/>
        </xdr:nvSpPr>
        <xdr:spPr>
          <a:xfrm>
            <a:off x="165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9" name="$E$111">
            <a:extLst>
              <a:ext uri="{FF2B5EF4-FFF2-40B4-BE49-F238E27FC236}">
                <a16:creationId xmlns:a16="http://schemas.microsoft.com/office/drawing/2014/main" id="{00000000-0008-0000-0200-0000970800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0" name="$E$111">
            <a:extLst>
              <a:ext uri="{FF2B5EF4-FFF2-40B4-BE49-F238E27FC236}">
                <a16:creationId xmlns:a16="http://schemas.microsoft.com/office/drawing/2014/main" id="{00000000-0008-0000-0200-0000980800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1" name="$E$111">
            <a:extLst>
              <a:ext uri="{FF2B5EF4-FFF2-40B4-BE49-F238E27FC236}">
                <a16:creationId xmlns:a16="http://schemas.microsoft.com/office/drawing/2014/main" id="{00000000-0008-0000-0200-0000990800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2" name="$E$111">
            <a:extLst>
              <a:ext uri="{FF2B5EF4-FFF2-40B4-BE49-F238E27FC236}">
                <a16:creationId xmlns:a16="http://schemas.microsoft.com/office/drawing/2014/main" id="{00000000-0008-0000-0200-00009A080000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3" name="$E$111">
            <a:extLst>
              <a:ext uri="{FF2B5EF4-FFF2-40B4-BE49-F238E27FC236}">
                <a16:creationId xmlns:a16="http://schemas.microsoft.com/office/drawing/2014/main" id="{00000000-0008-0000-0200-00009B080000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4" name="$E$111">
            <a:extLst>
              <a:ext uri="{FF2B5EF4-FFF2-40B4-BE49-F238E27FC236}">
                <a16:creationId xmlns:a16="http://schemas.microsoft.com/office/drawing/2014/main" id="{00000000-0008-0000-0200-00009C0800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5" name="$E$111">
            <a:extLst>
              <a:ext uri="{FF2B5EF4-FFF2-40B4-BE49-F238E27FC236}">
                <a16:creationId xmlns:a16="http://schemas.microsoft.com/office/drawing/2014/main" id="{00000000-0008-0000-0200-00009D080000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6" name="$E$111">
            <a:extLst>
              <a:ext uri="{FF2B5EF4-FFF2-40B4-BE49-F238E27FC236}">
                <a16:creationId xmlns:a16="http://schemas.microsoft.com/office/drawing/2014/main" id="{00000000-0008-0000-0200-00009E080000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7" name="$E$111">
            <a:extLst>
              <a:ext uri="{FF2B5EF4-FFF2-40B4-BE49-F238E27FC236}">
                <a16:creationId xmlns:a16="http://schemas.microsoft.com/office/drawing/2014/main" id="{00000000-0008-0000-0200-00009F080000}"/>
              </a:ext>
            </a:extLst>
          </xdr:cNvPr>
          <xdr:cNvSpPr/>
        </xdr:nvSpPr>
        <xdr:spPr>
          <a:xfrm>
            <a:off x="419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8" name="$E$111">
            <a:extLst>
              <a:ext uri="{FF2B5EF4-FFF2-40B4-BE49-F238E27FC236}">
                <a16:creationId xmlns:a16="http://schemas.microsoft.com/office/drawing/2014/main" id="{00000000-0008-0000-0200-0000A0080000}"/>
              </a:ext>
            </a:extLst>
          </xdr:cNvPr>
          <xdr:cNvSpPr/>
        </xdr:nvSpPr>
        <xdr:spPr>
          <a:xfrm>
            <a:off x="431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9" name="$E$111">
            <a:extLst>
              <a:ext uri="{FF2B5EF4-FFF2-40B4-BE49-F238E27FC236}">
                <a16:creationId xmlns:a16="http://schemas.microsoft.com/office/drawing/2014/main" id="{00000000-0008-0000-0200-0000A1080000}"/>
              </a:ext>
            </a:extLst>
          </xdr:cNvPr>
          <xdr:cNvSpPr/>
        </xdr:nvSpPr>
        <xdr:spPr>
          <a:xfrm>
            <a:off x="457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0" name="$E$111">
            <a:extLst>
              <a:ext uri="{FF2B5EF4-FFF2-40B4-BE49-F238E27FC236}">
                <a16:creationId xmlns:a16="http://schemas.microsoft.com/office/drawing/2014/main" id="{00000000-0008-0000-0200-0000A20800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1" name="$E$111">
            <a:extLst>
              <a:ext uri="{FF2B5EF4-FFF2-40B4-BE49-F238E27FC236}">
                <a16:creationId xmlns:a16="http://schemas.microsoft.com/office/drawing/2014/main" id="{00000000-0008-0000-0200-0000A30800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2" name="$E$111">
            <a:extLst>
              <a:ext uri="{FF2B5EF4-FFF2-40B4-BE49-F238E27FC236}">
                <a16:creationId xmlns:a16="http://schemas.microsoft.com/office/drawing/2014/main" id="{00000000-0008-0000-0200-0000A40800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3" name="$E$111">
            <a:extLst>
              <a:ext uri="{FF2B5EF4-FFF2-40B4-BE49-F238E27FC236}">
                <a16:creationId xmlns:a16="http://schemas.microsoft.com/office/drawing/2014/main" id="{00000000-0008-0000-0200-0000A508000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4" name="$E$111">
            <a:extLst>
              <a:ext uri="{FF2B5EF4-FFF2-40B4-BE49-F238E27FC236}">
                <a16:creationId xmlns:a16="http://schemas.microsoft.com/office/drawing/2014/main" id="{00000000-0008-0000-0200-0000A6080000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5" name="$E$111">
            <a:extLst>
              <a:ext uri="{FF2B5EF4-FFF2-40B4-BE49-F238E27FC236}">
                <a16:creationId xmlns:a16="http://schemas.microsoft.com/office/drawing/2014/main" id="{00000000-0008-0000-0200-0000A7080000}"/>
              </a:ext>
            </a:extLst>
          </xdr:cNvPr>
          <xdr:cNvSpPr/>
        </xdr:nvSpPr>
        <xdr:spPr>
          <a:xfrm>
            <a:off x="165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6" name="$E$111">
            <a:extLst>
              <a:ext uri="{FF2B5EF4-FFF2-40B4-BE49-F238E27FC236}">
                <a16:creationId xmlns:a16="http://schemas.microsoft.com/office/drawing/2014/main" id="{00000000-0008-0000-0200-0000A80800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7" name="$E$111">
            <a:extLst>
              <a:ext uri="{FF2B5EF4-FFF2-40B4-BE49-F238E27FC236}">
                <a16:creationId xmlns:a16="http://schemas.microsoft.com/office/drawing/2014/main" id="{00000000-0008-0000-0200-0000A90800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8" name="$E$111">
            <a:extLst>
              <a:ext uri="{FF2B5EF4-FFF2-40B4-BE49-F238E27FC236}">
                <a16:creationId xmlns:a16="http://schemas.microsoft.com/office/drawing/2014/main" id="{00000000-0008-0000-0200-0000AA080000}"/>
              </a:ext>
            </a:extLst>
          </xdr:cNvPr>
          <xdr:cNvSpPr/>
        </xdr:nvSpPr>
        <xdr:spPr>
          <a:xfrm>
            <a:off x="228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9" name="$E$111">
            <a:extLst>
              <a:ext uri="{FF2B5EF4-FFF2-40B4-BE49-F238E27FC236}">
                <a16:creationId xmlns:a16="http://schemas.microsoft.com/office/drawing/2014/main" id="{00000000-0008-0000-0200-0000AB080000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0" name="$E$111">
            <a:extLst>
              <a:ext uri="{FF2B5EF4-FFF2-40B4-BE49-F238E27FC236}">
                <a16:creationId xmlns:a16="http://schemas.microsoft.com/office/drawing/2014/main" id="{00000000-0008-0000-0200-0000AC080000}"/>
              </a:ext>
            </a:extLst>
          </xdr:cNvPr>
          <xdr:cNvSpPr/>
        </xdr:nvSpPr>
        <xdr:spPr>
          <a:xfrm>
            <a:off x="317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1" name="$E$111">
            <a:extLst>
              <a:ext uri="{FF2B5EF4-FFF2-40B4-BE49-F238E27FC236}">
                <a16:creationId xmlns:a16="http://schemas.microsoft.com/office/drawing/2014/main" id="{00000000-0008-0000-0200-0000AD080000}"/>
              </a:ext>
            </a:extLst>
          </xdr:cNvPr>
          <xdr:cNvSpPr/>
        </xdr:nvSpPr>
        <xdr:spPr>
          <a:xfrm>
            <a:off x="342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2" name="$E$111">
            <a:extLst>
              <a:ext uri="{FF2B5EF4-FFF2-40B4-BE49-F238E27FC236}">
                <a16:creationId xmlns:a16="http://schemas.microsoft.com/office/drawing/2014/main" id="{00000000-0008-0000-0200-0000AE080000}"/>
              </a:ext>
            </a:extLst>
          </xdr:cNvPr>
          <xdr:cNvSpPr/>
        </xdr:nvSpPr>
        <xdr:spPr>
          <a:xfrm>
            <a:off x="381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3" name="$E$111">
            <a:extLst>
              <a:ext uri="{FF2B5EF4-FFF2-40B4-BE49-F238E27FC236}">
                <a16:creationId xmlns:a16="http://schemas.microsoft.com/office/drawing/2014/main" id="{00000000-0008-0000-0200-0000AF080000}"/>
              </a:ext>
            </a:extLst>
          </xdr:cNvPr>
          <xdr:cNvSpPr/>
        </xdr:nvSpPr>
        <xdr:spPr>
          <a:xfrm>
            <a:off x="457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4" name="$E$111">
            <a:extLst>
              <a:ext uri="{FF2B5EF4-FFF2-40B4-BE49-F238E27FC236}">
                <a16:creationId xmlns:a16="http://schemas.microsoft.com/office/drawing/2014/main" id="{00000000-0008-0000-0200-0000B00800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5" name="$E$111">
            <a:extLst>
              <a:ext uri="{FF2B5EF4-FFF2-40B4-BE49-F238E27FC236}">
                <a16:creationId xmlns:a16="http://schemas.microsoft.com/office/drawing/2014/main" id="{00000000-0008-0000-0200-0000B10800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6" name="$E$111">
            <a:extLst>
              <a:ext uri="{FF2B5EF4-FFF2-40B4-BE49-F238E27FC236}">
                <a16:creationId xmlns:a16="http://schemas.microsoft.com/office/drawing/2014/main" id="{00000000-0008-0000-0200-0000B20800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7" name="$E$111">
            <a:extLst>
              <a:ext uri="{FF2B5EF4-FFF2-40B4-BE49-F238E27FC236}">
                <a16:creationId xmlns:a16="http://schemas.microsoft.com/office/drawing/2014/main" id="{00000000-0008-0000-0200-0000B30800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8" name="$E$111">
            <a:extLst>
              <a:ext uri="{FF2B5EF4-FFF2-40B4-BE49-F238E27FC236}">
                <a16:creationId xmlns:a16="http://schemas.microsoft.com/office/drawing/2014/main" id="{00000000-0008-0000-0200-0000B40800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9" name="$E$111">
            <a:extLst>
              <a:ext uri="{FF2B5EF4-FFF2-40B4-BE49-F238E27FC236}">
                <a16:creationId xmlns:a16="http://schemas.microsoft.com/office/drawing/2014/main" id="{00000000-0008-0000-0200-0000B50800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0" name="$E$111">
            <a:extLst>
              <a:ext uri="{FF2B5EF4-FFF2-40B4-BE49-F238E27FC236}">
                <a16:creationId xmlns:a16="http://schemas.microsoft.com/office/drawing/2014/main" id="{00000000-0008-0000-0200-0000B60800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1" name="$E$111">
            <a:extLst>
              <a:ext uri="{FF2B5EF4-FFF2-40B4-BE49-F238E27FC236}">
                <a16:creationId xmlns:a16="http://schemas.microsoft.com/office/drawing/2014/main" id="{00000000-0008-0000-0200-0000B70800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2" name="$E$111">
            <a:extLst>
              <a:ext uri="{FF2B5EF4-FFF2-40B4-BE49-F238E27FC236}">
                <a16:creationId xmlns:a16="http://schemas.microsoft.com/office/drawing/2014/main" id="{00000000-0008-0000-0200-0000B80800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3" name="$E$111">
            <a:extLst>
              <a:ext uri="{FF2B5EF4-FFF2-40B4-BE49-F238E27FC236}">
                <a16:creationId xmlns:a16="http://schemas.microsoft.com/office/drawing/2014/main" id="{00000000-0008-0000-0200-0000B90800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4" name="$E$111">
            <a:extLst>
              <a:ext uri="{FF2B5EF4-FFF2-40B4-BE49-F238E27FC236}">
                <a16:creationId xmlns:a16="http://schemas.microsoft.com/office/drawing/2014/main" id="{00000000-0008-0000-0200-0000BA0800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5" name="$E$111">
            <a:extLst>
              <a:ext uri="{FF2B5EF4-FFF2-40B4-BE49-F238E27FC236}">
                <a16:creationId xmlns:a16="http://schemas.microsoft.com/office/drawing/2014/main" id="{00000000-0008-0000-0200-0000BB0800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6" name="$E$111">
            <a:extLst>
              <a:ext uri="{FF2B5EF4-FFF2-40B4-BE49-F238E27FC236}">
                <a16:creationId xmlns:a16="http://schemas.microsoft.com/office/drawing/2014/main" id="{00000000-0008-0000-0200-0000BC0800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7" name="$E$111">
            <a:extLst>
              <a:ext uri="{FF2B5EF4-FFF2-40B4-BE49-F238E27FC236}">
                <a16:creationId xmlns:a16="http://schemas.microsoft.com/office/drawing/2014/main" id="{00000000-0008-0000-0200-0000BD0800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8" name="$E$111">
            <a:extLst>
              <a:ext uri="{FF2B5EF4-FFF2-40B4-BE49-F238E27FC236}">
                <a16:creationId xmlns:a16="http://schemas.microsoft.com/office/drawing/2014/main" id="{00000000-0008-0000-0200-0000BE0800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9" name="$E$111">
            <a:extLst>
              <a:ext uri="{FF2B5EF4-FFF2-40B4-BE49-F238E27FC236}">
                <a16:creationId xmlns:a16="http://schemas.microsoft.com/office/drawing/2014/main" id="{00000000-0008-0000-0200-0000BF0800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0" name="$E$111">
            <a:extLst>
              <a:ext uri="{FF2B5EF4-FFF2-40B4-BE49-F238E27FC236}">
                <a16:creationId xmlns:a16="http://schemas.microsoft.com/office/drawing/2014/main" id="{00000000-0008-0000-0200-0000C00800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1" name="$E$111">
            <a:extLst>
              <a:ext uri="{FF2B5EF4-FFF2-40B4-BE49-F238E27FC236}">
                <a16:creationId xmlns:a16="http://schemas.microsoft.com/office/drawing/2014/main" id="{00000000-0008-0000-0200-0000C10800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2" name="$E$111">
            <a:extLst>
              <a:ext uri="{FF2B5EF4-FFF2-40B4-BE49-F238E27FC236}">
                <a16:creationId xmlns:a16="http://schemas.microsoft.com/office/drawing/2014/main" id="{00000000-0008-0000-0200-0000C2080000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3" name="$E$111">
            <a:extLst>
              <a:ext uri="{FF2B5EF4-FFF2-40B4-BE49-F238E27FC236}">
                <a16:creationId xmlns:a16="http://schemas.microsoft.com/office/drawing/2014/main" id="{00000000-0008-0000-0200-0000C3080000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4" name="$E$111">
            <a:extLst>
              <a:ext uri="{FF2B5EF4-FFF2-40B4-BE49-F238E27FC236}">
                <a16:creationId xmlns:a16="http://schemas.microsoft.com/office/drawing/2014/main" id="{00000000-0008-0000-0200-0000C4080000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5" name="$E$111">
            <a:extLst>
              <a:ext uri="{FF2B5EF4-FFF2-40B4-BE49-F238E27FC236}">
                <a16:creationId xmlns:a16="http://schemas.microsoft.com/office/drawing/2014/main" id="{00000000-0008-0000-0200-0000C5080000}"/>
              </a:ext>
            </a:extLst>
          </xdr:cNvPr>
          <xdr:cNvSpPr/>
        </xdr:nvSpPr>
        <xdr:spPr>
          <a:xfrm>
            <a:off x="419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6" name="$E$111">
            <a:extLst>
              <a:ext uri="{FF2B5EF4-FFF2-40B4-BE49-F238E27FC236}">
                <a16:creationId xmlns:a16="http://schemas.microsoft.com/office/drawing/2014/main" id="{00000000-0008-0000-0200-0000C6080000}"/>
              </a:ext>
            </a:extLst>
          </xdr:cNvPr>
          <xdr:cNvSpPr/>
        </xdr:nvSpPr>
        <xdr:spPr>
          <a:xfrm>
            <a:off x="431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7" name="$E$111">
            <a:extLst>
              <a:ext uri="{FF2B5EF4-FFF2-40B4-BE49-F238E27FC236}">
                <a16:creationId xmlns:a16="http://schemas.microsoft.com/office/drawing/2014/main" id="{00000000-0008-0000-0200-0000C7080000}"/>
              </a:ext>
            </a:extLst>
          </xdr:cNvPr>
          <xdr:cNvSpPr/>
        </xdr:nvSpPr>
        <xdr:spPr>
          <a:xfrm>
            <a:off x="444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8" name="$E$111">
            <a:extLst>
              <a:ext uri="{FF2B5EF4-FFF2-40B4-BE49-F238E27FC236}">
                <a16:creationId xmlns:a16="http://schemas.microsoft.com/office/drawing/2014/main" id="{00000000-0008-0000-0200-0000C8080000}"/>
              </a:ext>
            </a:extLst>
          </xdr:cNvPr>
          <xdr:cNvSpPr/>
        </xdr:nvSpPr>
        <xdr:spPr>
          <a:xfrm>
            <a:off x="457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9" name="$E$111">
            <a:extLst>
              <a:ext uri="{FF2B5EF4-FFF2-40B4-BE49-F238E27FC236}">
                <a16:creationId xmlns:a16="http://schemas.microsoft.com/office/drawing/2014/main" id="{00000000-0008-0000-0200-0000C9080000}"/>
              </a:ext>
            </a:extLst>
          </xdr:cNvPr>
          <xdr:cNvSpPr/>
        </xdr:nvSpPr>
        <xdr:spPr>
          <a:xfrm>
            <a:off x="101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0" name="$E$111">
            <a:extLst>
              <a:ext uri="{FF2B5EF4-FFF2-40B4-BE49-F238E27FC236}">
                <a16:creationId xmlns:a16="http://schemas.microsoft.com/office/drawing/2014/main" id="{00000000-0008-0000-0200-0000CA080000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1" name="$E$111">
            <a:extLst>
              <a:ext uri="{FF2B5EF4-FFF2-40B4-BE49-F238E27FC236}">
                <a16:creationId xmlns:a16="http://schemas.microsoft.com/office/drawing/2014/main" id="{00000000-0008-0000-0200-0000CB0800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2" name="$E$111">
            <a:extLst>
              <a:ext uri="{FF2B5EF4-FFF2-40B4-BE49-F238E27FC236}">
                <a16:creationId xmlns:a16="http://schemas.microsoft.com/office/drawing/2014/main" id="{00000000-0008-0000-0200-0000CC0800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3" name="$E$111">
            <a:extLst>
              <a:ext uri="{FF2B5EF4-FFF2-40B4-BE49-F238E27FC236}">
                <a16:creationId xmlns:a16="http://schemas.microsoft.com/office/drawing/2014/main" id="{00000000-0008-0000-0200-0000CD0800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4" name="$E$111">
            <a:extLst>
              <a:ext uri="{FF2B5EF4-FFF2-40B4-BE49-F238E27FC236}">
                <a16:creationId xmlns:a16="http://schemas.microsoft.com/office/drawing/2014/main" id="{00000000-0008-0000-0200-0000CE080000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5" name="$E$111">
            <a:extLst>
              <a:ext uri="{FF2B5EF4-FFF2-40B4-BE49-F238E27FC236}">
                <a16:creationId xmlns:a16="http://schemas.microsoft.com/office/drawing/2014/main" id="{00000000-0008-0000-0200-0000CF080000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6" name="$E$111">
            <a:extLst>
              <a:ext uri="{FF2B5EF4-FFF2-40B4-BE49-F238E27FC236}">
                <a16:creationId xmlns:a16="http://schemas.microsoft.com/office/drawing/2014/main" id="{00000000-0008-0000-0200-0000D0080000}"/>
              </a:ext>
            </a:extLst>
          </xdr:cNvPr>
          <xdr:cNvSpPr/>
        </xdr:nvSpPr>
        <xdr:spPr>
          <a:xfrm>
            <a:off x="279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7" name="$E$111">
            <a:extLst>
              <a:ext uri="{FF2B5EF4-FFF2-40B4-BE49-F238E27FC236}">
                <a16:creationId xmlns:a16="http://schemas.microsoft.com/office/drawing/2014/main" id="{00000000-0008-0000-0200-0000D1080000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8" name="$E$111">
            <a:extLst>
              <a:ext uri="{FF2B5EF4-FFF2-40B4-BE49-F238E27FC236}">
                <a16:creationId xmlns:a16="http://schemas.microsoft.com/office/drawing/2014/main" id="{00000000-0008-0000-0200-0000D2080000}"/>
              </a:ext>
            </a:extLst>
          </xdr:cNvPr>
          <xdr:cNvSpPr/>
        </xdr:nvSpPr>
        <xdr:spPr>
          <a:xfrm>
            <a:off x="3302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9" name="$E$111">
            <a:extLst>
              <a:ext uri="{FF2B5EF4-FFF2-40B4-BE49-F238E27FC236}">
                <a16:creationId xmlns:a16="http://schemas.microsoft.com/office/drawing/2014/main" id="{00000000-0008-0000-0200-0000D3080000}"/>
              </a:ext>
            </a:extLst>
          </xdr:cNvPr>
          <xdr:cNvSpPr/>
        </xdr:nvSpPr>
        <xdr:spPr>
          <a:xfrm>
            <a:off x="342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0" name="$E$111">
            <a:extLst>
              <a:ext uri="{FF2B5EF4-FFF2-40B4-BE49-F238E27FC236}">
                <a16:creationId xmlns:a16="http://schemas.microsoft.com/office/drawing/2014/main" id="{00000000-0008-0000-0200-0000D4080000}"/>
              </a:ext>
            </a:extLst>
          </xdr:cNvPr>
          <xdr:cNvSpPr/>
        </xdr:nvSpPr>
        <xdr:spPr>
          <a:xfrm>
            <a:off x="355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1" name="$E$111">
            <a:extLst>
              <a:ext uri="{FF2B5EF4-FFF2-40B4-BE49-F238E27FC236}">
                <a16:creationId xmlns:a16="http://schemas.microsoft.com/office/drawing/2014/main" id="{00000000-0008-0000-0200-0000D50800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2" name="$E$111">
            <a:extLst>
              <a:ext uri="{FF2B5EF4-FFF2-40B4-BE49-F238E27FC236}">
                <a16:creationId xmlns:a16="http://schemas.microsoft.com/office/drawing/2014/main" id="{00000000-0008-0000-0200-0000D6080000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3" name="$E$111">
            <a:extLst>
              <a:ext uri="{FF2B5EF4-FFF2-40B4-BE49-F238E27FC236}">
                <a16:creationId xmlns:a16="http://schemas.microsoft.com/office/drawing/2014/main" id="{00000000-0008-0000-0200-0000D70800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4" name="$E$111">
            <a:extLst>
              <a:ext uri="{FF2B5EF4-FFF2-40B4-BE49-F238E27FC236}">
                <a16:creationId xmlns:a16="http://schemas.microsoft.com/office/drawing/2014/main" id="{00000000-0008-0000-0200-0000D8080000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5" name="$E$111">
            <a:extLst>
              <a:ext uri="{FF2B5EF4-FFF2-40B4-BE49-F238E27FC236}">
                <a16:creationId xmlns:a16="http://schemas.microsoft.com/office/drawing/2014/main" id="{00000000-0008-0000-0200-0000D90800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6" name="$E$111">
            <a:extLst>
              <a:ext uri="{FF2B5EF4-FFF2-40B4-BE49-F238E27FC236}">
                <a16:creationId xmlns:a16="http://schemas.microsoft.com/office/drawing/2014/main" id="{00000000-0008-0000-0200-0000DA0800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7" name="$E$111">
            <a:extLst>
              <a:ext uri="{FF2B5EF4-FFF2-40B4-BE49-F238E27FC236}">
                <a16:creationId xmlns:a16="http://schemas.microsoft.com/office/drawing/2014/main" id="{00000000-0008-0000-0200-0000DB0800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8" name="$E$111">
            <a:extLst>
              <a:ext uri="{FF2B5EF4-FFF2-40B4-BE49-F238E27FC236}">
                <a16:creationId xmlns:a16="http://schemas.microsoft.com/office/drawing/2014/main" id="{00000000-0008-0000-0200-0000DC0800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9" name="$E$111">
            <a:extLst>
              <a:ext uri="{FF2B5EF4-FFF2-40B4-BE49-F238E27FC236}">
                <a16:creationId xmlns:a16="http://schemas.microsoft.com/office/drawing/2014/main" id="{00000000-0008-0000-0200-0000DD0800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0" name="$E$111">
            <a:extLst>
              <a:ext uri="{FF2B5EF4-FFF2-40B4-BE49-F238E27FC236}">
                <a16:creationId xmlns:a16="http://schemas.microsoft.com/office/drawing/2014/main" id="{00000000-0008-0000-0200-0000DE080000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1" name="$E$111">
            <a:extLst>
              <a:ext uri="{FF2B5EF4-FFF2-40B4-BE49-F238E27FC236}">
                <a16:creationId xmlns:a16="http://schemas.microsoft.com/office/drawing/2014/main" id="{00000000-0008-0000-0200-0000DF0800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2" name="$E$111">
            <a:extLst>
              <a:ext uri="{FF2B5EF4-FFF2-40B4-BE49-F238E27FC236}">
                <a16:creationId xmlns:a16="http://schemas.microsoft.com/office/drawing/2014/main" id="{00000000-0008-0000-0200-0000E00800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3" name="$E$111">
            <a:extLst>
              <a:ext uri="{FF2B5EF4-FFF2-40B4-BE49-F238E27FC236}">
                <a16:creationId xmlns:a16="http://schemas.microsoft.com/office/drawing/2014/main" id="{00000000-0008-0000-0200-0000E10800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4" name="$E$111">
            <a:extLst>
              <a:ext uri="{FF2B5EF4-FFF2-40B4-BE49-F238E27FC236}">
                <a16:creationId xmlns:a16="http://schemas.microsoft.com/office/drawing/2014/main" id="{00000000-0008-0000-0200-0000E20800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5" name="$E$111">
            <a:extLst>
              <a:ext uri="{FF2B5EF4-FFF2-40B4-BE49-F238E27FC236}">
                <a16:creationId xmlns:a16="http://schemas.microsoft.com/office/drawing/2014/main" id="{00000000-0008-0000-0200-0000E3080000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6" name="$E$111">
            <a:extLst>
              <a:ext uri="{FF2B5EF4-FFF2-40B4-BE49-F238E27FC236}">
                <a16:creationId xmlns:a16="http://schemas.microsoft.com/office/drawing/2014/main" id="{00000000-0008-0000-0200-0000E4080000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7" name="$E$111">
            <a:extLst>
              <a:ext uri="{FF2B5EF4-FFF2-40B4-BE49-F238E27FC236}">
                <a16:creationId xmlns:a16="http://schemas.microsoft.com/office/drawing/2014/main" id="{00000000-0008-0000-0200-0000E5080000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8" name="$E$111">
            <a:extLst>
              <a:ext uri="{FF2B5EF4-FFF2-40B4-BE49-F238E27FC236}">
                <a16:creationId xmlns:a16="http://schemas.microsoft.com/office/drawing/2014/main" id="{00000000-0008-0000-0200-0000E6080000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9" name="$E$111">
            <a:extLst>
              <a:ext uri="{FF2B5EF4-FFF2-40B4-BE49-F238E27FC236}">
                <a16:creationId xmlns:a16="http://schemas.microsoft.com/office/drawing/2014/main" id="{00000000-0008-0000-0200-0000E7080000}"/>
              </a:ext>
            </a:extLst>
          </xdr:cNvPr>
          <xdr:cNvSpPr/>
        </xdr:nvSpPr>
        <xdr:spPr>
          <a:xfrm>
            <a:off x="381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0" name="$E$111">
            <a:extLst>
              <a:ext uri="{FF2B5EF4-FFF2-40B4-BE49-F238E27FC236}">
                <a16:creationId xmlns:a16="http://schemas.microsoft.com/office/drawing/2014/main" id="{00000000-0008-0000-0200-0000E8080000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1" name="$E$111">
            <a:extLst>
              <a:ext uri="{FF2B5EF4-FFF2-40B4-BE49-F238E27FC236}">
                <a16:creationId xmlns:a16="http://schemas.microsoft.com/office/drawing/2014/main" id="{00000000-0008-0000-0200-0000E9080000}"/>
              </a:ext>
            </a:extLst>
          </xdr:cNvPr>
          <xdr:cNvSpPr/>
        </xdr:nvSpPr>
        <xdr:spPr>
          <a:xfrm>
            <a:off x="406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2" name="$E$111">
            <a:extLst>
              <a:ext uri="{FF2B5EF4-FFF2-40B4-BE49-F238E27FC236}">
                <a16:creationId xmlns:a16="http://schemas.microsoft.com/office/drawing/2014/main" id="{00000000-0008-0000-0200-0000EA080000}"/>
              </a:ext>
            </a:extLst>
          </xdr:cNvPr>
          <xdr:cNvSpPr/>
        </xdr:nvSpPr>
        <xdr:spPr>
          <a:xfrm>
            <a:off x="419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3" name="$E$111">
            <a:extLst>
              <a:ext uri="{FF2B5EF4-FFF2-40B4-BE49-F238E27FC236}">
                <a16:creationId xmlns:a16="http://schemas.microsoft.com/office/drawing/2014/main" id="{00000000-0008-0000-0200-0000EB080000}"/>
              </a:ext>
            </a:extLst>
          </xdr:cNvPr>
          <xdr:cNvSpPr/>
        </xdr:nvSpPr>
        <xdr:spPr>
          <a:xfrm>
            <a:off x="431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4" name="$E$111">
            <a:extLst>
              <a:ext uri="{FF2B5EF4-FFF2-40B4-BE49-F238E27FC236}">
                <a16:creationId xmlns:a16="http://schemas.microsoft.com/office/drawing/2014/main" id="{00000000-0008-0000-0200-0000EC080000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5" name="$E$111">
            <a:extLst>
              <a:ext uri="{FF2B5EF4-FFF2-40B4-BE49-F238E27FC236}">
                <a16:creationId xmlns:a16="http://schemas.microsoft.com/office/drawing/2014/main" id="{00000000-0008-0000-0200-0000ED0800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6" name="$E$111">
            <a:extLst>
              <a:ext uri="{FF2B5EF4-FFF2-40B4-BE49-F238E27FC236}">
                <a16:creationId xmlns:a16="http://schemas.microsoft.com/office/drawing/2014/main" id="{00000000-0008-0000-0200-0000EE0800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7" name="$E$111">
            <a:extLst>
              <a:ext uri="{FF2B5EF4-FFF2-40B4-BE49-F238E27FC236}">
                <a16:creationId xmlns:a16="http://schemas.microsoft.com/office/drawing/2014/main" id="{00000000-0008-0000-0200-0000EF08000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8" name="$E$111">
            <a:extLst>
              <a:ext uri="{FF2B5EF4-FFF2-40B4-BE49-F238E27FC236}">
                <a16:creationId xmlns:a16="http://schemas.microsoft.com/office/drawing/2014/main" id="{00000000-0008-0000-0200-0000F00800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9" name="$E$111">
            <a:extLst>
              <a:ext uri="{FF2B5EF4-FFF2-40B4-BE49-F238E27FC236}">
                <a16:creationId xmlns:a16="http://schemas.microsoft.com/office/drawing/2014/main" id="{00000000-0008-0000-0200-0000F1080000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0" name="$E$111">
            <a:extLst>
              <a:ext uri="{FF2B5EF4-FFF2-40B4-BE49-F238E27FC236}">
                <a16:creationId xmlns:a16="http://schemas.microsoft.com/office/drawing/2014/main" id="{00000000-0008-0000-0200-0000F2080000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1" name="$E$111">
            <a:extLst>
              <a:ext uri="{FF2B5EF4-FFF2-40B4-BE49-F238E27FC236}">
                <a16:creationId xmlns:a16="http://schemas.microsoft.com/office/drawing/2014/main" id="{00000000-0008-0000-0200-0000F30800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2" name="$E$111">
            <a:extLst>
              <a:ext uri="{FF2B5EF4-FFF2-40B4-BE49-F238E27FC236}">
                <a16:creationId xmlns:a16="http://schemas.microsoft.com/office/drawing/2014/main" id="{00000000-0008-0000-0200-0000F4080000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3" name="$E$111">
            <a:extLst>
              <a:ext uri="{FF2B5EF4-FFF2-40B4-BE49-F238E27FC236}">
                <a16:creationId xmlns:a16="http://schemas.microsoft.com/office/drawing/2014/main" id="{00000000-0008-0000-0200-0000F5080000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4" name="$E$111">
            <a:extLst>
              <a:ext uri="{FF2B5EF4-FFF2-40B4-BE49-F238E27FC236}">
                <a16:creationId xmlns:a16="http://schemas.microsoft.com/office/drawing/2014/main" id="{00000000-0008-0000-0200-0000F60800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5" name="$E$111">
            <a:extLst>
              <a:ext uri="{FF2B5EF4-FFF2-40B4-BE49-F238E27FC236}">
                <a16:creationId xmlns:a16="http://schemas.microsoft.com/office/drawing/2014/main" id="{00000000-0008-0000-0200-0000F7080000}"/>
              </a:ext>
            </a:extLst>
          </xdr:cNvPr>
          <xdr:cNvSpPr/>
        </xdr:nvSpPr>
        <xdr:spPr>
          <a:xfrm>
            <a:off x="355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6" name="$E$111">
            <a:extLst>
              <a:ext uri="{FF2B5EF4-FFF2-40B4-BE49-F238E27FC236}">
                <a16:creationId xmlns:a16="http://schemas.microsoft.com/office/drawing/2014/main" id="{00000000-0008-0000-0200-0000F8080000}"/>
              </a:ext>
            </a:extLst>
          </xdr:cNvPr>
          <xdr:cNvSpPr/>
        </xdr:nvSpPr>
        <xdr:spPr>
          <a:xfrm>
            <a:off x="431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7" name="$E$111">
            <a:extLst>
              <a:ext uri="{FF2B5EF4-FFF2-40B4-BE49-F238E27FC236}">
                <a16:creationId xmlns:a16="http://schemas.microsoft.com/office/drawing/2014/main" id="{00000000-0008-0000-0200-0000F9080000}"/>
              </a:ext>
            </a:extLst>
          </xdr:cNvPr>
          <xdr:cNvSpPr/>
        </xdr:nvSpPr>
        <xdr:spPr>
          <a:xfrm>
            <a:off x="444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8" name="$E$111">
            <a:extLst>
              <a:ext uri="{FF2B5EF4-FFF2-40B4-BE49-F238E27FC236}">
                <a16:creationId xmlns:a16="http://schemas.microsoft.com/office/drawing/2014/main" id="{00000000-0008-0000-0200-0000FA080000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9" name="$E$111">
            <a:extLst>
              <a:ext uri="{FF2B5EF4-FFF2-40B4-BE49-F238E27FC236}">
                <a16:creationId xmlns:a16="http://schemas.microsoft.com/office/drawing/2014/main" id="{00000000-0008-0000-0200-0000FB080000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0" name="$E$111">
            <a:extLst>
              <a:ext uri="{FF2B5EF4-FFF2-40B4-BE49-F238E27FC236}">
                <a16:creationId xmlns:a16="http://schemas.microsoft.com/office/drawing/2014/main" id="{00000000-0008-0000-0200-0000FC0800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1" name="$E$111">
            <a:extLst>
              <a:ext uri="{FF2B5EF4-FFF2-40B4-BE49-F238E27FC236}">
                <a16:creationId xmlns:a16="http://schemas.microsoft.com/office/drawing/2014/main" id="{00000000-0008-0000-0200-0000FD0800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2" name="$E$111">
            <a:extLst>
              <a:ext uri="{FF2B5EF4-FFF2-40B4-BE49-F238E27FC236}">
                <a16:creationId xmlns:a16="http://schemas.microsoft.com/office/drawing/2014/main" id="{00000000-0008-0000-0200-0000FE080000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3" name="$E$111">
            <a:extLst>
              <a:ext uri="{FF2B5EF4-FFF2-40B4-BE49-F238E27FC236}">
                <a16:creationId xmlns:a16="http://schemas.microsoft.com/office/drawing/2014/main" id="{00000000-0008-0000-0200-0000FF0800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4" name="$E$111">
            <a:extLst>
              <a:ext uri="{FF2B5EF4-FFF2-40B4-BE49-F238E27FC236}">
                <a16:creationId xmlns:a16="http://schemas.microsoft.com/office/drawing/2014/main" id="{00000000-0008-0000-0200-0000000900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5" name="$E$111">
            <a:extLst>
              <a:ext uri="{FF2B5EF4-FFF2-40B4-BE49-F238E27FC236}">
                <a16:creationId xmlns:a16="http://schemas.microsoft.com/office/drawing/2014/main" id="{00000000-0008-0000-0200-0000010900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6" name="$E$111">
            <a:extLst>
              <a:ext uri="{FF2B5EF4-FFF2-40B4-BE49-F238E27FC236}">
                <a16:creationId xmlns:a16="http://schemas.microsoft.com/office/drawing/2014/main" id="{00000000-0008-0000-0200-0000020900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7" name="$E$111">
            <a:extLst>
              <a:ext uri="{FF2B5EF4-FFF2-40B4-BE49-F238E27FC236}">
                <a16:creationId xmlns:a16="http://schemas.microsoft.com/office/drawing/2014/main" id="{00000000-0008-0000-0200-0000030900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8" name="$E$111">
            <a:extLst>
              <a:ext uri="{FF2B5EF4-FFF2-40B4-BE49-F238E27FC236}">
                <a16:creationId xmlns:a16="http://schemas.microsoft.com/office/drawing/2014/main" id="{00000000-0008-0000-0200-000004090000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9" name="$E$111">
            <a:extLst>
              <a:ext uri="{FF2B5EF4-FFF2-40B4-BE49-F238E27FC236}">
                <a16:creationId xmlns:a16="http://schemas.microsoft.com/office/drawing/2014/main" id="{00000000-0008-0000-0200-0000050900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0" name="$E$111">
            <a:extLst>
              <a:ext uri="{FF2B5EF4-FFF2-40B4-BE49-F238E27FC236}">
                <a16:creationId xmlns:a16="http://schemas.microsoft.com/office/drawing/2014/main" id="{00000000-0008-0000-0200-0000060900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1" name="$E$111">
            <a:extLst>
              <a:ext uri="{FF2B5EF4-FFF2-40B4-BE49-F238E27FC236}">
                <a16:creationId xmlns:a16="http://schemas.microsoft.com/office/drawing/2014/main" id="{00000000-0008-0000-0200-000007090000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2" name="$E$111">
            <a:extLst>
              <a:ext uri="{FF2B5EF4-FFF2-40B4-BE49-F238E27FC236}">
                <a16:creationId xmlns:a16="http://schemas.microsoft.com/office/drawing/2014/main" id="{00000000-0008-0000-0200-000008090000}"/>
              </a:ext>
            </a:extLst>
          </xdr:cNvPr>
          <xdr:cNvSpPr/>
        </xdr:nvSpPr>
        <xdr:spPr>
          <a:xfrm>
            <a:off x="381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3" name="$E$111">
            <a:extLst>
              <a:ext uri="{FF2B5EF4-FFF2-40B4-BE49-F238E27FC236}">
                <a16:creationId xmlns:a16="http://schemas.microsoft.com/office/drawing/2014/main" id="{00000000-0008-0000-0200-000009090000}"/>
              </a:ext>
            </a:extLst>
          </xdr:cNvPr>
          <xdr:cNvSpPr/>
        </xdr:nvSpPr>
        <xdr:spPr>
          <a:xfrm>
            <a:off x="406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4" name="$E$111">
            <a:extLst>
              <a:ext uri="{FF2B5EF4-FFF2-40B4-BE49-F238E27FC236}">
                <a16:creationId xmlns:a16="http://schemas.microsoft.com/office/drawing/2014/main" id="{00000000-0008-0000-0200-00000A090000}"/>
              </a:ext>
            </a:extLst>
          </xdr:cNvPr>
          <xdr:cNvSpPr/>
        </xdr:nvSpPr>
        <xdr:spPr>
          <a:xfrm>
            <a:off x="444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5" name="$E$111">
            <a:extLst>
              <a:ext uri="{FF2B5EF4-FFF2-40B4-BE49-F238E27FC236}">
                <a16:creationId xmlns:a16="http://schemas.microsoft.com/office/drawing/2014/main" id="{00000000-0008-0000-0200-00000B090000}"/>
              </a:ext>
            </a:extLst>
          </xdr:cNvPr>
          <xdr:cNvSpPr/>
        </xdr:nvSpPr>
        <xdr:spPr>
          <a:xfrm>
            <a:off x="457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6" name="$E$111">
            <a:extLst>
              <a:ext uri="{FF2B5EF4-FFF2-40B4-BE49-F238E27FC236}">
                <a16:creationId xmlns:a16="http://schemas.microsoft.com/office/drawing/2014/main" id="{00000000-0008-0000-0200-00000C0900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7" name="$E$111">
            <a:extLst>
              <a:ext uri="{FF2B5EF4-FFF2-40B4-BE49-F238E27FC236}">
                <a16:creationId xmlns:a16="http://schemas.microsoft.com/office/drawing/2014/main" id="{00000000-0008-0000-0200-00000D090000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8" name="$E$111">
            <a:extLst>
              <a:ext uri="{FF2B5EF4-FFF2-40B4-BE49-F238E27FC236}">
                <a16:creationId xmlns:a16="http://schemas.microsoft.com/office/drawing/2014/main" id="{00000000-0008-0000-0200-00000E0900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9" name="$E$111">
            <a:extLst>
              <a:ext uri="{FF2B5EF4-FFF2-40B4-BE49-F238E27FC236}">
                <a16:creationId xmlns:a16="http://schemas.microsoft.com/office/drawing/2014/main" id="{00000000-0008-0000-0200-00000F090000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0" name="$E$111">
            <a:extLst>
              <a:ext uri="{FF2B5EF4-FFF2-40B4-BE49-F238E27FC236}">
                <a16:creationId xmlns:a16="http://schemas.microsoft.com/office/drawing/2014/main" id="{00000000-0008-0000-0200-0000100900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1" name="$E$111">
            <a:extLst>
              <a:ext uri="{FF2B5EF4-FFF2-40B4-BE49-F238E27FC236}">
                <a16:creationId xmlns:a16="http://schemas.microsoft.com/office/drawing/2014/main" id="{00000000-0008-0000-0200-000011090000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2" name="$E$111">
            <a:extLst>
              <a:ext uri="{FF2B5EF4-FFF2-40B4-BE49-F238E27FC236}">
                <a16:creationId xmlns:a16="http://schemas.microsoft.com/office/drawing/2014/main" id="{00000000-0008-0000-0200-000012090000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3" name="$E$111">
            <a:extLst>
              <a:ext uri="{FF2B5EF4-FFF2-40B4-BE49-F238E27FC236}">
                <a16:creationId xmlns:a16="http://schemas.microsoft.com/office/drawing/2014/main" id="{00000000-0008-0000-0200-000013090000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4" name="$E$111">
            <a:extLst>
              <a:ext uri="{FF2B5EF4-FFF2-40B4-BE49-F238E27FC236}">
                <a16:creationId xmlns:a16="http://schemas.microsoft.com/office/drawing/2014/main" id="{00000000-0008-0000-0200-0000140900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5" name="$E$111">
            <a:extLst>
              <a:ext uri="{FF2B5EF4-FFF2-40B4-BE49-F238E27FC236}">
                <a16:creationId xmlns:a16="http://schemas.microsoft.com/office/drawing/2014/main" id="{00000000-0008-0000-0200-0000150900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6" name="$E$111">
            <a:extLst>
              <a:ext uri="{FF2B5EF4-FFF2-40B4-BE49-F238E27FC236}">
                <a16:creationId xmlns:a16="http://schemas.microsoft.com/office/drawing/2014/main" id="{00000000-0008-0000-0200-000016090000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7" name="$E$111">
            <a:extLst>
              <a:ext uri="{FF2B5EF4-FFF2-40B4-BE49-F238E27FC236}">
                <a16:creationId xmlns:a16="http://schemas.microsoft.com/office/drawing/2014/main" id="{00000000-0008-0000-0200-000017090000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8" name="$E$111">
            <a:extLst>
              <a:ext uri="{FF2B5EF4-FFF2-40B4-BE49-F238E27FC236}">
                <a16:creationId xmlns:a16="http://schemas.microsoft.com/office/drawing/2014/main" id="{00000000-0008-0000-0200-000018090000}"/>
              </a:ext>
            </a:extLst>
          </xdr:cNvPr>
          <xdr:cNvSpPr/>
        </xdr:nvSpPr>
        <xdr:spPr>
          <a:xfrm>
            <a:off x="330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9" name="$E$111">
            <a:extLst>
              <a:ext uri="{FF2B5EF4-FFF2-40B4-BE49-F238E27FC236}">
                <a16:creationId xmlns:a16="http://schemas.microsoft.com/office/drawing/2014/main" id="{00000000-0008-0000-0200-000019090000}"/>
              </a:ext>
            </a:extLst>
          </xdr:cNvPr>
          <xdr:cNvSpPr/>
        </xdr:nvSpPr>
        <xdr:spPr>
          <a:xfrm>
            <a:off x="342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0" name="$E$111">
            <a:extLst>
              <a:ext uri="{FF2B5EF4-FFF2-40B4-BE49-F238E27FC236}">
                <a16:creationId xmlns:a16="http://schemas.microsoft.com/office/drawing/2014/main" id="{00000000-0008-0000-0200-00001A090000}"/>
              </a:ext>
            </a:extLst>
          </xdr:cNvPr>
          <xdr:cNvSpPr/>
        </xdr:nvSpPr>
        <xdr:spPr>
          <a:xfrm>
            <a:off x="355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1" name="$E$111">
            <a:extLst>
              <a:ext uri="{FF2B5EF4-FFF2-40B4-BE49-F238E27FC236}">
                <a16:creationId xmlns:a16="http://schemas.microsoft.com/office/drawing/2014/main" id="{00000000-0008-0000-0200-00001B090000}"/>
              </a:ext>
            </a:extLst>
          </xdr:cNvPr>
          <xdr:cNvSpPr/>
        </xdr:nvSpPr>
        <xdr:spPr>
          <a:xfrm>
            <a:off x="368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2" name="$E$111">
            <a:extLst>
              <a:ext uri="{FF2B5EF4-FFF2-40B4-BE49-F238E27FC236}">
                <a16:creationId xmlns:a16="http://schemas.microsoft.com/office/drawing/2014/main" id="{00000000-0008-0000-0200-00001C090000}"/>
              </a:ext>
            </a:extLst>
          </xdr:cNvPr>
          <xdr:cNvSpPr/>
        </xdr:nvSpPr>
        <xdr:spPr>
          <a:xfrm>
            <a:off x="457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3" name="$E$111">
            <a:extLst>
              <a:ext uri="{FF2B5EF4-FFF2-40B4-BE49-F238E27FC236}">
                <a16:creationId xmlns:a16="http://schemas.microsoft.com/office/drawing/2014/main" id="{00000000-0008-0000-0200-00001D090000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4" name="$E$111">
            <a:extLst>
              <a:ext uri="{FF2B5EF4-FFF2-40B4-BE49-F238E27FC236}">
                <a16:creationId xmlns:a16="http://schemas.microsoft.com/office/drawing/2014/main" id="{00000000-0008-0000-0200-00001E090000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5" name="$E$111">
            <a:extLst>
              <a:ext uri="{FF2B5EF4-FFF2-40B4-BE49-F238E27FC236}">
                <a16:creationId xmlns:a16="http://schemas.microsoft.com/office/drawing/2014/main" id="{00000000-0008-0000-0200-00001F090000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6" name="$E$111">
            <a:extLst>
              <a:ext uri="{FF2B5EF4-FFF2-40B4-BE49-F238E27FC236}">
                <a16:creationId xmlns:a16="http://schemas.microsoft.com/office/drawing/2014/main" id="{00000000-0008-0000-0200-0000200900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7" name="$E$111">
            <a:extLst>
              <a:ext uri="{FF2B5EF4-FFF2-40B4-BE49-F238E27FC236}">
                <a16:creationId xmlns:a16="http://schemas.microsoft.com/office/drawing/2014/main" id="{00000000-0008-0000-0200-0000210900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8" name="$E$111">
            <a:extLst>
              <a:ext uri="{FF2B5EF4-FFF2-40B4-BE49-F238E27FC236}">
                <a16:creationId xmlns:a16="http://schemas.microsoft.com/office/drawing/2014/main" id="{00000000-0008-0000-0200-0000220900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9" name="$E$111">
            <a:extLst>
              <a:ext uri="{FF2B5EF4-FFF2-40B4-BE49-F238E27FC236}">
                <a16:creationId xmlns:a16="http://schemas.microsoft.com/office/drawing/2014/main" id="{00000000-0008-0000-0200-0000230900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0" name="$E$111">
            <a:extLst>
              <a:ext uri="{FF2B5EF4-FFF2-40B4-BE49-F238E27FC236}">
                <a16:creationId xmlns:a16="http://schemas.microsoft.com/office/drawing/2014/main" id="{00000000-0008-0000-0200-0000240900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1" name="$E$111">
            <a:extLst>
              <a:ext uri="{FF2B5EF4-FFF2-40B4-BE49-F238E27FC236}">
                <a16:creationId xmlns:a16="http://schemas.microsoft.com/office/drawing/2014/main" id="{00000000-0008-0000-0200-0000250900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2" name="$E$111">
            <a:extLst>
              <a:ext uri="{FF2B5EF4-FFF2-40B4-BE49-F238E27FC236}">
                <a16:creationId xmlns:a16="http://schemas.microsoft.com/office/drawing/2014/main" id="{00000000-0008-0000-0200-0000260900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3" name="$E$111">
            <a:extLst>
              <a:ext uri="{FF2B5EF4-FFF2-40B4-BE49-F238E27FC236}">
                <a16:creationId xmlns:a16="http://schemas.microsoft.com/office/drawing/2014/main" id="{00000000-0008-0000-0200-000027090000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4" name="$E$111">
            <a:extLst>
              <a:ext uri="{FF2B5EF4-FFF2-40B4-BE49-F238E27FC236}">
                <a16:creationId xmlns:a16="http://schemas.microsoft.com/office/drawing/2014/main" id="{00000000-0008-0000-0200-000028090000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5" name="$E$111">
            <a:extLst>
              <a:ext uri="{FF2B5EF4-FFF2-40B4-BE49-F238E27FC236}">
                <a16:creationId xmlns:a16="http://schemas.microsoft.com/office/drawing/2014/main" id="{00000000-0008-0000-0200-0000290900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6" name="$E$111">
            <a:extLst>
              <a:ext uri="{FF2B5EF4-FFF2-40B4-BE49-F238E27FC236}">
                <a16:creationId xmlns:a16="http://schemas.microsoft.com/office/drawing/2014/main" id="{00000000-0008-0000-0200-00002A090000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7" name="$E$111">
            <a:extLst>
              <a:ext uri="{FF2B5EF4-FFF2-40B4-BE49-F238E27FC236}">
                <a16:creationId xmlns:a16="http://schemas.microsoft.com/office/drawing/2014/main" id="{00000000-0008-0000-0200-00002B090000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8" name="$E$111">
            <a:extLst>
              <a:ext uri="{FF2B5EF4-FFF2-40B4-BE49-F238E27FC236}">
                <a16:creationId xmlns:a16="http://schemas.microsoft.com/office/drawing/2014/main" id="{00000000-0008-0000-0200-00002C090000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9" name="$E$111">
            <a:extLst>
              <a:ext uri="{FF2B5EF4-FFF2-40B4-BE49-F238E27FC236}">
                <a16:creationId xmlns:a16="http://schemas.microsoft.com/office/drawing/2014/main" id="{00000000-0008-0000-0200-00002D090000}"/>
              </a:ext>
            </a:extLst>
          </xdr:cNvPr>
          <xdr:cNvSpPr/>
        </xdr:nvSpPr>
        <xdr:spPr>
          <a:xfrm>
            <a:off x="330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0" name="$E$111">
            <a:extLst>
              <a:ext uri="{FF2B5EF4-FFF2-40B4-BE49-F238E27FC236}">
                <a16:creationId xmlns:a16="http://schemas.microsoft.com/office/drawing/2014/main" id="{00000000-0008-0000-0200-00002E090000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1" name="$E$111">
            <a:extLst>
              <a:ext uri="{FF2B5EF4-FFF2-40B4-BE49-F238E27FC236}">
                <a16:creationId xmlns:a16="http://schemas.microsoft.com/office/drawing/2014/main" id="{00000000-0008-0000-0200-00002F090000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2" name="$E$111">
            <a:extLst>
              <a:ext uri="{FF2B5EF4-FFF2-40B4-BE49-F238E27FC236}">
                <a16:creationId xmlns:a16="http://schemas.microsoft.com/office/drawing/2014/main" id="{00000000-0008-0000-0200-000030090000}"/>
              </a:ext>
            </a:extLst>
          </xdr:cNvPr>
          <xdr:cNvSpPr/>
        </xdr:nvSpPr>
        <xdr:spPr>
          <a:xfrm>
            <a:off x="381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3" name="$E$111">
            <a:extLst>
              <a:ext uri="{FF2B5EF4-FFF2-40B4-BE49-F238E27FC236}">
                <a16:creationId xmlns:a16="http://schemas.microsoft.com/office/drawing/2014/main" id="{00000000-0008-0000-0200-000031090000}"/>
              </a:ext>
            </a:extLst>
          </xdr:cNvPr>
          <xdr:cNvSpPr/>
        </xdr:nvSpPr>
        <xdr:spPr>
          <a:xfrm>
            <a:off x="406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4" name="$E$111">
            <a:extLst>
              <a:ext uri="{FF2B5EF4-FFF2-40B4-BE49-F238E27FC236}">
                <a16:creationId xmlns:a16="http://schemas.microsoft.com/office/drawing/2014/main" id="{00000000-0008-0000-0200-000032090000}"/>
              </a:ext>
            </a:extLst>
          </xdr:cNvPr>
          <xdr:cNvSpPr/>
        </xdr:nvSpPr>
        <xdr:spPr>
          <a:xfrm>
            <a:off x="419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5" name="$E$111">
            <a:extLst>
              <a:ext uri="{FF2B5EF4-FFF2-40B4-BE49-F238E27FC236}">
                <a16:creationId xmlns:a16="http://schemas.microsoft.com/office/drawing/2014/main" id="{00000000-0008-0000-0200-000033090000}"/>
              </a:ext>
            </a:extLst>
          </xdr:cNvPr>
          <xdr:cNvSpPr/>
        </xdr:nvSpPr>
        <xdr:spPr>
          <a:xfrm>
            <a:off x="431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6" name="$E$111">
            <a:extLst>
              <a:ext uri="{FF2B5EF4-FFF2-40B4-BE49-F238E27FC236}">
                <a16:creationId xmlns:a16="http://schemas.microsoft.com/office/drawing/2014/main" id="{00000000-0008-0000-0200-000034090000}"/>
              </a:ext>
            </a:extLst>
          </xdr:cNvPr>
          <xdr:cNvSpPr/>
        </xdr:nvSpPr>
        <xdr:spPr>
          <a:xfrm>
            <a:off x="444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7" name="$E$111">
            <a:extLst>
              <a:ext uri="{FF2B5EF4-FFF2-40B4-BE49-F238E27FC236}">
                <a16:creationId xmlns:a16="http://schemas.microsoft.com/office/drawing/2014/main" id="{00000000-0008-0000-0200-000035090000}"/>
              </a:ext>
            </a:extLst>
          </xdr:cNvPr>
          <xdr:cNvSpPr/>
        </xdr:nvSpPr>
        <xdr:spPr>
          <a:xfrm>
            <a:off x="457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8" name="$E$111">
            <a:extLst>
              <a:ext uri="{FF2B5EF4-FFF2-40B4-BE49-F238E27FC236}">
                <a16:creationId xmlns:a16="http://schemas.microsoft.com/office/drawing/2014/main" id="{00000000-0008-0000-0200-0000360900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9" name="$E$111">
            <a:extLst>
              <a:ext uri="{FF2B5EF4-FFF2-40B4-BE49-F238E27FC236}">
                <a16:creationId xmlns:a16="http://schemas.microsoft.com/office/drawing/2014/main" id="{00000000-0008-0000-0200-000037090000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0" name="$E$111">
            <a:extLst>
              <a:ext uri="{FF2B5EF4-FFF2-40B4-BE49-F238E27FC236}">
                <a16:creationId xmlns:a16="http://schemas.microsoft.com/office/drawing/2014/main" id="{00000000-0008-0000-0200-0000380900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1" name="$E$111">
            <a:extLst>
              <a:ext uri="{FF2B5EF4-FFF2-40B4-BE49-F238E27FC236}">
                <a16:creationId xmlns:a16="http://schemas.microsoft.com/office/drawing/2014/main" id="{00000000-0008-0000-0200-000039090000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2" name="$E$111">
            <a:extLst>
              <a:ext uri="{FF2B5EF4-FFF2-40B4-BE49-F238E27FC236}">
                <a16:creationId xmlns:a16="http://schemas.microsoft.com/office/drawing/2014/main" id="{00000000-0008-0000-0200-00003A090000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3" name="$E$111">
            <a:extLst>
              <a:ext uri="{FF2B5EF4-FFF2-40B4-BE49-F238E27FC236}">
                <a16:creationId xmlns:a16="http://schemas.microsoft.com/office/drawing/2014/main" id="{00000000-0008-0000-0200-00003B0900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4" name="$E$111">
            <a:extLst>
              <a:ext uri="{FF2B5EF4-FFF2-40B4-BE49-F238E27FC236}">
                <a16:creationId xmlns:a16="http://schemas.microsoft.com/office/drawing/2014/main" id="{00000000-0008-0000-0200-00003C0900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5" name="$E$111">
            <a:extLst>
              <a:ext uri="{FF2B5EF4-FFF2-40B4-BE49-F238E27FC236}">
                <a16:creationId xmlns:a16="http://schemas.microsoft.com/office/drawing/2014/main" id="{00000000-0008-0000-0200-00003D0900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6" name="$E$111">
            <a:extLst>
              <a:ext uri="{FF2B5EF4-FFF2-40B4-BE49-F238E27FC236}">
                <a16:creationId xmlns:a16="http://schemas.microsoft.com/office/drawing/2014/main" id="{00000000-0008-0000-0200-00003E0900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7" name="$E$111">
            <a:extLst>
              <a:ext uri="{FF2B5EF4-FFF2-40B4-BE49-F238E27FC236}">
                <a16:creationId xmlns:a16="http://schemas.microsoft.com/office/drawing/2014/main" id="{00000000-0008-0000-0200-00003F090000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8" name="$E$111">
            <a:extLst>
              <a:ext uri="{FF2B5EF4-FFF2-40B4-BE49-F238E27FC236}">
                <a16:creationId xmlns:a16="http://schemas.microsoft.com/office/drawing/2014/main" id="{00000000-0008-0000-0200-0000400900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9" name="$E$111">
            <a:extLst>
              <a:ext uri="{FF2B5EF4-FFF2-40B4-BE49-F238E27FC236}">
                <a16:creationId xmlns:a16="http://schemas.microsoft.com/office/drawing/2014/main" id="{00000000-0008-0000-0200-000041090000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0" name="$E$111">
            <a:extLst>
              <a:ext uri="{FF2B5EF4-FFF2-40B4-BE49-F238E27FC236}">
                <a16:creationId xmlns:a16="http://schemas.microsoft.com/office/drawing/2014/main" id="{00000000-0008-0000-0200-000042090000}"/>
              </a:ext>
            </a:extLst>
          </xdr:cNvPr>
          <xdr:cNvSpPr/>
        </xdr:nvSpPr>
        <xdr:spPr>
          <a:xfrm>
            <a:off x="317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1" name="$E$111">
            <a:extLst>
              <a:ext uri="{FF2B5EF4-FFF2-40B4-BE49-F238E27FC236}">
                <a16:creationId xmlns:a16="http://schemas.microsoft.com/office/drawing/2014/main" id="{00000000-0008-0000-0200-000043090000}"/>
              </a:ext>
            </a:extLst>
          </xdr:cNvPr>
          <xdr:cNvSpPr/>
        </xdr:nvSpPr>
        <xdr:spPr>
          <a:xfrm>
            <a:off x="355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2" name="$E$111">
            <a:extLst>
              <a:ext uri="{FF2B5EF4-FFF2-40B4-BE49-F238E27FC236}">
                <a16:creationId xmlns:a16="http://schemas.microsoft.com/office/drawing/2014/main" id="{00000000-0008-0000-0200-000044090000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3" name="$E$111">
            <a:extLst>
              <a:ext uri="{FF2B5EF4-FFF2-40B4-BE49-F238E27FC236}">
                <a16:creationId xmlns:a16="http://schemas.microsoft.com/office/drawing/2014/main" id="{00000000-0008-0000-0200-000045090000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4" name="$E$111">
            <a:extLst>
              <a:ext uri="{FF2B5EF4-FFF2-40B4-BE49-F238E27FC236}">
                <a16:creationId xmlns:a16="http://schemas.microsoft.com/office/drawing/2014/main" id="{00000000-0008-0000-0200-0000460900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5" name="$E$111">
            <a:extLst>
              <a:ext uri="{FF2B5EF4-FFF2-40B4-BE49-F238E27FC236}">
                <a16:creationId xmlns:a16="http://schemas.microsoft.com/office/drawing/2014/main" id="{00000000-0008-0000-0200-0000470900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6" name="$E$111">
            <a:extLst>
              <a:ext uri="{FF2B5EF4-FFF2-40B4-BE49-F238E27FC236}">
                <a16:creationId xmlns:a16="http://schemas.microsoft.com/office/drawing/2014/main" id="{00000000-0008-0000-0200-0000480900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7" name="$E$111">
            <a:extLst>
              <a:ext uri="{FF2B5EF4-FFF2-40B4-BE49-F238E27FC236}">
                <a16:creationId xmlns:a16="http://schemas.microsoft.com/office/drawing/2014/main" id="{00000000-0008-0000-0200-0000490900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8" name="$E$111">
            <a:extLst>
              <a:ext uri="{FF2B5EF4-FFF2-40B4-BE49-F238E27FC236}">
                <a16:creationId xmlns:a16="http://schemas.microsoft.com/office/drawing/2014/main" id="{00000000-0008-0000-0200-00004A090000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9" name="$E$111">
            <a:extLst>
              <a:ext uri="{FF2B5EF4-FFF2-40B4-BE49-F238E27FC236}">
                <a16:creationId xmlns:a16="http://schemas.microsoft.com/office/drawing/2014/main" id="{00000000-0008-0000-0200-00004B090000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0" name="$E$111">
            <a:extLst>
              <a:ext uri="{FF2B5EF4-FFF2-40B4-BE49-F238E27FC236}">
                <a16:creationId xmlns:a16="http://schemas.microsoft.com/office/drawing/2014/main" id="{00000000-0008-0000-0200-00004C0900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1" name="$E$111">
            <a:extLst>
              <a:ext uri="{FF2B5EF4-FFF2-40B4-BE49-F238E27FC236}">
                <a16:creationId xmlns:a16="http://schemas.microsoft.com/office/drawing/2014/main" id="{00000000-0008-0000-0200-00004D0900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2" name="$E$111">
            <a:extLst>
              <a:ext uri="{FF2B5EF4-FFF2-40B4-BE49-F238E27FC236}">
                <a16:creationId xmlns:a16="http://schemas.microsoft.com/office/drawing/2014/main" id="{00000000-0008-0000-0200-00004E090000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3" name="$E$111">
            <a:extLst>
              <a:ext uri="{FF2B5EF4-FFF2-40B4-BE49-F238E27FC236}">
                <a16:creationId xmlns:a16="http://schemas.microsoft.com/office/drawing/2014/main" id="{00000000-0008-0000-0200-00004F0900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4" name="$E$111">
            <a:extLst>
              <a:ext uri="{FF2B5EF4-FFF2-40B4-BE49-F238E27FC236}">
                <a16:creationId xmlns:a16="http://schemas.microsoft.com/office/drawing/2014/main" id="{00000000-0008-0000-0200-000050090000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5" name="$E$111">
            <a:extLst>
              <a:ext uri="{FF2B5EF4-FFF2-40B4-BE49-F238E27FC236}">
                <a16:creationId xmlns:a16="http://schemas.microsoft.com/office/drawing/2014/main" id="{00000000-0008-0000-0200-000051090000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6" name="$E$111">
            <a:extLst>
              <a:ext uri="{FF2B5EF4-FFF2-40B4-BE49-F238E27FC236}">
                <a16:creationId xmlns:a16="http://schemas.microsoft.com/office/drawing/2014/main" id="{00000000-0008-0000-0200-0000520900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7" name="$E$111">
            <a:extLst>
              <a:ext uri="{FF2B5EF4-FFF2-40B4-BE49-F238E27FC236}">
                <a16:creationId xmlns:a16="http://schemas.microsoft.com/office/drawing/2014/main" id="{00000000-0008-0000-0200-000053090000}"/>
              </a:ext>
            </a:extLst>
          </xdr:cNvPr>
          <xdr:cNvSpPr/>
        </xdr:nvSpPr>
        <xdr:spPr>
          <a:xfrm>
            <a:off x="304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8" name="$E$111">
            <a:extLst>
              <a:ext uri="{FF2B5EF4-FFF2-40B4-BE49-F238E27FC236}">
                <a16:creationId xmlns:a16="http://schemas.microsoft.com/office/drawing/2014/main" id="{00000000-0008-0000-0200-0000540900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9" name="$E$111">
            <a:extLst>
              <a:ext uri="{FF2B5EF4-FFF2-40B4-BE49-F238E27FC236}">
                <a16:creationId xmlns:a16="http://schemas.microsoft.com/office/drawing/2014/main" id="{00000000-0008-0000-0200-0000550900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0" name="$E$111">
            <a:extLst>
              <a:ext uri="{FF2B5EF4-FFF2-40B4-BE49-F238E27FC236}">
                <a16:creationId xmlns:a16="http://schemas.microsoft.com/office/drawing/2014/main" id="{00000000-0008-0000-0200-000056090000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1" name="$E$111">
            <a:extLst>
              <a:ext uri="{FF2B5EF4-FFF2-40B4-BE49-F238E27FC236}">
                <a16:creationId xmlns:a16="http://schemas.microsoft.com/office/drawing/2014/main" id="{00000000-0008-0000-0200-000057090000}"/>
              </a:ext>
            </a:extLst>
          </xdr:cNvPr>
          <xdr:cNvSpPr/>
        </xdr:nvSpPr>
        <xdr:spPr>
          <a:xfrm>
            <a:off x="368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2" name="$E$111">
            <a:extLst>
              <a:ext uri="{FF2B5EF4-FFF2-40B4-BE49-F238E27FC236}">
                <a16:creationId xmlns:a16="http://schemas.microsoft.com/office/drawing/2014/main" id="{00000000-0008-0000-0200-000058090000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3" name="$E$111">
            <a:extLst>
              <a:ext uri="{FF2B5EF4-FFF2-40B4-BE49-F238E27FC236}">
                <a16:creationId xmlns:a16="http://schemas.microsoft.com/office/drawing/2014/main" id="{00000000-0008-0000-0200-000059090000}"/>
              </a:ext>
            </a:extLst>
          </xdr:cNvPr>
          <xdr:cNvSpPr/>
        </xdr:nvSpPr>
        <xdr:spPr>
          <a:xfrm>
            <a:off x="406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4" name="$E$111">
            <a:extLst>
              <a:ext uri="{FF2B5EF4-FFF2-40B4-BE49-F238E27FC236}">
                <a16:creationId xmlns:a16="http://schemas.microsoft.com/office/drawing/2014/main" id="{00000000-0008-0000-0200-00005A090000}"/>
              </a:ext>
            </a:extLst>
          </xdr:cNvPr>
          <xdr:cNvSpPr/>
        </xdr:nvSpPr>
        <xdr:spPr>
          <a:xfrm>
            <a:off x="419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5" name="$E$111">
            <a:extLst>
              <a:ext uri="{FF2B5EF4-FFF2-40B4-BE49-F238E27FC236}">
                <a16:creationId xmlns:a16="http://schemas.microsoft.com/office/drawing/2014/main" id="{00000000-0008-0000-0200-00005B090000}"/>
              </a:ext>
            </a:extLst>
          </xdr:cNvPr>
          <xdr:cNvSpPr/>
        </xdr:nvSpPr>
        <xdr:spPr>
          <a:xfrm>
            <a:off x="444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6" name="$E$111">
            <a:extLst>
              <a:ext uri="{FF2B5EF4-FFF2-40B4-BE49-F238E27FC236}">
                <a16:creationId xmlns:a16="http://schemas.microsoft.com/office/drawing/2014/main" id="{00000000-0008-0000-0200-00005C090000}"/>
              </a:ext>
            </a:extLst>
          </xdr:cNvPr>
          <xdr:cNvSpPr/>
        </xdr:nvSpPr>
        <xdr:spPr>
          <a:xfrm>
            <a:off x="457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7" name="$E$111">
            <a:extLst>
              <a:ext uri="{FF2B5EF4-FFF2-40B4-BE49-F238E27FC236}">
                <a16:creationId xmlns:a16="http://schemas.microsoft.com/office/drawing/2014/main" id="{00000000-0008-0000-0200-00005D0900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8" name="$E$111">
            <a:extLst>
              <a:ext uri="{FF2B5EF4-FFF2-40B4-BE49-F238E27FC236}">
                <a16:creationId xmlns:a16="http://schemas.microsoft.com/office/drawing/2014/main" id="{00000000-0008-0000-0200-00005E0900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9" name="$E$111">
            <a:extLst>
              <a:ext uri="{FF2B5EF4-FFF2-40B4-BE49-F238E27FC236}">
                <a16:creationId xmlns:a16="http://schemas.microsoft.com/office/drawing/2014/main" id="{00000000-0008-0000-0200-00005F0900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0" name="$E$111">
            <a:extLst>
              <a:ext uri="{FF2B5EF4-FFF2-40B4-BE49-F238E27FC236}">
                <a16:creationId xmlns:a16="http://schemas.microsoft.com/office/drawing/2014/main" id="{00000000-0008-0000-0200-0000600900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1" name="$E$111">
            <a:extLst>
              <a:ext uri="{FF2B5EF4-FFF2-40B4-BE49-F238E27FC236}">
                <a16:creationId xmlns:a16="http://schemas.microsoft.com/office/drawing/2014/main" id="{00000000-0008-0000-0200-0000610900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2" name="$E$111">
            <a:extLst>
              <a:ext uri="{FF2B5EF4-FFF2-40B4-BE49-F238E27FC236}">
                <a16:creationId xmlns:a16="http://schemas.microsoft.com/office/drawing/2014/main" id="{00000000-0008-0000-0200-000062090000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3" name="$E$111">
            <a:extLst>
              <a:ext uri="{FF2B5EF4-FFF2-40B4-BE49-F238E27FC236}">
                <a16:creationId xmlns:a16="http://schemas.microsoft.com/office/drawing/2014/main" id="{00000000-0008-0000-0200-000063090000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4" name="$E$111">
            <a:extLst>
              <a:ext uri="{FF2B5EF4-FFF2-40B4-BE49-F238E27FC236}">
                <a16:creationId xmlns:a16="http://schemas.microsoft.com/office/drawing/2014/main" id="{00000000-0008-0000-0200-0000640900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5" name="$E$111">
            <a:extLst>
              <a:ext uri="{FF2B5EF4-FFF2-40B4-BE49-F238E27FC236}">
                <a16:creationId xmlns:a16="http://schemas.microsoft.com/office/drawing/2014/main" id="{00000000-0008-0000-0200-000065090000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6" name="$E$111">
            <a:extLst>
              <a:ext uri="{FF2B5EF4-FFF2-40B4-BE49-F238E27FC236}">
                <a16:creationId xmlns:a16="http://schemas.microsoft.com/office/drawing/2014/main" id="{00000000-0008-0000-0200-0000660900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7" name="$E$111">
            <a:extLst>
              <a:ext uri="{FF2B5EF4-FFF2-40B4-BE49-F238E27FC236}">
                <a16:creationId xmlns:a16="http://schemas.microsoft.com/office/drawing/2014/main" id="{00000000-0008-0000-0200-000067090000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8" name="$E$111">
            <a:extLst>
              <a:ext uri="{FF2B5EF4-FFF2-40B4-BE49-F238E27FC236}">
                <a16:creationId xmlns:a16="http://schemas.microsoft.com/office/drawing/2014/main" id="{00000000-0008-0000-0200-0000680900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9" name="$E$111">
            <a:extLst>
              <a:ext uri="{FF2B5EF4-FFF2-40B4-BE49-F238E27FC236}">
                <a16:creationId xmlns:a16="http://schemas.microsoft.com/office/drawing/2014/main" id="{00000000-0008-0000-0200-000069090000}"/>
              </a:ext>
            </a:extLst>
          </xdr:cNvPr>
          <xdr:cNvSpPr/>
        </xdr:nvSpPr>
        <xdr:spPr>
          <a:xfrm>
            <a:off x="279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0" name="$E$111">
            <a:extLst>
              <a:ext uri="{FF2B5EF4-FFF2-40B4-BE49-F238E27FC236}">
                <a16:creationId xmlns:a16="http://schemas.microsoft.com/office/drawing/2014/main" id="{00000000-0008-0000-0200-00006A0900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1" name="$E$111">
            <a:extLst>
              <a:ext uri="{FF2B5EF4-FFF2-40B4-BE49-F238E27FC236}">
                <a16:creationId xmlns:a16="http://schemas.microsoft.com/office/drawing/2014/main" id="{00000000-0008-0000-0200-00006B090000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2" name="$E$111">
            <a:extLst>
              <a:ext uri="{FF2B5EF4-FFF2-40B4-BE49-F238E27FC236}">
                <a16:creationId xmlns:a16="http://schemas.microsoft.com/office/drawing/2014/main" id="{00000000-0008-0000-0200-00006C090000}"/>
              </a:ext>
            </a:extLst>
          </xdr:cNvPr>
          <xdr:cNvSpPr/>
        </xdr:nvSpPr>
        <xdr:spPr>
          <a:xfrm>
            <a:off x="368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3" name="$E$111">
            <a:extLst>
              <a:ext uri="{FF2B5EF4-FFF2-40B4-BE49-F238E27FC236}">
                <a16:creationId xmlns:a16="http://schemas.microsoft.com/office/drawing/2014/main" id="{00000000-0008-0000-0200-00006D090000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4" name="$E$111">
            <a:extLst>
              <a:ext uri="{FF2B5EF4-FFF2-40B4-BE49-F238E27FC236}">
                <a16:creationId xmlns:a16="http://schemas.microsoft.com/office/drawing/2014/main" id="{00000000-0008-0000-0200-00006E090000}"/>
              </a:ext>
            </a:extLst>
          </xdr:cNvPr>
          <xdr:cNvSpPr/>
        </xdr:nvSpPr>
        <xdr:spPr>
          <a:xfrm>
            <a:off x="393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5" name="$E$111">
            <a:extLst>
              <a:ext uri="{FF2B5EF4-FFF2-40B4-BE49-F238E27FC236}">
                <a16:creationId xmlns:a16="http://schemas.microsoft.com/office/drawing/2014/main" id="{00000000-0008-0000-0200-00006F090000}"/>
              </a:ext>
            </a:extLst>
          </xdr:cNvPr>
          <xdr:cNvSpPr/>
        </xdr:nvSpPr>
        <xdr:spPr>
          <a:xfrm>
            <a:off x="406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6" name="$E$111">
            <a:extLst>
              <a:ext uri="{FF2B5EF4-FFF2-40B4-BE49-F238E27FC236}">
                <a16:creationId xmlns:a16="http://schemas.microsoft.com/office/drawing/2014/main" id="{00000000-0008-0000-0200-000070090000}"/>
              </a:ext>
            </a:extLst>
          </xdr:cNvPr>
          <xdr:cNvSpPr/>
        </xdr:nvSpPr>
        <xdr:spPr>
          <a:xfrm>
            <a:off x="444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7" name="$E$111">
            <a:extLst>
              <a:ext uri="{FF2B5EF4-FFF2-40B4-BE49-F238E27FC236}">
                <a16:creationId xmlns:a16="http://schemas.microsoft.com/office/drawing/2014/main" id="{00000000-0008-0000-0200-000071090000}"/>
              </a:ext>
            </a:extLst>
          </xdr:cNvPr>
          <xdr:cNvSpPr/>
        </xdr:nvSpPr>
        <xdr:spPr>
          <a:xfrm>
            <a:off x="457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8" name="$E$111">
            <a:extLst>
              <a:ext uri="{FF2B5EF4-FFF2-40B4-BE49-F238E27FC236}">
                <a16:creationId xmlns:a16="http://schemas.microsoft.com/office/drawing/2014/main" id="{00000000-0008-0000-0200-0000720900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9" name="$E$111">
            <a:extLst>
              <a:ext uri="{FF2B5EF4-FFF2-40B4-BE49-F238E27FC236}">
                <a16:creationId xmlns:a16="http://schemas.microsoft.com/office/drawing/2014/main" id="{00000000-0008-0000-0200-0000730900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0" name="$E$111">
            <a:extLst>
              <a:ext uri="{FF2B5EF4-FFF2-40B4-BE49-F238E27FC236}">
                <a16:creationId xmlns:a16="http://schemas.microsoft.com/office/drawing/2014/main" id="{00000000-0008-0000-0200-000074090000}"/>
              </a:ext>
            </a:extLst>
          </xdr:cNvPr>
          <xdr:cNvSpPr/>
        </xdr:nvSpPr>
        <xdr:spPr>
          <a:xfrm>
            <a:off x="88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1" name="$E$111">
            <a:extLst>
              <a:ext uri="{FF2B5EF4-FFF2-40B4-BE49-F238E27FC236}">
                <a16:creationId xmlns:a16="http://schemas.microsoft.com/office/drawing/2014/main" id="{00000000-0008-0000-0200-000075090000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2" name="$E$111">
            <a:extLst>
              <a:ext uri="{FF2B5EF4-FFF2-40B4-BE49-F238E27FC236}">
                <a16:creationId xmlns:a16="http://schemas.microsoft.com/office/drawing/2014/main" id="{00000000-0008-0000-0200-000076090000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3" name="$E$111">
            <a:extLst>
              <a:ext uri="{FF2B5EF4-FFF2-40B4-BE49-F238E27FC236}">
                <a16:creationId xmlns:a16="http://schemas.microsoft.com/office/drawing/2014/main" id="{00000000-0008-0000-0200-000077090000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4" name="$E$111">
            <a:extLst>
              <a:ext uri="{FF2B5EF4-FFF2-40B4-BE49-F238E27FC236}">
                <a16:creationId xmlns:a16="http://schemas.microsoft.com/office/drawing/2014/main" id="{00000000-0008-0000-0200-0000780900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5" name="$E$111">
            <a:extLst>
              <a:ext uri="{FF2B5EF4-FFF2-40B4-BE49-F238E27FC236}">
                <a16:creationId xmlns:a16="http://schemas.microsoft.com/office/drawing/2014/main" id="{00000000-0008-0000-0200-000079090000}"/>
              </a:ext>
            </a:extLst>
          </xdr:cNvPr>
          <xdr:cNvSpPr/>
        </xdr:nvSpPr>
        <xdr:spPr>
          <a:xfrm>
            <a:off x="228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6" name="$E$111">
            <a:extLst>
              <a:ext uri="{FF2B5EF4-FFF2-40B4-BE49-F238E27FC236}">
                <a16:creationId xmlns:a16="http://schemas.microsoft.com/office/drawing/2014/main" id="{00000000-0008-0000-0200-00007A090000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7" name="$E$111">
            <a:extLst>
              <a:ext uri="{FF2B5EF4-FFF2-40B4-BE49-F238E27FC236}">
                <a16:creationId xmlns:a16="http://schemas.microsoft.com/office/drawing/2014/main" id="{00000000-0008-0000-0200-00007B090000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8" name="$E$111">
            <a:extLst>
              <a:ext uri="{FF2B5EF4-FFF2-40B4-BE49-F238E27FC236}">
                <a16:creationId xmlns:a16="http://schemas.microsoft.com/office/drawing/2014/main" id="{00000000-0008-0000-0200-00007C0900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9" name="$E$111">
            <a:extLst>
              <a:ext uri="{FF2B5EF4-FFF2-40B4-BE49-F238E27FC236}">
                <a16:creationId xmlns:a16="http://schemas.microsoft.com/office/drawing/2014/main" id="{00000000-0008-0000-0200-00007D090000}"/>
              </a:ext>
            </a:extLst>
          </xdr:cNvPr>
          <xdr:cNvSpPr/>
        </xdr:nvSpPr>
        <xdr:spPr>
          <a:xfrm>
            <a:off x="330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0" name="$E$111">
            <a:extLst>
              <a:ext uri="{FF2B5EF4-FFF2-40B4-BE49-F238E27FC236}">
                <a16:creationId xmlns:a16="http://schemas.microsoft.com/office/drawing/2014/main" id="{00000000-0008-0000-0200-00007E0900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1" name="$E$111">
            <a:extLst>
              <a:ext uri="{FF2B5EF4-FFF2-40B4-BE49-F238E27FC236}">
                <a16:creationId xmlns:a16="http://schemas.microsoft.com/office/drawing/2014/main" id="{00000000-0008-0000-0200-00007F090000}"/>
              </a:ext>
            </a:extLst>
          </xdr:cNvPr>
          <xdr:cNvSpPr/>
        </xdr:nvSpPr>
        <xdr:spPr>
          <a:xfrm>
            <a:off x="368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2" name="$E$111">
            <a:extLst>
              <a:ext uri="{FF2B5EF4-FFF2-40B4-BE49-F238E27FC236}">
                <a16:creationId xmlns:a16="http://schemas.microsoft.com/office/drawing/2014/main" id="{00000000-0008-0000-0200-000080090000}"/>
              </a:ext>
            </a:extLst>
          </xdr:cNvPr>
          <xdr:cNvSpPr/>
        </xdr:nvSpPr>
        <xdr:spPr>
          <a:xfrm>
            <a:off x="381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3" name="$E$111">
            <a:extLst>
              <a:ext uri="{FF2B5EF4-FFF2-40B4-BE49-F238E27FC236}">
                <a16:creationId xmlns:a16="http://schemas.microsoft.com/office/drawing/2014/main" id="{00000000-0008-0000-0200-000081090000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4" name="$E$111">
            <a:extLst>
              <a:ext uri="{FF2B5EF4-FFF2-40B4-BE49-F238E27FC236}">
                <a16:creationId xmlns:a16="http://schemas.microsoft.com/office/drawing/2014/main" id="{00000000-0008-0000-0200-000082090000}"/>
              </a:ext>
            </a:extLst>
          </xdr:cNvPr>
          <xdr:cNvSpPr/>
        </xdr:nvSpPr>
        <xdr:spPr>
          <a:xfrm>
            <a:off x="406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5" name="$E$111">
            <a:extLst>
              <a:ext uri="{FF2B5EF4-FFF2-40B4-BE49-F238E27FC236}">
                <a16:creationId xmlns:a16="http://schemas.microsoft.com/office/drawing/2014/main" id="{00000000-0008-0000-0200-000083090000}"/>
              </a:ext>
            </a:extLst>
          </xdr:cNvPr>
          <xdr:cNvSpPr/>
        </xdr:nvSpPr>
        <xdr:spPr>
          <a:xfrm>
            <a:off x="431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6" name="$E$111">
            <a:extLst>
              <a:ext uri="{FF2B5EF4-FFF2-40B4-BE49-F238E27FC236}">
                <a16:creationId xmlns:a16="http://schemas.microsoft.com/office/drawing/2014/main" id="{00000000-0008-0000-0200-0000840900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7" name="$E$111">
            <a:extLst>
              <a:ext uri="{FF2B5EF4-FFF2-40B4-BE49-F238E27FC236}">
                <a16:creationId xmlns:a16="http://schemas.microsoft.com/office/drawing/2014/main" id="{00000000-0008-0000-0200-000085090000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8" name="$E$111">
            <a:extLst>
              <a:ext uri="{FF2B5EF4-FFF2-40B4-BE49-F238E27FC236}">
                <a16:creationId xmlns:a16="http://schemas.microsoft.com/office/drawing/2014/main" id="{00000000-0008-0000-0200-000086090000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9" name="$E$111">
            <a:extLst>
              <a:ext uri="{FF2B5EF4-FFF2-40B4-BE49-F238E27FC236}">
                <a16:creationId xmlns:a16="http://schemas.microsoft.com/office/drawing/2014/main" id="{00000000-0008-0000-0200-0000870900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0" name="$E$111">
            <a:extLst>
              <a:ext uri="{FF2B5EF4-FFF2-40B4-BE49-F238E27FC236}">
                <a16:creationId xmlns:a16="http://schemas.microsoft.com/office/drawing/2014/main" id="{00000000-0008-0000-0200-000088090000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1" name="$E$111">
            <a:extLst>
              <a:ext uri="{FF2B5EF4-FFF2-40B4-BE49-F238E27FC236}">
                <a16:creationId xmlns:a16="http://schemas.microsoft.com/office/drawing/2014/main" id="{00000000-0008-0000-0200-000089090000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2" name="$E$111">
            <a:extLst>
              <a:ext uri="{FF2B5EF4-FFF2-40B4-BE49-F238E27FC236}">
                <a16:creationId xmlns:a16="http://schemas.microsoft.com/office/drawing/2014/main" id="{00000000-0008-0000-0200-00008A0900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3" name="$E$111">
            <a:extLst>
              <a:ext uri="{FF2B5EF4-FFF2-40B4-BE49-F238E27FC236}">
                <a16:creationId xmlns:a16="http://schemas.microsoft.com/office/drawing/2014/main" id="{00000000-0008-0000-0200-00008B0900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4" name="$E$111">
            <a:extLst>
              <a:ext uri="{FF2B5EF4-FFF2-40B4-BE49-F238E27FC236}">
                <a16:creationId xmlns:a16="http://schemas.microsoft.com/office/drawing/2014/main" id="{00000000-0008-0000-0200-00008C090000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5" name="$E$111">
            <a:extLst>
              <a:ext uri="{FF2B5EF4-FFF2-40B4-BE49-F238E27FC236}">
                <a16:creationId xmlns:a16="http://schemas.microsoft.com/office/drawing/2014/main" id="{00000000-0008-0000-0200-00008D0900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6" name="$E$111">
            <a:extLst>
              <a:ext uri="{FF2B5EF4-FFF2-40B4-BE49-F238E27FC236}">
                <a16:creationId xmlns:a16="http://schemas.microsoft.com/office/drawing/2014/main" id="{00000000-0008-0000-0200-00008E0900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7" name="$E$111">
            <a:extLst>
              <a:ext uri="{FF2B5EF4-FFF2-40B4-BE49-F238E27FC236}">
                <a16:creationId xmlns:a16="http://schemas.microsoft.com/office/drawing/2014/main" id="{00000000-0008-0000-0200-00008F0900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8" name="$E$111">
            <a:extLst>
              <a:ext uri="{FF2B5EF4-FFF2-40B4-BE49-F238E27FC236}">
                <a16:creationId xmlns:a16="http://schemas.microsoft.com/office/drawing/2014/main" id="{00000000-0008-0000-0200-000090090000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9" name="$E$111">
            <a:extLst>
              <a:ext uri="{FF2B5EF4-FFF2-40B4-BE49-F238E27FC236}">
                <a16:creationId xmlns:a16="http://schemas.microsoft.com/office/drawing/2014/main" id="{00000000-0008-0000-0200-0000910900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0" name="$E$111">
            <a:extLst>
              <a:ext uri="{FF2B5EF4-FFF2-40B4-BE49-F238E27FC236}">
                <a16:creationId xmlns:a16="http://schemas.microsoft.com/office/drawing/2014/main" id="{00000000-0008-0000-0200-0000920900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1" name="$E$111">
            <a:extLst>
              <a:ext uri="{FF2B5EF4-FFF2-40B4-BE49-F238E27FC236}">
                <a16:creationId xmlns:a16="http://schemas.microsoft.com/office/drawing/2014/main" id="{00000000-0008-0000-0200-000093090000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2" name="$E$111">
            <a:extLst>
              <a:ext uri="{FF2B5EF4-FFF2-40B4-BE49-F238E27FC236}">
                <a16:creationId xmlns:a16="http://schemas.microsoft.com/office/drawing/2014/main" id="{00000000-0008-0000-0200-000094090000}"/>
              </a:ext>
            </a:extLst>
          </xdr:cNvPr>
          <xdr:cNvSpPr/>
        </xdr:nvSpPr>
        <xdr:spPr>
          <a:xfrm>
            <a:off x="419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3" name="$E$111">
            <a:extLst>
              <a:ext uri="{FF2B5EF4-FFF2-40B4-BE49-F238E27FC236}">
                <a16:creationId xmlns:a16="http://schemas.microsoft.com/office/drawing/2014/main" id="{00000000-0008-0000-0200-000095090000}"/>
              </a:ext>
            </a:extLst>
          </xdr:cNvPr>
          <xdr:cNvSpPr/>
        </xdr:nvSpPr>
        <xdr:spPr>
          <a:xfrm>
            <a:off x="444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4" name="$E$111">
            <a:extLst>
              <a:ext uri="{FF2B5EF4-FFF2-40B4-BE49-F238E27FC236}">
                <a16:creationId xmlns:a16="http://schemas.microsoft.com/office/drawing/2014/main" id="{00000000-0008-0000-0200-000096090000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5" name="$E$111">
            <a:extLst>
              <a:ext uri="{FF2B5EF4-FFF2-40B4-BE49-F238E27FC236}">
                <a16:creationId xmlns:a16="http://schemas.microsoft.com/office/drawing/2014/main" id="{00000000-0008-0000-0200-0000970900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6" name="$E$111">
            <a:extLst>
              <a:ext uri="{FF2B5EF4-FFF2-40B4-BE49-F238E27FC236}">
                <a16:creationId xmlns:a16="http://schemas.microsoft.com/office/drawing/2014/main" id="{00000000-0008-0000-0200-0000980900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7" name="$E$111">
            <a:extLst>
              <a:ext uri="{FF2B5EF4-FFF2-40B4-BE49-F238E27FC236}">
                <a16:creationId xmlns:a16="http://schemas.microsoft.com/office/drawing/2014/main" id="{00000000-0008-0000-0200-000099090000}"/>
              </a:ext>
            </a:extLst>
          </xdr:cNvPr>
          <xdr:cNvSpPr/>
        </xdr:nvSpPr>
        <xdr:spPr>
          <a:xfrm>
            <a:off x="63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8" name="$E$111">
            <a:extLst>
              <a:ext uri="{FF2B5EF4-FFF2-40B4-BE49-F238E27FC236}">
                <a16:creationId xmlns:a16="http://schemas.microsoft.com/office/drawing/2014/main" id="{00000000-0008-0000-0200-00009A0900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9" name="$E$111">
            <a:extLst>
              <a:ext uri="{FF2B5EF4-FFF2-40B4-BE49-F238E27FC236}">
                <a16:creationId xmlns:a16="http://schemas.microsoft.com/office/drawing/2014/main" id="{00000000-0008-0000-0200-00009B090000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0" name="$E$111">
            <a:extLst>
              <a:ext uri="{FF2B5EF4-FFF2-40B4-BE49-F238E27FC236}">
                <a16:creationId xmlns:a16="http://schemas.microsoft.com/office/drawing/2014/main" id="{00000000-0008-0000-0200-00009C0900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1" name="$E$111">
            <a:extLst>
              <a:ext uri="{FF2B5EF4-FFF2-40B4-BE49-F238E27FC236}">
                <a16:creationId xmlns:a16="http://schemas.microsoft.com/office/drawing/2014/main" id="{00000000-0008-0000-0200-00009D0900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2" name="$E$111">
            <a:extLst>
              <a:ext uri="{FF2B5EF4-FFF2-40B4-BE49-F238E27FC236}">
                <a16:creationId xmlns:a16="http://schemas.microsoft.com/office/drawing/2014/main" id="{00000000-0008-0000-0200-00009E0900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3" name="$E$111">
            <a:extLst>
              <a:ext uri="{FF2B5EF4-FFF2-40B4-BE49-F238E27FC236}">
                <a16:creationId xmlns:a16="http://schemas.microsoft.com/office/drawing/2014/main" id="{00000000-0008-0000-0200-00009F090000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4" name="$E$111">
            <a:extLst>
              <a:ext uri="{FF2B5EF4-FFF2-40B4-BE49-F238E27FC236}">
                <a16:creationId xmlns:a16="http://schemas.microsoft.com/office/drawing/2014/main" id="{00000000-0008-0000-0200-0000A00900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5" name="$E$111">
            <a:extLst>
              <a:ext uri="{FF2B5EF4-FFF2-40B4-BE49-F238E27FC236}">
                <a16:creationId xmlns:a16="http://schemas.microsoft.com/office/drawing/2014/main" id="{00000000-0008-0000-0200-0000A109000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6" name="$E$111">
            <a:extLst>
              <a:ext uri="{FF2B5EF4-FFF2-40B4-BE49-F238E27FC236}">
                <a16:creationId xmlns:a16="http://schemas.microsoft.com/office/drawing/2014/main" id="{00000000-0008-0000-0200-0000A20900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7" name="$E$111">
            <a:extLst>
              <a:ext uri="{FF2B5EF4-FFF2-40B4-BE49-F238E27FC236}">
                <a16:creationId xmlns:a16="http://schemas.microsoft.com/office/drawing/2014/main" id="{00000000-0008-0000-0200-0000A3090000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8" name="$E$111">
            <a:extLst>
              <a:ext uri="{FF2B5EF4-FFF2-40B4-BE49-F238E27FC236}">
                <a16:creationId xmlns:a16="http://schemas.microsoft.com/office/drawing/2014/main" id="{00000000-0008-0000-0200-0000A4090000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9" name="$E$111">
            <a:extLst>
              <a:ext uri="{FF2B5EF4-FFF2-40B4-BE49-F238E27FC236}">
                <a16:creationId xmlns:a16="http://schemas.microsoft.com/office/drawing/2014/main" id="{00000000-0008-0000-0200-0000A5090000}"/>
              </a:ext>
            </a:extLst>
          </xdr:cNvPr>
          <xdr:cNvSpPr/>
        </xdr:nvSpPr>
        <xdr:spPr>
          <a:xfrm>
            <a:off x="381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0" name="$E$111">
            <a:extLst>
              <a:ext uri="{FF2B5EF4-FFF2-40B4-BE49-F238E27FC236}">
                <a16:creationId xmlns:a16="http://schemas.microsoft.com/office/drawing/2014/main" id="{00000000-0008-0000-0200-0000A6090000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1" name="$E$111">
            <a:extLst>
              <a:ext uri="{FF2B5EF4-FFF2-40B4-BE49-F238E27FC236}">
                <a16:creationId xmlns:a16="http://schemas.microsoft.com/office/drawing/2014/main" id="{00000000-0008-0000-0200-0000A7090000}"/>
              </a:ext>
            </a:extLst>
          </xdr:cNvPr>
          <xdr:cNvSpPr/>
        </xdr:nvSpPr>
        <xdr:spPr>
          <a:xfrm>
            <a:off x="406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2" name="$E$111">
            <a:extLst>
              <a:ext uri="{FF2B5EF4-FFF2-40B4-BE49-F238E27FC236}">
                <a16:creationId xmlns:a16="http://schemas.microsoft.com/office/drawing/2014/main" id="{00000000-0008-0000-0200-0000A8090000}"/>
              </a:ext>
            </a:extLst>
          </xdr:cNvPr>
          <xdr:cNvSpPr/>
        </xdr:nvSpPr>
        <xdr:spPr>
          <a:xfrm>
            <a:off x="444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3" name="$E$111">
            <a:extLst>
              <a:ext uri="{FF2B5EF4-FFF2-40B4-BE49-F238E27FC236}">
                <a16:creationId xmlns:a16="http://schemas.microsoft.com/office/drawing/2014/main" id="{00000000-0008-0000-0200-0000A9090000}"/>
              </a:ext>
            </a:extLst>
          </xdr:cNvPr>
          <xdr:cNvSpPr/>
        </xdr:nvSpPr>
        <xdr:spPr>
          <a:xfrm>
            <a:off x="457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4" name="$E$111">
            <a:extLst>
              <a:ext uri="{FF2B5EF4-FFF2-40B4-BE49-F238E27FC236}">
                <a16:creationId xmlns:a16="http://schemas.microsoft.com/office/drawing/2014/main" id="{00000000-0008-0000-0200-0000AA090000}"/>
              </a:ext>
            </a:extLst>
          </xdr:cNvPr>
          <xdr:cNvSpPr/>
        </xdr:nvSpPr>
        <xdr:spPr>
          <a:xfrm>
            <a:off x="12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5" name="$E$111">
            <a:extLst>
              <a:ext uri="{FF2B5EF4-FFF2-40B4-BE49-F238E27FC236}">
                <a16:creationId xmlns:a16="http://schemas.microsoft.com/office/drawing/2014/main" id="{00000000-0008-0000-0200-0000AB090000}"/>
              </a:ext>
            </a:extLst>
          </xdr:cNvPr>
          <xdr:cNvSpPr/>
        </xdr:nvSpPr>
        <xdr:spPr>
          <a:xfrm>
            <a:off x="50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6" name="$E$111">
            <a:extLst>
              <a:ext uri="{FF2B5EF4-FFF2-40B4-BE49-F238E27FC236}">
                <a16:creationId xmlns:a16="http://schemas.microsoft.com/office/drawing/2014/main" id="{00000000-0008-0000-0200-0000AC090000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7" name="$E$111">
            <a:extLst>
              <a:ext uri="{FF2B5EF4-FFF2-40B4-BE49-F238E27FC236}">
                <a16:creationId xmlns:a16="http://schemas.microsoft.com/office/drawing/2014/main" id="{00000000-0008-0000-0200-0000AD0900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8" name="$E$111">
            <a:extLst>
              <a:ext uri="{FF2B5EF4-FFF2-40B4-BE49-F238E27FC236}">
                <a16:creationId xmlns:a16="http://schemas.microsoft.com/office/drawing/2014/main" id="{00000000-0008-0000-0200-0000AE090000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9" name="$E$111">
            <a:extLst>
              <a:ext uri="{FF2B5EF4-FFF2-40B4-BE49-F238E27FC236}">
                <a16:creationId xmlns:a16="http://schemas.microsoft.com/office/drawing/2014/main" id="{00000000-0008-0000-0200-0000AF0900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0" name="$E$111">
            <a:extLst>
              <a:ext uri="{FF2B5EF4-FFF2-40B4-BE49-F238E27FC236}">
                <a16:creationId xmlns:a16="http://schemas.microsoft.com/office/drawing/2014/main" id="{00000000-0008-0000-0200-0000B0090000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1" name="$E$111">
            <a:extLst>
              <a:ext uri="{FF2B5EF4-FFF2-40B4-BE49-F238E27FC236}">
                <a16:creationId xmlns:a16="http://schemas.microsoft.com/office/drawing/2014/main" id="{00000000-0008-0000-0200-0000B10900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2" name="$E$111">
            <a:extLst>
              <a:ext uri="{FF2B5EF4-FFF2-40B4-BE49-F238E27FC236}">
                <a16:creationId xmlns:a16="http://schemas.microsoft.com/office/drawing/2014/main" id="{00000000-0008-0000-0200-0000B20900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3" name="$E$111">
            <a:extLst>
              <a:ext uri="{FF2B5EF4-FFF2-40B4-BE49-F238E27FC236}">
                <a16:creationId xmlns:a16="http://schemas.microsoft.com/office/drawing/2014/main" id="{00000000-0008-0000-0200-0000B30900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4" name="$E$111">
            <a:extLst>
              <a:ext uri="{FF2B5EF4-FFF2-40B4-BE49-F238E27FC236}">
                <a16:creationId xmlns:a16="http://schemas.microsoft.com/office/drawing/2014/main" id="{00000000-0008-0000-0200-0000B4090000}"/>
              </a:ext>
            </a:extLst>
          </xdr:cNvPr>
          <xdr:cNvSpPr/>
        </xdr:nvSpPr>
        <xdr:spPr>
          <a:xfrm>
            <a:off x="355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5" name="$E$111">
            <a:extLst>
              <a:ext uri="{FF2B5EF4-FFF2-40B4-BE49-F238E27FC236}">
                <a16:creationId xmlns:a16="http://schemas.microsoft.com/office/drawing/2014/main" id="{00000000-0008-0000-0200-0000B5090000}"/>
              </a:ext>
            </a:extLst>
          </xdr:cNvPr>
          <xdr:cNvSpPr/>
        </xdr:nvSpPr>
        <xdr:spPr>
          <a:xfrm>
            <a:off x="368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6" name="$E$111">
            <a:extLst>
              <a:ext uri="{FF2B5EF4-FFF2-40B4-BE49-F238E27FC236}">
                <a16:creationId xmlns:a16="http://schemas.microsoft.com/office/drawing/2014/main" id="{00000000-0008-0000-0200-0000B6090000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7" name="$E$111">
            <a:extLst>
              <a:ext uri="{FF2B5EF4-FFF2-40B4-BE49-F238E27FC236}">
                <a16:creationId xmlns:a16="http://schemas.microsoft.com/office/drawing/2014/main" id="{00000000-0008-0000-0200-0000B7090000}"/>
              </a:ext>
            </a:extLst>
          </xdr:cNvPr>
          <xdr:cNvSpPr/>
        </xdr:nvSpPr>
        <xdr:spPr>
          <a:xfrm>
            <a:off x="393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8" name="$E$111">
            <a:extLst>
              <a:ext uri="{FF2B5EF4-FFF2-40B4-BE49-F238E27FC236}">
                <a16:creationId xmlns:a16="http://schemas.microsoft.com/office/drawing/2014/main" id="{00000000-0008-0000-0200-0000B8090000}"/>
              </a:ext>
            </a:extLst>
          </xdr:cNvPr>
          <xdr:cNvSpPr/>
        </xdr:nvSpPr>
        <xdr:spPr>
          <a:xfrm>
            <a:off x="406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9" name="$E$111">
            <a:extLst>
              <a:ext uri="{FF2B5EF4-FFF2-40B4-BE49-F238E27FC236}">
                <a16:creationId xmlns:a16="http://schemas.microsoft.com/office/drawing/2014/main" id="{00000000-0008-0000-0200-0000B9090000}"/>
              </a:ext>
            </a:extLst>
          </xdr:cNvPr>
          <xdr:cNvSpPr/>
        </xdr:nvSpPr>
        <xdr:spPr>
          <a:xfrm>
            <a:off x="457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0" name="$E$111">
            <a:extLst>
              <a:ext uri="{FF2B5EF4-FFF2-40B4-BE49-F238E27FC236}">
                <a16:creationId xmlns:a16="http://schemas.microsoft.com/office/drawing/2014/main" id="{00000000-0008-0000-0200-0000BA0900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1" name="$E$111">
            <a:extLst>
              <a:ext uri="{FF2B5EF4-FFF2-40B4-BE49-F238E27FC236}">
                <a16:creationId xmlns:a16="http://schemas.microsoft.com/office/drawing/2014/main" id="{00000000-0008-0000-0200-0000BB090000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2" name="$E$111">
            <a:extLst>
              <a:ext uri="{FF2B5EF4-FFF2-40B4-BE49-F238E27FC236}">
                <a16:creationId xmlns:a16="http://schemas.microsoft.com/office/drawing/2014/main" id="{00000000-0008-0000-0200-0000BC090000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3" name="$E$111">
            <a:extLst>
              <a:ext uri="{FF2B5EF4-FFF2-40B4-BE49-F238E27FC236}">
                <a16:creationId xmlns:a16="http://schemas.microsoft.com/office/drawing/2014/main" id="{00000000-0008-0000-0200-0000BD0900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4" name="$E$111">
            <a:extLst>
              <a:ext uri="{FF2B5EF4-FFF2-40B4-BE49-F238E27FC236}">
                <a16:creationId xmlns:a16="http://schemas.microsoft.com/office/drawing/2014/main" id="{00000000-0008-0000-0200-0000BE090000}"/>
              </a:ext>
            </a:extLst>
          </xdr:cNvPr>
          <xdr:cNvSpPr/>
        </xdr:nvSpPr>
        <xdr:spPr>
          <a:xfrm>
            <a:off x="88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5" name="$E$111">
            <a:extLst>
              <a:ext uri="{FF2B5EF4-FFF2-40B4-BE49-F238E27FC236}">
                <a16:creationId xmlns:a16="http://schemas.microsoft.com/office/drawing/2014/main" id="{00000000-0008-0000-0200-0000BF090000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6" name="$E$111">
            <a:extLst>
              <a:ext uri="{FF2B5EF4-FFF2-40B4-BE49-F238E27FC236}">
                <a16:creationId xmlns:a16="http://schemas.microsoft.com/office/drawing/2014/main" id="{00000000-0008-0000-0200-0000C0090000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7" name="$E$111">
            <a:extLst>
              <a:ext uri="{FF2B5EF4-FFF2-40B4-BE49-F238E27FC236}">
                <a16:creationId xmlns:a16="http://schemas.microsoft.com/office/drawing/2014/main" id="{00000000-0008-0000-0200-0000C10900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8" name="$E$111">
            <a:extLst>
              <a:ext uri="{FF2B5EF4-FFF2-40B4-BE49-F238E27FC236}">
                <a16:creationId xmlns:a16="http://schemas.microsoft.com/office/drawing/2014/main" id="{00000000-0008-0000-0200-0000C20900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9" name="$E$111">
            <a:extLst>
              <a:ext uri="{FF2B5EF4-FFF2-40B4-BE49-F238E27FC236}">
                <a16:creationId xmlns:a16="http://schemas.microsoft.com/office/drawing/2014/main" id="{00000000-0008-0000-0200-0000C30900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0" name="$E$111">
            <a:extLst>
              <a:ext uri="{FF2B5EF4-FFF2-40B4-BE49-F238E27FC236}">
                <a16:creationId xmlns:a16="http://schemas.microsoft.com/office/drawing/2014/main" id="{00000000-0008-0000-0200-0000C40900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1" name="$E$111">
            <a:extLst>
              <a:ext uri="{FF2B5EF4-FFF2-40B4-BE49-F238E27FC236}">
                <a16:creationId xmlns:a16="http://schemas.microsoft.com/office/drawing/2014/main" id="{00000000-0008-0000-0200-0000C50900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2" name="$E$111">
            <a:extLst>
              <a:ext uri="{FF2B5EF4-FFF2-40B4-BE49-F238E27FC236}">
                <a16:creationId xmlns:a16="http://schemas.microsoft.com/office/drawing/2014/main" id="{00000000-0008-0000-0200-0000C6090000}"/>
              </a:ext>
            </a:extLst>
          </xdr:cNvPr>
          <xdr:cNvSpPr/>
        </xdr:nvSpPr>
        <xdr:spPr>
          <a:xfrm>
            <a:off x="330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3" name="$E$111">
            <a:extLst>
              <a:ext uri="{FF2B5EF4-FFF2-40B4-BE49-F238E27FC236}">
                <a16:creationId xmlns:a16="http://schemas.microsoft.com/office/drawing/2014/main" id="{00000000-0008-0000-0200-0000C7090000}"/>
              </a:ext>
            </a:extLst>
          </xdr:cNvPr>
          <xdr:cNvSpPr/>
        </xdr:nvSpPr>
        <xdr:spPr>
          <a:xfrm>
            <a:off x="368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4" name="$E$111">
            <a:extLst>
              <a:ext uri="{FF2B5EF4-FFF2-40B4-BE49-F238E27FC236}">
                <a16:creationId xmlns:a16="http://schemas.microsoft.com/office/drawing/2014/main" id="{00000000-0008-0000-0200-0000C8090000}"/>
              </a:ext>
            </a:extLst>
          </xdr:cNvPr>
          <xdr:cNvSpPr/>
        </xdr:nvSpPr>
        <xdr:spPr>
          <a:xfrm>
            <a:off x="381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5" name="$E$111">
            <a:extLst>
              <a:ext uri="{FF2B5EF4-FFF2-40B4-BE49-F238E27FC236}">
                <a16:creationId xmlns:a16="http://schemas.microsoft.com/office/drawing/2014/main" id="{00000000-0008-0000-0200-0000C9090000}"/>
              </a:ext>
            </a:extLst>
          </xdr:cNvPr>
          <xdr:cNvSpPr/>
        </xdr:nvSpPr>
        <xdr:spPr>
          <a:xfrm>
            <a:off x="406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6" name="$E$111">
            <a:extLst>
              <a:ext uri="{FF2B5EF4-FFF2-40B4-BE49-F238E27FC236}">
                <a16:creationId xmlns:a16="http://schemas.microsoft.com/office/drawing/2014/main" id="{00000000-0008-0000-0200-0000CA090000}"/>
              </a:ext>
            </a:extLst>
          </xdr:cNvPr>
          <xdr:cNvSpPr/>
        </xdr:nvSpPr>
        <xdr:spPr>
          <a:xfrm>
            <a:off x="431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7" name="$E$111">
            <a:extLst>
              <a:ext uri="{FF2B5EF4-FFF2-40B4-BE49-F238E27FC236}">
                <a16:creationId xmlns:a16="http://schemas.microsoft.com/office/drawing/2014/main" id="{00000000-0008-0000-0200-0000CB090000}"/>
              </a:ext>
            </a:extLst>
          </xdr:cNvPr>
          <xdr:cNvSpPr/>
        </xdr:nvSpPr>
        <xdr:spPr>
          <a:xfrm>
            <a:off x="38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8" name="$E$111">
            <a:extLst>
              <a:ext uri="{FF2B5EF4-FFF2-40B4-BE49-F238E27FC236}">
                <a16:creationId xmlns:a16="http://schemas.microsoft.com/office/drawing/2014/main" id="{00000000-0008-0000-0200-0000CC0900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9" name="$E$111">
            <a:extLst>
              <a:ext uri="{FF2B5EF4-FFF2-40B4-BE49-F238E27FC236}">
                <a16:creationId xmlns:a16="http://schemas.microsoft.com/office/drawing/2014/main" id="{00000000-0008-0000-0200-0000CD0900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0" name="$E$111">
            <a:extLst>
              <a:ext uri="{FF2B5EF4-FFF2-40B4-BE49-F238E27FC236}">
                <a16:creationId xmlns:a16="http://schemas.microsoft.com/office/drawing/2014/main" id="{00000000-0008-0000-0200-0000CE090000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1" name="$E$111">
            <a:extLst>
              <a:ext uri="{FF2B5EF4-FFF2-40B4-BE49-F238E27FC236}">
                <a16:creationId xmlns:a16="http://schemas.microsoft.com/office/drawing/2014/main" id="{00000000-0008-0000-0200-0000CF090000}"/>
              </a:ext>
            </a:extLst>
          </xdr:cNvPr>
          <xdr:cNvSpPr/>
        </xdr:nvSpPr>
        <xdr:spPr>
          <a:xfrm>
            <a:off x="165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2" name="$E$111">
            <a:extLst>
              <a:ext uri="{FF2B5EF4-FFF2-40B4-BE49-F238E27FC236}">
                <a16:creationId xmlns:a16="http://schemas.microsoft.com/office/drawing/2014/main" id="{00000000-0008-0000-0200-0000D00900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3" name="$E$111">
            <a:extLst>
              <a:ext uri="{FF2B5EF4-FFF2-40B4-BE49-F238E27FC236}">
                <a16:creationId xmlns:a16="http://schemas.microsoft.com/office/drawing/2014/main" id="{00000000-0008-0000-0200-0000D1090000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4" name="$E$111">
            <a:extLst>
              <a:ext uri="{FF2B5EF4-FFF2-40B4-BE49-F238E27FC236}">
                <a16:creationId xmlns:a16="http://schemas.microsoft.com/office/drawing/2014/main" id="{00000000-0008-0000-0200-0000D20900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5" name="$E$111">
            <a:extLst>
              <a:ext uri="{FF2B5EF4-FFF2-40B4-BE49-F238E27FC236}">
                <a16:creationId xmlns:a16="http://schemas.microsoft.com/office/drawing/2014/main" id="{00000000-0008-0000-0200-0000D30900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6" name="$E$111">
            <a:extLst>
              <a:ext uri="{FF2B5EF4-FFF2-40B4-BE49-F238E27FC236}">
                <a16:creationId xmlns:a16="http://schemas.microsoft.com/office/drawing/2014/main" id="{00000000-0008-0000-0200-0000D40900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7" name="$E$111">
            <a:extLst>
              <a:ext uri="{FF2B5EF4-FFF2-40B4-BE49-F238E27FC236}">
                <a16:creationId xmlns:a16="http://schemas.microsoft.com/office/drawing/2014/main" id="{00000000-0008-0000-0200-0000D5090000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8" name="$E$111">
            <a:extLst>
              <a:ext uri="{FF2B5EF4-FFF2-40B4-BE49-F238E27FC236}">
                <a16:creationId xmlns:a16="http://schemas.microsoft.com/office/drawing/2014/main" id="{00000000-0008-0000-0200-0000D6090000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9" name="$E$111">
            <a:extLst>
              <a:ext uri="{FF2B5EF4-FFF2-40B4-BE49-F238E27FC236}">
                <a16:creationId xmlns:a16="http://schemas.microsoft.com/office/drawing/2014/main" id="{00000000-0008-0000-0200-0000D70900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0" name="$E$111">
            <a:extLst>
              <a:ext uri="{FF2B5EF4-FFF2-40B4-BE49-F238E27FC236}">
                <a16:creationId xmlns:a16="http://schemas.microsoft.com/office/drawing/2014/main" id="{00000000-0008-0000-0200-0000D80900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1" name="$E$111">
            <a:extLst>
              <a:ext uri="{FF2B5EF4-FFF2-40B4-BE49-F238E27FC236}">
                <a16:creationId xmlns:a16="http://schemas.microsoft.com/office/drawing/2014/main" id="{00000000-0008-0000-0200-0000D9090000}"/>
              </a:ext>
            </a:extLst>
          </xdr:cNvPr>
          <xdr:cNvSpPr/>
        </xdr:nvSpPr>
        <xdr:spPr>
          <a:xfrm>
            <a:off x="419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2" name="$E$111">
            <a:extLst>
              <a:ext uri="{FF2B5EF4-FFF2-40B4-BE49-F238E27FC236}">
                <a16:creationId xmlns:a16="http://schemas.microsoft.com/office/drawing/2014/main" id="{00000000-0008-0000-0200-0000DA0900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3" name="$E$111">
            <a:extLst>
              <a:ext uri="{FF2B5EF4-FFF2-40B4-BE49-F238E27FC236}">
                <a16:creationId xmlns:a16="http://schemas.microsoft.com/office/drawing/2014/main" id="{00000000-0008-0000-0200-0000DB0900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4" name="$E$111">
            <a:extLst>
              <a:ext uri="{FF2B5EF4-FFF2-40B4-BE49-F238E27FC236}">
                <a16:creationId xmlns:a16="http://schemas.microsoft.com/office/drawing/2014/main" id="{00000000-0008-0000-0200-0000DC0900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5" name="$E$111">
            <a:extLst>
              <a:ext uri="{FF2B5EF4-FFF2-40B4-BE49-F238E27FC236}">
                <a16:creationId xmlns:a16="http://schemas.microsoft.com/office/drawing/2014/main" id="{00000000-0008-0000-0200-0000DD090000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6" name="$E$111">
            <a:extLst>
              <a:ext uri="{FF2B5EF4-FFF2-40B4-BE49-F238E27FC236}">
                <a16:creationId xmlns:a16="http://schemas.microsoft.com/office/drawing/2014/main" id="{00000000-0008-0000-0200-0000DE0900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7" name="$E$111">
            <a:extLst>
              <a:ext uri="{FF2B5EF4-FFF2-40B4-BE49-F238E27FC236}">
                <a16:creationId xmlns:a16="http://schemas.microsoft.com/office/drawing/2014/main" id="{00000000-0008-0000-0200-0000DF090000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8" name="$E$111">
            <a:extLst>
              <a:ext uri="{FF2B5EF4-FFF2-40B4-BE49-F238E27FC236}">
                <a16:creationId xmlns:a16="http://schemas.microsoft.com/office/drawing/2014/main" id="{00000000-0008-0000-0200-0000E0090000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9" name="$E$111">
            <a:extLst>
              <a:ext uri="{FF2B5EF4-FFF2-40B4-BE49-F238E27FC236}">
                <a16:creationId xmlns:a16="http://schemas.microsoft.com/office/drawing/2014/main" id="{00000000-0008-0000-0200-0000E1090000}"/>
              </a:ext>
            </a:extLst>
          </xdr:cNvPr>
          <xdr:cNvSpPr/>
        </xdr:nvSpPr>
        <xdr:spPr>
          <a:xfrm>
            <a:off x="381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0" name="$E$111">
            <a:extLst>
              <a:ext uri="{FF2B5EF4-FFF2-40B4-BE49-F238E27FC236}">
                <a16:creationId xmlns:a16="http://schemas.microsoft.com/office/drawing/2014/main" id="{00000000-0008-0000-0200-0000E2090000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1" name="$E$111">
            <a:extLst>
              <a:ext uri="{FF2B5EF4-FFF2-40B4-BE49-F238E27FC236}">
                <a16:creationId xmlns:a16="http://schemas.microsoft.com/office/drawing/2014/main" id="{00000000-0008-0000-0200-0000E3090000}"/>
              </a:ext>
            </a:extLst>
          </xdr:cNvPr>
          <xdr:cNvSpPr/>
        </xdr:nvSpPr>
        <xdr:spPr>
          <a:xfrm>
            <a:off x="406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2" name="$E$111">
            <a:extLst>
              <a:ext uri="{FF2B5EF4-FFF2-40B4-BE49-F238E27FC236}">
                <a16:creationId xmlns:a16="http://schemas.microsoft.com/office/drawing/2014/main" id="{00000000-0008-0000-0200-0000E4090000}"/>
              </a:ext>
            </a:extLst>
          </xdr:cNvPr>
          <xdr:cNvSpPr/>
        </xdr:nvSpPr>
        <xdr:spPr>
          <a:xfrm>
            <a:off x="419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3" name="$E$111">
            <a:extLst>
              <a:ext uri="{FF2B5EF4-FFF2-40B4-BE49-F238E27FC236}">
                <a16:creationId xmlns:a16="http://schemas.microsoft.com/office/drawing/2014/main" id="{00000000-0008-0000-0200-0000E5090000}"/>
              </a:ext>
            </a:extLst>
          </xdr:cNvPr>
          <xdr:cNvSpPr/>
        </xdr:nvSpPr>
        <xdr:spPr>
          <a:xfrm>
            <a:off x="444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4" name="$E$111">
            <a:extLst>
              <a:ext uri="{FF2B5EF4-FFF2-40B4-BE49-F238E27FC236}">
                <a16:creationId xmlns:a16="http://schemas.microsoft.com/office/drawing/2014/main" id="{00000000-0008-0000-0200-0000E6090000}"/>
              </a:ext>
            </a:extLst>
          </xdr:cNvPr>
          <xdr:cNvSpPr/>
        </xdr:nvSpPr>
        <xdr:spPr>
          <a:xfrm>
            <a:off x="457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5" name="$E$111">
            <a:extLst>
              <a:ext uri="{FF2B5EF4-FFF2-40B4-BE49-F238E27FC236}">
                <a16:creationId xmlns:a16="http://schemas.microsoft.com/office/drawing/2014/main" id="{00000000-0008-0000-0200-0000E7090000}"/>
              </a:ext>
            </a:extLst>
          </xdr:cNvPr>
          <xdr:cNvSpPr/>
        </xdr:nvSpPr>
        <xdr:spPr>
          <a:xfrm>
            <a:off x="38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6" name="$E$111">
            <a:extLst>
              <a:ext uri="{FF2B5EF4-FFF2-40B4-BE49-F238E27FC236}">
                <a16:creationId xmlns:a16="http://schemas.microsoft.com/office/drawing/2014/main" id="{00000000-0008-0000-0200-0000E8090000}"/>
              </a:ext>
            </a:extLst>
          </xdr:cNvPr>
          <xdr:cNvSpPr/>
        </xdr:nvSpPr>
        <xdr:spPr>
          <a:xfrm>
            <a:off x="63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7" name="$E$111">
            <a:extLst>
              <a:ext uri="{FF2B5EF4-FFF2-40B4-BE49-F238E27FC236}">
                <a16:creationId xmlns:a16="http://schemas.microsoft.com/office/drawing/2014/main" id="{00000000-0008-0000-0200-0000E90900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8" name="$E$111">
            <a:extLst>
              <a:ext uri="{FF2B5EF4-FFF2-40B4-BE49-F238E27FC236}">
                <a16:creationId xmlns:a16="http://schemas.microsoft.com/office/drawing/2014/main" id="{00000000-0008-0000-0200-0000EA0900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9" name="$E$111">
            <a:extLst>
              <a:ext uri="{FF2B5EF4-FFF2-40B4-BE49-F238E27FC236}">
                <a16:creationId xmlns:a16="http://schemas.microsoft.com/office/drawing/2014/main" id="{00000000-0008-0000-0200-0000EB090000}"/>
              </a:ext>
            </a:extLst>
          </xdr:cNvPr>
          <xdr:cNvSpPr/>
        </xdr:nvSpPr>
        <xdr:spPr>
          <a:xfrm>
            <a:off x="165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0" name="$E$111">
            <a:extLst>
              <a:ext uri="{FF2B5EF4-FFF2-40B4-BE49-F238E27FC236}">
                <a16:creationId xmlns:a16="http://schemas.microsoft.com/office/drawing/2014/main" id="{00000000-0008-0000-0200-0000EC0900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1" name="$E$111">
            <a:extLst>
              <a:ext uri="{FF2B5EF4-FFF2-40B4-BE49-F238E27FC236}">
                <a16:creationId xmlns:a16="http://schemas.microsoft.com/office/drawing/2014/main" id="{00000000-0008-0000-0200-0000ED0900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2" name="$E$111">
            <a:extLst>
              <a:ext uri="{FF2B5EF4-FFF2-40B4-BE49-F238E27FC236}">
                <a16:creationId xmlns:a16="http://schemas.microsoft.com/office/drawing/2014/main" id="{00000000-0008-0000-0200-0000EE0900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3" name="$E$111">
            <a:extLst>
              <a:ext uri="{FF2B5EF4-FFF2-40B4-BE49-F238E27FC236}">
                <a16:creationId xmlns:a16="http://schemas.microsoft.com/office/drawing/2014/main" id="{00000000-0008-0000-0200-0000EF090000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4" name="$E$111">
            <a:extLst>
              <a:ext uri="{FF2B5EF4-FFF2-40B4-BE49-F238E27FC236}">
                <a16:creationId xmlns:a16="http://schemas.microsoft.com/office/drawing/2014/main" id="{00000000-0008-0000-0200-0000F0090000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5" name="$E$111">
            <a:extLst>
              <a:ext uri="{FF2B5EF4-FFF2-40B4-BE49-F238E27FC236}">
                <a16:creationId xmlns:a16="http://schemas.microsoft.com/office/drawing/2014/main" id="{00000000-0008-0000-0200-0000F10900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6" name="$E$111">
            <a:extLst>
              <a:ext uri="{FF2B5EF4-FFF2-40B4-BE49-F238E27FC236}">
                <a16:creationId xmlns:a16="http://schemas.microsoft.com/office/drawing/2014/main" id="{00000000-0008-0000-0200-0000F2090000}"/>
              </a:ext>
            </a:extLst>
          </xdr:cNvPr>
          <xdr:cNvSpPr/>
        </xdr:nvSpPr>
        <xdr:spPr>
          <a:xfrm>
            <a:off x="330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7" name="$E$111">
            <a:extLst>
              <a:ext uri="{FF2B5EF4-FFF2-40B4-BE49-F238E27FC236}">
                <a16:creationId xmlns:a16="http://schemas.microsoft.com/office/drawing/2014/main" id="{00000000-0008-0000-0200-0000F3090000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8" name="$E$111">
            <a:extLst>
              <a:ext uri="{FF2B5EF4-FFF2-40B4-BE49-F238E27FC236}">
                <a16:creationId xmlns:a16="http://schemas.microsoft.com/office/drawing/2014/main" id="{00000000-0008-0000-0200-0000F4090000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9" name="$E$111">
            <a:extLst>
              <a:ext uri="{FF2B5EF4-FFF2-40B4-BE49-F238E27FC236}">
                <a16:creationId xmlns:a16="http://schemas.microsoft.com/office/drawing/2014/main" id="{00000000-0008-0000-0200-0000F5090000}"/>
              </a:ext>
            </a:extLst>
          </xdr:cNvPr>
          <xdr:cNvSpPr/>
        </xdr:nvSpPr>
        <xdr:spPr>
          <a:xfrm>
            <a:off x="393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0" name="$E$111">
            <a:extLst>
              <a:ext uri="{FF2B5EF4-FFF2-40B4-BE49-F238E27FC236}">
                <a16:creationId xmlns:a16="http://schemas.microsoft.com/office/drawing/2014/main" id="{00000000-0008-0000-0200-0000F6090000}"/>
              </a:ext>
            </a:extLst>
          </xdr:cNvPr>
          <xdr:cNvSpPr/>
        </xdr:nvSpPr>
        <xdr:spPr>
          <a:xfrm>
            <a:off x="406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1" name="$E$111">
            <a:extLst>
              <a:ext uri="{FF2B5EF4-FFF2-40B4-BE49-F238E27FC236}">
                <a16:creationId xmlns:a16="http://schemas.microsoft.com/office/drawing/2014/main" id="{00000000-0008-0000-0200-0000F7090000}"/>
              </a:ext>
            </a:extLst>
          </xdr:cNvPr>
          <xdr:cNvSpPr/>
        </xdr:nvSpPr>
        <xdr:spPr>
          <a:xfrm>
            <a:off x="457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2" name="$E$111">
            <a:extLst>
              <a:ext uri="{FF2B5EF4-FFF2-40B4-BE49-F238E27FC236}">
                <a16:creationId xmlns:a16="http://schemas.microsoft.com/office/drawing/2014/main" id="{00000000-0008-0000-0200-0000F80900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3" name="$E$111">
            <a:extLst>
              <a:ext uri="{FF2B5EF4-FFF2-40B4-BE49-F238E27FC236}">
                <a16:creationId xmlns:a16="http://schemas.microsoft.com/office/drawing/2014/main" id="{00000000-0008-0000-0200-0000F9090000}"/>
              </a:ext>
            </a:extLst>
          </xdr:cNvPr>
          <xdr:cNvSpPr/>
        </xdr:nvSpPr>
        <xdr:spPr>
          <a:xfrm>
            <a:off x="12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4" name="$E$111">
            <a:extLst>
              <a:ext uri="{FF2B5EF4-FFF2-40B4-BE49-F238E27FC236}">
                <a16:creationId xmlns:a16="http://schemas.microsoft.com/office/drawing/2014/main" id="{00000000-0008-0000-0200-0000FA0900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5" name="$E$111">
            <a:extLst>
              <a:ext uri="{FF2B5EF4-FFF2-40B4-BE49-F238E27FC236}">
                <a16:creationId xmlns:a16="http://schemas.microsoft.com/office/drawing/2014/main" id="{00000000-0008-0000-0200-0000FB0900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6" name="$E$111">
            <a:extLst>
              <a:ext uri="{FF2B5EF4-FFF2-40B4-BE49-F238E27FC236}">
                <a16:creationId xmlns:a16="http://schemas.microsoft.com/office/drawing/2014/main" id="{00000000-0008-0000-0200-0000FC0900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7" name="$E$111">
            <a:extLst>
              <a:ext uri="{FF2B5EF4-FFF2-40B4-BE49-F238E27FC236}">
                <a16:creationId xmlns:a16="http://schemas.microsoft.com/office/drawing/2014/main" id="{00000000-0008-0000-0200-0000FD090000}"/>
              </a:ext>
            </a:extLst>
          </xdr:cNvPr>
          <xdr:cNvSpPr/>
        </xdr:nvSpPr>
        <xdr:spPr>
          <a:xfrm>
            <a:off x="88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8" name="$E$111">
            <a:extLst>
              <a:ext uri="{FF2B5EF4-FFF2-40B4-BE49-F238E27FC236}">
                <a16:creationId xmlns:a16="http://schemas.microsoft.com/office/drawing/2014/main" id="{00000000-0008-0000-0200-0000FE090000}"/>
              </a:ext>
            </a:extLst>
          </xdr:cNvPr>
          <xdr:cNvSpPr/>
        </xdr:nvSpPr>
        <xdr:spPr>
          <a:xfrm>
            <a:off x="101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9" name="$E$111">
            <a:extLst>
              <a:ext uri="{FF2B5EF4-FFF2-40B4-BE49-F238E27FC236}">
                <a16:creationId xmlns:a16="http://schemas.microsoft.com/office/drawing/2014/main" id="{00000000-0008-0000-0200-0000FF0900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0" name="$E$111">
            <a:extLst>
              <a:ext uri="{FF2B5EF4-FFF2-40B4-BE49-F238E27FC236}">
                <a16:creationId xmlns:a16="http://schemas.microsoft.com/office/drawing/2014/main" id="{00000000-0008-0000-0200-0000000A00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1" name="$E$111">
            <a:extLst>
              <a:ext uri="{FF2B5EF4-FFF2-40B4-BE49-F238E27FC236}">
                <a16:creationId xmlns:a16="http://schemas.microsoft.com/office/drawing/2014/main" id="{00000000-0008-0000-0200-0000010A0000}"/>
              </a:ext>
            </a:extLst>
          </xdr:cNvPr>
          <xdr:cNvSpPr/>
        </xdr:nvSpPr>
        <xdr:spPr>
          <a:xfrm>
            <a:off x="177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2" name="$E$111">
            <a:extLst>
              <a:ext uri="{FF2B5EF4-FFF2-40B4-BE49-F238E27FC236}">
                <a16:creationId xmlns:a16="http://schemas.microsoft.com/office/drawing/2014/main" id="{00000000-0008-0000-0200-0000020A00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3" name="$E$111">
            <a:extLst>
              <a:ext uri="{FF2B5EF4-FFF2-40B4-BE49-F238E27FC236}">
                <a16:creationId xmlns:a16="http://schemas.microsoft.com/office/drawing/2014/main" id="{00000000-0008-0000-0200-0000030A0000}"/>
              </a:ext>
            </a:extLst>
          </xdr:cNvPr>
          <xdr:cNvSpPr/>
        </xdr:nvSpPr>
        <xdr:spPr>
          <a:xfrm>
            <a:off x="203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4" name="$E$111">
            <a:extLst>
              <a:ext uri="{FF2B5EF4-FFF2-40B4-BE49-F238E27FC236}">
                <a16:creationId xmlns:a16="http://schemas.microsoft.com/office/drawing/2014/main" id="{00000000-0008-0000-0200-0000040A00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5" name="$E$111">
            <a:extLst>
              <a:ext uri="{FF2B5EF4-FFF2-40B4-BE49-F238E27FC236}">
                <a16:creationId xmlns:a16="http://schemas.microsoft.com/office/drawing/2014/main" id="{00000000-0008-0000-0200-0000050A00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6" name="$E$111">
            <a:extLst>
              <a:ext uri="{FF2B5EF4-FFF2-40B4-BE49-F238E27FC236}">
                <a16:creationId xmlns:a16="http://schemas.microsoft.com/office/drawing/2014/main" id="{00000000-0008-0000-0200-0000060A00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7" name="$E$111">
            <a:extLst>
              <a:ext uri="{FF2B5EF4-FFF2-40B4-BE49-F238E27FC236}">
                <a16:creationId xmlns:a16="http://schemas.microsoft.com/office/drawing/2014/main" id="{00000000-0008-0000-0200-0000070A00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8" name="$E$111">
            <a:extLst>
              <a:ext uri="{FF2B5EF4-FFF2-40B4-BE49-F238E27FC236}">
                <a16:creationId xmlns:a16="http://schemas.microsoft.com/office/drawing/2014/main" id="{00000000-0008-0000-0200-0000080A00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9" name="$E$111">
            <a:extLst>
              <a:ext uri="{FF2B5EF4-FFF2-40B4-BE49-F238E27FC236}">
                <a16:creationId xmlns:a16="http://schemas.microsoft.com/office/drawing/2014/main" id="{00000000-0008-0000-0200-0000090A00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0" name="$E$111">
            <a:extLst>
              <a:ext uri="{FF2B5EF4-FFF2-40B4-BE49-F238E27FC236}">
                <a16:creationId xmlns:a16="http://schemas.microsoft.com/office/drawing/2014/main" id="{00000000-0008-0000-0200-00000A0A0000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1" name="$E$111">
            <a:extLst>
              <a:ext uri="{FF2B5EF4-FFF2-40B4-BE49-F238E27FC236}">
                <a16:creationId xmlns:a16="http://schemas.microsoft.com/office/drawing/2014/main" id="{00000000-0008-0000-0200-00000B0A00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2" name="$E$111">
            <a:extLst>
              <a:ext uri="{FF2B5EF4-FFF2-40B4-BE49-F238E27FC236}">
                <a16:creationId xmlns:a16="http://schemas.microsoft.com/office/drawing/2014/main" id="{00000000-0008-0000-0200-00000C0A00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3" name="$E$111">
            <a:extLst>
              <a:ext uri="{FF2B5EF4-FFF2-40B4-BE49-F238E27FC236}">
                <a16:creationId xmlns:a16="http://schemas.microsoft.com/office/drawing/2014/main" id="{00000000-0008-0000-0200-00000D0A0000}"/>
              </a:ext>
            </a:extLst>
          </xdr:cNvPr>
          <xdr:cNvSpPr/>
        </xdr:nvSpPr>
        <xdr:spPr>
          <a:xfrm>
            <a:off x="368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4" name="$E$111">
            <a:extLst>
              <a:ext uri="{FF2B5EF4-FFF2-40B4-BE49-F238E27FC236}">
                <a16:creationId xmlns:a16="http://schemas.microsoft.com/office/drawing/2014/main" id="{00000000-0008-0000-0200-00000E0A0000}"/>
              </a:ext>
            </a:extLst>
          </xdr:cNvPr>
          <xdr:cNvSpPr/>
        </xdr:nvSpPr>
        <xdr:spPr>
          <a:xfrm>
            <a:off x="381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5" name="$E$111">
            <a:extLst>
              <a:ext uri="{FF2B5EF4-FFF2-40B4-BE49-F238E27FC236}">
                <a16:creationId xmlns:a16="http://schemas.microsoft.com/office/drawing/2014/main" id="{00000000-0008-0000-0200-00000F0A0000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6" name="$E$111">
            <a:extLst>
              <a:ext uri="{FF2B5EF4-FFF2-40B4-BE49-F238E27FC236}">
                <a16:creationId xmlns:a16="http://schemas.microsoft.com/office/drawing/2014/main" id="{00000000-0008-0000-0200-0000100A0000}"/>
              </a:ext>
            </a:extLst>
          </xdr:cNvPr>
          <xdr:cNvSpPr/>
        </xdr:nvSpPr>
        <xdr:spPr>
          <a:xfrm>
            <a:off x="431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7" name="$E$111">
            <a:extLst>
              <a:ext uri="{FF2B5EF4-FFF2-40B4-BE49-F238E27FC236}">
                <a16:creationId xmlns:a16="http://schemas.microsoft.com/office/drawing/2014/main" id="{00000000-0008-0000-0200-0000110A0000}"/>
              </a:ext>
            </a:extLst>
          </xdr:cNvPr>
          <xdr:cNvSpPr/>
        </xdr:nvSpPr>
        <xdr:spPr>
          <a:xfrm>
            <a:off x="444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8" name="$E$111">
            <a:extLst>
              <a:ext uri="{FF2B5EF4-FFF2-40B4-BE49-F238E27FC236}">
                <a16:creationId xmlns:a16="http://schemas.microsoft.com/office/drawing/2014/main" id="{00000000-0008-0000-0200-0000120A0000}"/>
              </a:ext>
            </a:extLst>
          </xdr:cNvPr>
          <xdr:cNvSpPr/>
        </xdr:nvSpPr>
        <xdr:spPr>
          <a:xfrm>
            <a:off x="457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9" name="$E$111">
            <a:extLst>
              <a:ext uri="{FF2B5EF4-FFF2-40B4-BE49-F238E27FC236}">
                <a16:creationId xmlns:a16="http://schemas.microsoft.com/office/drawing/2014/main" id="{00000000-0008-0000-0200-0000130A00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0" name="$E$111">
            <a:extLst>
              <a:ext uri="{FF2B5EF4-FFF2-40B4-BE49-F238E27FC236}">
                <a16:creationId xmlns:a16="http://schemas.microsoft.com/office/drawing/2014/main" id="{00000000-0008-0000-0200-0000140A00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1" name="$E$111">
            <a:extLst>
              <a:ext uri="{FF2B5EF4-FFF2-40B4-BE49-F238E27FC236}">
                <a16:creationId xmlns:a16="http://schemas.microsoft.com/office/drawing/2014/main" id="{00000000-0008-0000-0200-0000150A00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2" name="$E$111">
            <a:extLst>
              <a:ext uri="{FF2B5EF4-FFF2-40B4-BE49-F238E27FC236}">
                <a16:creationId xmlns:a16="http://schemas.microsoft.com/office/drawing/2014/main" id="{00000000-0008-0000-0200-0000160A0000}"/>
              </a:ext>
            </a:extLst>
          </xdr:cNvPr>
          <xdr:cNvSpPr/>
        </xdr:nvSpPr>
        <xdr:spPr>
          <a:xfrm>
            <a:off x="63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3" name="$E$111">
            <a:extLst>
              <a:ext uri="{FF2B5EF4-FFF2-40B4-BE49-F238E27FC236}">
                <a16:creationId xmlns:a16="http://schemas.microsoft.com/office/drawing/2014/main" id="{00000000-0008-0000-0200-0000170A00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4" name="$E$111">
            <a:extLst>
              <a:ext uri="{FF2B5EF4-FFF2-40B4-BE49-F238E27FC236}">
                <a16:creationId xmlns:a16="http://schemas.microsoft.com/office/drawing/2014/main" id="{00000000-0008-0000-0200-0000180A0000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5" name="$E$111">
            <a:extLst>
              <a:ext uri="{FF2B5EF4-FFF2-40B4-BE49-F238E27FC236}">
                <a16:creationId xmlns:a16="http://schemas.microsoft.com/office/drawing/2014/main" id="{00000000-0008-0000-0200-0000190A0000}"/>
              </a:ext>
            </a:extLst>
          </xdr:cNvPr>
          <xdr:cNvSpPr/>
        </xdr:nvSpPr>
        <xdr:spPr>
          <a:xfrm>
            <a:off x="127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6" name="$E$111">
            <a:extLst>
              <a:ext uri="{FF2B5EF4-FFF2-40B4-BE49-F238E27FC236}">
                <a16:creationId xmlns:a16="http://schemas.microsoft.com/office/drawing/2014/main" id="{00000000-0008-0000-0200-00001A0A00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7" name="$E$111">
            <a:extLst>
              <a:ext uri="{FF2B5EF4-FFF2-40B4-BE49-F238E27FC236}">
                <a16:creationId xmlns:a16="http://schemas.microsoft.com/office/drawing/2014/main" id="{00000000-0008-0000-0200-00001B0A0000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8" name="$E$111">
            <a:extLst>
              <a:ext uri="{FF2B5EF4-FFF2-40B4-BE49-F238E27FC236}">
                <a16:creationId xmlns:a16="http://schemas.microsoft.com/office/drawing/2014/main" id="{00000000-0008-0000-0200-00001C0A00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9" name="$E$111">
            <a:extLst>
              <a:ext uri="{FF2B5EF4-FFF2-40B4-BE49-F238E27FC236}">
                <a16:creationId xmlns:a16="http://schemas.microsoft.com/office/drawing/2014/main" id="{00000000-0008-0000-0200-00001D0A0000}"/>
              </a:ext>
            </a:extLst>
          </xdr:cNvPr>
          <xdr:cNvSpPr/>
        </xdr:nvSpPr>
        <xdr:spPr>
          <a:xfrm>
            <a:off x="177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0" name="$E$111">
            <a:extLst>
              <a:ext uri="{FF2B5EF4-FFF2-40B4-BE49-F238E27FC236}">
                <a16:creationId xmlns:a16="http://schemas.microsoft.com/office/drawing/2014/main" id="{00000000-0008-0000-0200-00001E0A00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1" name="$E$111">
            <a:extLst>
              <a:ext uri="{FF2B5EF4-FFF2-40B4-BE49-F238E27FC236}">
                <a16:creationId xmlns:a16="http://schemas.microsoft.com/office/drawing/2014/main" id="{00000000-0008-0000-0200-00001F0A0000}"/>
              </a:ext>
            </a:extLst>
          </xdr:cNvPr>
          <xdr:cNvSpPr/>
        </xdr:nvSpPr>
        <xdr:spPr>
          <a:xfrm>
            <a:off x="215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2" name="$E$111">
            <a:extLst>
              <a:ext uri="{FF2B5EF4-FFF2-40B4-BE49-F238E27FC236}">
                <a16:creationId xmlns:a16="http://schemas.microsoft.com/office/drawing/2014/main" id="{00000000-0008-0000-0200-0000200A00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3" name="$E$111">
            <a:extLst>
              <a:ext uri="{FF2B5EF4-FFF2-40B4-BE49-F238E27FC236}">
                <a16:creationId xmlns:a16="http://schemas.microsoft.com/office/drawing/2014/main" id="{00000000-0008-0000-0200-0000210A00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4" name="$E$111">
            <a:extLst>
              <a:ext uri="{FF2B5EF4-FFF2-40B4-BE49-F238E27FC236}">
                <a16:creationId xmlns:a16="http://schemas.microsoft.com/office/drawing/2014/main" id="{00000000-0008-0000-0200-0000220A0000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5" name="$E$111">
            <a:extLst>
              <a:ext uri="{FF2B5EF4-FFF2-40B4-BE49-F238E27FC236}">
                <a16:creationId xmlns:a16="http://schemas.microsoft.com/office/drawing/2014/main" id="{00000000-0008-0000-0200-0000230A0000}"/>
              </a:ext>
            </a:extLst>
          </xdr:cNvPr>
          <xdr:cNvSpPr/>
        </xdr:nvSpPr>
        <xdr:spPr>
          <a:xfrm>
            <a:off x="292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6" name="$E$111">
            <a:extLst>
              <a:ext uri="{FF2B5EF4-FFF2-40B4-BE49-F238E27FC236}">
                <a16:creationId xmlns:a16="http://schemas.microsoft.com/office/drawing/2014/main" id="{00000000-0008-0000-0200-0000240A00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7" name="$E$111">
            <a:extLst>
              <a:ext uri="{FF2B5EF4-FFF2-40B4-BE49-F238E27FC236}">
                <a16:creationId xmlns:a16="http://schemas.microsoft.com/office/drawing/2014/main" id="{00000000-0008-0000-0200-0000250A0000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8" name="$E$111">
            <a:extLst>
              <a:ext uri="{FF2B5EF4-FFF2-40B4-BE49-F238E27FC236}">
                <a16:creationId xmlns:a16="http://schemas.microsoft.com/office/drawing/2014/main" id="{00000000-0008-0000-0200-0000260A0000}"/>
              </a:ext>
            </a:extLst>
          </xdr:cNvPr>
          <xdr:cNvSpPr/>
        </xdr:nvSpPr>
        <xdr:spPr>
          <a:xfrm>
            <a:off x="393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9" name="$E$111">
            <a:extLst>
              <a:ext uri="{FF2B5EF4-FFF2-40B4-BE49-F238E27FC236}">
                <a16:creationId xmlns:a16="http://schemas.microsoft.com/office/drawing/2014/main" id="{00000000-0008-0000-0200-0000270A0000}"/>
              </a:ext>
            </a:extLst>
          </xdr:cNvPr>
          <xdr:cNvSpPr/>
        </xdr:nvSpPr>
        <xdr:spPr>
          <a:xfrm>
            <a:off x="419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0" name="$E$111">
            <a:extLst>
              <a:ext uri="{FF2B5EF4-FFF2-40B4-BE49-F238E27FC236}">
                <a16:creationId xmlns:a16="http://schemas.microsoft.com/office/drawing/2014/main" id="{00000000-0008-0000-0200-0000280A00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1" name="$E$111">
            <a:extLst>
              <a:ext uri="{FF2B5EF4-FFF2-40B4-BE49-F238E27FC236}">
                <a16:creationId xmlns:a16="http://schemas.microsoft.com/office/drawing/2014/main" id="{00000000-0008-0000-0200-0000290A00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2" name="$E$111">
            <a:extLst>
              <a:ext uri="{FF2B5EF4-FFF2-40B4-BE49-F238E27FC236}">
                <a16:creationId xmlns:a16="http://schemas.microsoft.com/office/drawing/2014/main" id="{00000000-0008-0000-0200-00002A0A00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3" name="$E$111">
            <a:extLst>
              <a:ext uri="{FF2B5EF4-FFF2-40B4-BE49-F238E27FC236}">
                <a16:creationId xmlns:a16="http://schemas.microsoft.com/office/drawing/2014/main" id="{00000000-0008-0000-0200-00002B0A0000}"/>
              </a:ext>
            </a:extLst>
          </xdr:cNvPr>
          <xdr:cNvSpPr/>
        </xdr:nvSpPr>
        <xdr:spPr>
          <a:xfrm>
            <a:off x="88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4" name="$E$111">
            <a:extLst>
              <a:ext uri="{FF2B5EF4-FFF2-40B4-BE49-F238E27FC236}">
                <a16:creationId xmlns:a16="http://schemas.microsoft.com/office/drawing/2014/main" id="{00000000-0008-0000-0200-00002C0A0000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5" name="$E$111">
            <a:extLst>
              <a:ext uri="{FF2B5EF4-FFF2-40B4-BE49-F238E27FC236}">
                <a16:creationId xmlns:a16="http://schemas.microsoft.com/office/drawing/2014/main" id="{00000000-0008-0000-0200-00002D0A0000}"/>
              </a:ext>
            </a:extLst>
          </xdr:cNvPr>
          <xdr:cNvSpPr/>
        </xdr:nvSpPr>
        <xdr:spPr>
          <a:xfrm>
            <a:off x="114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6" name="$E$111">
            <a:extLst>
              <a:ext uri="{FF2B5EF4-FFF2-40B4-BE49-F238E27FC236}">
                <a16:creationId xmlns:a16="http://schemas.microsoft.com/office/drawing/2014/main" id="{00000000-0008-0000-0200-00002E0A00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7" name="$E$111">
            <a:extLst>
              <a:ext uri="{FF2B5EF4-FFF2-40B4-BE49-F238E27FC236}">
                <a16:creationId xmlns:a16="http://schemas.microsoft.com/office/drawing/2014/main" id="{00000000-0008-0000-0200-00002F0A00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8" name="$E$111">
            <a:extLst>
              <a:ext uri="{FF2B5EF4-FFF2-40B4-BE49-F238E27FC236}">
                <a16:creationId xmlns:a16="http://schemas.microsoft.com/office/drawing/2014/main" id="{00000000-0008-0000-0200-0000300A00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9" name="$E$111">
            <a:extLst>
              <a:ext uri="{FF2B5EF4-FFF2-40B4-BE49-F238E27FC236}">
                <a16:creationId xmlns:a16="http://schemas.microsoft.com/office/drawing/2014/main" id="{00000000-0008-0000-0200-0000310A00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0" name="$E$111">
            <a:extLst>
              <a:ext uri="{FF2B5EF4-FFF2-40B4-BE49-F238E27FC236}">
                <a16:creationId xmlns:a16="http://schemas.microsoft.com/office/drawing/2014/main" id="{00000000-0008-0000-0200-0000320A0000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1" name="$E$111">
            <a:extLst>
              <a:ext uri="{FF2B5EF4-FFF2-40B4-BE49-F238E27FC236}">
                <a16:creationId xmlns:a16="http://schemas.microsoft.com/office/drawing/2014/main" id="{00000000-0008-0000-0200-0000330A00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2" name="$E$111">
            <a:extLst>
              <a:ext uri="{FF2B5EF4-FFF2-40B4-BE49-F238E27FC236}">
                <a16:creationId xmlns:a16="http://schemas.microsoft.com/office/drawing/2014/main" id="{00000000-0008-0000-0200-0000340A0000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3" name="$E$111">
            <a:extLst>
              <a:ext uri="{FF2B5EF4-FFF2-40B4-BE49-F238E27FC236}">
                <a16:creationId xmlns:a16="http://schemas.microsoft.com/office/drawing/2014/main" id="{00000000-0008-0000-0200-0000350A00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4" name="$E$111">
            <a:extLst>
              <a:ext uri="{FF2B5EF4-FFF2-40B4-BE49-F238E27FC236}">
                <a16:creationId xmlns:a16="http://schemas.microsoft.com/office/drawing/2014/main" id="{00000000-0008-0000-0200-0000360A0000}"/>
              </a:ext>
            </a:extLst>
          </xdr:cNvPr>
          <xdr:cNvSpPr/>
        </xdr:nvSpPr>
        <xdr:spPr>
          <a:xfrm>
            <a:off x="342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5" name="$E$111">
            <a:extLst>
              <a:ext uri="{FF2B5EF4-FFF2-40B4-BE49-F238E27FC236}">
                <a16:creationId xmlns:a16="http://schemas.microsoft.com/office/drawing/2014/main" id="{00000000-0008-0000-0200-0000370A00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6" name="$E$111">
            <a:extLst>
              <a:ext uri="{FF2B5EF4-FFF2-40B4-BE49-F238E27FC236}">
                <a16:creationId xmlns:a16="http://schemas.microsoft.com/office/drawing/2014/main" id="{00000000-0008-0000-0200-0000380A0000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7" name="$E$111">
            <a:extLst>
              <a:ext uri="{FF2B5EF4-FFF2-40B4-BE49-F238E27FC236}">
                <a16:creationId xmlns:a16="http://schemas.microsoft.com/office/drawing/2014/main" id="{00000000-0008-0000-0200-0000390A0000}"/>
              </a:ext>
            </a:extLst>
          </xdr:cNvPr>
          <xdr:cNvSpPr/>
        </xdr:nvSpPr>
        <xdr:spPr>
          <a:xfrm>
            <a:off x="431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8" name="$E$111">
            <a:extLst>
              <a:ext uri="{FF2B5EF4-FFF2-40B4-BE49-F238E27FC236}">
                <a16:creationId xmlns:a16="http://schemas.microsoft.com/office/drawing/2014/main" id="{00000000-0008-0000-0200-00003A0A0000}"/>
              </a:ext>
            </a:extLst>
          </xdr:cNvPr>
          <xdr:cNvSpPr/>
        </xdr:nvSpPr>
        <xdr:spPr>
          <a:xfrm>
            <a:off x="444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9" name="$E$111">
            <a:extLst>
              <a:ext uri="{FF2B5EF4-FFF2-40B4-BE49-F238E27FC236}">
                <a16:creationId xmlns:a16="http://schemas.microsoft.com/office/drawing/2014/main" id="{00000000-0008-0000-0200-00003B0A0000}"/>
              </a:ext>
            </a:extLst>
          </xdr:cNvPr>
          <xdr:cNvSpPr/>
        </xdr:nvSpPr>
        <xdr:spPr>
          <a:xfrm>
            <a:off x="457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0" name="$E$111">
            <a:extLst>
              <a:ext uri="{FF2B5EF4-FFF2-40B4-BE49-F238E27FC236}">
                <a16:creationId xmlns:a16="http://schemas.microsoft.com/office/drawing/2014/main" id="{00000000-0008-0000-0200-00003C0A00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1" name="$E$111">
            <a:extLst>
              <a:ext uri="{FF2B5EF4-FFF2-40B4-BE49-F238E27FC236}">
                <a16:creationId xmlns:a16="http://schemas.microsoft.com/office/drawing/2014/main" id="{00000000-0008-0000-0200-00003D0A0000}"/>
              </a:ext>
            </a:extLst>
          </xdr:cNvPr>
          <xdr:cNvSpPr/>
        </xdr:nvSpPr>
        <xdr:spPr>
          <a:xfrm>
            <a:off x="25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2" name="$E$111">
            <a:extLst>
              <a:ext uri="{FF2B5EF4-FFF2-40B4-BE49-F238E27FC236}">
                <a16:creationId xmlns:a16="http://schemas.microsoft.com/office/drawing/2014/main" id="{00000000-0008-0000-0200-00003E0A00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3" name="$E$111">
            <a:extLst>
              <a:ext uri="{FF2B5EF4-FFF2-40B4-BE49-F238E27FC236}">
                <a16:creationId xmlns:a16="http://schemas.microsoft.com/office/drawing/2014/main" id="{00000000-0008-0000-0200-00003F0A00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4" name="$E$111">
            <a:extLst>
              <a:ext uri="{FF2B5EF4-FFF2-40B4-BE49-F238E27FC236}">
                <a16:creationId xmlns:a16="http://schemas.microsoft.com/office/drawing/2014/main" id="{00000000-0008-0000-0200-0000400A0000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5" name="$E$111">
            <a:extLst>
              <a:ext uri="{FF2B5EF4-FFF2-40B4-BE49-F238E27FC236}">
                <a16:creationId xmlns:a16="http://schemas.microsoft.com/office/drawing/2014/main" id="{00000000-0008-0000-0200-0000410A0000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6" name="$E$111">
            <a:extLst>
              <a:ext uri="{FF2B5EF4-FFF2-40B4-BE49-F238E27FC236}">
                <a16:creationId xmlns:a16="http://schemas.microsoft.com/office/drawing/2014/main" id="{00000000-0008-0000-0200-0000420A00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7" name="$E$111">
            <a:extLst>
              <a:ext uri="{FF2B5EF4-FFF2-40B4-BE49-F238E27FC236}">
                <a16:creationId xmlns:a16="http://schemas.microsoft.com/office/drawing/2014/main" id="{00000000-0008-0000-0200-0000430A0000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8" name="$E$111">
            <a:extLst>
              <a:ext uri="{FF2B5EF4-FFF2-40B4-BE49-F238E27FC236}">
                <a16:creationId xmlns:a16="http://schemas.microsoft.com/office/drawing/2014/main" id="{00000000-0008-0000-0200-0000440A0000}"/>
              </a:ext>
            </a:extLst>
          </xdr:cNvPr>
          <xdr:cNvSpPr/>
        </xdr:nvSpPr>
        <xdr:spPr>
          <a:xfrm>
            <a:off x="419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9" name="$E$111">
            <a:extLst>
              <a:ext uri="{FF2B5EF4-FFF2-40B4-BE49-F238E27FC236}">
                <a16:creationId xmlns:a16="http://schemas.microsoft.com/office/drawing/2014/main" id="{00000000-0008-0000-0200-0000450A0000}"/>
              </a:ext>
            </a:extLst>
          </xdr:cNvPr>
          <xdr:cNvSpPr/>
        </xdr:nvSpPr>
        <xdr:spPr>
          <a:xfrm>
            <a:off x="457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0" name="$E$111">
            <a:extLst>
              <a:ext uri="{FF2B5EF4-FFF2-40B4-BE49-F238E27FC236}">
                <a16:creationId xmlns:a16="http://schemas.microsoft.com/office/drawing/2014/main" id="{00000000-0008-0000-0200-0000460A00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1" name="$E$111">
            <a:extLst>
              <a:ext uri="{FF2B5EF4-FFF2-40B4-BE49-F238E27FC236}">
                <a16:creationId xmlns:a16="http://schemas.microsoft.com/office/drawing/2014/main" id="{00000000-0008-0000-0200-0000470A00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2" name="$E$111">
            <a:extLst>
              <a:ext uri="{FF2B5EF4-FFF2-40B4-BE49-F238E27FC236}">
                <a16:creationId xmlns:a16="http://schemas.microsoft.com/office/drawing/2014/main" id="{00000000-0008-0000-0200-0000480A00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3" name="$E$111">
            <a:extLst>
              <a:ext uri="{FF2B5EF4-FFF2-40B4-BE49-F238E27FC236}">
                <a16:creationId xmlns:a16="http://schemas.microsoft.com/office/drawing/2014/main" id="{00000000-0008-0000-0200-0000490A00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4" name="$E$111">
            <a:extLst>
              <a:ext uri="{FF2B5EF4-FFF2-40B4-BE49-F238E27FC236}">
                <a16:creationId xmlns:a16="http://schemas.microsoft.com/office/drawing/2014/main" id="{00000000-0008-0000-0200-00004A0A00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5" name="$E$111">
            <a:extLst>
              <a:ext uri="{FF2B5EF4-FFF2-40B4-BE49-F238E27FC236}">
                <a16:creationId xmlns:a16="http://schemas.microsoft.com/office/drawing/2014/main" id="{00000000-0008-0000-0200-00004B0A0000}"/>
              </a:ext>
            </a:extLst>
          </xdr:cNvPr>
          <xdr:cNvSpPr/>
        </xdr:nvSpPr>
        <xdr:spPr>
          <a:xfrm>
            <a:off x="88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6" name="$E$111">
            <a:extLst>
              <a:ext uri="{FF2B5EF4-FFF2-40B4-BE49-F238E27FC236}">
                <a16:creationId xmlns:a16="http://schemas.microsoft.com/office/drawing/2014/main" id="{00000000-0008-0000-0200-00004C0A00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7" name="$E$111">
            <a:extLst>
              <a:ext uri="{FF2B5EF4-FFF2-40B4-BE49-F238E27FC236}">
                <a16:creationId xmlns:a16="http://schemas.microsoft.com/office/drawing/2014/main" id="{00000000-0008-0000-0200-00004D0A00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8" name="$E$111">
            <a:extLst>
              <a:ext uri="{FF2B5EF4-FFF2-40B4-BE49-F238E27FC236}">
                <a16:creationId xmlns:a16="http://schemas.microsoft.com/office/drawing/2014/main" id="{00000000-0008-0000-0200-00004E0A00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9" name="$E$111">
            <a:extLst>
              <a:ext uri="{FF2B5EF4-FFF2-40B4-BE49-F238E27FC236}">
                <a16:creationId xmlns:a16="http://schemas.microsoft.com/office/drawing/2014/main" id="{00000000-0008-0000-0200-00004F0A00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0" name="$E$111">
            <a:extLst>
              <a:ext uri="{FF2B5EF4-FFF2-40B4-BE49-F238E27FC236}">
                <a16:creationId xmlns:a16="http://schemas.microsoft.com/office/drawing/2014/main" id="{00000000-0008-0000-0200-0000500A0000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1" name="$E$111">
            <a:extLst>
              <a:ext uri="{FF2B5EF4-FFF2-40B4-BE49-F238E27FC236}">
                <a16:creationId xmlns:a16="http://schemas.microsoft.com/office/drawing/2014/main" id="{00000000-0008-0000-0200-0000510A0000}"/>
              </a:ext>
            </a:extLst>
          </xdr:cNvPr>
          <xdr:cNvSpPr/>
        </xdr:nvSpPr>
        <xdr:spPr>
          <a:xfrm>
            <a:off x="203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2" name="$E$111">
            <a:extLst>
              <a:ext uri="{FF2B5EF4-FFF2-40B4-BE49-F238E27FC236}">
                <a16:creationId xmlns:a16="http://schemas.microsoft.com/office/drawing/2014/main" id="{00000000-0008-0000-0200-0000520A00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3" name="$E$111">
            <a:extLst>
              <a:ext uri="{FF2B5EF4-FFF2-40B4-BE49-F238E27FC236}">
                <a16:creationId xmlns:a16="http://schemas.microsoft.com/office/drawing/2014/main" id="{00000000-0008-0000-0200-0000530A00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4" name="$E$111">
            <a:extLst>
              <a:ext uri="{FF2B5EF4-FFF2-40B4-BE49-F238E27FC236}">
                <a16:creationId xmlns:a16="http://schemas.microsoft.com/office/drawing/2014/main" id="{00000000-0008-0000-0200-0000540A0000}"/>
              </a:ext>
            </a:extLst>
          </xdr:cNvPr>
          <xdr:cNvSpPr/>
        </xdr:nvSpPr>
        <xdr:spPr>
          <a:xfrm>
            <a:off x="292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5" name="$E$111">
            <a:extLst>
              <a:ext uri="{FF2B5EF4-FFF2-40B4-BE49-F238E27FC236}">
                <a16:creationId xmlns:a16="http://schemas.microsoft.com/office/drawing/2014/main" id="{00000000-0008-0000-0200-0000550A00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6" name="$E$111">
            <a:extLst>
              <a:ext uri="{FF2B5EF4-FFF2-40B4-BE49-F238E27FC236}">
                <a16:creationId xmlns:a16="http://schemas.microsoft.com/office/drawing/2014/main" id="{00000000-0008-0000-0200-0000560A00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7" name="$E$111">
            <a:extLst>
              <a:ext uri="{FF2B5EF4-FFF2-40B4-BE49-F238E27FC236}">
                <a16:creationId xmlns:a16="http://schemas.microsoft.com/office/drawing/2014/main" id="{00000000-0008-0000-0200-0000570A0000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8" name="$E$111">
            <a:extLst>
              <a:ext uri="{FF2B5EF4-FFF2-40B4-BE49-F238E27FC236}">
                <a16:creationId xmlns:a16="http://schemas.microsoft.com/office/drawing/2014/main" id="{00000000-0008-0000-0200-0000580A00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9" name="$E$111">
            <a:extLst>
              <a:ext uri="{FF2B5EF4-FFF2-40B4-BE49-F238E27FC236}">
                <a16:creationId xmlns:a16="http://schemas.microsoft.com/office/drawing/2014/main" id="{00000000-0008-0000-0200-0000590A0000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0" name="$E$111">
            <a:extLst>
              <a:ext uri="{FF2B5EF4-FFF2-40B4-BE49-F238E27FC236}">
                <a16:creationId xmlns:a16="http://schemas.microsoft.com/office/drawing/2014/main" id="{00000000-0008-0000-0200-00005A0A0000}"/>
              </a:ext>
            </a:extLst>
          </xdr:cNvPr>
          <xdr:cNvSpPr/>
        </xdr:nvSpPr>
        <xdr:spPr>
          <a:xfrm>
            <a:off x="368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1" name="$E$111">
            <a:extLst>
              <a:ext uri="{FF2B5EF4-FFF2-40B4-BE49-F238E27FC236}">
                <a16:creationId xmlns:a16="http://schemas.microsoft.com/office/drawing/2014/main" id="{00000000-0008-0000-0200-00005B0A0000}"/>
              </a:ext>
            </a:extLst>
          </xdr:cNvPr>
          <xdr:cNvSpPr/>
        </xdr:nvSpPr>
        <xdr:spPr>
          <a:xfrm>
            <a:off x="381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2" name="$E$111">
            <a:extLst>
              <a:ext uri="{FF2B5EF4-FFF2-40B4-BE49-F238E27FC236}">
                <a16:creationId xmlns:a16="http://schemas.microsoft.com/office/drawing/2014/main" id="{00000000-0008-0000-0200-00005C0A0000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3" name="$E$111">
            <a:extLst>
              <a:ext uri="{FF2B5EF4-FFF2-40B4-BE49-F238E27FC236}">
                <a16:creationId xmlns:a16="http://schemas.microsoft.com/office/drawing/2014/main" id="{00000000-0008-0000-0200-00005D0A0000}"/>
              </a:ext>
            </a:extLst>
          </xdr:cNvPr>
          <xdr:cNvSpPr/>
        </xdr:nvSpPr>
        <xdr:spPr>
          <a:xfrm>
            <a:off x="406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4" name="$E$111">
            <a:extLst>
              <a:ext uri="{FF2B5EF4-FFF2-40B4-BE49-F238E27FC236}">
                <a16:creationId xmlns:a16="http://schemas.microsoft.com/office/drawing/2014/main" id="{00000000-0008-0000-0200-00005E0A0000}"/>
              </a:ext>
            </a:extLst>
          </xdr:cNvPr>
          <xdr:cNvSpPr/>
        </xdr:nvSpPr>
        <xdr:spPr>
          <a:xfrm>
            <a:off x="419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5" name="$E$111">
            <a:extLst>
              <a:ext uri="{FF2B5EF4-FFF2-40B4-BE49-F238E27FC236}">
                <a16:creationId xmlns:a16="http://schemas.microsoft.com/office/drawing/2014/main" id="{00000000-0008-0000-0200-00005F0A0000}"/>
              </a:ext>
            </a:extLst>
          </xdr:cNvPr>
          <xdr:cNvSpPr/>
        </xdr:nvSpPr>
        <xdr:spPr>
          <a:xfrm>
            <a:off x="431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6" name="$E$111">
            <a:extLst>
              <a:ext uri="{FF2B5EF4-FFF2-40B4-BE49-F238E27FC236}">
                <a16:creationId xmlns:a16="http://schemas.microsoft.com/office/drawing/2014/main" id="{00000000-0008-0000-0200-0000600A0000}"/>
              </a:ext>
            </a:extLst>
          </xdr:cNvPr>
          <xdr:cNvSpPr/>
        </xdr:nvSpPr>
        <xdr:spPr>
          <a:xfrm>
            <a:off x="457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7" name="$E$111">
            <a:extLst>
              <a:ext uri="{FF2B5EF4-FFF2-40B4-BE49-F238E27FC236}">
                <a16:creationId xmlns:a16="http://schemas.microsoft.com/office/drawing/2014/main" id="{00000000-0008-0000-0200-0000610A0000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8" name="$E$111">
            <a:extLst>
              <a:ext uri="{FF2B5EF4-FFF2-40B4-BE49-F238E27FC236}">
                <a16:creationId xmlns:a16="http://schemas.microsoft.com/office/drawing/2014/main" id="{00000000-0008-0000-0200-0000620A0000}"/>
              </a:ext>
            </a:extLst>
          </xdr:cNvPr>
          <xdr:cNvSpPr/>
        </xdr:nvSpPr>
        <xdr:spPr>
          <a:xfrm>
            <a:off x="114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9" name="$E$111">
            <a:extLst>
              <a:ext uri="{FF2B5EF4-FFF2-40B4-BE49-F238E27FC236}">
                <a16:creationId xmlns:a16="http://schemas.microsoft.com/office/drawing/2014/main" id="{00000000-0008-0000-0200-0000630A0000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0" name="$E$111">
            <a:extLst>
              <a:ext uri="{FF2B5EF4-FFF2-40B4-BE49-F238E27FC236}">
                <a16:creationId xmlns:a16="http://schemas.microsoft.com/office/drawing/2014/main" id="{00000000-0008-0000-0200-0000640A0000}"/>
              </a:ext>
            </a:extLst>
          </xdr:cNvPr>
          <xdr:cNvSpPr/>
        </xdr:nvSpPr>
        <xdr:spPr>
          <a:xfrm>
            <a:off x="177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1" name="$E$111">
            <a:extLst>
              <a:ext uri="{FF2B5EF4-FFF2-40B4-BE49-F238E27FC236}">
                <a16:creationId xmlns:a16="http://schemas.microsoft.com/office/drawing/2014/main" id="{00000000-0008-0000-0200-0000650A0000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2" name="$E$111">
            <a:extLst>
              <a:ext uri="{FF2B5EF4-FFF2-40B4-BE49-F238E27FC236}">
                <a16:creationId xmlns:a16="http://schemas.microsoft.com/office/drawing/2014/main" id="{00000000-0008-0000-0200-0000660A0000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3" name="$E$111">
            <a:extLst>
              <a:ext uri="{FF2B5EF4-FFF2-40B4-BE49-F238E27FC236}">
                <a16:creationId xmlns:a16="http://schemas.microsoft.com/office/drawing/2014/main" id="{00000000-0008-0000-0200-0000670A0000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4" name="$E$111">
            <a:extLst>
              <a:ext uri="{FF2B5EF4-FFF2-40B4-BE49-F238E27FC236}">
                <a16:creationId xmlns:a16="http://schemas.microsoft.com/office/drawing/2014/main" id="{00000000-0008-0000-0200-0000680A0000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5" name="$E$111">
            <a:extLst>
              <a:ext uri="{FF2B5EF4-FFF2-40B4-BE49-F238E27FC236}">
                <a16:creationId xmlns:a16="http://schemas.microsoft.com/office/drawing/2014/main" id="{00000000-0008-0000-0200-0000690A0000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6" name="$E$111">
            <a:extLst>
              <a:ext uri="{FF2B5EF4-FFF2-40B4-BE49-F238E27FC236}">
                <a16:creationId xmlns:a16="http://schemas.microsoft.com/office/drawing/2014/main" id="{00000000-0008-0000-0200-00006A0A0000}"/>
              </a:ext>
            </a:extLst>
          </xdr:cNvPr>
          <xdr:cNvSpPr/>
        </xdr:nvSpPr>
        <xdr:spPr>
          <a:xfrm>
            <a:off x="266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7" name="$E$111">
            <a:extLst>
              <a:ext uri="{FF2B5EF4-FFF2-40B4-BE49-F238E27FC236}">
                <a16:creationId xmlns:a16="http://schemas.microsoft.com/office/drawing/2014/main" id="{00000000-0008-0000-0200-00006B0A0000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8" name="$E$111">
            <a:extLst>
              <a:ext uri="{FF2B5EF4-FFF2-40B4-BE49-F238E27FC236}">
                <a16:creationId xmlns:a16="http://schemas.microsoft.com/office/drawing/2014/main" id="{00000000-0008-0000-0200-00006C0A0000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9" name="$E$111">
            <a:extLst>
              <a:ext uri="{FF2B5EF4-FFF2-40B4-BE49-F238E27FC236}">
                <a16:creationId xmlns:a16="http://schemas.microsoft.com/office/drawing/2014/main" id="{00000000-0008-0000-0200-00006D0A0000}"/>
              </a:ext>
            </a:extLst>
          </xdr:cNvPr>
          <xdr:cNvSpPr/>
        </xdr:nvSpPr>
        <xdr:spPr>
          <a:xfrm>
            <a:off x="406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0" name="$E$111">
            <a:extLst>
              <a:ext uri="{FF2B5EF4-FFF2-40B4-BE49-F238E27FC236}">
                <a16:creationId xmlns:a16="http://schemas.microsoft.com/office/drawing/2014/main" id="{00000000-0008-0000-0200-00006E0A0000}"/>
              </a:ext>
            </a:extLst>
          </xdr:cNvPr>
          <xdr:cNvSpPr/>
        </xdr:nvSpPr>
        <xdr:spPr>
          <a:xfrm>
            <a:off x="419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1" name="$E$111">
            <a:extLst>
              <a:ext uri="{FF2B5EF4-FFF2-40B4-BE49-F238E27FC236}">
                <a16:creationId xmlns:a16="http://schemas.microsoft.com/office/drawing/2014/main" id="{00000000-0008-0000-0200-00006F0A0000}"/>
              </a:ext>
            </a:extLst>
          </xdr:cNvPr>
          <xdr:cNvSpPr/>
        </xdr:nvSpPr>
        <xdr:spPr>
          <a:xfrm>
            <a:off x="444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2" name="$E$111">
            <a:extLst>
              <a:ext uri="{FF2B5EF4-FFF2-40B4-BE49-F238E27FC236}">
                <a16:creationId xmlns:a16="http://schemas.microsoft.com/office/drawing/2014/main" id="{00000000-0008-0000-0200-0000700A0000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3" name="$E$111">
            <a:extLst>
              <a:ext uri="{FF2B5EF4-FFF2-40B4-BE49-F238E27FC236}">
                <a16:creationId xmlns:a16="http://schemas.microsoft.com/office/drawing/2014/main" id="{00000000-0008-0000-0200-0000710A0000}"/>
              </a:ext>
            </a:extLst>
          </xdr:cNvPr>
          <xdr:cNvSpPr/>
        </xdr:nvSpPr>
        <xdr:spPr>
          <a:xfrm>
            <a:off x="12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4" name="$E$111">
            <a:extLst>
              <a:ext uri="{FF2B5EF4-FFF2-40B4-BE49-F238E27FC236}">
                <a16:creationId xmlns:a16="http://schemas.microsoft.com/office/drawing/2014/main" id="{00000000-0008-0000-0200-0000720A0000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5" name="$E$111">
            <a:extLst>
              <a:ext uri="{FF2B5EF4-FFF2-40B4-BE49-F238E27FC236}">
                <a16:creationId xmlns:a16="http://schemas.microsoft.com/office/drawing/2014/main" id="{00000000-0008-0000-0200-0000730A0000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6" name="$E$111">
            <a:extLst>
              <a:ext uri="{FF2B5EF4-FFF2-40B4-BE49-F238E27FC236}">
                <a16:creationId xmlns:a16="http://schemas.microsoft.com/office/drawing/2014/main" id="{00000000-0008-0000-0200-0000740A0000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7" name="$E$111">
            <a:extLst>
              <a:ext uri="{FF2B5EF4-FFF2-40B4-BE49-F238E27FC236}">
                <a16:creationId xmlns:a16="http://schemas.microsoft.com/office/drawing/2014/main" id="{00000000-0008-0000-0200-0000750A0000}"/>
              </a:ext>
            </a:extLst>
          </xdr:cNvPr>
          <xdr:cNvSpPr/>
        </xdr:nvSpPr>
        <xdr:spPr>
          <a:xfrm>
            <a:off x="63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8" name="$E$111">
            <a:extLst>
              <a:ext uri="{FF2B5EF4-FFF2-40B4-BE49-F238E27FC236}">
                <a16:creationId xmlns:a16="http://schemas.microsoft.com/office/drawing/2014/main" id="{00000000-0008-0000-0200-0000760A0000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9" name="$E$111">
            <a:extLst>
              <a:ext uri="{FF2B5EF4-FFF2-40B4-BE49-F238E27FC236}">
                <a16:creationId xmlns:a16="http://schemas.microsoft.com/office/drawing/2014/main" id="{00000000-0008-0000-0200-0000770A0000}"/>
              </a:ext>
            </a:extLst>
          </xdr:cNvPr>
          <xdr:cNvSpPr/>
        </xdr:nvSpPr>
        <xdr:spPr>
          <a:xfrm>
            <a:off x="127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0" name="$E$111">
            <a:extLst>
              <a:ext uri="{FF2B5EF4-FFF2-40B4-BE49-F238E27FC236}">
                <a16:creationId xmlns:a16="http://schemas.microsoft.com/office/drawing/2014/main" id="{00000000-0008-0000-0200-0000780A0000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1" name="$E$111">
            <a:extLst>
              <a:ext uri="{FF2B5EF4-FFF2-40B4-BE49-F238E27FC236}">
                <a16:creationId xmlns:a16="http://schemas.microsoft.com/office/drawing/2014/main" id="{00000000-0008-0000-0200-0000790A0000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2" name="$E$111">
            <a:extLst>
              <a:ext uri="{FF2B5EF4-FFF2-40B4-BE49-F238E27FC236}">
                <a16:creationId xmlns:a16="http://schemas.microsoft.com/office/drawing/2014/main" id="{00000000-0008-0000-0200-00007A0A0000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3" name="$E$111">
            <a:extLst>
              <a:ext uri="{FF2B5EF4-FFF2-40B4-BE49-F238E27FC236}">
                <a16:creationId xmlns:a16="http://schemas.microsoft.com/office/drawing/2014/main" id="{00000000-0008-0000-0200-00007B0A0000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4" name="$E$111">
            <a:extLst>
              <a:ext uri="{FF2B5EF4-FFF2-40B4-BE49-F238E27FC236}">
                <a16:creationId xmlns:a16="http://schemas.microsoft.com/office/drawing/2014/main" id="{00000000-0008-0000-0200-00007C0A0000}"/>
              </a:ext>
            </a:extLst>
          </xdr:cNvPr>
          <xdr:cNvSpPr/>
        </xdr:nvSpPr>
        <xdr:spPr>
          <a:xfrm>
            <a:off x="2159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5" name="$E$111">
            <a:extLst>
              <a:ext uri="{FF2B5EF4-FFF2-40B4-BE49-F238E27FC236}">
                <a16:creationId xmlns:a16="http://schemas.microsoft.com/office/drawing/2014/main" id="{00000000-0008-0000-0200-00007D0A0000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6" name="$E$111">
            <a:extLst>
              <a:ext uri="{FF2B5EF4-FFF2-40B4-BE49-F238E27FC236}">
                <a16:creationId xmlns:a16="http://schemas.microsoft.com/office/drawing/2014/main" id="{00000000-0008-0000-0200-00007E0A0000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7" name="$E$111">
            <a:extLst>
              <a:ext uri="{FF2B5EF4-FFF2-40B4-BE49-F238E27FC236}">
                <a16:creationId xmlns:a16="http://schemas.microsoft.com/office/drawing/2014/main" id="{00000000-0008-0000-0200-00007F0A0000}"/>
              </a:ext>
            </a:extLst>
          </xdr:cNvPr>
          <xdr:cNvSpPr/>
        </xdr:nvSpPr>
        <xdr:spPr>
          <a:xfrm>
            <a:off x="355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8" name="$E$111">
            <a:extLst>
              <a:ext uri="{FF2B5EF4-FFF2-40B4-BE49-F238E27FC236}">
                <a16:creationId xmlns:a16="http://schemas.microsoft.com/office/drawing/2014/main" id="{00000000-0008-0000-0200-0000800A0000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9" name="$E$111">
            <a:extLst>
              <a:ext uri="{FF2B5EF4-FFF2-40B4-BE49-F238E27FC236}">
                <a16:creationId xmlns:a16="http://schemas.microsoft.com/office/drawing/2014/main" id="{00000000-0008-0000-0200-0000810A0000}"/>
              </a:ext>
            </a:extLst>
          </xdr:cNvPr>
          <xdr:cNvSpPr/>
        </xdr:nvSpPr>
        <xdr:spPr>
          <a:xfrm>
            <a:off x="406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0" name="$E$111">
            <a:extLst>
              <a:ext uri="{FF2B5EF4-FFF2-40B4-BE49-F238E27FC236}">
                <a16:creationId xmlns:a16="http://schemas.microsoft.com/office/drawing/2014/main" id="{00000000-0008-0000-0200-0000820A0000}"/>
              </a:ext>
            </a:extLst>
          </xdr:cNvPr>
          <xdr:cNvSpPr/>
        </xdr:nvSpPr>
        <xdr:spPr>
          <a:xfrm>
            <a:off x="431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1" name="$E$111">
            <a:extLst>
              <a:ext uri="{FF2B5EF4-FFF2-40B4-BE49-F238E27FC236}">
                <a16:creationId xmlns:a16="http://schemas.microsoft.com/office/drawing/2014/main" id="{00000000-0008-0000-0200-0000830A0000}"/>
              </a:ext>
            </a:extLst>
          </xdr:cNvPr>
          <xdr:cNvSpPr/>
        </xdr:nvSpPr>
        <xdr:spPr>
          <a:xfrm>
            <a:off x="444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2" name="$E$111">
            <a:extLst>
              <a:ext uri="{FF2B5EF4-FFF2-40B4-BE49-F238E27FC236}">
                <a16:creationId xmlns:a16="http://schemas.microsoft.com/office/drawing/2014/main" id="{00000000-0008-0000-0200-0000840A0000}"/>
              </a:ext>
            </a:extLst>
          </xdr:cNvPr>
          <xdr:cNvSpPr/>
        </xdr:nvSpPr>
        <xdr:spPr>
          <a:xfrm>
            <a:off x="457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3" name="$E$111">
            <a:extLst>
              <a:ext uri="{FF2B5EF4-FFF2-40B4-BE49-F238E27FC236}">
                <a16:creationId xmlns:a16="http://schemas.microsoft.com/office/drawing/2014/main" id="{00000000-0008-0000-0200-0000850A0000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4" name="$E$111">
            <a:extLst>
              <a:ext uri="{FF2B5EF4-FFF2-40B4-BE49-F238E27FC236}">
                <a16:creationId xmlns:a16="http://schemas.microsoft.com/office/drawing/2014/main" id="{00000000-0008-0000-0200-0000860A0000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5" name="$E$111">
            <a:extLst>
              <a:ext uri="{FF2B5EF4-FFF2-40B4-BE49-F238E27FC236}">
                <a16:creationId xmlns:a16="http://schemas.microsoft.com/office/drawing/2014/main" id="{00000000-0008-0000-0200-0000870A0000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6" name="$E$111">
            <a:extLst>
              <a:ext uri="{FF2B5EF4-FFF2-40B4-BE49-F238E27FC236}">
                <a16:creationId xmlns:a16="http://schemas.microsoft.com/office/drawing/2014/main" id="{00000000-0008-0000-0200-0000880A0000}"/>
              </a:ext>
            </a:extLst>
          </xdr:cNvPr>
          <xdr:cNvSpPr/>
        </xdr:nvSpPr>
        <xdr:spPr>
          <a:xfrm>
            <a:off x="114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7" name="$E$111">
            <a:extLst>
              <a:ext uri="{FF2B5EF4-FFF2-40B4-BE49-F238E27FC236}">
                <a16:creationId xmlns:a16="http://schemas.microsoft.com/office/drawing/2014/main" id="{00000000-0008-0000-0200-0000890A0000}"/>
              </a:ext>
            </a:extLst>
          </xdr:cNvPr>
          <xdr:cNvSpPr/>
        </xdr:nvSpPr>
        <xdr:spPr>
          <a:xfrm>
            <a:off x="127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8" name="$E$111">
            <a:extLst>
              <a:ext uri="{FF2B5EF4-FFF2-40B4-BE49-F238E27FC236}">
                <a16:creationId xmlns:a16="http://schemas.microsoft.com/office/drawing/2014/main" id="{00000000-0008-0000-0200-00008A0A0000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9" name="$E$111">
            <a:extLst>
              <a:ext uri="{FF2B5EF4-FFF2-40B4-BE49-F238E27FC236}">
                <a16:creationId xmlns:a16="http://schemas.microsoft.com/office/drawing/2014/main" id="{00000000-0008-0000-0200-00008B0A0000}"/>
              </a:ext>
            </a:extLst>
          </xdr:cNvPr>
          <xdr:cNvSpPr/>
        </xdr:nvSpPr>
        <xdr:spPr>
          <a:xfrm>
            <a:off x="152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0" name="$E$111">
            <a:extLst>
              <a:ext uri="{FF2B5EF4-FFF2-40B4-BE49-F238E27FC236}">
                <a16:creationId xmlns:a16="http://schemas.microsoft.com/office/drawing/2014/main" id="{00000000-0008-0000-0200-00008C0A0000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1" name="$E$111">
            <a:extLst>
              <a:ext uri="{FF2B5EF4-FFF2-40B4-BE49-F238E27FC236}">
                <a16:creationId xmlns:a16="http://schemas.microsoft.com/office/drawing/2014/main" id="{00000000-0008-0000-0200-00008D0A0000}"/>
              </a:ext>
            </a:extLst>
          </xdr:cNvPr>
          <xdr:cNvSpPr/>
        </xdr:nvSpPr>
        <xdr:spPr>
          <a:xfrm>
            <a:off x="203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2" name="$E$111">
            <a:extLst>
              <a:ext uri="{FF2B5EF4-FFF2-40B4-BE49-F238E27FC236}">
                <a16:creationId xmlns:a16="http://schemas.microsoft.com/office/drawing/2014/main" id="{00000000-0008-0000-0200-00008E0A0000}"/>
              </a:ext>
            </a:extLst>
          </xdr:cNvPr>
          <xdr:cNvSpPr/>
        </xdr:nvSpPr>
        <xdr:spPr>
          <a:xfrm>
            <a:off x="254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3" name="$E$111">
            <a:extLst>
              <a:ext uri="{FF2B5EF4-FFF2-40B4-BE49-F238E27FC236}">
                <a16:creationId xmlns:a16="http://schemas.microsoft.com/office/drawing/2014/main" id="{00000000-0008-0000-0200-00008F0A0000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4" name="$E$111">
            <a:extLst>
              <a:ext uri="{FF2B5EF4-FFF2-40B4-BE49-F238E27FC236}">
                <a16:creationId xmlns:a16="http://schemas.microsoft.com/office/drawing/2014/main" id="{00000000-0008-0000-0200-0000900A0000}"/>
              </a:ext>
            </a:extLst>
          </xdr:cNvPr>
          <xdr:cNvSpPr/>
        </xdr:nvSpPr>
        <xdr:spPr>
          <a:xfrm>
            <a:off x="292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5" name="$E$111">
            <a:extLst>
              <a:ext uri="{FF2B5EF4-FFF2-40B4-BE49-F238E27FC236}">
                <a16:creationId xmlns:a16="http://schemas.microsoft.com/office/drawing/2014/main" id="{00000000-0008-0000-0200-0000910A0000}"/>
              </a:ext>
            </a:extLst>
          </xdr:cNvPr>
          <xdr:cNvSpPr/>
        </xdr:nvSpPr>
        <xdr:spPr>
          <a:xfrm>
            <a:off x="304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6" name="$E$111">
            <a:extLst>
              <a:ext uri="{FF2B5EF4-FFF2-40B4-BE49-F238E27FC236}">
                <a16:creationId xmlns:a16="http://schemas.microsoft.com/office/drawing/2014/main" id="{00000000-0008-0000-0200-0000920A0000}"/>
              </a:ext>
            </a:extLst>
          </xdr:cNvPr>
          <xdr:cNvSpPr/>
        </xdr:nvSpPr>
        <xdr:spPr>
          <a:xfrm>
            <a:off x="330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7" name="$E$111">
            <a:extLst>
              <a:ext uri="{FF2B5EF4-FFF2-40B4-BE49-F238E27FC236}">
                <a16:creationId xmlns:a16="http://schemas.microsoft.com/office/drawing/2014/main" id="{00000000-0008-0000-0200-0000930A0000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8" name="$E$111">
            <a:extLst>
              <a:ext uri="{FF2B5EF4-FFF2-40B4-BE49-F238E27FC236}">
                <a16:creationId xmlns:a16="http://schemas.microsoft.com/office/drawing/2014/main" id="{00000000-0008-0000-0200-0000940A0000}"/>
              </a:ext>
            </a:extLst>
          </xdr:cNvPr>
          <xdr:cNvSpPr/>
        </xdr:nvSpPr>
        <xdr:spPr>
          <a:xfrm>
            <a:off x="406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9" name="$E$111">
            <a:extLst>
              <a:ext uri="{FF2B5EF4-FFF2-40B4-BE49-F238E27FC236}">
                <a16:creationId xmlns:a16="http://schemas.microsoft.com/office/drawing/2014/main" id="{00000000-0008-0000-0200-0000950A0000}"/>
              </a:ext>
            </a:extLst>
          </xdr:cNvPr>
          <xdr:cNvSpPr/>
        </xdr:nvSpPr>
        <xdr:spPr>
          <a:xfrm>
            <a:off x="419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0" name="$E$111">
            <a:extLst>
              <a:ext uri="{FF2B5EF4-FFF2-40B4-BE49-F238E27FC236}">
                <a16:creationId xmlns:a16="http://schemas.microsoft.com/office/drawing/2014/main" id="{00000000-0008-0000-0200-0000960A0000}"/>
              </a:ext>
            </a:extLst>
          </xdr:cNvPr>
          <xdr:cNvSpPr/>
        </xdr:nvSpPr>
        <xdr:spPr>
          <a:xfrm>
            <a:off x="444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1" name="$E$111">
            <a:extLst>
              <a:ext uri="{FF2B5EF4-FFF2-40B4-BE49-F238E27FC236}">
                <a16:creationId xmlns:a16="http://schemas.microsoft.com/office/drawing/2014/main" id="{00000000-0008-0000-0200-0000970A0000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2" name="$E$111">
            <a:extLst>
              <a:ext uri="{FF2B5EF4-FFF2-40B4-BE49-F238E27FC236}">
                <a16:creationId xmlns:a16="http://schemas.microsoft.com/office/drawing/2014/main" id="{00000000-0008-0000-0200-0000980A0000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3" name="$E$111">
            <a:extLst>
              <a:ext uri="{FF2B5EF4-FFF2-40B4-BE49-F238E27FC236}">
                <a16:creationId xmlns:a16="http://schemas.microsoft.com/office/drawing/2014/main" id="{00000000-0008-0000-0200-0000990A0000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4" name="$E$111">
            <a:extLst>
              <a:ext uri="{FF2B5EF4-FFF2-40B4-BE49-F238E27FC236}">
                <a16:creationId xmlns:a16="http://schemas.microsoft.com/office/drawing/2014/main" id="{00000000-0008-0000-0200-00009A0A0000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5" name="$E$111">
            <a:extLst>
              <a:ext uri="{FF2B5EF4-FFF2-40B4-BE49-F238E27FC236}">
                <a16:creationId xmlns:a16="http://schemas.microsoft.com/office/drawing/2014/main" id="{00000000-0008-0000-0200-00009B0A0000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6" name="$E$111">
            <a:extLst>
              <a:ext uri="{FF2B5EF4-FFF2-40B4-BE49-F238E27FC236}">
                <a16:creationId xmlns:a16="http://schemas.microsoft.com/office/drawing/2014/main" id="{00000000-0008-0000-0200-00009C0A0000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7" name="$E$111">
            <a:extLst>
              <a:ext uri="{FF2B5EF4-FFF2-40B4-BE49-F238E27FC236}">
                <a16:creationId xmlns:a16="http://schemas.microsoft.com/office/drawing/2014/main" id="{00000000-0008-0000-0200-00009D0A0000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8" name="$E$111">
            <a:extLst>
              <a:ext uri="{FF2B5EF4-FFF2-40B4-BE49-F238E27FC236}">
                <a16:creationId xmlns:a16="http://schemas.microsoft.com/office/drawing/2014/main" id="{00000000-0008-0000-0200-00009E0A0000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9" name="$E$111">
            <a:extLst>
              <a:ext uri="{FF2B5EF4-FFF2-40B4-BE49-F238E27FC236}">
                <a16:creationId xmlns:a16="http://schemas.microsoft.com/office/drawing/2014/main" id="{00000000-0008-0000-0200-00009F0A0000}"/>
              </a:ext>
            </a:extLst>
          </xdr:cNvPr>
          <xdr:cNvSpPr/>
        </xdr:nvSpPr>
        <xdr:spPr>
          <a:xfrm>
            <a:off x="165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0" name="$E$111">
            <a:extLst>
              <a:ext uri="{FF2B5EF4-FFF2-40B4-BE49-F238E27FC236}">
                <a16:creationId xmlns:a16="http://schemas.microsoft.com/office/drawing/2014/main" id="{00000000-0008-0000-0200-0000A00A0000}"/>
              </a:ext>
            </a:extLst>
          </xdr:cNvPr>
          <xdr:cNvSpPr/>
        </xdr:nvSpPr>
        <xdr:spPr>
          <a:xfrm>
            <a:off x="228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1" name="$E$111">
            <a:extLst>
              <a:ext uri="{FF2B5EF4-FFF2-40B4-BE49-F238E27FC236}">
                <a16:creationId xmlns:a16="http://schemas.microsoft.com/office/drawing/2014/main" id="{00000000-0008-0000-0200-0000A10A0000}"/>
              </a:ext>
            </a:extLst>
          </xdr:cNvPr>
          <xdr:cNvSpPr/>
        </xdr:nvSpPr>
        <xdr:spPr>
          <a:xfrm>
            <a:off x="254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2" name="$E$111">
            <a:extLst>
              <a:ext uri="{FF2B5EF4-FFF2-40B4-BE49-F238E27FC236}">
                <a16:creationId xmlns:a16="http://schemas.microsoft.com/office/drawing/2014/main" id="{00000000-0008-0000-0200-0000A20A0000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3" name="$E$111">
            <a:extLst>
              <a:ext uri="{FF2B5EF4-FFF2-40B4-BE49-F238E27FC236}">
                <a16:creationId xmlns:a16="http://schemas.microsoft.com/office/drawing/2014/main" id="{00000000-0008-0000-0200-0000A30A0000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4" name="$E$111">
            <a:extLst>
              <a:ext uri="{FF2B5EF4-FFF2-40B4-BE49-F238E27FC236}">
                <a16:creationId xmlns:a16="http://schemas.microsoft.com/office/drawing/2014/main" id="{00000000-0008-0000-0200-0000A40A0000}"/>
              </a:ext>
            </a:extLst>
          </xdr:cNvPr>
          <xdr:cNvSpPr/>
        </xdr:nvSpPr>
        <xdr:spPr>
          <a:xfrm>
            <a:off x="330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5" name="$E$111">
            <a:extLst>
              <a:ext uri="{FF2B5EF4-FFF2-40B4-BE49-F238E27FC236}">
                <a16:creationId xmlns:a16="http://schemas.microsoft.com/office/drawing/2014/main" id="{00000000-0008-0000-0200-0000A50A0000}"/>
              </a:ext>
            </a:extLst>
          </xdr:cNvPr>
          <xdr:cNvSpPr/>
        </xdr:nvSpPr>
        <xdr:spPr>
          <a:xfrm>
            <a:off x="342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6" name="$E$111">
            <a:extLst>
              <a:ext uri="{FF2B5EF4-FFF2-40B4-BE49-F238E27FC236}">
                <a16:creationId xmlns:a16="http://schemas.microsoft.com/office/drawing/2014/main" id="{00000000-0008-0000-0200-0000A60A0000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7" name="$E$111">
            <a:extLst>
              <a:ext uri="{FF2B5EF4-FFF2-40B4-BE49-F238E27FC236}">
                <a16:creationId xmlns:a16="http://schemas.microsoft.com/office/drawing/2014/main" id="{00000000-0008-0000-0200-0000A70A0000}"/>
              </a:ext>
            </a:extLst>
          </xdr:cNvPr>
          <xdr:cNvSpPr/>
        </xdr:nvSpPr>
        <xdr:spPr>
          <a:xfrm>
            <a:off x="368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8" name="$E$111">
            <a:extLst>
              <a:ext uri="{FF2B5EF4-FFF2-40B4-BE49-F238E27FC236}">
                <a16:creationId xmlns:a16="http://schemas.microsoft.com/office/drawing/2014/main" id="{00000000-0008-0000-0200-0000A80A0000}"/>
              </a:ext>
            </a:extLst>
          </xdr:cNvPr>
          <xdr:cNvSpPr/>
        </xdr:nvSpPr>
        <xdr:spPr>
          <a:xfrm>
            <a:off x="381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9" name="$E$111">
            <a:extLst>
              <a:ext uri="{FF2B5EF4-FFF2-40B4-BE49-F238E27FC236}">
                <a16:creationId xmlns:a16="http://schemas.microsoft.com/office/drawing/2014/main" id="{00000000-0008-0000-0200-0000A90A0000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0" name="$E$111">
            <a:extLst>
              <a:ext uri="{FF2B5EF4-FFF2-40B4-BE49-F238E27FC236}">
                <a16:creationId xmlns:a16="http://schemas.microsoft.com/office/drawing/2014/main" id="{00000000-0008-0000-0200-0000AA0A0000}"/>
              </a:ext>
            </a:extLst>
          </xdr:cNvPr>
          <xdr:cNvSpPr/>
        </xdr:nvSpPr>
        <xdr:spPr>
          <a:xfrm>
            <a:off x="406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1" name="$E$111">
            <a:extLst>
              <a:ext uri="{FF2B5EF4-FFF2-40B4-BE49-F238E27FC236}">
                <a16:creationId xmlns:a16="http://schemas.microsoft.com/office/drawing/2014/main" id="{00000000-0008-0000-0200-0000AB0A0000}"/>
              </a:ext>
            </a:extLst>
          </xdr:cNvPr>
          <xdr:cNvSpPr/>
        </xdr:nvSpPr>
        <xdr:spPr>
          <a:xfrm>
            <a:off x="431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2" name="$E$111">
            <a:extLst>
              <a:ext uri="{FF2B5EF4-FFF2-40B4-BE49-F238E27FC236}">
                <a16:creationId xmlns:a16="http://schemas.microsoft.com/office/drawing/2014/main" id="{00000000-0008-0000-0200-0000AC0A0000}"/>
              </a:ext>
            </a:extLst>
          </xdr:cNvPr>
          <xdr:cNvSpPr/>
        </xdr:nvSpPr>
        <xdr:spPr>
          <a:xfrm>
            <a:off x="457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3" name="$E$111">
            <a:extLst>
              <a:ext uri="{FF2B5EF4-FFF2-40B4-BE49-F238E27FC236}">
                <a16:creationId xmlns:a16="http://schemas.microsoft.com/office/drawing/2014/main" id="{00000000-0008-0000-0200-0000AD0A0000}"/>
              </a:ext>
            </a:extLst>
          </xdr:cNvPr>
          <xdr:cNvSpPr/>
        </xdr:nvSpPr>
        <xdr:spPr>
          <a:xfrm>
            <a:off x="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4" name="$E$111">
            <a:extLst>
              <a:ext uri="{FF2B5EF4-FFF2-40B4-BE49-F238E27FC236}">
                <a16:creationId xmlns:a16="http://schemas.microsoft.com/office/drawing/2014/main" id="{00000000-0008-0000-0200-0000AE0A0000}"/>
              </a:ext>
            </a:extLst>
          </xdr:cNvPr>
          <xdr:cNvSpPr/>
        </xdr:nvSpPr>
        <xdr:spPr>
          <a:xfrm>
            <a:off x="25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5" name="$E$111">
            <a:extLst>
              <a:ext uri="{FF2B5EF4-FFF2-40B4-BE49-F238E27FC236}">
                <a16:creationId xmlns:a16="http://schemas.microsoft.com/office/drawing/2014/main" id="{00000000-0008-0000-0200-0000AF0A0000}"/>
              </a:ext>
            </a:extLst>
          </xdr:cNvPr>
          <xdr:cNvSpPr/>
        </xdr:nvSpPr>
        <xdr:spPr>
          <a:xfrm>
            <a:off x="38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6" name="$E$111">
            <a:extLst>
              <a:ext uri="{FF2B5EF4-FFF2-40B4-BE49-F238E27FC236}">
                <a16:creationId xmlns:a16="http://schemas.microsoft.com/office/drawing/2014/main" id="{00000000-0008-0000-0200-0000B00A0000}"/>
              </a:ext>
            </a:extLst>
          </xdr:cNvPr>
          <xdr:cNvSpPr/>
        </xdr:nvSpPr>
        <xdr:spPr>
          <a:xfrm>
            <a:off x="50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7" name="$E$111">
            <a:extLst>
              <a:ext uri="{FF2B5EF4-FFF2-40B4-BE49-F238E27FC236}">
                <a16:creationId xmlns:a16="http://schemas.microsoft.com/office/drawing/2014/main" id="{00000000-0008-0000-0200-0000B10A0000}"/>
              </a:ext>
            </a:extLst>
          </xdr:cNvPr>
          <xdr:cNvSpPr/>
        </xdr:nvSpPr>
        <xdr:spPr>
          <a:xfrm>
            <a:off x="76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8" name="$E$111">
            <a:extLst>
              <a:ext uri="{FF2B5EF4-FFF2-40B4-BE49-F238E27FC236}">
                <a16:creationId xmlns:a16="http://schemas.microsoft.com/office/drawing/2014/main" id="{00000000-0008-0000-0200-0000B20A0000}"/>
              </a:ext>
            </a:extLst>
          </xdr:cNvPr>
          <xdr:cNvSpPr/>
        </xdr:nvSpPr>
        <xdr:spPr>
          <a:xfrm>
            <a:off x="101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9" name="$E$111">
            <a:extLst>
              <a:ext uri="{FF2B5EF4-FFF2-40B4-BE49-F238E27FC236}">
                <a16:creationId xmlns:a16="http://schemas.microsoft.com/office/drawing/2014/main" id="{00000000-0008-0000-0200-0000B30A0000}"/>
              </a:ext>
            </a:extLst>
          </xdr:cNvPr>
          <xdr:cNvSpPr/>
        </xdr:nvSpPr>
        <xdr:spPr>
          <a:xfrm>
            <a:off x="114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0" name="$E$111">
            <a:extLst>
              <a:ext uri="{FF2B5EF4-FFF2-40B4-BE49-F238E27FC236}">
                <a16:creationId xmlns:a16="http://schemas.microsoft.com/office/drawing/2014/main" id="{00000000-0008-0000-0200-0000B40A0000}"/>
              </a:ext>
            </a:extLst>
          </xdr:cNvPr>
          <xdr:cNvSpPr/>
        </xdr:nvSpPr>
        <xdr:spPr>
          <a:xfrm>
            <a:off x="1397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1" name="$E$111">
            <a:extLst>
              <a:ext uri="{FF2B5EF4-FFF2-40B4-BE49-F238E27FC236}">
                <a16:creationId xmlns:a16="http://schemas.microsoft.com/office/drawing/2014/main" id="{00000000-0008-0000-0200-0000B50A0000}"/>
              </a:ext>
            </a:extLst>
          </xdr:cNvPr>
          <xdr:cNvSpPr/>
        </xdr:nvSpPr>
        <xdr:spPr>
          <a:xfrm>
            <a:off x="177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2" name="$E$111">
            <a:extLst>
              <a:ext uri="{FF2B5EF4-FFF2-40B4-BE49-F238E27FC236}">
                <a16:creationId xmlns:a16="http://schemas.microsoft.com/office/drawing/2014/main" id="{00000000-0008-0000-0200-0000B60A0000}"/>
              </a:ext>
            </a:extLst>
          </xdr:cNvPr>
          <xdr:cNvSpPr/>
        </xdr:nvSpPr>
        <xdr:spPr>
          <a:xfrm>
            <a:off x="1905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3" name="$E$111">
            <a:extLst>
              <a:ext uri="{FF2B5EF4-FFF2-40B4-BE49-F238E27FC236}">
                <a16:creationId xmlns:a16="http://schemas.microsoft.com/office/drawing/2014/main" id="{00000000-0008-0000-0200-0000B70A0000}"/>
              </a:ext>
            </a:extLst>
          </xdr:cNvPr>
          <xdr:cNvSpPr/>
        </xdr:nvSpPr>
        <xdr:spPr>
          <a:xfrm>
            <a:off x="203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4" name="$E$111">
            <a:extLst>
              <a:ext uri="{FF2B5EF4-FFF2-40B4-BE49-F238E27FC236}">
                <a16:creationId xmlns:a16="http://schemas.microsoft.com/office/drawing/2014/main" id="{00000000-0008-0000-0200-0000B80A0000}"/>
              </a:ext>
            </a:extLst>
          </xdr:cNvPr>
          <xdr:cNvSpPr/>
        </xdr:nvSpPr>
        <xdr:spPr>
          <a:xfrm>
            <a:off x="2159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5" name="$E$111">
            <a:extLst>
              <a:ext uri="{FF2B5EF4-FFF2-40B4-BE49-F238E27FC236}">
                <a16:creationId xmlns:a16="http://schemas.microsoft.com/office/drawing/2014/main" id="{00000000-0008-0000-0200-0000B90A0000}"/>
              </a:ext>
            </a:extLst>
          </xdr:cNvPr>
          <xdr:cNvSpPr/>
        </xdr:nvSpPr>
        <xdr:spPr>
          <a:xfrm>
            <a:off x="228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6" name="$E$111">
            <a:extLst>
              <a:ext uri="{FF2B5EF4-FFF2-40B4-BE49-F238E27FC236}">
                <a16:creationId xmlns:a16="http://schemas.microsoft.com/office/drawing/2014/main" id="{00000000-0008-0000-0200-0000BA0A0000}"/>
              </a:ext>
            </a:extLst>
          </xdr:cNvPr>
          <xdr:cNvSpPr/>
        </xdr:nvSpPr>
        <xdr:spPr>
          <a:xfrm>
            <a:off x="241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7" name="$E$111">
            <a:extLst>
              <a:ext uri="{FF2B5EF4-FFF2-40B4-BE49-F238E27FC236}">
                <a16:creationId xmlns:a16="http://schemas.microsoft.com/office/drawing/2014/main" id="{00000000-0008-0000-0200-0000BB0A0000}"/>
              </a:ext>
            </a:extLst>
          </xdr:cNvPr>
          <xdr:cNvSpPr/>
        </xdr:nvSpPr>
        <xdr:spPr>
          <a:xfrm>
            <a:off x="2667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8" name="$E$111">
            <a:extLst>
              <a:ext uri="{FF2B5EF4-FFF2-40B4-BE49-F238E27FC236}">
                <a16:creationId xmlns:a16="http://schemas.microsoft.com/office/drawing/2014/main" id="{00000000-0008-0000-0200-0000BC0A0000}"/>
              </a:ext>
            </a:extLst>
          </xdr:cNvPr>
          <xdr:cNvSpPr/>
        </xdr:nvSpPr>
        <xdr:spPr>
          <a:xfrm>
            <a:off x="279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9" name="$E$111">
            <a:extLst>
              <a:ext uri="{FF2B5EF4-FFF2-40B4-BE49-F238E27FC236}">
                <a16:creationId xmlns:a16="http://schemas.microsoft.com/office/drawing/2014/main" id="{00000000-0008-0000-0200-0000BD0A0000}"/>
              </a:ext>
            </a:extLst>
          </xdr:cNvPr>
          <xdr:cNvSpPr/>
        </xdr:nvSpPr>
        <xdr:spPr>
          <a:xfrm>
            <a:off x="292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0" name="$E$111">
            <a:extLst>
              <a:ext uri="{FF2B5EF4-FFF2-40B4-BE49-F238E27FC236}">
                <a16:creationId xmlns:a16="http://schemas.microsoft.com/office/drawing/2014/main" id="{00000000-0008-0000-0200-0000BE0A0000}"/>
              </a:ext>
            </a:extLst>
          </xdr:cNvPr>
          <xdr:cNvSpPr/>
        </xdr:nvSpPr>
        <xdr:spPr>
          <a:xfrm>
            <a:off x="3429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1" name="$E$111">
            <a:extLst>
              <a:ext uri="{FF2B5EF4-FFF2-40B4-BE49-F238E27FC236}">
                <a16:creationId xmlns:a16="http://schemas.microsoft.com/office/drawing/2014/main" id="{00000000-0008-0000-0200-0000BF0A0000}"/>
              </a:ext>
            </a:extLst>
          </xdr:cNvPr>
          <xdr:cNvSpPr/>
        </xdr:nvSpPr>
        <xdr:spPr>
          <a:xfrm>
            <a:off x="368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2" name="$E$111">
            <a:extLst>
              <a:ext uri="{FF2B5EF4-FFF2-40B4-BE49-F238E27FC236}">
                <a16:creationId xmlns:a16="http://schemas.microsoft.com/office/drawing/2014/main" id="{00000000-0008-0000-0200-0000C00A0000}"/>
              </a:ext>
            </a:extLst>
          </xdr:cNvPr>
          <xdr:cNvSpPr/>
        </xdr:nvSpPr>
        <xdr:spPr>
          <a:xfrm>
            <a:off x="381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3" name="$E$111">
            <a:extLst>
              <a:ext uri="{FF2B5EF4-FFF2-40B4-BE49-F238E27FC236}">
                <a16:creationId xmlns:a16="http://schemas.microsoft.com/office/drawing/2014/main" id="{00000000-0008-0000-0200-0000C10A0000}"/>
              </a:ext>
            </a:extLst>
          </xdr:cNvPr>
          <xdr:cNvSpPr/>
        </xdr:nvSpPr>
        <xdr:spPr>
          <a:xfrm>
            <a:off x="406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4" name="$E$111">
            <a:extLst>
              <a:ext uri="{FF2B5EF4-FFF2-40B4-BE49-F238E27FC236}">
                <a16:creationId xmlns:a16="http://schemas.microsoft.com/office/drawing/2014/main" id="{00000000-0008-0000-0200-0000C20A0000}"/>
              </a:ext>
            </a:extLst>
          </xdr:cNvPr>
          <xdr:cNvSpPr/>
        </xdr:nvSpPr>
        <xdr:spPr>
          <a:xfrm>
            <a:off x="431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5" name="$E$111">
            <a:extLst>
              <a:ext uri="{FF2B5EF4-FFF2-40B4-BE49-F238E27FC236}">
                <a16:creationId xmlns:a16="http://schemas.microsoft.com/office/drawing/2014/main" id="{00000000-0008-0000-0200-0000C30A0000}"/>
              </a:ext>
            </a:extLst>
          </xdr:cNvPr>
          <xdr:cNvSpPr/>
        </xdr:nvSpPr>
        <xdr:spPr>
          <a:xfrm>
            <a:off x="4445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6" name="$E$111">
            <a:extLst>
              <a:ext uri="{FF2B5EF4-FFF2-40B4-BE49-F238E27FC236}">
                <a16:creationId xmlns:a16="http://schemas.microsoft.com/office/drawing/2014/main" id="{00000000-0008-0000-0200-0000C40A0000}"/>
              </a:ext>
            </a:extLst>
          </xdr:cNvPr>
          <xdr:cNvSpPr/>
        </xdr:nvSpPr>
        <xdr:spPr>
          <a:xfrm>
            <a:off x="457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7" name="$E$111">
            <a:extLst>
              <a:ext uri="{FF2B5EF4-FFF2-40B4-BE49-F238E27FC236}">
                <a16:creationId xmlns:a16="http://schemas.microsoft.com/office/drawing/2014/main" id="{00000000-0008-0000-0200-0000C50A0000}"/>
              </a:ext>
            </a:extLst>
          </xdr:cNvPr>
          <xdr:cNvSpPr/>
        </xdr:nvSpPr>
        <xdr:spPr>
          <a:xfrm>
            <a:off x="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8" name="$E$111">
            <a:extLst>
              <a:ext uri="{FF2B5EF4-FFF2-40B4-BE49-F238E27FC236}">
                <a16:creationId xmlns:a16="http://schemas.microsoft.com/office/drawing/2014/main" id="{00000000-0008-0000-0200-0000C60A0000}"/>
              </a:ext>
            </a:extLst>
          </xdr:cNvPr>
          <xdr:cNvSpPr/>
        </xdr:nvSpPr>
        <xdr:spPr>
          <a:xfrm>
            <a:off x="25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9" name="$E$111">
            <a:extLst>
              <a:ext uri="{FF2B5EF4-FFF2-40B4-BE49-F238E27FC236}">
                <a16:creationId xmlns:a16="http://schemas.microsoft.com/office/drawing/2014/main" id="{00000000-0008-0000-0200-0000C70A0000}"/>
              </a:ext>
            </a:extLst>
          </xdr:cNvPr>
          <xdr:cNvSpPr/>
        </xdr:nvSpPr>
        <xdr:spPr>
          <a:xfrm>
            <a:off x="38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0" name="$E$111">
            <a:extLst>
              <a:ext uri="{FF2B5EF4-FFF2-40B4-BE49-F238E27FC236}">
                <a16:creationId xmlns:a16="http://schemas.microsoft.com/office/drawing/2014/main" id="{00000000-0008-0000-0200-0000C80A0000}"/>
              </a:ext>
            </a:extLst>
          </xdr:cNvPr>
          <xdr:cNvSpPr/>
        </xdr:nvSpPr>
        <xdr:spPr>
          <a:xfrm>
            <a:off x="50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1" name="$E$111">
            <a:extLst>
              <a:ext uri="{FF2B5EF4-FFF2-40B4-BE49-F238E27FC236}">
                <a16:creationId xmlns:a16="http://schemas.microsoft.com/office/drawing/2014/main" id="{00000000-0008-0000-0200-0000C90A0000}"/>
              </a:ext>
            </a:extLst>
          </xdr:cNvPr>
          <xdr:cNvSpPr/>
        </xdr:nvSpPr>
        <xdr:spPr>
          <a:xfrm>
            <a:off x="76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2" name="$E$111">
            <a:extLst>
              <a:ext uri="{FF2B5EF4-FFF2-40B4-BE49-F238E27FC236}">
                <a16:creationId xmlns:a16="http://schemas.microsoft.com/office/drawing/2014/main" id="{00000000-0008-0000-0200-0000CA0A0000}"/>
              </a:ext>
            </a:extLst>
          </xdr:cNvPr>
          <xdr:cNvSpPr/>
        </xdr:nvSpPr>
        <xdr:spPr>
          <a:xfrm>
            <a:off x="1016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3" name="$E$111">
            <a:extLst>
              <a:ext uri="{FF2B5EF4-FFF2-40B4-BE49-F238E27FC236}">
                <a16:creationId xmlns:a16="http://schemas.microsoft.com/office/drawing/2014/main" id="{00000000-0008-0000-0200-0000CB0A0000}"/>
              </a:ext>
            </a:extLst>
          </xdr:cNvPr>
          <xdr:cNvSpPr/>
        </xdr:nvSpPr>
        <xdr:spPr>
          <a:xfrm>
            <a:off x="1143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4" name="$E$111">
            <a:extLst>
              <a:ext uri="{FF2B5EF4-FFF2-40B4-BE49-F238E27FC236}">
                <a16:creationId xmlns:a16="http://schemas.microsoft.com/office/drawing/2014/main" id="{00000000-0008-0000-0200-0000CC0A0000}"/>
              </a:ext>
            </a:extLst>
          </xdr:cNvPr>
          <xdr:cNvSpPr/>
        </xdr:nvSpPr>
        <xdr:spPr>
          <a:xfrm>
            <a:off x="127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5" name="$E$111">
            <a:extLst>
              <a:ext uri="{FF2B5EF4-FFF2-40B4-BE49-F238E27FC236}">
                <a16:creationId xmlns:a16="http://schemas.microsoft.com/office/drawing/2014/main" id="{00000000-0008-0000-0200-0000CD0A0000}"/>
              </a:ext>
            </a:extLst>
          </xdr:cNvPr>
          <xdr:cNvSpPr/>
        </xdr:nvSpPr>
        <xdr:spPr>
          <a:xfrm>
            <a:off x="139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6" name="$E$111">
            <a:extLst>
              <a:ext uri="{FF2B5EF4-FFF2-40B4-BE49-F238E27FC236}">
                <a16:creationId xmlns:a16="http://schemas.microsoft.com/office/drawing/2014/main" id="{00000000-0008-0000-0200-0000CE0A0000}"/>
              </a:ext>
            </a:extLst>
          </xdr:cNvPr>
          <xdr:cNvSpPr/>
        </xdr:nvSpPr>
        <xdr:spPr>
          <a:xfrm>
            <a:off x="152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7" name="$E$111">
            <a:extLst>
              <a:ext uri="{FF2B5EF4-FFF2-40B4-BE49-F238E27FC236}">
                <a16:creationId xmlns:a16="http://schemas.microsoft.com/office/drawing/2014/main" id="{00000000-0008-0000-0200-0000CF0A0000}"/>
              </a:ext>
            </a:extLst>
          </xdr:cNvPr>
          <xdr:cNvSpPr/>
        </xdr:nvSpPr>
        <xdr:spPr>
          <a:xfrm>
            <a:off x="177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8" name="$E$111">
            <a:extLst>
              <a:ext uri="{FF2B5EF4-FFF2-40B4-BE49-F238E27FC236}">
                <a16:creationId xmlns:a16="http://schemas.microsoft.com/office/drawing/2014/main" id="{00000000-0008-0000-0200-0000D00A0000}"/>
              </a:ext>
            </a:extLst>
          </xdr:cNvPr>
          <xdr:cNvSpPr/>
        </xdr:nvSpPr>
        <xdr:spPr>
          <a:xfrm>
            <a:off x="254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9" name="$E$111">
            <a:extLst>
              <a:ext uri="{FF2B5EF4-FFF2-40B4-BE49-F238E27FC236}">
                <a16:creationId xmlns:a16="http://schemas.microsoft.com/office/drawing/2014/main" id="{00000000-0008-0000-0200-0000D10A0000}"/>
              </a:ext>
            </a:extLst>
          </xdr:cNvPr>
          <xdr:cNvSpPr/>
        </xdr:nvSpPr>
        <xdr:spPr>
          <a:xfrm>
            <a:off x="266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0" name="$E$111">
            <a:extLst>
              <a:ext uri="{FF2B5EF4-FFF2-40B4-BE49-F238E27FC236}">
                <a16:creationId xmlns:a16="http://schemas.microsoft.com/office/drawing/2014/main" id="{00000000-0008-0000-0200-0000D20A0000}"/>
              </a:ext>
            </a:extLst>
          </xdr:cNvPr>
          <xdr:cNvSpPr/>
        </xdr:nvSpPr>
        <xdr:spPr>
          <a:xfrm>
            <a:off x="279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1" name="$E$111">
            <a:extLst>
              <a:ext uri="{FF2B5EF4-FFF2-40B4-BE49-F238E27FC236}">
                <a16:creationId xmlns:a16="http://schemas.microsoft.com/office/drawing/2014/main" id="{00000000-0008-0000-0200-0000D30A0000}"/>
              </a:ext>
            </a:extLst>
          </xdr:cNvPr>
          <xdr:cNvSpPr/>
        </xdr:nvSpPr>
        <xdr:spPr>
          <a:xfrm>
            <a:off x="3683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2" name="$E$111">
            <a:extLst>
              <a:ext uri="{FF2B5EF4-FFF2-40B4-BE49-F238E27FC236}">
                <a16:creationId xmlns:a16="http://schemas.microsoft.com/office/drawing/2014/main" id="{00000000-0008-0000-0200-0000D40A0000}"/>
              </a:ext>
            </a:extLst>
          </xdr:cNvPr>
          <xdr:cNvSpPr/>
        </xdr:nvSpPr>
        <xdr:spPr>
          <a:xfrm>
            <a:off x="444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3" name="$E$111">
            <a:extLst>
              <a:ext uri="{FF2B5EF4-FFF2-40B4-BE49-F238E27FC236}">
                <a16:creationId xmlns:a16="http://schemas.microsoft.com/office/drawing/2014/main" id="{00000000-0008-0000-0200-0000D50A0000}"/>
              </a:ext>
            </a:extLst>
          </xdr:cNvPr>
          <xdr:cNvSpPr/>
        </xdr:nvSpPr>
        <xdr:spPr>
          <a:xfrm>
            <a:off x="457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4" name="$E$111">
            <a:extLst>
              <a:ext uri="{FF2B5EF4-FFF2-40B4-BE49-F238E27FC236}">
                <a16:creationId xmlns:a16="http://schemas.microsoft.com/office/drawing/2014/main" id="{00000000-0008-0000-0200-0000D60A0000}"/>
              </a:ext>
            </a:extLst>
          </xdr:cNvPr>
          <xdr:cNvSpPr/>
        </xdr:nvSpPr>
        <xdr:spPr>
          <a:xfrm>
            <a:off x="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5" name="$E$111">
            <a:extLst>
              <a:ext uri="{FF2B5EF4-FFF2-40B4-BE49-F238E27FC236}">
                <a16:creationId xmlns:a16="http://schemas.microsoft.com/office/drawing/2014/main" id="{00000000-0008-0000-0200-0000D70A0000}"/>
              </a:ext>
            </a:extLst>
          </xdr:cNvPr>
          <xdr:cNvSpPr/>
        </xdr:nvSpPr>
        <xdr:spPr>
          <a:xfrm>
            <a:off x="76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6" name="$E$111">
            <a:extLst>
              <a:ext uri="{FF2B5EF4-FFF2-40B4-BE49-F238E27FC236}">
                <a16:creationId xmlns:a16="http://schemas.microsoft.com/office/drawing/2014/main" id="{00000000-0008-0000-0200-0000D80A0000}"/>
              </a:ext>
            </a:extLst>
          </xdr:cNvPr>
          <xdr:cNvSpPr/>
        </xdr:nvSpPr>
        <xdr:spPr>
          <a:xfrm>
            <a:off x="127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7" name="$E$111">
            <a:extLst>
              <a:ext uri="{FF2B5EF4-FFF2-40B4-BE49-F238E27FC236}">
                <a16:creationId xmlns:a16="http://schemas.microsoft.com/office/drawing/2014/main" id="{00000000-0008-0000-0200-0000D90A0000}"/>
              </a:ext>
            </a:extLst>
          </xdr:cNvPr>
          <xdr:cNvSpPr/>
        </xdr:nvSpPr>
        <xdr:spPr>
          <a:xfrm>
            <a:off x="139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8" name="$E$111">
            <a:extLst>
              <a:ext uri="{FF2B5EF4-FFF2-40B4-BE49-F238E27FC236}">
                <a16:creationId xmlns:a16="http://schemas.microsoft.com/office/drawing/2014/main" id="{00000000-0008-0000-0200-0000DA0A0000}"/>
              </a:ext>
            </a:extLst>
          </xdr:cNvPr>
          <xdr:cNvSpPr/>
        </xdr:nvSpPr>
        <xdr:spPr>
          <a:xfrm>
            <a:off x="1651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9" name="$E$111">
            <a:extLst>
              <a:ext uri="{FF2B5EF4-FFF2-40B4-BE49-F238E27FC236}">
                <a16:creationId xmlns:a16="http://schemas.microsoft.com/office/drawing/2014/main" id="{00000000-0008-0000-0200-0000DB0A0000}"/>
              </a:ext>
            </a:extLst>
          </xdr:cNvPr>
          <xdr:cNvSpPr/>
        </xdr:nvSpPr>
        <xdr:spPr>
          <a:xfrm>
            <a:off x="1778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0" name="$E$111">
            <a:extLst>
              <a:ext uri="{FF2B5EF4-FFF2-40B4-BE49-F238E27FC236}">
                <a16:creationId xmlns:a16="http://schemas.microsoft.com/office/drawing/2014/main" id="{00000000-0008-0000-0200-0000DC0A0000}"/>
              </a:ext>
            </a:extLst>
          </xdr:cNvPr>
          <xdr:cNvSpPr/>
        </xdr:nvSpPr>
        <xdr:spPr>
          <a:xfrm>
            <a:off x="203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1" name="$E$111">
            <a:extLst>
              <a:ext uri="{FF2B5EF4-FFF2-40B4-BE49-F238E27FC236}">
                <a16:creationId xmlns:a16="http://schemas.microsoft.com/office/drawing/2014/main" id="{00000000-0008-0000-0200-0000DD0A0000}"/>
              </a:ext>
            </a:extLst>
          </xdr:cNvPr>
          <xdr:cNvSpPr/>
        </xdr:nvSpPr>
        <xdr:spPr>
          <a:xfrm>
            <a:off x="2413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2" name="$E$111">
            <a:extLst>
              <a:ext uri="{FF2B5EF4-FFF2-40B4-BE49-F238E27FC236}">
                <a16:creationId xmlns:a16="http://schemas.microsoft.com/office/drawing/2014/main" id="{00000000-0008-0000-0200-0000DE0A0000}"/>
              </a:ext>
            </a:extLst>
          </xdr:cNvPr>
          <xdr:cNvSpPr/>
        </xdr:nvSpPr>
        <xdr:spPr>
          <a:xfrm>
            <a:off x="266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3" name="$E$111">
            <a:extLst>
              <a:ext uri="{FF2B5EF4-FFF2-40B4-BE49-F238E27FC236}">
                <a16:creationId xmlns:a16="http://schemas.microsoft.com/office/drawing/2014/main" id="{00000000-0008-0000-0200-0000DF0A0000}"/>
              </a:ext>
            </a:extLst>
          </xdr:cNvPr>
          <xdr:cNvSpPr/>
        </xdr:nvSpPr>
        <xdr:spPr>
          <a:xfrm>
            <a:off x="3048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4" name="$E$111">
            <a:extLst>
              <a:ext uri="{FF2B5EF4-FFF2-40B4-BE49-F238E27FC236}">
                <a16:creationId xmlns:a16="http://schemas.microsoft.com/office/drawing/2014/main" id="{00000000-0008-0000-0200-0000E00A0000}"/>
              </a:ext>
            </a:extLst>
          </xdr:cNvPr>
          <xdr:cNvSpPr/>
        </xdr:nvSpPr>
        <xdr:spPr>
          <a:xfrm>
            <a:off x="330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5" name="$E$111">
            <a:extLst>
              <a:ext uri="{FF2B5EF4-FFF2-40B4-BE49-F238E27FC236}">
                <a16:creationId xmlns:a16="http://schemas.microsoft.com/office/drawing/2014/main" id="{00000000-0008-0000-0200-0000E10A0000}"/>
              </a:ext>
            </a:extLst>
          </xdr:cNvPr>
          <xdr:cNvSpPr/>
        </xdr:nvSpPr>
        <xdr:spPr>
          <a:xfrm>
            <a:off x="3429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6" name="$E$111">
            <a:extLst>
              <a:ext uri="{FF2B5EF4-FFF2-40B4-BE49-F238E27FC236}">
                <a16:creationId xmlns:a16="http://schemas.microsoft.com/office/drawing/2014/main" id="{00000000-0008-0000-0200-0000E20A0000}"/>
              </a:ext>
            </a:extLst>
          </xdr:cNvPr>
          <xdr:cNvSpPr/>
        </xdr:nvSpPr>
        <xdr:spPr>
          <a:xfrm>
            <a:off x="355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7" name="$E$111">
            <a:extLst>
              <a:ext uri="{FF2B5EF4-FFF2-40B4-BE49-F238E27FC236}">
                <a16:creationId xmlns:a16="http://schemas.microsoft.com/office/drawing/2014/main" id="{00000000-0008-0000-0200-0000E30A0000}"/>
              </a:ext>
            </a:extLst>
          </xdr:cNvPr>
          <xdr:cNvSpPr/>
        </xdr:nvSpPr>
        <xdr:spPr>
          <a:xfrm>
            <a:off x="3683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8" name="$E$111">
            <a:extLst>
              <a:ext uri="{FF2B5EF4-FFF2-40B4-BE49-F238E27FC236}">
                <a16:creationId xmlns:a16="http://schemas.microsoft.com/office/drawing/2014/main" id="{00000000-0008-0000-0200-0000E40A0000}"/>
              </a:ext>
            </a:extLst>
          </xdr:cNvPr>
          <xdr:cNvSpPr/>
        </xdr:nvSpPr>
        <xdr:spPr>
          <a:xfrm>
            <a:off x="381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9" name="$E$111">
            <a:extLst>
              <a:ext uri="{FF2B5EF4-FFF2-40B4-BE49-F238E27FC236}">
                <a16:creationId xmlns:a16="http://schemas.microsoft.com/office/drawing/2014/main" id="{00000000-0008-0000-0200-0000E50A0000}"/>
              </a:ext>
            </a:extLst>
          </xdr:cNvPr>
          <xdr:cNvSpPr/>
        </xdr:nvSpPr>
        <xdr:spPr>
          <a:xfrm>
            <a:off x="406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0" name="$E$111">
            <a:extLst>
              <a:ext uri="{FF2B5EF4-FFF2-40B4-BE49-F238E27FC236}">
                <a16:creationId xmlns:a16="http://schemas.microsoft.com/office/drawing/2014/main" id="{00000000-0008-0000-0200-0000E60A0000}"/>
              </a:ext>
            </a:extLst>
          </xdr:cNvPr>
          <xdr:cNvSpPr/>
        </xdr:nvSpPr>
        <xdr:spPr>
          <a:xfrm>
            <a:off x="457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1" name="$E$111">
            <a:extLst>
              <a:ext uri="{FF2B5EF4-FFF2-40B4-BE49-F238E27FC236}">
                <a16:creationId xmlns:a16="http://schemas.microsoft.com/office/drawing/2014/main" id="{00000000-0008-0000-0200-0000E70A0000}"/>
              </a:ext>
            </a:extLst>
          </xdr:cNvPr>
          <xdr:cNvSpPr/>
        </xdr:nvSpPr>
        <xdr:spPr>
          <a:xfrm>
            <a:off x="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2" name="$E$111">
            <a:extLst>
              <a:ext uri="{FF2B5EF4-FFF2-40B4-BE49-F238E27FC236}">
                <a16:creationId xmlns:a16="http://schemas.microsoft.com/office/drawing/2014/main" id="{00000000-0008-0000-0200-0000E80A0000}"/>
              </a:ext>
            </a:extLst>
          </xdr:cNvPr>
          <xdr:cNvSpPr/>
        </xdr:nvSpPr>
        <xdr:spPr>
          <a:xfrm>
            <a:off x="12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3" name="$E$111">
            <a:extLst>
              <a:ext uri="{FF2B5EF4-FFF2-40B4-BE49-F238E27FC236}">
                <a16:creationId xmlns:a16="http://schemas.microsoft.com/office/drawing/2014/main" id="{00000000-0008-0000-0200-0000E90A0000}"/>
              </a:ext>
            </a:extLst>
          </xdr:cNvPr>
          <xdr:cNvSpPr/>
        </xdr:nvSpPr>
        <xdr:spPr>
          <a:xfrm>
            <a:off x="25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4" name="$E$111">
            <a:extLst>
              <a:ext uri="{FF2B5EF4-FFF2-40B4-BE49-F238E27FC236}">
                <a16:creationId xmlns:a16="http://schemas.microsoft.com/office/drawing/2014/main" id="{00000000-0008-0000-0200-0000EA0A0000}"/>
              </a:ext>
            </a:extLst>
          </xdr:cNvPr>
          <xdr:cNvSpPr/>
        </xdr:nvSpPr>
        <xdr:spPr>
          <a:xfrm>
            <a:off x="38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5" name="$E$111">
            <a:extLst>
              <a:ext uri="{FF2B5EF4-FFF2-40B4-BE49-F238E27FC236}">
                <a16:creationId xmlns:a16="http://schemas.microsoft.com/office/drawing/2014/main" id="{00000000-0008-0000-0200-0000EB0A0000}"/>
              </a:ext>
            </a:extLst>
          </xdr:cNvPr>
          <xdr:cNvSpPr/>
        </xdr:nvSpPr>
        <xdr:spPr>
          <a:xfrm>
            <a:off x="50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6" name="$E$111">
            <a:extLst>
              <a:ext uri="{FF2B5EF4-FFF2-40B4-BE49-F238E27FC236}">
                <a16:creationId xmlns:a16="http://schemas.microsoft.com/office/drawing/2014/main" id="{00000000-0008-0000-0200-0000EC0A0000}"/>
              </a:ext>
            </a:extLst>
          </xdr:cNvPr>
          <xdr:cNvSpPr/>
        </xdr:nvSpPr>
        <xdr:spPr>
          <a:xfrm>
            <a:off x="63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7" name="$E$111">
            <a:extLst>
              <a:ext uri="{FF2B5EF4-FFF2-40B4-BE49-F238E27FC236}">
                <a16:creationId xmlns:a16="http://schemas.microsoft.com/office/drawing/2014/main" id="{00000000-0008-0000-0200-0000ED0A0000}"/>
              </a:ext>
            </a:extLst>
          </xdr:cNvPr>
          <xdr:cNvSpPr/>
        </xdr:nvSpPr>
        <xdr:spPr>
          <a:xfrm>
            <a:off x="76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8" name="$E$111">
            <a:extLst>
              <a:ext uri="{FF2B5EF4-FFF2-40B4-BE49-F238E27FC236}">
                <a16:creationId xmlns:a16="http://schemas.microsoft.com/office/drawing/2014/main" id="{00000000-0008-0000-0200-0000EE0A0000}"/>
              </a:ext>
            </a:extLst>
          </xdr:cNvPr>
          <xdr:cNvSpPr/>
        </xdr:nvSpPr>
        <xdr:spPr>
          <a:xfrm>
            <a:off x="101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9" name="$E$111">
            <a:extLst>
              <a:ext uri="{FF2B5EF4-FFF2-40B4-BE49-F238E27FC236}">
                <a16:creationId xmlns:a16="http://schemas.microsoft.com/office/drawing/2014/main" id="{00000000-0008-0000-0200-0000EF0A0000}"/>
              </a:ext>
            </a:extLst>
          </xdr:cNvPr>
          <xdr:cNvSpPr/>
        </xdr:nvSpPr>
        <xdr:spPr>
          <a:xfrm>
            <a:off x="114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0" name="$E$111">
            <a:extLst>
              <a:ext uri="{FF2B5EF4-FFF2-40B4-BE49-F238E27FC236}">
                <a16:creationId xmlns:a16="http://schemas.microsoft.com/office/drawing/2014/main" id="{00000000-0008-0000-0200-0000F00A0000}"/>
              </a:ext>
            </a:extLst>
          </xdr:cNvPr>
          <xdr:cNvSpPr/>
        </xdr:nvSpPr>
        <xdr:spPr>
          <a:xfrm>
            <a:off x="127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1" name="$E$111">
            <a:extLst>
              <a:ext uri="{FF2B5EF4-FFF2-40B4-BE49-F238E27FC236}">
                <a16:creationId xmlns:a16="http://schemas.microsoft.com/office/drawing/2014/main" id="{00000000-0008-0000-0200-0000F10A0000}"/>
              </a:ext>
            </a:extLst>
          </xdr:cNvPr>
          <xdr:cNvSpPr/>
        </xdr:nvSpPr>
        <xdr:spPr>
          <a:xfrm>
            <a:off x="2159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2" name="$E$111">
            <a:extLst>
              <a:ext uri="{FF2B5EF4-FFF2-40B4-BE49-F238E27FC236}">
                <a16:creationId xmlns:a16="http://schemas.microsoft.com/office/drawing/2014/main" id="{00000000-0008-0000-0200-0000F20A0000}"/>
              </a:ext>
            </a:extLst>
          </xdr:cNvPr>
          <xdr:cNvSpPr/>
        </xdr:nvSpPr>
        <xdr:spPr>
          <a:xfrm>
            <a:off x="228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3" name="$E$111">
            <a:extLst>
              <a:ext uri="{FF2B5EF4-FFF2-40B4-BE49-F238E27FC236}">
                <a16:creationId xmlns:a16="http://schemas.microsoft.com/office/drawing/2014/main" id="{00000000-0008-0000-0200-0000F30A0000}"/>
              </a:ext>
            </a:extLst>
          </xdr:cNvPr>
          <xdr:cNvSpPr/>
        </xdr:nvSpPr>
        <xdr:spPr>
          <a:xfrm>
            <a:off x="279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4" name="$E$111">
            <a:extLst>
              <a:ext uri="{FF2B5EF4-FFF2-40B4-BE49-F238E27FC236}">
                <a16:creationId xmlns:a16="http://schemas.microsoft.com/office/drawing/2014/main" id="{00000000-0008-0000-0200-0000F40A0000}"/>
              </a:ext>
            </a:extLst>
          </xdr:cNvPr>
          <xdr:cNvSpPr/>
        </xdr:nvSpPr>
        <xdr:spPr>
          <a:xfrm>
            <a:off x="292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5" name="$E$111">
            <a:extLst>
              <a:ext uri="{FF2B5EF4-FFF2-40B4-BE49-F238E27FC236}">
                <a16:creationId xmlns:a16="http://schemas.microsoft.com/office/drawing/2014/main" id="{00000000-0008-0000-0200-0000F50A0000}"/>
              </a:ext>
            </a:extLst>
          </xdr:cNvPr>
          <xdr:cNvSpPr/>
        </xdr:nvSpPr>
        <xdr:spPr>
          <a:xfrm>
            <a:off x="304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6" name="$E$111">
            <a:extLst>
              <a:ext uri="{FF2B5EF4-FFF2-40B4-BE49-F238E27FC236}">
                <a16:creationId xmlns:a16="http://schemas.microsoft.com/office/drawing/2014/main" id="{00000000-0008-0000-0200-0000F60A0000}"/>
              </a:ext>
            </a:extLst>
          </xdr:cNvPr>
          <xdr:cNvSpPr/>
        </xdr:nvSpPr>
        <xdr:spPr>
          <a:xfrm>
            <a:off x="317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7" name="$E$111">
            <a:extLst>
              <a:ext uri="{FF2B5EF4-FFF2-40B4-BE49-F238E27FC236}">
                <a16:creationId xmlns:a16="http://schemas.microsoft.com/office/drawing/2014/main" id="{00000000-0008-0000-0200-0000F70A0000}"/>
              </a:ext>
            </a:extLst>
          </xdr:cNvPr>
          <xdr:cNvSpPr/>
        </xdr:nvSpPr>
        <xdr:spPr>
          <a:xfrm>
            <a:off x="330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8" name="$E$111">
            <a:extLst>
              <a:ext uri="{FF2B5EF4-FFF2-40B4-BE49-F238E27FC236}">
                <a16:creationId xmlns:a16="http://schemas.microsoft.com/office/drawing/2014/main" id="{00000000-0008-0000-0200-0000F80A0000}"/>
              </a:ext>
            </a:extLst>
          </xdr:cNvPr>
          <xdr:cNvSpPr/>
        </xdr:nvSpPr>
        <xdr:spPr>
          <a:xfrm>
            <a:off x="368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9" name="$E$111">
            <a:extLst>
              <a:ext uri="{FF2B5EF4-FFF2-40B4-BE49-F238E27FC236}">
                <a16:creationId xmlns:a16="http://schemas.microsoft.com/office/drawing/2014/main" id="{00000000-0008-0000-0200-0000F90A0000}"/>
              </a:ext>
            </a:extLst>
          </xdr:cNvPr>
          <xdr:cNvSpPr/>
        </xdr:nvSpPr>
        <xdr:spPr>
          <a:xfrm>
            <a:off x="406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10" name="$E$111">
            <a:extLst>
              <a:ext uri="{FF2B5EF4-FFF2-40B4-BE49-F238E27FC236}">
                <a16:creationId xmlns:a16="http://schemas.microsoft.com/office/drawing/2014/main" id="{00000000-0008-0000-0200-0000FA0A0000}"/>
              </a:ext>
            </a:extLst>
          </xdr:cNvPr>
          <xdr:cNvSpPr/>
        </xdr:nvSpPr>
        <xdr:spPr>
          <a:xfrm>
            <a:off x="431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11" name="$E$111">
            <a:extLst>
              <a:ext uri="{FF2B5EF4-FFF2-40B4-BE49-F238E27FC236}">
                <a16:creationId xmlns:a16="http://schemas.microsoft.com/office/drawing/2014/main" id="{00000000-0008-0000-0200-0000FB0A0000}"/>
              </a:ext>
            </a:extLst>
          </xdr:cNvPr>
          <xdr:cNvSpPr/>
        </xdr:nvSpPr>
        <xdr:spPr>
          <a:xfrm>
            <a:off x="444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12" name="$E$111">
            <a:extLst>
              <a:ext uri="{FF2B5EF4-FFF2-40B4-BE49-F238E27FC236}">
                <a16:creationId xmlns:a16="http://schemas.microsoft.com/office/drawing/2014/main" id="{00000000-0008-0000-0200-0000FC0A0000}"/>
              </a:ext>
            </a:extLst>
          </xdr:cNvPr>
          <xdr:cNvSpPr/>
        </xdr:nvSpPr>
        <xdr:spPr>
          <a:xfrm>
            <a:off x="457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336369</xdr:colOff>
      <xdr:row>113</xdr:row>
      <xdr:rowOff>45851</xdr:rowOff>
    </xdr:from>
    <xdr:to>
      <xdr:col>5</xdr:col>
      <xdr:colOff>139882</xdr:colOff>
      <xdr:row>113</xdr:row>
      <xdr:rowOff>1506714</xdr:rowOff>
    </xdr:to>
    <xdr:grpSp>
      <xdr:nvGrpSpPr>
        <xdr:cNvPr id="3385" name="$E$114" descr="QuickResponse barcode, level L, version 4, mode binary, 33x33 cells" title="https://centrodecapacitaciondelsur.com/victimas-por-agentes-quimicos-59395650/">
          <a:extLst>
            <a:ext uri="{FF2B5EF4-FFF2-40B4-BE49-F238E27FC236}">
              <a16:creationId xmlns:a16="http://schemas.microsoft.com/office/drawing/2014/main" id="{00000000-0008-0000-0200-0000390D0000}"/>
            </a:ext>
          </a:extLst>
        </xdr:cNvPr>
        <xdr:cNvGrpSpPr>
          <a:grpSpLocks noChangeAspect="1"/>
        </xdr:cNvGrpSpPr>
      </xdr:nvGrpSpPr>
      <xdr:grpSpPr>
        <a:xfrm>
          <a:off x="20910369" y="124857987"/>
          <a:ext cx="1466058" cy="1460863"/>
          <a:chOff x="0" y="0"/>
          <a:chExt cx="419100" cy="419100"/>
        </a:xfrm>
      </xdr:grpSpPr>
      <xdr:sp macro="" textlink="">
        <xdr:nvSpPr>
          <xdr:cNvPr id="2814" name="$E$114">
            <a:extLst>
              <a:ext uri="{FF2B5EF4-FFF2-40B4-BE49-F238E27FC236}">
                <a16:creationId xmlns:a16="http://schemas.microsoft.com/office/drawing/2014/main" id="{00000000-0008-0000-0200-0000FE0A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15" name="$E$114">
            <a:extLst>
              <a:ext uri="{FF2B5EF4-FFF2-40B4-BE49-F238E27FC236}">
                <a16:creationId xmlns:a16="http://schemas.microsoft.com/office/drawing/2014/main" id="{00000000-0008-0000-0200-0000FF0A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16" name="$E$114">
            <a:extLst>
              <a:ext uri="{FF2B5EF4-FFF2-40B4-BE49-F238E27FC236}">
                <a16:creationId xmlns:a16="http://schemas.microsoft.com/office/drawing/2014/main" id="{00000000-0008-0000-0200-0000000B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17" name="$E$114">
            <a:extLst>
              <a:ext uri="{FF2B5EF4-FFF2-40B4-BE49-F238E27FC236}">
                <a16:creationId xmlns:a16="http://schemas.microsoft.com/office/drawing/2014/main" id="{00000000-0008-0000-0200-0000010B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18" name="$E$114">
            <a:extLst>
              <a:ext uri="{FF2B5EF4-FFF2-40B4-BE49-F238E27FC236}">
                <a16:creationId xmlns:a16="http://schemas.microsoft.com/office/drawing/2014/main" id="{00000000-0008-0000-0200-0000020B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19" name="$E$114">
            <a:extLst>
              <a:ext uri="{FF2B5EF4-FFF2-40B4-BE49-F238E27FC236}">
                <a16:creationId xmlns:a16="http://schemas.microsoft.com/office/drawing/2014/main" id="{00000000-0008-0000-0200-0000030B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0" name="$E$114">
            <a:extLst>
              <a:ext uri="{FF2B5EF4-FFF2-40B4-BE49-F238E27FC236}">
                <a16:creationId xmlns:a16="http://schemas.microsoft.com/office/drawing/2014/main" id="{00000000-0008-0000-0200-0000040B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1" name="$E$114">
            <a:extLst>
              <a:ext uri="{FF2B5EF4-FFF2-40B4-BE49-F238E27FC236}">
                <a16:creationId xmlns:a16="http://schemas.microsoft.com/office/drawing/2014/main" id="{00000000-0008-0000-0200-0000050B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2" name="$E$114">
            <a:extLst>
              <a:ext uri="{FF2B5EF4-FFF2-40B4-BE49-F238E27FC236}">
                <a16:creationId xmlns:a16="http://schemas.microsoft.com/office/drawing/2014/main" id="{00000000-0008-0000-0200-0000060B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3" name="$E$114">
            <a:extLst>
              <a:ext uri="{FF2B5EF4-FFF2-40B4-BE49-F238E27FC236}">
                <a16:creationId xmlns:a16="http://schemas.microsoft.com/office/drawing/2014/main" id="{00000000-0008-0000-0200-0000070B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4" name="$E$114">
            <a:extLst>
              <a:ext uri="{FF2B5EF4-FFF2-40B4-BE49-F238E27FC236}">
                <a16:creationId xmlns:a16="http://schemas.microsoft.com/office/drawing/2014/main" id="{00000000-0008-0000-0200-0000080B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5" name="$E$114">
            <a:extLst>
              <a:ext uri="{FF2B5EF4-FFF2-40B4-BE49-F238E27FC236}">
                <a16:creationId xmlns:a16="http://schemas.microsoft.com/office/drawing/2014/main" id="{00000000-0008-0000-0200-0000090B0000}"/>
              </a:ext>
            </a:extLst>
          </xdr:cNvPr>
          <xdr:cNvSpPr/>
        </xdr:nvSpPr>
        <xdr:spPr>
          <a:xfrm>
            <a:off x="165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6" name="$E$114">
            <a:extLst>
              <a:ext uri="{FF2B5EF4-FFF2-40B4-BE49-F238E27FC236}">
                <a16:creationId xmlns:a16="http://schemas.microsoft.com/office/drawing/2014/main" id="{00000000-0008-0000-0200-00000A0B0000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7" name="$E$114">
            <a:extLst>
              <a:ext uri="{FF2B5EF4-FFF2-40B4-BE49-F238E27FC236}">
                <a16:creationId xmlns:a16="http://schemas.microsoft.com/office/drawing/2014/main" id="{00000000-0008-0000-0200-00000B0B0000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8" name="$E$114">
            <a:extLst>
              <a:ext uri="{FF2B5EF4-FFF2-40B4-BE49-F238E27FC236}">
                <a16:creationId xmlns:a16="http://schemas.microsoft.com/office/drawing/2014/main" id="{00000000-0008-0000-0200-00000C0B0000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9" name="$E$114">
            <a:extLst>
              <a:ext uri="{FF2B5EF4-FFF2-40B4-BE49-F238E27FC236}">
                <a16:creationId xmlns:a16="http://schemas.microsoft.com/office/drawing/2014/main" id="{00000000-0008-0000-0200-00000D0B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0" name="$E$114">
            <a:extLst>
              <a:ext uri="{FF2B5EF4-FFF2-40B4-BE49-F238E27FC236}">
                <a16:creationId xmlns:a16="http://schemas.microsoft.com/office/drawing/2014/main" id="{00000000-0008-0000-0200-00000E0B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1" name="$E$114">
            <a:extLst>
              <a:ext uri="{FF2B5EF4-FFF2-40B4-BE49-F238E27FC236}">
                <a16:creationId xmlns:a16="http://schemas.microsoft.com/office/drawing/2014/main" id="{00000000-0008-0000-0200-00000F0B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2" name="$E$114">
            <a:extLst>
              <a:ext uri="{FF2B5EF4-FFF2-40B4-BE49-F238E27FC236}">
                <a16:creationId xmlns:a16="http://schemas.microsoft.com/office/drawing/2014/main" id="{00000000-0008-0000-0200-0000100B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3" name="$E$114">
            <a:extLst>
              <a:ext uri="{FF2B5EF4-FFF2-40B4-BE49-F238E27FC236}">
                <a16:creationId xmlns:a16="http://schemas.microsoft.com/office/drawing/2014/main" id="{00000000-0008-0000-0200-0000110B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4" name="$E$114">
            <a:extLst>
              <a:ext uri="{FF2B5EF4-FFF2-40B4-BE49-F238E27FC236}">
                <a16:creationId xmlns:a16="http://schemas.microsoft.com/office/drawing/2014/main" id="{00000000-0008-0000-0200-0000120B0000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5" name="$E$114">
            <a:extLst>
              <a:ext uri="{FF2B5EF4-FFF2-40B4-BE49-F238E27FC236}">
                <a16:creationId xmlns:a16="http://schemas.microsoft.com/office/drawing/2014/main" id="{00000000-0008-0000-0200-0000130B0000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6" name="$E$114">
            <a:extLst>
              <a:ext uri="{FF2B5EF4-FFF2-40B4-BE49-F238E27FC236}">
                <a16:creationId xmlns:a16="http://schemas.microsoft.com/office/drawing/2014/main" id="{00000000-0008-0000-0200-0000140B0000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7" name="$E$114">
            <a:extLst>
              <a:ext uri="{FF2B5EF4-FFF2-40B4-BE49-F238E27FC236}">
                <a16:creationId xmlns:a16="http://schemas.microsoft.com/office/drawing/2014/main" id="{00000000-0008-0000-0200-0000150B0000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8" name="$E$114">
            <a:extLst>
              <a:ext uri="{FF2B5EF4-FFF2-40B4-BE49-F238E27FC236}">
                <a16:creationId xmlns:a16="http://schemas.microsoft.com/office/drawing/2014/main" id="{00000000-0008-0000-0200-0000160B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9" name="$E$114">
            <a:extLst>
              <a:ext uri="{FF2B5EF4-FFF2-40B4-BE49-F238E27FC236}">
                <a16:creationId xmlns:a16="http://schemas.microsoft.com/office/drawing/2014/main" id="{00000000-0008-0000-0200-0000170B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0" name="$E$114">
            <a:extLst>
              <a:ext uri="{FF2B5EF4-FFF2-40B4-BE49-F238E27FC236}">
                <a16:creationId xmlns:a16="http://schemas.microsoft.com/office/drawing/2014/main" id="{00000000-0008-0000-0200-0000180B000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1" name="$E$114">
            <a:extLst>
              <a:ext uri="{FF2B5EF4-FFF2-40B4-BE49-F238E27FC236}">
                <a16:creationId xmlns:a16="http://schemas.microsoft.com/office/drawing/2014/main" id="{00000000-0008-0000-0200-0000190B00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2" name="$E$114">
            <a:extLst>
              <a:ext uri="{FF2B5EF4-FFF2-40B4-BE49-F238E27FC236}">
                <a16:creationId xmlns:a16="http://schemas.microsoft.com/office/drawing/2014/main" id="{00000000-0008-0000-0200-00001A0B000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3" name="$E$114">
            <a:extLst>
              <a:ext uri="{FF2B5EF4-FFF2-40B4-BE49-F238E27FC236}">
                <a16:creationId xmlns:a16="http://schemas.microsoft.com/office/drawing/2014/main" id="{00000000-0008-0000-0200-00001B0B00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4" name="$E$114">
            <a:extLst>
              <a:ext uri="{FF2B5EF4-FFF2-40B4-BE49-F238E27FC236}">
                <a16:creationId xmlns:a16="http://schemas.microsoft.com/office/drawing/2014/main" id="{00000000-0008-0000-0200-00001C0B0000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5" name="$E$114">
            <a:extLst>
              <a:ext uri="{FF2B5EF4-FFF2-40B4-BE49-F238E27FC236}">
                <a16:creationId xmlns:a16="http://schemas.microsoft.com/office/drawing/2014/main" id="{00000000-0008-0000-0200-00001D0B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6" name="$E$114">
            <a:extLst>
              <a:ext uri="{FF2B5EF4-FFF2-40B4-BE49-F238E27FC236}">
                <a16:creationId xmlns:a16="http://schemas.microsoft.com/office/drawing/2014/main" id="{00000000-0008-0000-0200-00001E0B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7" name="$E$114">
            <a:extLst>
              <a:ext uri="{FF2B5EF4-FFF2-40B4-BE49-F238E27FC236}">
                <a16:creationId xmlns:a16="http://schemas.microsoft.com/office/drawing/2014/main" id="{00000000-0008-0000-0200-00001F0B0000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8" name="$E$114">
            <a:extLst>
              <a:ext uri="{FF2B5EF4-FFF2-40B4-BE49-F238E27FC236}">
                <a16:creationId xmlns:a16="http://schemas.microsoft.com/office/drawing/2014/main" id="{00000000-0008-0000-0200-0000200B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9" name="$E$114">
            <a:extLst>
              <a:ext uri="{FF2B5EF4-FFF2-40B4-BE49-F238E27FC236}">
                <a16:creationId xmlns:a16="http://schemas.microsoft.com/office/drawing/2014/main" id="{00000000-0008-0000-0200-0000210B0000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0" name="$E$114">
            <a:extLst>
              <a:ext uri="{FF2B5EF4-FFF2-40B4-BE49-F238E27FC236}">
                <a16:creationId xmlns:a16="http://schemas.microsoft.com/office/drawing/2014/main" id="{00000000-0008-0000-0200-0000220B0000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1" name="$E$114">
            <a:extLst>
              <a:ext uri="{FF2B5EF4-FFF2-40B4-BE49-F238E27FC236}">
                <a16:creationId xmlns:a16="http://schemas.microsoft.com/office/drawing/2014/main" id="{00000000-0008-0000-0200-0000230B00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2" name="$E$114">
            <a:extLst>
              <a:ext uri="{FF2B5EF4-FFF2-40B4-BE49-F238E27FC236}">
                <a16:creationId xmlns:a16="http://schemas.microsoft.com/office/drawing/2014/main" id="{00000000-0008-0000-0200-0000240B00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3" name="$E$114">
            <a:extLst>
              <a:ext uri="{FF2B5EF4-FFF2-40B4-BE49-F238E27FC236}">
                <a16:creationId xmlns:a16="http://schemas.microsoft.com/office/drawing/2014/main" id="{00000000-0008-0000-0200-0000250B00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4" name="$E$114">
            <a:extLst>
              <a:ext uri="{FF2B5EF4-FFF2-40B4-BE49-F238E27FC236}">
                <a16:creationId xmlns:a16="http://schemas.microsoft.com/office/drawing/2014/main" id="{00000000-0008-0000-0200-0000260B00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5" name="$E$114">
            <a:extLst>
              <a:ext uri="{FF2B5EF4-FFF2-40B4-BE49-F238E27FC236}">
                <a16:creationId xmlns:a16="http://schemas.microsoft.com/office/drawing/2014/main" id="{00000000-0008-0000-0200-0000270B00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6" name="$E$114">
            <a:extLst>
              <a:ext uri="{FF2B5EF4-FFF2-40B4-BE49-F238E27FC236}">
                <a16:creationId xmlns:a16="http://schemas.microsoft.com/office/drawing/2014/main" id="{00000000-0008-0000-0200-0000280B00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7" name="$E$114">
            <a:extLst>
              <a:ext uri="{FF2B5EF4-FFF2-40B4-BE49-F238E27FC236}">
                <a16:creationId xmlns:a16="http://schemas.microsoft.com/office/drawing/2014/main" id="{00000000-0008-0000-0200-0000290B0000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8" name="$E$114">
            <a:extLst>
              <a:ext uri="{FF2B5EF4-FFF2-40B4-BE49-F238E27FC236}">
                <a16:creationId xmlns:a16="http://schemas.microsoft.com/office/drawing/2014/main" id="{00000000-0008-0000-0200-00002A0B0000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9" name="$E$114">
            <a:extLst>
              <a:ext uri="{FF2B5EF4-FFF2-40B4-BE49-F238E27FC236}">
                <a16:creationId xmlns:a16="http://schemas.microsoft.com/office/drawing/2014/main" id="{00000000-0008-0000-0200-00002B0B0000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0" name="$E$114">
            <a:extLst>
              <a:ext uri="{FF2B5EF4-FFF2-40B4-BE49-F238E27FC236}">
                <a16:creationId xmlns:a16="http://schemas.microsoft.com/office/drawing/2014/main" id="{00000000-0008-0000-0200-00002C0B00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1" name="$E$114">
            <a:extLst>
              <a:ext uri="{FF2B5EF4-FFF2-40B4-BE49-F238E27FC236}">
                <a16:creationId xmlns:a16="http://schemas.microsoft.com/office/drawing/2014/main" id="{00000000-0008-0000-0200-00002D0B0000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2" name="$E$114">
            <a:extLst>
              <a:ext uri="{FF2B5EF4-FFF2-40B4-BE49-F238E27FC236}">
                <a16:creationId xmlns:a16="http://schemas.microsoft.com/office/drawing/2014/main" id="{00000000-0008-0000-0200-00002E0B0000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3" name="$E$114">
            <a:extLst>
              <a:ext uri="{FF2B5EF4-FFF2-40B4-BE49-F238E27FC236}">
                <a16:creationId xmlns:a16="http://schemas.microsoft.com/office/drawing/2014/main" id="{00000000-0008-0000-0200-00002F0B00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4" name="$E$114">
            <a:extLst>
              <a:ext uri="{FF2B5EF4-FFF2-40B4-BE49-F238E27FC236}">
                <a16:creationId xmlns:a16="http://schemas.microsoft.com/office/drawing/2014/main" id="{00000000-0008-0000-0200-0000300B00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5" name="$E$114">
            <a:extLst>
              <a:ext uri="{FF2B5EF4-FFF2-40B4-BE49-F238E27FC236}">
                <a16:creationId xmlns:a16="http://schemas.microsoft.com/office/drawing/2014/main" id="{00000000-0008-0000-0200-0000310B0000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6" name="$E$114">
            <a:extLst>
              <a:ext uri="{FF2B5EF4-FFF2-40B4-BE49-F238E27FC236}">
                <a16:creationId xmlns:a16="http://schemas.microsoft.com/office/drawing/2014/main" id="{00000000-0008-0000-0200-0000320B0000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7" name="$E$114">
            <a:extLst>
              <a:ext uri="{FF2B5EF4-FFF2-40B4-BE49-F238E27FC236}">
                <a16:creationId xmlns:a16="http://schemas.microsoft.com/office/drawing/2014/main" id="{00000000-0008-0000-0200-0000330B0000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8" name="$E$114">
            <a:extLst>
              <a:ext uri="{FF2B5EF4-FFF2-40B4-BE49-F238E27FC236}">
                <a16:creationId xmlns:a16="http://schemas.microsoft.com/office/drawing/2014/main" id="{00000000-0008-0000-0200-0000340B00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9" name="$E$114">
            <a:extLst>
              <a:ext uri="{FF2B5EF4-FFF2-40B4-BE49-F238E27FC236}">
                <a16:creationId xmlns:a16="http://schemas.microsoft.com/office/drawing/2014/main" id="{00000000-0008-0000-0200-0000350B00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0" name="$E$114">
            <a:extLst>
              <a:ext uri="{FF2B5EF4-FFF2-40B4-BE49-F238E27FC236}">
                <a16:creationId xmlns:a16="http://schemas.microsoft.com/office/drawing/2014/main" id="{00000000-0008-0000-0200-0000360B00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1" name="$E$114">
            <a:extLst>
              <a:ext uri="{FF2B5EF4-FFF2-40B4-BE49-F238E27FC236}">
                <a16:creationId xmlns:a16="http://schemas.microsoft.com/office/drawing/2014/main" id="{00000000-0008-0000-0200-0000370B00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2" name="$E$114">
            <a:extLst>
              <a:ext uri="{FF2B5EF4-FFF2-40B4-BE49-F238E27FC236}">
                <a16:creationId xmlns:a16="http://schemas.microsoft.com/office/drawing/2014/main" id="{00000000-0008-0000-0200-0000380B00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3" name="$E$114">
            <a:extLst>
              <a:ext uri="{FF2B5EF4-FFF2-40B4-BE49-F238E27FC236}">
                <a16:creationId xmlns:a16="http://schemas.microsoft.com/office/drawing/2014/main" id="{00000000-0008-0000-0200-0000390B000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4" name="$E$114">
            <a:extLst>
              <a:ext uri="{FF2B5EF4-FFF2-40B4-BE49-F238E27FC236}">
                <a16:creationId xmlns:a16="http://schemas.microsoft.com/office/drawing/2014/main" id="{00000000-0008-0000-0200-00003A0B00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5" name="$E$114">
            <a:extLst>
              <a:ext uri="{FF2B5EF4-FFF2-40B4-BE49-F238E27FC236}">
                <a16:creationId xmlns:a16="http://schemas.microsoft.com/office/drawing/2014/main" id="{00000000-0008-0000-0200-00003B0B0000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6" name="$E$114">
            <a:extLst>
              <a:ext uri="{FF2B5EF4-FFF2-40B4-BE49-F238E27FC236}">
                <a16:creationId xmlns:a16="http://schemas.microsoft.com/office/drawing/2014/main" id="{00000000-0008-0000-0200-00003C0B0000}"/>
              </a:ext>
            </a:extLst>
          </xdr:cNvPr>
          <xdr:cNvSpPr/>
        </xdr:nvSpPr>
        <xdr:spPr>
          <a:xfrm>
            <a:off x="190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7" name="$E$114">
            <a:extLst>
              <a:ext uri="{FF2B5EF4-FFF2-40B4-BE49-F238E27FC236}">
                <a16:creationId xmlns:a16="http://schemas.microsoft.com/office/drawing/2014/main" id="{00000000-0008-0000-0200-00003D0B0000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8" name="$E$114">
            <a:extLst>
              <a:ext uri="{FF2B5EF4-FFF2-40B4-BE49-F238E27FC236}">
                <a16:creationId xmlns:a16="http://schemas.microsoft.com/office/drawing/2014/main" id="{00000000-0008-0000-0200-00003E0B0000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9" name="$E$114">
            <a:extLst>
              <a:ext uri="{FF2B5EF4-FFF2-40B4-BE49-F238E27FC236}">
                <a16:creationId xmlns:a16="http://schemas.microsoft.com/office/drawing/2014/main" id="{00000000-0008-0000-0200-00003F0B00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0" name="$E$114">
            <a:extLst>
              <a:ext uri="{FF2B5EF4-FFF2-40B4-BE49-F238E27FC236}">
                <a16:creationId xmlns:a16="http://schemas.microsoft.com/office/drawing/2014/main" id="{00000000-0008-0000-0200-0000400B00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1" name="$E$114">
            <a:extLst>
              <a:ext uri="{FF2B5EF4-FFF2-40B4-BE49-F238E27FC236}">
                <a16:creationId xmlns:a16="http://schemas.microsoft.com/office/drawing/2014/main" id="{00000000-0008-0000-0200-0000410B0000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2" name="$E$114">
            <a:extLst>
              <a:ext uri="{FF2B5EF4-FFF2-40B4-BE49-F238E27FC236}">
                <a16:creationId xmlns:a16="http://schemas.microsoft.com/office/drawing/2014/main" id="{00000000-0008-0000-0200-0000420B00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3" name="$E$114">
            <a:extLst>
              <a:ext uri="{FF2B5EF4-FFF2-40B4-BE49-F238E27FC236}">
                <a16:creationId xmlns:a16="http://schemas.microsoft.com/office/drawing/2014/main" id="{00000000-0008-0000-0200-0000430B00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4" name="$E$114">
            <a:extLst>
              <a:ext uri="{FF2B5EF4-FFF2-40B4-BE49-F238E27FC236}">
                <a16:creationId xmlns:a16="http://schemas.microsoft.com/office/drawing/2014/main" id="{00000000-0008-0000-0200-0000440B00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5" name="$E$114">
            <a:extLst>
              <a:ext uri="{FF2B5EF4-FFF2-40B4-BE49-F238E27FC236}">
                <a16:creationId xmlns:a16="http://schemas.microsoft.com/office/drawing/2014/main" id="{00000000-0008-0000-0200-0000450B0000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6" name="$E$114">
            <a:extLst>
              <a:ext uri="{FF2B5EF4-FFF2-40B4-BE49-F238E27FC236}">
                <a16:creationId xmlns:a16="http://schemas.microsoft.com/office/drawing/2014/main" id="{00000000-0008-0000-0200-0000460B0000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7" name="$E$114">
            <a:extLst>
              <a:ext uri="{FF2B5EF4-FFF2-40B4-BE49-F238E27FC236}">
                <a16:creationId xmlns:a16="http://schemas.microsoft.com/office/drawing/2014/main" id="{00000000-0008-0000-0200-0000470B0000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8" name="$E$114">
            <a:extLst>
              <a:ext uri="{FF2B5EF4-FFF2-40B4-BE49-F238E27FC236}">
                <a16:creationId xmlns:a16="http://schemas.microsoft.com/office/drawing/2014/main" id="{00000000-0008-0000-0200-0000480B00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9" name="$E$114">
            <a:extLst>
              <a:ext uri="{FF2B5EF4-FFF2-40B4-BE49-F238E27FC236}">
                <a16:creationId xmlns:a16="http://schemas.microsoft.com/office/drawing/2014/main" id="{00000000-0008-0000-0200-0000490B00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0" name="$E$114">
            <a:extLst>
              <a:ext uri="{FF2B5EF4-FFF2-40B4-BE49-F238E27FC236}">
                <a16:creationId xmlns:a16="http://schemas.microsoft.com/office/drawing/2014/main" id="{00000000-0008-0000-0200-00004A0B00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1" name="$E$114">
            <a:extLst>
              <a:ext uri="{FF2B5EF4-FFF2-40B4-BE49-F238E27FC236}">
                <a16:creationId xmlns:a16="http://schemas.microsoft.com/office/drawing/2014/main" id="{00000000-0008-0000-0200-00004B0B00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2" name="$E$114">
            <a:extLst>
              <a:ext uri="{FF2B5EF4-FFF2-40B4-BE49-F238E27FC236}">
                <a16:creationId xmlns:a16="http://schemas.microsoft.com/office/drawing/2014/main" id="{00000000-0008-0000-0200-00004C0B00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3" name="$E$114">
            <a:extLst>
              <a:ext uri="{FF2B5EF4-FFF2-40B4-BE49-F238E27FC236}">
                <a16:creationId xmlns:a16="http://schemas.microsoft.com/office/drawing/2014/main" id="{00000000-0008-0000-0200-00004D0B0000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4" name="$E$114">
            <a:extLst>
              <a:ext uri="{FF2B5EF4-FFF2-40B4-BE49-F238E27FC236}">
                <a16:creationId xmlns:a16="http://schemas.microsoft.com/office/drawing/2014/main" id="{00000000-0008-0000-0200-00004E0B00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5" name="$E$114">
            <a:extLst>
              <a:ext uri="{FF2B5EF4-FFF2-40B4-BE49-F238E27FC236}">
                <a16:creationId xmlns:a16="http://schemas.microsoft.com/office/drawing/2014/main" id="{00000000-0008-0000-0200-00004F0B0000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6" name="$E$114">
            <a:extLst>
              <a:ext uri="{FF2B5EF4-FFF2-40B4-BE49-F238E27FC236}">
                <a16:creationId xmlns:a16="http://schemas.microsoft.com/office/drawing/2014/main" id="{00000000-0008-0000-0200-0000500B00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7" name="$E$114">
            <a:extLst>
              <a:ext uri="{FF2B5EF4-FFF2-40B4-BE49-F238E27FC236}">
                <a16:creationId xmlns:a16="http://schemas.microsoft.com/office/drawing/2014/main" id="{00000000-0008-0000-0200-0000510B00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8" name="$E$114">
            <a:extLst>
              <a:ext uri="{FF2B5EF4-FFF2-40B4-BE49-F238E27FC236}">
                <a16:creationId xmlns:a16="http://schemas.microsoft.com/office/drawing/2014/main" id="{00000000-0008-0000-0200-0000520B0000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9" name="$E$114">
            <a:extLst>
              <a:ext uri="{FF2B5EF4-FFF2-40B4-BE49-F238E27FC236}">
                <a16:creationId xmlns:a16="http://schemas.microsoft.com/office/drawing/2014/main" id="{00000000-0008-0000-0200-0000530B0000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0" name="$E$114">
            <a:extLst>
              <a:ext uri="{FF2B5EF4-FFF2-40B4-BE49-F238E27FC236}">
                <a16:creationId xmlns:a16="http://schemas.microsoft.com/office/drawing/2014/main" id="{00000000-0008-0000-0200-0000540B00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1" name="$E$114">
            <a:extLst>
              <a:ext uri="{FF2B5EF4-FFF2-40B4-BE49-F238E27FC236}">
                <a16:creationId xmlns:a16="http://schemas.microsoft.com/office/drawing/2014/main" id="{00000000-0008-0000-0200-0000550B00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2" name="$E$114">
            <a:extLst>
              <a:ext uri="{FF2B5EF4-FFF2-40B4-BE49-F238E27FC236}">
                <a16:creationId xmlns:a16="http://schemas.microsoft.com/office/drawing/2014/main" id="{00000000-0008-0000-0200-0000560B00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3" name="$E$114">
            <a:extLst>
              <a:ext uri="{FF2B5EF4-FFF2-40B4-BE49-F238E27FC236}">
                <a16:creationId xmlns:a16="http://schemas.microsoft.com/office/drawing/2014/main" id="{00000000-0008-0000-0200-0000570B0000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4" name="$E$114">
            <a:extLst>
              <a:ext uri="{FF2B5EF4-FFF2-40B4-BE49-F238E27FC236}">
                <a16:creationId xmlns:a16="http://schemas.microsoft.com/office/drawing/2014/main" id="{00000000-0008-0000-0200-0000580B0000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5" name="$E$114">
            <a:extLst>
              <a:ext uri="{FF2B5EF4-FFF2-40B4-BE49-F238E27FC236}">
                <a16:creationId xmlns:a16="http://schemas.microsoft.com/office/drawing/2014/main" id="{00000000-0008-0000-0200-0000590B00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6" name="$E$114">
            <a:extLst>
              <a:ext uri="{FF2B5EF4-FFF2-40B4-BE49-F238E27FC236}">
                <a16:creationId xmlns:a16="http://schemas.microsoft.com/office/drawing/2014/main" id="{00000000-0008-0000-0200-00005A0B00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7" name="$E$114">
            <a:extLst>
              <a:ext uri="{FF2B5EF4-FFF2-40B4-BE49-F238E27FC236}">
                <a16:creationId xmlns:a16="http://schemas.microsoft.com/office/drawing/2014/main" id="{00000000-0008-0000-0200-00005B0B0000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8" name="$E$114">
            <a:extLst>
              <a:ext uri="{FF2B5EF4-FFF2-40B4-BE49-F238E27FC236}">
                <a16:creationId xmlns:a16="http://schemas.microsoft.com/office/drawing/2014/main" id="{00000000-0008-0000-0200-00005C0B0000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9" name="$E$114">
            <a:extLst>
              <a:ext uri="{FF2B5EF4-FFF2-40B4-BE49-F238E27FC236}">
                <a16:creationId xmlns:a16="http://schemas.microsoft.com/office/drawing/2014/main" id="{00000000-0008-0000-0200-00005D0B0000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0" name="$E$114">
            <a:extLst>
              <a:ext uri="{FF2B5EF4-FFF2-40B4-BE49-F238E27FC236}">
                <a16:creationId xmlns:a16="http://schemas.microsoft.com/office/drawing/2014/main" id="{00000000-0008-0000-0200-00005E0B00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1" name="$E$114">
            <a:extLst>
              <a:ext uri="{FF2B5EF4-FFF2-40B4-BE49-F238E27FC236}">
                <a16:creationId xmlns:a16="http://schemas.microsoft.com/office/drawing/2014/main" id="{00000000-0008-0000-0200-00005F0B00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2" name="$E$114">
            <a:extLst>
              <a:ext uri="{FF2B5EF4-FFF2-40B4-BE49-F238E27FC236}">
                <a16:creationId xmlns:a16="http://schemas.microsoft.com/office/drawing/2014/main" id="{00000000-0008-0000-0200-0000600B00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3" name="$E$114">
            <a:extLst>
              <a:ext uri="{FF2B5EF4-FFF2-40B4-BE49-F238E27FC236}">
                <a16:creationId xmlns:a16="http://schemas.microsoft.com/office/drawing/2014/main" id="{00000000-0008-0000-0200-0000610B0000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4" name="$E$114">
            <a:extLst>
              <a:ext uri="{FF2B5EF4-FFF2-40B4-BE49-F238E27FC236}">
                <a16:creationId xmlns:a16="http://schemas.microsoft.com/office/drawing/2014/main" id="{00000000-0008-0000-0200-0000620B00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5" name="$E$114">
            <a:extLst>
              <a:ext uri="{FF2B5EF4-FFF2-40B4-BE49-F238E27FC236}">
                <a16:creationId xmlns:a16="http://schemas.microsoft.com/office/drawing/2014/main" id="{00000000-0008-0000-0200-0000630B00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6" name="$E$114">
            <a:extLst>
              <a:ext uri="{FF2B5EF4-FFF2-40B4-BE49-F238E27FC236}">
                <a16:creationId xmlns:a16="http://schemas.microsoft.com/office/drawing/2014/main" id="{00000000-0008-0000-0200-0000640B0000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7" name="$E$114">
            <a:extLst>
              <a:ext uri="{FF2B5EF4-FFF2-40B4-BE49-F238E27FC236}">
                <a16:creationId xmlns:a16="http://schemas.microsoft.com/office/drawing/2014/main" id="{00000000-0008-0000-0200-0000650B0000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8" name="$E$114">
            <a:extLst>
              <a:ext uri="{FF2B5EF4-FFF2-40B4-BE49-F238E27FC236}">
                <a16:creationId xmlns:a16="http://schemas.microsoft.com/office/drawing/2014/main" id="{00000000-0008-0000-0200-0000660B00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9" name="$E$114">
            <a:extLst>
              <a:ext uri="{FF2B5EF4-FFF2-40B4-BE49-F238E27FC236}">
                <a16:creationId xmlns:a16="http://schemas.microsoft.com/office/drawing/2014/main" id="{00000000-0008-0000-0200-0000670B0000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0" name="$E$114">
            <a:extLst>
              <a:ext uri="{FF2B5EF4-FFF2-40B4-BE49-F238E27FC236}">
                <a16:creationId xmlns:a16="http://schemas.microsoft.com/office/drawing/2014/main" id="{00000000-0008-0000-0200-0000680B0000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1" name="$E$114">
            <a:extLst>
              <a:ext uri="{FF2B5EF4-FFF2-40B4-BE49-F238E27FC236}">
                <a16:creationId xmlns:a16="http://schemas.microsoft.com/office/drawing/2014/main" id="{00000000-0008-0000-0200-0000690B00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2" name="$E$114">
            <a:extLst>
              <a:ext uri="{FF2B5EF4-FFF2-40B4-BE49-F238E27FC236}">
                <a16:creationId xmlns:a16="http://schemas.microsoft.com/office/drawing/2014/main" id="{00000000-0008-0000-0200-00006A0B00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3" name="$E$114">
            <a:extLst>
              <a:ext uri="{FF2B5EF4-FFF2-40B4-BE49-F238E27FC236}">
                <a16:creationId xmlns:a16="http://schemas.microsoft.com/office/drawing/2014/main" id="{00000000-0008-0000-0200-00006B0B00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4" name="$E$114">
            <a:extLst>
              <a:ext uri="{FF2B5EF4-FFF2-40B4-BE49-F238E27FC236}">
                <a16:creationId xmlns:a16="http://schemas.microsoft.com/office/drawing/2014/main" id="{00000000-0008-0000-0200-00006C0B00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5" name="$E$114">
            <a:extLst>
              <a:ext uri="{FF2B5EF4-FFF2-40B4-BE49-F238E27FC236}">
                <a16:creationId xmlns:a16="http://schemas.microsoft.com/office/drawing/2014/main" id="{00000000-0008-0000-0200-00006D0B00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6" name="$E$114">
            <a:extLst>
              <a:ext uri="{FF2B5EF4-FFF2-40B4-BE49-F238E27FC236}">
                <a16:creationId xmlns:a16="http://schemas.microsoft.com/office/drawing/2014/main" id="{00000000-0008-0000-0200-00006E0B00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7" name="$E$114">
            <a:extLst>
              <a:ext uri="{FF2B5EF4-FFF2-40B4-BE49-F238E27FC236}">
                <a16:creationId xmlns:a16="http://schemas.microsoft.com/office/drawing/2014/main" id="{00000000-0008-0000-0200-00006F0B00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8" name="$E$114">
            <a:extLst>
              <a:ext uri="{FF2B5EF4-FFF2-40B4-BE49-F238E27FC236}">
                <a16:creationId xmlns:a16="http://schemas.microsoft.com/office/drawing/2014/main" id="{00000000-0008-0000-0200-0000700B00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9" name="$E$114">
            <a:extLst>
              <a:ext uri="{FF2B5EF4-FFF2-40B4-BE49-F238E27FC236}">
                <a16:creationId xmlns:a16="http://schemas.microsoft.com/office/drawing/2014/main" id="{00000000-0008-0000-0200-0000710B00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0" name="$E$114">
            <a:extLst>
              <a:ext uri="{FF2B5EF4-FFF2-40B4-BE49-F238E27FC236}">
                <a16:creationId xmlns:a16="http://schemas.microsoft.com/office/drawing/2014/main" id="{00000000-0008-0000-0200-0000720B00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1" name="$E$114">
            <a:extLst>
              <a:ext uri="{FF2B5EF4-FFF2-40B4-BE49-F238E27FC236}">
                <a16:creationId xmlns:a16="http://schemas.microsoft.com/office/drawing/2014/main" id="{00000000-0008-0000-0200-0000730B00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2" name="$E$114">
            <a:extLst>
              <a:ext uri="{FF2B5EF4-FFF2-40B4-BE49-F238E27FC236}">
                <a16:creationId xmlns:a16="http://schemas.microsoft.com/office/drawing/2014/main" id="{00000000-0008-0000-0200-0000740B00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3" name="$E$114">
            <a:extLst>
              <a:ext uri="{FF2B5EF4-FFF2-40B4-BE49-F238E27FC236}">
                <a16:creationId xmlns:a16="http://schemas.microsoft.com/office/drawing/2014/main" id="{00000000-0008-0000-0200-0000750B00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4" name="$E$114">
            <a:extLst>
              <a:ext uri="{FF2B5EF4-FFF2-40B4-BE49-F238E27FC236}">
                <a16:creationId xmlns:a16="http://schemas.microsoft.com/office/drawing/2014/main" id="{00000000-0008-0000-0200-0000760B00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5" name="$E$114">
            <a:extLst>
              <a:ext uri="{FF2B5EF4-FFF2-40B4-BE49-F238E27FC236}">
                <a16:creationId xmlns:a16="http://schemas.microsoft.com/office/drawing/2014/main" id="{00000000-0008-0000-0200-0000770B00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6" name="$E$114">
            <a:extLst>
              <a:ext uri="{FF2B5EF4-FFF2-40B4-BE49-F238E27FC236}">
                <a16:creationId xmlns:a16="http://schemas.microsoft.com/office/drawing/2014/main" id="{00000000-0008-0000-0200-0000780B00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7" name="$E$114">
            <a:extLst>
              <a:ext uri="{FF2B5EF4-FFF2-40B4-BE49-F238E27FC236}">
                <a16:creationId xmlns:a16="http://schemas.microsoft.com/office/drawing/2014/main" id="{00000000-0008-0000-0200-0000790B00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8" name="$E$114">
            <a:extLst>
              <a:ext uri="{FF2B5EF4-FFF2-40B4-BE49-F238E27FC236}">
                <a16:creationId xmlns:a16="http://schemas.microsoft.com/office/drawing/2014/main" id="{00000000-0008-0000-0200-00007A0B00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9" name="$E$114">
            <a:extLst>
              <a:ext uri="{FF2B5EF4-FFF2-40B4-BE49-F238E27FC236}">
                <a16:creationId xmlns:a16="http://schemas.microsoft.com/office/drawing/2014/main" id="{00000000-0008-0000-0200-00007B0B00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0" name="$E$114">
            <a:extLst>
              <a:ext uri="{FF2B5EF4-FFF2-40B4-BE49-F238E27FC236}">
                <a16:creationId xmlns:a16="http://schemas.microsoft.com/office/drawing/2014/main" id="{00000000-0008-0000-0200-00007C0B0000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1" name="$E$114">
            <a:extLst>
              <a:ext uri="{FF2B5EF4-FFF2-40B4-BE49-F238E27FC236}">
                <a16:creationId xmlns:a16="http://schemas.microsoft.com/office/drawing/2014/main" id="{00000000-0008-0000-0200-00007D0B0000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2" name="$E$114">
            <a:extLst>
              <a:ext uri="{FF2B5EF4-FFF2-40B4-BE49-F238E27FC236}">
                <a16:creationId xmlns:a16="http://schemas.microsoft.com/office/drawing/2014/main" id="{00000000-0008-0000-0200-00007E0B0000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3" name="$E$114">
            <a:extLst>
              <a:ext uri="{FF2B5EF4-FFF2-40B4-BE49-F238E27FC236}">
                <a16:creationId xmlns:a16="http://schemas.microsoft.com/office/drawing/2014/main" id="{00000000-0008-0000-0200-00007F0B0000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4" name="$E$114">
            <a:extLst>
              <a:ext uri="{FF2B5EF4-FFF2-40B4-BE49-F238E27FC236}">
                <a16:creationId xmlns:a16="http://schemas.microsoft.com/office/drawing/2014/main" id="{00000000-0008-0000-0200-0000800B00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5" name="$E$114">
            <a:extLst>
              <a:ext uri="{FF2B5EF4-FFF2-40B4-BE49-F238E27FC236}">
                <a16:creationId xmlns:a16="http://schemas.microsoft.com/office/drawing/2014/main" id="{00000000-0008-0000-0200-0000810B0000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6" name="$E$114">
            <a:extLst>
              <a:ext uri="{FF2B5EF4-FFF2-40B4-BE49-F238E27FC236}">
                <a16:creationId xmlns:a16="http://schemas.microsoft.com/office/drawing/2014/main" id="{00000000-0008-0000-0200-0000820B00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7" name="$E$114">
            <a:extLst>
              <a:ext uri="{FF2B5EF4-FFF2-40B4-BE49-F238E27FC236}">
                <a16:creationId xmlns:a16="http://schemas.microsoft.com/office/drawing/2014/main" id="{00000000-0008-0000-0200-0000830B0000}"/>
              </a:ext>
            </a:extLst>
          </xdr:cNvPr>
          <xdr:cNvSpPr/>
        </xdr:nvSpPr>
        <xdr:spPr>
          <a:xfrm>
            <a:off x="2032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8" name="$E$114">
            <a:extLst>
              <a:ext uri="{FF2B5EF4-FFF2-40B4-BE49-F238E27FC236}">
                <a16:creationId xmlns:a16="http://schemas.microsoft.com/office/drawing/2014/main" id="{00000000-0008-0000-0200-0000840B0000}"/>
              </a:ext>
            </a:extLst>
          </xdr:cNvPr>
          <xdr:cNvSpPr/>
        </xdr:nvSpPr>
        <xdr:spPr>
          <a:xfrm>
            <a:off x="241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9" name="$E$114">
            <a:extLst>
              <a:ext uri="{FF2B5EF4-FFF2-40B4-BE49-F238E27FC236}">
                <a16:creationId xmlns:a16="http://schemas.microsoft.com/office/drawing/2014/main" id="{00000000-0008-0000-0200-0000850B0000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0" name="$E$114">
            <a:extLst>
              <a:ext uri="{FF2B5EF4-FFF2-40B4-BE49-F238E27FC236}">
                <a16:creationId xmlns:a16="http://schemas.microsoft.com/office/drawing/2014/main" id="{00000000-0008-0000-0200-0000860B0000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1" name="$E$114">
            <a:extLst>
              <a:ext uri="{FF2B5EF4-FFF2-40B4-BE49-F238E27FC236}">
                <a16:creationId xmlns:a16="http://schemas.microsoft.com/office/drawing/2014/main" id="{00000000-0008-0000-0200-0000870B00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2" name="$E$114">
            <a:extLst>
              <a:ext uri="{FF2B5EF4-FFF2-40B4-BE49-F238E27FC236}">
                <a16:creationId xmlns:a16="http://schemas.microsoft.com/office/drawing/2014/main" id="{00000000-0008-0000-0200-0000880B0000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3" name="$E$114">
            <a:extLst>
              <a:ext uri="{FF2B5EF4-FFF2-40B4-BE49-F238E27FC236}">
                <a16:creationId xmlns:a16="http://schemas.microsoft.com/office/drawing/2014/main" id="{00000000-0008-0000-0200-0000890B0000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4" name="$E$114">
            <a:extLst>
              <a:ext uri="{FF2B5EF4-FFF2-40B4-BE49-F238E27FC236}">
                <a16:creationId xmlns:a16="http://schemas.microsoft.com/office/drawing/2014/main" id="{00000000-0008-0000-0200-00008A0B00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5" name="$E$114">
            <a:extLst>
              <a:ext uri="{FF2B5EF4-FFF2-40B4-BE49-F238E27FC236}">
                <a16:creationId xmlns:a16="http://schemas.microsoft.com/office/drawing/2014/main" id="{00000000-0008-0000-0200-00008B0B0000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6" name="$E$114">
            <a:extLst>
              <a:ext uri="{FF2B5EF4-FFF2-40B4-BE49-F238E27FC236}">
                <a16:creationId xmlns:a16="http://schemas.microsoft.com/office/drawing/2014/main" id="{00000000-0008-0000-0200-00008C0B00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7" name="$E$114">
            <a:extLst>
              <a:ext uri="{FF2B5EF4-FFF2-40B4-BE49-F238E27FC236}">
                <a16:creationId xmlns:a16="http://schemas.microsoft.com/office/drawing/2014/main" id="{00000000-0008-0000-0200-00008D0B0000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8" name="$E$114">
            <a:extLst>
              <a:ext uri="{FF2B5EF4-FFF2-40B4-BE49-F238E27FC236}">
                <a16:creationId xmlns:a16="http://schemas.microsoft.com/office/drawing/2014/main" id="{00000000-0008-0000-0200-00008E0B00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9" name="$E$114">
            <a:extLst>
              <a:ext uri="{FF2B5EF4-FFF2-40B4-BE49-F238E27FC236}">
                <a16:creationId xmlns:a16="http://schemas.microsoft.com/office/drawing/2014/main" id="{00000000-0008-0000-0200-00008F0B0000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0" name="$E$114">
            <a:extLst>
              <a:ext uri="{FF2B5EF4-FFF2-40B4-BE49-F238E27FC236}">
                <a16:creationId xmlns:a16="http://schemas.microsoft.com/office/drawing/2014/main" id="{00000000-0008-0000-0200-0000900B00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1" name="$E$114">
            <a:extLst>
              <a:ext uri="{FF2B5EF4-FFF2-40B4-BE49-F238E27FC236}">
                <a16:creationId xmlns:a16="http://schemas.microsoft.com/office/drawing/2014/main" id="{00000000-0008-0000-0200-0000910B0000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2" name="$E$114">
            <a:extLst>
              <a:ext uri="{FF2B5EF4-FFF2-40B4-BE49-F238E27FC236}">
                <a16:creationId xmlns:a16="http://schemas.microsoft.com/office/drawing/2014/main" id="{00000000-0008-0000-0200-0000920B00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3" name="$E$114">
            <a:extLst>
              <a:ext uri="{FF2B5EF4-FFF2-40B4-BE49-F238E27FC236}">
                <a16:creationId xmlns:a16="http://schemas.microsoft.com/office/drawing/2014/main" id="{00000000-0008-0000-0200-0000930B0000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4" name="$E$114">
            <a:extLst>
              <a:ext uri="{FF2B5EF4-FFF2-40B4-BE49-F238E27FC236}">
                <a16:creationId xmlns:a16="http://schemas.microsoft.com/office/drawing/2014/main" id="{00000000-0008-0000-0200-0000940B00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5" name="$E$114">
            <a:extLst>
              <a:ext uri="{FF2B5EF4-FFF2-40B4-BE49-F238E27FC236}">
                <a16:creationId xmlns:a16="http://schemas.microsoft.com/office/drawing/2014/main" id="{00000000-0008-0000-0200-0000950B0000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6" name="$E$114">
            <a:extLst>
              <a:ext uri="{FF2B5EF4-FFF2-40B4-BE49-F238E27FC236}">
                <a16:creationId xmlns:a16="http://schemas.microsoft.com/office/drawing/2014/main" id="{00000000-0008-0000-0200-0000960B0000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7" name="$E$114">
            <a:extLst>
              <a:ext uri="{FF2B5EF4-FFF2-40B4-BE49-F238E27FC236}">
                <a16:creationId xmlns:a16="http://schemas.microsoft.com/office/drawing/2014/main" id="{00000000-0008-0000-0200-0000970B0000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8" name="$E$114">
            <a:extLst>
              <a:ext uri="{FF2B5EF4-FFF2-40B4-BE49-F238E27FC236}">
                <a16:creationId xmlns:a16="http://schemas.microsoft.com/office/drawing/2014/main" id="{00000000-0008-0000-0200-0000980B0000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9" name="$E$114">
            <a:extLst>
              <a:ext uri="{FF2B5EF4-FFF2-40B4-BE49-F238E27FC236}">
                <a16:creationId xmlns:a16="http://schemas.microsoft.com/office/drawing/2014/main" id="{00000000-0008-0000-0200-0000990B0000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0" name="$E$114">
            <a:extLst>
              <a:ext uri="{FF2B5EF4-FFF2-40B4-BE49-F238E27FC236}">
                <a16:creationId xmlns:a16="http://schemas.microsoft.com/office/drawing/2014/main" id="{00000000-0008-0000-0200-00009A0B00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1" name="$E$114">
            <a:extLst>
              <a:ext uri="{FF2B5EF4-FFF2-40B4-BE49-F238E27FC236}">
                <a16:creationId xmlns:a16="http://schemas.microsoft.com/office/drawing/2014/main" id="{00000000-0008-0000-0200-00009B0B0000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2" name="$E$114">
            <a:extLst>
              <a:ext uri="{FF2B5EF4-FFF2-40B4-BE49-F238E27FC236}">
                <a16:creationId xmlns:a16="http://schemas.microsoft.com/office/drawing/2014/main" id="{00000000-0008-0000-0200-00009C0B00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3" name="$E$114">
            <a:extLst>
              <a:ext uri="{FF2B5EF4-FFF2-40B4-BE49-F238E27FC236}">
                <a16:creationId xmlns:a16="http://schemas.microsoft.com/office/drawing/2014/main" id="{00000000-0008-0000-0200-00009D0B0000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4" name="$E$114">
            <a:extLst>
              <a:ext uri="{FF2B5EF4-FFF2-40B4-BE49-F238E27FC236}">
                <a16:creationId xmlns:a16="http://schemas.microsoft.com/office/drawing/2014/main" id="{00000000-0008-0000-0200-00009E0B000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5" name="$E$114">
            <a:extLst>
              <a:ext uri="{FF2B5EF4-FFF2-40B4-BE49-F238E27FC236}">
                <a16:creationId xmlns:a16="http://schemas.microsoft.com/office/drawing/2014/main" id="{00000000-0008-0000-0200-00009F0B0000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6" name="$E$114">
            <a:extLst>
              <a:ext uri="{FF2B5EF4-FFF2-40B4-BE49-F238E27FC236}">
                <a16:creationId xmlns:a16="http://schemas.microsoft.com/office/drawing/2014/main" id="{00000000-0008-0000-0200-0000A00B0000}"/>
              </a:ext>
            </a:extLst>
          </xdr:cNvPr>
          <xdr:cNvSpPr/>
        </xdr:nvSpPr>
        <xdr:spPr>
          <a:xfrm>
            <a:off x="203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7" name="$E$114">
            <a:extLst>
              <a:ext uri="{FF2B5EF4-FFF2-40B4-BE49-F238E27FC236}">
                <a16:creationId xmlns:a16="http://schemas.microsoft.com/office/drawing/2014/main" id="{00000000-0008-0000-0200-0000A10B00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8" name="$E$114">
            <a:extLst>
              <a:ext uri="{FF2B5EF4-FFF2-40B4-BE49-F238E27FC236}">
                <a16:creationId xmlns:a16="http://schemas.microsoft.com/office/drawing/2014/main" id="{00000000-0008-0000-0200-0000A20B0000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9" name="$E$114">
            <a:extLst>
              <a:ext uri="{FF2B5EF4-FFF2-40B4-BE49-F238E27FC236}">
                <a16:creationId xmlns:a16="http://schemas.microsoft.com/office/drawing/2014/main" id="{00000000-0008-0000-0200-0000A30B00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0" name="$E$114">
            <a:extLst>
              <a:ext uri="{FF2B5EF4-FFF2-40B4-BE49-F238E27FC236}">
                <a16:creationId xmlns:a16="http://schemas.microsoft.com/office/drawing/2014/main" id="{00000000-0008-0000-0200-0000A40B0000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1" name="$E$114">
            <a:extLst>
              <a:ext uri="{FF2B5EF4-FFF2-40B4-BE49-F238E27FC236}">
                <a16:creationId xmlns:a16="http://schemas.microsoft.com/office/drawing/2014/main" id="{00000000-0008-0000-0200-0000A50B00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2" name="$E$114">
            <a:extLst>
              <a:ext uri="{FF2B5EF4-FFF2-40B4-BE49-F238E27FC236}">
                <a16:creationId xmlns:a16="http://schemas.microsoft.com/office/drawing/2014/main" id="{00000000-0008-0000-0200-0000A60B00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3" name="$E$114">
            <a:extLst>
              <a:ext uri="{FF2B5EF4-FFF2-40B4-BE49-F238E27FC236}">
                <a16:creationId xmlns:a16="http://schemas.microsoft.com/office/drawing/2014/main" id="{00000000-0008-0000-0200-0000A70B0000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4" name="$E$114">
            <a:extLst>
              <a:ext uri="{FF2B5EF4-FFF2-40B4-BE49-F238E27FC236}">
                <a16:creationId xmlns:a16="http://schemas.microsoft.com/office/drawing/2014/main" id="{00000000-0008-0000-0200-0000A80B0000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5" name="$E$114">
            <a:extLst>
              <a:ext uri="{FF2B5EF4-FFF2-40B4-BE49-F238E27FC236}">
                <a16:creationId xmlns:a16="http://schemas.microsoft.com/office/drawing/2014/main" id="{00000000-0008-0000-0200-0000A90B0000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6" name="$E$114">
            <a:extLst>
              <a:ext uri="{FF2B5EF4-FFF2-40B4-BE49-F238E27FC236}">
                <a16:creationId xmlns:a16="http://schemas.microsoft.com/office/drawing/2014/main" id="{00000000-0008-0000-0200-0000AA0B0000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7" name="$E$114">
            <a:extLst>
              <a:ext uri="{FF2B5EF4-FFF2-40B4-BE49-F238E27FC236}">
                <a16:creationId xmlns:a16="http://schemas.microsoft.com/office/drawing/2014/main" id="{00000000-0008-0000-0200-0000AB0B00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8" name="$E$114">
            <a:extLst>
              <a:ext uri="{FF2B5EF4-FFF2-40B4-BE49-F238E27FC236}">
                <a16:creationId xmlns:a16="http://schemas.microsoft.com/office/drawing/2014/main" id="{00000000-0008-0000-0200-0000AC0B0000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9" name="$E$114">
            <a:extLst>
              <a:ext uri="{FF2B5EF4-FFF2-40B4-BE49-F238E27FC236}">
                <a16:creationId xmlns:a16="http://schemas.microsoft.com/office/drawing/2014/main" id="{00000000-0008-0000-0200-0000AD0B00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0" name="$E$114">
            <a:extLst>
              <a:ext uri="{FF2B5EF4-FFF2-40B4-BE49-F238E27FC236}">
                <a16:creationId xmlns:a16="http://schemas.microsoft.com/office/drawing/2014/main" id="{00000000-0008-0000-0200-0000AE0B0000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1" name="$E$114">
            <a:extLst>
              <a:ext uri="{FF2B5EF4-FFF2-40B4-BE49-F238E27FC236}">
                <a16:creationId xmlns:a16="http://schemas.microsoft.com/office/drawing/2014/main" id="{00000000-0008-0000-0200-0000AF0B00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2" name="$E$114">
            <a:extLst>
              <a:ext uri="{FF2B5EF4-FFF2-40B4-BE49-F238E27FC236}">
                <a16:creationId xmlns:a16="http://schemas.microsoft.com/office/drawing/2014/main" id="{00000000-0008-0000-0200-0000B00B00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3" name="$E$114">
            <a:extLst>
              <a:ext uri="{FF2B5EF4-FFF2-40B4-BE49-F238E27FC236}">
                <a16:creationId xmlns:a16="http://schemas.microsoft.com/office/drawing/2014/main" id="{00000000-0008-0000-0200-0000B10B00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4" name="$E$114">
            <a:extLst>
              <a:ext uri="{FF2B5EF4-FFF2-40B4-BE49-F238E27FC236}">
                <a16:creationId xmlns:a16="http://schemas.microsoft.com/office/drawing/2014/main" id="{00000000-0008-0000-0200-0000B20B0000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5" name="$E$114">
            <a:extLst>
              <a:ext uri="{FF2B5EF4-FFF2-40B4-BE49-F238E27FC236}">
                <a16:creationId xmlns:a16="http://schemas.microsoft.com/office/drawing/2014/main" id="{00000000-0008-0000-0200-0000B30B0000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6" name="$E$114">
            <a:extLst>
              <a:ext uri="{FF2B5EF4-FFF2-40B4-BE49-F238E27FC236}">
                <a16:creationId xmlns:a16="http://schemas.microsoft.com/office/drawing/2014/main" id="{00000000-0008-0000-0200-0000B40B00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7" name="$E$114">
            <a:extLst>
              <a:ext uri="{FF2B5EF4-FFF2-40B4-BE49-F238E27FC236}">
                <a16:creationId xmlns:a16="http://schemas.microsoft.com/office/drawing/2014/main" id="{00000000-0008-0000-0200-0000B50B00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8" name="$E$114">
            <a:extLst>
              <a:ext uri="{FF2B5EF4-FFF2-40B4-BE49-F238E27FC236}">
                <a16:creationId xmlns:a16="http://schemas.microsoft.com/office/drawing/2014/main" id="{00000000-0008-0000-0200-0000B60B00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9" name="$E$114">
            <a:extLst>
              <a:ext uri="{FF2B5EF4-FFF2-40B4-BE49-F238E27FC236}">
                <a16:creationId xmlns:a16="http://schemas.microsoft.com/office/drawing/2014/main" id="{00000000-0008-0000-0200-0000B70B0000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0" name="$E$114">
            <a:extLst>
              <a:ext uri="{FF2B5EF4-FFF2-40B4-BE49-F238E27FC236}">
                <a16:creationId xmlns:a16="http://schemas.microsoft.com/office/drawing/2014/main" id="{00000000-0008-0000-0200-0000B80B0000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1" name="$E$114">
            <a:extLst>
              <a:ext uri="{FF2B5EF4-FFF2-40B4-BE49-F238E27FC236}">
                <a16:creationId xmlns:a16="http://schemas.microsoft.com/office/drawing/2014/main" id="{00000000-0008-0000-0200-0000B90B0000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2" name="$E$114">
            <a:extLst>
              <a:ext uri="{FF2B5EF4-FFF2-40B4-BE49-F238E27FC236}">
                <a16:creationId xmlns:a16="http://schemas.microsoft.com/office/drawing/2014/main" id="{00000000-0008-0000-0200-0000BA0B00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3" name="$E$114">
            <a:extLst>
              <a:ext uri="{FF2B5EF4-FFF2-40B4-BE49-F238E27FC236}">
                <a16:creationId xmlns:a16="http://schemas.microsoft.com/office/drawing/2014/main" id="{00000000-0008-0000-0200-0000BB0B0000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4" name="$E$114">
            <a:extLst>
              <a:ext uri="{FF2B5EF4-FFF2-40B4-BE49-F238E27FC236}">
                <a16:creationId xmlns:a16="http://schemas.microsoft.com/office/drawing/2014/main" id="{00000000-0008-0000-0200-0000BC0B0000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5" name="$E$114">
            <a:extLst>
              <a:ext uri="{FF2B5EF4-FFF2-40B4-BE49-F238E27FC236}">
                <a16:creationId xmlns:a16="http://schemas.microsoft.com/office/drawing/2014/main" id="{00000000-0008-0000-0200-0000BD0B0000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6" name="$E$114">
            <a:extLst>
              <a:ext uri="{FF2B5EF4-FFF2-40B4-BE49-F238E27FC236}">
                <a16:creationId xmlns:a16="http://schemas.microsoft.com/office/drawing/2014/main" id="{00000000-0008-0000-0200-0000BE0B00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7" name="$E$114">
            <a:extLst>
              <a:ext uri="{FF2B5EF4-FFF2-40B4-BE49-F238E27FC236}">
                <a16:creationId xmlns:a16="http://schemas.microsoft.com/office/drawing/2014/main" id="{00000000-0008-0000-0200-0000BF0B00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8" name="$E$114">
            <a:extLst>
              <a:ext uri="{FF2B5EF4-FFF2-40B4-BE49-F238E27FC236}">
                <a16:creationId xmlns:a16="http://schemas.microsoft.com/office/drawing/2014/main" id="{00000000-0008-0000-0200-0000C00B00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9" name="$E$114">
            <a:extLst>
              <a:ext uri="{FF2B5EF4-FFF2-40B4-BE49-F238E27FC236}">
                <a16:creationId xmlns:a16="http://schemas.microsoft.com/office/drawing/2014/main" id="{00000000-0008-0000-0200-0000C10B0000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0" name="$E$114">
            <a:extLst>
              <a:ext uri="{FF2B5EF4-FFF2-40B4-BE49-F238E27FC236}">
                <a16:creationId xmlns:a16="http://schemas.microsoft.com/office/drawing/2014/main" id="{00000000-0008-0000-0200-0000C20B0000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1" name="$E$114">
            <a:extLst>
              <a:ext uri="{FF2B5EF4-FFF2-40B4-BE49-F238E27FC236}">
                <a16:creationId xmlns:a16="http://schemas.microsoft.com/office/drawing/2014/main" id="{00000000-0008-0000-0200-0000C30B00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2" name="$E$114">
            <a:extLst>
              <a:ext uri="{FF2B5EF4-FFF2-40B4-BE49-F238E27FC236}">
                <a16:creationId xmlns:a16="http://schemas.microsoft.com/office/drawing/2014/main" id="{00000000-0008-0000-0200-0000C40B00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3" name="$E$114">
            <a:extLst>
              <a:ext uri="{FF2B5EF4-FFF2-40B4-BE49-F238E27FC236}">
                <a16:creationId xmlns:a16="http://schemas.microsoft.com/office/drawing/2014/main" id="{00000000-0008-0000-0200-0000C50B00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4" name="$E$114">
            <a:extLst>
              <a:ext uri="{FF2B5EF4-FFF2-40B4-BE49-F238E27FC236}">
                <a16:creationId xmlns:a16="http://schemas.microsoft.com/office/drawing/2014/main" id="{00000000-0008-0000-0200-0000C60B0000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5" name="$E$114">
            <a:extLst>
              <a:ext uri="{FF2B5EF4-FFF2-40B4-BE49-F238E27FC236}">
                <a16:creationId xmlns:a16="http://schemas.microsoft.com/office/drawing/2014/main" id="{00000000-0008-0000-0200-0000C70B0000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6" name="$E$114">
            <a:extLst>
              <a:ext uri="{FF2B5EF4-FFF2-40B4-BE49-F238E27FC236}">
                <a16:creationId xmlns:a16="http://schemas.microsoft.com/office/drawing/2014/main" id="{00000000-0008-0000-0200-0000C80B00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7" name="$E$114">
            <a:extLst>
              <a:ext uri="{FF2B5EF4-FFF2-40B4-BE49-F238E27FC236}">
                <a16:creationId xmlns:a16="http://schemas.microsoft.com/office/drawing/2014/main" id="{00000000-0008-0000-0200-0000C90B0000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8" name="$E$114">
            <a:extLst>
              <a:ext uri="{FF2B5EF4-FFF2-40B4-BE49-F238E27FC236}">
                <a16:creationId xmlns:a16="http://schemas.microsoft.com/office/drawing/2014/main" id="{00000000-0008-0000-0200-0000CA0B0000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9" name="$E$114">
            <a:extLst>
              <a:ext uri="{FF2B5EF4-FFF2-40B4-BE49-F238E27FC236}">
                <a16:creationId xmlns:a16="http://schemas.microsoft.com/office/drawing/2014/main" id="{00000000-0008-0000-0200-0000CB0B0000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0" name="$E$114">
            <a:extLst>
              <a:ext uri="{FF2B5EF4-FFF2-40B4-BE49-F238E27FC236}">
                <a16:creationId xmlns:a16="http://schemas.microsoft.com/office/drawing/2014/main" id="{00000000-0008-0000-0200-0000CC0B00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1" name="$E$114">
            <a:extLst>
              <a:ext uri="{FF2B5EF4-FFF2-40B4-BE49-F238E27FC236}">
                <a16:creationId xmlns:a16="http://schemas.microsoft.com/office/drawing/2014/main" id="{00000000-0008-0000-0200-0000CD0B00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2" name="$E$114">
            <a:extLst>
              <a:ext uri="{FF2B5EF4-FFF2-40B4-BE49-F238E27FC236}">
                <a16:creationId xmlns:a16="http://schemas.microsoft.com/office/drawing/2014/main" id="{00000000-0008-0000-0200-0000CE0B00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3" name="$E$114">
            <a:extLst>
              <a:ext uri="{FF2B5EF4-FFF2-40B4-BE49-F238E27FC236}">
                <a16:creationId xmlns:a16="http://schemas.microsoft.com/office/drawing/2014/main" id="{00000000-0008-0000-0200-0000CF0B0000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4" name="$E$114">
            <a:extLst>
              <a:ext uri="{FF2B5EF4-FFF2-40B4-BE49-F238E27FC236}">
                <a16:creationId xmlns:a16="http://schemas.microsoft.com/office/drawing/2014/main" id="{00000000-0008-0000-0200-0000D00B0000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5" name="$E$114">
            <a:extLst>
              <a:ext uri="{FF2B5EF4-FFF2-40B4-BE49-F238E27FC236}">
                <a16:creationId xmlns:a16="http://schemas.microsoft.com/office/drawing/2014/main" id="{00000000-0008-0000-0200-0000D10B00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6" name="$E$114">
            <a:extLst>
              <a:ext uri="{FF2B5EF4-FFF2-40B4-BE49-F238E27FC236}">
                <a16:creationId xmlns:a16="http://schemas.microsoft.com/office/drawing/2014/main" id="{00000000-0008-0000-0200-0000D20B00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7" name="$E$114">
            <a:extLst>
              <a:ext uri="{FF2B5EF4-FFF2-40B4-BE49-F238E27FC236}">
                <a16:creationId xmlns:a16="http://schemas.microsoft.com/office/drawing/2014/main" id="{00000000-0008-0000-0200-0000D30B0000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8" name="$E$114">
            <a:extLst>
              <a:ext uri="{FF2B5EF4-FFF2-40B4-BE49-F238E27FC236}">
                <a16:creationId xmlns:a16="http://schemas.microsoft.com/office/drawing/2014/main" id="{00000000-0008-0000-0200-0000D40B0000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9" name="$E$114">
            <a:extLst>
              <a:ext uri="{FF2B5EF4-FFF2-40B4-BE49-F238E27FC236}">
                <a16:creationId xmlns:a16="http://schemas.microsoft.com/office/drawing/2014/main" id="{00000000-0008-0000-0200-0000D50B0000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0" name="$E$114">
            <a:extLst>
              <a:ext uri="{FF2B5EF4-FFF2-40B4-BE49-F238E27FC236}">
                <a16:creationId xmlns:a16="http://schemas.microsoft.com/office/drawing/2014/main" id="{00000000-0008-0000-0200-0000D60B0000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1" name="$E$114">
            <a:extLst>
              <a:ext uri="{FF2B5EF4-FFF2-40B4-BE49-F238E27FC236}">
                <a16:creationId xmlns:a16="http://schemas.microsoft.com/office/drawing/2014/main" id="{00000000-0008-0000-0200-0000D70B0000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2" name="$E$114">
            <a:extLst>
              <a:ext uri="{FF2B5EF4-FFF2-40B4-BE49-F238E27FC236}">
                <a16:creationId xmlns:a16="http://schemas.microsoft.com/office/drawing/2014/main" id="{00000000-0008-0000-0200-0000D80B0000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3" name="$E$114">
            <a:extLst>
              <a:ext uri="{FF2B5EF4-FFF2-40B4-BE49-F238E27FC236}">
                <a16:creationId xmlns:a16="http://schemas.microsoft.com/office/drawing/2014/main" id="{00000000-0008-0000-0200-0000D90B0000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4" name="$E$114">
            <a:extLst>
              <a:ext uri="{FF2B5EF4-FFF2-40B4-BE49-F238E27FC236}">
                <a16:creationId xmlns:a16="http://schemas.microsoft.com/office/drawing/2014/main" id="{00000000-0008-0000-0200-0000DA0B00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5" name="$E$114">
            <a:extLst>
              <a:ext uri="{FF2B5EF4-FFF2-40B4-BE49-F238E27FC236}">
                <a16:creationId xmlns:a16="http://schemas.microsoft.com/office/drawing/2014/main" id="{00000000-0008-0000-0200-0000DB0B0000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6" name="$E$114">
            <a:extLst>
              <a:ext uri="{FF2B5EF4-FFF2-40B4-BE49-F238E27FC236}">
                <a16:creationId xmlns:a16="http://schemas.microsoft.com/office/drawing/2014/main" id="{00000000-0008-0000-0200-0000DC0B00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7" name="$E$114">
            <a:extLst>
              <a:ext uri="{FF2B5EF4-FFF2-40B4-BE49-F238E27FC236}">
                <a16:creationId xmlns:a16="http://schemas.microsoft.com/office/drawing/2014/main" id="{00000000-0008-0000-0200-0000DD0B00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8" name="$E$114">
            <a:extLst>
              <a:ext uri="{FF2B5EF4-FFF2-40B4-BE49-F238E27FC236}">
                <a16:creationId xmlns:a16="http://schemas.microsoft.com/office/drawing/2014/main" id="{00000000-0008-0000-0200-0000DE0B0000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9" name="$E$114">
            <a:extLst>
              <a:ext uri="{FF2B5EF4-FFF2-40B4-BE49-F238E27FC236}">
                <a16:creationId xmlns:a16="http://schemas.microsoft.com/office/drawing/2014/main" id="{00000000-0008-0000-0200-0000DF0B0000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0" name="$E$114">
            <a:extLst>
              <a:ext uri="{FF2B5EF4-FFF2-40B4-BE49-F238E27FC236}">
                <a16:creationId xmlns:a16="http://schemas.microsoft.com/office/drawing/2014/main" id="{00000000-0008-0000-0200-0000E00B0000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1" name="$E$114">
            <a:extLst>
              <a:ext uri="{FF2B5EF4-FFF2-40B4-BE49-F238E27FC236}">
                <a16:creationId xmlns:a16="http://schemas.microsoft.com/office/drawing/2014/main" id="{00000000-0008-0000-0200-0000E10B00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2" name="$E$114">
            <a:extLst>
              <a:ext uri="{FF2B5EF4-FFF2-40B4-BE49-F238E27FC236}">
                <a16:creationId xmlns:a16="http://schemas.microsoft.com/office/drawing/2014/main" id="{00000000-0008-0000-0200-0000E20B00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3" name="$E$114">
            <a:extLst>
              <a:ext uri="{FF2B5EF4-FFF2-40B4-BE49-F238E27FC236}">
                <a16:creationId xmlns:a16="http://schemas.microsoft.com/office/drawing/2014/main" id="{00000000-0008-0000-0200-0000E30B00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4" name="$E$114">
            <a:extLst>
              <a:ext uri="{FF2B5EF4-FFF2-40B4-BE49-F238E27FC236}">
                <a16:creationId xmlns:a16="http://schemas.microsoft.com/office/drawing/2014/main" id="{00000000-0008-0000-0200-0000E40B00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5" name="$E$114">
            <a:extLst>
              <a:ext uri="{FF2B5EF4-FFF2-40B4-BE49-F238E27FC236}">
                <a16:creationId xmlns:a16="http://schemas.microsoft.com/office/drawing/2014/main" id="{00000000-0008-0000-0200-0000E50B0000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6" name="$E$114">
            <a:extLst>
              <a:ext uri="{FF2B5EF4-FFF2-40B4-BE49-F238E27FC236}">
                <a16:creationId xmlns:a16="http://schemas.microsoft.com/office/drawing/2014/main" id="{00000000-0008-0000-0200-0000E60B00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7" name="$E$114">
            <a:extLst>
              <a:ext uri="{FF2B5EF4-FFF2-40B4-BE49-F238E27FC236}">
                <a16:creationId xmlns:a16="http://schemas.microsoft.com/office/drawing/2014/main" id="{00000000-0008-0000-0200-0000E70B0000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8" name="$E$114">
            <a:extLst>
              <a:ext uri="{FF2B5EF4-FFF2-40B4-BE49-F238E27FC236}">
                <a16:creationId xmlns:a16="http://schemas.microsoft.com/office/drawing/2014/main" id="{00000000-0008-0000-0200-0000E80B0000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9" name="$E$114">
            <a:extLst>
              <a:ext uri="{FF2B5EF4-FFF2-40B4-BE49-F238E27FC236}">
                <a16:creationId xmlns:a16="http://schemas.microsoft.com/office/drawing/2014/main" id="{00000000-0008-0000-0200-0000E90B0000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0" name="$E$114">
            <a:extLst>
              <a:ext uri="{FF2B5EF4-FFF2-40B4-BE49-F238E27FC236}">
                <a16:creationId xmlns:a16="http://schemas.microsoft.com/office/drawing/2014/main" id="{00000000-0008-0000-0200-0000EA0B0000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1" name="$E$114">
            <a:extLst>
              <a:ext uri="{FF2B5EF4-FFF2-40B4-BE49-F238E27FC236}">
                <a16:creationId xmlns:a16="http://schemas.microsoft.com/office/drawing/2014/main" id="{00000000-0008-0000-0200-0000EB0B0000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2" name="$E$114">
            <a:extLst>
              <a:ext uri="{FF2B5EF4-FFF2-40B4-BE49-F238E27FC236}">
                <a16:creationId xmlns:a16="http://schemas.microsoft.com/office/drawing/2014/main" id="{00000000-0008-0000-0200-0000EC0B0000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3" name="$E$114">
            <a:extLst>
              <a:ext uri="{FF2B5EF4-FFF2-40B4-BE49-F238E27FC236}">
                <a16:creationId xmlns:a16="http://schemas.microsoft.com/office/drawing/2014/main" id="{00000000-0008-0000-0200-0000ED0B00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4" name="$E$114">
            <a:extLst>
              <a:ext uri="{FF2B5EF4-FFF2-40B4-BE49-F238E27FC236}">
                <a16:creationId xmlns:a16="http://schemas.microsoft.com/office/drawing/2014/main" id="{00000000-0008-0000-0200-0000EE0B00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5" name="$E$114">
            <a:extLst>
              <a:ext uri="{FF2B5EF4-FFF2-40B4-BE49-F238E27FC236}">
                <a16:creationId xmlns:a16="http://schemas.microsoft.com/office/drawing/2014/main" id="{00000000-0008-0000-0200-0000EF0B00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6" name="$E$114">
            <a:extLst>
              <a:ext uri="{FF2B5EF4-FFF2-40B4-BE49-F238E27FC236}">
                <a16:creationId xmlns:a16="http://schemas.microsoft.com/office/drawing/2014/main" id="{00000000-0008-0000-0200-0000F00B00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7" name="$E$114">
            <a:extLst>
              <a:ext uri="{FF2B5EF4-FFF2-40B4-BE49-F238E27FC236}">
                <a16:creationId xmlns:a16="http://schemas.microsoft.com/office/drawing/2014/main" id="{00000000-0008-0000-0200-0000F10B00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8" name="$E$114">
            <a:extLst>
              <a:ext uri="{FF2B5EF4-FFF2-40B4-BE49-F238E27FC236}">
                <a16:creationId xmlns:a16="http://schemas.microsoft.com/office/drawing/2014/main" id="{00000000-0008-0000-0200-0000F20B00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9" name="$E$114">
            <a:extLst>
              <a:ext uri="{FF2B5EF4-FFF2-40B4-BE49-F238E27FC236}">
                <a16:creationId xmlns:a16="http://schemas.microsoft.com/office/drawing/2014/main" id="{00000000-0008-0000-0200-0000F30B0000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0" name="$E$114">
            <a:extLst>
              <a:ext uri="{FF2B5EF4-FFF2-40B4-BE49-F238E27FC236}">
                <a16:creationId xmlns:a16="http://schemas.microsoft.com/office/drawing/2014/main" id="{00000000-0008-0000-0200-0000F40B00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1" name="$E$114">
            <a:extLst>
              <a:ext uri="{FF2B5EF4-FFF2-40B4-BE49-F238E27FC236}">
                <a16:creationId xmlns:a16="http://schemas.microsoft.com/office/drawing/2014/main" id="{00000000-0008-0000-0200-0000F50B0000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2" name="$E$114">
            <a:extLst>
              <a:ext uri="{FF2B5EF4-FFF2-40B4-BE49-F238E27FC236}">
                <a16:creationId xmlns:a16="http://schemas.microsoft.com/office/drawing/2014/main" id="{00000000-0008-0000-0200-0000F60B0000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3" name="$E$114">
            <a:extLst>
              <a:ext uri="{FF2B5EF4-FFF2-40B4-BE49-F238E27FC236}">
                <a16:creationId xmlns:a16="http://schemas.microsoft.com/office/drawing/2014/main" id="{00000000-0008-0000-0200-0000F70B0000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4" name="$E$114">
            <a:extLst>
              <a:ext uri="{FF2B5EF4-FFF2-40B4-BE49-F238E27FC236}">
                <a16:creationId xmlns:a16="http://schemas.microsoft.com/office/drawing/2014/main" id="{00000000-0008-0000-0200-0000F80B0000}"/>
              </a:ext>
            </a:extLst>
          </xdr:cNvPr>
          <xdr:cNvSpPr/>
        </xdr:nvSpPr>
        <xdr:spPr>
          <a:xfrm>
            <a:off x="12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5" name="$E$114">
            <a:extLst>
              <a:ext uri="{FF2B5EF4-FFF2-40B4-BE49-F238E27FC236}">
                <a16:creationId xmlns:a16="http://schemas.microsoft.com/office/drawing/2014/main" id="{00000000-0008-0000-0200-0000F90B00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6" name="$E$114">
            <a:extLst>
              <a:ext uri="{FF2B5EF4-FFF2-40B4-BE49-F238E27FC236}">
                <a16:creationId xmlns:a16="http://schemas.microsoft.com/office/drawing/2014/main" id="{00000000-0008-0000-0200-0000FA0B00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7" name="$E$114">
            <a:extLst>
              <a:ext uri="{FF2B5EF4-FFF2-40B4-BE49-F238E27FC236}">
                <a16:creationId xmlns:a16="http://schemas.microsoft.com/office/drawing/2014/main" id="{00000000-0008-0000-0200-0000FB0B00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8" name="$E$114">
            <a:extLst>
              <a:ext uri="{FF2B5EF4-FFF2-40B4-BE49-F238E27FC236}">
                <a16:creationId xmlns:a16="http://schemas.microsoft.com/office/drawing/2014/main" id="{00000000-0008-0000-0200-0000FC0B00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9" name="$E$114">
            <a:extLst>
              <a:ext uri="{FF2B5EF4-FFF2-40B4-BE49-F238E27FC236}">
                <a16:creationId xmlns:a16="http://schemas.microsoft.com/office/drawing/2014/main" id="{00000000-0008-0000-0200-0000FD0B00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70" name="$E$114">
            <a:extLst>
              <a:ext uri="{FF2B5EF4-FFF2-40B4-BE49-F238E27FC236}">
                <a16:creationId xmlns:a16="http://schemas.microsoft.com/office/drawing/2014/main" id="{00000000-0008-0000-0200-0000FE0B00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71" name="$E$114">
            <a:extLst>
              <a:ext uri="{FF2B5EF4-FFF2-40B4-BE49-F238E27FC236}">
                <a16:creationId xmlns:a16="http://schemas.microsoft.com/office/drawing/2014/main" id="{00000000-0008-0000-0200-0000FF0B0000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72" name="$E$114">
            <a:extLst>
              <a:ext uri="{FF2B5EF4-FFF2-40B4-BE49-F238E27FC236}">
                <a16:creationId xmlns:a16="http://schemas.microsoft.com/office/drawing/2014/main" id="{00000000-0008-0000-0200-0000000C0000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73" name="$E$114">
            <a:extLst>
              <a:ext uri="{FF2B5EF4-FFF2-40B4-BE49-F238E27FC236}">
                <a16:creationId xmlns:a16="http://schemas.microsoft.com/office/drawing/2014/main" id="{00000000-0008-0000-0200-0000010C0000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74" name="$E$114">
            <a:extLst>
              <a:ext uri="{FF2B5EF4-FFF2-40B4-BE49-F238E27FC236}">
                <a16:creationId xmlns:a16="http://schemas.microsoft.com/office/drawing/2014/main" id="{00000000-0008-0000-0200-0000020C00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75" name="$E$114">
            <a:extLst>
              <a:ext uri="{FF2B5EF4-FFF2-40B4-BE49-F238E27FC236}">
                <a16:creationId xmlns:a16="http://schemas.microsoft.com/office/drawing/2014/main" id="{00000000-0008-0000-0200-0000030C00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76" name="$E$114">
            <a:extLst>
              <a:ext uri="{FF2B5EF4-FFF2-40B4-BE49-F238E27FC236}">
                <a16:creationId xmlns:a16="http://schemas.microsoft.com/office/drawing/2014/main" id="{00000000-0008-0000-0200-0000040C0000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77" name="$E$114">
            <a:extLst>
              <a:ext uri="{FF2B5EF4-FFF2-40B4-BE49-F238E27FC236}">
                <a16:creationId xmlns:a16="http://schemas.microsoft.com/office/drawing/2014/main" id="{00000000-0008-0000-0200-0000050C0000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78" name="$E$114">
            <a:extLst>
              <a:ext uri="{FF2B5EF4-FFF2-40B4-BE49-F238E27FC236}">
                <a16:creationId xmlns:a16="http://schemas.microsoft.com/office/drawing/2014/main" id="{00000000-0008-0000-0200-0000060C00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79" name="$E$114">
            <a:extLst>
              <a:ext uri="{FF2B5EF4-FFF2-40B4-BE49-F238E27FC236}">
                <a16:creationId xmlns:a16="http://schemas.microsoft.com/office/drawing/2014/main" id="{00000000-0008-0000-0200-0000070C0000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0" name="$E$114">
            <a:extLst>
              <a:ext uri="{FF2B5EF4-FFF2-40B4-BE49-F238E27FC236}">
                <a16:creationId xmlns:a16="http://schemas.microsoft.com/office/drawing/2014/main" id="{00000000-0008-0000-0200-0000080C0000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1" name="$E$114">
            <a:extLst>
              <a:ext uri="{FF2B5EF4-FFF2-40B4-BE49-F238E27FC236}">
                <a16:creationId xmlns:a16="http://schemas.microsoft.com/office/drawing/2014/main" id="{00000000-0008-0000-0200-0000090C00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2" name="$E$114">
            <a:extLst>
              <a:ext uri="{FF2B5EF4-FFF2-40B4-BE49-F238E27FC236}">
                <a16:creationId xmlns:a16="http://schemas.microsoft.com/office/drawing/2014/main" id="{00000000-0008-0000-0200-00000A0C0000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3" name="$E$114">
            <a:extLst>
              <a:ext uri="{FF2B5EF4-FFF2-40B4-BE49-F238E27FC236}">
                <a16:creationId xmlns:a16="http://schemas.microsoft.com/office/drawing/2014/main" id="{00000000-0008-0000-0200-00000B0C00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4" name="$E$114">
            <a:extLst>
              <a:ext uri="{FF2B5EF4-FFF2-40B4-BE49-F238E27FC236}">
                <a16:creationId xmlns:a16="http://schemas.microsoft.com/office/drawing/2014/main" id="{00000000-0008-0000-0200-00000C0C00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5" name="$E$114">
            <a:extLst>
              <a:ext uri="{FF2B5EF4-FFF2-40B4-BE49-F238E27FC236}">
                <a16:creationId xmlns:a16="http://schemas.microsoft.com/office/drawing/2014/main" id="{00000000-0008-0000-0200-00000D0C0000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6" name="$E$114">
            <a:extLst>
              <a:ext uri="{FF2B5EF4-FFF2-40B4-BE49-F238E27FC236}">
                <a16:creationId xmlns:a16="http://schemas.microsoft.com/office/drawing/2014/main" id="{00000000-0008-0000-0200-00000E0C00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7" name="$E$114">
            <a:extLst>
              <a:ext uri="{FF2B5EF4-FFF2-40B4-BE49-F238E27FC236}">
                <a16:creationId xmlns:a16="http://schemas.microsoft.com/office/drawing/2014/main" id="{00000000-0008-0000-0200-00000F0C0000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8" name="$E$114">
            <a:extLst>
              <a:ext uri="{FF2B5EF4-FFF2-40B4-BE49-F238E27FC236}">
                <a16:creationId xmlns:a16="http://schemas.microsoft.com/office/drawing/2014/main" id="{00000000-0008-0000-0200-0000100C00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9" name="$E$114">
            <a:extLst>
              <a:ext uri="{FF2B5EF4-FFF2-40B4-BE49-F238E27FC236}">
                <a16:creationId xmlns:a16="http://schemas.microsoft.com/office/drawing/2014/main" id="{00000000-0008-0000-0200-0000110C0000}"/>
              </a:ext>
            </a:extLst>
          </xdr:cNvPr>
          <xdr:cNvSpPr/>
        </xdr:nvSpPr>
        <xdr:spPr>
          <a:xfrm>
            <a:off x="228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0" name="$E$114">
            <a:extLst>
              <a:ext uri="{FF2B5EF4-FFF2-40B4-BE49-F238E27FC236}">
                <a16:creationId xmlns:a16="http://schemas.microsoft.com/office/drawing/2014/main" id="{00000000-0008-0000-0200-0000120C0000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1" name="$E$114">
            <a:extLst>
              <a:ext uri="{FF2B5EF4-FFF2-40B4-BE49-F238E27FC236}">
                <a16:creationId xmlns:a16="http://schemas.microsoft.com/office/drawing/2014/main" id="{00000000-0008-0000-0200-0000130C00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2" name="$E$114">
            <a:extLst>
              <a:ext uri="{FF2B5EF4-FFF2-40B4-BE49-F238E27FC236}">
                <a16:creationId xmlns:a16="http://schemas.microsoft.com/office/drawing/2014/main" id="{00000000-0008-0000-0200-0000140C0000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3" name="$E$114">
            <a:extLst>
              <a:ext uri="{FF2B5EF4-FFF2-40B4-BE49-F238E27FC236}">
                <a16:creationId xmlns:a16="http://schemas.microsoft.com/office/drawing/2014/main" id="{00000000-0008-0000-0200-0000150C00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4" name="$E$114">
            <a:extLst>
              <a:ext uri="{FF2B5EF4-FFF2-40B4-BE49-F238E27FC236}">
                <a16:creationId xmlns:a16="http://schemas.microsoft.com/office/drawing/2014/main" id="{00000000-0008-0000-0200-0000160C00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5" name="$E$114">
            <a:extLst>
              <a:ext uri="{FF2B5EF4-FFF2-40B4-BE49-F238E27FC236}">
                <a16:creationId xmlns:a16="http://schemas.microsoft.com/office/drawing/2014/main" id="{00000000-0008-0000-0200-0000170C00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6" name="$E$114">
            <a:extLst>
              <a:ext uri="{FF2B5EF4-FFF2-40B4-BE49-F238E27FC236}">
                <a16:creationId xmlns:a16="http://schemas.microsoft.com/office/drawing/2014/main" id="{00000000-0008-0000-0200-0000180C0000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7" name="$E$114">
            <a:extLst>
              <a:ext uri="{FF2B5EF4-FFF2-40B4-BE49-F238E27FC236}">
                <a16:creationId xmlns:a16="http://schemas.microsoft.com/office/drawing/2014/main" id="{00000000-0008-0000-0200-0000190C00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8" name="$E$114">
            <a:extLst>
              <a:ext uri="{FF2B5EF4-FFF2-40B4-BE49-F238E27FC236}">
                <a16:creationId xmlns:a16="http://schemas.microsoft.com/office/drawing/2014/main" id="{00000000-0008-0000-0200-00001A0C0000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9" name="$E$114">
            <a:extLst>
              <a:ext uri="{FF2B5EF4-FFF2-40B4-BE49-F238E27FC236}">
                <a16:creationId xmlns:a16="http://schemas.microsoft.com/office/drawing/2014/main" id="{00000000-0008-0000-0200-00001B0C0000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0" name="$E$114">
            <a:extLst>
              <a:ext uri="{FF2B5EF4-FFF2-40B4-BE49-F238E27FC236}">
                <a16:creationId xmlns:a16="http://schemas.microsoft.com/office/drawing/2014/main" id="{00000000-0008-0000-0200-00001C0C00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1" name="$E$114">
            <a:extLst>
              <a:ext uri="{FF2B5EF4-FFF2-40B4-BE49-F238E27FC236}">
                <a16:creationId xmlns:a16="http://schemas.microsoft.com/office/drawing/2014/main" id="{00000000-0008-0000-0200-00001D0C0000}"/>
              </a:ext>
            </a:extLst>
          </xdr:cNvPr>
          <xdr:cNvSpPr/>
        </xdr:nvSpPr>
        <xdr:spPr>
          <a:xfrm>
            <a:off x="114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2" name="$E$114">
            <a:extLst>
              <a:ext uri="{FF2B5EF4-FFF2-40B4-BE49-F238E27FC236}">
                <a16:creationId xmlns:a16="http://schemas.microsoft.com/office/drawing/2014/main" id="{00000000-0008-0000-0200-00001E0C0000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3" name="$E$114">
            <a:extLst>
              <a:ext uri="{FF2B5EF4-FFF2-40B4-BE49-F238E27FC236}">
                <a16:creationId xmlns:a16="http://schemas.microsoft.com/office/drawing/2014/main" id="{00000000-0008-0000-0200-00001F0C0000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4" name="$E$114">
            <a:extLst>
              <a:ext uri="{FF2B5EF4-FFF2-40B4-BE49-F238E27FC236}">
                <a16:creationId xmlns:a16="http://schemas.microsoft.com/office/drawing/2014/main" id="{00000000-0008-0000-0200-0000200C00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5" name="$E$114">
            <a:extLst>
              <a:ext uri="{FF2B5EF4-FFF2-40B4-BE49-F238E27FC236}">
                <a16:creationId xmlns:a16="http://schemas.microsoft.com/office/drawing/2014/main" id="{00000000-0008-0000-0200-0000210C00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6" name="$E$114">
            <a:extLst>
              <a:ext uri="{FF2B5EF4-FFF2-40B4-BE49-F238E27FC236}">
                <a16:creationId xmlns:a16="http://schemas.microsoft.com/office/drawing/2014/main" id="{00000000-0008-0000-0200-0000220C00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7" name="$E$114">
            <a:extLst>
              <a:ext uri="{FF2B5EF4-FFF2-40B4-BE49-F238E27FC236}">
                <a16:creationId xmlns:a16="http://schemas.microsoft.com/office/drawing/2014/main" id="{00000000-0008-0000-0200-0000230C0000}"/>
              </a:ext>
            </a:extLst>
          </xdr:cNvPr>
          <xdr:cNvSpPr/>
        </xdr:nvSpPr>
        <xdr:spPr>
          <a:xfrm>
            <a:off x="215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8" name="$E$114">
            <a:extLst>
              <a:ext uri="{FF2B5EF4-FFF2-40B4-BE49-F238E27FC236}">
                <a16:creationId xmlns:a16="http://schemas.microsoft.com/office/drawing/2014/main" id="{00000000-0008-0000-0200-0000240C0000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9" name="$E$114">
            <a:extLst>
              <a:ext uri="{FF2B5EF4-FFF2-40B4-BE49-F238E27FC236}">
                <a16:creationId xmlns:a16="http://schemas.microsoft.com/office/drawing/2014/main" id="{00000000-0008-0000-0200-0000250C00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0" name="$E$114">
            <a:extLst>
              <a:ext uri="{FF2B5EF4-FFF2-40B4-BE49-F238E27FC236}">
                <a16:creationId xmlns:a16="http://schemas.microsoft.com/office/drawing/2014/main" id="{00000000-0008-0000-0200-0000260C00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1" name="$E$114">
            <a:extLst>
              <a:ext uri="{FF2B5EF4-FFF2-40B4-BE49-F238E27FC236}">
                <a16:creationId xmlns:a16="http://schemas.microsoft.com/office/drawing/2014/main" id="{00000000-0008-0000-0200-0000270C00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2" name="$E$114">
            <a:extLst>
              <a:ext uri="{FF2B5EF4-FFF2-40B4-BE49-F238E27FC236}">
                <a16:creationId xmlns:a16="http://schemas.microsoft.com/office/drawing/2014/main" id="{00000000-0008-0000-0200-0000280C00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3" name="$E$114">
            <a:extLst>
              <a:ext uri="{FF2B5EF4-FFF2-40B4-BE49-F238E27FC236}">
                <a16:creationId xmlns:a16="http://schemas.microsoft.com/office/drawing/2014/main" id="{00000000-0008-0000-0200-0000290C0000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4" name="$E$114">
            <a:extLst>
              <a:ext uri="{FF2B5EF4-FFF2-40B4-BE49-F238E27FC236}">
                <a16:creationId xmlns:a16="http://schemas.microsoft.com/office/drawing/2014/main" id="{00000000-0008-0000-0200-00002A0C00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5" name="$E$114">
            <a:extLst>
              <a:ext uri="{FF2B5EF4-FFF2-40B4-BE49-F238E27FC236}">
                <a16:creationId xmlns:a16="http://schemas.microsoft.com/office/drawing/2014/main" id="{00000000-0008-0000-0200-00002B0C0000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6" name="$E$114">
            <a:extLst>
              <a:ext uri="{FF2B5EF4-FFF2-40B4-BE49-F238E27FC236}">
                <a16:creationId xmlns:a16="http://schemas.microsoft.com/office/drawing/2014/main" id="{00000000-0008-0000-0200-00002C0C0000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7" name="$E$114">
            <a:extLst>
              <a:ext uri="{FF2B5EF4-FFF2-40B4-BE49-F238E27FC236}">
                <a16:creationId xmlns:a16="http://schemas.microsoft.com/office/drawing/2014/main" id="{00000000-0008-0000-0200-00002D0C0000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8" name="$E$114">
            <a:extLst>
              <a:ext uri="{FF2B5EF4-FFF2-40B4-BE49-F238E27FC236}">
                <a16:creationId xmlns:a16="http://schemas.microsoft.com/office/drawing/2014/main" id="{00000000-0008-0000-0200-00002E0C0000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9" name="$E$114">
            <a:extLst>
              <a:ext uri="{FF2B5EF4-FFF2-40B4-BE49-F238E27FC236}">
                <a16:creationId xmlns:a16="http://schemas.microsoft.com/office/drawing/2014/main" id="{00000000-0008-0000-0200-00002F0C00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0" name="$E$114">
            <a:extLst>
              <a:ext uri="{FF2B5EF4-FFF2-40B4-BE49-F238E27FC236}">
                <a16:creationId xmlns:a16="http://schemas.microsoft.com/office/drawing/2014/main" id="{00000000-0008-0000-0200-0000300C0000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1" name="$E$114">
            <a:extLst>
              <a:ext uri="{FF2B5EF4-FFF2-40B4-BE49-F238E27FC236}">
                <a16:creationId xmlns:a16="http://schemas.microsoft.com/office/drawing/2014/main" id="{00000000-0008-0000-0200-0000310C0000}"/>
              </a:ext>
            </a:extLst>
          </xdr:cNvPr>
          <xdr:cNvSpPr/>
        </xdr:nvSpPr>
        <xdr:spPr>
          <a:xfrm>
            <a:off x="63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2" name="$E$114">
            <a:extLst>
              <a:ext uri="{FF2B5EF4-FFF2-40B4-BE49-F238E27FC236}">
                <a16:creationId xmlns:a16="http://schemas.microsoft.com/office/drawing/2014/main" id="{00000000-0008-0000-0200-0000320C00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3" name="$E$114">
            <a:extLst>
              <a:ext uri="{FF2B5EF4-FFF2-40B4-BE49-F238E27FC236}">
                <a16:creationId xmlns:a16="http://schemas.microsoft.com/office/drawing/2014/main" id="{00000000-0008-0000-0200-0000330C0000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4" name="$E$114">
            <a:extLst>
              <a:ext uri="{FF2B5EF4-FFF2-40B4-BE49-F238E27FC236}">
                <a16:creationId xmlns:a16="http://schemas.microsoft.com/office/drawing/2014/main" id="{00000000-0008-0000-0200-0000340C00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5" name="$E$114">
            <a:extLst>
              <a:ext uri="{FF2B5EF4-FFF2-40B4-BE49-F238E27FC236}">
                <a16:creationId xmlns:a16="http://schemas.microsoft.com/office/drawing/2014/main" id="{00000000-0008-0000-0200-0000350C0000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6" name="$E$114">
            <a:extLst>
              <a:ext uri="{FF2B5EF4-FFF2-40B4-BE49-F238E27FC236}">
                <a16:creationId xmlns:a16="http://schemas.microsoft.com/office/drawing/2014/main" id="{00000000-0008-0000-0200-0000360C00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7" name="$E$114">
            <a:extLst>
              <a:ext uri="{FF2B5EF4-FFF2-40B4-BE49-F238E27FC236}">
                <a16:creationId xmlns:a16="http://schemas.microsoft.com/office/drawing/2014/main" id="{00000000-0008-0000-0200-0000370C00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8" name="$E$114">
            <a:extLst>
              <a:ext uri="{FF2B5EF4-FFF2-40B4-BE49-F238E27FC236}">
                <a16:creationId xmlns:a16="http://schemas.microsoft.com/office/drawing/2014/main" id="{00000000-0008-0000-0200-0000380C0000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9" name="$E$114">
            <a:extLst>
              <a:ext uri="{FF2B5EF4-FFF2-40B4-BE49-F238E27FC236}">
                <a16:creationId xmlns:a16="http://schemas.microsoft.com/office/drawing/2014/main" id="{00000000-0008-0000-0200-0000390C000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0" name="$E$114">
            <a:extLst>
              <a:ext uri="{FF2B5EF4-FFF2-40B4-BE49-F238E27FC236}">
                <a16:creationId xmlns:a16="http://schemas.microsoft.com/office/drawing/2014/main" id="{00000000-0008-0000-0200-00003A0C0000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1" name="$E$114">
            <a:extLst>
              <a:ext uri="{FF2B5EF4-FFF2-40B4-BE49-F238E27FC236}">
                <a16:creationId xmlns:a16="http://schemas.microsoft.com/office/drawing/2014/main" id="{00000000-0008-0000-0200-00003B0C0000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2" name="$E$114">
            <a:extLst>
              <a:ext uri="{FF2B5EF4-FFF2-40B4-BE49-F238E27FC236}">
                <a16:creationId xmlns:a16="http://schemas.microsoft.com/office/drawing/2014/main" id="{00000000-0008-0000-0200-00003C0C00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3" name="$E$114">
            <a:extLst>
              <a:ext uri="{FF2B5EF4-FFF2-40B4-BE49-F238E27FC236}">
                <a16:creationId xmlns:a16="http://schemas.microsoft.com/office/drawing/2014/main" id="{00000000-0008-0000-0200-00003D0C0000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4" name="$E$114">
            <a:extLst>
              <a:ext uri="{FF2B5EF4-FFF2-40B4-BE49-F238E27FC236}">
                <a16:creationId xmlns:a16="http://schemas.microsoft.com/office/drawing/2014/main" id="{00000000-0008-0000-0200-00003E0C0000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5" name="$E$114">
            <a:extLst>
              <a:ext uri="{FF2B5EF4-FFF2-40B4-BE49-F238E27FC236}">
                <a16:creationId xmlns:a16="http://schemas.microsoft.com/office/drawing/2014/main" id="{00000000-0008-0000-0200-00003F0C0000}"/>
              </a:ext>
            </a:extLst>
          </xdr:cNvPr>
          <xdr:cNvSpPr/>
        </xdr:nvSpPr>
        <xdr:spPr>
          <a:xfrm>
            <a:off x="50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6" name="$E$114">
            <a:extLst>
              <a:ext uri="{FF2B5EF4-FFF2-40B4-BE49-F238E27FC236}">
                <a16:creationId xmlns:a16="http://schemas.microsoft.com/office/drawing/2014/main" id="{00000000-0008-0000-0200-0000400C0000}"/>
              </a:ext>
            </a:extLst>
          </xdr:cNvPr>
          <xdr:cNvSpPr/>
        </xdr:nvSpPr>
        <xdr:spPr>
          <a:xfrm>
            <a:off x="63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7" name="$E$114">
            <a:extLst>
              <a:ext uri="{FF2B5EF4-FFF2-40B4-BE49-F238E27FC236}">
                <a16:creationId xmlns:a16="http://schemas.microsoft.com/office/drawing/2014/main" id="{00000000-0008-0000-0200-0000410C00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8" name="$E$114">
            <a:extLst>
              <a:ext uri="{FF2B5EF4-FFF2-40B4-BE49-F238E27FC236}">
                <a16:creationId xmlns:a16="http://schemas.microsoft.com/office/drawing/2014/main" id="{00000000-0008-0000-0200-0000420C0000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9" name="$E$114">
            <a:extLst>
              <a:ext uri="{FF2B5EF4-FFF2-40B4-BE49-F238E27FC236}">
                <a16:creationId xmlns:a16="http://schemas.microsoft.com/office/drawing/2014/main" id="{00000000-0008-0000-0200-0000430C0000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0" name="$E$114">
            <a:extLst>
              <a:ext uri="{FF2B5EF4-FFF2-40B4-BE49-F238E27FC236}">
                <a16:creationId xmlns:a16="http://schemas.microsoft.com/office/drawing/2014/main" id="{00000000-0008-0000-0200-0000440C0000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1" name="$E$114">
            <a:extLst>
              <a:ext uri="{FF2B5EF4-FFF2-40B4-BE49-F238E27FC236}">
                <a16:creationId xmlns:a16="http://schemas.microsoft.com/office/drawing/2014/main" id="{00000000-0008-0000-0200-0000450C00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2" name="$E$114">
            <a:extLst>
              <a:ext uri="{FF2B5EF4-FFF2-40B4-BE49-F238E27FC236}">
                <a16:creationId xmlns:a16="http://schemas.microsoft.com/office/drawing/2014/main" id="{00000000-0008-0000-0200-0000460C00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3" name="$E$114">
            <a:extLst>
              <a:ext uri="{FF2B5EF4-FFF2-40B4-BE49-F238E27FC236}">
                <a16:creationId xmlns:a16="http://schemas.microsoft.com/office/drawing/2014/main" id="{00000000-0008-0000-0200-0000470C00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4" name="$E$114">
            <a:extLst>
              <a:ext uri="{FF2B5EF4-FFF2-40B4-BE49-F238E27FC236}">
                <a16:creationId xmlns:a16="http://schemas.microsoft.com/office/drawing/2014/main" id="{00000000-0008-0000-0200-0000480C0000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5" name="$E$114">
            <a:extLst>
              <a:ext uri="{FF2B5EF4-FFF2-40B4-BE49-F238E27FC236}">
                <a16:creationId xmlns:a16="http://schemas.microsoft.com/office/drawing/2014/main" id="{00000000-0008-0000-0200-0000490C0000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6" name="$E$114">
            <a:extLst>
              <a:ext uri="{FF2B5EF4-FFF2-40B4-BE49-F238E27FC236}">
                <a16:creationId xmlns:a16="http://schemas.microsoft.com/office/drawing/2014/main" id="{00000000-0008-0000-0200-00004A0C0000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7" name="$E$114">
            <a:extLst>
              <a:ext uri="{FF2B5EF4-FFF2-40B4-BE49-F238E27FC236}">
                <a16:creationId xmlns:a16="http://schemas.microsoft.com/office/drawing/2014/main" id="{00000000-0008-0000-0200-00004B0C00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8" name="$E$114">
            <a:extLst>
              <a:ext uri="{FF2B5EF4-FFF2-40B4-BE49-F238E27FC236}">
                <a16:creationId xmlns:a16="http://schemas.microsoft.com/office/drawing/2014/main" id="{00000000-0008-0000-0200-00004C0C0000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9" name="$E$114">
            <a:extLst>
              <a:ext uri="{FF2B5EF4-FFF2-40B4-BE49-F238E27FC236}">
                <a16:creationId xmlns:a16="http://schemas.microsoft.com/office/drawing/2014/main" id="{00000000-0008-0000-0200-00004D0C00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0" name="$E$114">
            <a:extLst>
              <a:ext uri="{FF2B5EF4-FFF2-40B4-BE49-F238E27FC236}">
                <a16:creationId xmlns:a16="http://schemas.microsoft.com/office/drawing/2014/main" id="{00000000-0008-0000-0200-00004E0C0000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1" name="$E$114">
            <a:extLst>
              <a:ext uri="{FF2B5EF4-FFF2-40B4-BE49-F238E27FC236}">
                <a16:creationId xmlns:a16="http://schemas.microsoft.com/office/drawing/2014/main" id="{00000000-0008-0000-0200-00004F0C0000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2" name="$E$114">
            <a:extLst>
              <a:ext uri="{FF2B5EF4-FFF2-40B4-BE49-F238E27FC236}">
                <a16:creationId xmlns:a16="http://schemas.microsoft.com/office/drawing/2014/main" id="{00000000-0008-0000-0200-0000500C0000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3" name="$E$114">
            <a:extLst>
              <a:ext uri="{FF2B5EF4-FFF2-40B4-BE49-F238E27FC236}">
                <a16:creationId xmlns:a16="http://schemas.microsoft.com/office/drawing/2014/main" id="{00000000-0008-0000-0200-0000510C00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4" name="$E$114">
            <a:extLst>
              <a:ext uri="{FF2B5EF4-FFF2-40B4-BE49-F238E27FC236}">
                <a16:creationId xmlns:a16="http://schemas.microsoft.com/office/drawing/2014/main" id="{00000000-0008-0000-0200-0000520C0000}"/>
              </a:ext>
            </a:extLst>
          </xdr:cNvPr>
          <xdr:cNvSpPr/>
        </xdr:nvSpPr>
        <xdr:spPr>
          <a:xfrm>
            <a:off x="88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5" name="$E$114">
            <a:extLst>
              <a:ext uri="{FF2B5EF4-FFF2-40B4-BE49-F238E27FC236}">
                <a16:creationId xmlns:a16="http://schemas.microsoft.com/office/drawing/2014/main" id="{00000000-0008-0000-0200-0000530C0000}"/>
              </a:ext>
            </a:extLst>
          </xdr:cNvPr>
          <xdr:cNvSpPr/>
        </xdr:nvSpPr>
        <xdr:spPr>
          <a:xfrm>
            <a:off x="101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6" name="$E$114">
            <a:extLst>
              <a:ext uri="{FF2B5EF4-FFF2-40B4-BE49-F238E27FC236}">
                <a16:creationId xmlns:a16="http://schemas.microsoft.com/office/drawing/2014/main" id="{00000000-0008-0000-0200-0000540C0000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7" name="$E$114">
            <a:extLst>
              <a:ext uri="{FF2B5EF4-FFF2-40B4-BE49-F238E27FC236}">
                <a16:creationId xmlns:a16="http://schemas.microsoft.com/office/drawing/2014/main" id="{00000000-0008-0000-0200-0000550C0000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8" name="$E$114">
            <a:extLst>
              <a:ext uri="{FF2B5EF4-FFF2-40B4-BE49-F238E27FC236}">
                <a16:creationId xmlns:a16="http://schemas.microsoft.com/office/drawing/2014/main" id="{00000000-0008-0000-0200-0000560C0000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9" name="$E$114">
            <a:extLst>
              <a:ext uri="{FF2B5EF4-FFF2-40B4-BE49-F238E27FC236}">
                <a16:creationId xmlns:a16="http://schemas.microsoft.com/office/drawing/2014/main" id="{00000000-0008-0000-0200-0000570C0000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0" name="$E$114">
            <a:extLst>
              <a:ext uri="{FF2B5EF4-FFF2-40B4-BE49-F238E27FC236}">
                <a16:creationId xmlns:a16="http://schemas.microsoft.com/office/drawing/2014/main" id="{00000000-0008-0000-0200-0000580C0000}"/>
              </a:ext>
            </a:extLst>
          </xdr:cNvPr>
          <xdr:cNvSpPr/>
        </xdr:nvSpPr>
        <xdr:spPr>
          <a:xfrm>
            <a:off x="177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1" name="$E$114">
            <a:extLst>
              <a:ext uri="{FF2B5EF4-FFF2-40B4-BE49-F238E27FC236}">
                <a16:creationId xmlns:a16="http://schemas.microsoft.com/office/drawing/2014/main" id="{00000000-0008-0000-0200-0000590C0000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2" name="$E$114">
            <a:extLst>
              <a:ext uri="{FF2B5EF4-FFF2-40B4-BE49-F238E27FC236}">
                <a16:creationId xmlns:a16="http://schemas.microsoft.com/office/drawing/2014/main" id="{00000000-0008-0000-0200-00005A0C00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3" name="$E$114">
            <a:extLst>
              <a:ext uri="{FF2B5EF4-FFF2-40B4-BE49-F238E27FC236}">
                <a16:creationId xmlns:a16="http://schemas.microsoft.com/office/drawing/2014/main" id="{00000000-0008-0000-0200-00005B0C0000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4" name="$E$114">
            <a:extLst>
              <a:ext uri="{FF2B5EF4-FFF2-40B4-BE49-F238E27FC236}">
                <a16:creationId xmlns:a16="http://schemas.microsoft.com/office/drawing/2014/main" id="{00000000-0008-0000-0200-00005C0C00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5" name="$E$114">
            <a:extLst>
              <a:ext uri="{FF2B5EF4-FFF2-40B4-BE49-F238E27FC236}">
                <a16:creationId xmlns:a16="http://schemas.microsoft.com/office/drawing/2014/main" id="{00000000-0008-0000-0200-00005D0C00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6" name="$E$114">
            <a:extLst>
              <a:ext uri="{FF2B5EF4-FFF2-40B4-BE49-F238E27FC236}">
                <a16:creationId xmlns:a16="http://schemas.microsoft.com/office/drawing/2014/main" id="{00000000-0008-0000-0200-00005E0C0000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7" name="$E$114">
            <a:extLst>
              <a:ext uri="{FF2B5EF4-FFF2-40B4-BE49-F238E27FC236}">
                <a16:creationId xmlns:a16="http://schemas.microsoft.com/office/drawing/2014/main" id="{00000000-0008-0000-0200-00005F0C0000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8" name="$E$114">
            <a:extLst>
              <a:ext uri="{FF2B5EF4-FFF2-40B4-BE49-F238E27FC236}">
                <a16:creationId xmlns:a16="http://schemas.microsoft.com/office/drawing/2014/main" id="{00000000-0008-0000-0200-0000600C0000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9" name="$E$114">
            <a:extLst>
              <a:ext uri="{FF2B5EF4-FFF2-40B4-BE49-F238E27FC236}">
                <a16:creationId xmlns:a16="http://schemas.microsoft.com/office/drawing/2014/main" id="{00000000-0008-0000-0200-0000610C0000}"/>
              </a:ext>
            </a:extLst>
          </xdr:cNvPr>
          <xdr:cNvSpPr/>
        </xdr:nvSpPr>
        <xdr:spPr>
          <a:xfrm>
            <a:off x="12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0" name="$E$114">
            <a:extLst>
              <a:ext uri="{FF2B5EF4-FFF2-40B4-BE49-F238E27FC236}">
                <a16:creationId xmlns:a16="http://schemas.microsoft.com/office/drawing/2014/main" id="{00000000-0008-0000-0200-0000620C0000}"/>
              </a:ext>
            </a:extLst>
          </xdr:cNvPr>
          <xdr:cNvSpPr/>
        </xdr:nvSpPr>
        <xdr:spPr>
          <a:xfrm>
            <a:off x="25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1" name="$E$114">
            <a:extLst>
              <a:ext uri="{FF2B5EF4-FFF2-40B4-BE49-F238E27FC236}">
                <a16:creationId xmlns:a16="http://schemas.microsoft.com/office/drawing/2014/main" id="{00000000-0008-0000-0200-0000630C0000}"/>
              </a:ext>
            </a:extLst>
          </xdr:cNvPr>
          <xdr:cNvSpPr/>
        </xdr:nvSpPr>
        <xdr:spPr>
          <a:xfrm>
            <a:off x="38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2" name="$E$114">
            <a:extLst>
              <a:ext uri="{FF2B5EF4-FFF2-40B4-BE49-F238E27FC236}">
                <a16:creationId xmlns:a16="http://schemas.microsoft.com/office/drawing/2014/main" id="{00000000-0008-0000-0200-0000640C0000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3" name="$E$114">
            <a:extLst>
              <a:ext uri="{FF2B5EF4-FFF2-40B4-BE49-F238E27FC236}">
                <a16:creationId xmlns:a16="http://schemas.microsoft.com/office/drawing/2014/main" id="{00000000-0008-0000-0200-0000650C0000}"/>
              </a:ext>
            </a:extLst>
          </xdr:cNvPr>
          <xdr:cNvSpPr/>
        </xdr:nvSpPr>
        <xdr:spPr>
          <a:xfrm>
            <a:off x="63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4" name="$E$114">
            <a:extLst>
              <a:ext uri="{FF2B5EF4-FFF2-40B4-BE49-F238E27FC236}">
                <a16:creationId xmlns:a16="http://schemas.microsoft.com/office/drawing/2014/main" id="{00000000-0008-0000-0200-0000660C00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5" name="$E$114">
            <a:extLst>
              <a:ext uri="{FF2B5EF4-FFF2-40B4-BE49-F238E27FC236}">
                <a16:creationId xmlns:a16="http://schemas.microsoft.com/office/drawing/2014/main" id="{00000000-0008-0000-0200-0000670C0000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6" name="$E$114">
            <a:extLst>
              <a:ext uri="{FF2B5EF4-FFF2-40B4-BE49-F238E27FC236}">
                <a16:creationId xmlns:a16="http://schemas.microsoft.com/office/drawing/2014/main" id="{00000000-0008-0000-0200-0000680C0000}"/>
              </a:ext>
            </a:extLst>
          </xdr:cNvPr>
          <xdr:cNvSpPr/>
        </xdr:nvSpPr>
        <xdr:spPr>
          <a:xfrm>
            <a:off x="139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7" name="$E$114">
            <a:extLst>
              <a:ext uri="{FF2B5EF4-FFF2-40B4-BE49-F238E27FC236}">
                <a16:creationId xmlns:a16="http://schemas.microsoft.com/office/drawing/2014/main" id="{00000000-0008-0000-0200-0000690C0000}"/>
              </a:ext>
            </a:extLst>
          </xdr:cNvPr>
          <xdr:cNvSpPr/>
        </xdr:nvSpPr>
        <xdr:spPr>
          <a:xfrm>
            <a:off x="152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8" name="$E$114">
            <a:extLst>
              <a:ext uri="{FF2B5EF4-FFF2-40B4-BE49-F238E27FC236}">
                <a16:creationId xmlns:a16="http://schemas.microsoft.com/office/drawing/2014/main" id="{00000000-0008-0000-0200-00006A0C0000}"/>
              </a:ext>
            </a:extLst>
          </xdr:cNvPr>
          <xdr:cNvSpPr/>
        </xdr:nvSpPr>
        <xdr:spPr>
          <a:xfrm>
            <a:off x="165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9" name="$E$114">
            <a:extLst>
              <a:ext uri="{FF2B5EF4-FFF2-40B4-BE49-F238E27FC236}">
                <a16:creationId xmlns:a16="http://schemas.microsoft.com/office/drawing/2014/main" id="{00000000-0008-0000-0200-00006B0C0000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0" name="$E$114">
            <a:extLst>
              <a:ext uri="{FF2B5EF4-FFF2-40B4-BE49-F238E27FC236}">
                <a16:creationId xmlns:a16="http://schemas.microsoft.com/office/drawing/2014/main" id="{00000000-0008-0000-0200-00006C0C00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1" name="$E$114">
            <a:extLst>
              <a:ext uri="{FF2B5EF4-FFF2-40B4-BE49-F238E27FC236}">
                <a16:creationId xmlns:a16="http://schemas.microsoft.com/office/drawing/2014/main" id="{00000000-0008-0000-0200-00006D0C0000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2" name="$E$114">
            <a:extLst>
              <a:ext uri="{FF2B5EF4-FFF2-40B4-BE49-F238E27FC236}">
                <a16:creationId xmlns:a16="http://schemas.microsoft.com/office/drawing/2014/main" id="{00000000-0008-0000-0200-00006E0C0000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3" name="$E$114">
            <a:extLst>
              <a:ext uri="{FF2B5EF4-FFF2-40B4-BE49-F238E27FC236}">
                <a16:creationId xmlns:a16="http://schemas.microsoft.com/office/drawing/2014/main" id="{00000000-0008-0000-0200-00006F0C0000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4" name="$E$114">
            <a:extLst>
              <a:ext uri="{FF2B5EF4-FFF2-40B4-BE49-F238E27FC236}">
                <a16:creationId xmlns:a16="http://schemas.microsoft.com/office/drawing/2014/main" id="{00000000-0008-0000-0200-0000700C0000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5" name="$E$114">
            <a:extLst>
              <a:ext uri="{FF2B5EF4-FFF2-40B4-BE49-F238E27FC236}">
                <a16:creationId xmlns:a16="http://schemas.microsoft.com/office/drawing/2014/main" id="{00000000-0008-0000-0200-0000710C00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6" name="$E$114">
            <a:extLst>
              <a:ext uri="{FF2B5EF4-FFF2-40B4-BE49-F238E27FC236}">
                <a16:creationId xmlns:a16="http://schemas.microsoft.com/office/drawing/2014/main" id="{00000000-0008-0000-0200-0000720C0000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7" name="$E$114">
            <a:extLst>
              <a:ext uri="{FF2B5EF4-FFF2-40B4-BE49-F238E27FC236}">
                <a16:creationId xmlns:a16="http://schemas.microsoft.com/office/drawing/2014/main" id="{00000000-0008-0000-0200-0000730C0000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8" name="$E$114">
            <a:extLst>
              <a:ext uri="{FF2B5EF4-FFF2-40B4-BE49-F238E27FC236}">
                <a16:creationId xmlns:a16="http://schemas.microsoft.com/office/drawing/2014/main" id="{00000000-0008-0000-0200-0000740C0000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9" name="$E$114">
            <a:extLst>
              <a:ext uri="{FF2B5EF4-FFF2-40B4-BE49-F238E27FC236}">
                <a16:creationId xmlns:a16="http://schemas.microsoft.com/office/drawing/2014/main" id="{00000000-0008-0000-0200-0000750C00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0" name="$E$114">
            <a:extLst>
              <a:ext uri="{FF2B5EF4-FFF2-40B4-BE49-F238E27FC236}">
                <a16:creationId xmlns:a16="http://schemas.microsoft.com/office/drawing/2014/main" id="{00000000-0008-0000-0200-0000760C00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1" name="$E$114">
            <a:extLst>
              <a:ext uri="{FF2B5EF4-FFF2-40B4-BE49-F238E27FC236}">
                <a16:creationId xmlns:a16="http://schemas.microsoft.com/office/drawing/2014/main" id="{00000000-0008-0000-0200-0000770C00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2" name="$E$114">
            <a:extLst>
              <a:ext uri="{FF2B5EF4-FFF2-40B4-BE49-F238E27FC236}">
                <a16:creationId xmlns:a16="http://schemas.microsoft.com/office/drawing/2014/main" id="{00000000-0008-0000-0200-0000780C00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3" name="$E$114">
            <a:extLst>
              <a:ext uri="{FF2B5EF4-FFF2-40B4-BE49-F238E27FC236}">
                <a16:creationId xmlns:a16="http://schemas.microsoft.com/office/drawing/2014/main" id="{00000000-0008-0000-0200-0000790C0000}"/>
              </a:ext>
            </a:extLst>
          </xdr:cNvPr>
          <xdr:cNvSpPr/>
        </xdr:nvSpPr>
        <xdr:spPr>
          <a:xfrm>
            <a:off x="88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4" name="$E$114">
            <a:extLst>
              <a:ext uri="{FF2B5EF4-FFF2-40B4-BE49-F238E27FC236}">
                <a16:creationId xmlns:a16="http://schemas.microsoft.com/office/drawing/2014/main" id="{00000000-0008-0000-0200-00007A0C00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5" name="$E$114">
            <a:extLst>
              <a:ext uri="{FF2B5EF4-FFF2-40B4-BE49-F238E27FC236}">
                <a16:creationId xmlns:a16="http://schemas.microsoft.com/office/drawing/2014/main" id="{00000000-0008-0000-0200-00007B0C0000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6" name="$E$114">
            <a:extLst>
              <a:ext uri="{FF2B5EF4-FFF2-40B4-BE49-F238E27FC236}">
                <a16:creationId xmlns:a16="http://schemas.microsoft.com/office/drawing/2014/main" id="{00000000-0008-0000-0200-00007C0C0000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7" name="$E$114">
            <a:extLst>
              <a:ext uri="{FF2B5EF4-FFF2-40B4-BE49-F238E27FC236}">
                <a16:creationId xmlns:a16="http://schemas.microsoft.com/office/drawing/2014/main" id="{00000000-0008-0000-0200-00007D0C00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8" name="$E$114">
            <a:extLst>
              <a:ext uri="{FF2B5EF4-FFF2-40B4-BE49-F238E27FC236}">
                <a16:creationId xmlns:a16="http://schemas.microsoft.com/office/drawing/2014/main" id="{00000000-0008-0000-0200-00007E0C0000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9" name="$E$114">
            <a:extLst>
              <a:ext uri="{FF2B5EF4-FFF2-40B4-BE49-F238E27FC236}">
                <a16:creationId xmlns:a16="http://schemas.microsoft.com/office/drawing/2014/main" id="{00000000-0008-0000-0200-00007F0C00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0" name="$E$114">
            <a:extLst>
              <a:ext uri="{FF2B5EF4-FFF2-40B4-BE49-F238E27FC236}">
                <a16:creationId xmlns:a16="http://schemas.microsoft.com/office/drawing/2014/main" id="{00000000-0008-0000-0200-0000800C0000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1" name="$E$114">
            <a:extLst>
              <a:ext uri="{FF2B5EF4-FFF2-40B4-BE49-F238E27FC236}">
                <a16:creationId xmlns:a16="http://schemas.microsoft.com/office/drawing/2014/main" id="{00000000-0008-0000-0200-0000810C0000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2" name="$E$114">
            <a:extLst>
              <a:ext uri="{FF2B5EF4-FFF2-40B4-BE49-F238E27FC236}">
                <a16:creationId xmlns:a16="http://schemas.microsoft.com/office/drawing/2014/main" id="{00000000-0008-0000-0200-0000820C0000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3" name="$E$114">
            <a:extLst>
              <a:ext uri="{FF2B5EF4-FFF2-40B4-BE49-F238E27FC236}">
                <a16:creationId xmlns:a16="http://schemas.microsoft.com/office/drawing/2014/main" id="{00000000-0008-0000-0200-0000830C00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4" name="$E$114">
            <a:extLst>
              <a:ext uri="{FF2B5EF4-FFF2-40B4-BE49-F238E27FC236}">
                <a16:creationId xmlns:a16="http://schemas.microsoft.com/office/drawing/2014/main" id="{00000000-0008-0000-0200-0000840C0000}"/>
              </a:ext>
            </a:extLst>
          </xdr:cNvPr>
          <xdr:cNvSpPr/>
        </xdr:nvSpPr>
        <xdr:spPr>
          <a:xfrm>
            <a:off x="38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5" name="$E$114">
            <a:extLst>
              <a:ext uri="{FF2B5EF4-FFF2-40B4-BE49-F238E27FC236}">
                <a16:creationId xmlns:a16="http://schemas.microsoft.com/office/drawing/2014/main" id="{00000000-0008-0000-0200-0000850C0000}"/>
              </a:ext>
            </a:extLst>
          </xdr:cNvPr>
          <xdr:cNvSpPr/>
        </xdr:nvSpPr>
        <xdr:spPr>
          <a:xfrm>
            <a:off x="63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6" name="$E$114">
            <a:extLst>
              <a:ext uri="{FF2B5EF4-FFF2-40B4-BE49-F238E27FC236}">
                <a16:creationId xmlns:a16="http://schemas.microsoft.com/office/drawing/2014/main" id="{00000000-0008-0000-0200-0000860C0000}"/>
              </a:ext>
            </a:extLst>
          </xdr:cNvPr>
          <xdr:cNvSpPr/>
        </xdr:nvSpPr>
        <xdr:spPr>
          <a:xfrm>
            <a:off x="88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7" name="$E$114">
            <a:extLst>
              <a:ext uri="{FF2B5EF4-FFF2-40B4-BE49-F238E27FC236}">
                <a16:creationId xmlns:a16="http://schemas.microsoft.com/office/drawing/2014/main" id="{00000000-0008-0000-0200-0000870C00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8" name="$E$114">
            <a:extLst>
              <a:ext uri="{FF2B5EF4-FFF2-40B4-BE49-F238E27FC236}">
                <a16:creationId xmlns:a16="http://schemas.microsoft.com/office/drawing/2014/main" id="{00000000-0008-0000-0200-0000880C0000}"/>
              </a:ext>
            </a:extLst>
          </xdr:cNvPr>
          <xdr:cNvSpPr/>
        </xdr:nvSpPr>
        <xdr:spPr>
          <a:xfrm>
            <a:off x="114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9" name="$E$114">
            <a:extLst>
              <a:ext uri="{FF2B5EF4-FFF2-40B4-BE49-F238E27FC236}">
                <a16:creationId xmlns:a16="http://schemas.microsoft.com/office/drawing/2014/main" id="{00000000-0008-0000-0200-0000890C0000}"/>
              </a:ext>
            </a:extLst>
          </xdr:cNvPr>
          <xdr:cNvSpPr/>
        </xdr:nvSpPr>
        <xdr:spPr>
          <a:xfrm>
            <a:off x="127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0" name="$E$114">
            <a:extLst>
              <a:ext uri="{FF2B5EF4-FFF2-40B4-BE49-F238E27FC236}">
                <a16:creationId xmlns:a16="http://schemas.microsoft.com/office/drawing/2014/main" id="{00000000-0008-0000-0200-00008A0C00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1" name="$E$114">
            <a:extLst>
              <a:ext uri="{FF2B5EF4-FFF2-40B4-BE49-F238E27FC236}">
                <a16:creationId xmlns:a16="http://schemas.microsoft.com/office/drawing/2014/main" id="{00000000-0008-0000-0200-00008B0C00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2" name="$E$114">
            <a:extLst>
              <a:ext uri="{FF2B5EF4-FFF2-40B4-BE49-F238E27FC236}">
                <a16:creationId xmlns:a16="http://schemas.microsoft.com/office/drawing/2014/main" id="{00000000-0008-0000-0200-00008C0C0000}"/>
              </a:ext>
            </a:extLst>
          </xdr:cNvPr>
          <xdr:cNvSpPr/>
        </xdr:nvSpPr>
        <xdr:spPr>
          <a:xfrm>
            <a:off x="228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3" name="$E$114">
            <a:extLst>
              <a:ext uri="{FF2B5EF4-FFF2-40B4-BE49-F238E27FC236}">
                <a16:creationId xmlns:a16="http://schemas.microsoft.com/office/drawing/2014/main" id="{00000000-0008-0000-0200-00008D0C00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4" name="$E$114">
            <a:extLst>
              <a:ext uri="{FF2B5EF4-FFF2-40B4-BE49-F238E27FC236}">
                <a16:creationId xmlns:a16="http://schemas.microsoft.com/office/drawing/2014/main" id="{00000000-0008-0000-0200-00008E0C0000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5" name="$E$114">
            <a:extLst>
              <a:ext uri="{FF2B5EF4-FFF2-40B4-BE49-F238E27FC236}">
                <a16:creationId xmlns:a16="http://schemas.microsoft.com/office/drawing/2014/main" id="{00000000-0008-0000-0200-00008F0C0000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6" name="$E$114">
            <a:extLst>
              <a:ext uri="{FF2B5EF4-FFF2-40B4-BE49-F238E27FC236}">
                <a16:creationId xmlns:a16="http://schemas.microsoft.com/office/drawing/2014/main" id="{00000000-0008-0000-0200-0000900C00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7" name="$E$114">
            <a:extLst>
              <a:ext uri="{FF2B5EF4-FFF2-40B4-BE49-F238E27FC236}">
                <a16:creationId xmlns:a16="http://schemas.microsoft.com/office/drawing/2014/main" id="{00000000-0008-0000-0200-0000910C0000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8" name="$E$114">
            <a:extLst>
              <a:ext uri="{FF2B5EF4-FFF2-40B4-BE49-F238E27FC236}">
                <a16:creationId xmlns:a16="http://schemas.microsoft.com/office/drawing/2014/main" id="{00000000-0008-0000-0200-0000920C0000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9" name="$E$114">
            <a:extLst>
              <a:ext uri="{FF2B5EF4-FFF2-40B4-BE49-F238E27FC236}">
                <a16:creationId xmlns:a16="http://schemas.microsoft.com/office/drawing/2014/main" id="{00000000-0008-0000-0200-0000930C00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0" name="$E$114">
            <a:extLst>
              <a:ext uri="{FF2B5EF4-FFF2-40B4-BE49-F238E27FC236}">
                <a16:creationId xmlns:a16="http://schemas.microsoft.com/office/drawing/2014/main" id="{00000000-0008-0000-0200-0000940C00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1" name="$E$114">
            <a:extLst>
              <a:ext uri="{FF2B5EF4-FFF2-40B4-BE49-F238E27FC236}">
                <a16:creationId xmlns:a16="http://schemas.microsoft.com/office/drawing/2014/main" id="{00000000-0008-0000-0200-0000950C00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2" name="$E$114">
            <a:extLst>
              <a:ext uri="{FF2B5EF4-FFF2-40B4-BE49-F238E27FC236}">
                <a16:creationId xmlns:a16="http://schemas.microsoft.com/office/drawing/2014/main" id="{00000000-0008-0000-0200-0000960C00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3" name="$E$114">
            <a:extLst>
              <a:ext uri="{FF2B5EF4-FFF2-40B4-BE49-F238E27FC236}">
                <a16:creationId xmlns:a16="http://schemas.microsoft.com/office/drawing/2014/main" id="{00000000-0008-0000-0200-0000970C0000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4" name="$E$114">
            <a:extLst>
              <a:ext uri="{FF2B5EF4-FFF2-40B4-BE49-F238E27FC236}">
                <a16:creationId xmlns:a16="http://schemas.microsoft.com/office/drawing/2014/main" id="{00000000-0008-0000-0200-0000980C00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5" name="$E$114">
            <a:extLst>
              <a:ext uri="{FF2B5EF4-FFF2-40B4-BE49-F238E27FC236}">
                <a16:creationId xmlns:a16="http://schemas.microsoft.com/office/drawing/2014/main" id="{00000000-0008-0000-0200-0000990C0000}"/>
              </a:ext>
            </a:extLst>
          </xdr:cNvPr>
          <xdr:cNvSpPr/>
        </xdr:nvSpPr>
        <xdr:spPr>
          <a:xfrm>
            <a:off x="88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6" name="$E$114">
            <a:extLst>
              <a:ext uri="{FF2B5EF4-FFF2-40B4-BE49-F238E27FC236}">
                <a16:creationId xmlns:a16="http://schemas.microsoft.com/office/drawing/2014/main" id="{00000000-0008-0000-0200-00009A0C0000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7" name="$E$114">
            <a:extLst>
              <a:ext uri="{FF2B5EF4-FFF2-40B4-BE49-F238E27FC236}">
                <a16:creationId xmlns:a16="http://schemas.microsoft.com/office/drawing/2014/main" id="{00000000-0008-0000-0200-00009B0C0000}"/>
              </a:ext>
            </a:extLst>
          </xdr:cNvPr>
          <xdr:cNvSpPr/>
        </xdr:nvSpPr>
        <xdr:spPr>
          <a:xfrm>
            <a:off x="177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8" name="$E$114">
            <a:extLst>
              <a:ext uri="{FF2B5EF4-FFF2-40B4-BE49-F238E27FC236}">
                <a16:creationId xmlns:a16="http://schemas.microsoft.com/office/drawing/2014/main" id="{00000000-0008-0000-0200-00009C0C00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9" name="$E$114">
            <a:extLst>
              <a:ext uri="{FF2B5EF4-FFF2-40B4-BE49-F238E27FC236}">
                <a16:creationId xmlns:a16="http://schemas.microsoft.com/office/drawing/2014/main" id="{00000000-0008-0000-0200-00009D0C00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0" name="$E$114">
            <a:extLst>
              <a:ext uri="{FF2B5EF4-FFF2-40B4-BE49-F238E27FC236}">
                <a16:creationId xmlns:a16="http://schemas.microsoft.com/office/drawing/2014/main" id="{00000000-0008-0000-0200-00009E0C00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1" name="$E$114">
            <a:extLst>
              <a:ext uri="{FF2B5EF4-FFF2-40B4-BE49-F238E27FC236}">
                <a16:creationId xmlns:a16="http://schemas.microsoft.com/office/drawing/2014/main" id="{00000000-0008-0000-0200-00009F0C00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2" name="$E$114">
            <a:extLst>
              <a:ext uri="{FF2B5EF4-FFF2-40B4-BE49-F238E27FC236}">
                <a16:creationId xmlns:a16="http://schemas.microsoft.com/office/drawing/2014/main" id="{00000000-0008-0000-0200-0000A00C00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3" name="$E$114">
            <a:extLst>
              <a:ext uri="{FF2B5EF4-FFF2-40B4-BE49-F238E27FC236}">
                <a16:creationId xmlns:a16="http://schemas.microsoft.com/office/drawing/2014/main" id="{00000000-0008-0000-0200-0000A10C00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4" name="$E$114">
            <a:extLst>
              <a:ext uri="{FF2B5EF4-FFF2-40B4-BE49-F238E27FC236}">
                <a16:creationId xmlns:a16="http://schemas.microsoft.com/office/drawing/2014/main" id="{00000000-0008-0000-0200-0000A20C0000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5" name="$E$114">
            <a:extLst>
              <a:ext uri="{FF2B5EF4-FFF2-40B4-BE49-F238E27FC236}">
                <a16:creationId xmlns:a16="http://schemas.microsoft.com/office/drawing/2014/main" id="{00000000-0008-0000-0200-0000A30C00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6" name="$E$114">
            <a:extLst>
              <a:ext uri="{FF2B5EF4-FFF2-40B4-BE49-F238E27FC236}">
                <a16:creationId xmlns:a16="http://schemas.microsoft.com/office/drawing/2014/main" id="{00000000-0008-0000-0200-0000A40C00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7" name="$E$114">
            <a:extLst>
              <a:ext uri="{FF2B5EF4-FFF2-40B4-BE49-F238E27FC236}">
                <a16:creationId xmlns:a16="http://schemas.microsoft.com/office/drawing/2014/main" id="{00000000-0008-0000-0200-0000A50C00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8" name="$E$114">
            <a:extLst>
              <a:ext uri="{FF2B5EF4-FFF2-40B4-BE49-F238E27FC236}">
                <a16:creationId xmlns:a16="http://schemas.microsoft.com/office/drawing/2014/main" id="{00000000-0008-0000-0200-0000A60C0000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9" name="$E$114">
            <a:extLst>
              <a:ext uri="{FF2B5EF4-FFF2-40B4-BE49-F238E27FC236}">
                <a16:creationId xmlns:a16="http://schemas.microsoft.com/office/drawing/2014/main" id="{00000000-0008-0000-0200-0000A70C00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0" name="$E$114">
            <a:extLst>
              <a:ext uri="{FF2B5EF4-FFF2-40B4-BE49-F238E27FC236}">
                <a16:creationId xmlns:a16="http://schemas.microsoft.com/office/drawing/2014/main" id="{00000000-0008-0000-0200-0000A80C0000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1" name="$E$114">
            <a:extLst>
              <a:ext uri="{FF2B5EF4-FFF2-40B4-BE49-F238E27FC236}">
                <a16:creationId xmlns:a16="http://schemas.microsoft.com/office/drawing/2014/main" id="{00000000-0008-0000-0200-0000A90C0000}"/>
              </a:ext>
            </a:extLst>
          </xdr:cNvPr>
          <xdr:cNvSpPr/>
        </xdr:nvSpPr>
        <xdr:spPr>
          <a:xfrm>
            <a:off x="127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2" name="$E$114">
            <a:extLst>
              <a:ext uri="{FF2B5EF4-FFF2-40B4-BE49-F238E27FC236}">
                <a16:creationId xmlns:a16="http://schemas.microsoft.com/office/drawing/2014/main" id="{00000000-0008-0000-0200-0000AA0C00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3" name="$E$114">
            <a:extLst>
              <a:ext uri="{FF2B5EF4-FFF2-40B4-BE49-F238E27FC236}">
                <a16:creationId xmlns:a16="http://schemas.microsoft.com/office/drawing/2014/main" id="{00000000-0008-0000-0200-0000AB0C0000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4" name="$E$114">
            <a:extLst>
              <a:ext uri="{FF2B5EF4-FFF2-40B4-BE49-F238E27FC236}">
                <a16:creationId xmlns:a16="http://schemas.microsoft.com/office/drawing/2014/main" id="{00000000-0008-0000-0200-0000AC0C00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5" name="$E$114">
            <a:extLst>
              <a:ext uri="{FF2B5EF4-FFF2-40B4-BE49-F238E27FC236}">
                <a16:creationId xmlns:a16="http://schemas.microsoft.com/office/drawing/2014/main" id="{00000000-0008-0000-0200-0000AD0C0000}"/>
              </a:ext>
            </a:extLst>
          </xdr:cNvPr>
          <xdr:cNvSpPr/>
        </xdr:nvSpPr>
        <xdr:spPr>
          <a:xfrm>
            <a:off x="215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6" name="$E$114">
            <a:extLst>
              <a:ext uri="{FF2B5EF4-FFF2-40B4-BE49-F238E27FC236}">
                <a16:creationId xmlns:a16="http://schemas.microsoft.com/office/drawing/2014/main" id="{00000000-0008-0000-0200-0000AE0C00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7" name="$E$114">
            <a:extLst>
              <a:ext uri="{FF2B5EF4-FFF2-40B4-BE49-F238E27FC236}">
                <a16:creationId xmlns:a16="http://schemas.microsoft.com/office/drawing/2014/main" id="{00000000-0008-0000-0200-0000AF0C00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8" name="$E$114">
            <a:extLst>
              <a:ext uri="{FF2B5EF4-FFF2-40B4-BE49-F238E27FC236}">
                <a16:creationId xmlns:a16="http://schemas.microsoft.com/office/drawing/2014/main" id="{00000000-0008-0000-0200-0000B00C00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9" name="$E$114">
            <a:extLst>
              <a:ext uri="{FF2B5EF4-FFF2-40B4-BE49-F238E27FC236}">
                <a16:creationId xmlns:a16="http://schemas.microsoft.com/office/drawing/2014/main" id="{00000000-0008-0000-0200-0000B10C00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0" name="$E$114">
            <a:extLst>
              <a:ext uri="{FF2B5EF4-FFF2-40B4-BE49-F238E27FC236}">
                <a16:creationId xmlns:a16="http://schemas.microsoft.com/office/drawing/2014/main" id="{00000000-0008-0000-0200-0000B20C0000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1" name="$E$114">
            <a:extLst>
              <a:ext uri="{FF2B5EF4-FFF2-40B4-BE49-F238E27FC236}">
                <a16:creationId xmlns:a16="http://schemas.microsoft.com/office/drawing/2014/main" id="{00000000-0008-0000-0200-0000B30C0000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2" name="$E$114">
            <a:extLst>
              <a:ext uri="{FF2B5EF4-FFF2-40B4-BE49-F238E27FC236}">
                <a16:creationId xmlns:a16="http://schemas.microsoft.com/office/drawing/2014/main" id="{00000000-0008-0000-0200-0000B40C0000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3" name="$E$114">
            <a:extLst>
              <a:ext uri="{FF2B5EF4-FFF2-40B4-BE49-F238E27FC236}">
                <a16:creationId xmlns:a16="http://schemas.microsoft.com/office/drawing/2014/main" id="{00000000-0008-0000-0200-0000B50C0000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4" name="$E$114">
            <a:extLst>
              <a:ext uri="{FF2B5EF4-FFF2-40B4-BE49-F238E27FC236}">
                <a16:creationId xmlns:a16="http://schemas.microsoft.com/office/drawing/2014/main" id="{00000000-0008-0000-0200-0000B60C0000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5" name="$E$114">
            <a:extLst>
              <a:ext uri="{FF2B5EF4-FFF2-40B4-BE49-F238E27FC236}">
                <a16:creationId xmlns:a16="http://schemas.microsoft.com/office/drawing/2014/main" id="{00000000-0008-0000-0200-0000B70C00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6" name="$E$114">
            <a:extLst>
              <a:ext uri="{FF2B5EF4-FFF2-40B4-BE49-F238E27FC236}">
                <a16:creationId xmlns:a16="http://schemas.microsoft.com/office/drawing/2014/main" id="{00000000-0008-0000-0200-0000B80C0000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7" name="$E$114">
            <a:extLst>
              <a:ext uri="{FF2B5EF4-FFF2-40B4-BE49-F238E27FC236}">
                <a16:creationId xmlns:a16="http://schemas.microsoft.com/office/drawing/2014/main" id="{00000000-0008-0000-0200-0000B90C00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8" name="$E$114">
            <a:extLst>
              <a:ext uri="{FF2B5EF4-FFF2-40B4-BE49-F238E27FC236}">
                <a16:creationId xmlns:a16="http://schemas.microsoft.com/office/drawing/2014/main" id="{00000000-0008-0000-0200-0000BA0C00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9" name="$E$114">
            <a:extLst>
              <a:ext uri="{FF2B5EF4-FFF2-40B4-BE49-F238E27FC236}">
                <a16:creationId xmlns:a16="http://schemas.microsoft.com/office/drawing/2014/main" id="{00000000-0008-0000-0200-0000BB0C00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0" name="$E$114">
            <a:extLst>
              <a:ext uri="{FF2B5EF4-FFF2-40B4-BE49-F238E27FC236}">
                <a16:creationId xmlns:a16="http://schemas.microsoft.com/office/drawing/2014/main" id="{00000000-0008-0000-0200-0000BC0C0000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1" name="$E$114">
            <a:extLst>
              <a:ext uri="{FF2B5EF4-FFF2-40B4-BE49-F238E27FC236}">
                <a16:creationId xmlns:a16="http://schemas.microsoft.com/office/drawing/2014/main" id="{00000000-0008-0000-0200-0000BD0C00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2" name="$E$114">
            <a:extLst>
              <a:ext uri="{FF2B5EF4-FFF2-40B4-BE49-F238E27FC236}">
                <a16:creationId xmlns:a16="http://schemas.microsoft.com/office/drawing/2014/main" id="{00000000-0008-0000-0200-0000BE0C0000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3" name="$E$114">
            <a:extLst>
              <a:ext uri="{FF2B5EF4-FFF2-40B4-BE49-F238E27FC236}">
                <a16:creationId xmlns:a16="http://schemas.microsoft.com/office/drawing/2014/main" id="{00000000-0008-0000-0200-0000BF0C00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4" name="$E$114">
            <a:extLst>
              <a:ext uri="{FF2B5EF4-FFF2-40B4-BE49-F238E27FC236}">
                <a16:creationId xmlns:a16="http://schemas.microsoft.com/office/drawing/2014/main" id="{00000000-0008-0000-0200-0000C00C00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5" name="$E$114">
            <a:extLst>
              <a:ext uri="{FF2B5EF4-FFF2-40B4-BE49-F238E27FC236}">
                <a16:creationId xmlns:a16="http://schemas.microsoft.com/office/drawing/2014/main" id="{00000000-0008-0000-0200-0000C10C00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6" name="$E$114">
            <a:extLst>
              <a:ext uri="{FF2B5EF4-FFF2-40B4-BE49-F238E27FC236}">
                <a16:creationId xmlns:a16="http://schemas.microsoft.com/office/drawing/2014/main" id="{00000000-0008-0000-0200-0000C20C0000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7" name="$E$114">
            <a:extLst>
              <a:ext uri="{FF2B5EF4-FFF2-40B4-BE49-F238E27FC236}">
                <a16:creationId xmlns:a16="http://schemas.microsoft.com/office/drawing/2014/main" id="{00000000-0008-0000-0200-0000C30C00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8" name="$E$114">
            <a:extLst>
              <a:ext uri="{FF2B5EF4-FFF2-40B4-BE49-F238E27FC236}">
                <a16:creationId xmlns:a16="http://schemas.microsoft.com/office/drawing/2014/main" id="{00000000-0008-0000-0200-0000C40C0000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9" name="$E$114">
            <a:extLst>
              <a:ext uri="{FF2B5EF4-FFF2-40B4-BE49-F238E27FC236}">
                <a16:creationId xmlns:a16="http://schemas.microsoft.com/office/drawing/2014/main" id="{00000000-0008-0000-0200-0000C50C00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0" name="$E$114">
            <a:extLst>
              <a:ext uri="{FF2B5EF4-FFF2-40B4-BE49-F238E27FC236}">
                <a16:creationId xmlns:a16="http://schemas.microsoft.com/office/drawing/2014/main" id="{00000000-0008-0000-0200-0000C60C0000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1" name="$E$114">
            <a:extLst>
              <a:ext uri="{FF2B5EF4-FFF2-40B4-BE49-F238E27FC236}">
                <a16:creationId xmlns:a16="http://schemas.microsoft.com/office/drawing/2014/main" id="{00000000-0008-0000-0200-0000C70C00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2" name="$E$114">
            <a:extLst>
              <a:ext uri="{FF2B5EF4-FFF2-40B4-BE49-F238E27FC236}">
                <a16:creationId xmlns:a16="http://schemas.microsoft.com/office/drawing/2014/main" id="{00000000-0008-0000-0200-0000C80C00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3" name="$E$114">
            <a:extLst>
              <a:ext uri="{FF2B5EF4-FFF2-40B4-BE49-F238E27FC236}">
                <a16:creationId xmlns:a16="http://schemas.microsoft.com/office/drawing/2014/main" id="{00000000-0008-0000-0200-0000C90C0000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4" name="$E$114">
            <a:extLst>
              <a:ext uri="{FF2B5EF4-FFF2-40B4-BE49-F238E27FC236}">
                <a16:creationId xmlns:a16="http://schemas.microsoft.com/office/drawing/2014/main" id="{00000000-0008-0000-0200-0000CA0C0000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5" name="$E$114">
            <a:extLst>
              <a:ext uri="{FF2B5EF4-FFF2-40B4-BE49-F238E27FC236}">
                <a16:creationId xmlns:a16="http://schemas.microsoft.com/office/drawing/2014/main" id="{00000000-0008-0000-0200-0000CB0C00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6" name="$E$114">
            <a:extLst>
              <a:ext uri="{FF2B5EF4-FFF2-40B4-BE49-F238E27FC236}">
                <a16:creationId xmlns:a16="http://schemas.microsoft.com/office/drawing/2014/main" id="{00000000-0008-0000-0200-0000CC0C00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7" name="$E$114">
            <a:extLst>
              <a:ext uri="{FF2B5EF4-FFF2-40B4-BE49-F238E27FC236}">
                <a16:creationId xmlns:a16="http://schemas.microsoft.com/office/drawing/2014/main" id="{00000000-0008-0000-0200-0000CD0C0000}"/>
              </a:ext>
            </a:extLst>
          </xdr:cNvPr>
          <xdr:cNvSpPr/>
        </xdr:nvSpPr>
        <xdr:spPr>
          <a:xfrm>
            <a:off x="114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8" name="$E$114">
            <a:extLst>
              <a:ext uri="{FF2B5EF4-FFF2-40B4-BE49-F238E27FC236}">
                <a16:creationId xmlns:a16="http://schemas.microsoft.com/office/drawing/2014/main" id="{00000000-0008-0000-0200-0000CE0C00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9" name="$E$114">
            <a:extLst>
              <a:ext uri="{FF2B5EF4-FFF2-40B4-BE49-F238E27FC236}">
                <a16:creationId xmlns:a16="http://schemas.microsoft.com/office/drawing/2014/main" id="{00000000-0008-0000-0200-0000CF0C00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0" name="$E$114">
            <a:extLst>
              <a:ext uri="{FF2B5EF4-FFF2-40B4-BE49-F238E27FC236}">
                <a16:creationId xmlns:a16="http://schemas.microsoft.com/office/drawing/2014/main" id="{00000000-0008-0000-0200-0000D00C00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1" name="$E$114">
            <a:extLst>
              <a:ext uri="{FF2B5EF4-FFF2-40B4-BE49-F238E27FC236}">
                <a16:creationId xmlns:a16="http://schemas.microsoft.com/office/drawing/2014/main" id="{00000000-0008-0000-0200-0000D10C0000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2" name="$E$114">
            <a:extLst>
              <a:ext uri="{FF2B5EF4-FFF2-40B4-BE49-F238E27FC236}">
                <a16:creationId xmlns:a16="http://schemas.microsoft.com/office/drawing/2014/main" id="{00000000-0008-0000-0200-0000D20C00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3" name="$E$114">
            <a:extLst>
              <a:ext uri="{FF2B5EF4-FFF2-40B4-BE49-F238E27FC236}">
                <a16:creationId xmlns:a16="http://schemas.microsoft.com/office/drawing/2014/main" id="{00000000-0008-0000-0200-0000D30C0000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4" name="$E$114">
            <a:extLst>
              <a:ext uri="{FF2B5EF4-FFF2-40B4-BE49-F238E27FC236}">
                <a16:creationId xmlns:a16="http://schemas.microsoft.com/office/drawing/2014/main" id="{00000000-0008-0000-0200-0000D40C0000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5" name="$E$114">
            <a:extLst>
              <a:ext uri="{FF2B5EF4-FFF2-40B4-BE49-F238E27FC236}">
                <a16:creationId xmlns:a16="http://schemas.microsoft.com/office/drawing/2014/main" id="{00000000-0008-0000-0200-0000D50C0000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6" name="$E$114">
            <a:extLst>
              <a:ext uri="{FF2B5EF4-FFF2-40B4-BE49-F238E27FC236}">
                <a16:creationId xmlns:a16="http://schemas.microsoft.com/office/drawing/2014/main" id="{00000000-0008-0000-0200-0000D60C0000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7" name="$E$114">
            <a:extLst>
              <a:ext uri="{FF2B5EF4-FFF2-40B4-BE49-F238E27FC236}">
                <a16:creationId xmlns:a16="http://schemas.microsoft.com/office/drawing/2014/main" id="{00000000-0008-0000-0200-0000D70C0000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8" name="$E$114">
            <a:extLst>
              <a:ext uri="{FF2B5EF4-FFF2-40B4-BE49-F238E27FC236}">
                <a16:creationId xmlns:a16="http://schemas.microsoft.com/office/drawing/2014/main" id="{00000000-0008-0000-0200-0000D80C0000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9" name="$E$114">
            <a:extLst>
              <a:ext uri="{FF2B5EF4-FFF2-40B4-BE49-F238E27FC236}">
                <a16:creationId xmlns:a16="http://schemas.microsoft.com/office/drawing/2014/main" id="{00000000-0008-0000-0200-0000D90C0000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0" name="$E$114">
            <a:extLst>
              <a:ext uri="{FF2B5EF4-FFF2-40B4-BE49-F238E27FC236}">
                <a16:creationId xmlns:a16="http://schemas.microsoft.com/office/drawing/2014/main" id="{00000000-0008-0000-0200-0000DA0C00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1" name="$E$114">
            <a:extLst>
              <a:ext uri="{FF2B5EF4-FFF2-40B4-BE49-F238E27FC236}">
                <a16:creationId xmlns:a16="http://schemas.microsoft.com/office/drawing/2014/main" id="{00000000-0008-0000-0200-0000DB0C00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2" name="$E$114">
            <a:extLst>
              <a:ext uri="{FF2B5EF4-FFF2-40B4-BE49-F238E27FC236}">
                <a16:creationId xmlns:a16="http://schemas.microsoft.com/office/drawing/2014/main" id="{00000000-0008-0000-0200-0000DC0C00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3" name="$E$114">
            <a:extLst>
              <a:ext uri="{FF2B5EF4-FFF2-40B4-BE49-F238E27FC236}">
                <a16:creationId xmlns:a16="http://schemas.microsoft.com/office/drawing/2014/main" id="{00000000-0008-0000-0200-0000DD0C00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4" name="$E$114">
            <a:extLst>
              <a:ext uri="{FF2B5EF4-FFF2-40B4-BE49-F238E27FC236}">
                <a16:creationId xmlns:a16="http://schemas.microsoft.com/office/drawing/2014/main" id="{00000000-0008-0000-0200-0000DE0C00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5" name="$E$114">
            <a:extLst>
              <a:ext uri="{FF2B5EF4-FFF2-40B4-BE49-F238E27FC236}">
                <a16:creationId xmlns:a16="http://schemas.microsoft.com/office/drawing/2014/main" id="{00000000-0008-0000-0200-0000DF0C00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6" name="$E$114">
            <a:extLst>
              <a:ext uri="{FF2B5EF4-FFF2-40B4-BE49-F238E27FC236}">
                <a16:creationId xmlns:a16="http://schemas.microsoft.com/office/drawing/2014/main" id="{00000000-0008-0000-0200-0000E00C00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7" name="$E$114">
            <a:extLst>
              <a:ext uri="{FF2B5EF4-FFF2-40B4-BE49-F238E27FC236}">
                <a16:creationId xmlns:a16="http://schemas.microsoft.com/office/drawing/2014/main" id="{00000000-0008-0000-0200-0000E10C00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8" name="$E$114">
            <a:extLst>
              <a:ext uri="{FF2B5EF4-FFF2-40B4-BE49-F238E27FC236}">
                <a16:creationId xmlns:a16="http://schemas.microsoft.com/office/drawing/2014/main" id="{00000000-0008-0000-0200-0000E20C00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9" name="$E$114">
            <a:extLst>
              <a:ext uri="{FF2B5EF4-FFF2-40B4-BE49-F238E27FC236}">
                <a16:creationId xmlns:a16="http://schemas.microsoft.com/office/drawing/2014/main" id="{00000000-0008-0000-0200-0000E30C00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0" name="$E$114">
            <a:extLst>
              <a:ext uri="{FF2B5EF4-FFF2-40B4-BE49-F238E27FC236}">
                <a16:creationId xmlns:a16="http://schemas.microsoft.com/office/drawing/2014/main" id="{00000000-0008-0000-0200-0000E40C00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1" name="$E$114">
            <a:extLst>
              <a:ext uri="{FF2B5EF4-FFF2-40B4-BE49-F238E27FC236}">
                <a16:creationId xmlns:a16="http://schemas.microsoft.com/office/drawing/2014/main" id="{00000000-0008-0000-0200-0000E50C0000}"/>
              </a:ext>
            </a:extLst>
          </xdr:cNvPr>
          <xdr:cNvSpPr/>
        </xdr:nvSpPr>
        <xdr:spPr>
          <a:xfrm>
            <a:off x="177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2" name="$E$114">
            <a:extLst>
              <a:ext uri="{FF2B5EF4-FFF2-40B4-BE49-F238E27FC236}">
                <a16:creationId xmlns:a16="http://schemas.microsoft.com/office/drawing/2014/main" id="{00000000-0008-0000-0200-0000E60C0000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3" name="$E$114">
            <a:extLst>
              <a:ext uri="{FF2B5EF4-FFF2-40B4-BE49-F238E27FC236}">
                <a16:creationId xmlns:a16="http://schemas.microsoft.com/office/drawing/2014/main" id="{00000000-0008-0000-0200-0000E70C00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4" name="$E$114">
            <a:extLst>
              <a:ext uri="{FF2B5EF4-FFF2-40B4-BE49-F238E27FC236}">
                <a16:creationId xmlns:a16="http://schemas.microsoft.com/office/drawing/2014/main" id="{00000000-0008-0000-0200-0000E80C00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5" name="$E$114">
            <a:extLst>
              <a:ext uri="{FF2B5EF4-FFF2-40B4-BE49-F238E27FC236}">
                <a16:creationId xmlns:a16="http://schemas.microsoft.com/office/drawing/2014/main" id="{00000000-0008-0000-0200-0000E90C00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6" name="$E$114">
            <a:extLst>
              <a:ext uri="{FF2B5EF4-FFF2-40B4-BE49-F238E27FC236}">
                <a16:creationId xmlns:a16="http://schemas.microsoft.com/office/drawing/2014/main" id="{00000000-0008-0000-0200-0000EA0C00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7" name="$E$114">
            <a:extLst>
              <a:ext uri="{FF2B5EF4-FFF2-40B4-BE49-F238E27FC236}">
                <a16:creationId xmlns:a16="http://schemas.microsoft.com/office/drawing/2014/main" id="{00000000-0008-0000-0200-0000EB0C0000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8" name="$E$114">
            <a:extLst>
              <a:ext uri="{FF2B5EF4-FFF2-40B4-BE49-F238E27FC236}">
                <a16:creationId xmlns:a16="http://schemas.microsoft.com/office/drawing/2014/main" id="{00000000-0008-0000-0200-0000EC0C00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9" name="$E$114">
            <a:extLst>
              <a:ext uri="{FF2B5EF4-FFF2-40B4-BE49-F238E27FC236}">
                <a16:creationId xmlns:a16="http://schemas.microsoft.com/office/drawing/2014/main" id="{00000000-0008-0000-0200-0000ED0C0000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0" name="$E$114">
            <a:extLst>
              <a:ext uri="{FF2B5EF4-FFF2-40B4-BE49-F238E27FC236}">
                <a16:creationId xmlns:a16="http://schemas.microsoft.com/office/drawing/2014/main" id="{00000000-0008-0000-0200-0000EE0C0000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1" name="$E$114">
            <a:extLst>
              <a:ext uri="{FF2B5EF4-FFF2-40B4-BE49-F238E27FC236}">
                <a16:creationId xmlns:a16="http://schemas.microsoft.com/office/drawing/2014/main" id="{00000000-0008-0000-0200-0000EF0C0000}"/>
              </a:ext>
            </a:extLst>
          </xdr:cNvPr>
          <xdr:cNvSpPr/>
        </xdr:nvSpPr>
        <xdr:spPr>
          <a:xfrm>
            <a:off x="406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2" name="$E$114">
            <a:extLst>
              <a:ext uri="{FF2B5EF4-FFF2-40B4-BE49-F238E27FC236}">
                <a16:creationId xmlns:a16="http://schemas.microsoft.com/office/drawing/2014/main" id="{00000000-0008-0000-0200-0000F00C0000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3" name="$E$114">
            <a:extLst>
              <a:ext uri="{FF2B5EF4-FFF2-40B4-BE49-F238E27FC236}">
                <a16:creationId xmlns:a16="http://schemas.microsoft.com/office/drawing/2014/main" id="{00000000-0008-0000-0200-0000F10C0000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4" name="$E$114">
            <a:extLst>
              <a:ext uri="{FF2B5EF4-FFF2-40B4-BE49-F238E27FC236}">
                <a16:creationId xmlns:a16="http://schemas.microsoft.com/office/drawing/2014/main" id="{00000000-0008-0000-0200-0000F20C0000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5" name="$E$114">
            <a:extLst>
              <a:ext uri="{FF2B5EF4-FFF2-40B4-BE49-F238E27FC236}">
                <a16:creationId xmlns:a16="http://schemas.microsoft.com/office/drawing/2014/main" id="{00000000-0008-0000-0200-0000F30C0000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6" name="$E$114">
            <a:extLst>
              <a:ext uri="{FF2B5EF4-FFF2-40B4-BE49-F238E27FC236}">
                <a16:creationId xmlns:a16="http://schemas.microsoft.com/office/drawing/2014/main" id="{00000000-0008-0000-0200-0000F40C0000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7" name="$E$114">
            <a:extLst>
              <a:ext uri="{FF2B5EF4-FFF2-40B4-BE49-F238E27FC236}">
                <a16:creationId xmlns:a16="http://schemas.microsoft.com/office/drawing/2014/main" id="{00000000-0008-0000-0200-0000F50C0000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8" name="$E$114">
            <a:extLst>
              <a:ext uri="{FF2B5EF4-FFF2-40B4-BE49-F238E27FC236}">
                <a16:creationId xmlns:a16="http://schemas.microsoft.com/office/drawing/2014/main" id="{00000000-0008-0000-0200-0000F60C0000}"/>
              </a:ext>
            </a:extLst>
          </xdr:cNvPr>
          <xdr:cNvSpPr/>
        </xdr:nvSpPr>
        <xdr:spPr>
          <a:xfrm>
            <a:off x="114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9" name="$E$114">
            <a:extLst>
              <a:ext uri="{FF2B5EF4-FFF2-40B4-BE49-F238E27FC236}">
                <a16:creationId xmlns:a16="http://schemas.microsoft.com/office/drawing/2014/main" id="{00000000-0008-0000-0200-0000F70C0000}"/>
              </a:ext>
            </a:extLst>
          </xdr:cNvPr>
          <xdr:cNvSpPr/>
        </xdr:nvSpPr>
        <xdr:spPr>
          <a:xfrm>
            <a:off x="139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0" name="$E$114">
            <a:extLst>
              <a:ext uri="{FF2B5EF4-FFF2-40B4-BE49-F238E27FC236}">
                <a16:creationId xmlns:a16="http://schemas.microsoft.com/office/drawing/2014/main" id="{00000000-0008-0000-0200-0000F80C0000}"/>
              </a:ext>
            </a:extLst>
          </xdr:cNvPr>
          <xdr:cNvSpPr/>
        </xdr:nvSpPr>
        <xdr:spPr>
          <a:xfrm>
            <a:off x="152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1" name="$E$114">
            <a:extLst>
              <a:ext uri="{FF2B5EF4-FFF2-40B4-BE49-F238E27FC236}">
                <a16:creationId xmlns:a16="http://schemas.microsoft.com/office/drawing/2014/main" id="{00000000-0008-0000-0200-0000F90C0000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2" name="$E$114">
            <a:extLst>
              <a:ext uri="{FF2B5EF4-FFF2-40B4-BE49-F238E27FC236}">
                <a16:creationId xmlns:a16="http://schemas.microsoft.com/office/drawing/2014/main" id="{00000000-0008-0000-0200-0000FA0C0000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3" name="$E$114">
            <a:extLst>
              <a:ext uri="{FF2B5EF4-FFF2-40B4-BE49-F238E27FC236}">
                <a16:creationId xmlns:a16="http://schemas.microsoft.com/office/drawing/2014/main" id="{00000000-0008-0000-0200-0000FB0C0000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4" name="$E$114">
            <a:extLst>
              <a:ext uri="{FF2B5EF4-FFF2-40B4-BE49-F238E27FC236}">
                <a16:creationId xmlns:a16="http://schemas.microsoft.com/office/drawing/2014/main" id="{00000000-0008-0000-0200-0000FC0C0000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5" name="$E$114">
            <a:extLst>
              <a:ext uri="{FF2B5EF4-FFF2-40B4-BE49-F238E27FC236}">
                <a16:creationId xmlns:a16="http://schemas.microsoft.com/office/drawing/2014/main" id="{00000000-0008-0000-0200-0000FD0C0000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6" name="$E$114">
            <a:extLst>
              <a:ext uri="{FF2B5EF4-FFF2-40B4-BE49-F238E27FC236}">
                <a16:creationId xmlns:a16="http://schemas.microsoft.com/office/drawing/2014/main" id="{00000000-0008-0000-0200-0000FE0C0000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7" name="$E$114">
            <a:extLst>
              <a:ext uri="{FF2B5EF4-FFF2-40B4-BE49-F238E27FC236}">
                <a16:creationId xmlns:a16="http://schemas.microsoft.com/office/drawing/2014/main" id="{00000000-0008-0000-0200-0000FF0C0000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8" name="$E$114">
            <a:extLst>
              <a:ext uri="{FF2B5EF4-FFF2-40B4-BE49-F238E27FC236}">
                <a16:creationId xmlns:a16="http://schemas.microsoft.com/office/drawing/2014/main" id="{00000000-0008-0000-0200-0000000D0000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9" name="$E$114">
            <a:extLst>
              <a:ext uri="{FF2B5EF4-FFF2-40B4-BE49-F238E27FC236}">
                <a16:creationId xmlns:a16="http://schemas.microsoft.com/office/drawing/2014/main" id="{00000000-0008-0000-0200-0000010D0000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0" name="$E$114">
            <a:extLst>
              <a:ext uri="{FF2B5EF4-FFF2-40B4-BE49-F238E27FC236}">
                <a16:creationId xmlns:a16="http://schemas.microsoft.com/office/drawing/2014/main" id="{00000000-0008-0000-0200-0000020D0000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1" name="$E$114">
            <a:extLst>
              <a:ext uri="{FF2B5EF4-FFF2-40B4-BE49-F238E27FC236}">
                <a16:creationId xmlns:a16="http://schemas.microsoft.com/office/drawing/2014/main" id="{00000000-0008-0000-0200-0000030D0000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2" name="$E$114">
            <a:extLst>
              <a:ext uri="{FF2B5EF4-FFF2-40B4-BE49-F238E27FC236}">
                <a16:creationId xmlns:a16="http://schemas.microsoft.com/office/drawing/2014/main" id="{00000000-0008-0000-0200-0000040D0000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3" name="$E$114">
            <a:extLst>
              <a:ext uri="{FF2B5EF4-FFF2-40B4-BE49-F238E27FC236}">
                <a16:creationId xmlns:a16="http://schemas.microsoft.com/office/drawing/2014/main" id="{00000000-0008-0000-0200-0000050D0000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4" name="$E$114">
            <a:extLst>
              <a:ext uri="{FF2B5EF4-FFF2-40B4-BE49-F238E27FC236}">
                <a16:creationId xmlns:a16="http://schemas.microsoft.com/office/drawing/2014/main" id="{00000000-0008-0000-0200-0000060D0000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5" name="$E$114">
            <a:extLst>
              <a:ext uri="{FF2B5EF4-FFF2-40B4-BE49-F238E27FC236}">
                <a16:creationId xmlns:a16="http://schemas.microsoft.com/office/drawing/2014/main" id="{00000000-0008-0000-0200-0000070D0000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6" name="$E$114">
            <a:extLst>
              <a:ext uri="{FF2B5EF4-FFF2-40B4-BE49-F238E27FC236}">
                <a16:creationId xmlns:a16="http://schemas.microsoft.com/office/drawing/2014/main" id="{00000000-0008-0000-0200-0000080D0000}"/>
              </a:ext>
            </a:extLst>
          </xdr:cNvPr>
          <xdr:cNvSpPr/>
        </xdr:nvSpPr>
        <xdr:spPr>
          <a:xfrm>
            <a:off x="114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7" name="$E$114">
            <a:extLst>
              <a:ext uri="{FF2B5EF4-FFF2-40B4-BE49-F238E27FC236}">
                <a16:creationId xmlns:a16="http://schemas.microsoft.com/office/drawing/2014/main" id="{00000000-0008-0000-0200-0000090D0000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8" name="$E$114">
            <a:extLst>
              <a:ext uri="{FF2B5EF4-FFF2-40B4-BE49-F238E27FC236}">
                <a16:creationId xmlns:a16="http://schemas.microsoft.com/office/drawing/2014/main" id="{00000000-0008-0000-0200-00000A0D0000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9" name="$E$114">
            <a:extLst>
              <a:ext uri="{FF2B5EF4-FFF2-40B4-BE49-F238E27FC236}">
                <a16:creationId xmlns:a16="http://schemas.microsoft.com/office/drawing/2014/main" id="{00000000-0008-0000-0200-00000B0D0000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0" name="$E$114">
            <a:extLst>
              <a:ext uri="{FF2B5EF4-FFF2-40B4-BE49-F238E27FC236}">
                <a16:creationId xmlns:a16="http://schemas.microsoft.com/office/drawing/2014/main" id="{00000000-0008-0000-0200-00000C0D0000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1" name="$E$114">
            <a:extLst>
              <a:ext uri="{FF2B5EF4-FFF2-40B4-BE49-F238E27FC236}">
                <a16:creationId xmlns:a16="http://schemas.microsoft.com/office/drawing/2014/main" id="{00000000-0008-0000-0200-00000D0D0000}"/>
              </a:ext>
            </a:extLst>
          </xdr:cNvPr>
          <xdr:cNvSpPr/>
        </xdr:nvSpPr>
        <xdr:spPr>
          <a:xfrm>
            <a:off x="2159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2" name="$E$114">
            <a:extLst>
              <a:ext uri="{FF2B5EF4-FFF2-40B4-BE49-F238E27FC236}">
                <a16:creationId xmlns:a16="http://schemas.microsoft.com/office/drawing/2014/main" id="{00000000-0008-0000-0200-00000E0D0000}"/>
              </a:ext>
            </a:extLst>
          </xdr:cNvPr>
          <xdr:cNvSpPr/>
        </xdr:nvSpPr>
        <xdr:spPr>
          <a:xfrm>
            <a:off x="228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3" name="$E$114">
            <a:extLst>
              <a:ext uri="{FF2B5EF4-FFF2-40B4-BE49-F238E27FC236}">
                <a16:creationId xmlns:a16="http://schemas.microsoft.com/office/drawing/2014/main" id="{00000000-0008-0000-0200-00000F0D0000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4" name="$E$114">
            <a:extLst>
              <a:ext uri="{FF2B5EF4-FFF2-40B4-BE49-F238E27FC236}">
                <a16:creationId xmlns:a16="http://schemas.microsoft.com/office/drawing/2014/main" id="{00000000-0008-0000-0200-0000100D0000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5" name="$E$114">
            <a:extLst>
              <a:ext uri="{FF2B5EF4-FFF2-40B4-BE49-F238E27FC236}">
                <a16:creationId xmlns:a16="http://schemas.microsoft.com/office/drawing/2014/main" id="{00000000-0008-0000-0200-0000110D0000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6" name="$E$114">
            <a:extLst>
              <a:ext uri="{FF2B5EF4-FFF2-40B4-BE49-F238E27FC236}">
                <a16:creationId xmlns:a16="http://schemas.microsoft.com/office/drawing/2014/main" id="{00000000-0008-0000-0200-0000120D0000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7" name="$E$114">
            <a:extLst>
              <a:ext uri="{FF2B5EF4-FFF2-40B4-BE49-F238E27FC236}">
                <a16:creationId xmlns:a16="http://schemas.microsoft.com/office/drawing/2014/main" id="{00000000-0008-0000-0200-0000130D0000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8" name="$E$114">
            <a:extLst>
              <a:ext uri="{FF2B5EF4-FFF2-40B4-BE49-F238E27FC236}">
                <a16:creationId xmlns:a16="http://schemas.microsoft.com/office/drawing/2014/main" id="{00000000-0008-0000-0200-0000140D0000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9" name="$E$114">
            <a:extLst>
              <a:ext uri="{FF2B5EF4-FFF2-40B4-BE49-F238E27FC236}">
                <a16:creationId xmlns:a16="http://schemas.microsoft.com/office/drawing/2014/main" id="{00000000-0008-0000-0200-0000150D0000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0" name="$E$114">
            <a:extLst>
              <a:ext uri="{FF2B5EF4-FFF2-40B4-BE49-F238E27FC236}">
                <a16:creationId xmlns:a16="http://schemas.microsoft.com/office/drawing/2014/main" id="{00000000-0008-0000-0200-0000160D0000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1" name="$E$114">
            <a:extLst>
              <a:ext uri="{FF2B5EF4-FFF2-40B4-BE49-F238E27FC236}">
                <a16:creationId xmlns:a16="http://schemas.microsoft.com/office/drawing/2014/main" id="{00000000-0008-0000-0200-0000170D0000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2" name="$E$114">
            <a:extLst>
              <a:ext uri="{FF2B5EF4-FFF2-40B4-BE49-F238E27FC236}">
                <a16:creationId xmlns:a16="http://schemas.microsoft.com/office/drawing/2014/main" id="{00000000-0008-0000-0200-0000180D0000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3" name="$E$114">
            <a:extLst>
              <a:ext uri="{FF2B5EF4-FFF2-40B4-BE49-F238E27FC236}">
                <a16:creationId xmlns:a16="http://schemas.microsoft.com/office/drawing/2014/main" id="{00000000-0008-0000-0200-0000190D0000}"/>
              </a:ext>
            </a:extLst>
          </xdr:cNvPr>
          <xdr:cNvSpPr/>
        </xdr:nvSpPr>
        <xdr:spPr>
          <a:xfrm>
            <a:off x="127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4" name="$E$114">
            <a:extLst>
              <a:ext uri="{FF2B5EF4-FFF2-40B4-BE49-F238E27FC236}">
                <a16:creationId xmlns:a16="http://schemas.microsoft.com/office/drawing/2014/main" id="{00000000-0008-0000-0200-00001A0D0000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5" name="$E$114">
            <a:extLst>
              <a:ext uri="{FF2B5EF4-FFF2-40B4-BE49-F238E27FC236}">
                <a16:creationId xmlns:a16="http://schemas.microsoft.com/office/drawing/2014/main" id="{00000000-0008-0000-0200-00001B0D0000}"/>
              </a:ext>
            </a:extLst>
          </xdr:cNvPr>
          <xdr:cNvSpPr/>
        </xdr:nvSpPr>
        <xdr:spPr>
          <a:xfrm>
            <a:off x="152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6" name="$E$114">
            <a:extLst>
              <a:ext uri="{FF2B5EF4-FFF2-40B4-BE49-F238E27FC236}">
                <a16:creationId xmlns:a16="http://schemas.microsoft.com/office/drawing/2014/main" id="{00000000-0008-0000-0200-00001C0D0000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7" name="$E$114">
            <a:extLst>
              <a:ext uri="{FF2B5EF4-FFF2-40B4-BE49-F238E27FC236}">
                <a16:creationId xmlns:a16="http://schemas.microsoft.com/office/drawing/2014/main" id="{00000000-0008-0000-0200-00001D0D0000}"/>
              </a:ext>
            </a:extLst>
          </xdr:cNvPr>
          <xdr:cNvSpPr/>
        </xdr:nvSpPr>
        <xdr:spPr>
          <a:xfrm>
            <a:off x="190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8" name="$E$114">
            <a:extLst>
              <a:ext uri="{FF2B5EF4-FFF2-40B4-BE49-F238E27FC236}">
                <a16:creationId xmlns:a16="http://schemas.microsoft.com/office/drawing/2014/main" id="{00000000-0008-0000-0200-00001E0D0000}"/>
              </a:ext>
            </a:extLst>
          </xdr:cNvPr>
          <xdr:cNvSpPr/>
        </xdr:nvSpPr>
        <xdr:spPr>
          <a:xfrm>
            <a:off x="203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9" name="$E$114">
            <a:extLst>
              <a:ext uri="{FF2B5EF4-FFF2-40B4-BE49-F238E27FC236}">
                <a16:creationId xmlns:a16="http://schemas.microsoft.com/office/drawing/2014/main" id="{00000000-0008-0000-0200-00001F0D0000}"/>
              </a:ext>
            </a:extLst>
          </xdr:cNvPr>
          <xdr:cNvSpPr/>
        </xdr:nvSpPr>
        <xdr:spPr>
          <a:xfrm>
            <a:off x="228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0" name="$E$114">
            <a:extLst>
              <a:ext uri="{FF2B5EF4-FFF2-40B4-BE49-F238E27FC236}">
                <a16:creationId xmlns:a16="http://schemas.microsoft.com/office/drawing/2014/main" id="{00000000-0008-0000-0200-0000200D0000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1" name="$E$114">
            <a:extLst>
              <a:ext uri="{FF2B5EF4-FFF2-40B4-BE49-F238E27FC236}">
                <a16:creationId xmlns:a16="http://schemas.microsoft.com/office/drawing/2014/main" id="{00000000-0008-0000-0200-0000210D0000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2" name="$E$114">
            <a:extLst>
              <a:ext uri="{FF2B5EF4-FFF2-40B4-BE49-F238E27FC236}">
                <a16:creationId xmlns:a16="http://schemas.microsoft.com/office/drawing/2014/main" id="{00000000-0008-0000-0200-0000220D0000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3" name="$E$114">
            <a:extLst>
              <a:ext uri="{FF2B5EF4-FFF2-40B4-BE49-F238E27FC236}">
                <a16:creationId xmlns:a16="http://schemas.microsoft.com/office/drawing/2014/main" id="{00000000-0008-0000-0200-0000230D0000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4" name="$E$114">
            <a:extLst>
              <a:ext uri="{FF2B5EF4-FFF2-40B4-BE49-F238E27FC236}">
                <a16:creationId xmlns:a16="http://schemas.microsoft.com/office/drawing/2014/main" id="{00000000-0008-0000-0200-0000240D0000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5" name="$E$114">
            <a:extLst>
              <a:ext uri="{FF2B5EF4-FFF2-40B4-BE49-F238E27FC236}">
                <a16:creationId xmlns:a16="http://schemas.microsoft.com/office/drawing/2014/main" id="{00000000-0008-0000-0200-0000250D0000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6" name="$E$114">
            <a:extLst>
              <a:ext uri="{FF2B5EF4-FFF2-40B4-BE49-F238E27FC236}">
                <a16:creationId xmlns:a16="http://schemas.microsoft.com/office/drawing/2014/main" id="{00000000-0008-0000-0200-0000260D0000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7" name="$E$114">
            <a:extLst>
              <a:ext uri="{FF2B5EF4-FFF2-40B4-BE49-F238E27FC236}">
                <a16:creationId xmlns:a16="http://schemas.microsoft.com/office/drawing/2014/main" id="{00000000-0008-0000-0200-0000270D0000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8" name="$E$114">
            <a:extLst>
              <a:ext uri="{FF2B5EF4-FFF2-40B4-BE49-F238E27FC236}">
                <a16:creationId xmlns:a16="http://schemas.microsoft.com/office/drawing/2014/main" id="{00000000-0008-0000-0200-0000280D0000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9" name="$E$114">
            <a:extLst>
              <a:ext uri="{FF2B5EF4-FFF2-40B4-BE49-F238E27FC236}">
                <a16:creationId xmlns:a16="http://schemas.microsoft.com/office/drawing/2014/main" id="{00000000-0008-0000-0200-0000290D0000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0" name="$E$114">
            <a:extLst>
              <a:ext uri="{FF2B5EF4-FFF2-40B4-BE49-F238E27FC236}">
                <a16:creationId xmlns:a16="http://schemas.microsoft.com/office/drawing/2014/main" id="{00000000-0008-0000-0200-00002A0D0000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1" name="$E$114">
            <a:extLst>
              <a:ext uri="{FF2B5EF4-FFF2-40B4-BE49-F238E27FC236}">
                <a16:creationId xmlns:a16="http://schemas.microsoft.com/office/drawing/2014/main" id="{00000000-0008-0000-0200-00002B0D0000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2" name="$E$114">
            <a:extLst>
              <a:ext uri="{FF2B5EF4-FFF2-40B4-BE49-F238E27FC236}">
                <a16:creationId xmlns:a16="http://schemas.microsoft.com/office/drawing/2014/main" id="{00000000-0008-0000-0200-00002C0D0000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3" name="$E$114">
            <a:extLst>
              <a:ext uri="{FF2B5EF4-FFF2-40B4-BE49-F238E27FC236}">
                <a16:creationId xmlns:a16="http://schemas.microsoft.com/office/drawing/2014/main" id="{00000000-0008-0000-0200-00002D0D0000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4" name="$E$114">
            <a:extLst>
              <a:ext uri="{FF2B5EF4-FFF2-40B4-BE49-F238E27FC236}">
                <a16:creationId xmlns:a16="http://schemas.microsoft.com/office/drawing/2014/main" id="{00000000-0008-0000-0200-00002E0D0000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5" name="$E$114">
            <a:extLst>
              <a:ext uri="{FF2B5EF4-FFF2-40B4-BE49-F238E27FC236}">
                <a16:creationId xmlns:a16="http://schemas.microsoft.com/office/drawing/2014/main" id="{00000000-0008-0000-0200-00002F0D0000}"/>
              </a:ext>
            </a:extLst>
          </xdr:cNvPr>
          <xdr:cNvSpPr/>
        </xdr:nvSpPr>
        <xdr:spPr>
          <a:xfrm>
            <a:off x="165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6" name="$E$114">
            <a:extLst>
              <a:ext uri="{FF2B5EF4-FFF2-40B4-BE49-F238E27FC236}">
                <a16:creationId xmlns:a16="http://schemas.microsoft.com/office/drawing/2014/main" id="{00000000-0008-0000-0200-0000300D0000}"/>
              </a:ext>
            </a:extLst>
          </xdr:cNvPr>
          <xdr:cNvSpPr/>
        </xdr:nvSpPr>
        <xdr:spPr>
          <a:xfrm>
            <a:off x="177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7" name="$E$114">
            <a:extLst>
              <a:ext uri="{FF2B5EF4-FFF2-40B4-BE49-F238E27FC236}">
                <a16:creationId xmlns:a16="http://schemas.microsoft.com/office/drawing/2014/main" id="{00000000-0008-0000-0200-0000310D0000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8" name="$E$114">
            <a:extLst>
              <a:ext uri="{FF2B5EF4-FFF2-40B4-BE49-F238E27FC236}">
                <a16:creationId xmlns:a16="http://schemas.microsoft.com/office/drawing/2014/main" id="{00000000-0008-0000-0200-0000320D0000}"/>
              </a:ext>
            </a:extLst>
          </xdr:cNvPr>
          <xdr:cNvSpPr/>
        </xdr:nvSpPr>
        <xdr:spPr>
          <a:xfrm>
            <a:off x="228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9" name="$E$114">
            <a:extLst>
              <a:ext uri="{FF2B5EF4-FFF2-40B4-BE49-F238E27FC236}">
                <a16:creationId xmlns:a16="http://schemas.microsoft.com/office/drawing/2014/main" id="{00000000-0008-0000-0200-0000330D0000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80" name="$E$114">
            <a:extLst>
              <a:ext uri="{FF2B5EF4-FFF2-40B4-BE49-F238E27FC236}">
                <a16:creationId xmlns:a16="http://schemas.microsoft.com/office/drawing/2014/main" id="{00000000-0008-0000-0200-0000340D0000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81" name="$E$114">
            <a:extLst>
              <a:ext uri="{FF2B5EF4-FFF2-40B4-BE49-F238E27FC236}">
                <a16:creationId xmlns:a16="http://schemas.microsoft.com/office/drawing/2014/main" id="{00000000-0008-0000-0200-0000350D0000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82" name="$E$114">
            <a:extLst>
              <a:ext uri="{FF2B5EF4-FFF2-40B4-BE49-F238E27FC236}">
                <a16:creationId xmlns:a16="http://schemas.microsoft.com/office/drawing/2014/main" id="{00000000-0008-0000-0200-0000360D0000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83" name="$E$114">
            <a:extLst>
              <a:ext uri="{FF2B5EF4-FFF2-40B4-BE49-F238E27FC236}">
                <a16:creationId xmlns:a16="http://schemas.microsoft.com/office/drawing/2014/main" id="{00000000-0008-0000-0200-0000370D0000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84" name="$E$114">
            <a:extLst>
              <a:ext uri="{FF2B5EF4-FFF2-40B4-BE49-F238E27FC236}">
                <a16:creationId xmlns:a16="http://schemas.microsoft.com/office/drawing/2014/main" id="{00000000-0008-0000-0200-0000380D0000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336369</xdr:colOff>
      <xdr:row>112</xdr:row>
      <xdr:rowOff>45851</xdr:rowOff>
    </xdr:from>
    <xdr:to>
      <xdr:col>5</xdr:col>
      <xdr:colOff>139882</xdr:colOff>
      <xdr:row>112</xdr:row>
      <xdr:rowOff>1506714</xdr:rowOff>
    </xdr:to>
    <xdr:grpSp>
      <xdr:nvGrpSpPr>
        <xdr:cNvPr id="3933" name="$E$113" descr="QuickResponse barcode, level L, version 4, mode binary, 33x33 cells" title="https://centrodecapacitaciondelsur.com/soporte-basico-de-vida-59395650/">
          <a:extLst>
            <a:ext uri="{FF2B5EF4-FFF2-40B4-BE49-F238E27FC236}">
              <a16:creationId xmlns:a16="http://schemas.microsoft.com/office/drawing/2014/main" id="{00000000-0008-0000-0200-00005D0F0000}"/>
            </a:ext>
          </a:extLst>
        </xdr:cNvPr>
        <xdr:cNvGrpSpPr>
          <a:grpSpLocks noChangeAspect="1"/>
        </xdr:cNvGrpSpPr>
      </xdr:nvGrpSpPr>
      <xdr:grpSpPr>
        <a:xfrm>
          <a:off x="20910369" y="123299351"/>
          <a:ext cx="1466058" cy="1460863"/>
          <a:chOff x="0" y="0"/>
          <a:chExt cx="419100" cy="419100"/>
        </a:xfrm>
      </xdr:grpSpPr>
      <xdr:sp macro="" textlink="">
        <xdr:nvSpPr>
          <xdr:cNvPr id="3386" name="$E$113">
            <a:extLst>
              <a:ext uri="{FF2B5EF4-FFF2-40B4-BE49-F238E27FC236}">
                <a16:creationId xmlns:a16="http://schemas.microsoft.com/office/drawing/2014/main" id="{00000000-0008-0000-0200-00003A0D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87" name="$E$113">
            <a:extLst>
              <a:ext uri="{FF2B5EF4-FFF2-40B4-BE49-F238E27FC236}">
                <a16:creationId xmlns:a16="http://schemas.microsoft.com/office/drawing/2014/main" id="{00000000-0008-0000-0200-00003B0D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88" name="$E$113">
            <a:extLst>
              <a:ext uri="{FF2B5EF4-FFF2-40B4-BE49-F238E27FC236}">
                <a16:creationId xmlns:a16="http://schemas.microsoft.com/office/drawing/2014/main" id="{00000000-0008-0000-0200-00003C0D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89" name="$E$113">
            <a:extLst>
              <a:ext uri="{FF2B5EF4-FFF2-40B4-BE49-F238E27FC236}">
                <a16:creationId xmlns:a16="http://schemas.microsoft.com/office/drawing/2014/main" id="{00000000-0008-0000-0200-00003D0D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0" name="$E$113">
            <a:extLst>
              <a:ext uri="{FF2B5EF4-FFF2-40B4-BE49-F238E27FC236}">
                <a16:creationId xmlns:a16="http://schemas.microsoft.com/office/drawing/2014/main" id="{00000000-0008-0000-0200-00003E0D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1" name="$E$113">
            <a:extLst>
              <a:ext uri="{FF2B5EF4-FFF2-40B4-BE49-F238E27FC236}">
                <a16:creationId xmlns:a16="http://schemas.microsoft.com/office/drawing/2014/main" id="{00000000-0008-0000-0200-00003F0D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2" name="$E$113">
            <a:extLst>
              <a:ext uri="{FF2B5EF4-FFF2-40B4-BE49-F238E27FC236}">
                <a16:creationId xmlns:a16="http://schemas.microsoft.com/office/drawing/2014/main" id="{00000000-0008-0000-0200-0000400D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3" name="$E$113">
            <a:extLst>
              <a:ext uri="{FF2B5EF4-FFF2-40B4-BE49-F238E27FC236}">
                <a16:creationId xmlns:a16="http://schemas.microsoft.com/office/drawing/2014/main" id="{00000000-0008-0000-0200-0000410D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4" name="$E$113">
            <a:extLst>
              <a:ext uri="{FF2B5EF4-FFF2-40B4-BE49-F238E27FC236}">
                <a16:creationId xmlns:a16="http://schemas.microsoft.com/office/drawing/2014/main" id="{00000000-0008-0000-0200-0000420D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5" name="$E$113">
            <a:extLst>
              <a:ext uri="{FF2B5EF4-FFF2-40B4-BE49-F238E27FC236}">
                <a16:creationId xmlns:a16="http://schemas.microsoft.com/office/drawing/2014/main" id="{00000000-0008-0000-0200-0000430D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6" name="$E$113">
            <a:extLst>
              <a:ext uri="{FF2B5EF4-FFF2-40B4-BE49-F238E27FC236}">
                <a16:creationId xmlns:a16="http://schemas.microsoft.com/office/drawing/2014/main" id="{00000000-0008-0000-0200-0000440D0000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7" name="$E$113">
            <a:extLst>
              <a:ext uri="{FF2B5EF4-FFF2-40B4-BE49-F238E27FC236}">
                <a16:creationId xmlns:a16="http://schemas.microsoft.com/office/drawing/2014/main" id="{00000000-0008-0000-0200-0000450D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8" name="$E$113">
            <a:extLst>
              <a:ext uri="{FF2B5EF4-FFF2-40B4-BE49-F238E27FC236}">
                <a16:creationId xmlns:a16="http://schemas.microsoft.com/office/drawing/2014/main" id="{00000000-0008-0000-0200-0000460D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9" name="$E$113">
            <a:extLst>
              <a:ext uri="{FF2B5EF4-FFF2-40B4-BE49-F238E27FC236}">
                <a16:creationId xmlns:a16="http://schemas.microsoft.com/office/drawing/2014/main" id="{00000000-0008-0000-0200-0000470D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0" name="$E$113">
            <a:extLst>
              <a:ext uri="{FF2B5EF4-FFF2-40B4-BE49-F238E27FC236}">
                <a16:creationId xmlns:a16="http://schemas.microsoft.com/office/drawing/2014/main" id="{00000000-0008-0000-0200-0000480D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1" name="$E$113">
            <a:extLst>
              <a:ext uri="{FF2B5EF4-FFF2-40B4-BE49-F238E27FC236}">
                <a16:creationId xmlns:a16="http://schemas.microsoft.com/office/drawing/2014/main" id="{00000000-0008-0000-0200-0000490D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2" name="$E$113">
            <a:extLst>
              <a:ext uri="{FF2B5EF4-FFF2-40B4-BE49-F238E27FC236}">
                <a16:creationId xmlns:a16="http://schemas.microsoft.com/office/drawing/2014/main" id="{00000000-0008-0000-0200-00004A0D0000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3" name="$E$113">
            <a:extLst>
              <a:ext uri="{FF2B5EF4-FFF2-40B4-BE49-F238E27FC236}">
                <a16:creationId xmlns:a16="http://schemas.microsoft.com/office/drawing/2014/main" id="{00000000-0008-0000-0200-00004B0D0000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4" name="$E$113">
            <a:extLst>
              <a:ext uri="{FF2B5EF4-FFF2-40B4-BE49-F238E27FC236}">
                <a16:creationId xmlns:a16="http://schemas.microsoft.com/office/drawing/2014/main" id="{00000000-0008-0000-0200-00004C0D0000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5" name="$E$113">
            <a:extLst>
              <a:ext uri="{FF2B5EF4-FFF2-40B4-BE49-F238E27FC236}">
                <a16:creationId xmlns:a16="http://schemas.microsoft.com/office/drawing/2014/main" id="{00000000-0008-0000-0200-00004D0D0000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6" name="$E$113">
            <a:extLst>
              <a:ext uri="{FF2B5EF4-FFF2-40B4-BE49-F238E27FC236}">
                <a16:creationId xmlns:a16="http://schemas.microsoft.com/office/drawing/2014/main" id="{00000000-0008-0000-0200-00004E0D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7" name="$E$113">
            <a:extLst>
              <a:ext uri="{FF2B5EF4-FFF2-40B4-BE49-F238E27FC236}">
                <a16:creationId xmlns:a16="http://schemas.microsoft.com/office/drawing/2014/main" id="{00000000-0008-0000-0200-00004F0D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8" name="$E$113">
            <a:extLst>
              <a:ext uri="{FF2B5EF4-FFF2-40B4-BE49-F238E27FC236}">
                <a16:creationId xmlns:a16="http://schemas.microsoft.com/office/drawing/2014/main" id="{00000000-0008-0000-0200-0000500D000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9" name="$E$113">
            <a:extLst>
              <a:ext uri="{FF2B5EF4-FFF2-40B4-BE49-F238E27FC236}">
                <a16:creationId xmlns:a16="http://schemas.microsoft.com/office/drawing/2014/main" id="{00000000-0008-0000-0200-0000510D000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0" name="$E$113">
            <a:extLst>
              <a:ext uri="{FF2B5EF4-FFF2-40B4-BE49-F238E27FC236}">
                <a16:creationId xmlns:a16="http://schemas.microsoft.com/office/drawing/2014/main" id="{00000000-0008-0000-0200-0000520D0000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1" name="$E$113">
            <a:extLst>
              <a:ext uri="{FF2B5EF4-FFF2-40B4-BE49-F238E27FC236}">
                <a16:creationId xmlns:a16="http://schemas.microsoft.com/office/drawing/2014/main" id="{00000000-0008-0000-0200-0000530D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2" name="$E$113">
            <a:extLst>
              <a:ext uri="{FF2B5EF4-FFF2-40B4-BE49-F238E27FC236}">
                <a16:creationId xmlns:a16="http://schemas.microsoft.com/office/drawing/2014/main" id="{00000000-0008-0000-0200-0000540D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3" name="$E$113">
            <a:extLst>
              <a:ext uri="{FF2B5EF4-FFF2-40B4-BE49-F238E27FC236}">
                <a16:creationId xmlns:a16="http://schemas.microsoft.com/office/drawing/2014/main" id="{00000000-0008-0000-0200-0000550D0000}"/>
              </a:ext>
            </a:extLst>
          </xdr:cNvPr>
          <xdr:cNvSpPr/>
        </xdr:nvSpPr>
        <xdr:spPr>
          <a:xfrm>
            <a:off x="215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4" name="$E$113">
            <a:extLst>
              <a:ext uri="{FF2B5EF4-FFF2-40B4-BE49-F238E27FC236}">
                <a16:creationId xmlns:a16="http://schemas.microsoft.com/office/drawing/2014/main" id="{00000000-0008-0000-0200-0000560D0000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5" name="$E$113">
            <a:extLst>
              <a:ext uri="{FF2B5EF4-FFF2-40B4-BE49-F238E27FC236}">
                <a16:creationId xmlns:a16="http://schemas.microsoft.com/office/drawing/2014/main" id="{00000000-0008-0000-0200-0000570D0000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6" name="$E$113">
            <a:extLst>
              <a:ext uri="{FF2B5EF4-FFF2-40B4-BE49-F238E27FC236}">
                <a16:creationId xmlns:a16="http://schemas.microsoft.com/office/drawing/2014/main" id="{00000000-0008-0000-0200-0000580D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7" name="$E$113">
            <a:extLst>
              <a:ext uri="{FF2B5EF4-FFF2-40B4-BE49-F238E27FC236}">
                <a16:creationId xmlns:a16="http://schemas.microsoft.com/office/drawing/2014/main" id="{00000000-0008-0000-0200-0000590D0000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8" name="$E$113">
            <a:extLst>
              <a:ext uri="{FF2B5EF4-FFF2-40B4-BE49-F238E27FC236}">
                <a16:creationId xmlns:a16="http://schemas.microsoft.com/office/drawing/2014/main" id="{00000000-0008-0000-0200-00005A0D0000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9" name="$E$113">
            <a:extLst>
              <a:ext uri="{FF2B5EF4-FFF2-40B4-BE49-F238E27FC236}">
                <a16:creationId xmlns:a16="http://schemas.microsoft.com/office/drawing/2014/main" id="{00000000-0008-0000-0200-00005B0D00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0" name="$E$113">
            <a:extLst>
              <a:ext uri="{FF2B5EF4-FFF2-40B4-BE49-F238E27FC236}">
                <a16:creationId xmlns:a16="http://schemas.microsoft.com/office/drawing/2014/main" id="{00000000-0008-0000-0200-00005C0D00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1" name="$E$113">
            <a:extLst>
              <a:ext uri="{FF2B5EF4-FFF2-40B4-BE49-F238E27FC236}">
                <a16:creationId xmlns:a16="http://schemas.microsoft.com/office/drawing/2014/main" id="{00000000-0008-0000-0200-00005D0D00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2" name="$E$113">
            <a:extLst>
              <a:ext uri="{FF2B5EF4-FFF2-40B4-BE49-F238E27FC236}">
                <a16:creationId xmlns:a16="http://schemas.microsoft.com/office/drawing/2014/main" id="{00000000-0008-0000-0200-00005E0D00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3" name="$E$113">
            <a:extLst>
              <a:ext uri="{FF2B5EF4-FFF2-40B4-BE49-F238E27FC236}">
                <a16:creationId xmlns:a16="http://schemas.microsoft.com/office/drawing/2014/main" id="{00000000-0008-0000-0200-00005F0D00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4" name="$E$113">
            <a:extLst>
              <a:ext uri="{FF2B5EF4-FFF2-40B4-BE49-F238E27FC236}">
                <a16:creationId xmlns:a16="http://schemas.microsoft.com/office/drawing/2014/main" id="{00000000-0008-0000-0200-0000600D00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5" name="$E$113">
            <a:extLst>
              <a:ext uri="{FF2B5EF4-FFF2-40B4-BE49-F238E27FC236}">
                <a16:creationId xmlns:a16="http://schemas.microsoft.com/office/drawing/2014/main" id="{00000000-0008-0000-0200-0000610D0000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6" name="$E$113">
            <a:extLst>
              <a:ext uri="{FF2B5EF4-FFF2-40B4-BE49-F238E27FC236}">
                <a16:creationId xmlns:a16="http://schemas.microsoft.com/office/drawing/2014/main" id="{00000000-0008-0000-0200-0000620D0000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7" name="$E$113">
            <a:extLst>
              <a:ext uri="{FF2B5EF4-FFF2-40B4-BE49-F238E27FC236}">
                <a16:creationId xmlns:a16="http://schemas.microsoft.com/office/drawing/2014/main" id="{00000000-0008-0000-0200-0000630D00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8" name="$E$113">
            <a:extLst>
              <a:ext uri="{FF2B5EF4-FFF2-40B4-BE49-F238E27FC236}">
                <a16:creationId xmlns:a16="http://schemas.microsoft.com/office/drawing/2014/main" id="{00000000-0008-0000-0200-0000640D00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9" name="$E$113">
            <a:extLst>
              <a:ext uri="{FF2B5EF4-FFF2-40B4-BE49-F238E27FC236}">
                <a16:creationId xmlns:a16="http://schemas.microsoft.com/office/drawing/2014/main" id="{00000000-0008-0000-0200-0000650D0000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0" name="$E$113">
            <a:extLst>
              <a:ext uri="{FF2B5EF4-FFF2-40B4-BE49-F238E27FC236}">
                <a16:creationId xmlns:a16="http://schemas.microsoft.com/office/drawing/2014/main" id="{00000000-0008-0000-0200-0000660D0000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1" name="$E$113">
            <a:extLst>
              <a:ext uri="{FF2B5EF4-FFF2-40B4-BE49-F238E27FC236}">
                <a16:creationId xmlns:a16="http://schemas.microsoft.com/office/drawing/2014/main" id="{00000000-0008-0000-0200-0000670D00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2" name="$E$113">
            <a:extLst>
              <a:ext uri="{FF2B5EF4-FFF2-40B4-BE49-F238E27FC236}">
                <a16:creationId xmlns:a16="http://schemas.microsoft.com/office/drawing/2014/main" id="{00000000-0008-0000-0200-0000680D00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3" name="$E$113">
            <a:extLst>
              <a:ext uri="{FF2B5EF4-FFF2-40B4-BE49-F238E27FC236}">
                <a16:creationId xmlns:a16="http://schemas.microsoft.com/office/drawing/2014/main" id="{00000000-0008-0000-0200-0000690D0000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4" name="$E$113">
            <a:extLst>
              <a:ext uri="{FF2B5EF4-FFF2-40B4-BE49-F238E27FC236}">
                <a16:creationId xmlns:a16="http://schemas.microsoft.com/office/drawing/2014/main" id="{00000000-0008-0000-0200-00006A0D0000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5" name="$E$113">
            <a:extLst>
              <a:ext uri="{FF2B5EF4-FFF2-40B4-BE49-F238E27FC236}">
                <a16:creationId xmlns:a16="http://schemas.microsoft.com/office/drawing/2014/main" id="{00000000-0008-0000-0200-00006B0D0000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6" name="$E$113">
            <a:extLst>
              <a:ext uri="{FF2B5EF4-FFF2-40B4-BE49-F238E27FC236}">
                <a16:creationId xmlns:a16="http://schemas.microsoft.com/office/drawing/2014/main" id="{00000000-0008-0000-0200-00006C0D00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7" name="$E$113">
            <a:extLst>
              <a:ext uri="{FF2B5EF4-FFF2-40B4-BE49-F238E27FC236}">
                <a16:creationId xmlns:a16="http://schemas.microsoft.com/office/drawing/2014/main" id="{00000000-0008-0000-0200-00006D0D00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8" name="$E$113">
            <a:extLst>
              <a:ext uri="{FF2B5EF4-FFF2-40B4-BE49-F238E27FC236}">
                <a16:creationId xmlns:a16="http://schemas.microsoft.com/office/drawing/2014/main" id="{00000000-0008-0000-0200-00006E0D00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9" name="$E$113">
            <a:extLst>
              <a:ext uri="{FF2B5EF4-FFF2-40B4-BE49-F238E27FC236}">
                <a16:creationId xmlns:a16="http://schemas.microsoft.com/office/drawing/2014/main" id="{00000000-0008-0000-0200-00006F0D00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0" name="$E$113">
            <a:extLst>
              <a:ext uri="{FF2B5EF4-FFF2-40B4-BE49-F238E27FC236}">
                <a16:creationId xmlns:a16="http://schemas.microsoft.com/office/drawing/2014/main" id="{00000000-0008-0000-0200-0000700D00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1" name="$E$113">
            <a:extLst>
              <a:ext uri="{FF2B5EF4-FFF2-40B4-BE49-F238E27FC236}">
                <a16:creationId xmlns:a16="http://schemas.microsoft.com/office/drawing/2014/main" id="{00000000-0008-0000-0200-0000710D000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2" name="$E$113">
            <a:extLst>
              <a:ext uri="{FF2B5EF4-FFF2-40B4-BE49-F238E27FC236}">
                <a16:creationId xmlns:a16="http://schemas.microsoft.com/office/drawing/2014/main" id="{00000000-0008-0000-0200-0000720D0000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3" name="$E$113">
            <a:extLst>
              <a:ext uri="{FF2B5EF4-FFF2-40B4-BE49-F238E27FC236}">
                <a16:creationId xmlns:a16="http://schemas.microsoft.com/office/drawing/2014/main" id="{00000000-0008-0000-0200-0000730D0000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4" name="$E$113">
            <a:extLst>
              <a:ext uri="{FF2B5EF4-FFF2-40B4-BE49-F238E27FC236}">
                <a16:creationId xmlns:a16="http://schemas.microsoft.com/office/drawing/2014/main" id="{00000000-0008-0000-0200-0000740D00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5" name="$E$113">
            <a:extLst>
              <a:ext uri="{FF2B5EF4-FFF2-40B4-BE49-F238E27FC236}">
                <a16:creationId xmlns:a16="http://schemas.microsoft.com/office/drawing/2014/main" id="{00000000-0008-0000-0200-0000750D00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6" name="$E$113">
            <a:extLst>
              <a:ext uri="{FF2B5EF4-FFF2-40B4-BE49-F238E27FC236}">
                <a16:creationId xmlns:a16="http://schemas.microsoft.com/office/drawing/2014/main" id="{00000000-0008-0000-0200-0000760D0000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7" name="$E$113">
            <a:extLst>
              <a:ext uri="{FF2B5EF4-FFF2-40B4-BE49-F238E27FC236}">
                <a16:creationId xmlns:a16="http://schemas.microsoft.com/office/drawing/2014/main" id="{00000000-0008-0000-0200-0000770D0000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8" name="$E$113">
            <a:extLst>
              <a:ext uri="{FF2B5EF4-FFF2-40B4-BE49-F238E27FC236}">
                <a16:creationId xmlns:a16="http://schemas.microsoft.com/office/drawing/2014/main" id="{00000000-0008-0000-0200-0000780D0000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9" name="$E$113">
            <a:extLst>
              <a:ext uri="{FF2B5EF4-FFF2-40B4-BE49-F238E27FC236}">
                <a16:creationId xmlns:a16="http://schemas.microsoft.com/office/drawing/2014/main" id="{00000000-0008-0000-0200-0000790D00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0" name="$E$113">
            <a:extLst>
              <a:ext uri="{FF2B5EF4-FFF2-40B4-BE49-F238E27FC236}">
                <a16:creationId xmlns:a16="http://schemas.microsoft.com/office/drawing/2014/main" id="{00000000-0008-0000-0200-00007A0D0000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1" name="$E$113">
            <a:extLst>
              <a:ext uri="{FF2B5EF4-FFF2-40B4-BE49-F238E27FC236}">
                <a16:creationId xmlns:a16="http://schemas.microsoft.com/office/drawing/2014/main" id="{00000000-0008-0000-0200-00007B0D00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2" name="$E$113">
            <a:extLst>
              <a:ext uri="{FF2B5EF4-FFF2-40B4-BE49-F238E27FC236}">
                <a16:creationId xmlns:a16="http://schemas.microsoft.com/office/drawing/2014/main" id="{00000000-0008-0000-0200-00007C0D00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3" name="$E$113">
            <a:extLst>
              <a:ext uri="{FF2B5EF4-FFF2-40B4-BE49-F238E27FC236}">
                <a16:creationId xmlns:a16="http://schemas.microsoft.com/office/drawing/2014/main" id="{00000000-0008-0000-0200-00007D0D00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4" name="$E$113">
            <a:extLst>
              <a:ext uri="{FF2B5EF4-FFF2-40B4-BE49-F238E27FC236}">
                <a16:creationId xmlns:a16="http://schemas.microsoft.com/office/drawing/2014/main" id="{00000000-0008-0000-0200-00007E0D0000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5" name="$E$113">
            <a:extLst>
              <a:ext uri="{FF2B5EF4-FFF2-40B4-BE49-F238E27FC236}">
                <a16:creationId xmlns:a16="http://schemas.microsoft.com/office/drawing/2014/main" id="{00000000-0008-0000-0200-00007F0D0000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6" name="$E$113">
            <a:extLst>
              <a:ext uri="{FF2B5EF4-FFF2-40B4-BE49-F238E27FC236}">
                <a16:creationId xmlns:a16="http://schemas.microsoft.com/office/drawing/2014/main" id="{00000000-0008-0000-0200-0000800D0000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7" name="$E$113">
            <a:extLst>
              <a:ext uri="{FF2B5EF4-FFF2-40B4-BE49-F238E27FC236}">
                <a16:creationId xmlns:a16="http://schemas.microsoft.com/office/drawing/2014/main" id="{00000000-0008-0000-0200-0000810D00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8" name="$E$113">
            <a:extLst>
              <a:ext uri="{FF2B5EF4-FFF2-40B4-BE49-F238E27FC236}">
                <a16:creationId xmlns:a16="http://schemas.microsoft.com/office/drawing/2014/main" id="{00000000-0008-0000-0200-0000820D00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9" name="$E$113">
            <a:extLst>
              <a:ext uri="{FF2B5EF4-FFF2-40B4-BE49-F238E27FC236}">
                <a16:creationId xmlns:a16="http://schemas.microsoft.com/office/drawing/2014/main" id="{00000000-0008-0000-0200-0000830D00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0" name="$E$113">
            <a:extLst>
              <a:ext uri="{FF2B5EF4-FFF2-40B4-BE49-F238E27FC236}">
                <a16:creationId xmlns:a16="http://schemas.microsoft.com/office/drawing/2014/main" id="{00000000-0008-0000-0200-0000840D00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1" name="$E$113">
            <a:extLst>
              <a:ext uri="{FF2B5EF4-FFF2-40B4-BE49-F238E27FC236}">
                <a16:creationId xmlns:a16="http://schemas.microsoft.com/office/drawing/2014/main" id="{00000000-0008-0000-0200-0000850D00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2" name="$E$113">
            <a:extLst>
              <a:ext uri="{FF2B5EF4-FFF2-40B4-BE49-F238E27FC236}">
                <a16:creationId xmlns:a16="http://schemas.microsoft.com/office/drawing/2014/main" id="{00000000-0008-0000-0200-0000860D0000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3" name="$E$113">
            <a:extLst>
              <a:ext uri="{FF2B5EF4-FFF2-40B4-BE49-F238E27FC236}">
                <a16:creationId xmlns:a16="http://schemas.microsoft.com/office/drawing/2014/main" id="{00000000-0008-0000-0200-0000870D0000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4" name="$E$113">
            <a:extLst>
              <a:ext uri="{FF2B5EF4-FFF2-40B4-BE49-F238E27FC236}">
                <a16:creationId xmlns:a16="http://schemas.microsoft.com/office/drawing/2014/main" id="{00000000-0008-0000-0200-0000880D00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5" name="$E$113">
            <a:extLst>
              <a:ext uri="{FF2B5EF4-FFF2-40B4-BE49-F238E27FC236}">
                <a16:creationId xmlns:a16="http://schemas.microsoft.com/office/drawing/2014/main" id="{00000000-0008-0000-0200-0000890D00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6" name="$E$113">
            <a:extLst>
              <a:ext uri="{FF2B5EF4-FFF2-40B4-BE49-F238E27FC236}">
                <a16:creationId xmlns:a16="http://schemas.microsoft.com/office/drawing/2014/main" id="{00000000-0008-0000-0200-00008A0D0000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7" name="$E$113">
            <a:extLst>
              <a:ext uri="{FF2B5EF4-FFF2-40B4-BE49-F238E27FC236}">
                <a16:creationId xmlns:a16="http://schemas.microsoft.com/office/drawing/2014/main" id="{00000000-0008-0000-0200-00008B0D0000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8" name="$E$113">
            <a:extLst>
              <a:ext uri="{FF2B5EF4-FFF2-40B4-BE49-F238E27FC236}">
                <a16:creationId xmlns:a16="http://schemas.microsoft.com/office/drawing/2014/main" id="{00000000-0008-0000-0200-00008C0D00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9" name="$E$113">
            <a:extLst>
              <a:ext uri="{FF2B5EF4-FFF2-40B4-BE49-F238E27FC236}">
                <a16:creationId xmlns:a16="http://schemas.microsoft.com/office/drawing/2014/main" id="{00000000-0008-0000-0200-00008D0D00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0" name="$E$113">
            <a:extLst>
              <a:ext uri="{FF2B5EF4-FFF2-40B4-BE49-F238E27FC236}">
                <a16:creationId xmlns:a16="http://schemas.microsoft.com/office/drawing/2014/main" id="{00000000-0008-0000-0200-00008E0D0000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1" name="$E$113">
            <a:extLst>
              <a:ext uri="{FF2B5EF4-FFF2-40B4-BE49-F238E27FC236}">
                <a16:creationId xmlns:a16="http://schemas.microsoft.com/office/drawing/2014/main" id="{00000000-0008-0000-0200-00008F0D0000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2" name="$E$113">
            <a:extLst>
              <a:ext uri="{FF2B5EF4-FFF2-40B4-BE49-F238E27FC236}">
                <a16:creationId xmlns:a16="http://schemas.microsoft.com/office/drawing/2014/main" id="{00000000-0008-0000-0200-0000900D0000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3" name="$E$113">
            <a:extLst>
              <a:ext uri="{FF2B5EF4-FFF2-40B4-BE49-F238E27FC236}">
                <a16:creationId xmlns:a16="http://schemas.microsoft.com/office/drawing/2014/main" id="{00000000-0008-0000-0200-0000910D00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4" name="$E$113">
            <a:extLst>
              <a:ext uri="{FF2B5EF4-FFF2-40B4-BE49-F238E27FC236}">
                <a16:creationId xmlns:a16="http://schemas.microsoft.com/office/drawing/2014/main" id="{00000000-0008-0000-0200-0000920D00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5" name="$E$113">
            <a:extLst>
              <a:ext uri="{FF2B5EF4-FFF2-40B4-BE49-F238E27FC236}">
                <a16:creationId xmlns:a16="http://schemas.microsoft.com/office/drawing/2014/main" id="{00000000-0008-0000-0200-0000930D00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6" name="$E$113">
            <a:extLst>
              <a:ext uri="{FF2B5EF4-FFF2-40B4-BE49-F238E27FC236}">
                <a16:creationId xmlns:a16="http://schemas.microsoft.com/office/drawing/2014/main" id="{00000000-0008-0000-0200-0000940D0000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7" name="$E$113">
            <a:extLst>
              <a:ext uri="{FF2B5EF4-FFF2-40B4-BE49-F238E27FC236}">
                <a16:creationId xmlns:a16="http://schemas.microsoft.com/office/drawing/2014/main" id="{00000000-0008-0000-0200-0000950D000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8" name="$E$113">
            <a:extLst>
              <a:ext uri="{FF2B5EF4-FFF2-40B4-BE49-F238E27FC236}">
                <a16:creationId xmlns:a16="http://schemas.microsoft.com/office/drawing/2014/main" id="{00000000-0008-0000-0200-0000960D0000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9" name="$E$113">
            <a:extLst>
              <a:ext uri="{FF2B5EF4-FFF2-40B4-BE49-F238E27FC236}">
                <a16:creationId xmlns:a16="http://schemas.microsoft.com/office/drawing/2014/main" id="{00000000-0008-0000-0200-0000970D00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0" name="$E$113">
            <a:extLst>
              <a:ext uri="{FF2B5EF4-FFF2-40B4-BE49-F238E27FC236}">
                <a16:creationId xmlns:a16="http://schemas.microsoft.com/office/drawing/2014/main" id="{00000000-0008-0000-0200-0000980D0000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1" name="$E$113">
            <a:extLst>
              <a:ext uri="{FF2B5EF4-FFF2-40B4-BE49-F238E27FC236}">
                <a16:creationId xmlns:a16="http://schemas.microsoft.com/office/drawing/2014/main" id="{00000000-0008-0000-0200-0000990D00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2" name="$E$113">
            <a:extLst>
              <a:ext uri="{FF2B5EF4-FFF2-40B4-BE49-F238E27FC236}">
                <a16:creationId xmlns:a16="http://schemas.microsoft.com/office/drawing/2014/main" id="{00000000-0008-0000-0200-00009A0D0000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3" name="$E$113">
            <a:extLst>
              <a:ext uri="{FF2B5EF4-FFF2-40B4-BE49-F238E27FC236}">
                <a16:creationId xmlns:a16="http://schemas.microsoft.com/office/drawing/2014/main" id="{00000000-0008-0000-0200-00009B0D0000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4" name="$E$113">
            <a:extLst>
              <a:ext uri="{FF2B5EF4-FFF2-40B4-BE49-F238E27FC236}">
                <a16:creationId xmlns:a16="http://schemas.microsoft.com/office/drawing/2014/main" id="{00000000-0008-0000-0200-00009C0D00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5" name="$E$113">
            <a:extLst>
              <a:ext uri="{FF2B5EF4-FFF2-40B4-BE49-F238E27FC236}">
                <a16:creationId xmlns:a16="http://schemas.microsoft.com/office/drawing/2014/main" id="{00000000-0008-0000-0200-00009D0D00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6" name="$E$113">
            <a:extLst>
              <a:ext uri="{FF2B5EF4-FFF2-40B4-BE49-F238E27FC236}">
                <a16:creationId xmlns:a16="http://schemas.microsoft.com/office/drawing/2014/main" id="{00000000-0008-0000-0200-00009E0D00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7" name="$E$113">
            <a:extLst>
              <a:ext uri="{FF2B5EF4-FFF2-40B4-BE49-F238E27FC236}">
                <a16:creationId xmlns:a16="http://schemas.microsoft.com/office/drawing/2014/main" id="{00000000-0008-0000-0200-00009F0D00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8" name="$E$113">
            <a:extLst>
              <a:ext uri="{FF2B5EF4-FFF2-40B4-BE49-F238E27FC236}">
                <a16:creationId xmlns:a16="http://schemas.microsoft.com/office/drawing/2014/main" id="{00000000-0008-0000-0200-0000A00D00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9" name="$E$113">
            <a:extLst>
              <a:ext uri="{FF2B5EF4-FFF2-40B4-BE49-F238E27FC236}">
                <a16:creationId xmlns:a16="http://schemas.microsoft.com/office/drawing/2014/main" id="{00000000-0008-0000-0200-0000A10D00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0" name="$E$113">
            <a:extLst>
              <a:ext uri="{FF2B5EF4-FFF2-40B4-BE49-F238E27FC236}">
                <a16:creationId xmlns:a16="http://schemas.microsoft.com/office/drawing/2014/main" id="{00000000-0008-0000-0200-0000A20D00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1" name="$E$113">
            <a:extLst>
              <a:ext uri="{FF2B5EF4-FFF2-40B4-BE49-F238E27FC236}">
                <a16:creationId xmlns:a16="http://schemas.microsoft.com/office/drawing/2014/main" id="{00000000-0008-0000-0200-0000A30D00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2" name="$E$113">
            <a:extLst>
              <a:ext uri="{FF2B5EF4-FFF2-40B4-BE49-F238E27FC236}">
                <a16:creationId xmlns:a16="http://schemas.microsoft.com/office/drawing/2014/main" id="{00000000-0008-0000-0200-0000A40D00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3" name="$E$113">
            <a:extLst>
              <a:ext uri="{FF2B5EF4-FFF2-40B4-BE49-F238E27FC236}">
                <a16:creationId xmlns:a16="http://schemas.microsoft.com/office/drawing/2014/main" id="{00000000-0008-0000-0200-0000A50D00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4" name="$E$113">
            <a:extLst>
              <a:ext uri="{FF2B5EF4-FFF2-40B4-BE49-F238E27FC236}">
                <a16:creationId xmlns:a16="http://schemas.microsoft.com/office/drawing/2014/main" id="{00000000-0008-0000-0200-0000A60D00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5" name="$E$113">
            <a:extLst>
              <a:ext uri="{FF2B5EF4-FFF2-40B4-BE49-F238E27FC236}">
                <a16:creationId xmlns:a16="http://schemas.microsoft.com/office/drawing/2014/main" id="{00000000-0008-0000-0200-0000A70D00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6" name="$E$113">
            <a:extLst>
              <a:ext uri="{FF2B5EF4-FFF2-40B4-BE49-F238E27FC236}">
                <a16:creationId xmlns:a16="http://schemas.microsoft.com/office/drawing/2014/main" id="{00000000-0008-0000-0200-0000A80D00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7" name="$E$113">
            <a:extLst>
              <a:ext uri="{FF2B5EF4-FFF2-40B4-BE49-F238E27FC236}">
                <a16:creationId xmlns:a16="http://schemas.microsoft.com/office/drawing/2014/main" id="{00000000-0008-0000-0200-0000A90D00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8" name="$E$113">
            <a:extLst>
              <a:ext uri="{FF2B5EF4-FFF2-40B4-BE49-F238E27FC236}">
                <a16:creationId xmlns:a16="http://schemas.microsoft.com/office/drawing/2014/main" id="{00000000-0008-0000-0200-0000AA0D00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9" name="$E$113">
            <a:extLst>
              <a:ext uri="{FF2B5EF4-FFF2-40B4-BE49-F238E27FC236}">
                <a16:creationId xmlns:a16="http://schemas.microsoft.com/office/drawing/2014/main" id="{00000000-0008-0000-0200-0000AB0D00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0" name="$E$113">
            <a:extLst>
              <a:ext uri="{FF2B5EF4-FFF2-40B4-BE49-F238E27FC236}">
                <a16:creationId xmlns:a16="http://schemas.microsoft.com/office/drawing/2014/main" id="{00000000-0008-0000-0200-0000AC0D00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1" name="$E$113">
            <a:extLst>
              <a:ext uri="{FF2B5EF4-FFF2-40B4-BE49-F238E27FC236}">
                <a16:creationId xmlns:a16="http://schemas.microsoft.com/office/drawing/2014/main" id="{00000000-0008-0000-0200-0000AD0D00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2" name="$E$113">
            <a:extLst>
              <a:ext uri="{FF2B5EF4-FFF2-40B4-BE49-F238E27FC236}">
                <a16:creationId xmlns:a16="http://schemas.microsoft.com/office/drawing/2014/main" id="{00000000-0008-0000-0200-0000AE0D00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3" name="$E$113">
            <a:extLst>
              <a:ext uri="{FF2B5EF4-FFF2-40B4-BE49-F238E27FC236}">
                <a16:creationId xmlns:a16="http://schemas.microsoft.com/office/drawing/2014/main" id="{00000000-0008-0000-0200-0000AF0D0000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4" name="$E$113">
            <a:extLst>
              <a:ext uri="{FF2B5EF4-FFF2-40B4-BE49-F238E27FC236}">
                <a16:creationId xmlns:a16="http://schemas.microsoft.com/office/drawing/2014/main" id="{00000000-0008-0000-0200-0000B00D0000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5" name="$E$113">
            <a:extLst>
              <a:ext uri="{FF2B5EF4-FFF2-40B4-BE49-F238E27FC236}">
                <a16:creationId xmlns:a16="http://schemas.microsoft.com/office/drawing/2014/main" id="{00000000-0008-0000-0200-0000B10D0000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6" name="$E$113">
            <a:extLst>
              <a:ext uri="{FF2B5EF4-FFF2-40B4-BE49-F238E27FC236}">
                <a16:creationId xmlns:a16="http://schemas.microsoft.com/office/drawing/2014/main" id="{00000000-0008-0000-0200-0000B20D0000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7" name="$E$113">
            <a:extLst>
              <a:ext uri="{FF2B5EF4-FFF2-40B4-BE49-F238E27FC236}">
                <a16:creationId xmlns:a16="http://schemas.microsoft.com/office/drawing/2014/main" id="{00000000-0008-0000-0200-0000B30D00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8" name="$E$113">
            <a:extLst>
              <a:ext uri="{FF2B5EF4-FFF2-40B4-BE49-F238E27FC236}">
                <a16:creationId xmlns:a16="http://schemas.microsoft.com/office/drawing/2014/main" id="{00000000-0008-0000-0200-0000B40D00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9" name="$E$113">
            <a:extLst>
              <a:ext uri="{FF2B5EF4-FFF2-40B4-BE49-F238E27FC236}">
                <a16:creationId xmlns:a16="http://schemas.microsoft.com/office/drawing/2014/main" id="{00000000-0008-0000-0200-0000B50D0000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0" name="$E$113">
            <a:extLst>
              <a:ext uri="{FF2B5EF4-FFF2-40B4-BE49-F238E27FC236}">
                <a16:creationId xmlns:a16="http://schemas.microsoft.com/office/drawing/2014/main" id="{00000000-0008-0000-0200-0000B60D0000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1" name="$E$113">
            <a:extLst>
              <a:ext uri="{FF2B5EF4-FFF2-40B4-BE49-F238E27FC236}">
                <a16:creationId xmlns:a16="http://schemas.microsoft.com/office/drawing/2014/main" id="{00000000-0008-0000-0200-0000B70D0000}"/>
              </a:ext>
            </a:extLst>
          </xdr:cNvPr>
          <xdr:cNvSpPr/>
        </xdr:nvSpPr>
        <xdr:spPr>
          <a:xfrm>
            <a:off x="2032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2" name="$E$113">
            <a:extLst>
              <a:ext uri="{FF2B5EF4-FFF2-40B4-BE49-F238E27FC236}">
                <a16:creationId xmlns:a16="http://schemas.microsoft.com/office/drawing/2014/main" id="{00000000-0008-0000-0200-0000B80D00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3" name="$E$113">
            <a:extLst>
              <a:ext uri="{FF2B5EF4-FFF2-40B4-BE49-F238E27FC236}">
                <a16:creationId xmlns:a16="http://schemas.microsoft.com/office/drawing/2014/main" id="{00000000-0008-0000-0200-0000B90D0000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4" name="$E$113">
            <a:extLst>
              <a:ext uri="{FF2B5EF4-FFF2-40B4-BE49-F238E27FC236}">
                <a16:creationId xmlns:a16="http://schemas.microsoft.com/office/drawing/2014/main" id="{00000000-0008-0000-0200-0000BA0D0000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5" name="$E$113">
            <a:extLst>
              <a:ext uri="{FF2B5EF4-FFF2-40B4-BE49-F238E27FC236}">
                <a16:creationId xmlns:a16="http://schemas.microsoft.com/office/drawing/2014/main" id="{00000000-0008-0000-0200-0000BB0D00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6" name="$E$113">
            <a:extLst>
              <a:ext uri="{FF2B5EF4-FFF2-40B4-BE49-F238E27FC236}">
                <a16:creationId xmlns:a16="http://schemas.microsoft.com/office/drawing/2014/main" id="{00000000-0008-0000-0200-0000BC0D0000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7" name="$E$113">
            <a:extLst>
              <a:ext uri="{FF2B5EF4-FFF2-40B4-BE49-F238E27FC236}">
                <a16:creationId xmlns:a16="http://schemas.microsoft.com/office/drawing/2014/main" id="{00000000-0008-0000-0200-0000BD0D0000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8" name="$E$113">
            <a:extLst>
              <a:ext uri="{FF2B5EF4-FFF2-40B4-BE49-F238E27FC236}">
                <a16:creationId xmlns:a16="http://schemas.microsoft.com/office/drawing/2014/main" id="{00000000-0008-0000-0200-0000BE0D00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9" name="$E$113">
            <a:extLst>
              <a:ext uri="{FF2B5EF4-FFF2-40B4-BE49-F238E27FC236}">
                <a16:creationId xmlns:a16="http://schemas.microsoft.com/office/drawing/2014/main" id="{00000000-0008-0000-0200-0000BF0D0000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0" name="$E$113">
            <a:extLst>
              <a:ext uri="{FF2B5EF4-FFF2-40B4-BE49-F238E27FC236}">
                <a16:creationId xmlns:a16="http://schemas.microsoft.com/office/drawing/2014/main" id="{00000000-0008-0000-0200-0000C00D00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1" name="$E$113">
            <a:extLst>
              <a:ext uri="{FF2B5EF4-FFF2-40B4-BE49-F238E27FC236}">
                <a16:creationId xmlns:a16="http://schemas.microsoft.com/office/drawing/2014/main" id="{00000000-0008-0000-0200-0000C10D0000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2" name="$E$113">
            <a:extLst>
              <a:ext uri="{FF2B5EF4-FFF2-40B4-BE49-F238E27FC236}">
                <a16:creationId xmlns:a16="http://schemas.microsoft.com/office/drawing/2014/main" id="{00000000-0008-0000-0200-0000C20D00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3" name="$E$113">
            <a:extLst>
              <a:ext uri="{FF2B5EF4-FFF2-40B4-BE49-F238E27FC236}">
                <a16:creationId xmlns:a16="http://schemas.microsoft.com/office/drawing/2014/main" id="{00000000-0008-0000-0200-0000C30D00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4" name="$E$113">
            <a:extLst>
              <a:ext uri="{FF2B5EF4-FFF2-40B4-BE49-F238E27FC236}">
                <a16:creationId xmlns:a16="http://schemas.microsoft.com/office/drawing/2014/main" id="{00000000-0008-0000-0200-0000C40D0000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5" name="$E$113">
            <a:extLst>
              <a:ext uri="{FF2B5EF4-FFF2-40B4-BE49-F238E27FC236}">
                <a16:creationId xmlns:a16="http://schemas.microsoft.com/office/drawing/2014/main" id="{00000000-0008-0000-0200-0000C50D0000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6" name="$E$113">
            <a:extLst>
              <a:ext uri="{FF2B5EF4-FFF2-40B4-BE49-F238E27FC236}">
                <a16:creationId xmlns:a16="http://schemas.microsoft.com/office/drawing/2014/main" id="{00000000-0008-0000-0200-0000C60D0000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7" name="$E$113">
            <a:extLst>
              <a:ext uri="{FF2B5EF4-FFF2-40B4-BE49-F238E27FC236}">
                <a16:creationId xmlns:a16="http://schemas.microsoft.com/office/drawing/2014/main" id="{00000000-0008-0000-0200-0000C70D00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8" name="$E$113">
            <a:extLst>
              <a:ext uri="{FF2B5EF4-FFF2-40B4-BE49-F238E27FC236}">
                <a16:creationId xmlns:a16="http://schemas.microsoft.com/office/drawing/2014/main" id="{00000000-0008-0000-0200-0000C80D00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9" name="$E$113">
            <a:extLst>
              <a:ext uri="{FF2B5EF4-FFF2-40B4-BE49-F238E27FC236}">
                <a16:creationId xmlns:a16="http://schemas.microsoft.com/office/drawing/2014/main" id="{00000000-0008-0000-0200-0000C90D0000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0" name="$E$113">
            <a:extLst>
              <a:ext uri="{FF2B5EF4-FFF2-40B4-BE49-F238E27FC236}">
                <a16:creationId xmlns:a16="http://schemas.microsoft.com/office/drawing/2014/main" id="{00000000-0008-0000-0200-0000CA0D0000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1" name="$E$113">
            <a:extLst>
              <a:ext uri="{FF2B5EF4-FFF2-40B4-BE49-F238E27FC236}">
                <a16:creationId xmlns:a16="http://schemas.microsoft.com/office/drawing/2014/main" id="{00000000-0008-0000-0200-0000CB0D00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2" name="$E$113">
            <a:extLst>
              <a:ext uri="{FF2B5EF4-FFF2-40B4-BE49-F238E27FC236}">
                <a16:creationId xmlns:a16="http://schemas.microsoft.com/office/drawing/2014/main" id="{00000000-0008-0000-0200-0000CC0D0000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3" name="$E$113">
            <a:extLst>
              <a:ext uri="{FF2B5EF4-FFF2-40B4-BE49-F238E27FC236}">
                <a16:creationId xmlns:a16="http://schemas.microsoft.com/office/drawing/2014/main" id="{00000000-0008-0000-0200-0000CD0D0000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4" name="$E$113">
            <a:extLst>
              <a:ext uri="{FF2B5EF4-FFF2-40B4-BE49-F238E27FC236}">
                <a16:creationId xmlns:a16="http://schemas.microsoft.com/office/drawing/2014/main" id="{00000000-0008-0000-0200-0000CE0D0000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5" name="$E$113">
            <a:extLst>
              <a:ext uri="{FF2B5EF4-FFF2-40B4-BE49-F238E27FC236}">
                <a16:creationId xmlns:a16="http://schemas.microsoft.com/office/drawing/2014/main" id="{00000000-0008-0000-0200-0000CF0D0000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6" name="$E$113">
            <a:extLst>
              <a:ext uri="{FF2B5EF4-FFF2-40B4-BE49-F238E27FC236}">
                <a16:creationId xmlns:a16="http://schemas.microsoft.com/office/drawing/2014/main" id="{00000000-0008-0000-0200-0000D00D0000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7" name="$E$113">
            <a:extLst>
              <a:ext uri="{FF2B5EF4-FFF2-40B4-BE49-F238E27FC236}">
                <a16:creationId xmlns:a16="http://schemas.microsoft.com/office/drawing/2014/main" id="{00000000-0008-0000-0200-0000D10D0000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8" name="$E$113">
            <a:extLst>
              <a:ext uri="{FF2B5EF4-FFF2-40B4-BE49-F238E27FC236}">
                <a16:creationId xmlns:a16="http://schemas.microsoft.com/office/drawing/2014/main" id="{00000000-0008-0000-0200-0000D20D00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9" name="$E$113">
            <a:extLst>
              <a:ext uri="{FF2B5EF4-FFF2-40B4-BE49-F238E27FC236}">
                <a16:creationId xmlns:a16="http://schemas.microsoft.com/office/drawing/2014/main" id="{00000000-0008-0000-0200-0000D30D000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0" name="$E$113">
            <a:extLst>
              <a:ext uri="{FF2B5EF4-FFF2-40B4-BE49-F238E27FC236}">
                <a16:creationId xmlns:a16="http://schemas.microsoft.com/office/drawing/2014/main" id="{00000000-0008-0000-0200-0000D40D0000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1" name="$E$113">
            <a:extLst>
              <a:ext uri="{FF2B5EF4-FFF2-40B4-BE49-F238E27FC236}">
                <a16:creationId xmlns:a16="http://schemas.microsoft.com/office/drawing/2014/main" id="{00000000-0008-0000-0200-0000D50D000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2" name="$E$113">
            <a:extLst>
              <a:ext uri="{FF2B5EF4-FFF2-40B4-BE49-F238E27FC236}">
                <a16:creationId xmlns:a16="http://schemas.microsoft.com/office/drawing/2014/main" id="{00000000-0008-0000-0200-0000D60D00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3" name="$E$113">
            <a:extLst>
              <a:ext uri="{FF2B5EF4-FFF2-40B4-BE49-F238E27FC236}">
                <a16:creationId xmlns:a16="http://schemas.microsoft.com/office/drawing/2014/main" id="{00000000-0008-0000-0200-0000D70D0000}"/>
              </a:ext>
            </a:extLst>
          </xdr:cNvPr>
          <xdr:cNvSpPr/>
        </xdr:nvSpPr>
        <xdr:spPr>
          <a:xfrm>
            <a:off x="203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4" name="$E$113">
            <a:extLst>
              <a:ext uri="{FF2B5EF4-FFF2-40B4-BE49-F238E27FC236}">
                <a16:creationId xmlns:a16="http://schemas.microsoft.com/office/drawing/2014/main" id="{00000000-0008-0000-0200-0000D80D00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5" name="$E$113">
            <a:extLst>
              <a:ext uri="{FF2B5EF4-FFF2-40B4-BE49-F238E27FC236}">
                <a16:creationId xmlns:a16="http://schemas.microsoft.com/office/drawing/2014/main" id="{00000000-0008-0000-0200-0000D90D0000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6" name="$E$113">
            <a:extLst>
              <a:ext uri="{FF2B5EF4-FFF2-40B4-BE49-F238E27FC236}">
                <a16:creationId xmlns:a16="http://schemas.microsoft.com/office/drawing/2014/main" id="{00000000-0008-0000-0200-0000DA0D00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7" name="$E$113">
            <a:extLst>
              <a:ext uri="{FF2B5EF4-FFF2-40B4-BE49-F238E27FC236}">
                <a16:creationId xmlns:a16="http://schemas.microsoft.com/office/drawing/2014/main" id="{00000000-0008-0000-0200-0000DB0D0000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8" name="$E$113">
            <a:extLst>
              <a:ext uri="{FF2B5EF4-FFF2-40B4-BE49-F238E27FC236}">
                <a16:creationId xmlns:a16="http://schemas.microsoft.com/office/drawing/2014/main" id="{00000000-0008-0000-0200-0000DC0D00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9" name="$E$113">
            <a:extLst>
              <a:ext uri="{FF2B5EF4-FFF2-40B4-BE49-F238E27FC236}">
                <a16:creationId xmlns:a16="http://schemas.microsoft.com/office/drawing/2014/main" id="{00000000-0008-0000-0200-0000DD0D00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0" name="$E$113">
            <a:extLst>
              <a:ext uri="{FF2B5EF4-FFF2-40B4-BE49-F238E27FC236}">
                <a16:creationId xmlns:a16="http://schemas.microsoft.com/office/drawing/2014/main" id="{00000000-0008-0000-0200-0000DE0D0000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1" name="$E$113">
            <a:extLst>
              <a:ext uri="{FF2B5EF4-FFF2-40B4-BE49-F238E27FC236}">
                <a16:creationId xmlns:a16="http://schemas.microsoft.com/office/drawing/2014/main" id="{00000000-0008-0000-0200-0000DF0D0000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2" name="$E$113">
            <a:extLst>
              <a:ext uri="{FF2B5EF4-FFF2-40B4-BE49-F238E27FC236}">
                <a16:creationId xmlns:a16="http://schemas.microsoft.com/office/drawing/2014/main" id="{00000000-0008-0000-0200-0000E00D0000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3" name="$E$113">
            <a:extLst>
              <a:ext uri="{FF2B5EF4-FFF2-40B4-BE49-F238E27FC236}">
                <a16:creationId xmlns:a16="http://schemas.microsoft.com/office/drawing/2014/main" id="{00000000-0008-0000-0200-0000E10D0000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4" name="$E$113">
            <a:extLst>
              <a:ext uri="{FF2B5EF4-FFF2-40B4-BE49-F238E27FC236}">
                <a16:creationId xmlns:a16="http://schemas.microsoft.com/office/drawing/2014/main" id="{00000000-0008-0000-0200-0000E20D0000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5" name="$E$113">
            <a:extLst>
              <a:ext uri="{FF2B5EF4-FFF2-40B4-BE49-F238E27FC236}">
                <a16:creationId xmlns:a16="http://schemas.microsoft.com/office/drawing/2014/main" id="{00000000-0008-0000-0200-0000E30D000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6" name="$E$113">
            <a:extLst>
              <a:ext uri="{FF2B5EF4-FFF2-40B4-BE49-F238E27FC236}">
                <a16:creationId xmlns:a16="http://schemas.microsoft.com/office/drawing/2014/main" id="{00000000-0008-0000-0200-0000E40D0000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7" name="$E$113">
            <a:extLst>
              <a:ext uri="{FF2B5EF4-FFF2-40B4-BE49-F238E27FC236}">
                <a16:creationId xmlns:a16="http://schemas.microsoft.com/office/drawing/2014/main" id="{00000000-0008-0000-0200-0000E50D00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8" name="$E$113">
            <a:extLst>
              <a:ext uri="{FF2B5EF4-FFF2-40B4-BE49-F238E27FC236}">
                <a16:creationId xmlns:a16="http://schemas.microsoft.com/office/drawing/2014/main" id="{00000000-0008-0000-0200-0000E60D0000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9" name="$E$113">
            <a:extLst>
              <a:ext uri="{FF2B5EF4-FFF2-40B4-BE49-F238E27FC236}">
                <a16:creationId xmlns:a16="http://schemas.microsoft.com/office/drawing/2014/main" id="{00000000-0008-0000-0200-0000E70D00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0" name="$E$113">
            <a:extLst>
              <a:ext uri="{FF2B5EF4-FFF2-40B4-BE49-F238E27FC236}">
                <a16:creationId xmlns:a16="http://schemas.microsoft.com/office/drawing/2014/main" id="{00000000-0008-0000-0200-0000E80D00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1" name="$E$113">
            <a:extLst>
              <a:ext uri="{FF2B5EF4-FFF2-40B4-BE49-F238E27FC236}">
                <a16:creationId xmlns:a16="http://schemas.microsoft.com/office/drawing/2014/main" id="{00000000-0008-0000-0200-0000E90D00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2" name="$E$113">
            <a:extLst>
              <a:ext uri="{FF2B5EF4-FFF2-40B4-BE49-F238E27FC236}">
                <a16:creationId xmlns:a16="http://schemas.microsoft.com/office/drawing/2014/main" id="{00000000-0008-0000-0200-0000EA0D00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3" name="$E$113">
            <a:extLst>
              <a:ext uri="{FF2B5EF4-FFF2-40B4-BE49-F238E27FC236}">
                <a16:creationId xmlns:a16="http://schemas.microsoft.com/office/drawing/2014/main" id="{00000000-0008-0000-0200-0000EB0D00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4" name="$E$113">
            <a:extLst>
              <a:ext uri="{FF2B5EF4-FFF2-40B4-BE49-F238E27FC236}">
                <a16:creationId xmlns:a16="http://schemas.microsoft.com/office/drawing/2014/main" id="{00000000-0008-0000-0200-0000EC0D0000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5" name="$E$113">
            <a:extLst>
              <a:ext uri="{FF2B5EF4-FFF2-40B4-BE49-F238E27FC236}">
                <a16:creationId xmlns:a16="http://schemas.microsoft.com/office/drawing/2014/main" id="{00000000-0008-0000-0200-0000ED0D00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6" name="$E$113">
            <a:extLst>
              <a:ext uri="{FF2B5EF4-FFF2-40B4-BE49-F238E27FC236}">
                <a16:creationId xmlns:a16="http://schemas.microsoft.com/office/drawing/2014/main" id="{00000000-0008-0000-0200-0000EE0D00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7" name="$E$113">
            <a:extLst>
              <a:ext uri="{FF2B5EF4-FFF2-40B4-BE49-F238E27FC236}">
                <a16:creationId xmlns:a16="http://schemas.microsoft.com/office/drawing/2014/main" id="{00000000-0008-0000-0200-0000EF0D00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8" name="$E$113">
            <a:extLst>
              <a:ext uri="{FF2B5EF4-FFF2-40B4-BE49-F238E27FC236}">
                <a16:creationId xmlns:a16="http://schemas.microsoft.com/office/drawing/2014/main" id="{00000000-0008-0000-0200-0000F00D0000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9" name="$E$113">
            <a:extLst>
              <a:ext uri="{FF2B5EF4-FFF2-40B4-BE49-F238E27FC236}">
                <a16:creationId xmlns:a16="http://schemas.microsoft.com/office/drawing/2014/main" id="{00000000-0008-0000-0200-0000F10D0000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0" name="$E$113">
            <a:extLst>
              <a:ext uri="{FF2B5EF4-FFF2-40B4-BE49-F238E27FC236}">
                <a16:creationId xmlns:a16="http://schemas.microsoft.com/office/drawing/2014/main" id="{00000000-0008-0000-0200-0000F20D0000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1" name="$E$113">
            <a:extLst>
              <a:ext uri="{FF2B5EF4-FFF2-40B4-BE49-F238E27FC236}">
                <a16:creationId xmlns:a16="http://schemas.microsoft.com/office/drawing/2014/main" id="{00000000-0008-0000-0200-0000F30D0000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2" name="$E$113">
            <a:extLst>
              <a:ext uri="{FF2B5EF4-FFF2-40B4-BE49-F238E27FC236}">
                <a16:creationId xmlns:a16="http://schemas.microsoft.com/office/drawing/2014/main" id="{00000000-0008-0000-0200-0000F40D0000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3" name="$E$113">
            <a:extLst>
              <a:ext uri="{FF2B5EF4-FFF2-40B4-BE49-F238E27FC236}">
                <a16:creationId xmlns:a16="http://schemas.microsoft.com/office/drawing/2014/main" id="{00000000-0008-0000-0200-0000F50D00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4" name="$E$113">
            <a:extLst>
              <a:ext uri="{FF2B5EF4-FFF2-40B4-BE49-F238E27FC236}">
                <a16:creationId xmlns:a16="http://schemas.microsoft.com/office/drawing/2014/main" id="{00000000-0008-0000-0200-0000F60D0000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5" name="$E$113">
            <a:extLst>
              <a:ext uri="{FF2B5EF4-FFF2-40B4-BE49-F238E27FC236}">
                <a16:creationId xmlns:a16="http://schemas.microsoft.com/office/drawing/2014/main" id="{00000000-0008-0000-0200-0000F70D0000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6" name="$E$113">
            <a:extLst>
              <a:ext uri="{FF2B5EF4-FFF2-40B4-BE49-F238E27FC236}">
                <a16:creationId xmlns:a16="http://schemas.microsoft.com/office/drawing/2014/main" id="{00000000-0008-0000-0200-0000F80D00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7" name="$E$113">
            <a:extLst>
              <a:ext uri="{FF2B5EF4-FFF2-40B4-BE49-F238E27FC236}">
                <a16:creationId xmlns:a16="http://schemas.microsoft.com/office/drawing/2014/main" id="{00000000-0008-0000-0200-0000F90D0000}"/>
              </a:ext>
            </a:extLst>
          </xdr:cNvPr>
          <xdr:cNvSpPr/>
        </xdr:nvSpPr>
        <xdr:spPr>
          <a:xfrm>
            <a:off x="241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8" name="$E$113">
            <a:extLst>
              <a:ext uri="{FF2B5EF4-FFF2-40B4-BE49-F238E27FC236}">
                <a16:creationId xmlns:a16="http://schemas.microsoft.com/office/drawing/2014/main" id="{00000000-0008-0000-0200-0000FA0D0000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9" name="$E$113">
            <a:extLst>
              <a:ext uri="{FF2B5EF4-FFF2-40B4-BE49-F238E27FC236}">
                <a16:creationId xmlns:a16="http://schemas.microsoft.com/office/drawing/2014/main" id="{00000000-0008-0000-0200-0000FB0D00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0" name="$E$113">
            <a:extLst>
              <a:ext uri="{FF2B5EF4-FFF2-40B4-BE49-F238E27FC236}">
                <a16:creationId xmlns:a16="http://schemas.microsoft.com/office/drawing/2014/main" id="{00000000-0008-0000-0200-0000FC0D00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1" name="$E$113">
            <a:extLst>
              <a:ext uri="{FF2B5EF4-FFF2-40B4-BE49-F238E27FC236}">
                <a16:creationId xmlns:a16="http://schemas.microsoft.com/office/drawing/2014/main" id="{00000000-0008-0000-0200-0000FD0D0000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2" name="$E$113">
            <a:extLst>
              <a:ext uri="{FF2B5EF4-FFF2-40B4-BE49-F238E27FC236}">
                <a16:creationId xmlns:a16="http://schemas.microsoft.com/office/drawing/2014/main" id="{00000000-0008-0000-0200-0000FE0D0000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3" name="$E$113">
            <a:extLst>
              <a:ext uri="{FF2B5EF4-FFF2-40B4-BE49-F238E27FC236}">
                <a16:creationId xmlns:a16="http://schemas.microsoft.com/office/drawing/2014/main" id="{00000000-0008-0000-0200-0000FF0D00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4" name="$E$113">
            <a:extLst>
              <a:ext uri="{FF2B5EF4-FFF2-40B4-BE49-F238E27FC236}">
                <a16:creationId xmlns:a16="http://schemas.microsoft.com/office/drawing/2014/main" id="{00000000-0008-0000-0200-0000000E0000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5" name="$E$113">
            <a:extLst>
              <a:ext uri="{FF2B5EF4-FFF2-40B4-BE49-F238E27FC236}">
                <a16:creationId xmlns:a16="http://schemas.microsoft.com/office/drawing/2014/main" id="{00000000-0008-0000-0200-0000010E0000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6" name="$E$113">
            <a:extLst>
              <a:ext uri="{FF2B5EF4-FFF2-40B4-BE49-F238E27FC236}">
                <a16:creationId xmlns:a16="http://schemas.microsoft.com/office/drawing/2014/main" id="{00000000-0008-0000-0200-0000020E0000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7" name="$E$113">
            <a:extLst>
              <a:ext uri="{FF2B5EF4-FFF2-40B4-BE49-F238E27FC236}">
                <a16:creationId xmlns:a16="http://schemas.microsoft.com/office/drawing/2014/main" id="{00000000-0008-0000-0200-0000030E0000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8" name="$E$113">
            <a:extLst>
              <a:ext uri="{FF2B5EF4-FFF2-40B4-BE49-F238E27FC236}">
                <a16:creationId xmlns:a16="http://schemas.microsoft.com/office/drawing/2014/main" id="{00000000-0008-0000-0200-0000040E00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9" name="$E$113">
            <a:extLst>
              <a:ext uri="{FF2B5EF4-FFF2-40B4-BE49-F238E27FC236}">
                <a16:creationId xmlns:a16="http://schemas.microsoft.com/office/drawing/2014/main" id="{00000000-0008-0000-0200-0000050E00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0" name="$E$113">
            <a:extLst>
              <a:ext uri="{FF2B5EF4-FFF2-40B4-BE49-F238E27FC236}">
                <a16:creationId xmlns:a16="http://schemas.microsoft.com/office/drawing/2014/main" id="{00000000-0008-0000-0200-0000060E00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1" name="$E$113">
            <a:extLst>
              <a:ext uri="{FF2B5EF4-FFF2-40B4-BE49-F238E27FC236}">
                <a16:creationId xmlns:a16="http://schemas.microsoft.com/office/drawing/2014/main" id="{00000000-0008-0000-0200-0000070E0000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2" name="$E$113">
            <a:extLst>
              <a:ext uri="{FF2B5EF4-FFF2-40B4-BE49-F238E27FC236}">
                <a16:creationId xmlns:a16="http://schemas.microsoft.com/office/drawing/2014/main" id="{00000000-0008-0000-0200-0000080E0000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3" name="$E$113">
            <a:extLst>
              <a:ext uri="{FF2B5EF4-FFF2-40B4-BE49-F238E27FC236}">
                <a16:creationId xmlns:a16="http://schemas.microsoft.com/office/drawing/2014/main" id="{00000000-0008-0000-0200-0000090E0000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4" name="$E$113">
            <a:extLst>
              <a:ext uri="{FF2B5EF4-FFF2-40B4-BE49-F238E27FC236}">
                <a16:creationId xmlns:a16="http://schemas.microsoft.com/office/drawing/2014/main" id="{00000000-0008-0000-0200-00000A0E00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5" name="$E$113">
            <a:extLst>
              <a:ext uri="{FF2B5EF4-FFF2-40B4-BE49-F238E27FC236}">
                <a16:creationId xmlns:a16="http://schemas.microsoft.com/office/drawing/2014/main" id="{00000000-0008-0000-0200-00000B0E0000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6" name="$E$113">
            <a:extLst>
              <a:ext uri="{FF2B5EF4-FFF2-40B4-BE49-F238E27FC236}">
                <a16:creationId xmlns:a16="http://schemas.microsoft.com/office/drawing/2014/main" id="{00000000-0008-0000-0200-00000C0E0000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7" name="$E$113">
            <a:extLst>
              <a:ext uri="{FF2B5EF4-FFF2-40B4-BE49-F238E27FC236}">
                <a16:creationId xmlns:a16="http://schemas.microsoft.com/office/drawing/2014/main" id="{00000000-0008-0000-0200-00000D0E0000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8" name="$E$113">
            <a:extLst>
              <a:ext uri="{FF2B5EF4-FFF2-40B4-BE49-F238E27FC236}">
                <a16:creationId xmlns:a16="http://schemas.microsoft.com/office/drawing/2014/main" id="{00000000-0008-0000-0200-00000E0E0000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9" name="$E$113">
            <a:extLst>
              <a:ext uri="{FF2B5EF4-FFF2-40B4-BE49-F238E27FC236}">
                <a16:creationId xmlns:a16="http://schemas.microsoft.com/office/drawing/2014/main" id="{00000000-0008-0000-0200-00000F0E0000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0" name="$E$113">
            <a:extLst>
              <a:ext uri="{FF2B5EF4-FFF2-40B4-BE49-F238E27FC236}">
                <a16:creationId xmlns:a16="http://schemas.microsoft.com/office/drawing/2014/main" id="{00000000-0008-0000-0200-0000100E00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1" name="$E$113">
            <a:extLst>
              <a:ext uri="{FF2B5EF4-FFF2-40B4-BE49-F238E27FC236}">
                <a16:creationId xmlns:a16="http://schemas.microsoft.com/office/drawing/2014/main" id="{00000000-0008-0000-0200-0000110E0000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2" name="$E$113">
            <a:extLst>
              <a:ext uri="{FF2B5EF4-FFF2-40B4-BE49-F238E27FC236}">
                <a16:creationId xmlns:a16="http://schemas.microsoft.com/office/drawing/2014/main" id="{00000000-0008-0000-0200-0000120E0000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3" name="$E$113">
            <a:extLst>
              <a:ext uri="{FF2B5EF4-FFF2-40B4-BE49-F238E27FC236}">
                <a16:creationId xmlns:a16="http://schemas.microsoft.com/office/drawing/2014/main" id="{00000000-0008-0000-0200-0000130E00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4" name="$E$113">
            <a:extLst>
              <a:ext uri="{FF2B5EF4-FFF2-40B4-BE49-F238E27FC236}">
                <a16:creationId xmlns:a16="http://schemas.microsoft.com/office/drawing/2014/main" id="{00000000-0008-0000-0200-0000140E00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5" name="$E$113">
            <a:extLst>
              <a:ext uri="{FF2B5EF4-FFF2-40B4-BE49-F238E27FC236}">
                <a16:creationId xmlns:a16="http://schemas.microsoft.com/office/drawing/2014/main" id="{00000000-0008-0000-0200-0000150E0000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6" name="$E$113">
            <a:extLst>
              <a:ext uri="{FF2B5EF4-FFF2-40B4-BE49-F238E27FC236}">
                <a16:creationId xmlns:a16="http://schemas.microsoft.com/office/drawing/2014/main" id="{00000000-0008-0000-0200-0000160E0000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7" name="$E$113">
            <a:extLst>
              <a:ext uri="{FF2B5EF4-FFF2-40B4-BE49-F238E27FC236}">
                <a16:creationId xmlns:a16="http://schemas.microsoft.com/office/drawing/2014/main" id="{00000000-0008-0000-0200-0000170E00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8" name="$E$113">
            <a:extLst>
              <a:ext uri="{FF2B5EF4-FFF2-40B4-BE49-F238E27FC236}">
                <a16:creationId xmlns:a16="http://schemas.microsoft.com/office/drawing/2014/main" id="{00000000-0008-0000-0200-0000180E00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9" name="$E$113">
            <a:extLst>
              <a:ext uri="{FF2B5EF4-FFF2-40B4-BE49-F238E27FC236}">
                <a16:creationId xmlns:a16="http://schemas.microsoft.com/office/drawing/2014/main" id="{00000000-0008-0000-0200-0000190E00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0" name="$E$113">
            <a:extLst>
              <a:ext uri="{FF2B5EF4-FFF2-40B4-BE49-F238E27FC236}">
                <a16:creationId xmlns:a16="http://schemas.microsoft.com/office/drawing/2014/main" id="{00000000-0008-0000-0200-00001A0E0000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1" name="$E$113">
            <a:extLst>
              <a:ext uri="{FF2B5EF4-FFF2-40B4-BE49-F238E27FC236}">
                <a16:creationId xmlns:a16="http://schemas.microsoft.com/office/drawing/2014/main" id="{00000000-0008-0000-0200-00001B0E00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2" name="$E$113">
            <a:extLst>
              <a:ext uri="{FF2B5EF4-FFF2-40B4-BE49-F238E27FC236}">
                <a16:creationId xmlns:a16="http://schemas.microsoft.com/office/drawing/2014/main" id="{00000000-0008-0000-0200-00001C0E0000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3" name="$E$113">
            <a:extLst>
              <a:ext uri="{FF2B5EF4-FFF2-40B4-BE49-F238E27FC236}">
                <a16:creationId xmlns:a16="http://schemas.microsoft.com/office/drawing/2014/main" id="{00000000-0008-0000-0200-00001D0E0000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4" name="$E$113">
            <a:extLst>
              <a:ext uri="{FF2B5EF4-FFF2-40B4-BE49-F238E27FC236}">
                <a16:creationId xmlns:a16="http://schemas.microsoft.com/office/drawing/2014/main" id="{00000000-0008-0000-0200-00001E0E0000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5" name="$E$113">
            <a:extLst>
              <a:ext uri="{FF2B5EF4-FFF2-40B4-BE49-F238E27FC236}">
                <a16:creationId xmlns:a16="http://schemas.microsoft.com/office/drawing/2014/main" id="{00000000-0008-0000-0200-00001F0E0000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6" name="$E$113">
            <a:extLst>
              <a:ext uri="{FF2B5EF4-FFF2-40B4-BE49-F238E27FC236}">
                <a16:creationId xmlns:a16="http://schemas.microsoft.com/office/drawing/2014/main" id="{00000000-0008-0000-0200-0000200E0000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7" name="$E$113">
            <a:extLst>
              <a:ext uri="{FF2B5EF4-FFF2-40B4-BE49-F238E27FC236}">
                <a16:creationId xmlns:a16="http://schemas.microsoft.com/office/drawing/2014/main" id="{00000000-0008-0000-0200-0000210E0000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8" name="$E$113">
            <a:extLst>
              <a:ext uri="{FF2B5EF4-FFF2-40B4-BE49-F238E27FC236}">
                <a16:creationId xmlns:a16="http://schemas.microsoft.com/office/drawing/2014/main" id="{00000000-0008-0000-0200-0000220E00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9" name="$E$113">
            <a:extLst>
              <a:ext uri="{FF2B5EF4-FFF2-40B4-BE49-F238E27FC236}">
                <a16:creationId xmlns:a16="http://schemas.microsoft.com/office/drawing/2014/main" id="{00000000-0008-0000-0200-0000230E00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0" name="$E$113">
            <a:extLst>
              <a:ext uri="{FF2B5EF4-FFF2-40B4-BE49-F238E27FC236}">
                <a16:creationId xmlns:a16="http://schemas.microsoft.com/office/drawing/2014/main" id="{00000000-0008-0000-0200-0000240E0000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1" name="$E$113">
            <a:extLst>
              <a:ext uri="{FF2B5EF4-FFF2-40B4-BE49-F238E27FC236}">
                <a16:creationId xmlns:a16="http://schemas.microsoft.com/office/drawing/2014/main" id="{00000000-0008-0000-0200-0000250E0000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2" name="$E$113">
            <a:extLst>
              <a:ext uri="{FF2B5EF4-FFF2-40B4-BE49-F238E27FC236}">
                <a16:creationId xmlns:a16="http://schemas.microsoft.com/office/drawing/2014/main" id="{00000000-0008-0000-0200-0000260E00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3" name="$E$113">
            <a:extLst>
              <a:ext uri="{FF2B5EF4-FFF2-40B4-BE49-F238E27FC236}">
                <a16:creationId xmlns:a16="http://schemas.microsoft.com/office/drawing/2014/main" id="{00000000-0008-0000-0200-0000270E00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4" name="$E$113">
            <a:extLst>
              <a:ext uri="{FF2B5EF4-FFF2-40B4-BE49-F238E27FC236}">
                <a16:creationId xmlns:a16="http://schemas.microsoft.com/office/drawing/2014/main" id="{00000000-0008-0000-0200-0000280E00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5" name="$E$113">
            <a:extLst>
              <a:ext uri="{FF2B5EF4-FFF2-40B4-BE49-F238E27FC236}">
                <a16:creationId xmlns:a16="http://schemas.microsoft.com/office/drawing/2014/main" id="{00000000-0008-0000-0200-0000290E0000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6" name="$E$113">
            <a:extLst>
              <a:ext uri="{FF2B5EF4-FFF2-40B4-BE49-F238E27FC236}">
                <a16:creationId xmlns:a16="http://schemas.microsoft.com/office/drawing/2014/main" id="{00000000-0008-0000-0200-00002A0E0000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7" name="$E$113">
            <a:extLst>
              <a:ext uri="{FF2B5EF4-FFF2-40B4-BE49-F238E27FC236}">
                <a16:creationId xmlns:a16="http://schemas.microsoft.com/office/drawing/2014/main" id="{00000000-0008-0000-0200-00002B0E0000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8" name="$E$113">
            <a:extLst>
              <a:ext uri="{FF2B5EF4-FFF2-40B4-BE49-F238E27FC236}">
                <a16:creationId xmlns:a16="http://schemas.microsoft.com/office/drawing/2014/main" id="{00000000-0008-0000-0200-00002C0E00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9" name="$E$113">
            <a:extLst>
              <a:ext uri="{FF2B5EF4-FFF2-40B4-BE49-F238E27FC236}">
                <a16:creationId xmlns:a16="http://schemas.microsoft.com/office/drawing/2014/main" id="{00000000-0008-0000-0200-00002D0E0000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0" name="$E$113">
            <a:extLst>
              <a:ext uri="{FF2B5EF4-FFF2-40B4-BE49-F238E27FC236}">
                <a16:creationId xmlns:a16="http://schemas.microsoft.com/office/drawing/2014/main" id="{00000000-0008-0000-0200-00002E0E0000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1" name="$E$113">
            <a:extLst>
              <a:ext uri="{FF2B5EF4-FFF2-40B4-BE49-F238E27FC236}">
                <a16:creationId xmlns:a16="http://schemas.microsoft.com/office/drawing/2014/main" id="{00000000-0008-0000-0200-00002F0E00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2" name="$E$113">
            <a:extLst>
              <a:ext uri="{FF2B5EF4-FFF2-40B4-BE49-F238E27FC236}">
                <a16:creationId xmlns:a16="http://schemas.microsoft.com/office/drawing/2014/main" id="{00000000-0008-0000-0200-0000300E00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3" name="$E$113">
            <a:extLst>
              <a:ext uri="{FF2B5EF4-FFF2-40B4-BE49-F238E27FC236}">
                <a16:creationId xmlns:a16="http://schemas.microsoft.com/office/drawing/2014/main" id="{00000000-0008-0000-0200-0000310E00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4" name="$E$113">
            <a:extLst>
              <a:ext uri="{FF2B5EF4-FFF2-40B4-BE49-F238E27FC236}">
                <a16:creationId xmlns:a16="http://schemas.microsoft.com/office/drawing/2014/main" id="{00000000-0008-0000-0200-0000320E00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5" name="$E$113">
            <a:extLst>
              <a:ext uri="{FF2B5EF4-FFF2-40B4-BE49-F238E27FC236}">
                <a16:creationId xmlns:a16="http://schemas.microsoft.com/office/drawing/2014/main" id="{00000000-0008-0000-0200-0000330E00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6" name="$E$113">
            <a:extLst>
              <a:ext uri="{FF2B5EF4-FFF2-40B4-BE49-F238E27FC236}">
                <a16:creationId xmlns:a16="http://schemas.microsoft.com/office/drawing/2014/main" id="{00000000-0008-0000-0200-0000340E00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7" name="$E$113">
            <a:extLst>
              <a:ext uri="{FF2B5EF4-FFF2-40B4-BE49-F238E27FC236}">
                <a16:creationId xmlns:a16="http://schemas.microsoft.com/office/drawing/2014/main" id="{00000000-0008-0000-0200-0000350E0000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8" name="$E$113">
            <a:extLst>
              <a:ext uri="{FF2B5EF4-FFF2-40B4-BE49-F238E27FC236}">
                <a16:creationId xmlns:a16="http://schemas.microsoft.com/office/drawing/2014/main" id="{00000000-0008-0000-0200-0000360E00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9" name="$E$113">
            <a:extLst>
              <a:ext uri="{FF2B5EF4-FFF2-40B4-BE49-F238E27FC236}">
                <a16:creationId xmlns:a16="http://schemas.microsoft.com/office/drawing/2014/main" id="{00000000-0008-0000-0200-0000370E0000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0" name="$E$113">
            <a:extLst>
              <a:ext uri="{FF2B5EF4-FFF2-40B4-BE49-F238E27FC236}">
                <a16:creationId xmlns:a16="http://schemas.microsoft.com/office/drawing/2014/main" id="{00000000-0008-0000-0200-0000380E0000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1" name="$E$113">
            <a:extLst>
              <a:ext uri="{FF2B5EF4-FFF2-40B4-BE49-F238E27FC236}">
                <a16:creationId xmlns:a16="http://schemas.microsoft.com/office/drawing/2014/main" id="{00000000-0008-0000-0200-0000390E00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2" name="$E$113">
            <a:extLst>
              <a:ext uri="{FF2B5EF4-FFF2-40B4-BE49-F238E27FC236}">
                <a16:creationId xmlns:a16="http://schemas.microsoft.com/office/drawing/2014/main" id="{00000000-0008-0000-0200-00003A0E0000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3" name="$E$113">
            <a:extLst>
              <a:ext uri="{FF2B5EF4-FFF2-40B4-BE49-F238E27FC236}">
                <a16:creationId xmlns:a16="http://schemas.microsoft.com/office/drawing/2014/main" id="{00000000-0008-0000-0200-00003B0E0000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4" name="$E$113">
            <a:extLst>
              <a:ext uri="{FF2B5EF4-FFF2-40B4-BE49-F238E27FC236}">
                <a16:creationId xmlns:a16="http://schemas.microsoft.com/office/drawing/2014/main" id="{00000000-0008-0000-0200-00003C0E00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5" name="$E$113">
            <a:extLst>
              <a:ext uri="{FF2B5EF4-FFF2-40B4-BE49-F238E27FC236}">
                <a16:creationId xmlns:a16="http://schemas.microsoft.com/office/drawing/2014/main" id="{00000000-0008-0000-0200-00003D0E0000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6" name="$E$113">
            <a:extLst>
              <a:ext uri="{FF2B5EF4-FFF2-40B4-BE49-F238E27FC236}">
                <a16:creationId xmlns:a16="http://schemas.microsoft.com/office/drawing/2014/main" id="{00000000-0008-0000-0200-00003E0E0000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7" name="$E$113">
            <a:extLst>
              <a:ext uri="{FF2B5EF4-FFF2-40B4-BE49-F238E27FC236}">
                <a16:creationId xmlns:a16="http://schemas.microsoft.com/office/drawing/2014/main" id="{00000000-0008-0000-0200-00003F0E00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8" name="$E$113">
            <a:extLst>
              <a:ext uri="{FF2B5EF4-FFF2-40B4-BE49-F238E27FC236}">
                <a16:creationId xmlns:a16="http://schemas.microsoft.com/office/drawing/2014/main" id="{00000000-0008-0000-0200-0000400E00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9" name="$E$113">
            <a:extLst>
              <a:ext uri="{FF2B5EF4-FFF2-40B4-BE49-F238E27FC236}">
                <a16:creationId xmlns:a16="http://schemas.microsoft.com/office/drawing/2014/main" id="{00000000-0008-0000-0200-0000410E00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0" name="$E$113">
            <a:extLst>
              <a:ext uri="{FF2B5EF4-FFF2-40B4-BE49-F238E27FC236}">
                <a16:creationId xmlns:a16="http://schemas.microsoft.com/office/drawing/2014/main" id="{00000000-0008-0000-0200-0000420E00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1" name="$E$113">
            <a:extLst>
              <a:ext uri="{FF2B5EF4-FFF2-40B4-BE49-F238E27FC236}">
                <a16:creationId xmlns:a16="http://schemas.microsoft.com/office/drawing/2014/main" id="{00000000-0008-0000-0200-0000430E0000}"/>
              </a:ext>
            </a:extLst>
          </xdr:cNvPr>
          <xdr:cNvSpPr/>
        </xdr:nvSpPr>
        <xdr:spPr>
          <a:xfrm>
            <a:off x="88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2" name="$E$113">
            <a:extLst>
              <a:ext uri="{FF2B5EF4-FFF2-40B4-BE49-F238E27FC236}">
                <a16:creationId xmlns:a16="http://schemas.microsoft.com/office/drawing/2014/main" id="{00000000-0008-0000-0200-0000440E0000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3" name="$E$113">
            <a:extLst>
              <a:ext uri="{FF2B5EF4-FFF2-40B4-BE49-F238E27FC236}">
                <a16:creationId xmlns:a16="http://schemas.microsoft.com/office/drawing/2014/main" id="{00000000-0008-0000-0200-0000450E0000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4" name="$E$113">
            <a:extLst>
              <a:ext uri="{FF2B5EF4-FFF2-40B4-BE49-F238E27FC236}">
                <a16:creationId xmlns:a16="http://schemas.microsoft.com/office/drawing/2014/main" id="{00000000-0008-0000-0200-0000460E00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5" name="$E$113">
            <a:extLst>
              <a:ext uri="{FF2B5EF4-FFF2-40B4-BE49-F238E27FC236}">
                <a16:creationId xmlns:a16="http://schemas.microsoft.com/office/drawing/2014/main" id="{00000000-0008-0000-0200-0000470E00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6" name="$E$113">
            <a:extLst>
              <a:ext uri="{FF2B5EF4-FFF2-40B4-BE49-F238E27FC236}">
                <a16:creationId xmlns:a16="http://schemas.microsoft.com/office/drawing/2014/main" id="{00000000-0008-0000-0200-0000480E00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7" name="$E$113">
            <a:extLst>
              <a:ext uri="{FF2B5EF4-FFF2-40B4-BE49-F238E27FC236}">
                <a16:creationId xmlns:a16="http://schemas.microsoft.com/office/drawing/2014/main" id="{00000000-0008-0000-0200-0000490E0000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8" name="$E$113">
            <a:extLst>
              <a:ext uri="{FF2B5EF4-FFF2-40B4-BE49-F238E27FC236}">
                <a16:creationId xmlns:a16="http://schemas.microsoft.com/office/drawing/2014/main" id="{00000000-0008-0000-0200-00004A0E00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9" name="$E$113">
            <a:extLst>
              <a:ext uri="{FF2B5EF4-FFF2-40B4-BE49-F238E27FC236}">
                <a16:creationId xmlns:a16="http://schemas.microsoft.com/office/drawing/2014/main" id="{00000000-0008-0000-0200-00004B0E0000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0" name="$E$113">
            <a:extLst>
              <a:ext uri="{FF2B5EF4-FFF2-40B4-BE49-F238E27FC236}">
                <a16:creationId xmlns:a16="http://schemas.microsoft.com/office/drawing/2014/main" id="{00000000-0008-0000-0200-00004C0E00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1" name="$E$113">
            <a:extLst>
              <a:ext uri="{FF2B5EF4-FFF2-40B4-BE49-F238E27FC236}">
                <a16:creationId xmlns:a16="http://schemas.microsoft.com/office/drawing/2014/main" id="{00000000-0008-0000-0200-00004D0E0000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2" name="$E$113">
            <a:extLst>
              <a:ext uri="{FF2B5EF4-FFF2-40B4-BE49-F238E27FC236}">
                <a16:creationId xmlns:a16="http://schemas.microsoft.com/office/drawing/2014/main" id="{00000000-0008-0000-0200-00004E0E00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3" name="$E$113">
            <a:extLst>
              <a:ext uri="{FF2B5EF4-FFF2-40B4-BE49-F238E27FC236}">
                <a16:creationId xmlns:a16="http://schemas.microsoft.com/office/drawing/2014/main" id="{00000000-0008-0000-0200-00004F0E00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4" name="$E$113">
            <a:extLst>
              <a:ext uri="{FF2B5EF4-FFF2-40B4-BE49-F238E27FC236}">
                <a16:creationId xmlns:a16="http://schemas.microsoft.com/office/drawing/2014/main" id="{00000000-0008-0000-0200-0000500E00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5" name="$E$113">
            <a:extLst>
              <a:ext uri="{FF2B5EF4-FFF2-40B4-BE49-F238E27FC236}">
                <a16:creationId xmlns:a16="http://schemas.microsoft.com/office/drawing/2014/main" id="{00000000-0008-0000-0200-0000510E0000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6" name="$E$113">
            <a:extLst>
              <a:ext uri="{FF2B5EF4-FFF2-40B4-BE49-F238E27FC236}">
                <a16:creationId xmlns:a16="http://schemas.microsoft.com/office/drawing/2014/main" id="{00000000-0008-0000-0200-0000520E00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7" name="$E$113">
            <a:extLst>
              <a:ext uri="{FF2B5EF4-FFF2-40B4-BE49-F238E27FC236}">
                <a16:creationId xmlns:a16="http://schemas.microsoft.com/office/drawing/2014/main" id="{00000000-0008-0000-0200-0000530E0000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8" name="$E$113">
            <a:extLst>
              <a:ext uri="{FF2B5EF4-FFF2-40B4-BE49-F238E27FC236}">
                <a16:creationId xmlns:a16="http://schemas.microsoft.com/office/drawing/2014/main" id="{00000000-0008-0000-0200-0000540E0000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9" name="$E$113">
            <a:extLst>
              <a:ext uri="{FF2B5EF4-FFF2-40B4-BE49-F238E27FC236}">
                <a16:creationId xmlns:a16="http://schemas.microsoft.com/office/drawing/2014/main" id="{00000000-0008-0000-0200-0000550E00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0" name="$E$113">
            <a:extLst>
              <a:ext uri="{FF2B5EF4-FFF2-40B4-BE49-F238E27FC236}">
                <a16:creationId xmlns:a16="http://schemas.microsoft.com/office/drawing/2014/main" id="{00000000-0008-0000-0200-0000560E00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1" name="$E$113">
            <a:extLst>
              <a:ext uri="{FF2B5EF4-FFF2-40B4-BE49-F238E27FC236}">
                <a16:creationId xmlns:a16="http://schemas.microsoft.com/office/drawing/2014/main" id="{00000000-0008-0000-0200-0000570E00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2" name="$E$113">
            <a:extLst>
              <a:ext uri="{FF2B5EF4-FFF2-40B4-BE49-F238E27FC236}">
                <a16:creationId xmlns:a16="http://schemas.microsoft.com/office/drawing/2014/main" id="{00000000-0008-0000-0200-0000580E00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3" name="$E$113">
            <a:extLst>
              <a:ext uri="{FF2B5EF4-FFF2-40B4-BE49-F238E27FC236}">
                <a16:creationId xmlns:a16="http://schemas.microsoft.com/office/drawing/2014/main" id="{00000000-0008-0000-0200-0000590E0000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4" name="$E$113">
            <a:extLst>
              <a:ext uri="{FF2B5EF4-FFF2-40B4-BE49-F238E27FC236}">
                <a16:creationId xmlns:a16="http://schemas.microsoft.com/office/drawing/2014/main" id="{00000000-0008-0000-0200-00005A0E00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5" name="$E$113">
            <a:extLst>
              <a:ext uri="{FF2B5EF4-FFF2-40B4-BE49-F238E27FC236}">
                <a16:creationId xmlns:a16="http://schemas.microsoft.com/office/drawing/2014/main" id="{00000000-0008-0000-0200-00005B0E00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6" name="$E$113">
            <a:extLst>
              <a:ext uri="{FF2B5EF4-FFF2-40B4-BE49-F238E27FC236}">
                <a16:creationId xmlns:a16="http://schemas.microsoft.com/office/drawing/2014/main" id="{00000000-0008-0000-0200-00005C0E00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7" name="$E$113">
            <a:extLst>
              <a:ext uri="{FF2B5EF4-FFF2-40B4-BE49-F238E27FC236}">
                <a16:creationId xmlns:a16="http://schemas.microsoft.com/office/drawing/2014/main" id="{00000000-0008-0000-0200-00005D0E00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8" name="$E$113">
            <a:extLst>
              <a:ext uri="{FF2B5EF4-FFF2-40B4-BE49-F238E27FC236}">
                <a16:creationId xmlns:a16="http://schemas.microsoft.com/office/drawing/2014/main" id="{00000000-0008-0000-0200-00005E0E0000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9" name="$E$113">
            <a:extLst>
              <a:ext uri="{FF2B5EF4-FFF2-40B4-BE49-F238E27FC236}">
                <a16:creationId xmlns:a16="http://schemas.microsoft.com/office/drawing/2014/main" id="{00000000-0008-0000-0200-00005F0E00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0" name="$E$113">
            <a:extLst>
              <a:ext uri="{FF2B5EF4-FFF2-40B4-BE49-F238E27FC236}">
                <a16:creationId xmlns:a16="http://schemas.microsoft.com/office/drawing/2014/main" id="{00000000-0008-0000-0200-0000600E0000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1" name="$E$113">
            <a:extLst>
              <a:ext uri="{FF2B5EF4-FFF2-40B4-BE49-F238E27FC236}">
                <a16:creationId xmlns:a16="http://schemas.microsoft.com/office/drawing/2014/main" id="{00000000-0008-0000-0200-0000610E0000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2" name="$E$113">
            <a:extLst>
              <a:ext uri="{FF2B5EF4-FFF2-40B4-BE49-F238E27FC236}">
                <a16:creationId xmlns:a16="http://schemas.microsoft.com/office/drawing/2014/main" id="{00000000-0008-0000-0200-0000620E0000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3" name="$E$113">
            <a:extLst>
              <a:ext uri="{FF2B5EF4-FFF2-40B4-BE49-F238E27FC236}">
                <a16:creationId xmlns:a16="http://schemas.microsoft.com/office/drawing/2014/main" id="{00000000-0008-0000-0200-0000630E00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4" name="$E$113">
            <a:extLst>
              <a:ext uri="{FF2B5EF4-FFF2-40B4-BE49-F238E27FC236}">
                <a16:creationId xmlns:a16="http://schemas.microsoft.com/office/drawing/2014/main" id="{00000000-0008-0000-0200-0000640E00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5" name="$E$113">
            <a:extLst>
              <a:ext uri="{FF2B5EF4-FFF2-40B4-BE49-F238E27FC236}">
                <a16:creationId xmlns:a16="http://schemas.microsoft.com/office/drawing/2014/main" id="{00000000-0008-0000-0200-0000650E0000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6" name="$E$113">
            <a:extLst>
              <a:ext uri="{FF2B5EF4-FFF2-40B4-BE49-F238E27FC236}">
                <a16:creationId xmlns:a16="http://schemas.microsoft.com/office/drawing/2014/main" id="{00000000-0008-0000-0200-0000660E00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7" name="$E$113">
            <a:extLst>
              <a:ext uri="{FF2B5EF4-FFF2-40B4-BE49-F238E27FC236}">
                <a16:creationId xmlns:a16="http://schemas.microsoft.com/office/drawing/2014/main" id="{00000000-0008-0000-0200-0000670E0000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8" name="$E$113">
            <a:extLst>
              <a:ext uri="{FF2B5EF4-FFF2-40B4-BE49-F238E27FC236}">
                <a16:creationId xmlns:a16="http://schemas.microsoft.com/office/drawing/2014/main" id="{00000000-0008-0000-0200-0000680E00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9" name="$E$113">
            <a:extLst>
              <a:ext uri="{FF2B5EF4-FFF2-40B4-BE49-F238E27FC236}">
                <a16:creationId xmlns:a16="http://schemas.microsoft.com/office/drawing/2014/main" id="{00000000-0008-0000-0200-0000690E0000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0" name="$E$113">
            <a:extLst>
              <a:ext uri="{FF2B5EF4-FFF2-40B4-BE49-F238E27FC236}">
                <a16:creationId xmlns:a16="http://schemas.microsoft.com/office/drawing/2014/main" id="{00000000-0008-0000-0200-00006A0E00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1" name="$E$113">
            <a:extLst>
              <a:ext uri="{FF2B5EF4-FFF2-40B4-BE49-F238E27FC236}">
                <a16:creationId xmlns:a16="http://schemas.microsoft.com/office/drawing/2014/main" id="{00000000-0008-0000-0200-00006B0E0000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2" name="$E$113">
            <a:extLst>
              <a:ext uri="{FF2B5EF4-FFF2-40B4-BE49-F238E27FC236}">
                <a16:creationId xmlns:a16="http://schemas.microsoft.com/office/drawing/2014/main" id="{00000000-0008-0000-0200-00006C0E00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3" name="$E$113">
            <a:extLst>
              <a:ext uri="{FF2B5EF4-FFF2-40B4-BE49-F238E27FC236}">
                <a16:creationId xmlns:a16="http://schemas.microsoft.com/office/drawing/2014/main" id="{00000000-0008-0000-0200-00006D0E000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4" name="$E$113">
            <a:extLst>
              <a:ext uri="{FF2B5EF4-FFF2-40B4-BE49-F238E27FC236}">
                <a16:creationId xmlns:a16="http://schemas.microsoft.com/office/drawing/2014/main" id="{00000000-0008-0000-0200-00006E0E0000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5" name="$E$113">
            <a:extLst>
              <a:ext uri="{FF2B5EF4-FFF2-40B4-BE49-F238E27FC236}">
                <a16:creationId xmlns:a16="http://schemas.microsoft.com/office/drawing/2014/main" id="{00000000-0008-0000-0200-00006F0E0000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6" name="$E$113">
            <a:extLst>
              <a:ext uri="{FF2B5EF4-FFF2-40B4-BE49-F238E27FC236}">
                <a16:creationId xmlns:a16="http://schemas.microsoft.com/office/drawing/2014/main" id="{00000000-0008-0000-0200-0000700E00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7" name="$E$113">
            <a:extLst>
              <a:ext uri="{FF2B5EF4-FFF2-40B4-BE49-F238E27FC236}">
                <a16:creationId xmlns:a16="http://schemas.microsoft.com/office/drawing/2014/main" id="{00000000-0008-0000-0200-0000710E0000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8" name="$E$113">
            <a:extLst>
              <a:ext uri="{FF2B5EF4-FFF2-40B4-BE49-F238E27FC236}">
                <a16:creationId xmlns:a16="http://schemas.microsoft.com/office/drawing/2014/main" id="{00000000-0008-0000-0200-0000720E0000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9" name="$E$113">
            <a:extLst>
              <a:ext uri="{FF2B5EF4-FFF2-40B4-BE49-F238E27FC236}">
                <a16:creationId xmlns:a16="http://schemas.microsoft.com/office/drawing/2014/main" id="{00000000-0008-0000-0200-0000730E0000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0" name="$E$113">
            <a:extLst>
              <a:ext uri="{FF2B5EF4-FFF2-40B4-BE49-F238E27FC236}">
                <a16:creationId xmlns:a16="http://schemas.microsoft.com/office/drawing/2014/main" id="{00000000-0008-0000-0200-0000740E0000}"/>
              </a:ext>
            </a:extLst>
          </xdr:cNvPr>
          <xdr:cNvSpPr/>
        </xdr:nvSpPr>
        <xdr:spPr>
          <a:xfrm>
            <a:off x="12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1" name="$E$113">
            <a:extLst>
              <a:ext uri="{FF2B5EF4-FFF2-40B4-BE49-F238E27FC236}">
                <a16:creationId xmlns:a16="http://schemas.microsoft.com/office/drawing/2014/main" id="{00000000-0008-0000-0200-0000750E00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2" name="$E$113">
            <a:extLst>
              <a:ext uri="{FF2B5EF4-FFF2-40B4-BE49-F238E27FC236}">
                <a16:creationId xmlns:a16="http://schemas.microsoft.com/office/drawing/2014/main" id="{00000000-0008-0000-0200-0000760E0000}"/>
              </a:ext>
            </a:extLst>
          </xdr:cNvPr>
          <xdr:cNvSpPr/>
        </xdr:nvSpPr>
        <xdr:spPr>
          <a:xfrm>
            <a:off x="50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3" name="$E$113">
            <a:extLst>
              <a:ext uri="{FF2B5EF4-FFF2-40B4-BE49-F238E27FC236}">
                <a16:creationId xmlns:a16="http://schemas.microsoft.com/office/drawing/2014/main" id="{00000000-0008-0000-0200-0000770E00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4" name="$E$113">
            <a:extLst>
              <a:ext uri="{FF2B5EF4-FFF2-40B4-BE49-F238E27FC236}">
                <a16:creationId xmlns:a16="http://schemas.microsoft.com/office/drawing/2014/main" id="{00000000-0008-0000-0200-0000780E00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5" name="$E$113">
            <a:extLst>
              <a:ext uri="{FF2B5EF4-FFF2-40B4-BE49-F238E27FC236}">
                <a16:creationId xmlns:a16="http://schemas.microsoft.com/office/drawing/2014/main" id="{00000000-0008-0000-0200-0000790E0000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6" name="$E$113">
            <a:extLst>
              <a:ext uri="{FF2B5EF4-FFF2-40B4-BE49-F238E27FC236}">
                <a16:creationId xmlns:a16="http://schemas.microsoft.com/office/drawing/2014/main" id="{00000000-0008-0000-0200-00007A0E0000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7" name="$E$113">
            <a:extLst>
              <a:ext uri="{FF2B5EF4-FFF2-40B4-BE49-F238E27FC236}">
                <a16:creationId xmlns:a16="http://schemas.microsoft.com/office/drawing/2014/main" id="{00000000-0008-0000-0200-00007B0E00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8" name="$E$113">
            <a:extLst>
              <a:ext uri="{FF2B5EF4-FFF2-40B4-BE49-F238E27FC236}">
                <a16:creationId xmlns:a16="http://schemas.microsoft.com/office/drawing/2014/main" id="{00000000-0008-0000-0200-00007C0E00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9" name="$E$113">
            <a:extLst>
              <a:ext uri="{FF2B5EF4-FFF2-40B4-BE49-F238E27FC236}">
                <a16:creationId xmlns:a16="http://schemas.microsoft.com/office/drawing/2014/main" id="{00000000-0008-0000-0200-00007D0E00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0" name="$E$113">
            <a:extLst>
              <a:ext uri="{FF2B5EF4-FFF2-40B4-BE49-F238E27FC236}">
                <a16:creationId xmlns:a16="http://schemas.microsoft.com/office/drawing/2014/main" id="{00000000-0008-0000-0200-00007E0E00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1" name="$E$113">
            <a:extLst>
              <a:ext uri="{FF2B5EF4-FFF2-40B4-BE49-F238E27FC236}">
                <a16:creationId xmlns:a16="http://schemas.microsoft.com/office/drawing/2014/main" id="{00000000-0008-0000-0200-00007F0E00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2" name="$E$113">
            <a:extLst>
              <a:ext uri="{FF2B5EF4-FFF2-40B4-BE49-F238E27FC236}">
                <a16:creationId xmlns:a16="http://schemas.microsoft.com/office/drawing/2014/main" id="{00000000-0008-0000-0200-0000800E0000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3" name="$E$113">
            <a:extLst>
              <a:ext uri="{FF2B5EF4-FFF2-40B4-BE49-F238E27FC236}">
                <a16:creationId xmlns:a16="http://schemas.microsoft.com/office/drawing/2014/main" id="{00000000-0008-0000-0200-0000810E0000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4" name="$E$113">
            <a:extLst>
              <a:ext uri="{FF2B5EF4-FFF2-40B4-BE49-F238E27FC236}">
                <a16:creationId xmlns:a16="http://schemas.microsoft.com/office/drawing/2014/main" id="{00000000-0008-0000-0200-0000820E0000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5" name="$E$113">
            <a:extLst>
              <a:ext uri="{FF2B5EF4-FFF2-40B4-BE49-F238E27FC236}">
                <a16:creationId xmlns:a16="http://schemas.microsoft.com/office/drawing/2014/main" id="{00000000-0008-0000-0200-0000830E00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6" name="$E$113">
            <a:extLst>
              <a:ext uri="{FF2B5EF4-FFF2-40B4-BE49-F238E27FC236}">
                <a16:creationId xmlns:a16="http://schemas.microsoft.com/office/drawing/2014/main" id="{00000000-0008-0000-0200-0000840E0000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7" name="$E$113">
            <a:extLst>
              <a:ext uri="{FF2B5EF4-FFF2-40B4-BE49-F238E27FC236}">
                <a16:creationId xmlns:a16="http://schemas.microsoft.com/office/drawing/2014/main" id="{00000000-0008-0000-0200-0000850E00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8" name="$E$113">
            <a:extLst>
              <a:ext uri="{FF2B5EF4-FFF2-40B4-BE49-F238E27FC236}">
                <a16:creationId xmlns:a16="http://schemas.microsoft.com/office/drawing/2014/main" id="{00000000-0008-0000-0200-0000860E0000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9" name="$E$113">
            <a:extLst>
              <a:ext uri="{FF2B5EF4-FFF2-40B4-BE49-F238E27FC236}">
                <a16:creationId xmlns:a16="http://schemas.microsoft.com/office/drawing/2014/main" id="{00000000-0008-0000-0200-0000870E00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0" name="$E$113">
            <a:extLst>
              <a:ext uri="{FF2B5EF4-FFF2-40B4-BE49-F238E27FC236}">
                <a16:creationId xmlns:a16="http://schemas.microsoft.com/office/drawing/2014/main" id="{00000000-0008-0000-0200-0000880E00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1" name="$E$113">
            <a:extLst>
              <a:ext uri="{FF2B5EF4-FFF2-40B4-BE49-F238E27FC236}">
                <a16:creationId xmlns:a16="http://schemas.microsoft.com/office/drawing/2014/main" id="{00000000-0008-0000-0200-0000890E0000}"/>
              </a:ext>
            </a:extLst>
          </xdr:cNvPr>
          <xdr:cNvSpPr/>
        </xdr:nvSpPr>
        <xdr:spPr>
          <a:xfrm>
            <a:off x="88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2" name="$E$113">
            <a:extLst>
              <a:ext uri="{FF2B5EF4-FFF2-40B4-BE49-F238E27FC236}">
                <a16:creationId xmlns:a16="http://schemas.microsoft.com/office/drawing/2014/main" id="{00000000-0008-0000-0200-00008A0E0000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3" name="$E$113">
            <a:extLst>
              <a:ext uri="{FF2B5EF4-FFF2-40B4-BE49-F238E27FC236}">
                <a16:creationId xmlns:a16="http://schemas.microsoft.com/office/drawing/2014/main" id="{00000000-0008-0000-0200-00008B0E0000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4" name="$E$113">
            <a:extLst>
              <a:ext uri="{FF2B5EF4-FFF2-40B4-BE49-F238E27FC236}">
                <a16:creationId xmlns:a16="http://schemas.microsoft.com/office/drawing/2014/main" id="{00000000-0008-0000-0200-00008C0E0000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5" name="$E$113">
            <a:extLst>
              <a:ext uri="{FF2B5EF4-FFF2-40B4-BE49-F238E27FC236}">
                <a16:creationId xmlns:a16="http://schemas.microsoft.com/office/drawing/2014/main" id="{00000000-0008-0000-0200-00008D0E0000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6" name="$E$113">
            <a:extLst>
              <a:ext uri="{FF2B5EF4-FFF2-40B4-BE49-F238E27FC236}">
                <a16:creationId xmlns:a16="http://schemas.microsoft.com/office/drawing/2014/main" id="{00000000-0008-0000-0200-00008E0E0000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7" name="$E$113">
            <a:extLst>
              <a:ext uri="{FF2B5EF4-FFF2-40B4-BE49-F238E27FC236}">
                <a16:creationId xmlns:a16="http://schemas.microsoft.com/office/drawing/2014/main" id="{00000000-0008-0000-0200-00008F0E00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8" name="$E$113">
            <a:extLst>
              <a:ext uri="{FF2B5EF4-FFF2-40B4-BE49-F238E27FC236}">
                <a16:creationId xmlns:a16="http://schemas.microsoft.com/office/drawing/2014/main" id="{00000000-0008-0000-0200-0000900E0000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9" name="$E$113">
            <a:extLst>
              <a:ext uri="{FF2B5EF4-FFF2-40B4-BE49-F238E27FC236}">
                <a16:creationId xmlns:a16="http://schemas.microsoft.com/office/drawing/2014/main" id="{00000000-0008-0000-0200-0000910E00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0" name="$E$113">
            <a:extLst>
              <a:ext uri="{FF2B5EF4-FFF2-40B4-BE49-F238E27FC236}">
                <a16:creationId xmlns:a16="http://schemas.microsoft.com/office/drawing/2014/main" id="{00000000-0008-0000-0200-0000920E00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1" name="$E$113">
            <a:extLst>
              <a:ext uri="{FF2B5EF4-FFF2-40B4-BE49-F238E27FC236}">
                <a16:creationId xmlns:a16="http://schemas.microsoft.com/office/drawing/2014/main" id="{00000000-0008-0000-0200-0000930E0000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2" name="$E$113">
            <a:extLst>
              <a:ext uri="{FF2B5EF4-FFF2-40B4-BE49-F238E27FC236}">
                <a16:creationId xmlns:a16="http://schemas.microsoft.com/office/drawing/2014/main" id="{00000000-0008-0000-0200-0000940E0000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3" name="$E$113">
            <a:extLst>
              <a:ext uri="{FF2B5EF4-FFF2-40B4-BE49-F238E27FC236}">
                <a16:creationId xmlns:a16="http://schemas.microsoft.com/office/drawing/2014/main" id="{00000000-0008-0000-0200-0000950E0000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4" name="$E$113">
            <a:extLst>
              <a:ext uri="{FF2B5EF4-FFF2-40B4-BE49-F238E27FC236}">
                <a16:creationId xmlns:a16="http://schemas.microsoft.com/office/drawing/2014/main" id="{00000000-0008-0000-0200-0000960E0000}"/>
              </a:ext>
            </a:extLst>
          </xdr:cNvPr>
          <xdr:cNvSpPr/>
        </xdr:nvSpPr>
        <xdr:spPr>
          <a:xfrm>
            <a:off x="25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5" name="$E$113">
            <a:extLst>
              <a:ext uri="{FF2B5EF4-FFF2-40B4-BE49-F238E27FC236}">
                <a16:creationId xmlns:a16="http://schemas.microsoft.com/office/drawing/2014/main" id="{00000000-0008-0000-0200-0000970E0000}"/>
              </a:ext>
            </a:extLst>
          </xdr:cNvPr>
          <xdr:cNvSpPr/>
        </xdr:nvSpPr>
        <xdr:spPr>
          <a:xfrm>
            <a:off x="38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6" name="$E$113">
            <a:extLst>
              <a:ext uri="{FF2B5EF4-FFF2-40B4-BE49-F238E27FC236}">
                <a16:creationId xmlns:a16="http://schemas.microsoft.com/office/drawing/2014/main" id="{00000000-0008-0000-0200-0000980E0000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7" name="$E$113">
            <a:extLst>
              <a:ext uri="{FF2B5EF4-FFF2-40B4-BE49-F238E27FC236}">
                <a16:creationId xmlns:a16="http://schemas.microsoft.com/office/drawing/2014/main" id="{00000000-0008-0000-0200-0000990E00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8" name="$E$113">
            <a:extLst>
              <a:ext uri="{FF2B5EF4-FFF2-40B4-BE49-F238E27FC236}">
                <a16:creationId xmlns:a16="http://schemas.microsoft.com/office/drawing/2014/main" id="{00000000-0008-0000-0200-00009A0E0000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9" name="$E$113">
            <a:extLst>
              <a:ext uri="{FF2B5EF4-FFF2-40B4-BE49-F238E27FC236}">
                <a16:creationId xmlns:a16="http://schemas.microsoft.com/office/drawing/2014/main" id="{00000000-0008-0000-0200-00009B0E0000}"/>
              </a:ext>
            </a:extLst>
          </xdr:cNvPr>
          <xdr:cNvSpPr/>
        </xdr:nvSpPr>
        <xdr:spPr>
          <a:xfrm>
            <a:off x="139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0" name="$E$113">
            <a:extLst>
              <a:ext uri="{FF2B5EF4-FFF2-40B4-BE49-F238E27FC236}">
                <a16:creationId xmlns:a16="http://schemas.microsoft.com/office/drawing/2014/main" id="{00000000-0008-0000-0200-00009C0E0000}"/>
              </a:ext>
            </a:extLst>
          </xdr:cNvPr>
          <xdr:cNvSpPr/>
        </xdr:nvSpPr>
        <xdr:spPr>
          <a:xfrm>
            <a:off x="152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1" name="$E$113">
            <a:extLst>
              <a:ext uri="{FF2B5EF4-FFF2-40B4-BE49-F238E27FC236}">
                <a16:creationId xmlns:a16="http://schemas.microsoft.com/office/drawing/2014/main" id="{00000000-0008-0000-0200-00009D0E00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2" name="$E$113">
            <a:extLst>
              <a:ext uri="{FF2B5EF4-FFF2-40B4-BE49-F238E27FC236}">
                <a16:creationId xmlns:a16="http://schemas.microsoft.com/office/drawing/2014/main" id="{00000000-0008-0000-0200-00009E0E0000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3" name="$E$113">
            <a:extLst>
              <a:ext uri="{FF2B5EF4-FFF2-40B4-BE49-F238E27FC236}">
                <a16:creationId xmlns:a16="http://schemas.microsoft.com/office/drawing/2014/main" id="{00000000-0008-0000-0200-00009F0E00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4" name="$E$113">
            <a:extLst>
              <a:ext uri="{FF2B5EF4-FFF2-40B4-BE49-F238E27FC236}">
                <a16:creationId xmlns:a16="http://schemas.microsoft.com/office/drawing/2014/main" id="{00000000-0008-0000-0200-0000A00E00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5" name="$E$113">
            <a:extLst>
              <a:ext uri="{FF2B5EF4-FFF2-40B4-BE49-F238E27FC236}">
                <a16:creationId xmlns:a16="http://schemas.microsoft.com/office/drawing/2014/main" id="{00000000-0008-0000-0200-0000A10E0000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6" name="$E$113">
            <a:extLst>
              <a:ext uri="{FF2B5EF4-FFF2-40B4-BE49-F238E27FC236}">
                <a16:creationId xmlns:a16="http://schemas.microsoft.com/office/drawing/2014/main" id="{00000000-0008-0000-0200-0000A20E0000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7" name="$E$113">
            <a:extLst>
              <a:ext uri="{FF2B5EF4-FFF2-40B4-BE49-F238E27FC236}">
                <a16:creationId xmlns:a16="http://schemas.microsoft.com/office/drawing/2014/main" id="{00000000-0008-0000-0200-0000A30E0000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8" name="$E$113">
            <a:extLst>
              <a:ext uri="{FF2B5EF4-FFF2-40B4-BE49-F238E27FC236}">
                <a16:creationId xmlns:a16="http://schemas.microsoft.com/office/drawing/2014/main" id="{00000000-0008-0000-0200-0000A40E0000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9" name="$E$113">
            <a:extLst>
              <a:ext uri="{FF2B5EF4-FFF2-40B4-BE49-F238E27FC236}">
                <a16:creationId xmlns:a16="http://schemas.microsoft.com/office/drawing/2014/main" id="{00000000-0008-0000-0200-0000A50E00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0" name="$E$113">
            <a:extLst>
              <a:ext uri="{FF2B5EF4-FFF2-40B4-BE49-F238E27FC236}">
                <a16:creationId xmlns:a16="http://schemas.microsoft.com/office/drawing/2014/main" id="{00000000-0008-0000-0200-0000A60E0000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1" name="$E$113">
            <a:extLst>
              <a:ext uri="{FF2B5EF4-FFF2-40B4-BE49-F238E27FC236}">
                <a16:creationId xmlns:a16="http://schemas.microsoft.com/office/drawing/2014/main" id="{00000000-0008-0000-0200-0000A70E0000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2" name="$E$113">
            <a:extLst>
              <a:ext uri="{FF2B5EF4-FFF2-40B4-BE49-F238E27FC236}">
                <a16:creationId xmlns:a16="http://schemas.microsoft.com/office/drawing/2014/main" id="{00000000-0008-0000-0200-0000A80E0000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3" name="$E$113">
            <a:extLst>
              <a:ext uri="{FF2B5EF4-FFF2-40B4-BE49-F238E27FC236}">
                <a16:creationId xmlns:a16="http://schemas.microsoft.com/office/drawing/2014/main" id="{00000000-0008-0000-0200-0000A90E00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4" name="$E$113">
            <a:extLst>
              <a:ext uri="{FF2B5EF4-FFF2-40B4-BE49-F238E27FC236}">
                <a16:creationId xmlns:a16="http://schemas.microsoft.com/office/drawing/2014/main" id="{00000000-0008-0000-0200-0000AA0E00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5" name="$E$113">
            <a:extLst>
              <a:ext uri="{FF2B5EF4-FFF2-40B4-BE49-F238E27FC236}">
                <a16:creationId xmlns:a16="http://schemas.microsoft.com/office/drawing/2014/main" id="{00000000-0008-0000-0200-0000AB0E00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6" name="$E$113">
            <a:extLst>
              <a:ext uri="{FF2B5EF4-FFF2-40B4-BE49-F238E27FC236}">
                <a16:creationId xmlns:a16="http://schemas.microsoft.com/office/drawing/2014/main" id="{00000000-0008-0000-0200-0000AC0E00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7" name="$E$113">
            <a:extLst>
              <a:ext uri="{FF2B5EF4-FFF2-40B4-BE49-F238E27FC236}">
                <a16:creationId xmlns:a16="http://schemas.microsoft.com/office/drawing/2014/main" id="{00000000-0008-0000-0200-0000AD0E00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8" name="$E$113">
            <a:extLst>
              <a:ext uri="{FF2B5EF4-FFF2-40B4-BE49-F238E27FC236}">
                <a16:creationId xmlns:a16="http://schemas.microsoft.com/office/drawing/2014/main" id="{00000000-0008-0000-0200-0000AE0E0000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9" name="$E$113">
            <a:extLst>
              <a:ext uri="{FF2B5EF4-FFF2-40B4-BE49-F238E27FC236}">
                <a16:creationId xmlns:a16="http://schemas.microsoft.com/office/drawing/2014/main" id="{00000000-0008-0000-0200-0000AF0E00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0" name="$E$113">
            <a:extLst>
              <a:ext uri="{FF2B5EF4-FFF2-40B4-BE49-F238E27FC236}">
                <a16:creationId xmlns:a16="http://schemas.microsoft.com/office/drawing/2014/main" id="{00000000-0008-0000-0200-0000B00E0000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1" name="$E$113">
            <a:extLst>
              <a:ext uri="{FF2B5EF4-FFF2-40B4-BE49-F238E27FC236}">
                <a16:creationId xmlns:a16="http://schemas.microsoft.com/office/drawing/2014/main" id="{00000000-0008-0000-0200-0000B10E00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2" name="$E$113">
            <a:extLst>
              <a:ext uri="{FF2B5EF4-FFF2-40B4-BE49-F238E27FC236}">
                <a16:creationId xmlns:a16="http://schemas.microsoft.com/office/drawing/2014/main" id="{00000000-0008-0000-0200-0000B20E0000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3" name="$E$113">
            <a:extLst>
              <a:ext uri="{FF2B5EF4-FFF2-40B4-BE49-F238E27FC236}">
                <a16:creationId xmlns:a16="http://schemas.microsoft.com/office/drawing/2014/main" id="{00000000-0008-0000-0200-0000B30E0000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4" name="$E$113">
            <a:extLst>
              <a:ext uri="{FF2B5EF4-FFF2-40B4-BE49-F238E27FC236}">
                <a16:creationId xmlns:a16="http://schemas.microsoft.com/office/drawing/2014/main" id="{00000000-0008-0000-0200-0000B40E00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5" name="$E$113">
            <a:extLst>
              <a:ext uri="{FF2B5EF4-FFF2-40B4-BE49-F238E27FC236}">
                <a16:creationId xmlns:a16="http://schemas.microsoft.com/office/drawing/2014/main" id="{00000000-0008-0000-0200-0000B50E0000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6" name="$E$113">
            <a:extLst>
              <a:ext uri="{FF2B5EF4-FFF2-40B4-BE49-F238E27FC236}">
                <a16:creationId xmlns:a16="http://schemas.microsoft.com/office/drawing/2014/main" id="{00000000-0008-0000-0200-0000B60E00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7" name="$E$113">
            <a:extLst>
              <a:ext uri="{FF2B5EF4-FFF2-40B4-BE49-F238E27FC236}">
                <a16:creationId xmlns:a16="http://schemas.microsoft.com/office/drawing/2014/main" id="{00000000-0008-0000-0200-0000B70E0000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8" name="$E$113">
            <a:extLst>
              <a:ext uri="{FF2B5EF4-FFF2-40B4-BE49-F238E27FC236}">
                <a16:creationId xmlns:a16="http://schemas.microsoft.com/office/drawing/2014/main" id="{00000000-0008-0000-0200-0000B80E0000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9" name="$E$113">
            <a:extLst>
              <a:ext uri="{FF2B5EF4-FFF2-40B4-BE49-F238E27FC236}">
                <a16:creationId xmlns:a16="http://schemas.microsoft.com/office/drawing/2014/main" id="{00000000-0008-0000-0200-0000B90E0000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0" name="$E$113">
            <a:extLst>
              <a:ext uri="{FF2B5EF4-FFF2-40B4-BE49-F238E27FC236}">
                <a16:creationId xmlns:a16="http://schemas.microsoft.com/office/drawing/2014/main" id="{00000000-0008-0000-0200-0000BA0E00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1" name="$E$113">
            <a:extLst>
              <a:ext uri="{FF2B5EF4-FFF2-40B4-BE49-F238E27FC236}">
                <a16:creationId xmlns:a16="http://schemas.microsoft.com/office/drawing/2014/main" id="{00000000-0008-0000-0200-0000BB0E0000}"/>
              </a:ext>
            </a:extLst>
          </xdr:cNvPr>
          <xdr:cNvSpPr/>
        </xdr:nvSpPr>
        <xdr:spPr>
          <a:xfrm>
            <a:off x="25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2" name="$E$113">
            <a:extLst>
              <a:ext uri="{FF2B5EF4-FFF2-40B4-BE49-F238E27FC236}">
                <a16:creationId xmlns:a16="http://schemas.microsoft.com/office/drawing/2014/main" id="{00000000-0008-0000-0200-0000BC0E0000}"/>
              </a:ext>
            </a:extLst>
          </xdr:cNvPr>
          <xdr:cNvSpPr/>
        </xdr:nvSpPr>
        <xdr:spPr>
          <a:xfrm>
            <a:off x="63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3" name="$E$113">
            <a:extLst>
              <a:ext uri="{FF2B5EF4-FFF2-40B4-BE49-F238E27FC236}">
                <a16:creationId xmlns:a16="http://schemas.microsoft.com/office/drawing/2014/main" id="{00000000-0008-0000-0200-0000BD0E0000}"/>
              </a:ext>
            </a:extLst>
          </xdr:cNvPr>
          <xdr:cNvSpPr/>
        </xdr:nvSpPr>
        <xdr:spPr>
          <a:xfrm>
            <a:off x="88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4" name="$E$113">
            <a:extLst>
              <a:ext uri="{FF2B5EF4-FFF2-40B4-BE49-F238E27FC236}">
                <a16:creationId xmlns:a16="http://schemas.microsoft.com/office/drawing/2014/main" id="{00000000-0008-0000-0200-0000BE0E0000}"/>
              </a:ext>
            </a:extLst>
          </xdr:cNvPr>
          <xdr:cNvSpPr/>
        </xdr:nvSpPr>
        <xdr:spPr>
          <a:xfrm>
            <a:off x="127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5" name="$E$113">
            <a:extLst>
              <a:ext uri="{FF2B5EF4-FFF2-40B4-BE49-F238E27FC236}">
                <a16:creationId xmlns:a16="http://schemas.microsoft.com/office/drawing/2014/main" id="{00000000-0008-0000-0200-0000BF0E00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6" name="$E$113">
            <a:extLst>
              <a:ext uri="{FF2B5EF4-FFF2-40B4-BE49-F238E27FC236}">
                <a16:creationId xmlns:a16="http://schemas.microsoft.com/office/drawing/2014/main" id="{00000000-0008-0000-0200-0000C00E00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7" name="$E$113">
            <a:extLst>
              <a:ext uri="{FF2B5EF4-FFF2-40B4-BE49-F238E27FC236}">
                <a16:creationId xmlns:a16="http://schemas.microsoft.com/office/drawing/2014/main" id="{00000000-0008-0000-0200-0000C10E0000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8" name="$E$113">
            <a:extLst>
              <a:ext uri="{FF2B5EF4-FFF2-40B4-BE49-F238E27FC236}">
                <a16:creationId xmlns:a16="http://schemas.microsoft.com/office/drawing/2014/main" id="{00000000-0008-0000-0200-0000C20E00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9" name="$E$113">
            <a:extLst>
              <a:ext uri="{FF2B5EF4-FFF2-40B4-BE49-F238E27FC236}">
                <a16:creationId xmlns:a16="http://schemas.microsoft.com/office/drawing/2014/main" id="{00000000-0008-0000-0200-0000C30E00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80" name="$E$113">
            <a:extLst>
              <a:ext uri="{FF2B5EF4-FFF2-40B4-BE49-F238E27FC236}">
                <a16:creationId xmlns:a16="http://schemas.microsoft.com/office/drawing/2014/main" id="{00000000-0008-0000-0200-0000C40E0000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81" name="$E$113">
            <a:extLst>
              <a:ext uri="{FF2B5EF4-FFF2-40B4-BE49-F238E27FC236}">
                <a16:creationId xmlns:a16="http://schemas.microsoft.com/office/drawing/2014/main" id="{00000000-0008-0000-0200-0000C50E0000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82" name="$E$113">
            <a:extLst>
              <a:ext uri="{FF2B5EF4-FFF2-40B4-BE49-F238E27FC236}">
                <a16:creationId xmlns:a16="http://schemas.microsoft.com/office/drawing/2014/main" id="{00000000-0008-0000-0200-0000C60E00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83" name="$E$113">
            <a:extLst>
              <a:ext uri="{FF2B5EF4-FFF2-40B4-BE49-F238E27FC236}">
                <a16:creationId xmlns:a16="http://schemas.microsoft.com/office/drawing/2014/main" id="{00000000-0008-0000-0200-0000C70E0000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84" name="$E$113">
            <a:extLst>
              <a:ext uri="{FF2B5EF4-FFF2-40B4-BE49-F238E27FC236}">
                <a16:creationId xmlns:a16="http://schemas.microsoft.com/office/drawing/2014/main" id="{00000000-0008-0000-0200-0000C80E0000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85" name="$E$113">
            <a:extLst>
              <a:ext uri="{FF2B5EF4-FFF2-40B4-BE49-F238E27FC236}">
                <a16:creationId xmlns:a16="http://schemas.microsoft.com/office/drawing/2014/main" id="{00000000-0008-0000-0200-0000C90E00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86" name="$E$113">
            <a:extLst>
              <a:ext uri="{FF2B5EF4-FFF2-40B4-BE49-F238E27FC236}">
                <a16:creationId xmlns:a16="http://schemas.microsoft.com/office/drawing/2014/main" id="{00000000-0008-0000-0200-0000CA0E00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87" name="$E$113">
            <a:extLst>
              <a:ext uri="{FF2B5EF4-FFF2-40B4-BE49-F238E27FC236}">
                <a16:creationId xmlns:a16="http://schemas.microsoft.com/office/drawing/2014/main" id="{00000000-0008-0000-0200-0000CB0E00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88" name="$E$113">
            <a:extLst>
              <a:ext uri="{FF2B5EF4-FFF2-40B4-BE49-F238E27FC236}">
                <a16:creationId xmlns:a16="http://schemas.microsoft.com/office/drawing/2014/main" id="{00000000-0008-0000-0200-0000CC0E00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89" name="$E$113">
            <a:extLst>
              <a:ext uri="{FF2B5EF4-FFF2-40B4-BE49-F238E27FC236}">
                <a16:creationId xmlns:a16="http://schemas.microsoft.com/office/drawing/2014/main" id="{00000000-0008-0000-0200-0000CD0E0000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0" name="$E$113">
            <a:extLst>
              <a:ext uri="{FF2B5EF4-FFF2-40B4-BE49-F238E27FC236}">
                <a16:creationId xmlns:a16="http://schemas.microsoft.com/office/drawing/2014/main" id="{00000000-0008-0000-0200-0000CE0E00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1" name="$E$113">
            <a:extLst>
              <a:ext uri="{FF2B5EF4-FFF2-40B4-BE49-F238E27FC236}">
                <a16:creationId xmlns:a16="http://schemas.microsoft.com/office/drawing/2014/main" id="{00000000-0008-0000-0200-0000CF0E0000}"/>
              </a:ext>
            </a:extLst>
          </xdr:cNvPr>
          <xdr:cNvSpPr/>
        </xdr:nvSpPr>
        <xdr:spPr>
          <a:xfrm>
            <a:off x="88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2" name="$E$113">
            <a:extLst>
              <a:ext uri="{FF2B5EF4-FFF2-40B4-BE49-F238E27FC236}">
                <a16:creationId xmlns:a16="http://schemas.microsoft.com/office/drawing/2014/main" id="{00000000-0008-0000-0200-0000D00E0000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3" name="$E$113">
            <a:extLst>
              <a:ext uri="{FF2B5EF4-FFF2-40B4-BE49-F238E27FC236}">
                <a16:creationId xmlns:a16="http://schemas.microsoft.com/office/drawing/2014/main" id="{00000000-0008-0000-0200-0000D10E00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4" name="$E$113">
            <a:extLst>
              <a:ext uri="{FF2B5EF4-FFF2-40B4-BE49-F238E27FC236}">
                <a16:creationId xmlns:a16="http://schemas.microsoft.com/office/drawing/2014/main" id="{00000000-0008-0000-0200-0000D20E00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5" name="$E$113">
            <a:extLst>
              <a:ext uri="{FF2B5EF4-FFF2-40B4-BE49-F238E27FC236}">
                <a16:creationId xmlns:a16="http://schemas.microsoft.com/office/drawing/2014/main" id="{00000000-0008-0000-0200-0000D30E00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6" name="$E$113">
            <a:extLst>
              <a:ext uri="{FF2B5EF4-FFF2-40B4-BE49-F238E27FC236}">
                <a16:creationId xmlns:a16="http://schemas.microsoft.com/office/drawing/2014/main" id="{00000000-0008-0000-0200-0000D40E00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7" name="$E$113">
            <a:extLst>
              <a:ext uri="{FF2B5EF4-FFF2-40B4-BE49-F238E27FC236}">
                <a16:creationId xmlns:a16="http://schemas.microsoft.com/office/drawing/2014/main" id="{00000000-0008-0000-0200-0000D50E00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8" name="$E$113">
            <a:extLst>
              <a:ext uri="{FF2B5EF4-FFF2-40B4-BE49-F238E27FC236}">
                <a16:creationId xmlns:a16="http://schemas.microsoft.com/office/drawing/2014/main" id="{00000000-0008-0000-0200-0000D60E0000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9" name="$E$113">
            <a:extLst>
              <a:ext uri="{FF2B5EF4-FFF2-40B4-BE49-F238E27FC236}">
                <a16:creationId xmlns:a16="http://schemas.microsoft.com/office/drawing/2014/main" id="{00000000-0008-0000-0200-0000D70E00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0" name="$E$113">
            <a:extLst>
              <a:ext uri="{FF2B5EF4-FFF2-40B4-BE49-F238E27FC236}">
                <a16:creationId xmlns:a16="http://schemas.microsoft.com/office/drawing/2014/main" id="{00000000-0008-0000-0200-0000D80E00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1" name="$E$113">
            <a:extLst>
              <a:ext uri="{FF2B5EF4-FFF2-40B4-BE49-F238E27FC236}">
                <a16:creationId xmlns:a16="http://schemas.microsoft.com/office/drawing/2014/main" id="{00000000-0008-0000-0200-0000D90E00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2" name="$E$113">
            <a:extLst>
              <a:ext uri="{FF2B5EF4-FFF2-40B4-BE49-F238E27FC236}">
                <a16:creationId xmlns:a16="http://schemas.microsoft.com/office/drawing/2014/main" id="{00000000-0008-0000-0200-0000DA0E0000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3" name="$E$113">
            <a:extLst>
              <a:ext uri="{FF2B5EF4-FFF2-40B4-BE49-F238E27FC236}">
                <a16:creationId xmlns:a16="http://schemas.microsoft.com/office/drawing/2014/main" id="{00000000-0008-0000-0200-0000DB0E00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4" name="$E$113">
            <a:extLst>
              <a:ext uri="{FF2B5EF4-FFF2-40B4-BE49-F238E27FC236}">
                <a16:creationId xmlns:a16="http://schemas.microsoft.com/office/drawing/2014/main" id="{00000000-0008-0000-0200-0000DC0E00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5" name="$E$113">
            <a:extLst>
              <a:ext uri="{FF2B5EF4-FFF2-40B4-BE49-F238E27FC236}">
                <a16:creationId xmlns:a16="http://schemas.microsoft.com/office/drawing/2014/main" id="{00000000-0008-0000-0200-0000DD0E0000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6" name="$E$113">
            <a:extLst>
              <a:ext uri="{FF2B5EF4-FFF2-40B4-BE49-F238E27FC236}">
                <a16:creationId xmlns:a16="http://schemas.microsoft.com/office/drawing/2014/main" id="{00000000-0008-0000-0200-0000DE0E00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7" name="$E$113">
            <a:extLst>
              <a:ext uri="{FF2B5EF4-FFF2-40B4-BE49-F238E27FC236}">
                <a16:creationId xmlns:a16="http://schemas.microsoft.com/office/drawing/2014/main" id="{00000000-0008-0000-0200-0000DF0E0000}"/>
              </a:ext>
            </a:extLst>
          </xdr:cNvPr>
          <xdr:cNvSpPr/>
        </xdr:nvSpPr>
        <xdr:spPr>
          <a:xfrm>
            <a:off x="177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8" name="$E$113">
            <a:extLst>
              <a:ext uri="{FF2B5EF4-FFF2-40B4-BE49-F238E27FC236}">
                <a16:creationId xmlns:a16="http://schemas.microsoft.com/office/drawing/2014/main" id="{00000000-0008-0000-0200-0000E00E00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9" name="$E$113">
            <a:extLst>
              <a:ext uri="{FF2B5EF4-FFF2-40B4-BE49-F238E27FC236}">
                <a16:creationId xmlns:a16="http://schemas.microsoft.com/office/drawing/2014/main" id="{00000000-0008-0000-0200-0000E10E00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0" name="$E$113">
            <a:extLst>
              <a:ext uri="{FF2B5EF4-FFF2-40B4-BE49-F238E27FC236}">
                <a16:creationId xmlns:a16="http://schemas.microsoft.com/office/drawing/2014/main" id="{00000000-0008-0000-0200-0000E20E00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1" name="$E$113">
            <a:extLst>
              <a:ext uri="{FF2B5EF4-FFF2-40B4-BE49-F238E27FC236}">
                <a16:creationId xmlns:a16="http://schemas.microsoft.com/office/drawing/2014/main" id="{00000000-0008-0000-0200-0000E30E0000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2" name="$E$113">
            <a:extLst>
              <a:ext uri="{FF2B5EF4-FFF2-40B4-BE49-F238E27FC236}">
                <a16:creationId xmlns:a16="http://schemas.microsoft.com/office/drawing/2014/main" id="{00000000-0008-0000-0200-0000E40E0000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3" name="$E$113">
            <a:extLst>
              <a:ext uri="{FF2B5EF4-FFF2-40B4-BE49-F238E27FC236}">
                <a16:creationId xmlns:a16="http://schemas.microsoft.com/office/drawing/2014/main" id="{00000000-0008-0000-0200-0000E50E0000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4" name="$E$113">
            <a:extLst>
              <a:ext uri="{FF2B5EF4-FFF2-40B4-BE49-F238E27FC236}">
                <a16:creationId xmlns:a16="http://schemas.microsoft.com/office/drawing/2014/main" id="{00000000-0008-0000-0200-0000E60E0000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5" name="$E$113">
            <a:extLst>
              <a:ext uri="{FF2B5EF4-FFF2-40B4-BE49-F238E27FC236}">
                <a16:creationId xmlns:a16="http://schemas.microsoft.com/office/drawing/2014/main" id="{00000000-0008-0000-0200-0000E70E0000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6" name="$E$113">
            <a:extLst>
              <a:ext uri="{FF2B5EF4-FFF2-40B4-BE49-F238E27FC236}">
                <a16:creationId xmlns:a16="http://schemas.microsoft.com/office/drawing/2014/main" id="{00000000-0008-0000-0200-0000E80E00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7" name="$E$113">
            <a:extLst>
              <a:ext uri="{FF2B5EF4-FFF2-40B4-BE49-F238E27FC236}">
                <a16:creationId xmlns:a16="http://schemas.microsoft.com/office/drawing/2014/main" id="{00000000-0008-0000-0200-0000E90E0000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8" name="$E$113">
            <a:extLst>
              <a:ext uri="{FF2B5EF4-FFF2-40B4-BE49-F238E27FC236}">
                <a16:creationId xmlns:a16="http://schemas.microsoft.com/office/drawing/2014/main" id="{00000000-0008-0000-0200-0000EA0E00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9" name="$E$113">
            <a:extLst>
              <a:ext uri="{FF2B5EF4-FFF2-40B4-BE49-F238E27FC236}">
                <a16:creationId xmlns:a16="http://schemas.microsoft.com/office/drawing/2014/main" id="{00000000-0008-0000-0200-0000EB0E00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0" name="$E$113">
            <a:extLst>
              <a:ext uri="{FF2B5EF4-FFF2-40B4-BE49-F238E27FC236}">
                <a16:creationId xmlns:a16="http://schemas.microsoft.com/office/drawing/2014/main" id="{00000000-0008-0000-0200-0000EC0E00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1" name="$E$113">
            <a:extLst>
              <a:ext uri="{FF2B5EF4-FFF2-40B4-BE49-F238E27FC236}">
                <a16:creationId xmlns:a16="http://schemas.microsoft.com/office/drawing/2014/main" id="{00000000-0008-0000-0200-0000ED0E0000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2" name="$E$113">
            <a:extLst>
              <a:ext uri="{FF2B5EF4-FFF2-40B4-BE49-F238E27FC236}">
                <a16:creationId xmlns:a16="http://schemas.microsoft.com/office/drawing/2014/main" id="{00000000-0008-0000-0200-0000EE0E00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3" name="$E$113">
            <a:extLst>
              <a:ext uri="{FF2B5EF4-FFF2-40B4-BE49-F238E27FC236}">
                <a16:creationId xmlns:a16="http://schemas.microsoft.com/office/drawing/2014/main" id="{00000000-0008-0000-0200-0000EF0E0000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4" name="$E$113">
            <a:extLst>
              <a:ext uri="{FF2B5EF4-FFF2-40B4-BE49-F238E27FC236}">
                <a16:creationId xmlns:a16="http://schemas.microsoft.com/office/drawing/2014/main" id="{00000000-0008-0000-0200-0000F00E0000}"/>
              </a:ext>
            </a:extLst>
          </xdr:cNvPr>
          <xdr:cNvSpPr/>
        </xdr:nvSpPr>
        <xdr:spPr>
          <a:xfrm>
            <a:off x="114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5" name="$E$113">
            <a:extLst>
              <a:ext uri="{FF2B5EF4-FFF2-40B4-BE49-F238E27FC236}">
                <a16:creationId xmlns:a16="http://schemas.microsoft.com/office/drawing/2014/main" id="{00000000-0008-0000-0200-0000F10E00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6" name="$E$113">
            <a:extLst>
              <a:ext uri="{FF2B5EF4-FFF2-40B4-BE49-F238E27FC236}">
                <a16:creationId xmlns:a16="http://schemas.microsoft.com/office/drawing/2014/main" id="{00000000-0008-0000-0200-0000F20E0000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7" name="$E$113">
            <a:extLst>
              <a:ext uri="{FF2B5EF4-FFF2-40B4-BE49-F238E27FC236}">
                <a16:creationId xmlns:a16="http://schemas.microsoft.com/office/drawing/2014/main" id="{00000000-0008-0000-0200-0000F30E00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8" name="$E$113">
            <a:extLst>
              <a:ext uri="{FF2B5EF4-FFF2-40B4-BE49-F238E27FC236}">
                <a16:creationId xmlns:a16="http://schemas.microsoft.com/office/drawing/2014/main" id="{00000000-0008-0000-0200-0000F40E0000}"/>
              </a:ext>
            </a:extLst>
          </xdr:cNvPr>
          <xdr:cNvSpPr/>
        </xdr:nvSpPr>
        <xdr:spPr>
          <a:xfrm>
            <a:off x="228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9" name="$E$113">
            <a:extLst>
              <a:ext uri="{FF2B5EF4-FFF2-40B4-BE49-F238E27FC236}">
                <a16:creationId xmlns:a16="http://schemas.microsoft.com/office/drawing/2014/main" id="{00000000-0008-0000-0200-0000F50E0000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0" name="$E$113">
            <a:extLst>
              <a:ext uri="{FF2B5EF4-FFF2-40B4-BE49-F238E27FC236}">
                <a16:creationId xmlns:a16="http://schemas.microsoft.com/office/drawing/2014/main" id="{00000000-0008-0000-0200-0000F60E00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1" name="$E$113">
            <a:extLst>
              <a:ext uri="{FF2B5EF4-FFF2-40B4-BE49-F238E27FC236}">
                <a16:creationId xmlns:a16="http://schemas.microsoft.com/office/drawing/2014/main" id="{00000000-0008-0000-0200-0000F70E0000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2" name="$E$113">
            <a:extLst>
              <a:ext uri="{FF2B5EF4-FFF2-40B4-BE49-F238E27FC236}">
                <a16:creationId xmlns:a16="http://schemas.microsoft.com/office/drawing/2014/main" id="{00000000-0008-0000-0200-0000F80E00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3" name="$E$113">
            <a:extLst>
              <a:ext uri="{FF2B5EF4-FFF2-40B4-BE49-F238E27FC236}">
                <a16:creationId xmlns:a16="http://schemas.microsoft.com/office/drawing/2014/main" id="{00000000-0008-0000-0200-0000F90E00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4" name="$E$113">
            <a:extLst>
              <a:ext uri="{FF2B5EF4-FFF2-40B4-BE49-F238E27FC236}">
                <a16:creationId xmlns:a16="http://schemas.microsoft.com/office/drawing/2014/main" id="{00000000-0008-0000-0200-0000FA0E0000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5" name="$E$113">
            <a:extLst>
              <a:ext uri="{FF2B5EF4-FFF2-40B4-BE49-F238E27FC236}">
                <a16:creationId xmlns:a16="http://schemas.microsoft.com/office/drawing/2014/main" id="{00000000-0008-0000-0200-0000FB0E0000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6" name="$E$113">
            <a:extLst>
              <a:ext uri="{FF2B5EF4-FFF2-40B4-BE49-F238E27FC236}">
                <a16:creationId xmlns:a16="http://schemas.microsoft.com/office/drawing/2014/main" id="{00000000-0008-0000-0200-0000FC0E00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7" name="$E$113">
            <a:extLst>
              <a:ext uri="{FF2B5EF4-FFF2-40B4-BE49-F238E27FC236}">
                <a16:creationId xmlns:a16="http://schemas.microsoft.com/office/drawing/2014/main" id="{00000000-0008-0000-0200-0000FD0E00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8" name="$E$113">
            <a:extLst>
              <a:ext uri="{FF2B5EF4-FFF2-40B4-BE49-F238E27FC236}">
                <a16:creationId xmlns:a16="http://schemas.microsoft.com/office/drawing/2014/main" id="{00000000-0008-0000-0200-0000FE0E00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9" name="$E$113">
            <a:extLst>
              <a:ext uri="{FF2B5EF4-FFF2-40B4-BE49-F238E27FC236}">
                <a16:creationId xmlns:a16="http://schemas.microsoft.com/office/drawing/2014/main" id="{00000000-0008-0000-0200-0000FF0E00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0" name="$E$113">
            <a:extLst>
              <a:ext uri="{FF2B5EF4-FFF2-40B4-BE49-F238E27FC236}">
                <a16:creationId xmlns:a16="http://schemas.microsoft.com/office/drawing/2014/main" id="{00000000-0008-0000-0200-0000000F0000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1" name="$E$113">
            <a:extLst>
              <a:ext uri="{FF2B5EF4-FFF2-40B4-BE49-F238E27FC236}">
                <a16:creationId xmlns:a16="http://schemas.microsoft.com/office/drawing/2014/main" id="{00000000-0008-0000-0200-0000010F0000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2" name="$E$113">
            <a:extLst>
              <a:ext uri="{FF2B5EF4-FFF2-40B4-BE49-F238E27FC236}">
                <a16:creationId xmlns:a16="http://schemas.microsoft.com/office/drawing/2014/main" id="{00000000-0008-0000-0200-0000020F00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3" name="$E$113">
            <a:extLst>
              <a:ext uri="{FF2B5EF4-FFF2-40B4-BE49-F238E27FC236}">
                <a16:creationId xmlns:a16="http://schemas.microsoft.com/office/drawing/2014/main" id="{00000000-0008-0000-0200-0000030F0000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4" name="$E$113">
            <a:extLst>
              <a:ext uri="{FF2B5EF4-FFF2-40B4-BE49-F238E27FC236}">
                <a16:creationId xmlns:a16="http://schemas.microsoft.com/office/drawing/2014/main" id="{00000000-0008-0000-0200-0000040F0000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5" name="$E$113">
            <a:extLst>
              <a:ext uri="{FF2B5EF4-FFF2-40B4-BE49-F238E27FC236}">
                <a16:creationId xmlns:a16="http://schemas.microsoft.com/office/drawing/2014/main" id="{00000000-0008-0000-0200-0000050F0000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6" name="$E$113">
            <a:extLst>
              <a:ext uri="{FF2B5EF4-FFF2-40B4-BE49-F238E27FC236}">
                <a16:creationId xmlns:a16="http://schemas.microsoft.com/office/drawing/2014/main" id="{00000000-0008-0000-0200-0000060F0000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7" name="$E$113">
            <a:extLst>
              <a:ext uri="{FF2B5EF4-FFF2-40B4-BE49-F238E27FC236}">
                <a16:creationId xmlns:a16="http://schemas.microsoft.com/office/drawing/2014/main" id="{00000000-0008-0000-0200-0000070F0000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8" name="$E$113">
            <a:extLst>
              <a:ext uri="{FF2B5EF4-FFF2-40B4-BE49-F238E27FC236}">
                <a16:creationId xmlns:a16="http://schemas.microsoft.com/office/drawing/2014/main" id="{00000000-0008-0000-0200-0000080F0000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9" name="$E$113">
            <a:extLst>
              <a:ext uri="{FF2B5EF4-FFF2-40B4-BE49-F238E27FC236}">
                <a16:creationId xmlns:a16="http://schemas.microsoft.com/office/drawing/2014/main" id="{00000000-0008-0000-0200-0000090F0000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0" name="$E$113">
            <a:extLst>
              <a:ext uri="{FF2B5EF4-FFF2-40B4-BE49-F238E27FC236}">
                <a16:creationId xmlns:a16="http://schemas.microsoft.com/office/drawing/2014/main" id="{00000000-0008-0000-0200-00000A0F0000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1" name="$E$113">
            <a:extLst>
              <a:ext uri="{FF2B5EF4-FFF2-40B4-BE49-F238E27FC236}">
                <a16:creationId xmlns:a16="http://schemas.microsoft.com/office/drawing/2014/main" id="{00000000-0008-0000-0200-00000B0F00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2" name="$E$113">
            <a:extLst>
              <a:ext uri="{FF2B5EF4-FFF2-40B4-BE49-F238E27FC236}">
                <a16:creationId xmlns:a16="http://schemas.microsoft.com/office/drawing/2014/main" id="{00000000-0008-0000-0200-00000C0F00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3" name="$E$113">
            <a:extLst>
              <a:ext uri="{FF2B5EF4-FFF2-40B4-BE49-F238E27FC236}">
                <a16:creationId xmlns:a16="http://schemas.microsoft.com/office/drawing/2014/main" id="{00000000-0008-0000-0200-00000D0F00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4" name="$E$113">
            <a:extLst>
              <a:ext uri="{FF2B5EF4-FFF2-40B4-BE49-F238E27FC236}">
                <a16:creationId xmlns:a16="http://schemas.microsoft.com/office/drawing/2014/main" id="{00000000-0008-0000-0200-00000E0F00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5" name="$E$113">
            <a:extLst>
              <a:ext uri="{FF2B5EF4-FFF2-40B4-BE49-F238E27FC236}">
                <a16:creationId xmlns:a16="http://schemas.microsoft.com/office/drawing/2014/main" id="{00000000-0008-0000-0200-00000F0F00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6" name="$E$113">
            <a:extLst>
              <a:ext uri="{FF2B5EF4-FFF2-40B4-BE49-F238E27FC236}">
                <a16:creationId xmlns:a16="http://schemas.microsoft.com/office/drawing/2014/main" id="{00000000-0008-0000-0200-0000100F00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7" name="$E$113">
            <a:extLst>
              <a:ext uri="{FF2B5EF4-FFF2-40B4-BE49-F238E27FC236}">
                <a16:creationId xmlns:a16="http://schemas.microsoft.com/office/drawing/2014/main" id="{00000000-0008-0000-0200-0000110F00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8" name="$E$113">
            <a:extLst>
              <a:ext uri="{FF2B5EF4-FFF2-40B4-BE49-F238E27FC236}">
                <a16:creationId xmlns:a16="http://schemas.microsoft.com/office/drawing/2014/main" id="{00000000-0008-0000-0200-0000120F00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9" name="$E$113">
            <a:extLst>
              <a:ext uri="{FF2B5EF4-FFF2-40B4-BE49-F238E27FC236}">
                <a16:creationId xmlns:a16="http://schemas.microsoft.com/office/drawing/2014/main" id="{00000000-0008-0000-0200-0000130F00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0" name="$E$113">
            <a:extLst>
              <a:ext uri="{FF2B5EF4-FFF2-40B4-BE49-F238E27FC236}">
                <a16:creationId xmlns:a16="http://schemas.microsoft.com/office/drawing/2014/main" id="{00000000-0008-0000-0200-0000140F00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1" name="$E$113">
            <a:extLst>
              <a:ext uri="{FF2B5EF4-FFF2-40B4-BE49-F238E27FC236}">
                <a16:creationId xmlns:a16="http://schemas.microsoft.com/office/drawing/2014/main" id="{00000000-0008-0000-0200-0000150F00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2" name="$E$113">
            <a:extLst>
              <a:ext uri="{FF2B5EF4-FFF2-40B4-BE49-F238E27FC236}">
                <a16:creationId xmlns:a16="http://schemas.microsoft.com/office/drawing/2014/main" id="{00000000-0008-0000-0200-0000160F0000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3" name="$E$113">
            <a:extLst>
              <a:ext uri="{FF2B5EF4-FFF2-40B4-BE49-F238E27FC236}">
                <a16:creationId xmlns:a16="http://schemas.microsoft.com/office/drawing/2014/main" id="{00000000-0008-0000-0200-0000170F00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4" name="$E$113">
            <a:extLst>
              <a:ext uri="{FF2B5EF4-FFF2-40B4-BE49-F238E27FC236}">
                <a16:creationId xmlns:a16="http://schemas.microsoft.com/office/drawing/2014/main" id="{00000000-0008-0000-0200-0000180F0000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5" name="$E$113">
            <a:extLst>
              <a:ext uri="{FF2B5EF4-FFF2-40B4-BE49-F238E27FC236}">
                <a16:creationId xmlns:a16="http://schemas.microsoft.com/office/drawing/2014/main" id="{00000000-0008-0000-0200-0000190F0000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6" name="$E$113">
            <a:extLst>
              <a:ext uri="{FF2B5EF4-FFF2-40B4-BE49-F238E27FC236}">
                <a16:creationId xmlns:a16="http://schemas.microsoft.com/office/drawing/2014/main" id="{00000000-0008-0000-0200-00001A0F0000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7" name="$E$113">
            <a:extLst>
              <a:ext uri="{FF2B5EF4-FFF2-40B4-BE49-F238E27FC236}">
                <a16:creationId xmlns:a16="http://schemas.microsoft.com/office/drawing/2014/main" id="{00000000-0008-0000-0200-00001B0F0000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8" name="$E$113">
            <a:extLst>
              <a:ext uri="{FF2B5EF4-FFF2-40B4-BE49-F238E27FC236}">
                <a16:creationId xmlns:a16="http://schemas.microsoft.com/office/drawing/2014/main" id="{00000000-0008-0000-0200-00001C0F0000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9" name="$E$113">
            <a:extLst>
              <a:ext uri="{FF2B5EF4-FFF2-40B4-BE49-F238E27FC236}">
                <a16:creationId xmlns:a16="http://schemas.microsoft.com/office/drawing/2014/main" id="{00000000-0008-0000-0200-00001D0F0000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0" name="$E$113">
            <a:extLst>
              <a:ext uri="{FF2B5EF4-FFF2-40B4-BE49-F238E27FC236}">
                <a16:creationId xmlns:a16="http://schemas.microsoft.com/office/drawing/2014/main" id="{00000000-0008-0000-0200-00001E0F0000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1" name="$E$113">
            <a:extLst>
              <a:ext uri="{FF2B5EF4-FFF2-40B4-BE49-F238E27FC236}">
                <a16:creationId xmlns:a16="http://schemas.microsoft.com/office/drawing/2014/main" id="{00000000-0008-0000-0200-00001F0F0000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2" name="$E$113">
            <a:extLst>
              <a:ext uri="{FF2B5EF4-FFF2-40B4-BE49-F238E27FC236}">
                <a16:creationId xmlns:a16="http://schemas.microsoft.com/office/drawing/2014/main" id="{00000000-0008-0000-0200-0000200F0000}"/>
              </a:ext>
            </a:extLst>
          </xdr:cNvPr>
          <xdr:cNvSpPr/>
        </xdr:nvSpPr>
        <xdr:spPr>
          <a:xfrm>
            <a:off x="139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3" name="$E$113">
            <a:extLst>
              <a:ext uri="{FF2B5EF4-FFF2-40B4-BE49-F238E27FC236}">
                <a16:creationId xmlns:a16="http://schemas.microsoft.com/office/drawing/2014/main" id="{00000000-0008-0000-0200-0000210F0000}"/>
              </a:ext>
            </a:extLst>
          </xdr:cNvPr>
          <xdr:cNvSpPr/>
        </xdr:nvSpPr>
        <xdr:spPr>
          <a:xfrm>
            <a:off x="152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4" name="$E$113">
            <a:extLst>
              <a:ext uri="{FF2B5EF4-FFF2-40B4-BE49-F238E27FC236}">
                <a16:creationId xmlns:a16="http://schemas.microsoft.com/office/drawing/2014/main" id="{00000000-0008-0000-0200-0000220F0000}"/>
              </a:ext>
            </a:extLst>
          </xdr:cNvPr>
          <xdr:cNvSpPr/>
        </xdr:nvSpPr>
        <xdr:spPr>
          <a:xfrm>
            <a:off x="177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5" name="$E$113">
            <a:extLst>
              <a:ext uri="{FF2B5EF4-FFF2-40B4-BE49-F238E27FC236}">
                <a16:creationId xmlns:a16="http://schemas.microsoft.com/office/drawing/2014/main" id="{00000000-0008-0000-0200-0000230F0000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6" name="$E$113">
            <a:extLst>
              <a:ext uri="{FF2B5EF4-FFF2-40B4-BE49-F238E27FC236}">
                <a16:creationId xmlns:a16="http://schemas.microsoft.com/office/drawing/2014/main" id="{00000000-0008-0000-0200-0000240F0000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7" name="$E$113">
            <a:extLst>
              <a:ext uri="{FF2B5EF4-FFF2-40B4-BE49-F238E27FC236}">
                <a16:creationId xmlns:a16="http://schemas.microsoft.com/office/drawing/2014/main" id="{00000000-0008-0000-0200-0000250F0000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8" name="$E$113">
            <a:extLst>
              <a:ext uri="{FF2B5EF4-FFF2-40B4-BE49-F238E27FC236}">
                <a16:creationId xmlns:a16="http://schemas.microsoft.com/office/drawing/2014/main" id="{00000000-0008-0000-0200-0000260F0000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9" name="$E$113">
            <a:extLst>
              <a:ext uri="{FF2B5EF4-FFF2-40B4-BE49-F238E27FC236}">
                <a16:creationId xmlns:a16="http://schemas.microsoft.com/office/drawing/2014/main" id="{00000000-0008-0000-0200-0000270F0000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0" name="$E$113">
            <a:extLst>
              <a:ext uri="{FF2B5EF4-FFF2-40B4-BE49-F238E27FC236}">
                <a16:creationId xmlns:a16="http://schemas.microsoft.com/office/drawing/2014/main" id="{00000000-0008-0000-0200-0000280F0000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1" name="$E$113">
            <a:extLst>
              <a:ext uri="{FF2B5EF4-FFF2-40B4-BE49-F238E27FC236}">
                <a16:creationId xmlns:a16="http://schemas.microsoft.com/office/drawing/2014/main" id="{00000000-0008-0000-0200-0000290F0000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2" name="$E$113">
            <a:extLst>
              <a:ext uri="{FF2B5EF4-FFF2-40B4-BE49-F238E27FC236}">
                <a16:creationId xmlns:a16="http://schemas.microsoft.com/office/drawing/2014/main" id="{00000000-0008-0000-0200-00002A0F0000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3" name="$E$113">
            <a:extLst>
              <a:ext uri="{FF2B5EF4-FFF2-40B4-BE49-F238E27FC236}">
                <a16:creationId xmlns:a16="http://schemas.microsoft.com/office/drawing/2014/main" id="{00000000-0008-0000-0200-00002B0F0000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4" name="$E$113">
            <a:extLst>
              <a:ext uri="{FF2B5EF4-FFF2-40B4-BE49-F238E27FC236}">
                <a16:creationId xmlns:a16="http://schemas.microsoft.com/office/drawing/2014/main" id="{00000000-0008-0000-0200-00002C0F0000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5" name="$E$113">
            <a:extLst>
              <a:ext uri="{FF2B5EF4-FFF2-40B4-BE49-F238E27FC236}">
                <a16:creationId xmlns:a16="http://schemas.microsoft.com/office/drawing/2014/main" id="{00000000-0008-0000-0200-00002D0F0000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6" name="$E$113">
            <a:extLst>
              <a:ext uri="{FF2B5EF4-FFF2-40B4-BE49-F238E27FC236}">
                <a16:creationId xmlns:a16="http://schemas.microsoft.com/office/drawing/2014/main" id="{00000000-0008-0000-0200-00002E0F0000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7" name="$E$113">
            <a:extLst>
              <a:ext uri="{FF2B5EF4-FFF2-40B4-BE49-F238E27FC236}">
                <a16:creationId xmlns:a16="http://schemas.microsoft.com/office/drawing/2014/main" id="{00000000-0008-0000-0200-00002F0F0000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8" name="$E$113">
            <a:extLst>
              <a:ext uri="{FF2B5EF4-FFF2-40B4-BE49-F238E27FC236}">
                <a16:creationId xmlns:a16="http://schemas.microsoft.com/office/drawing/2014/main" id="{00000000-0008-0000-0200-0000300F0000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9" name="$E$113">
            <a:extLst>
              <a:ext uri="{FF2B5EF4-FFF2-40B4-BE49-F238E27FC236}">
                <a16:creationId xmlns:a16="http://schemas.microsoft.com/office/drawing/2014/main" id="{00000000-0008-0000-0200-0000310F0000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0" name="$E$113">
            <a:extLst>
              <a:ext uri="{FF2B5EF4-FFF2-40B4-BE49-F238E27FC236}">
                <a16:creationId xmlns:a16="http://schemas.microsoft.com/office/drawing/2014/main" id="{00000000-0008-0000-0200-0000320F0000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1" name="$E$113">
            <a:extLst>
              <a:ext uri="{FF2B5EF4-FFF2-40B4-BE49-F238E27FC236}">
                <a16:creationId xmlns:a16="http://schemas.microsoft.com/office/drawing/2014/main" id="{00000000-0008-0000-0200-0000330F0000}"/>
              </a:ext>
            </a:extLst>
          </xdr:cNvPr>
          <xdr:cNvSpPr/>
        </xdr:nvSpPr>
        <xdr:spPr>
          <a:xfrm>
            <a:off x="127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2" name="$E$113">
            <a:extLst>
              <a:ext uri="{FF2B5EF4-FFF2-40B4-BE49-F238E27FC236}">
                <a16:creationId xmlns:a16="http://schemas.microsoft.com/office/drawing/2014/main" id="{00000000-0008-0000-0200-0000340F0000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3" name="$E$113">
            <a:extLst>
              <a:ext uri="{FF2B5EF4-FFF2-40B4-BE49-F238E27FC236}">
                <a16:creationId xmlns:a16="http://schemas.microsoft.com/office/drawing/2014/main" id="{00000000-0008-0000-0200-0000350F0000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4" name="$E$113">
            <a:extLst>
              <a:ext uri="{FF2B5EF4-FFF2-40B4-BE49-F238E27FC236}">
                <a16:creationId xmlns:a16="http://schemas.microsoft.com/office/drawing/2014/main" id="{00000000-0008-0000-0200-0000360F0000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5" name="$E$113">
            <a:extLst>
              <a:ext uri="{FF2B5EF4-FFF2-40B4-BE49-F238E27FC236}">
                <a16:creationId xmlns:a16="http://schemas.microsoft.com/office/drawing/2014/main" id="{00000000-0008-0000-0200-0000370F0000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6" name="$E$113">
            <a:extLst>
              <a:ext uri="{FF2B5EF4-FFF2-40B4-BE49-F238E27FC236}">
                <a16:creationId xmlns:a16="http://schemas.microsoft.com/office/drawing/2014/main" id="{00000000-0008-0000-0200-0000380F0000}"/>
              </a:ext>
            </a:extLst>
          </xdr:cNvPr>
          <xdr:cNvSpPr/>
        </xdr:nvSpPr>
        <xdr:spPr>
          <a:xfrm>
            <a:off x="228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7" name="$E$113">
            <a:extLst>
              <a:ext uri="{FF2B5EF4-FFF2-40B4-BE49-F238E27FC236}">
                <a16:creationId xmlns:a16="http://schemas.microsoft.com/office/drawing/2014/main" id="{00000000-0008-0000-0200-0000390F0000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8" name="$E$113">
            <a:extLst>
              <a:ext uri="{FF2B5EF4-FFF2-40B4-BE49-F238E27FC236}">
                <a16:creationId xmlns:a16="http://schemas.microsoft.com/office/drawing/2014/main" id="{00000000-0008-0000-0200-00003A0F0000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9" name="$E$113">
            <a:extLst>
              <a:ext uri="{FF2B5EF4-FFF2-40B4-BE49-F238E27FC236}">
                <a16:creationId xmlns:a16="http://schemas.microsoft.com/office/drawing/2014/main" id="{00000000-0008-0000-0200-00003B0F0000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0" name="$E$113">
            <a:extLst>
              <a:ext uri="{FF2B5EF4-FFF2-40B4-BE49-F238E27FC236}">
                <a16:creationId xmlns:a16="http://schemas.microsoft.com/office/drawing/2014/main" id="{00000000-0008-0000-0200-00003C0F0000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1" name="$E$113">
            <a:extLst>
              <a:ext uri="{FF2B5EF4-FFF2-40B4-BE49-F238E27FC236}">
                <a16:creationId xmlns:a16="http://schemas.microsoft.com/office/drawing/2014/main" id="{00000000-0008-0000-0200-00003D0F0000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2" name="$E$113">
            <a:extLst>
              <a:ext uri="{FF2B5EF4-FFF2-40B4-BE49-F238E27FC236}">
                <a16:creationId xmlns:a16="http://schemas.microsoft.com/office/drawing/2014/main" id="{00000000-0008-0000-0200-00003E0F0000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3" name="$E$113">
            <a:extLst>
              <a:ext uri="{FF2B5EF4-FFF2-40B4-BE49-F238E27FC236}">
                <a16:creationId xmlns:a16="http://schemas.microsoft.com/office/drawing/2014/main" id="{00000000-0008-0000-0200-00003F0F0000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4" name="$E$113">
            <a:extLst>
              <a:ext uri="{FF2B5EF4-FFF2-40B4-BE49-F238E27FC236}">
                <a16:creationId xmlns:a16="http://schemas.microsoft.com/office/drawing/2014/main" id="{00000000-0008-0000-0200-0000400F0000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5" name="$E$113">
            <a:extLst>
              <a:ext uri="{FF2B5EF4-FFF2-40B4-BE49-F238E27FC236}">
                <a16:creationId xmlns:a16="http://schemas.microsoft.com/office/drawing/2014/main" id="{00000000-0008-0000-0200-0000410F0000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6" name="$E$113">
            <a:extLst>
              <a:ext uri="{FF2B5EF4-FFF2-40B4-BE49-F238E27FC236}">
                <a16:creationId xmlns:a16="http://schemas.microsoft.com/office/drawing/2014/main" id="{00000000-0008-0000-0200-0000420F0000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7" name="$E$113">
            <a:extLst>
              <a:ext uri="{FF2B5EF4-FFF2-40B4-BE49-F238E27FC236}">
                <a16:creationId xmlns:a16="http://schemas.microsoft.com/office/drawing/2014/main" id="{00000000-0008-0000-0200-0000430F0000}"/>
              </a:ext>
            </a:extLst>
          </xdr:cNvPr>
          <xdr:cNvSpPr/>
        </xdr:nvSpPr>
        <xdr:spPr>
          <a:xfrm>
            <a:off x="127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8" name="$E$113">
            <a:extLst>
              <a:ext uri="{FF2B5EF4-FFF2-40B4-BE49-F238E27FC236}">
                <a16:creationId xmlns:a16="http://schemas.microsoft.com/office/drawing/2014/main" id="{00000000-0008-0000-0200-0000440F0000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9" name="$E$113">
            <a:extLst>
              <a:ext uri="{FF2B5EF4-FFF2-40B4-BE49-F238E27FC236}">
                <a16:creationId xmlns:a16="http://schemas.microsoft.com/office/drawing/2014/main" id="{00000000-0008-0000-0200-0000450F0000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0" name="$E$113">
            <a:extLst>
              <a:ext uri="{FF2B5EF4-FFF2-40B4-BE49-F238E27FC236}">
                <a16:creationId xmlns:a16="http://schemas.microsoft.com/office/drawing/2014/main" id="{00000000-0008-0000-0200-0000460F0000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1" name="$E$113">
            <a:extLst>
              <a:ext uri="{FF2B5EF4-FFF2-40B4-BE49-F238E27FC236}">
                <a16:creationId xmlns:a16="http://schemas.microsoft.com/office/drawing/2014/main" id="{00000000-0008-0000-0200-0000470F0000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2" name="$E$113">
            <a:extLst>
              <a:ext uri="{FF2B5EF4-FFF2-40B4-BE49-F238E27FC236}">
                <a16:creationId xmlns:a16="http://schemas.microsoft.com/office/drawing/2014/main" id="{00000000-0008-0000-0200-0000480F0000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3" name="$E$113">
            <a:extLst>
              <a:ext uri="{FF2B5EF4-FFF2-40B4-BE49-F238E27FC236}">
                <a16:creationId xmlns:a16="http://schemas.microsoft.com/office/drawing/2014/main" id="{00000000-0008-0000-0200-0000490F0000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4" name="$E$113">
            <a:extLst>
              <a:ext uri="{FF2B5EF4-FFF2-40B4-BE49-F238E27FC236}">
                <a16:creationId xmlns:a16="http://schemas.microsoft.com/office/drawing/2014/main" id="{00000000-0008-0000-0200-00004A0F0000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5" name="$E$113">
            <a:extLst>
              <a:ext uri="{FF2B5EF4-FFF2-40B4-BE49-F238E27FC236}">
                <a16:creationId xmlns:a16="http://schemas.microsoft.com/office/drawing/2014/main" id="{00000000-0008-0000-0200-00004B0F0000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6" name="$E$113">
            <a:extLst>
              <a:ext uri="{FF2B5EF4-FFF2-40B4-BE49-F238E27FC236}">
                <a16:creationId xmlns:a16="http://schemas.microsoft.com/office/drawing/2014/main" id="{00000000-0008-0000-0200-00004C0F0000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7" name="$E$113">
            <a:extLst>
              <a:ext uri="{FF2B5EF4-FFF2-40B4-BE49-F238E27FC236}">
                <a16:creationId xmlns:a16="http://schemas.microsoft.com/office/drawing/2014/main" id="{00000000-0008-0000-0200-00004D0F0000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8" name="$E$113">
            <a:extLst>
              <a:ext uri="{FF2B5EF4-FFF2-40B4-BE49-F238E27FC236}">
                <a16:creationId xmlns:a16="http://schemas.microsoft.com/office/drawing/2014/main" id="{00000000-0008-0000-0200-00004E0F0000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9" name="$E$113">
            <a:extLst>
              <a:ext uri="{FF2B5EF4-FFF2-40B4-BE49-F238E27FC236}">
                <a16:creationId xmlns:a16="http://schemas.microsoft.com/office/drawing/2014/main" id="{00000000-0008-0000-0200-00004F0F0000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0" name="$E$113">
            <a:extLst>
              <a:ext uri="{FF2B5EF4-FFF2-40B4-BE49-F238E27FC236}">
                <a16:creationId xmlns:a16="http://schemas.microsoft.com/office/drawing/2014/main" id="{00000000-0008-0000-0200-0000500F0000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1" name="$E$113">
            <a:extLst>
              <a:ext uri="{FF2B5EF4-FFF2-40B4-BE49-F238E27FC236}">
                <a16:creationId xmlns:a16="http://schemas.microsoft.com/office/drawing/2014/main" id="{00000000-0008-0000-0200-0000510F0000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2" name="$E$113">
            <a:extLst>
              <a:ext uri="{FF2B5EF4-FFF2-40B4-BE49-F238E27FC236}">
                <a16:creationId xmlns:a16="http://schemas.microsoft.com/office/drawing/2014/main" id="{00000000-0008-0000-0200-0000520F0000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3" name="$E$113">
            <a:extLst>
              <a:ext uri="{FF2B5EF4-FFF2-40B4-BE49-F238E27FC236}">
                <a16:creationId xmlns:a16="http://schemas.microsoft.com/office/drawing/2014/main" id="{00000000-0008-0000-0200-0000530F0000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4" name="$E$113">
            <a:extLst>
              <a:ext uri="{FF2B5EF4-FFF2-40B4-BE49-F238E27FC236}">
                <a16:creationId xmlns:a16="http://schemas.microsoft.com/office/drawing/2014/main" id="{00000000-0008-0000-0200-0000540F0000}"/>
              </a:ext>
            </a:extLst>
          </xdr:cNvPr>
          <xdr:cNvSpPr/>
        </xdr:nvSpPr>
        <xdr:spPr>
          <a:xfrm>
            <a:off x="165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5" name="$E$113">
            <a:extLst>
              <a:ext uri="{FF2B5EF4-FFF2-40B4-BE49-F238E27FC236}">
                <a16:creationId xmlns:a16="http://schemas.microsoft.com/office/drawing/2014/main" id="{00000000-0008-0000-0200-0000550F0000}"/>
              </a:ext>
            </a:extLst>
          </xdr:cNvPr>
          <xdr:cNvSpPr/>
        </xdr:nvSpPr>
        <xdr:spPr>
          <a:xfrm>
            <a:off x="190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6" name="$E$113">
            <a:extLst>
              <a:ext uri="{FF2B5EF4-FFF2-40B4-BE49-F238E27FC236}">
                <a16:creationId xmlns:a16="http://schemas.microsoft.com/office/drawing/2014/main" id="{00000000-0008-0000-0200-0000560F0000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7" name="$E$113">
            <a:extLst>
              <a:ext uri="{FF2B5EF4-FFF2-40B4-BE49-F238E27FC236}">
                <a16:creationId xmlns:a16="http://schemas.microsoft.com/office/drawing/2014/main" id="{00000000-0008-0000-0200-0000570F0000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8" name="$E$113">
            <a:extLst>
              <a:ext uri="{FF2B5EF4-FFF2-40B4-BE49-F238E27FC236}">
                <a16:creationId xmlns:a16="http://schemas.microsoft.com/office/drawing/2014/main" id="{00000000-0008-0000-0200-0000580F0000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9" name="$E$113">
            <a:extLst>
              <a:ext uri="{FF2B5EF4-FFF2-40B4-BE49-F238E27FC236}">
                <a16:creationId xmlns:a16="http://schemas.microsoft.com/office/drawing/2014/main" id="{00000000-0008-0000-0200-0000590F0000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30" name="$E$113">
            <a:extLst>
              <a:ext uri="{FF2B5EF4-FFF2-40B4-BE49-F238E27FC236}">
                <a16:creationId xmlns:a16="http://schemas.microsoft.com/office/drawing/2014/main" id="{00000000-0008-0000-0200-00005A0F0000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31" name="$E$113">
            <a:extLst>
              <a:ext uri="{FF2B5EF4-FFF2-40B4-BE49-F238E27FC236}">
                <a16:creationId xmlns:a16="http://schemas.microsoft.com/office/drawing/2014/main" id="{00000000-0008-0000-0200-00005B0F0000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32" name="$E$113">
            <a:extLst>
              <a:ext uri="{FF2B5EF4-FFF2-40B4-BE49-F238E27FC236}">
                <a16:creationId xmlns:a16="http://schemas.microsoft.com/office/drawing/2014/main" id="{00000000-0008-0000-0200-00005C0F0000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336369</xdr:colOff>
      <xdr:row>115</xdr:row>
      <xdr:rowOff>45851</xdr:rowOff>
    </xdr:from>
    <xdr:to>
      <xdr:col>5</xdr:col>
      <xdr:colOff>139882</xdr:colOff>
      <xdr:row>115</xdr:row>
      <xdr:rowOff>1506714</xdr:rowOff>
    </xdr:to>
    <xdr:grpSp>
      <xdr:nvGrpSpPr>
        <xdr:cNvPr id="4477" name="$E$116" descr="QuickResponse barcode, level L, version 4, mode binary, 33x33 cells" title="https://centrodecapacitaciondelsur.com/violencia-sexual-59395650/">
          <a:extLst>
            <a:ext uri="{FF2B5EF4-FFF2-40B4-BE49-F238E27FC236}">
              <a16:creationId xmlns:a16="http://schemas.microsoft.com/office/drawing/2014/main" id="{00000000-0008-0000-0200-00007D110000}"/>
            </a:ext>
          </a:extLst>
        </xdr:cNvPr>
        <xdr:cNvGrpSpPr>
          <a:grpSpLocks noChangeAspect="1"/>
        </xdr:cNvGrpSpPr>
      </xdr:nvGrpSpPr>
      <xdr:grpSpPr>
        <a:xfrm>
          <a:off x="20910369" y="127975260"/>
          <a:ext cx="1466058" cy="1460863"/>
          <a:chOff x="0" y="0"/>
          <a:chExt cx="419100" cy="419100"/>
        </a:xfrm>
      </xdr:grpSpPr>
      <xdr:sp macro="" textlink="">
        <xdr:nvSpPr>
          <xdr:cNvPr id="3934" name="$E$116">
            <a:extLst>
              <a:ext uri="{FF2B5EF4-FFF2-40B4-BE49-F238E27FC236}">
                <a16:creationId xmlns:a16="http://schemas.microsoft.com/office/drawing/2014/main" id="{00000000-0008-0000-0200-00005E0F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35" name="$E$116">
            <a:extLst>
              <a:ext uri="{FF2B5EF4-FFF2-40B4-BE49-F238E27FC236}">
                <a16:creationId xmlns:a16="http://schemas.microsoft.com/office/drawing/2014/main" id="{00000000-0008-0000-0200-00005F0F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36" name="$E$116">
            <a:extLst>
              <a:ext uri="{FF2B5EF4-FFF2-40B4-BE49-F238E27FC236}">
                <a16:creationId xmlns:a16="http://schemas.microsoft.com/office/drawing/2014/main" id="{00000000-0008-0000-0200-0000600F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37" name="$E$116">
            <a:extLst>
              <a:ext uri="{FF2B5EF4-FFF2-40B4-BE49-F238E27FC236}">
                <a16:creationId xmlns:a16="http://schemas.microsoft.com/office/drawing/2014/main" id="{00000000-0008-0000-0200-0000610F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38" name="$E$116">
            <a:extLst>
              <a:ext uri="{FF2B5EF4-FFF2-40B4-BE49-F238E27FC236}">
                <a16:creationId xmlns:a16="http://schemas.microsoft.com/office/drawing/2014/main" id="{00000000-0008-0000-0200-0000620F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39" name="$E$116">
            <a:extLst>
              <a:ext uri="{FF2B5EF4-FFF2-40B4-BE49-F238E27FC236}">
                <a16:creationId xmlns:a16="http://schemas.microsoft.com/office/drawing/2014/main" id="{00000000-0008-0000-0200-0000630F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0" name="$E$116">
            <a:extLst>
              <a:ext uri="{FF2B5EF4-FFF2-40B4-BE49-F238E27FC236}">
                <a16:creationId xmlns:a16="http://schemas.microsoft.com/office/drawing/2014/main" id="{00000000-0008-0000-0200-0000640F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1" name="$E$116">
            <a:extLst>
              <a:ext uri="{FF2B5EF4-FFF2-40B4-BE49-F238E27FC236}">
                <a16:creationId xmlns:a16="http://schemas.microsoft.com/office/drawing/2014/main" id="{00000000-0008-0000-0200-0000650F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2" name="$E$116">
            <a:extLst>
              <a:ext uri="{FF2B5EF4-FFF2-40B4-BE49-F238E27FC236}">
                <a16:creationId xmlns:a16="http://schemas.microsoft.com/office/drawing/2014/main" id="{00000000-0008-0000-0200-0000660F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3" name="$E$116">
            <a:extLst>
              <a:ext uri="{FF2B5EF4-FFF2-40B4-BE49-F238E27FC236}">
                <a16:creationId xmlns:a16="http://schemas.microsoft.com/office/drawing/2014/main" id="{00000000-0008-0000-0200-0000670F0000}"/>
              </a:ext>
            </a:extLst>
          </xdr:cNvPr>
          <xdr:cNvSpPr/>
        </xdr:nvSpPr>
        <xdr:spPr>
          <a:xfrm>
            <a:off x="165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4" name="$E$116">
            <a:extLst>
              <a:ext uri="{FF2B5EF4-FFF2-40B4-BE49-F238E27FC236}">
                <a16:creationId xmlns:a16="http://schemas.microsoft.com/office/drawing/2014/main" id="{00000000-0008-0000-0200-0000680F0000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5" name="$E$116">
            <a:extLst>
              <a:ext uri="{FF2B5EF4-FFF2-40B4-BE49-F238E27FC236}">
                <a16:creationId xmlns:a16="http://schemas.microsoft.com/office/drawing/2014/main" id="{00000000-0008-0000-0200-0000690F0000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6" name="$E$116">
            <a:extLst>
              <a:ext uri="{FF2B5EF4-FFF2-40B4-BE49-F238E27FC236}">
                <a16:creationId xmlns:a16="http://schemas.microsoft.com/office/drawing/2014/main" id="{00000000-0008-0000-0200-00006A0F0000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7" name="$E$116">
            <a:extLst>
              <a:ext uri="{FF2B5EF4-FFF2-40B4-BE49-F238E27FC236}">
                <a16:creationId xmlns:a16="http://schemas.microsoft.com/office/drawing/2014/main" id="{00000000-0008-0000-0200-00006B0F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8" name="$E$116">
            <a:extLst>
              <a:ext uri="{FF2B5EF4-FFF2-40B4-BE49-F238E27FC236}">
                <a16:creationId xmlns:a16="http://schemas.microsoft.com/office/drawing/2014/main" id="{00000000-0008-0000-0200-00006C0F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9" name="$E$116">
            <a:extLst>
              <a:ext uri="{FF2B5EF4-FFF2-40B4-BE49-F238E27FC236}">
                <a16:creationId xmlns:a16="http://schemas.microsoft.com/office/drawing/2014/main" id="{00000000-0008-0000-0200-00006D0F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0" name="$E$116">
            <a:extLst>
              <a:ext uri="{FF2B5EF4-FFF2-40B4-BE49-F238E27FC236}">
                <a16:creationId xmlns:a16="http://schemas.microsoft.com/office/drawing/2014/main" id="{00000000-0008-0000-0200-00006E0F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1" name="$E$116">
            <a:extLst>
              <a:ext uri="{FF2B5EF4-FFF2-40B4-BE49-F238E27FC236}">
                <a16:creationId xmlns:a16="http://schemas.microsoft.com/office/drawing/2014/main" id="{00000000-0008-0000-0200-00006F0F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2" name="$E$116">
            <a:extLst>
              <a:ext uri="{FF2B5EF4-FFF2-40B4-BE49-F238E27FC236}">
                <a16:creationId xmlns:a16="http://schemas.microsoft.com/office/drawing/2014/main" id="{00000000-0008-0000-0200-0000700F0000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3" name="$E$116">
            <a:extLst>
              <a:ext uri="{FF2B5EF4-FFF2-40B4-BE49-F238E27FC236}">
                <a16:creationId xmlns:a16="http://schemas.microsoft.com/office/drawing/2014/main" id="{00000000-0008-0000-0200-0000710F0000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4" name="$E$116">
            <a:extLst>
              <a:ext uri="{FF2B5EF4-FFF2-40B4-BE49-F238E27FC236}">
                <a16:creationId xmlns:a16="http://schemas.microsoft.com/office/drawing/2014/main" id="{00000000-0008-0000-0200-0000720F0000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5" name="$E$116">
            <a:extLst>
              <a:ext uri="{FF2B5EF4-FFF2-40B4-BE49-F238E27FC236}">
                <a16:creationId xmlns:a16="http://schemas.microsoft.com/office/drawing/2014/main" id="{00000000-0008-0000-0200-0000730F0000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6" name="$E$116">
            <a:extLst>
              <a:ext uri="{FF2B5EF4-FFF2-40B4-BE49-F238E27FC236}">
                <a16:creationId xmlns:a16="http://schemas.microsoft.com/office/drawing/2014/main" id="{00000000-0008-0000-0200-0000740F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7" name="$E$116">
            <a:extLst>
              <a:ext uri="{FF2B5EF4-FFF2-40B4-BE49-F238E27FC236}">
                <a16:creationId xmlns:a16="http://schemas.microsoft.com/office/drawing/2014/main" id="{00000000-0008-0000-0200-0000750F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8" name="$E$116">
            <a:extLst>
              <a:ext uri="{FF2B5EF4-FFF2-40B4-BE49-F238E27FC236}">
                <a16:creationId xmlns:a16="http://schemas.microsoft.com/office/drawing/2014/main" id="{00000000-0008-0000-0200-0000760F000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9" name="$E$116">
            <a:extLst>
              <a:ext uri="{FF2B5EF4-FFF2-40B4-BE49-F238E27FC236}">
                <a16:creationId xmlns:a16="http://schemas.microsoft.com/office/drawing/2014/main" id="{00000000-0008-0000-0200-0000770F000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0" name="$E$116">
            <a:extLst>
              <a:ext uri="{FF2B5EF4-FFF2-40B4-BE49-F238E27FC236}">
                <a16:creationId xmlns:a16="http://schemas.microsoft.com/office/drawing/2014/main" id="{00000000-0008-0000-0200-0000780F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1" name="$E$116">
            <a:extLst>
              <a:ext uri="{FF2B5EF4-FFF2-40B4-BE49-F238E27FC236}">
                <a16:creationId xmlns:a16="http://schemas.microsoft.com/office/drawing/2014/main" id="{00000000-0008-0000-0200-0000790F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2" name="$E$116">
            <a:extLst>
              <a:ext uri="{FF2B5EF4-FFF2-40B4-BE49-F238E27FC236}">
                <a16:creationId xmlns:a16="http://schemas.microsoft.com/office/drawing/2014/main" id="{00000000-0008-0000-0200-00007A0F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3" name="$E$116">
            <a:extLst>
              <a:ext uri="{FF2B5EF4-FFF2-40B4-BE49-F238E27FC236}">
                <a16:creationId xmlns:a16="http://schemas.microsoft.com/office/drawing/2014/main" id="{00000000-0008-0000-0200-00007B0F0000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4" name="$E$116">
            <a:extLst>
              <a:ext uri="{FF2B5EF4-FFF2-40B4-BE49-F238E27FC236}">
                <a16:creationId xmlns:a16="http://schemas.microsoft.com/office/drawing/2014/main" id="{00000000-0008-0000-0200-00007C0F0000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5" name="$E$116">
            <a:extLst>
              <a:ext uri="{FF2B5EF4-FFF2-40B4-BE49-F238E27FC236}">
                <a16:creationId xmlns:a16="http://schemas.microsoft.com/office/drawing/2014/main" id="{00000000-0008-0000-0200-00007D0F00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6" name="$E$116">
            <a:extLst>
              <a:ext uri="{FF2B5EF4-FFF2-40B4-BE49-F238E27FC236}">
                <a16:creationId xmlns:a16="http://schemas.microsoft.com/office/drawing/2014/main" id="{00000000-0008-0000-0200-00007E0F00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7" name="$E$116">
            <a:extLst>
              <a:ext uri="{FF2B5EF4-FFF2-40B4-BE49-F238E27FC236}">
                <a16:creationId xmlns:a16="http://schemas.microsoft.com/office/drawing/2014/main" id="{00000000-0008-0000-0200-00007F0F00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8" name="$E$116">
            <a:extLst>
              <a:ext uri="{FF2B5EF4-FFF2-40B4-BE49-F238E27FC236}">
                <a16:creationId xmlns:a16="http://schemas.microsoft.com/office/drawing/2014/main" id="{00000000-0008-0000-0200-0000800F00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9" name="$E$116">
            <a:extLst>
              <a:ext uri="{FF2B5EF4-FFF2-40B4-BE49-F238E27FC236}">
                <a16:creationId xmlns:a16="http://schemas.microsoft.com/office/drawing/2014/main" id="{00000000-0008-0000-0200-0000810F00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0" name="$E$116">
            <a:extLst>
              <a:ext uri="{FF2B5EF4-FFF2-40B4-BE49-F238E27FC236}">
                <a16:creationId xmlns:a16="http://schemas.microsoft.com/office/drawing/2014/main" id="{00000000-0008-0000-0200-0000820F00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1" name="$E$116">
            <a:extLst>
              <a:ext uri="{FF2B5EF4-FFF2-40B4-BE49-F238E27FC236}">
                <a16:creationId xmlns:a16="http://schemas.microsoft.com/office/drawing/2014/main" id="{00000000-0008-0000-0200-0000830F0000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2" name="$E$116">
            <a:extLst>
              <a:ext uri="{FF2B5EF4-FFF2-40B4-BE49-F238E27FC236}">
                <a16:creationId xmlns:a16="http://schemas.microsoft.com/office/drawing/2014/main" id="{00000000-0008-0000-0200-0000840F00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3" name="$E$116">
            <a:extLst>
              <a:ext uri="{FF2B5EF4-FFF2-40B4-BE49-F238E27FC236}">
                <a16:creationId xmlns:a16="http://schemas.microsoft.com/office/drawing/2014/main" id="{00000000-0008-0000-0200-0000850F0000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4" name="$E$116">
            <a:extLst>
              <a:ext uri="{FF2B5EF4-FFF2-40B4-BE49-F238E27FC236}">
                <a16:creationId xmlns:a16="http://schemas.microsoft.com/office/drawing/2014/main" id="{00000000-0008-0000-0200-0000860F0000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5" name="$E$116">
            <a:extLst>
              <a:ext uri="{FF2B5EF4-FFF2-40B4-BE49-F238E27FC236}">
                <a16:creationId xmlns:a16="http://schemas.microsoft.com/office/drawing/2014/main" id="{00000000-0008-0000-0200-0000870F00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6" name="$E$116">
            <a:extLst>
              <a:ext uri="{FF2B5EF4-FFF2-40B4-BE49-F238E27FC236}">
                <a16:creationId xmlns:a16="http://schemas.microsoft.com/office/drawing/2014/main" id="{00000000-0008-0000-0200-0000880F00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7" name="$E$116">
            <a:extLst>
              <a:ext uri="{FF2B5EF4-FFF2-40B4-BE49-F238E27FC236}">
                <a16:creationId xmlns:a16="http://schemas.microsoft.com/office/drawing/2014/main" id="{00000000-0008-0000-0200-0000890F0000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8" name="$E$116">
            <a:extLst>
              <a:ext uri="{FF2B5EF4-FFF2-40B4-BE49-F238E27FC236}">
                <a16:creationId xmlns:a16="http://schemas.microsoft.com/office/drawing/2014/main" id="{00000000-0008-0000-0200-00008A0F0000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9" name="$E$116">
            <a:extLst>
              <a:ext uri="{FF2B5EF4-FFF2-40B4-BE49-F238E27FC236}">
                <a16:creationId xmlns:a16="http://schemas.microsoft.com/office/drawing/2014/main" id="{00000000-0008-0000-0200-00008B0F0000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0" name="$E$116">
            <a:extLst>
              <a:ext uri="{FF2B5EF4-FFF2-40B4-BE49-F238E27FC236}">
                <a16:creationId xmlns:a16="http://schemas.microsoft.com/office/drawing/2014/main" id="{00000000-0008-0000-0200-00008C0F00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1" name="$E$116">
            <a:extLst>
              <a:ext uri="{FF2B5EF4-FFF2-40B4-BE49-F238E27FC236}">
                <a16:creationId xmlns:a16="http://schemas.microsoft.com/office/drawing/2014/main" id="{00000000-0008-0000-0200-00008D0F00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2" name="$E$116">
            <a:extLst>
              <a:ext uri="{FF2B5EF4-FFF2-40B4-BE49-F238E27FC236}">
                <a16:creationId xmlns:a16="http://schemas.microsoft.com/office/drawing/2014/main" id="{00000000-0008-0000-0200-00008E0F00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3" name="$E$116">
            <a:extLst>
              <a:ext uri="{FF2B5EF4-FFF2-40B4-BE49-F238E27FC236}">
                <a16:creationId xmlns:a16="http://schemas.microsoft.com/office/drawing/2014/main" id="{00000000-0008-0000-0200-00008F0F00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4" name="$E$116">
            <a:extLst>
              <a:ext uri="{FF2B5EF4-FFF2-40B4-BE49-F238E27FC236}">
                <a16:creationId xmlns:a16="http://schemas.microsoft.com/office/drawing/2014/main" id="{00000000-0008-0000-0200-0000900F00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5" name="$E$116">
            <a:extLst>
              <a:ext uri="{FF2B5EF4-FFF2-40B4-BE49-F238E27FC236}">
                <a16:creationId xmlns:a16="http://schemas.microsoft.com/office/drawing/2014/main" id="{00000000-0008-0000-0200-0000910F000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6" name="$E$116">
            <a:extLst>
              <a:ext uri="{FF2B5EF4-FFF2-40B4-BE49-F238E27FC236}">
                <a16:creationId xmlns:a16="http://schemas.microsoft.com/office/drawing/2014/main" id="{00000000-0008-0000-0200-0000920F0000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7" name="$E$116">
            <a:extLst>
              <a:ext uri="{FF2B5EF4-FFF2-40B4-BE49-F238E27FC236}">
                <a16:creationId xmlns:a16="http://schemas.microsoft.com/office/drawing/2014/main" id="{00000000-0008-0000-0200-0000930F0000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8" name="$E$116">
            <a:extLst>
              <a:ext uri="{FF2B5EF4-FFF2-40B4-BE49-F238E27FC236}">
                <a16:creationId xmlns:a16="http://schemas.microsoft.com/office/drawing/2014/main" id="{00000000-0008-0000-0200-0000940F00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9" name="$E$116">
            <a:extLst>
              <a:ext uri="{FF2B5EF4-FFF2-40B4-BE49-F238E27FC236}">
                <a16:creationId xmlns:a16="http://schemas.microsoft.com/office/drawing/2014/main" id="{00000000-0008-0000-0200-0000950F00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0" name="$E$116">
            <a:extLst>
              <a:ext uri="{FF2B5EF4-FFF2-40B4-BE49-F238E27FC236}">
                <a16:creationId xmlns:a16="http://schemas.microsoft.com/office/drawing/2014/main" id="{00000000-0008-0000-0200-0000960F0000}"/>
              </a:ext>
            </a:extLst>
          </xdr:cNvPr>
          <xdr:cNvSpPr/>
        </xdr:nvSpPr>
        <xdr:spPr>
          <a:xfrm>
            <a:off x="190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1" name="$E$116">
            <a:extLst>
              <a:ext uri="{FF2B5EF4-FFF2-40B4-BE49-F238E27FC236}">
                <a16:creationId xmlns:a16="http://schemas.microsoft.com/office/drawing/2014/main" id="{00000000-0008-0000-0200-0000970F0000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2" name="$E$116">
            <a:extLst>
              <a:ext uri="{FF2B5EF4-FFF2-40B4-BE49-F238E27FC236}">
                <a16:creationId xmlns:a16="http://schemas.microsoft.com/office/drawing/2014/main" id="{00000000-0008-0000-0200-0000980F0000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3" name="$E$116">
            <a:extLst>
              <a:ext uri="{FF2B5EF4-FFF2-40B4-BE49-F238E27FC236}">
                <a16:creationId xmlns:a16="http://schemas.microsoft.com/office/drawing/2014/main" id="{00000000-0008-0000-0200-0000990F0000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4" name="$E$116">
            <a:extLst>
              <a:ext uri="{FF2B5EF4-FFF2-40B4-BE49-F238E27FC236}">
                <a16:creationId xmlns:a16="http://schemas.microsoft.com/office/drawing/2014/main" id="{00000000-0008-0000-0200-00009A0F00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5" name="$E$116">
            <a:extLst>
              <a:ext uri="{FF2B5EF4-FFF2-40B4-BE49-F238E27FC236}">
                <a16:creationId xmlns:a16="http://schemas.microsoft.com/office/drawing/2014/main" id="{00000000-0008-0000-0200-00009B0F0000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6" name="$E$116">
            <a:extLst>
              <a:ext uri="{FF2B5EF4-FFF2-40B4-BE49-F238E27FC236}">
                <a16:creationId xmlns:a16="http://schemas.microsoft.com/office/drawing/2014/main" id="{00000000-0008-0000-0200-00009C0F00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7" name="$E$116">
            <a:extLst>
              <a:ext uri="{FF2B5EF4-FFF2-40B4-BE49-F238E27FC236}">
                <a16:creationId xmlns:a16="http://schemas.microsoft.com/office/drawing/2014/main" id="{00000000-0008-0000-0200-00009D0F00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8" name="$E$116">
            <a:extLst>
              <a:ext uri="{FF2B5EF4-FFF2-40B4-BE49-F238E27FC236}">
                <a16:creationId xmlns:a16="http://schemas.microsoft.com/office/drawing/2014/main" id="{00000000-0008-0000-0200-00009E0F00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9" name="$E$116">
            <a:extLst>
              <a:ext uri="{FF2B5EF4-FFF2-40B4-BE49-F238E27FC236}">
                <a16:creationId xmlns:a16="http://schemas.microsoft.com/office/drawing/2014/main" id="{00000000-0008-0000-0200-00009F0F0000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0" name="$E$116">
            <a:extLst>
              <a:ext uri="{FF2B5EF4-FFF2-40B4-BE49-F238E27FC236}">
                <a16:creationId xmlns:a16="http://schemas.microsoft.com/office/drawing/2014/main" id="{00000000-0008-0000-0200-0000A00F0000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1" name="$E$116">
            <a:extLst>
              <a:ext uri="{FF2B5EF4-FFF2-40B4-BE49-F238E27FC236}">
                <a16:creationId xmlns:a16="http://schemas.microsoft.com/office/drawing/2014/main" id="{00000000-0008-0000-0200-0000A10F0000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2" name="$E$116">
            <a:extLst>
              <a:ext uri="{FF2B5EF4-FFF2-40B4-BE49-F238E27FC236}">
                <a16:creationId xmlns:a16="http://schemas.microsoft.com/office/drawing/2014/main" id="{00000000-0008-0000-0200-0000A20F00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3" name="$E$116">
            <a:extLst>
              <a:ext uri="{FF2B5EF4-FFF2-40B4-BE49-F238E27FC236}">
                <a16:creationId xmlns:a16="http://schemas.microsoft.com/office/drawing/2014/main" id="{00000000-0008-0000-0200-0000A30F00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4" name="$E$116">
            <a:extLst>
              <a:ext uri="{FF2B5EF4-FFF2-40B4-BE49-F238E27FC236}">
                <a16:creationId xmlns:a16="http://schemas.microsoft.com/office/drawing/2014/main" id="{00000000-0008-0000-0200-0000A40F00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5" name="$E$116">
            <a:extLst>
              <a:ext uri="{FF2B5EF4-FFF2-40B4-BE49-F238E27FC236}">
                <a16:creationId xmlns:a16="http://schemas.microsoft.com/office/drawing/2014/main" id="{00000000-0008-0000-0200-0000A50F00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6" name="$E$116">
            <a:extLst>
              <a:ext uri="{FF2B5EF4-FFF2-40B4-BE49-F238E27FC236}">
                <a16:creationId xmlns:a16="http://schemas.microsoft.com/office/drawing/2014/main" id="{00000000-0008-0000-0200-0000A60F00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7" name="$E$116">
            <a:extLst>
              <a:ext uri="{FF2B5EF4-FFF2-40B4-BE49-F238E27FC236}">
                <a16:creationId xmlns:a16="http://schemas.microsoft.com/office/drawing/2014/main" id="{00000000-0008-0000-0200-0000A70F0000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8" name="$E$116">
            <a:extLst>
              <a:ext uri="{FF2B5EF4-FFF2-40B4-BE49-F238E27FC236}">
                <a16:creationId xmlns:a16="http://schemas.microsoft.com/office/drawing/2014/main" id="{00000000-0008-0000-0200-0000A80F00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9" name="$E$116">
            <a:extLst>
              <a:ext uri="{FF2B5EF4-FFF2-40B4-BE49-F238E27FC236}">
                <a16:creationId xmlns:a16="http://schemas.microsoft.com/office/drawing/2014/main" id="{00000000-0008-0000-0200-0000A90F0000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0" name="$E$116">
            <a:extLst>
              <a:ext uri="{FF2B5EF4-FFF2-40B4-BE49-F238E27FC236}">
                <a16:creationId xmlns:a16="http://schemas.microsoft.com/office/drawing/2014/main" id="{00000000-0008-0000-0200-0000AA0F00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1" name="$E$116">
            <a:extLst>
              <a:ext uri="{FF2B5EF4-FFF2-40B4-BE49-F238E27FC236}">
                <a16:creationId xmlns:a16="http://schemas.microsoft.com/office/drawing/2014/main" id="{00000000-0008-0000-0200-0000AB0F00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2" name="$E$116">
            <a:extLst>
              <a:ext uri="{FF2B5EF4-FFF2-40B4-BE49-F238E27FC236}">
                <a16:creationId xmlns:a16="http://schemas.microsoft.com/office/drawing/2014/main" id="{00000000-0008-0000-0200-0000AC0F00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3" name="$E$116">
            <a:extLst>
              <a:ext uri="{FF2B5EF4-FFF2-40B4-BE49-F238E27FC236}">
                <a16:creationId xmlns:a16="http://schemas.microsoft.com/office/drawing/2014/main" id="{00000000-0008-0000-0200-0000AD0F0000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4" name="$E$116">
            <a:extLst>
              <a:ext uri="{FF2B5EF4-FFF2-40B4-BE49-F238E27FC236}">
                <a16:creationId xmlns:a16="http://schemas.microsoft.com/office/drawing/2014/main" id="{00000000-0008-0000-0200-0000AE0F0000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5" name="$E$116">
            <a:extLst>
              <a:ext uri="{FF2B5EF4-FFF2-40B4-BE49-F238E27FC236}">
                <a16:creationId xmlns:a16="http://schemas.microsoft.com/office/drawing/2014/main" id="{00000000-0008-0000-0200-0000AF0F00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6" name="$E$116">
            <a:extLst>
              <a:ext uri="{FF2B5EF4-FFF2-40B4-BE49-F238E27FC236}">
                <a16:creationId xmlns:a16="http://schemas.microsoft.com/office/drawing/2014/main" id="{00000000-0008-0000-0200-0000B00F00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7" name="$E$116">
            <a:extLst>
              <a:ext uri="{FF2B5EF4-FFF2-40B4-BE49-F238E27FC236}">
                <a16:creationId xmlns:a16="http://schemas.microsoft.com/office/drawing/2014/main" id="{00000000-0008-0000-0200-0000B10F0000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8" name="$E$116">
            <a:extLst>
              <a:ext uri="{FF2B5EF4-FFF2-40B4-BE49-F238E27FC236}">
                <a16:creationId xmlns:a16="http://schemas.microsoft.com/office/drawing/2014/main" id="{00000000-0008-0000-0200-0000B20F0000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9" name="$E$116">
            <a:extLst>
              <a:ext uri="{FF2B5EF4-FFF2-40B4-BE49-F238E27FC236}">
                <a16:creationId xmlns:a16="http://schemas.microsoft.com/office/drawing/2014/main" id="{00000000-0008-0000-0200-0000B30F0000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0" name="$E$116">
            <a:extLst>
              <a:ext uri="{FF2B5EF4-FFF2-40B4-BE49-F238E27FC236}">
                <a16:creationId xmlns:a16="http://schemas.microsoft.com/office/drawing/2014/main" id="{00000000-0008-0000-0200-0000B40F00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1" name="$E$116">
            <a:extLst>
              <a:ext uri="{FF2B5EF4-FFF2-40B4-BE49-F238E27FC236}">
                <a16:creationId xmlns:a16="http://schemas.microsoft.com/office/drawing/2014/main" id="{00000000-0008-0000-0200-0000B50F00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2" name="$E$116">
            <a:extLst>
              <a:ext uri="{FF2B5EF4-FFF2-40B4-BE49-F238E27FC236}">
                <a16:creationId xmlns:a16="http://schemas.microsoft.com/office/drawing/2014/main" id="{00000000-0008-0000-0200-0000B60F00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3" name="$E$116">
            <a:extLst>
              <a:ext uri="{FF2B5EF4-FFF2-40B4-BE49-F238E27FC236}">
                <a16:creationId xmlns:a16="http://schemas.microsoft.com/office/drawing/2014/main" id="{00000000-0008-0000-0200-0000B70F0000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4" name="$E$116">
            <a:extLst>
              <a:ext uri="{FF2B5EF4-FFF2-40B4-BE49-F238E27FC236}">
                <a16:creationId xmlns:a16="http://schemas.microsoft.com/office/drawing/2014/main" id="{00000000-0008-0000-0200-0000B80F000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5" name="$E$116">
            <a:extLst>
              <a:ext uri="{FF2B5EF4-FFF2-40B4-BE49-F238E27FC236}">
                <a16:creationId xmlns:a16="http://schemas.microsoft.com/office/drawing/2014/main" id="{00000000-0008-0000-0200-0000B90F0000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6" name="$E$116">
            <a:extLst>
              <a:ext uri="{FF2B5EF4-FFF2-40B4-BE49-F238E27FC236}">
                <a16:creationId xmlns:a16="http://schemas.microsoft.com/office/drawing/2014/main" id="{00000000-0008-0000-0200-0000BA0F0000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7" name="$E$116">
            <a:extLst>
              <a:ext uri="{FF2B5EF4-FFF2-40B4-BE49-F238E27FC236}">
                <a16:creationId xmlns:a16="http://schemas.microsoft.com/office/drawing/2014/main" id="{00000000-0008-0000-0200-0000BB0F00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8" name="$E$116">
            <a:extLst>
              <a:ext uri="{FF2B5EF4-FFF2-40B4-BE49-F238E27FC236}">
                <a16:creationId xmlns:a16="http://schemas.microsoft.com/office/drawing/2014/main" id="{00000000-0008-0000-0200-0000BC0F00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9" name="$E$116">
            <a:extLst>
              <a:ext uri="{FF2B5EF4-FFF2-40B4-BE49-F238E27FC236}">
                <a16:creationId xmlns:a16="http://schemas.microsoft.com/office/drawing/2014/main" id="{00000000-0008-0000-0200-0000BD0F0000}"/>
              </a:ext>
            </a:extLst>
          </xdr:cNvPr>
          <xdr:cNvSpPr/>
        </xdr:nvSpPr>
        <xdr:spPr>
          <a:xfrm>
            <a:off x="215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0" name="$E$116">
            <a:extLst>
              <a:ext uri="{FF2B5EF4-FFF2-40B4-BE49-F238E27FC236}">
                <a16:creationId xmlns:a16="http://schemas.microsoft.com/office/drawing/2014/main" id="{00000000-0008-0000-0200-0000BE0F0000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1" name="$E$116">
            <a:extLst>
              <a:ext uri="{FF2B5EF4-FFF2-40B4-BE49-F238E27FC236}">
                <a16:creationId xmlns:a16="http://schemas.microsoft.com/office/drawing/2014/main" id="{00000000-0008-0000-0200-0000BF0F0000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2" name="$E$116">
            <a:extLst>
              <a:ext uri="{FF2B5EF4-FFF2-40B4-BE49-F238E27FC236}">
                <a16:creationId xmlns:a16="http://schemas.microsoft.com/office/drawing/2014/main" id="{00000000-0008-0000-0200-0000C00F00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3" name="$E$116">
            <a:extLst>
              <a:ext uri="{FF2B5EF4-FFF2-40B4-BE49-F238E27FC236}">
                <a16:creationId xmlns:a16="http://schemas.microsoft.com/office/drawing/2014/main" id="{00000000-0008-0000-0200-0000C10F0000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4" name="$E$116">
            <a:extLst>
              <a:ext uri="{FF2B5EF4-FFF2-40B4-BE49-F238E27FC236}">
                <a16:creationId xmlns:a16="http://schemas.microsoft.com/office/drawing/2014/main" id="{00000000-0008-0000-0200-0000C20F0000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5" name="$E$116">
            <a:extLst>
              <a:ext uri="{FF2B5EF4-FFF2-40B4-BE49-F238E27FC236}">
                <a16:creationId xmlns:a16="http://schemas.microsoft.com/office/drawing/2014/main" id="{00000000-0008-0000-0200-0000C30F00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6" name="$E$116">
            <a:extLst>
              <a:ext uri="{FF2B5EF4-FFF2-40B4-BE49-F238E27FC236}">
                <a16:creationId xmlns:a16="http://schemas.microsoft.com/office/drawing/2014/main" id="{00000000-0008-0000-0200-0000C40F00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7" name="$E$116">
            <a:extLst>
              <a:ext uri="{FF2B5EF4-FFF2-40B4-BE49-F238E27FC236}">
                <a16:creationId xmlns:a16="http://schemas.microsoft.com/office/drawing/2014/main" id="{00000000-0008-0000-0200-0000C50F00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8" name="$E$116">
            <a:extLst>
              <a:ext uri="{FF2B5EF4-FFF2-40B4-BE49-F238E27FC236}">
                <a16:creationId xmlns:a16="http://schemas.microsoft.com/office/drawing/2014/main" id="{00000000-0008-0000-0200-0000C60F00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9" name="$E$116">
            <a:extLst>
              <a:ext uri="{FF2B5EF4-FFF2-40B4-BE49-F238E27FC236}">
                <a16:creationId xmlns:a16="http://schemas.microsoft.com/office/drawing/2014/main" id="{00000000-0008-0000-0200-0000C70F00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0" name="$E$116">
            <a:extLst>
              <a:ext uri="{FF2B5EF4-FFF2-40B4-BE49-F238E27FC236}">
                <a16:creationId xmlns:a16="http://schemas.microsoft.com/office/drawing/2014/main" id="{00000000-0008-0000-0200-0000C80F00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1" name="$E$116">
            <a:extLst>
              <a:ext uri="{FF2B5EF4-FFF2-40B4-BE49-F238E27FC236}">
                <a16:creationId xmlns:a16="http://schemas.microsoft.com/office/drawing/2014/main" id="{00000000-0008-0000-0200-0000C90F00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2" name="$E$116">
            <a:extLst>
              <a:ext uri="{FF2B5EF4-FFF2-40B4-BE49-F238E27FC236}">
                <a16:creationId xmlns:a16="http://schemas.microsoft.com/office/drawing/2014/main" id="{00000000-0008-0000-0200-0000CA0F00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3" name="$E$116">
            <a:extLst>
              <a:ext uri="{FF2B5EF4-FFF2-40B4-BE49-F238E27FC236}">
                <a16:creationId xmlns:a16="http://schemas.microsoft.com/office/drawing/2014/main" id="{00000000-0008-0000-0200-0000CB0F00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4" name="$E$116">
            <a:extLst>
              <a:ext uri="{FF2B5EF4-FFF2-40B4-BE49-F238E27FC236}">
                <a16:creationId xmlns:a16="http://schemas.microsoft.com/office/drawing/2014/main" id="{00000000-0008-0000-0200-0000CC0F00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5" name="$E$116">
            <a:extLst>
              <a:ext uri="{FF2B5EF4-FFF2-40B4-BE49-F238E27FC236}">
                <a16:creationId xmlns:a16="http://schemas.microsoft.com/office/drawing/2014/main" id="{00000000-0008-0000-0200-0000CD0F00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6" name="$E$116">
            <a:extLst>
              <a:ext uri="{FF2B5EF4-FFF2-40B4-BE49-F238E27FC236}">
                <a16:creationId xmlns:a16="http://schemas.microsoft.com/office/drawing/2014/main" id="{00000000-0008-0000-0200-0000CE0F00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7" name="$E$116">
            <a:extLst>
              <a:ext uri="{FF2B5EF4-FFF2-40B4-BE49-F238E27FC236}">
                <a16:creationId xmlns:a16="http://schemas.microsoft.com/office/drawing/2014/main" id="{00000000-0008-0000-0200-0000CF0F00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8" name="$E$116">
            <a:extLst>
              <a:ext uri="{FF2B5EF4-FFF2-40B4-BE49-F238E27FC236}">
                <a16:creationId xmlns:a16="http://schemas.microsoft.com/office/drawing/2014/main" id="{00000000-0008-0000-0200-0000D00F00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9" name="$E$116">
            <a:extLst>
              <a:ext uri="{FF2B5EF4-FFF2-40B4-BE49-F238E27FC236}">
                <a16:creationId xmlns:a16="http://schemas.microsoft.com/office/drawing/2014/main" id="{00000000-0008-0000-0200-0000D10F00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0" name="$E$116">
            <a:extLst>
              <a:ext uri="{FF2B5EF4-FFF2-40B4-BE49-F238E27FC236}">
                <a16:creationId xmlns:a16="http://schemas.microsoft.com/office/drawing/2014/main" id="{00000000-0008-0000-0200-0000D20F00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1" name="$E$116">
            <a:extLst>
              <a:ext uri="{FF2B5EF4-FFF2-40B4-BE49-F238E27FC236}">
                <a16:creationId xmlns:a16="http://schemas.microsoft.com/office/drawing/2014/main" id="{00000000-0008-0000-0200-0000D30F00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2" name="$E$116">
            <a:extLst>
              <a:ext uri="{FF2B5EF4-FFF2-40B4-BE49-F238E27FC236}">
                <a16:creationId xmlns:a16="http://schemas.microsoft.com/office/drawing/2014/main" id="{00000000-0008-0000-0200-0000D40F00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3" name="$E$116">
            <a:extLst>
              <a:ext uri="{FF2B5EF4-FFF2-40B4-BE49-F238E27FC236}">
                <a16:creationId xmlns:a16="http://schemas.microsoft.com/office/drawing/2014/main" id="{00000000-0008-0000-0200-0000D50F00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4" name="$E$116">
            <a:extLst>
              <a:ext uri="{FF2B5EF4-FFF2-40B4-BE49-F238E27FC236}">
                <a16:creationId xmlns:a16="http://schemas.microsoft.com/office/drawing/2014/main" id="{00000000-0008-0000-0200-0000D60F0000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5" name="$E$116">
            <a:extLst>
              <a:ext uri="{FF2B5EF4-FFF2-40B4-BE49-F238E27FC236}">
                <a16:creationId xmlns:a16="http://schemas.microsoft.com/office/drawing/2014/main" id="{00000000-0008-0000-0200-0000D70F0000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6" name="$E$116">
            <a:extLst>
              <a:ext uri="{FF2B5EF4-FFF2-40B4-BE49-F238E27FC236}">
                <a16:creationId xmlns:a16="http://schemas.microsoft.com/office/drawing/2014/main" id="{00000000-0008-0000-0200-0000D80F0000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7" name="$E$116">
            <a:extLst>
              <a:ext uri="{FF2B5EF4-FFF2-40B4-BE49-F238E27FC236}">
                <a16:creationId xmlns:a16="http://schemas.microsoft.com/office/drawing/2014/main" id="{00000000-0008-0000-0200-0000D90F0000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8" name="$E$116">
            <a:extLst>
              <a:ext uri="{FF2B5EF4-FFF2-40B4-BE49-F238E27FC236}">
                <a16:creationId xmlns:a16="http://schemas.microsoft.com/office/drawing/2014/main" id="{00000000-0008-0000-0200-0000DA0F00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9" name="$E$116">
            <a:extLst>
              <a:ext uri="{FF2B5EF4-FFF2-40B4-BE49-F238E27FC236}">
                <a16:creationId xmlns:a16="http://schemas.microsoft.com/office/drawing/2014/main" id="{00000000-0008-0000-0200-0000DB0F00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0" name="$E$116">
            <a:extLst>
              <a:ext uri="{FF2B5EF4-FFF2-40B4-BE49-F238E27FC236}">
                <a16:creationId xmlns:a16="http://schemas.microsoft.com/office/drawing/2014/main" id="{00000000-0008-0000-0200-0000DC0F0000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1" name="$E$116">
            <a:extLst>
              <a:ext uri="{FF2B5EF4-FFF2-40B4-BE49-F238E27FC236}">
                <a16:creationId xmlns:a16="http://schemas.microsoft.com/office/drawing/2014/main" id="{00000000-0008-0000-0200-0000DD0F0000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2" name="$E$116">
            <a:extLst>
              <a:ext uri="{FF2B5EF4-FFF2-40B4-BE49-F238E27FC236}">
                <a16:creationId xmlns:a16="http://schemas.microsoft.com/office/drawing/2014/main" id="{00000000-0008-0000-0200-0000DE0F00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3" name="$E$116">
            <a:extLst>
              <a:ext uri="{FF2B5EF4-FFF2-40B4-BE49-F238E27FC236}">
                <a16:creationId xmlns:a16="http://schemas.microsoft.com/office/drawing/2014/main" id="{00000000-0008-0000-0200-0000DF0F00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4" name="$E$116">
            <a:extLst>
              <a:ext uri="{FF2B5EF4-FFF2-40B4-BE49-F238E27FC236}">
                <a16:creationId xmlns:a16="http://schemas.microsoft.com/office/drawing/2014/main" id="{00000000-0008-0000-0200-0000E00F0000}"/>
              </a:ext>
            </a:extLst>
          </xdr:cNvPr>
          <xdr:cNvSpPr/>
        </xdr:nvSpPr>
        <xdr:spPr>
          <a:xfrm>
            <a:off x="241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5" name="$E$116">
            <a:extLst>
              <a:ext uri="{FF2B5EF4-FFF2-40B4-BE49-F238E27FC236}">
                <a16:creationId xmlns:a16="http://schemas.microsoft.com/office/drawing/2014/main" id="{00000000-0008-0000-0200-0000E10F0000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6" name="$E$116">
            <a:extLst>
              <a:ext uri="{FF2B5EF4-FFF2-40B4-BE49-F238E27FC236}">
                <a16:creationId xmlns:a16="http://schemas.microsoft.com/office/drawing/2014/main" id="{00000000-0008-0000-0200-0000E20F0000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7" name="$E$116">
            <a:extLst>
              <a:ext uri="{FF2B5EF4-FFF2-40B4-BE49-F238E27FC236}">
                <a16:creationId xmlns:a16="http://schemas.microsoft.com/office/drawing/2014/main" id="{00000000-0008-0000-0200-0000E30F0000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8" name="$E$116">
            <a:extLst>
              <a:ext uri="{FF2B5EF4-FFF2-40B4-BE49-F238E27FC236}">
                <a16:creationId xmlns:a16="http://schemas.microsoft.com/office/drawing/2014/main" id="{00000000-0008-0000-0200-0000E40F00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9" name="$E$116">
            <a:extLst>
              <a:ext uri="{FF2B5EF4-FFF2-40B4-BE49-F238E27FC236}">
                <a16:creationId xmlns:a16="http://schemas.microsoft.com/office/drawing/2014/main" id="{00000000-0008-0000-0200-0000E50F0000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0" name="$E$116">
            <a:extLst>
              <a:ext uri="{FF2B5EF4-FFF2-40B4-BE49-F238E27FC236}">
                <a16:creationId xmlns:a16="http://schemas.microsoft.com/office/drawing/2014/main" id="{00000000-0008-0000-0200-0000E60F0000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1" name="$E$116">
            <a:extLst>
              <a:ext uri="{FF2B5EF4-FFF2-40B4-BE49-F238E27FC236}">
                <a16:creationId xmlns:a16="http://schemas.microsoft.com/office/drawing/2014/main" id="{00000000-0008-0000-0200-0000E70F00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2" name="$E$116">
            <a:extLst>
              <a:ext uri="{FF2B5EF4-FFF2-40B4-BE49-F238E27FC236}">
                <a16:creationId xmlns:a16="http://schemas.microsoft.com/office/drawing/2014/main" id="{00000000-0008-0000-0200-0000E80F0000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3" name="$E$116">
            <a:extLst>
              <a:ext uri="{FF2B5EF4-FFF2-40B4-BE49-F238E27FC236}">
                <a16:creationId xmlns:a16="http://schemas.microsoft.com/office/drawing/2014/main" id="{00000000-0008-0000-0200-0000E90F00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4" name="$E$116">
            <a:extLst>
              <a:ext uri="{FF2B5EF4-FFF2-40B4-BE49-F238E27FC236}">
                <a16:creationId xmlns:a16="http://schemas.microsoft.com/office/drawing/2014/main" id="{00000000-0008-0000-0200-0000EA0F0000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5" name="$E$116">
            <a:extLst>
              <a:ext uri="{FF2B5EF4-FFF2-40B4-BE49-F238E27FC236}">
                <a16:creationId xmlns:a16="http://schemas.microsoft.com/office/drawing/2014/main" id="{00000000-0008-0000-0200-0000EB0F00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6" name="$E$116">
            <a:extLst>
              <a:ext uri="{FF2B5EF4-FFF2-40B4-BE49-F238E27FC236}">
                <a16:creationId xmlns:a16="http://schemas.microsoft.com/office/drawing/2014/main" id="{00000000-0008-0000-0200-0000EC0F00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7" name="$E$116">
            <a:extLst>
              <a:ext uri="{FF2B5EF4-FFF2-40B4-BE49-F238E27FC236}">
                <a16:creationId xmlns:a16="http://schemas.microsoft.com/office/drawing/2014/main" id="{00000000-0008-0000-0200-0000ED0F0000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8" name="$E$116">
            <a:extLst>
              <a:ext uri="{FF2B5EF4-FFF2-40B4-BE49-F238E27FC236}">
                <a16:creationId xmlns:a16="http://schemas.microsoft.com/office/drawing/2014/main" id="{00000000-0008-0000-0200-0000EE0F0000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9" name="$E$116">
            <a:extLst>
              <a:ext uri="{FF2B5EF4-FFF2-40B4-BE49-F238E27FC236}">
                <a16:creationId xmlns:a16="http://schemas.microsoft.com/office/drawing/2014/main" id="{00000000-0008-0000-0200-0000EF0F00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0" name="$E$116">
            <a:extLst>
              <a:ext uri="{FF2B5EF4-FFF2-40B4-BE49-F238E27FC236}">
                <a16:creationId xmlns:a16="http://schemas.microsoft.com/office/drawing/2014/main" id="{00000000-0008-0000-0200-0000F00F00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1" name="$E$116">
            <a:extLst>
              <a:ext uri="{FF2B5EF4-FFF2-40B4-BE49-F238E27FC236}">
                <a16:creationId xmlns:a16="http://schemas.microsoft.com/office/drawing/2014/main" id="{00000000-0008-0000-0200-0000F10F000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2" name="$E$116">
            <a:extLst>
              <a:ext uri="{FF2B5EF4-FFF2-40B4-BE49-F238E27FC236}">
                <a16:creationId xmlns:a16="http://schemas.microsoft.com/office/drawing/2014/main" id="{00000000-0008-0000-0200-0000F20F0000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3" name="$E$116">
            <a:extLst>
              <a:ext uri="{FF2B5EF4-FFF2-40B4-BE49-F238E27FC236}">
                <a16:creationId xmlns:a16="http://schemas.microsoft.com/office/drawing/2014/main" id="{00000000-0008-0000-0200-0000F30F00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4" name="$E$116">
            <a:extLst>
              <a:ext uri="{FF2B5EF4-FFF2-40B4-BE49-F238E27FC236}">
                <a16:creationId xmlns:a16="http://schemas.microsoft.com/office/drawing/2014/main" id="{00000000-0008-0000-0200-0000F40F0000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5" name="$E$116">
            <a:extLst>
              <a:ext uri="{FF2B5EF4-FFF2-40B4-BE49-F238E27FC236}">
                <a16:creationId xmlns:a16="http://schemas.microsoft.com/office/drawing/2014/main" id="{00000000-0008-0000-0200-0000F50F0000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6" name="$E$116">
            <a:extLst>
              <a:ext uri="{FF2B5EF4-FFF2-40B4-BE49-F238E27FC236}">
                <a16:creationId xmlns:a16="http://schemas.microsoft.com/office/drawing/2014/main" id="{00000000-0008-0000-0200-0000F60F0000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7" name="$E$116">
            <a:extLst>
              <a:ext uri="{FF2B5EF4-FFF2-40B4-BE49-F238E27FC236}">
                <a16:creationId xmlns:a16="http://schemas.microsoft.com/office/drawing/2014/main" id="{00000000-0008-0000-0200-0000F70F0000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8" name="$E$116">
            <a:extLst>
              <a:ext uri="{FF2B5EF4-FFF2-40B4-BE49-F238E27FC236}">
                <a16:creationId xmlns:a16="http://schemas.microsoft.com/office/drawing/2014/main" id="{00000000-0008-0000-0200-0000F80F0000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9" name="$E$116">
            <a:extLst>
              <a:ext uri="{FF2B5EF4-FFF2-40B4-BE49-F238E27FC236}">
                <a16:creationId xmlns:a16="http://schemas.microsoft.com/office/drawing/2014/main" id="{00000000-0008-0000-0200-0000F90F0000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0" name="$E$116">
            <a:extLst>
              <a:ext uri="{FF2B5EF4-FFF2-40B4-BE49-F238E27FC236}">
                <a16:creationId xmlns:a16="http://schemas.microsoft.com/office/drawing/2014/main" id="{00000000-0008-0000-0200-0000FA0F0000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1" name="$E$116">
            <a:extLst>
              <a:ext uri="{FF2B5EF4-FFF2-40B4-BE49-F238E27FC236}">
                <a16:creationId xmlns:a16="http://schemas.microsoft.com/office/drawing/2014/main" id="{00000000-0008-0000-0200-0000FB0F000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2" name="$E$116">
            <a:extLst>
              <a:ext uri="{FF2B5EF4-FFF2-40B4-BE49-F238E27FC236}">
                <a16:creationId xmlns:a16="http://schemas.microsoft.com/office/drawing/2014/main" id="{00000000-0008-0000-0200-0000FC0F0000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3" name="$E$116">
            <a:extLst>
              <a:ext uri="{FF2B5EF4-FFF2-40B4-BE49-F238E27FC236}">
                <a16:creationId xmlns:a16="http://schemas.microsoft.com/office/drawing/2014/main" id="{00000000-0008-0000-0200-0000FD0F000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4" name="$E$116">
            <a:extLst>
              <a:ext uri="{FF2B5EF4-FFF2-40B4-BE49-F238E27FC236}">
                <a16:creationId xmlns:a16="http://schemas.microsoft.com/office/drawing/2014/main" id="{00000000-0008-0000-0200-0000FE0F0000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5" name="$E$116">
            <a:extLst>
              <a:ext uri="{FF2B5EF4-FFF2-40B4-BE49-F238E27FC236}">
                <a16:creationId xmlns:a16="http://schemas.microsoft.com/office/drawing/2014/main" id="{00000000-0008-0000-0200-0000FF0F00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6" name="$E$116">
            <a:extLst>
              <a:ext uri="{FF2B5EF4-FFF2-40B4-BE49-F238E27FC236}">
                <a16:creationId xmlns:a16="http://schemas.microsoft.com/office/drawing/2014/main" id="{00000000-0008-0000-0200-000000100000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7" name="$E$116">
            <a:extLst>
              <a:ext uri="{FF2B5EF4-FFF2-40B4-BE49-F238E27FC236}">
                <a16:creationId xmlns:a16="http://schemas.microsoft.com/office/drawing/2014/main" id="{00000000-0008-0000-0200-0000011000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8" name="$E$116">
            <a:extLst>
              <a:ext uri="{FF2B5EF4-FFF2-40B4-BE49-F238E27FC236}">
                <a16:creationId xmlns:a16="http://schemas.microsoft.com/office/drawing/2014/main" id="{00000000-0008-0000-0200-000002100000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9" name="$E$116">
            <a:extLst>
              <a:ext uri="{FF2B5EF4-FFF2-40B4-BE49-F238E27FC236}">
                <a16:creationId xmlns:a16="http://schemas.microsoft.com/office/drawing/2014/main" id="{00000000-0008-0000-0200-0000031000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0" name="$E$116">
            <a:extLst>
              <a:ext uri="{FF2B5EF4-FFF2-40B4-BE49-F238E27FC236}">
                <a16:creationId xmlns:a16="http://schemas.microsoft.com/office/drawing/2014/main" id="{00000000-0008-0000-0200-0000041000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1" name="$E$116">
            <a:extLst>
              <a:ext uri="{FF2B5EF4-FFF2-40B4-BE49-F238E27FC236}">
                <a16:creationId xmlns:a16="http://schemas.microsoft.com/office/drawing/2014/main" id="{00000000-0008-0000-0200-000005100000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2" name="$E$116">
            <a:extLst>
              <a:ext uri="{FF2B5EF4-FFF2-40B4-BE49-F238E27FC236}">
                <a16:creationId xmlns:a16="http://schemas.microsoft.com/office/drawing/2014/main" id="{00000000-0008-0000-0200-000006100000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3" name="$E$116">
            <a:extLst>
              <a:ext uri="{FF2B5EF4-FFF2-40B4-BE49-F238E27FC236}">
                <a16:creationId xmlns:a16="http://schemas.microsoft.com/office/drawing/2014/main" id="{00000000-0008-0000-0200-000007100000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4" name="$E$116">
            <a:extLst>
              <a:ext uri="{FF2B5EF4-FFF2-40B4-BE49-F238E27FC236}">
                <a16:creationId xmlns:a16="http://schemas.microsoft.com/office/drawing/2014/main" id="{00000000-0008-0000-0200-00000810000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5" name="$E$116">
            <a:extLst>
              <a:ext uri="{FF2B5EF4-FFF2-40B4-BE49-F238E27FC236}">
                <a16:creationId xmlns:a16="http://schemas.microsoft.com/office/drawing/2014/main" id="{00000000-0008-0000-0200-000009100000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6" name="$E$116">
            <a:extLst>
              <a:ext uri="{FF2B5EF4-FFF2-40B4-BE49-F238E27FC236}">
                <a16:creationId xmlns:a16="http://schemas.microsoft.com/office/drawing/2014/main" id="{00000000-0008-0000-0200-00000A100000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7" name="$E$116">
            <a:extLst>
              <a:ext uri="{FF2B5EF4-FFF2-40B4-BE49-F238E27FC236}">
                <a16:creationId xmlns:a16="http://schemas.microsoft.com/office/drawing/2014/main" id="{00000000-0008-0000-0200-00000B1000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8" name="$E$116">
            <a:extLst>
              <a:ext uri="{FF2B5EF4-FFF2-40B4-BE49-F238E27FC236}">
                <a16:creationId xmlns:a16="http://schemas.microsoft.com/office/drawing/2014/main" id="{00000000-0008-0000-0200-00000C1000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9" name="$E$116">
            <a:extLst>
              <a:ext uri="{FF2B5EF4-FFF2-40B4-BE49-F238E27FC236}">
                <a16:creationId xmlns:a16="http://schemas.microsoft.com/office/drawing/2014/main" id="{00000000-0008-0000-0200-00000D100000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0" name="$E$116">
            <a:extLst>
              <a:ext uri="{FF2B5EF4-FFF2-40B4-BE49-F238E27FC236}">
                <a16:creationId xmlns:a16="http://schemas.microsoft.com/office/drawing/2014/main" id="{00000000-0008-0000-0200-00000E1000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1" name="$E$116">
            <a:extLst>
              <a:ext uri="{FF2B5EF4-FFF2-40B4-BE49-F238E27FC236}">
                <a16:creationId xmlns:a16="http://schemas.microsoft.com/office/drawing/2014/main" id="{00000000-0008-0000-0200-00000F1000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2" name="$E$116">
            <a:extLst>
              <a:ext uri="{FF2B5EF4-FFF2-40B4-BE49-F238E27FC236}">
                <a16:creationId xmlns:a16="http://schemas.microsoft.com/office/drawing/2014/main" id="{00000000-0008-0000-0200-0000101000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3" name="$E$116">
            <a:extLst>
              <a:ext uri="{FF2B5EF4-FFF2-40B4-BE49-F238E27FC236}">
                <a16:creationId xmlns:a16="http://schemas.microsoft.com/office/drawing/2014/main" id="{00000000-0008-0000-0200-0000111000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4" name="$E$116">
            <a:extLst>
              <a:ext uri="{FF2B5EF4-FFF2-40B4-BE49-F238E27FC236}">
                <a16:creationId xmlns:a16="http://schemas.microsoft.com/office/drawing/2014/main" id="{00000000-0008-0000-0200-0000121000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5" name="$E$116">
            <a:extLst>
              <a:ext uri="{FF2B5EF4-FFF2-40B4-BE49-F238E27FC236}">
                <a16:creationId xmlns:a16="http://schemas.microsoft.com/office/drawing/2014/main" id="{00000000-0008-0000-0200-0000131000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6" name="$E$116">
            <a:extLst>
              <a:ext uri="{FF2B5EF4-FFF2-40B4-BE49-F238E27FC236}">
                <a16:creationId xmlns:a16="http://schemas.microsoft.com/office/drawing/2014/main" id="{00000000-0008-0000-0200-000014100000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7" name="$E$116">
            <a:extLst>
              <a:ext uri="{FF2B5EF4-FFF2-40B4-BE49-F238E27FC236}">
                <a16:creationId xmlns:a16="http://schemas.microsoft.com/office/drawing/2014/main" id="{00000000-0008-0000-0200-000015100000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8" name="$E$116">
            <a:extLst>
              <a:ext uri="{FF2B5EF4-FFF2-40B4-BE49-F238E27FC236}">
                <a16:creationId xmlns:a16="http://schemas.microsoft.com/office/drawing/2014/main" id="{00000000-0008-0000-0200-0000161000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9" name="$E$116">
            <a:extLst>
              <a:ext uri="{FF2B5EF4-FFF2-40B4-BE49-F238E27FC236}">
                <a16:creationId xmlns:a16="http://schemas.microsoft.com/office/drawing/2014/main" id="{00000000-0008-0000-0200-0000171000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0" name="$E$116">
            <a:extLst>
              <a:ext uri="{FF2B5EF4-FFF2-40B4-BE49-F238E27FC236}">
                <a16:creationId xmlns:a16="http://schemas.microsoft.com/office/drawing/2014/main" id="{00000000-0008-0000-0200-0000181000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1" name="$E$116">
            <a:extLst>
              <a:ext uri="{FF2B5EF4-FFF2-40B4-BE49-F238E27FC236}">
                <a16:creationId xmlns:a16="http://schemas.microsoft.com/office/drawing/2014/main" id="{00000000-0008-0000-0200-000019100000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2" name="$E$116">
            <a:extLst>
              <a:ext uri="{FF2B5EF4-FFF2-40B4-BE49-F238E27FC236}">
                <a16:creationId xmlns:a16="http://schemas.microsoft.com/office/drawing/2014/main" id="{00000000-0008-0000-0200-00001A100000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3" name="$E$116">
            <a:extLst>
              <a:ext uri="{FF2B5EF4-FFF2-40B4-BE49-F238E27FC236}">
                <a16:creationId xmlns:a16="http://schemas.microsoft.com/office/drawing/2014/main" id="{00000000-0008-0000-0200-00001B100000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4" name="$E$116">
            <a:extLst>
              <a:ext uri="{FF2B5EF4-FFF2-40B4-BE49-F238E27FC236}">
                <a16:creationId xmlns:a16="http://schemas.microsoft.com/office/drawing/2014/main" id="{00000000-0008-0000-0200-00001C100000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5" name="$E$116">
            <a:extLst>
              <a:ext uri="{FF2B5EF4-FFF2-40B4-BE49-F238E27FC236}">
                <a16:creationId xmlns:a16="http://schemas.microsoft.com/office/drawing/2014/main" id="{00000000-0008-0000-0200-00001D100000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6" name="$E$116">
            <a:extLst>
              <a:ext uri="{FF2B5EF4-FFF2-40B4-BE49-F238E27FC236}">
                <a16:creationId xmlns:a16="http://schemas.microsoft.com/office/drawing/2014/main" id="{00000000-0008-0000-0200-00001E100000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7" name="$E$116">
            <a:extLst>
              <a:ext uri="{FF2B5EF4-FFF2-40B4-BE49-F238E27FC236}">
                <a16:creationId xmlns:a16="http://schemas.microsoft.com/office/drawing/2014/main" id="{00000000-0008-0000-0200-00001F100000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8" name="$E$116">
            <a:extLst>
              <a:ext uri="{FF2B5EF4-FFF2-40B4-BE49-F238E27FC236}">
                <a16:creationId xmlns:a16="http://schemas.microsoft.com/office/drawing/2014/main" id="{00000000-0008-0000-0200-0000201000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9" name="$E$116">
            <a:extLst>
              <a:ext uri="{FF2B5EF4-FFF2-40B4-BE49-F238E27FC236}">
                <a16:creationId xmlns:a16="http://schemas.microsoft.com/office/drawing/2014/main" id="{00000000-0008-0000-0200-000021100000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0" name="$E$116">
            <a:extLst>
              <a:ext uri="{FF2B5EF4-FFF2-40B4-BE49-F238E27FC236}">
                <a16:creationId xmlns:a16="http://schemas.microsoft.com/office/drawing/2014/main" id="{00000000-0008-0000-0200-0000221000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1" name="$E$116">
            <a:extLst>
              <a:ext uri="{FF2B5EF4-FFF2-40B4-BE49-F238E27FC236}">
                <a16:creationId xmlns:a16="http://schemas.microsoft.com/office/drawing/2014/main" id="{00000000-0008-0000-0200-0000231000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2" name="$E$116">
            <a:extLst>
              <a:ext uri="{FF2B5EF4-FFF2-40B4-BE49-F238E27FC236}">
                <a16:creationId xmlns:a16="http://schemas.microsoft.com/office/drawing/2014/main" id="{00000000-0008-0000-0200-0000241000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3" name="$E$116">
            <a:extLst>
              <a:ext uri="{FF2B5EF4-FFF2-40B4-BE49-F238E27FC236}">
                <a16:creationId xmlns:a16="http://schemas.microsoft.com/office/drawing/2014/main" id="{00000000-0008-0000-0200-000025100000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4" name="$E$116">
            <a:extLst>
              <a:ext uri="{FF2B5EF4-FFF2-40B4-BE49-F238E27FC236}">
                <a16:creationId xmlns:a16="http://schemas.microsoft.com/office/drawing/2014/main" id="{00000000-0008-0000-0200-000026100000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5" name="$E$116">
            <a:extLst>
              <a:ext uri="{FF2B5EF4-FFF2-40B4-BE49-F238E27FC236}">
                <a16:creationId xmlns:a16="http://schemas.microsoft.com/office/drawing/2014/main" id="{00000000-0008-0000-0200-0000271000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6" name="$E$116">
            <a:extLst>
              <a:ext uri="{FF2B5EF4-FFF2-40B4-BE49-F238E27FC236}">
                <a16:creationId xmlns:a16="http://schemas.microsoft.com/office/drawing/2014/main" id="{00000000-0008-0000-0200-000028100000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7" name="$E$116">
            <a:extLst>
              <a:ext uri="{FF2B5EF4-FFF2-40B4-BE49-F238E27FC236}">
                <a16:creationId xmlns:a16="http://schemas.microsoft.com/office/drawing/2014/main" id="{00000000-0008-0000-0200-000029100000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8" name="$E$116">
            <a:extLst>
              <a:ext uri="{FF2B5EF4-FFF2-40B4-BE49-F238E27FC236}">
                <a16:creationId xmlns:a16="http://schemas.microsoft.com/office/drawing/2014/main" id="{00000000-0008-0000-0200-00002A100000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9" name="$E$116">
            <a:extLst>
              <a:ext uri="{FF2B5EF4-FFF2-40B4-BE49-F238E27FC236}">
                <a16:creationId xmlns:a16="http://schemas.microsoft.com/office/drawing/2014/main" id="{00000000-0008-0000-0200-00002B1000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0" name="$E$116">
            <a:extLst>
              <a:ext uri="{FF2B5EF4-FFF2-40B4-BE49-F238E27FC236}">
                <a16:creationId xmlns:a16="http://schemas.microsoft.com/office/drawing/2014/main" id="{00000000-0008-0000-0200-00002C1000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1" name="$E$116">
            <a:extLst>
              <a:ext uri="{FF2B5EF4-FFF2-40B4-BE49-F238E27FC236}">
                <a16:creationId xmlns:a16="http://schemas.microsoft.com/office/drawing/2014/main" id="{00000000-0008-0000-0200-00002D1000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2" name="$E$116">
            <a:extLst>
              <a:ext uri="{FF2B5EF4-FFF2-40B4-BE49-F238E27FC236}">
                <a16:creationId xmlns:a16="http://schemas.microsoft.com/office/drawing/2014/main" id="{00000000-0008-0000-0200-00002E100000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3" name="$E$116">
            <a:extLst>
              <a:ext uri="{FF2B5EF4-FFF2-40B4-BE49-F238E27FC236}">
                <a16:creationId xmlns:a16="http://schemas.microsoft.com/office/drawing/2014/main" id="{00000000-0008-0000-0200-00002F100000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4" name="$E$116">
            <a:extLst>
              <a:ext uri="{FF2B5EF4-FFF2-40B4-BE49-F238E27FC236}">
                <a16:creationId xmlns:a16="http://schemas.microsoft.com/office/drawing/2014/main" id="{00000000-0008-0000-0200-0000301000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5" name="$E$116">
            <a:extLst>
              <a:ext uri="{FF2B5EF4-FFF2-40B4-BE49-F238E27FC236}">
                <a16:creationId xmlns:a16="http://schemas.microsoft.com/office/drawing/2014/main" id="{00000000-0008-0000-0200-000031100000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6" name="$E$116">
            <a:extLst>
              <a:ext uri="{FF2B5EF4-FFF2-40B4-BE49-F238E27FC236}">
                <a16:creationId xmlns:a16="http://schemas.microsoft.com/office/drawing/2014/main" id="{00000000-0008-0000-0200-000032100000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7" name="$E$116">
            <a:extLst>
              <a:ext uri="{FF2B5EF4-FFF2-40B4-BE49-F238E27FC236}">
                <a16:creationId xmlns:a16="http://schemas.microsoft.com/office/drawing/2014/main" id="{00000000-0008-0000-0200-000033100000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8" name="$E$116">
            <a:extLst>
              <a:ext uri="{FF2B5EF4-FFF2-40B4-BE49-F238E27FC236}">
                <a16:creationId xmlns:a16="http://schemas.microsoft.com/office/drawing/2014/main" id="{00000000-0008-0000-0200-000034100000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9" name="$E$116">
            <a:extLst>
              <a:ext uri="{FF2B5EF4-FFF2-40B4-BE49-F238E27FC236}">
                <a16:creationId xmlns:a16="http://schemas.microsoft.com/office/drawing/2014/main" id="{00000000-0008-0000-0200-000035100000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0" name="$E$116">
            <a:extLst>
              <a:ext uri="{FF2B5EF4-FFF2-40B4-BE49-F238E27FC236}">
                <a16:creationId xmlns:a16="http://schemas.microsoft.com/office/drawing/2014/main" id="{00000000-0008-0000-0200-000036100000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1" name="$E$116">
            <a:extLst>
              <a:ext uri="{FF2B5EF4-FFF2-40B4-BE49-F238E27FC236}">
                <a16:creationId xmlns:a16="http://schemas.microsoft.com/office/drawing/2014/main" id="{00000000-0008-0000-0200-000037100000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2" name="$E$116">
            <a:extLst>
              <a:ext uri="{FF2B5EF4-FFF2-40B4-BE49-F238E27FC236}">
                <a16:creationId xmlns:a16="http://schemas.microsoft.com/office/drawing/2014/main" id="{00000000-0008-0000-0200-0000381000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3" name="$E$116">
            <a:extLst>
              <a:ext uri="{FF2B5EF4-FFF2-40B4-BE49-F238E27FC236}">
                <a16:creationId xmlns:a16="http://schemas.microsoft.com/office/drawing/2014/main" id="{00000000-0008-0000-0200-000039100000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4" name="$E$116">
            <a:extLst>
              <a:ext uri="{FF2B5EF4-FFF2-40B4-BE49-F238E27FC236}">
                <a16:creationId xmlns:a16="http://schemas.microsoft.com/office/drawing/2014/main" id="{00000000-0008-0000-0200-00003A100000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5" name="$E$116">
            <a:extLst>
              <a:ext uri="{FF2B5EF4-FFF2-40B4-BE49-F238E27FC236}">
                <a16:creationId xmlns:a16="http://schemas.microsoft.com/office/drawing/2014/main" id="{00000000-0008-0000-0200-00003B100000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6" name="$E$116">
            <a:extLst>
              <a:ext uri="{FF2B5EF4-FFF2-40B4-BE49-F238E27FC236}">
                <a16:creationId xmlns:a16="http://schemas.microsoft.com/office/drawing/2014/main" id="{00000000-0008-0000-0200-00003C100000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7" name="$E$116">
            <a:extLst>
              <a:ext uri="{FF2B5EF4-FFF2-40B4-BE49-F238E27FC236}">
                <a16:creationId xmlns:a16="http://schemas.microsoft.com/office/drawing/2014/main" id="{00000000-0008-0000-0200-00003D100000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8" name="$E$116">
            <a:extLst>
              <a:ext uri="{FF2B5EF4-FFF2-40B4-BE49-F238E27FC236}">
                <a16:creationId xmlns:a16="http://schemas.microsoft.com/office/drawing/2014/main" id="{00000000-0008-0000-0200-00003E1000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9" name="$E$116">
            <a:extLst>
              <a:ext uri="{FF2B5EF4-FFF2-40B4-BE49-F238E27FC236}">
                <a16:creationId xmlns:a16="http://schemas.microsoft.com/office/drawing/2014/main" id="{00000000-0008-0000-0200-00003F1000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0" name="$E$116">
            <a:extLst>
              <a:ext uri="{FF2B5EF4-FFF2-40B4-BE49-F238E27FC236}">
                <a16:creationId xmlns:a16="http://schemas.microsoft.com/office/drawing/2014/main" id="{00000000-0008-0000-0200-0000401000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1" name="$E$116">
            <a:extLst>
              <a:ext uri="{FF2B5EF4-FFF2-40B4-BE49-F238E27FC236}">
                <a16:creationId xmlns:a16="http://schemas.microsoft.com/office/drawing/2014/main" id="{00000000-0008-0000-0200-000041100000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2" name="$E$116">
            <a:extLst>
              <a:ext uri="{FF2B5EF4-FFF2-40B4-BE49-F238E27FC236}">
                <a16:creationId xmlns:a16="http://schemas.microsoft.com/office/drawing/2014/main" id="{00000000-0008-0000-0200-0000421000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3" name="$E$116">
            <a:extLst>
              <a:ext uri="{FF2B5EF4-FFF2-40B4-BE49-F238E27FC236}">
                <a16:creationId xmlns:a16="http://schemas.microsoft.com/office/drawing/2014/main" id="{00000000-0008-0000-0200-000043100000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4" name="$E$116">
            <a:extLst>
              <a:ext uri="{FF2B5EF4-FFF2-40B4-BE49-F238E27FC236}">
                <a16:creationId xmlns:a16="http://schemas.microsoft.com/office/drawing/2014/main" id="{00000000-0008-0000-0200-000044100000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5" name="$E$116">
            <a:extLst>
              <a:ext uri="{FF2B5EF4-FFF2-40B4-BE49-F238E27FC236}">
                <a16:creationId xmlns:a16="http://schemas.microsoft.com/office/drawing/2014/main" id="{00000000-0008-0000-0200-000045100000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6" name="$E$116">
            <a:extLst>
              <a:ext uri="{FF2B5EF4-FFF2-40B4-BE49-F238E27FC236}">
                <a16:creationId xmlns:a16="http://schemas.microsoft.com/office/drawing/2014/main" id="{00000000-0008-0000-0200-000046100000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7" name="$E$116">
            <a:extLst>
              <a:ext uri="{FF2B5EF4-FFF2-40B4-BE49-F238E27FC236}">
                <a16:creationId xmlns:a16="http://schemas.microsoft.com/office/drawing/2014/main" id="{00000000-0008-0000-0200-000047100000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8" name="$E$116">
            <a:extLst>
              <a:ext uri="{FF2B5EF4-FFF2-40B4-BE49-F238E27FC236}">
                <a16:creationId xmlns:a16="http://schemas.microsoft.com/office/drawing/2014/main" id="{00000000-0008-0000-0200-000048100000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9" name="$E$116">
            <a:extLst>
              <a:ext uri="{FF2B5EF4-FFF2-40B4-BE49-F238E27FC236}">
                <a16:creationId xmlns:a16="http://schemas.microsoft.com/office/drawing/2014/main" id="{00000000-0008-0000-0200-0000491000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0" name="$E$116">
            <a:extLst>
              <a:ext uri="{FF2B5EF4-FFF2-40B4-BE49-F238E27FC236}">
                <a16:creationId xmlns:a16="http://schemas.microsoft.com/office/drawing/2014/main" id="{00000000-0008-0000-0200-00004A1000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1" name="$E$116">
            <a:extLst>
              <a:ext uri="{FF2B5EF4-FFF2-40B4-BE49-F238E27FC236}">
                <a16:creationId xmlns:a16="http://schemas.microsoft.com/office/drawing/2014/main" id="{00000000-0008-0000-0200-00004B1000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2" name="$E$116">
            <a:extLst>
              <a:ext uri="{FF2B5EF4-FFF2-40B4-BE49-F238E27FC236}">
                <a16:creationId xmlns:a16="http://schemas.microsoft.com/office/drawing/2014/main" id="{00000000-0008-0000-0200-00004C1000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3" name="$E$116">
            <a:extLst>
              <a:ext uri="{FF2B5EF4-FFF2-40B4-BE49-F238E27FC236}">
                <a16:creationId xmlns:a16="http://schemas.microsoft.com/office/drawing/2014/main" id="{00000000-0008-0000-0200-00004D100000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4" name="$E$116">
            <a:extLst>
              <a:ext uri="{FF2B5EF4-FFF2-40B4-BE49-F238E27FC236}">
                <a16:creationId xmlns:a16="http://schemas.microsoft.com/office/drawing/2014/main" id="{00000000-0008-0000-0200-00004E1000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5" name="$E$116">
            <a:extLst>
              <a:ext uri="{FF2B5EF4-FFF2-40B4-BE49-F238E27FC236}">
                <a16:creationId xmlns:a16="http://schemas.microsoft.com/office/drawing/2014/main" id="{00000000-0008-0000-0200-00004F1000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6" name="$E$116">
            <a:extLst>
              <a:ext uri="{FF2B5EF4-FFF2-40B4-BE49-F238E27FC236}">
                <a16:creationId xmlns:a16="http://schemas.microsoft.com/office/drawing/2014/main" id="{00000000-0008-0000-0200-0000501000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7" name="$E$116">
            <a:extLst>
              <a:ext uri="{FF2B5EF4-FFF2-40B4-BE49-F238E27FC236}">
                <a16:creationId xmlns:a16="http://schemas.microsoft.com/office/drawing/2014/main" id="{00000000-0008-0000-0200-000051100000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8" name="$E$116">
            <a:extLst>
              <a:ext uri="{FF2B5EF4-FFF2-40B4-BE49-F238E27FC236}">
                <a16:creationId xmlns:a16="http://schemas.microsoft.com/office/drawing/2014/main" id="{00000000-0008-0000-0200-0000521000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9" name="$E$116">
            <a:extLst>
              <a:ext uri="{FF2B5EF4-FFF2-40B4-BE49-F238E27FC236}">
                <a16:creationId xmlns:a16="http://schemas.microsoft.com/office/drawing/2014/main" id="{00000000-0008-0000-0200-000053100000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0" name="$E$116">
            <a:extLst>
              <a:ext uri="{FF2B5EF4-FFF2-40B4-BE49-F238E27FC236}">
                <a16:creationId xmlns:a16="http://schemas.microsoft.com/office/drawing/2014/main" id="{00000000-0008-0000-0200-0000541000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1" name="$E$116">
            <a:extLst>
              <a:ext uri="{FF2B5EF4-FFF2-40B4-BE49-F238E27FC236}">
                <a16:creationId xmlns:a16="http://schemas.microsoft.com/office/drawing/2014/main" id="{00000000-0008-0000-0200-000055100000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2" name="$E$116">
            <a:extLst>
              <a:ext uri="{FF2B5EF4-FFF2-40B4-BE49-F238E27FC236}">
                <a16:creationId xmlns:a16="http://schemas.microsoft.com/office/drawing/2014/main" id="{00000000-0008-0000-0200-000056100000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3" name="$E$116">
            <a:extLst>
              <a:ext uri="{FF2B5EF4-FFF2-40B4-BE49-F238E27FC236}">
                <a16:creationId xmlns:a16="http://schemas.microsoft.com/office/drawing/2014/main" id="{00000000-0008-0000-0200-0000571000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4" name="$E$116">
            <a:extLst>
              <a:ext uri="{FF2B5EF4-FFF2-40B4-BE49-F238E27FC236}">
                <a16:creationId xmlns:a16="http://schemas.microsoft.com/office/drawing/2014/main" id="{00000000-0008-0000-0200-0000581000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5" name="$E$116">
            <a:extLst>
              <a:ext uri="{FF2B5EF4-FFF2-40B4-BE49-F238E27FC236}">
                <a16:creationId xmlns:a16="http://schemas.microsoft.com/office/drawing/2014/main" id="{00000000-0008-0000-0200-0000591000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6" name="$E$116">
            <a:extLst>
              <a:ext uri="{FF2B5EF4-FFF2-40B4-BE49-F238E27FC236}">
                <a16:creationId xmlns:a16="http://schemas.microsoft.com/office/drawing/2014/main" id="{00000000-0008-0000-0200-00005A1000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7" name="$E$116">
            <a:extLst>
              <a:ext uri="{FF2B5EF4-FFF2-40B4-BE49-F238E27FC236}">
                <a16:creationId xmlns:a16="http://schemas.microsoft.com/office/drawing/2014/main" id="{00000000-0008-0000-0200-00005B1000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8" name="$E$116">
            <a:extLst>
              <a:ext uri="{FF2B5EF4-FFF2-40B4-BE49-F238E27FC236}">
                <a16:creationId xmlns:a16="http://schemas.microsoft.com/office/drawing/2014/main" id="{00000000-0008-0000-0200-00005C1000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9" name="$E$116">
            <a:extLst>
              <a:ext uri="{FF2B5EF4-FFF2-40B4-BE49-F238E27FC236}">
                <a16:creationId xmlns:a16="http://schemas.microsoft.com/office/drawing/2014/main" id="{00000000-0008-0000-0200-00005D100000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0" name="$E$116">
            <a:extLst>
              <a:ext uri="{FF2B5EF4-FFF2-40B4-BE49-F238E27FC236}">
                <a16:creationId xmlns:a16="http://schemas.microsoft.com/office/drawing/2014/main" id="{00000000-0008-0000-0200-00005E1000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1" name="$E$116">
            <a:extLst>
              <a:ext uri="{FF2B5EF4-FFF2-40B4-BE49-F238E27FC236}">
                <a16:creationId xmlns:a16="http://schemas.microsoft.com/office/drawing/2014/main" id="{00000000-0008-0000-0200-00005F100000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2" name="$E$116">
            <a:extLst>
              <a:ext uri="{FF2B5EF4-FFF2-40B4-BE49-F238E27FC236}">
                <a16:creationId xmlns:a16="http://schemas.microsoft.com/office/drawing/2014/main" id="{00000000-0008-0000-0200-000060100000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3" name="$E$116">
            <a:extLst>
              <a:ext uri="{FF2B5EF4-FFF2-40B4-BE49-F238E27FC236}">
                <a16:creationId xmlns:a16="http://schemas.microsoft.com/office/drawing/2014/main" id="{00000000-0008-0000-0200-0000611000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4" name="$E$116">
            <a:extLst>
              <a:ext uri="{FF2B5EF4-FFF2-40B4-BE49-F238E27FC236}">
                <a16:creationId xmlns:a16="http://schemas.microsoft.com/office/drawing/2014/main" id="{00000000-0008-0000-0200-0000621000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5" name="$E$116">
            <a:extLst>
              <a:ext uri="{FF2B5EF4-FFF2-40B4-BE49-F238E27FC236}">
                <a16:creationId xmlns:a16="http://schemas.microsoft.com/office/drawing/2014/main" id="{00000000-0008-0000-0200-000063100000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6" name="$E$116">
            <a:extLst>
              <a:ext uri="{FF2B5EF4-FFF2-40B4-BE49-F238E27FC236}">
                <a16:creationId xmlns:a16="http://schemas.microsoft.com/office/drawing/2014/main" id="{00000000-0008-0000-0200-000064100000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7" name="$E$116">
            <a:extLst>
              <a:ext uri="{FF2B5EF4-FFF2-40B4-BE49-F238E27FC236}">
                <a16:creationId xmlns:a16="http://schemas.microsoft.com/office/drawing/2014/main" id="{00000000-0008-0000-0200-0000651000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8" name="$E$116">
            <a:extLst>
              <a:ext uri="{FF2B5EF4-FFF2-40B4-BE49-F238E27FC236}">
                <a16:creationId xmlns:a16="http://schemas.microsoft.com/office/drawing/2014/main" id="{00000000-0008-0000-0200-000066100000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9" name="$E$116">
            <a:extLst>
              <a:ext uri="{FF2B5EF4-FFF2-40B4-BE49-F238E27FC236}">
                <a16:creationId xmlns:a16="http://schemas.microsoft.com/office/drawing/2014/main" id="{00000000-0008-0000-0200-000067100000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0" name="$E$116">
            <a:extLst>
              <a:ext uri="{FF2B5EF4-FFF2-40B4-BE49-F238E27FC236}">
                <a16:creationId xmlns:a16="http://schemas.microsoft.com/office/drawing/2014/main" id="{00000000-0008-0000-0200-0000681000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1" name="$E$116">
            <a:extLst>
              <a:ext uri="{FF2B5EF4-FFF2-40B4-BE49-F238E27FC236}">
                <a16:creationId xmlns:a16="http://schemas.microsoft.com/office/drawing/2014/main" id="{00000000-0008-0000-0200-000069100000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2" name="$E$116">
            <a:extLst>
              <a:ext uri="{FF2B5EF4-FFF2-40B4-BE49-F238E27FC236}">
                <a16:creationId xmlns:a16="http://schemas.microsoft.com/office/drawing/2014/main" id="{00000000-0008-0000-0200-00006A1000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3" name="$E$116">
            <a:extLst>
              <a:ext uri="{FF2B5EF4-FFF2-40B4-BE49-F238E27FC236}">
                <a16:creationId xmlns:a16="http://schemas.microsoft.com/office/drawing/2014/main" id="{00000000-0008-0000-0200-00006B1000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4" name="$E$116">
            <a:extLst>
              <a:ext uri="{FF2B5EF4-FFF2-40B4-BE49-F238E27FC236}">
                <a16:creationId xmlns:a16="http://schemas.microsoft.com/office/drawing/2014/main" id="{00000000-0008-0000-0200-00006C100000}"/>
              </a:ext>
            </a:extLst>
          </xdr:cNvPr>
          <xdr:cNvSpPr/>
        </xdr:nvSpPr>
        <xdr:spPr>
          <a:xfrm>
            <a:off x="88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5" name="$E$116">
            <a:extLst>
              <a:ext uri="{FF2B5EF4-FFF2-40B4-BE49-F238E27FC236}">
                <a16:creationId xmlns:a16="http://schemas.microsoft.com/office/drawing/2014/main" id="{00000000-0008-0000-0200-00006D100000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6" name="$E$116">
            <a:extLst>
              <a:ext uri="{FF2B5EF4-FFF2-40B4-BE49-F238E27FC236}">
                <a16:creationId xmlns:a16="http://schemas.microsoft.com/office/drawing/2014/main" id="{00000000-0008-0000-0200-00006E1000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7" name="$E$116">
            <a:extLst>
              <a:ext uri="{FF2B5EF4-FFF2-40B4-BE49-F238E27FC236}">
                <a16:creationId xmlns:a16="http://schemas.microsoft.com/office/drawing/2014/main" id="{00000000-0008-0000-0200-00006F1000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8" name="$E$116">
            <a:extLst>
              <a:ext uri="{FF2B5EF4-FFF2-40B4-BE49-F238E27FC236}">
                <a16:creationId xmlns:a16="http://schemas.microsoft.com/office/drawing/2014/main" id="{00000000-0008-0000-0200-0000701000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9" name="$E$116">
            <a:extLst>
              <a:ext uri="{FF2B5EF4-FFF2-40B4-BE49-F238E27FC236}">
                <a16:creationId xmlns:a16="http://schemas.microsoft.com/office/drawing/2014/main" id="{00000000-0008-0000-0200-000071100000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0" name="$E$116">
            <a:extLst>
              <a:ext uri="{FF2B5EF4-FFF2-40B4-BE49-F238E27FC236}">
                <a16:creationId xmlns:a16="http://schemas.microsoft.com/office/drawing/2014/main" id="{00000000-0008-0000-0200-0000721000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1" name="$E$116">
            <a:extLst>
              <a:ext uri="{FF2B5EF4-FFF2-40B4-BE49-F238E27FC236}">
                <a16:creationId xmlns:a16="http://schemas.microsoft.com/office/drawing/2014/main" id="{00000000-0008-0000-0200-000073100000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2" name="$E$116">
            <a:extLst>
              <a:ext uri="{FF2B5EF4-FFF2-40B4-BE49-F238E27FC236}">
                <a16:creationId xmlns:a16="http://schemas.microsoft.com/office/drawing/2014/main" id="{00000000-0008-0000-0200-0000741000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3" name="$E$116">
            <a:extLst>
              <a:ext uri="{FF2B5EF4-FFF2-40B4-BE49-F238E27FC236}">
                <a16:creationId xmlns:a16="http://schemas.microsoft.com/office/drawing/2014/main" id="{00000000-0008-0000-0200-0000751000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4" name="$E$116">
            <a:extLst>
              <a:ext uri="{FF2B5EF4-FFF2-40B4-BE49-F238E27FC236}">
                <a16:creationId xmlns:a16="http://schemas.microsoft.com/office/drawing/2014/main" id="{00000000-0008-0000-0200-0000761000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5" name="$E$116">
            <a:extLst>
              <a:ext uri="{FF2B5EF4-FFF2-40B4-BE49-F238E27FC236}">
                <a16:creationId xmlns:a16="http://schemas.microsoft.com/office/drawing/2014/main" id="{00000000-0008-0000-0200-000077100000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6" name="$E$116">
            <a:extLst>
              <a:ext uri="{FF2B5EF4-FFF2-40B4-BE49-F238E27FC236}">
                <a16:creationId xmlns:a16="http://schemas.microsoft.com/office/drawing/2014/main" id="{00000000-0008-0000-0200-000078100000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7" name="$E$116">
            <a:extLst>
              <a:ext uri="{FF2B5EF4-FFF2-40B4-BE49-F238E27FC236}">
                <a16:creationId xmlns:a16="http://schemas.microsoft.com/office/drawing/2014/main" id="{00000000-0008-0000-0200-0000791000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8" name="$E$116">
            <a:extLst>
              <a:ext uri="{FF2B5EF4-FFF2-40B4-BE49-F238E27FC236}">
                <a16:creationId xmlns:a16="http://schemas.microsoft.com/office/drawing/2014/main" id="{00000000-0008-0000-0200-00007A1000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9" name="$E$116">
            <a:extLst>
              <a:ext uri="{FF2B5EF4-FFF2-40B4-BE49-F238E27FC236}">
                <a16:creationId xmlns:a16="http://schemas.microsoft.com/office/drawing/2014/main" id="{00000000-0008-0000-0200-00007B1000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0" name="$E$116">
            <a:extLst>
              <a:ext uri="{FF2B5EF4-FFF2-40B4-BE49-F238E27FC236}">
                <a16:creationId xmlns:a16="http://schemas.microsoft.com/office/drawing/2014/main" id="{00000000-0008-0000-0200-00007C1000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1" name="$E$116">
            <a:extLst>
              <a:ext uri="{FF2B5EF4-FFF2-40B4-BE49-F238E27FC236}">
                <a16:creationId xmlns:a16="http://schemas.microsoft.com/office/drawing/2014/main" id="{00000000-0008-0000-0200-00007D1000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2" name="$E$116">
            <a:extLst>
              <a:ext uri="{FF2B5EF4-FFF2-40B4-BE49-F238E27FC236}">
                <a16:creationId xmlns:a16="http://schemas.microsoft.com/office/drawing/2014/main" id="{00000000-0008-0000-0200-00007E1000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3" name="$E$116">
            <a:extLst>
              <a:ext uri="{FF2B5EF4-FFF2-40B4-BE49-F238E27FC236}">
                <a16:creationId xmlns:a16="http://schemas.microsoft.com/office/drawing/2014/main" id="{00000000-0008-0000-0200-00007F100000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4" name="$E$116">
            <a:extLst>
              <a:ext uri="{FF2B5EF4-FFF2-40B4-BE49-F238E27FC236}">
                <a16:creationId xmlns:a16="http://schemas.microsoft.com/office/drawing/2014/main" id="{00000000-0008-0000-0200-0000801000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5" name="$E$116">
            <a:extLst>
              <a:ext uri="{FF2B5EF4-FFF2-40B4-BE49-F238E27FC236}">
                <a16:creationId xmlns:a16="http://schemas.microsoft.com/office/drawing/2014/main" id="{00000000-0008-0000-0200-0000811000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6" name="$E$116">
            <a:extLst>
              <a:ext uri="{FF2B5EF4-FFF2-40B4-BE49-F238E27FC236}">
                <a16:creationId xmlns:a16="http://schemas.microsoft.com/office/drawing/2014/main" id="{00000000-0008-0000-0200-0000821000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7" name="$E$116">
            <a:extLst>
              <a:ext uri="{FF2B5EF4-FFF2-40B4-BE49-F238E27FC236}">
                <a16:creationId xmlns:a16="http://schemas.microsoft.com/office/drawing/2014/main" id="{00000000-0008-0000-0200-0000831000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8" name="$E$116">
            <a:extLst>
              <a:ext uri="{FF2B5EF4-FFF2-40B4-BE49-F238E27FC236}">
                <a16:creationId xmlns:a16="http://schemas.microsoft.com/office/drawing/2014/main" id="{00000000-0008-0000-0200-000084100000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9" name="$E$116">
            <a:extLst>
              <a:ext uri="{FF2B5EF4-FFF2-40B4-BE49-F238E27FC236}">
                <a16:creationId xmlns:a16="http://schemas.microsoft.com/office/drawing/2014/main" id="{00000000-0008-0000-0200-0000851000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0" name="$E$116">
            <a:extLst>
              <a:ext uri="{FF2B5EF4-FFF2-40B4-BE49-F238E27FC236}">
                <a16:creationId xmlns:a16="http://schemas.microsoft.com/office/drawing/2014/main" id="{00000000-0008-0000-0200-000086100000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1" name="$E$116">
            <a:extLst>
              <a:ext uri="{FF2B5EF4-FFF2-40B4-BE49-F238E27FC236}">
                <a16:creationId xmlns:a16="http://schemas.microsoft.com/office/drawing/2014/main" id="{00000000-0008-0000-0200-000087100000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2" name="$E$116">
            <a:extLst>
              <a:ext uri="{FF2B5EF4-FFF2-40B4-BE49-F238E27FC236}">
                <a16:creationId xmlns:a16="http://schemas.microsoft.com/office/drawing/2014/main" id="{00000000-0008-0000-0200-000088100000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3" name="$E$116">
            <a:extLst>
              <a:ext uri="{FF2B5EF4-FFF2-40B4-BE49-F238E27FC236}">
                <a16:creationId xmlns:a16="http://schemas.microsoft.com/office/drawing/2014/main" id="{00000000-0008-0000-0200-0000891000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4" name="$E$116">
            <a:extLst>
              <a:ext uri="{FF2B5EF4-FFF2-40B4-BE49-F238E27FC236}">
                <a16:creationId xmlns:a16="http://schemas.microsoft.com/office/drawing/2014/main" id="{00000000-0008-0000-0200-00008A100000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5" name="$E$116">
            <a:extLst>
              <a:ext uri="{FF2B5EF4-FFF2-40B4-BE49-F238E27FC236}">
                <a16:creationId xmlns:a16="http://schemas.microsoft.com/office/drawing/2014/main" id="{00000000-0008-0000-0200-00008B1000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6" name="$E$116">
            <a:extLst>
              <a:ext uri="{FF2B5EF4-FFF2-40B4-BE49-F238E27FC236}">
                <a16:creationId xmlns:a16="http://schemas.microsoft.com/office/drawing/2014/main" id="{00000000-0008-0000-0200-00008C100000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7" name="$E$116">
            <a:extLst>
              <a:ext uri="{FF2B5EF4-FFF2-40B4-BE49-F238E27FC236}">
                <a16:creationId xmlns:a16="http://schemas.microsoft.com/office/drawing/2014/main" id="{00000000-0008-0000-0200-00008D1000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8" name="$E$116">
            <a:extLst>
              <a:ext uri="{FF2B5EF4-FFF2-40B4-BE49-F238E27FC236}">
                <a16:creationId xmlns:a16="http://schemas.microsoft.com/office/drawing/2014/main" id="{00000000-0008-0000-0200-00008E100000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9" name="$E$116">
            <a:extLst>
              <a:ext uri="{FF2B5EF4-FFF2-40B4-BE49-F238E27FC236}">
                <a16:creationId xmlns:a16="http://schemas.microsoft.com/office/drawing/2014/main" id="{00000000-0008-0000-0200-00008F1000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0" name="$E$116">
            <a:extLst>
              <a:ext uri="{FF2B5EF4-FFF2-40B4-BE49-F238E27FC236}">
                <a16:creationId xmlns:a16="http://schemas.microsoft.com/office/drawing/2014/main" id="{00000000-0008-0000-0200-0000901000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1" name="$E$116">
            <a:extLst>
              <a:ext uri="{FF2B5EF4-FFF2-40B4-BE49-F238E27FC236}">
                <a16:creationId xmlns:a16="http://schemas.microsoft.com/office/drawing/2014/main" id="{00000000-0008-0000-0200-00009110000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2" name="$E$116">
            <a:extLst>
              <a:ext uri="{FF2B5EF4-FFF2-40B4-BE49-F238E27FC236}">
                <a16:creationId xmlns:a16="http://schemas.microsoft.com/office/drawing/2014/main" id="{00000000-0008-0000-0200-000092100000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3" name="$E$116">
            <a:extLst>
              <a:ext uri="{FF2B5EF4-FFF2-40B4-BE49-F238E27FC236}">
                <a16:creationId xmlns:a16="http://schemas.microsoft.com/office/drawing/2014/main" id="{00000000-0008-0000-0200-000093100000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4" name="$E$116">
            <a:extLst>
              <a:ext uri="{FF2B5EF4-FFF2-40B4-BE49-F238E27FC236}">
                <a16:creationId xmlns:a16="http://schemas.microsoft.com/office/drawing/2014/main" id="{00000000-0008-0000-0200-0000941000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5" name="$E$116">
            <a:extLst>
              <a:ext uri="{FF2B5EF4-FFF2-40B4-BE49-F238E27FC236}">
                <a16:creationId xmlns:a16="http://schemas.microsoft.com/office/drawing/2014/main" id="{00000000-0008-0000-0200-000095100000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6" name="$E$116">
            <a:extLst>
              <a:ext uri="{FF2B5EF4-FFF2-40B4-BE49-F238E27FC236}">
                <a16:creationId xmlns:a16="http://schemas.microsoft.com/office/drawing/2014/main" id="{00000000-0008-0000-0200-000096100000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7" name="$E$116">
            <a:extLst>
              <a:ext uri="{FF2B5EF4-FFF2-40B4-BE49-F238E27FC236}">
                <a16:creationId xmlns:a16="http://schemas.microsoft.com/office/drawing/2014/main" id="{00000000-0008-0000-0200-0000971000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8" name="$E$116">
            <a:extLst>
              <a:ext uri="{FF2B5EF4-FFF2-40B4-BE49-F238E27FC236}">
                <a16:creationId xmlns:a16="http://schemas.microsoft.com/office/drawing/2014/main" id="{00000000-0008-0000-0200-000098100000}"/>
              </a:ext>
            </a:extLst>
          </xdr:cNvPr>
          <xdr:cNvSpPr/>
        </xdr:nvSpPr>
        <xdr:spPr>
          <a:xfrm>
            <a:off x="50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9" name="$E$116">
            <a:extLst>
              <a:ext uri="{FF2B5EF4-FFF2-40B4-BE49-F238E27FC236}">
                <a16:creationId xmlns:a16="http://schemas.microsoft.com/office/drawing/2014/main" id="{00000000-0008-0000-0200-0000991000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0" name="$E$116">
            <a:extLst>
              <a:ext uri="{FF2B5EF4-FFF2-40B4-BE49-F238E27FC236}">
                <a16:creationId xmlns:a16="http://schemas.microsoft.com/office/drawing/2014/main" id="{00000000-0008-0000-0200-00009A1000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1" name="$E$116">
            <a:extLst>
              <a:ext uri="{FF2B5EF4-FFF2-40B4-BE49-F238E27FC236}">
                <a16:creationId xmlns:a16="http://schemas.microsoft.com/office/drawing/2014/main" id="{00000000-0008-0000-0200-00009B100000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2" name="$E$116">
            <a:extLst>
              <a:ext uri="{FF2B5EF4-FFF2-40B4-BE49-F238E27FC236}">
                <a16:creationId xmlns:a16="http://schemas.microsoft.com/office/drawing/2014/main" id="{00000000-0008-0000-0200-00009C1000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3" name="$E$116">
            <a:extLst>
              <a:ext uri="{FF2B5EF4-FFF2-40B4-BE49-F238E27FC236}">
                <a16:creationId xmlns:a16="http://schemas.microsoft.com/office/drawing/2014/main" id="{00000000-0008-0000-0200-00009D1000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4" name="$E$116">
            <a:extLst>
              <a:ext uri="{FF2B5EF4-FFF2-40B4-BE49-F238E27FC236}">
                <a16:creationId xmlns:a16="http://schemas.microsoft.com/office/drawing/2014/main" id="{00000000-0008-0000-0200-00009E100000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5" name="$E$116">
            <a:extLst>
              <a:ext uri="{FF2B5EF4-FFF2-40B4-BE49-F238E27FC236}">
                <a16:creationId xmlns:a16="http://schemas.microsoft.com/office/drawing/2014/main" id="{00000000-0008-0000-0200-00009F100000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6" name="$E$116">
            <a:extLst>
              <a:ext uri="{FF2B5EF4-FFF2-40B4-BE49-F238E27FC236}">
                <a16:creationId xmlns:a16="http://schemas.microsoft.com/office/drawing/2014/main" id="{00000000-0008-0000-0200-0000A0100000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7" name="$E$116">
            <a:extLst>
              <a:ext uri="{FF2B5EF4-FFF2-40B4-BE49-F238E27FC236}">
                <a16:creationId xmlns:a16="http://schemas.microsoft.com/office/drawing/2014/main" id="{00000000-0008-0000-0200-0000A11000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8" name="$E$116">
            <a:extLst>
              <a:ext uri="{FF2B5EF4-FFF2-40B4-BE49-F238E27FC236}">
                <a16:creationId xmlns:a16="http://schemas.microsoft.com/office/drawing/2014/main" id="{00000000-0008-0000-0200-0000A2100000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9" name="$E$116">
            <a:extLst>
              <a:ext uri="{FF2B5EF4-FFF2-40B4-BE49-F238E27FC236}">
                <a16:creationId xmlns:a16="http://schemas.microsoft.com/office/drawing/2014/main" id="{00000000-0008-0000-0200-0000A31000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0" name="$E$116">
            <a:extLst>
              <a:ext uri="{FF2B5EF4-FFF2-40B4-BE49-F238E27FC236}">
                <a16:creationId xmlns:a16="http://schemas.microsoft.com/office/drawing/2014/main" id="{00000000-0008-0000-0200-0000A4100000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1" name="$E$116">
            <a:extLst>
              <a:ext uri="{FF2B5EF4-FFF2-40B4-BE49-F238E27FC236}">
                <a16:creationId xmlns:a16="http://schemas.microsoft.com/office/drawing/2014/main" id="{00000000-0008-0000-0200-0000A51000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2" name="$E$116">
            <a:extLst>
              <a:ext uri="{FF2B5EF4-FFF2-40B4-BE49-F238E27FC236}">
                <a16:creationId xmlns:a16="http://schemas.microsoft.com/office/drawing/2014/main" id="{00000000-0008-0000-0200-0000A6100000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3" name="$E$116">
            <a:extLst>
              <a:ext uri="{FF2B5EF4-FFF2-40B4-BE49-F238E27FC236}">
                <a16:creationId xmlns:a16="http://schemas.microsoft.com/office/drawing/2014/main" id="{00000000-0008-0000-0200-0000A7100000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4" name="$E$116">
            <a:extLst>
              <a:ext uri="{FF2B5EF4-FFF2-40B4-BE49-F238E27FC236}">
                <a16:creationId xmlns:a16="http://schemas.microsoft.com/office/drawing/2014/main" id="{00000000-0008-0000-0200-0000A81000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5" name="$E$116">
            <a:extLst>
              <a:ext uri="{FF2B5EF4-FFF2-40B4-BE49-F238E27FC236}">
                <a16:creationId xmlns:a16="http://schemas.microsoft.com/office/drawing/2014/main" id="{00000000-0008-0000-0200-0000A9100000}"/>
              </a:ext>
            </a:extLst>
          </xdr:cNvPr>
          <xdr:cNvSpPr/>
        </xdr:nvSpPr>
        <xdr:spPr>
          <a:xfrm>
            <a:off x="101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6" name="$E$116">
            <a:extLst>
              <a:ext uri="{FF2B5EF4-FFF2-40B4-BE49-F238E27FC236}">
                <a16:creationId xmlns:a16="http://schemas.microsoft.com/office/drawing/2014/main" id="{00000000-0008-0000-0200-0000AA100000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7" name="$E$116">
            <a:extLst>
              <a:ext uri="{FF2B5EF4-FFF2-40B4-BE49-F238E27FC236}">
                <a16:creationId xmlns:a16="http://schemas.microsoft.com/office/drawing/2014/main" id="{00000000-0008-0000-0200-0000AB100000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8" name="$E$116">
            <a:extLst>
              <a:ext uri="{FF2B5EF4-FFF2-40B4-BE49-F238E27FC236}">
                <a16:creationId xmlns:a16="http://schemas.microsoft.com/office/drawing/2014/main" id="{00000000-0008-0000-0200-0000AC100000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9" name="$E$116">
            <a:extLst>
              <a:ext uri="{FF2B5EF4-FFF2-40B4-BE49-F238E27FC236}">
                <a16:creationId xmlns:a16="http://schemas.microsoft.com/office/drawing/2014/main" id="{00000000-0008-0000-0200-0000AD1000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0" name="$E$116">
            <a:extLst>
              <a:ext uri="{FF2B5EF4-FFF2-40B4-BE49-F238E27FC236}">
                <a16:creationId xmlns:a16="http://schemas.microsoft.com/office/drawing/2014/main" id="{00000000-0008-0000-0200-0000AE1000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1" name="$E$116">
            <a:extLst>
              <a:ext uri="{FF2B5EF4-FFF2-40B4-BE49-F238E27FC236}">
                <a16:creationId xmlns:a16="http://schemas.microsoft.com/office/drawing/2014/main" id="{00000000-0008-0000-0200-0000AF100000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2" name="$E$116">
            <a:extLst>
              <a:ext uri="{FF2B5EF4-FFF2-40B4-BE49-F238E27FC236}">
                <a16:creationId xmlns:a16="http://schemas.microsoft.com/office/drawing/2014/main" id="{00000000-0008-0000-0200-0000B01000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3" name="$E$116">
            <a:extLst>
              <a:ext uri="{FF2B5EF4-FFF2-40B4-BE49-F238E27FC236}">
                <a16:creationId xmlns:a16="http://schemas.microsoft.com/office/drawing/2014/main" id="{00000000-0008-0000-0200-0000B11000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4" name="$E$116">
            <a:extLst>
              <a:ext uri="{FF2B5EF4-FFF2-40B4-BE49-F238E27FC236}">
                <a16:creationId xmlns:a16="http://schemas.microsoft.com/office/drawing/2014/main" id="{00000000-0008-0000-0200-0000B2100000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5" name="$E$116">
            <a:extLst>
              <a:ext uri="{FF2B5EF4-FFF2-40B4-BE49-F238E27FC236}">
                <a16:creationId xmlns:a16="http://schemas.microsoft.com/office/drawing/2014/main" id="{00000000-0008-0000-0200-0000B3100000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6" name="$E$116">
            <a:extLst>
              <a:ext uri="{FF2B5EF4-FFF2-40B4-BE49-F238E27FC236}">
                <a16:creationId xmlns:a16="http://schemas.microsoft.com/office/drawing/2014/main" id="{00000000-0008-0000-0200-0000B4100000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7" name="$E$116">
            <a:extLst>
              <a:ext uri="{FF2B5EF4-FFF2-40B4-BE49-F238E27FC236}">
                <a16:creationId xmlns:a16="http://schemas.microsoft.com/office/drawing/2014/main" id="{00000000-0008-0000-0200-0000B5100000}"/>
              </a:ext>
            </a:extLst>
          </xdr:cNvPr>
          <xdr:cNvSpPr/>
        </xdr:nvSpPr>
        <xdr:spPr>
          <a:xfrm>
            <a:off x="12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8" name="$E$116">
            <a:extLst>
              <a:ext uri="{FF2B5EF4-FFF2-40B4-BE49-F238E27FC236}">
                <a16:creationId xmlns:a16="http://schemas.microsoft.com/office/drawing/2014/main" id="{00000000-0008-0000-0200-0000B6100000}"/>
              </a:ext>
            </a:extLst>
          </xdr:cNvPr>
          <xdr:cNvSpPr/>
        </xdr:nvSpPr>
        <xdr:spPr>
          <a:xfrm>
            <a:off x="88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9" name="$E$116">
            <a:extLst>
              <a:ext uri="{FF2B5EF4-FFF2-40B4-BE49-F238E27FC236}">
                <a16:creationId xmlns:a16="http://schemas.microsoft.com/office/drawing/2014/main" id="{00000000-0008-0000-0200-0000B71000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0" name="$E$116">
            <a:extLst>
              <a:ext uri="{FF2B5EF4-FFF2-40B4-BE49-F238E27FC236}">
                <a16:creationId xmlns:a16="http://schemas.microsoft.com/office/drawing/2014/main" id="{00000000-0008-0000-0200-0000B8100000}"/>
              </a:ext>
            </a:extLst>
          </xdr:cNvPr>
          <xdr:cNvSpPr/>
        </xdr:nvSpPr>
        <xdr:spPr>
          <a:xfrm>
            <a:off x="165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1" name="$E$116">
            <a:extLst>
              <a:ext uri="{FF2B5EF4-FFF2-40B4-BE49-F238E27FC236}">
                <a16:creationId xmlns:a16="http://schemas.microsoft.com/office/drawing/2014/main" id="{00000000-0008-0000-0200-0000B9100000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2" name="$E$116">
            <a:extLst>
              <a:ext uri="{FF2B5EF4-FFF2-40B4-BE49-F238E27FC236}">
                <a16:creationId xmlns:a16="http://schemas.microsoft.com/office/drawing/2014/main" id="{00000000-0008-0000-0200-0000BA100000}"/>
              </a:ext>
            </a:extLst>
          </xdr:cNvPr>
          <xdr:cNvSpPr/>
        </xdr:nvSpPr>
        <xdr:spPr>
          <a:xfrm>
            <a:off x="215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3" name="$E$116">
            <a:extLst>
              <a:ext uri="{FF2B5EF4-FFF2-40B4-BE49-F238E27FC236}">
                <a16:creationId xmlns:a16="http://schemas.microsoft.com/office/drawing/2014/main" id="{00000000-0008-0000-0200-0000BB1000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4" name="$E$116">
            <a:extLst>
              <a:ext uri="{FF2B5EF4-FFF2-40B4-BE49-F238E27FC236}">
                <a16:creationId xmlns:a16="http://schemas.microsoft.com/office/drawing/2014/main" id="{00000000-0008-0000-0200-0000BC1000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5" name="$E$116">
            <a:extLst>
              <a:ext uri="{FF2B5EF4-FFF2-40B4-BE49-F238E27FC236}">
                <a16:creationId xmlns:a16="http://schemas.microsoft.com/office/drawing/2014/main" id="{00000000-0008-0000-0200-0000BD100000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6" name="$E$116">
            <a:extLst>
              <a:ext uri="{FF2B5EF4-FFF2-40B4-BE49-F238E27FC236}">
                <a16:creationId xmlns:a16="http://schemas.microsoft.com/office/drawing/2014/main" id="{00000000-0008-0000-0200-0000BE100000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7" name="$E$116">
            <a:extLst>
              <a:ext uri="{FF2B5EF4-FFF2-40B4-BE49-F238E27FC236}">
                <a16:creationId xmlns:a16="http://schemas.microsoft.com/office/drawing/2014/main" id="{00000000-0008-0000-0200-0000BF100000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8" name="$E$116">
            <a:extLst>
              <a:ext uri="{FF2B5EF4-FFF2-40B4-BE49-F238E27FC236}">
                <a16:creationId xmlns:a16="http://schemas.microsoft.com/office/drawing/2014/main" id="{00000000-0008-0000-0200-0000C0100000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9" name="$E$116">
            <a:extLst>
              <a:ext uri="{FF2B5EF4-FFF2-40B4-BE49-F238E27FC236}">
                <a16:creationId xmlns:a16="http://schemas.microsoft.com/office/drawing/2014/main" id="{00000000-0008-0000-0200-0000C11000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0" name="$E$116">
            <a:extLst>
              <a:ext uri="{FF2B5EF4-FFF2-40B4-BE49-F238E27FC236}">
                <a16:creationId xmlns:a16="http://schemas.microsoft.com/office/drawing/2014/main" id="{00000000-0008-0000-0200-0000C2100000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1" name="$E$116">
            <a:extLst>
              <a:ext uri="{FF2B5EF4-FFF2-40B4-BE49-F238E27FC236}">
                <a16:creationId xmlns:a16="http://schemas.microsoft.com/office/drawing/2014/main" id="{00000000-0008-0000-0200-0000C3100000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2" name="$E$116">
            <a:extLst>
              <a:ext uri="{FF2B5EF4-FFF2-40B4-BE49-F238E27FC236}">
                <a16:creationId xmlns:a16="http://schemas.microsoft.com/office/drawing/2014/main" id="{00000000-0008-0000-0200-0000C4100000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3" name="$E$116">
            <a:extLst>
              <a:ext uri="{FF2B5EF4-FFF2-40B4-BE49-F238E27FC236}">
                <a16:creationId xmlns:a16="http://schemas.microsoft.com/office/drawing/2014/main" id="{00000000-0008-0000-0200-0000C51000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4" name="$E$116">
            <a:extLst>
              <a:ext uri="{FF2B5EF4-FFF2-40B4-BE49-F238E27FC236}">
                <a16:creationId xmlns:a16="http://schemas.microsoft.com/office/drawing/2014/main" id="{00000000-0008-0000-0200-0000C61000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5" name="$E$116">
            <a:extLst>
              <a:ext uri="{FF2B5EF4-FFF2-40B4-BE49-F238E27FC236}">
                <a16:creationId xmlns:a16="http://schemas.microsoft.com/office/drawing/2014/main" id="{00000000-0008-0000-0200-0000C71000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6" name="$E$116">
            <a:extLst>
              <a:ext uri="{FF2B5EF4-FFF2-40B4-BE49-F238E27FC236}">
                <a16:creationId xmlns:a16="http://schemas.microsoft.com/office/drawing/2014/main" id="{00000000-0008-0000-0200-0000C8100000}"/>
              </a:ext>
            </a:extLst>
          </xdr:cNvPr>
          <xdr:cNvSpPr/>
        </xdr:nvSpPr>
        <xdr:spPr>
          <a:xfrm>
            <a:off x="88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7" name="$E$116">
            <a:extLst>
              <a:ext uri="{FF2B5EF4-FFF2-40B4-BE49-F238E27FC236}">
                <a16:creationId xmlns:a16="http://schemas.microsoft.com/office/drawing/2014/main" id="{00000000-0008-0000-0200-0000C9100000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8" name="$E$116">
            <a:extLst>
              <a:ext uri="{FF2B5EF4-FFF2-40B4-BE49-F238E27FC236}">
                <a16:creationId xmlns:a16="http://schemas.microsoft.com/office/drawing/2014/main" id="{00000000-0008-0000-0200-0000CA100000}"/>
              </a:ext>
            </a:extLst>
          </xdr:cNvPr>
          <xdr:cNvSpPr/>
        </xdr:nvSpPr>
        <xdr:spPr>
          <a:xfrm>
            <a:off x="114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9" name="$E$116">
            <a:extLst>
              <a:ext uri="{FF2B5EF4-FFF2-40B4-BE49-F238E27FC236}">
                <a16:creationId xmlns:a16="http://schemas.microsoft.com/office/drawing/2014/main" id="{00000000-0008-0000-0200-0000CB100000}"/>
              </a:ext>
            </a:extLst>
          </xdr:cNvPr>
          <xdr:cNvSpPr/>
        </xdr:nvSpPr>
        <xdr:spPr>
          <a:xfrm>
            <a:off x="139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0" name="$E$116">
            <a:extLst>
              <a:ext uri="{FF2B5EF4-FFF2-40B4-BE49-F238E27FC236}">
                <a16:creationId xmlns:a16="http://schemas.microsoft.com/office/drawing/2014/main" id="{00000000-0008-0000-0200-0000CC1000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1" name="$E$116">
            <a:extLst>
              <a:ext uri="{FF2B5EF4-FFF2-40B4-BE49-F238E27FC236}">
                <a16:creationId xmlns:a16="http://schemas.microsoft.com/office/drawing/2014/main" id="{00000000-0008-0000-0200-0000CD100000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2" name="$E$116">
            <a:extLst>
              <a:ext uri="{FF2B5EF4-FFF2-40B4-BE49-F238E27FC236}">
                <a16:creationId xmlns:a16="http://schemas.microsoft.com/office/drawing/2014/main" id="{00000000-0008-0000-0200-0000CE100000}"/>
              </a:ext>
            </a:extLst>
          </xdr:cNvPr>
          <xdr:cNvSpPr/>
        </xdr:nvSpPr>
        <xdr:spPr>
          <a:xfrm>
            <a:off x="177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3" name="$E$116">
            <a:extLst>
              <a:ext uri="{FF2B5EF4-FFF2-40B4-BE49-F238E27FC236}">
                <a16:creationId xmlns:a16="http://schemas.microsoft.com/office/drawing/2014/main" id="{00000000-0008-0000-0200-0000CF1000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4" name="$E$116">
            <a:extLst>
              <a:ext uri="{FF2B5EF4-FFF2-40B4-BE49-F238E27FC236}">
                <a16:creationId xmlns:a16="http://schemas.microsoft.com/office/drawing/2014/main" id="{00000000-0008-0000-0200-0000D0100000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5" name="$E$116">
            <a:extLst>
              <a:ext uri="{FF2B5EF4-FFF2-40B4-BE49-F238E27FC236}">
                <a16:creationId xmlns:a16="http://schemas.microsoft.com/office/drawing/2014/main" id="{00000000-0008-0000-0200-0000D11000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6" name="$E$116">
            <a:extLst>
              <a:ext uri="{FF2B5EF4-FFF2-40B4-BE49-F238E27FC236}">
                <a16:creationId xmlns:a16="http://schemas.microsoft.com/office/drawing/2014/main" id="{00000000-0008-0000-0200-0000D2100000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7" name="$E$116">
            <a:extLst>
              <a:ext uri="{FF2B5EF4-FFF2-40B4-BE49-F238E27FC236}">
                <a16:creationId xmlns:a16="http://schemas.microsoft.com/office/drawing/2014/main" id="{00000000-0008-0000-0200-0000D31000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8" name="$E$116">
            <a:extLst>
              <a:ext uri="{FF2B5EF4-FFF2-40B4-BE49-F238E27FC236}">
                <a16:creationId xmlns:a16="http://schemas.microsoft.com/office/drawing/2014/main" id="{00000000-0008-0000-0200-0000D4100000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9" name="$E$116">
            <a:extLst>
              <a:ext uri="{FF2B5EF4-FFF2-40B4-BE49-F238E27FC236}">
                <a16:creationId xmlns:a16="http://schemas.microsoft.com/office/drawing/2014/main" id="{00000000-0008-0000-0200-0000D5100000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0" name="$E$116">
            <a:extLst>
              <a:ext uri="{FF2B5EF4-FFF2-40B4-BE49-F238E27FC236}">
                <a16:creationId xmlns:a16="http://schemas.microsoft.com/office/drawing/2014/main" id="{00000000-0008-0000-0200-0000D6100000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1" name="$E$116">
            <a:extLst>
              <a:ext uri="{FF2B5EF4-FFF2-40B4-BE49-F238E27FC236}">
                <a16:creationId xmlns:a16="http://schemas.microsoft.com/office/drawing/2014/main" id="{00000000-0008-0000-0200-0000D71000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2" name="$E$116">
            <a:extLst>
              <a:ext uri="{FF2B5EF4-FFF2-40B4-BE49-F238E27FC236}">
                <a16:creationId xmlns:a16="http://schemas.microsoft.com/office/drawing/2014/main" id="{00000000-0008-0000-0200-0000D8100000}"/>
              </a:ext>
            </a:extLst>
          </xdr:cNvPr>
          <xdr:cNvSpPr/>
        </xdr:nvSpPr>
        <xdr:spPr>
          <a:xfrm>
            <a:off x="25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3" name="$E$116">
            <a:extLst>
              <a:ext uri="{FF2B5EF4-FFF2-40B4-BE49-F238E27FC236}">
                <a16:creationId xmlns:a16="http://schemas.microsoft.com/office/drawing/2014/main" id="{00000000-0008-0000-0200-0000D9100000}"/>
              </a:ext>
            </a:extLst>
          </xdr:cNvPr>
          <xdr:cNvSpPr/>
        </xdr:nvSpPr>
        <xdr:spPr>
          <a:xfrm>
            <a:off x="38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4" name="$E$116">
            <a:extLst>
              <a:ext uri="{FF2B5EF4-FFF2-40B4-BE49-F238E27FC236}">
                <a16:creationId xmlns:a16="http://schemas.microsoft.com/office/drawing/2014/main" id="{00000000-0008-0000-0200-0000DA100000}"/>
              </a:ext>
            </a:extLst>
          </xdr:cNvPr>
          <xdr:cNvSpPr/>
        </xdr:nvSpPr>
        <xdr:spPr>
          <a:xfrm>
            <a:off x="50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5" name="$E$116">
            <a:extLst>
              <a:ext uri="{FF2B5EF4-FFF2-40B4-BE49-F238E27FC236}">
                <a16:creationId xmlns:a16="http://schemas.microsoft.com/office/drawing/2014/main" id="{00000000-0008-0000-0200-0000DB100000}"/>
              </a:ext>
            </a:extLst>
          </xdr:cNvPr>
          <xdr:cNvSpPr/>
        </xdr:nvSpPr>
        <xdr:spPr>
          <a:xfrm>
            <a:off x="63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6" name="$E$116">
            <a:extLst>
              <a:ext uri="{FF2B5EF4-FFF2-40B4-BE49-F238E27FC236}">
                <a16:creationId xmlns:a16="http://schemas.microsoft.com/office/drawing/2014/main" id="{00000000-0008-0000-0200-0000DC100000}"/>
              </a:ext>
            </a:extLst>
          </xdr:cNvPr>
          <xdr:cNvSpPr/>
        </xdr:nvSpPr>
        <xdr:spPr>
          <a:xfrm>
            <a:off x="88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7" name="$E$116">
            <a:extLst>
              <a:ext uri="{FF2B5EF4-FFF2-40B4-BE49-F238E27FC236}">
                <a16:creationId xmlns:a16="http://schemas.microsoft.com/office/drawing/2014/main" id="{00000000-0008-0000-0200-0000DD100000}"/>
              </a:ext>
            </a:extLst>
          </xdr:cNvPr>
          <xdr:cNvSpPr/>
        </xdr:nvSpPr>
        <xdr:spPr>
          <a:xfrm>
            <a:off x="127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8" name="$E$116">
            <a:extLst>
              <a:ext uri="{FF2B5EF4-FFF2-40B4-BE49-F238E27FC236}">
                <a16:creationId xmlns:a16="http://schemas.microsoft.com/office/drawing/2014/main" id="{00000000-0008-0000-0200-0000DE100000}"/>
              </a:ext>
            </a:extLst>
          </xdr:cNvPr>
          <xdr:cNvSpPr/>
        </xdr:nvSpPr>
        <xdr:spPr>
          <a:xfrm>
            <a:off x="139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9" name="$E$116">
            <a:extLst>
              <a:ext uri="{FF2B5EF4-FFF2-40B4-BE49-F238E27FC236}">
                <a16:creationId xmlns:a16="http://schemas.microsoft.com/office/drawing/2014/main" id="{00000000-0008-0000-0200-0000DF1000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0" name="$E$116">
            <a:extLst>
              <a:ext uri="{FF2B5EF4-FFF2-40B4-BE49-F238E27FC236}">
                <a16:creationId xmlns:a16="http://schemas.microsoft.com/office/drawing/2014/main" id="{00000000-0008-0000-0200-0000E0100000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1" name="$E$116">
            <a:extLst>
              <a:ext uri="{FF2B5EF4-FFF2-40B4-BE49-F238E27FC236}">
                <a16:creationId xmlns:a16="http://schemas.microsoft.com/office/drawing/2014/main" id="{00000000-0008-0000-0200-0000E11000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2" name="$E$116">
            <a:extLst>
              <a:ext uri="{FF2B5EF4-FFF2-40B4-BE49-F238E27FC236}">
                <a16:creationId xmlns:a16="http://schemas.microsoft.com/office/drawing/2014/main" id="{00000000-0008-0000-0200-0000E2100000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3" name="$E$116">
            <a:extLst>
              <a:ext uri="{FF2B5EF4-FFF2-40B4-BE49-F238E27FC236}">
                <a16:creationId xmlns:a16="http://schemas.microsoft.com/office/drawing/2014/main" id="{00000000-0008-0000-0200-0000E3100000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4" name="$E$116">
            <a:extLst>
              <a:ext uri="{FF2B5EF4-FFF2-40B4-BE49-F238E27FC236}">
                <a16:creationId xmlns:a16="http://schemas.microsoft.com/office/drawing/2014/main" id="{00000000-0008-0000-0200-0000E41000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5" name="$E$116">
            <a:extLst>
              <a:ext uri="{FF2B5EF4-FFF2-40B4-BE49-F238E27FC236}">
                <a16:creationId xmlns:a16="http://schemas.microsoft.com/office/drawing/2014/main" id="{00000000-0008-0000-0200-0000E5100000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6" name="$E$116">
            <a:extLst>
              <a:ext uri="{FF2B5EF4-FFF2-40B4-BE49-F238E27FC236}">
                <a16:creationId xmlns:a16="http://schemas.microsoft.com/office/drawing/2014/main" id="{00000000-0008-0000-0200-0000E6100000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7" name="$E$116">
            <a:extLst>
              <a:ext uri="{FF2B5EF4-FFF2-40B4-BE49-F238E27FC236}">
                <a16:creationId xmlns:a16="http://schemas.microsoft.com/office/drawing/2014/main" id="{00000000-0008-0000-0200-0000E71000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8" name="$E$116">
            <a:extLst>
              <a:ext uri="{FF2B5EF4-FFF2-40B4-BE49-F238E27FC236}">
                <a16:creationId xmlns:a16="http://schemas.microsoft.com/office/drawing/2014/main" id="{00000000-0008-0000-0200-0000E81000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9" name="$E$116">
            <a:extLst>
              <a:ext uri="{FF2B5EF4-FFF2-40B4-BE49-F238E27FC236}">
                <a16:creationId xmlns:a16="http://schemas.microsoft.com/office/drawing/2014/main" id="{00000000-0008-0000-0200-0000E91000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0" name="$E$116">
            <a:extLst>
              <a:ext uri="{FF2B5EF4-FFF2-40B4-BE49-F238E27FC236}">
                <a16:creationId xmlns:a16="http://schemas.microsoft.com/office/drawing/2014/main" id="{00000000-0008-0000-0200-0000EA1000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1" name="$E$116">
            <a:extLst>
              <a:ext uri="{FF2B5EF4-FFF2-40B4-BE49-F238E27FC236}">
                <a16:creationId xmlns:a16="http://schemas.microsoft.com/office/drawing/2014/main" id="{00000000-0008-0000-0200-0000EB1000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2" name="$E$116">
            <a:extLst>
              <a:ext uri="{FF2B5EF4-FFF2-40B4-BE49-F238E27FC236}">
                <a16:creationId xmlns:a16="http://schemas.microsoft.com/office/drawing/2014/main" id="{00000000-0008-0000-0200-0000EC1000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3" name="$E$116">
            <a:extLst>
              <a:ext uri="{FF2B5EF4-FFF2-40B4-BE49-F238E27FC236}">
                <a16:creationId xmlns:a16="http://schemas.microsoft.com/office/drawing/2014/main" id="{00000000-0008-0000-0200-0000ED1000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4" name="$E$116">
            <a:extLst>
              <a:ext uri="{FF2B5EF4-FFF2-40B4-BE49-F238E27FC236}">
                <a16:creationId xmlns:a16="http://schemas.microsoft.com/office/drawing/2014/main" id="{00000000-0008-0000-0200-0000EE1000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5" name="$E$116">
            <a:extLst>
              <a:ext uri="{FF2B5EF4-FFF2-40B4-BE49-F238E27FC236}">
                <a16:creationId xmlns:a16="http://schemas.microsoft.com/office/drawing/2014/main" id="{00000000-0008-0000-0200-0000EF1000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6" name="$E$116">
            <a:extLst>
              <a:ext uri="{FF2B5EF4-FFF2-40B4-BE49-F238E27FC236}">
                <a16:creationId xmlns:a16="http://schemas.microsoft.com/office/drawing/2014/main" id="{00000000-0008-0000-0200-0000F01000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7" name="$E$116">
            <a:extLst>
              <a:ext uri="{FF2B5EF4-FFF2-40B4-BE49-F238E27FC236}">
                <a16:creationId xmlns:a16="http://schemas.microsoft.com/office/drawing/2014/main" id="{00000000-0008-0000-0200-0000F1100000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8" name="$E$116">
            <a:extLst>
              <a:ext uri="{FF2B5EF4-FFF2-40B4-BE49-F238E27FC236}">
                <a16:creationId xmlns:a16="http://schemas.microsoft.com/office/drawing/2014/main" id="{00000000-0008-0000-0200-0000F21000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9" name="$E$116">
            <a:extLst>
              <a:ext uri="{FF2B5EF4-FFF2-40B4-BE49-F238E27FC236}">
                <a16:creationId xmlns:a16="http://schemas.microsoft.com/office/drawing/2014/main" id="{00000000-0008-0000-0200-0000F31000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0" name="$E$116">
            <a:extLst>
              <a:ext uri="{FF2B5EF4-FFF2-40B4-BE49-F238E27FC236}">
                <a16:creationId xmlns:a16="http://schemas.microsoft.com/office/drawing/2014/main" id="{00000000-0008-0000-0200-0000F41000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1" name="$E$116">
            <a:extLst>
              <a:ext uri="{FF2B5EF4-FFF2-40B4-BE49-F238E27FC236}">
                <a16:creationId xmlns:a16="http://schemas.microsoft.com/office/drawing/2014/main" id="{00000000-0008-0000-0200-0000F5100000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2" name="$E$116">
            <a:extLst>
              <a:ext uri="{FF2B5EF4-FFF2-40B4-BE49-F238E27FC236}">
                <a16:creationId xmlns:a16="http://schemas.microsoft.com/office/drawing/2014/main" id="{00000000-0008-0000-0200-0000F61000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3" name="$E$116">
            <a:extLst>
              <a:ext uri="{FF2B5EF4-FFF2-40B4-BE49-F238E27FC236}">
                <a16:creationId xmlns:a16="http://schemas.microsoft.com/office/drawing/2014/main" id="{00000000-0008-0000-0200-0000F7100000}"/>
              </a:ext>
            </a:extLst>
          </xdr:cNvPr>
          <xdr:cNvSpPr/>
        </xdr:nvSpPr>
        <xdr:spPr>
          <a:xfrm>
            <a:off x="127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4" name="$E$116">
            <a:extLst>
              <a:ext uri="{FF2B5EF4-FFF2-40B4-BE49-F238E27FC236}">
                <a16:creationId xmlns:a16="http://schemas.microsoft.com/office/drawing/2014/main" id="{00000000-0008-0000-0200-0000F8100000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5" name="$E$116">
            <a:extLst>
              <a:ext uri="{FF2B5EF4-FFF2-40B4-BE49-F238E27FC236}">
                <a16:creationId xmlns:a16="http://schemas.microsoft.com/office/drawing/2014/main" id="{00000000-0008-0000-0200-0000F91000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6" name="$E$116">
            <a:extLst>
              <a:ext uri="{FF2B5EF4-FFF2-40B4-BE49-F238E27FC236}">
                <a16:creationId xmlns:a16="http://schemas.microsoft.com/office/drawing/2014/main" id="{00000000-0008-0000-0200-0000FA1000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7" name="$E$116">
            <a:extLst>
              <a:ext uri="{FF2B5EF4-FFF2-40B4-BE49-F238E27FC236}">
                <a16:creationId xmlns:a16="http://schemas.microsoft.com/office/drawing/2014/main" id="{00000000-0008-0000-0200-0000FB1000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8" name="$E$116">
            <a:extLst>
              <a:ext uri="{FF2B5EF4-FFF2-40B4-BE49-F238E27FC236}">
                <a16:creationId xmlns:a16="http://schemas.microsoft.com/office/drawing/2014/main" id="{00000000-0008-0000-0200-0000FC1000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9" name="$E$116">
            <a:extLst>
              <a:ext uri="{FF2B5EF4-FFF2-40B4-BE49-F238E27FC236}">
                <a16:creationId xmlns:a16="http://schemas.microsoft.com/office/drawing/2014/main" id="{00000000-0008-0000-0200-0000FD1000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0" name="$E$116">
            <a:extLst>
              <a:ext uri="{FF2B5EF4-FFF2-40B4-BE49-F238E27FC236}">
                <a16:creationId xmlns:a16="http://schemas.microsoft.com/office/drawing/2014/main" id="{00000000-0008-0000-0200-0000FE100000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1" name="$E$116">
            <a:extLst>
              <a:ext uri="{FF2B5EF4-FFF2-40B4-BE49-F238E27FC236}">
                <a16:creationId xmlns:a16="http://schemas.microsoft.com/office/drawing/2014/main" id="{00000000-0008-0000-0200-0000FF100000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2" name="$E$116">
            <a:extLst>
              <a:ext uri="{FF2B5EF4-FFF2-40B4-BE49-F238E27FC236}">
                <a16:creationId xmlns:a16="http://schemas.microsoft.com/office/drawing/2014/main" id="{00000000-0008-0000-0200-000000110000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3" name="$E$116">
            <a:extLst>
              <a:ext uri="{FF2B5EF4-FFF2-40B4-BE49-F238E27FC236}">
                <a16:creationId xmlns:a16="http://schemas.microsoft.com/office/drawing/2014/main" id="{00000000-0008-0000-0200-000001110000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4" name="$E$116">
            <a:extLst>
              <a:ext uri="{FF2B5EF4-FFF2-40B4-BE49-F238E27FC236}">
                <a16:creationId xmlns:a16="http://schemas.microsoft.com/office/drawing/2014/main" id="{00000000-0008-0000-0200-000002110000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5" name="$E$116">
            <a:extLst>
              <a:ext uri="{FF2B5EF4-FFF2-40B4-BE49-F238E27FC236}">
                <a16:creationId xmlns:a16="http://schemas.microsoft.com/office/drawing/2014/main" id="{00000000-0008-0000-0200-0000031100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6" name="$E$116">
            <a:extLst>
              <a:ext uri="{FF2B5EF4-FFF2-40B4-BE49-F238E27FC236}">
                <a16:creationId xmlns:a16="http://schemas.microsoft.com/office/drawing/2014/main" id="{00000000-0008-0000-0200-000004110000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7" name="$E$116">
            <a:extLst>
              <a:ext uri="{FF2B5EF4-FFF2-40B4-BE49-F238E27FC236}">
                <a16:creationId xmlns:a16="http://schemas.microsoft.com/office/drawing/2014/main" id="{00000000-0008-0000-0200-0000051100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8" name="$E$116">
            <a:extLst>
              <a:ext uri="{FF2B5EF4-FFF2-40B4-BE49-F238E27FC236}">
                <a16:creationId xmlns:a16="http://schemas.microsoft.com/office/drawing/2014/main" id="{00000000-0008-0000-0200-0000061100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9" name="$E$116">
            <a:extLst>
              <a:ext uri="{FF2B5EF4-FFF2-40B4-BE49-F238E27FC236}">
                <a16:creationId xmlns:a16="http://schemas.microsoft.com/office/drawing/2014/main" id="{00000000-0008-0000-0200-0000071100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0" name="$E$116">
            <a:extLst>
              <a:ext uri="{FF2B5EF4-FFF2-40B4-BE49-F238E27FC236}">
                <a16:creationId xmlns:a16="http://schemas.microsoft.com/office/drawing/2014/main" id="{00000000-0008-0000-0200-000008110000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1" name="$E$116">
            <a:extLst>
              <a:ext uri="{FF2B5EF4-FFF2-40B4-BE49-F238E27FC236}">
                <a16:creationId xmlns:a16="http://schemas.microsoft.com/office/drawing/2014/main" id="{00000000-0008-0000-0200-0000091100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2" name="$E$116">
            <a:extLst>
              <a:ext uri="{FF2B5EF4-FFF2-40B4-BE49-F238E27FC236}">
                <a16:creationId xmlns:a16="http://schemas.microsoft.com/office/drawing/2014/main" id="{00000000-0008-0000-0200-00000A110000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3" name="$E$116">
            <a:extLst>
              <a:ext uri="{FF2B5EF4-FFF2-40B4-BE49-F238E27FC236}">
                <a16:creationId xmlns:a16="http://schemas.microsoft.com/office/drawing/2014/main" id="{00000000-0008-0000-0200-00000B1100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4" name="$E$116">
            <a:extLst>
              <a:ext uri="{FF2B5EF4-FFF2-40B4-BE49-F238E27FC236}">
                <a16:creationId xmlns:a16="http://schemas.microsoft.com/office/drawing/2014/main" id="{00000000-0008-0000-0200-00000C1100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5" name="$E$116">
            <a:extLst>
              <a:ext uri="{FF2B5EF4-FFF2-40B4-BE49-F238E27FC236}">
                <a16:creationId xmlns:a16="http://schemas.microsoft.com/office/drawing/2014/main" id="{00000000-0008-0000-0200-00000D110000}"/>
              </a:ext>
            </a:extLst>
          </xdr:cNvPr>
          <xdr:cNvSpPr/>
        </xdr:nvSpPr>
        <xdr:spPr>
          <a:xfrm>
            <a:off x="177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6" name="$E$116">
            <a:extLst>
              <a:ext uri="{FF2B5EF4-FFF2-40B4-BE49-F238E27FC236}">
                <a16:creationId xmlns:a16="http://schemas.microsoft.com/office/drawing/2014/main" id="{00000000-0008-0000-0200-00000E1100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7" name="$E$116">
            <a:extLst>
              <a:ext uri="{FF2B5EF4-FFF2-40B4-BE49-F238E27FC236}">
                <a16:creationId xmlns:a16="http://schemas.microsoft.com/office/drawing/2014/main" id="{00000000-0008-0000-0200-00000F110000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8" name="$E$116">
            <a:extLst>
              <a:ext uri="{FF2B5EF4-FFF2-40B4-BE49-F238E27FC236}">
                <a16:creationId xmlns:a16="http://schemas.microsoft.com/office/drawing/2014/main" id="{00000000-0008-0000-0200-0000101100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9" name="$E$116">
            <a:extLst>
              <a:ext uri="{FF2B5EF4-FFF2-40B4-BE49-F238E27FC236}">
                <a16:creationId xmlns:a16="http://schemas.microsoft.com/office/drawing/2014/main" id="{00000000-0008-0000-0200-000011110000}"/>
              </a:ext>
            </a:extLst>
          </xdr:cNvPr>
          <xdr:cNvSpPr/>
        </xdr:nvSpPr>
        <xdr:spPr>
          <a:xfrm>
            <a:off x="228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0" name="$E$116">
            <a:extLst>
              <a:ext uri="{FF2B5EF4-FFF2-40B4-BE49-F238E27FC236}">
                <a16:creationId xmlns:a16="http://schemas.microsoft.com/office/drawing/2014/main" id="{00000000-0008-0000-0200-000012110000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1" name="$E$116">
            <a:extLst>
              <a:ext uri="{FF2B5EF4-FFF2-40B4-BE49-F238E27FC236}">
                <a16:creationId xmlns:a16="http://schemas.microsoft.com/office/drawing/2014/main" id="{00000000-0008-0000-0200-0000131100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2" name="$E$116">
            <a:extLst>
              <a:ext uri="{FF2B5EF4-FFF2-40B4-BE49-F238E27FC236}">
                <a16:creationId xmlns:a16="http://schemas.microsoft.com/office/drawing/2014/main" id="{00000000-0008-0000-0200-000014110000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3" name="$E$116">
            <a:extLst>
              <a:ext uri="{FF2B5EF4-FFF2-40B4-BE49-F238E27FC236}">
                <a16:creationId xmlns:a16="http://schemas.microsoft.com/office/drawing/2014/main" id="{00000000-0008-0000-0200-0000151100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4" name="$E$116">
            <a:extLst>
              <a:ext uri="{FF2B5EF4-FFF2-40B4-BE49-F238E27FC236}">
                <a16:creationId xmlns:a16="http://schemas.microsoft.com/office/drawing/2014/main" id="{00000000-0008-0000-0200-0000161100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5" name="$E$116">
            <a:extLst>
              <a:ext uri="{FF2B5EF4-FFF2-40B4-BE49-F238E27FC236}">
                <a16:creationId xmlns:a16="http://schemas.microsoft.com/office/drawing/2014/main" id="{00000000-0008-0000-0200-000017110000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6" name="$E$116">
            <a:extLst>
              <a:ext uri="{FF2B5EF4-FFF2-40B4-BE49-F238E27FC236}">
                <a16:creationId xmlns:a16="http://schemas.microsoft.com/office/drawing/2014/main" id="{00000000-0008-0000-0200-000018110000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7" name="$E$116">
            <a:extLst>
              <a:ext uri="{FF2B5EF4-FFF2-40B4-BE49-F238E27FC236}">
                <a16:creationId xmlns:a16="http://schemas.microsoft.com/office/drawing/2014/main" id="{00000000-0008-0000-0200-0000191100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8" name="$E$116">
            <a:extLst>
              <a:ext uri="{FF2B5EF4-FFF2-40B4-BE49-F238E27FC236}">
                <a16:creationId xmlns:a16="http://schemas.microsoft.com/office/drawing/2014/main" id="{00000000-0008-0000-0200-00001A1100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9" name="$E$116">
            <a:extLst>
              <a:ext uri="{FF2B5EF4-FFF2-40B4-BE49-F238E27FC236}">
                <a16:creationId xmlns:a16="http://schemas.microsoft.com/office/drawing/2014/main" id="{00000000-0008-0000-0200-00001B110000}"/>
              </a:ext>
            </a:extLst>
          </xdr:cNvPr>
          <xdr:cNvSpPr/>
        </xdr:nvSpPr>
        <xdr:spPr>
          <a:xfrm>
            <a:off x="114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0" name="$E$116">
            <a:extLst>
              <a:ext uri="{FF2B5EF4-FFF2-40B4-BE49-F238E27FC236}">
                <a16:creationId xmlns:a16="http://schemas.microsoft.com/office/drawing/2014/main" id="{00000000-0008-0000-0200-00001C1100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1" name="$E$116">
            <a:extLst>
              <a:ext uri="{FF2B5EF4-FFF2-40B4-BE49-F238E27FC236}">
                <a16:creationId xmlns:a16="http://schemas.microsoft.com/office/drawing/2014/main" id="{00000000-0008-0000-0200-00001D1100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2" name="$E$116">
            <a:extLst>
              <a:ext uri="{FF2B5EF4-FFF2-40B4-BE49-F238E27FC236}">
                <a16:creationId xmlns:a16="http://schemas.microsoft.com/office/drawing/2014/main" id="{00000000-0008-0000-0200-00001E1100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3" name="$E$116">
            <a:extLst>
              <a:ext uri="{FF2B5EF4-FFF2-40B4-BE49-F238E27FC236}">
                <a16:creationId xmlns:a16="http://schemas.microsoft.com/office/drawing/2014/main" id="{00000000-0008-0000-0200-00001F1100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4" name="$E$116">
            <a:extLst>
              <a:ext uri="{FF2B5EF4-FFF2-40B4-BE49-F238E27FC236}">
                <a16:creationId xmlns:a16="http://schemas.microsoft.com/office/drawing/2014/main" id="{00000000-0008-0000-0200-000020110000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5" name="$E$116">
            <a:extLst>
              <a:ext uri="{FF2B5EF4-FFF2-40B4-BE49-F238E27FC236}">
                <a16:creationId xmlns:a16="http://schemas.microsoft.com/office/drawing/2014/main" id="{00000000-0008-0000-0200-000021110000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6" name="$E$116">
            <a:extLst>
              <a:ext uri="{FF2B5EF4-FFF2-40B4-BE49-F238E27FC236}">
                <a16:creationId xmlns:a16="http://schemas.microsoft.com/office/drawing/2014/main" id="{00000000-0008-0000-0200-0000221100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7" name="$E$116">
            <a:extLst>
              <a:ext uri="{FF2B5EF4-FFF2-40B4-BE49-F238E27FC236}">
                <a16:creationId xmlns:a16="http://schemas.microsoft.com/office/drawing/2014/main" id="{00000000-0008-0000-0200-000023110000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8" name="$E$116">
            <a:extLst>
              <a:ext uri="{FF2B5EF4-FFF2-40B4-BE49-F238E27FC236}">
                <a16:creationId xmlns:a16="http://schemas.microsoft.com/office/drawing/2014/main" id="{00000000-0008-0000-0200-000024110000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9" name="$E$116">
            <a:extLst>
              <a:ext uri="{FF2B5EF4-FFF2-40B4-BE49-F238E27FC236}">
                <a16:creationId xmlns:a16="http://schemas.microsoft.com/office/drawing/2014/main" id="{00000000-0008-0000-0200-000025110000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0" name="$E$116">
            <a:extLst>
              <a:ext uri="{FF2B5EF4-FFF2-40B4-BE49-F238E27FC236}">
                <a16:creationId xmlns:a16="http://schemas.microsoft.com/office/drawing/2014/main" id="{00000000-0008-0000-0200-000026110000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1" name="$E$116">
            <a:extLst>
              <a:ext uri="{FF2B5EF4-FFF2-40B4-BE49-F238E27FC236}">
                <a16:creationId xmlns:a16="http://schemas.microsoft.com/office/drawing/2014/main" id="{00000000-0008-0000-0200-000027110000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2" name="$E$116">
            <a:extLst>
              <a:ext uri="{FF2B5EF4-FFF2-40B4-BE49-F238E27FC236}">
                <a16:creationId xmlns:a16="http://schemas.microsoft.com/office/drawing/2014/main" id="{00000000-0008-0000-0200-000028110000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3" name="$E$116">
            <a:extLst>
              <a:ext uri="{FF2B5EF4-FFF2-40B4-BE49-F238E27FC236}">
                <a16:creationId xmlns:a16="http://schemas.microsoft.com/office/drawing/2014/main" id="{00000000-0008-0000-0200-000029110000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4" name="$E$116">
            <a:extLst>
              <a:ext uri="{FF2B5EF4-FFF2-40B4-BE49-F238E27FC236}">
                <a16:creationId xmlns:a16="http://schemas.microsoft.com/office/drawing/2014/main" id="{00000000-0008-0000-0200-00002A1100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5" name="$E$116">
            <a:extLst>
              <a:ext uri="{FF2B5EF4-FFF2-40B4-BE49-F238E27FC236}">
                <a16:creationId xmlns:a16="http://schemas.microsoft.com/office/drawing/2014/main" id="{00000000-0008-0000-0200-00002B1100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6" name="$E$116">
            <a:extLst>
              <a:ext uri="{FF2B5EF4-FFF2-40B4-BE49-F238E27FC236}">
                <a16:creationId xmlns:a16="http://schemas.microsoft.com/office/drawing/2014/main" id="{00000000-0008-0000-0200-00002C1100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7" name="$E$116">
            <a:extLst>
              <a:ext uri="{FF2B5EF4-FFF2-40B4-BE49-F238E27FC236}">
                <a16:creationId xmlns:a16="http://schemas.microsoft.com/office/drawing/2014/main" id="{00000000-0008-0000-0200-00002D1100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8" name="$E$116">
            <a:extLst>
              <a:ext uri="{FF2B5EF4-FFF2-40B4-BE49-F238E27FC236}">
                <a16:creationId xmlns:a16="http://schemas.microsoft.com/office/drawing/2014/main" id="{00000000-0008-0000-0200-00002E1100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9" name="$E$116">
            <a:extLst>
              <a:ext uri="{FF2B5EF4-FFF2-40B4-BE49-F238E27FC236}">
                <a16:creationId xmlns:a16="http://schemas.microsoft.com/office/drawing/2014/main" id="{00000000-0008-0000-0200-00002F1100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0" name="$E$116">
            <a:extLst>
              <a:ext uri="{FF2B5EF4-FFF2-40B4-BE49-F238E27FC236}">
                <a16:creationId xmlns:a16="http://schemas.microsoft.com/office/drawing/2014/main" id="{00000000-0008-0000-0200-0000301100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1" name="$E$116">
            <a:extLst>
              <a:ext uri="{FF2B5EF4-FFF2-40B4-BE49-F238E27FC236}">
                <a16:creationId xmlns:a16="http://schemas.microsoft.com/office/drawing/2014/main" id="{00000000-0008-0000-0200-0000311100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2" name="$E$116">
            <a:extLst>
              <a:ext uri="{FF2B5EF4-FFF2-40B4-BE49-F238E27FC236}">
                <a16:creationId xmlns:a16="http://schemas.microsoft.com/office/drawing/2014/main" id="{00000000-0008-0000-0200-000032110000}"/>
              </a:ext>
            </a:extLst>
          </xdr:cNvPr>
          <xdr:cNvSpPr/>
        </xdr:nvSpPr>
        <xdr:spPr>
          <a:xfrm>
            <a:off x="177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3" name="$E$116">
            <a:extLst>
              <a:ext uri="{FF2B5EF4-FFF2-40B4-BE49-F238E27FC236}">
                <a16:creationId xmlns:a16="http://schemas.microsoft.com/office/drawing/2014/main" id="{00000000-0008-0000-0200-000033110000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4" name="$E$116">
            <a:extLst>
              <a:ext uri="{FF2B5EF4-FFF2-40B4-BE49-F238E27FC236}">
                <a16:creationId xmlns:a16="http://schemas.microsoft.com/office/drawing/2014/main" id="{00000000-0008-0000-0200-000034110000}"/>
              </a:ext>
            </a:extLst>
          </xdr:cNvPr>
          <xdr:cNvSpPr/>
        </xdr:nvSpPr>
        <xdr:spPr>
          <a:xfrm>
            <a:off x="203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5" name="$E$116">
            <a:extLst>
              <a:ext uri="{FF2B5EF4-FFF2-40B4-BE49-F238E27FC236}">
                <a16:creationId xmlns:a16="http://schemas.microsoft.com/office/drawing/2014/main" id="{00000000-0008-0000-0200-0000351100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6" name="$E$116">
            <a:extLst>
              <a:ext uri="{FF2B5EF4-FFF2-40B4-BE49-F238E27FC236}">
                <a16:creationId xmlns:a16="http://schemas.microsoft.com/office/drawing/2014/main" id="{00000000-0008-0000-0200-0000361100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7" name="$E$116">
            <a:extLst>
              <a:ext uri="{FF2B5EF4-FFF2-40B4-BE49-F238E27FC236}">
                <a16:creationId xmlns:a16="http://schemas.microsoft.com/office/drawing/2014/main" id="{00000000-0008-0000-0200-0000371100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8" name="$E$116">
            <a:extLst>
              <a:ext uri="{FF2B5EF4-FFF2-40B4-BE49-F238E27FC236}">
                <a16:creationId xmlns:a16="http://schemas.microsoft.com/office/drawing/2014/main" id="{00000000-0008-0000-0200-0000381100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9" name="$E$116">
            <a:extLst>
              <a:ext uri="{FF2B5EF4-FFF2-40B4-BE49-F238E27FC236}">
                <a16:creationId xmlns:a16="http://schemas.microsoft.com/office/drawing/2014/main" id="{00000000-0008-0000-0200-000039110000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0" name="$E$116">
            <a:extLst>
              <a:ext uri="{FF2B5EF4-FFF2-40B4-BE49-F238E27FC236}">
                <a16:creationId xmlns:a16="http://schemas.microsoft.com/office/drawing/2014/main" id="{00000000-0008-0000-0200-00003A1100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1" name="$E$116">
            <a:extLst>
              <a:ext uri="{FF2B5EF4-FFF2-40B4-BE49-F238E27FC236}">
                <a16:creationId xmlns:a16="http://schemas.microsoft.com/office/drawing/2014/main" id="{00000000-0008-0000-0200-00003B110000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2" name="$E$116">
            <a:extLst>
              <a:ext uri="{FF2B5EF4-FFF2-40B4-BE49-F238E27FC236}">
                <a16:creationId xmlns:a16="http://schemas.microsoft.com/office/drawing/2014/main" id="{00000000-0008-0000-0200-00003C110000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3" name="$E$116">
            <a:extLst>
              <a:ext uri="{FF2B5EF4-FFF2-40B4-BE49-F238E27FC236}">
                <a16:creationId xmlns:a16="http://schemas.microsoft.com/office/drawing/2014/main" id="{00000000-0008-0000-0200-00003D110000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4" name="$E$116">
            <a:extLst>
              <a:ext uri="{FF2B5EF4-FFF2-40B4-BE49-F238E27FC236}">
                <a16:creationId xmlns:a16="http://schemas.microsoft.com/office/drawing/2014/main" id="{00000000-0008-0000-0200-00003E110000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5" name="$E$116">
            <a:extLst>
              <a:ext uri="{FF2B5EF4-FFF2-40B4-BE49-F238E27FC236}">
                <a16:creationId xmlns:a16="http://schemas.microsoft.com/office/drawing/2014/main" id="{00000000-0008-0000-0200-00003F110000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6" name="$E$116">
            <a:extLst>
              <a:ext uri="{FF2B5EF4-FFF2-40B4-BE49-F238E27FC236}">
                <a16:creationId xmlns:a16="http://schemas.microsoft.com/office/drawing/2014/main" id="{00000000-0008-0000-0200-000040110000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7" name="$E$116">
            <a:extLst>
              <a:ext uri="{FF2B5EF4-FFF2-40B4-BE49-F238E27FC236}">
                <a16:creationId xmlns:a16="http://schemas.microsoft.com/office/drawing/2014/main" id="{00000000-0008-0000-0200-000041110000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8" name="$E$116">
            <a:extLst>
              <a:ext uri="{FF2B5EF4-FFF2-40B4-BE49-F238E27FC236}">
                <a16:creationId xmlns:a16="http://schemas.microsoft.com/office/drawing/2014/main" id="{00000000-0008-0000-0200-000042110000}"/>
              </a:ext>
            </a:extLst>
          </xdr:cNvPr>
          <xdr:cNvSpPr/>
        </xdr:nvSpPr>
        <xdr:spPr>
          <a:xfrm>
            <a:off x="127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9" name="$E$116">
            <a:extLst>
              <a:ext uri="{FF2B5EF4-FFF2-40B4-BE49-F238E27FC236}">
                <a16:creationId xmlns:a16="http://schemas.microsoft.com/office/drawing/2014/main" id="{00000000-0008-0000-0200-000043110000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0" name="$E$116">
            <a:extLst>
              <a:ext uri="{FF2B5EF4-FFF2-40B4-BE49-F238E27FC236}">
                <a16:creationId xmlns:a16="http://schemas.microsoft.com/office/drawing/2014/main" id="{00000000-0008-0000-0200-000044110000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1" name="$E$116">
            <a:extLst>
              <a:ext uri="{FF2B5EF4-FFF2-40B4-BE49-F238E27FC236}">
                <a16:creationId xmlns:a16="http://schemas.microsoft.com/office/drawing/2014/main" id="{00000000-0008-0000-0200-000045110000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2" name="$E$116">
            <a:extLst>
              <a:ext uri="{FF2B5EF4-FFF2-40B4-BE49-F238E27FC236}">
                <a16:creationId xmlns:a16="http://schemas.microsoft.com/office/drawing/2014/main" id="{00000000-0008-0000-0200-000046110000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3" name="$E$116">
            <a:extLst>
              <a:ext uri="{FF2B5EF4-FFF2-40B4-BE49-F238E27FC236}">
                <a16:creationId xmlns:a16="http://schemas.microsoft.com/office/drawing/2014/main" id="{00000000-0008-0000-0200-000047110000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4" name="$E$116">
            <a:extLst>
              <a:ext uri="{FF2B5EF4-FFF2-40B4-BE49-F238E27FC236}">
                <a16:creationId xmlns:a16="http://schemas.microsoft.com/office/drawing/2014/main" id="{00000000-0008-0000-0200-000048110000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5" name="$E$116">
            <a:extLst>
              <a:ext uri="{FF2B5EF4-FFF2-40B4-BE49-F238E27FC236}">
                <a16:creationId xmlns:a16="http://schemas.microsoft.com/office/drawing/2014/main" id="{00000000-0008-0000-0200-000049110000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6" name="$E$116">
            <a:extLst>
              <a:ext uri="{FF2B5EF4-FFF2-40B4-BE49-F238E27FC236}">
                <a16:creationId xmlns:a16="http://schemas.microsoft.com/office/drawing/2014/main" id="{00000000-0008-0000-0200-00004A110000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7" name="$E$116">
            <a:extLst>
              <a:ext uri="{FF2B5EF4-FFF2-40B4-BE49-F238E27FC236}">
                <a16:creationId xmlns:a16="http://schemas.microsoft.com/office/drawing/2014/main" id="{00000000-0008-0000-0200-00004B110000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8" name="$E$116">
            <a:extLst>
              <a:ext uri="{FF2B5EF4-FFF2-40B4-BE49-F238E27FC236}">
                <a16:creationId xmlns:a16="http://schemas.microsoft.com/office/drawing/2014/main" id="{00000000-0008-0000-0200-00004C110000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9" name="$E$116">
            <a:extLst>
              <a:ext uri="{FF2B5EF4-FFF2-40B4-BE49-F238E27FC236}">
                <a16:creationId xmlns:a16="http://schemas.microsoft.com/office/drawing/2014/main" id="{00000000-0008-0000-0200-00004D110000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0" name="$E$116">
            <a:extLst>
              <a:ext uri="{FF2B5EF4-FFF2-40B4-BE49-F238E27FC236}">
                <a16:creationId xmlns:a16="http://schemas.microsoft.com/office/drawing/2014/main" id="{00000000-0008-0000-0200-00004E110000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1" name="$E$116">
            <a:extLst>
              <a:ext uri="{FF2B5EF4-FFF2-40B4-BE49-F238E27FC236}">
                <a16:creationId xmlns:a16="http://schemas.microsoft.com/office/drawing/2014/main" id="{00000000-0008-0000-0200-00004F110000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2" name="$E$116">
            <a:extLst>
              <a:ext uri="{FF2B5EF4-FFF2-40B4-BE49-F238E27FC236}">
                <a16:creationId xmlns:a16="http://schemas.microsoft.com/office/drawing/2014/main" id="{00000000-0008-0000-0200-000050110000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3" name="$E$116">
            <a:extLst>
              <a:ext uri="{FF2B5EF4-FFF2-40B4-BE49-F238E27FC236}">
                <a16:creationId xmlns:a16="http://schemas.microsoft.com/office/drawing/2014/main" id="{00000000-0008-0000-0200-000051110000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4" name="$E$116">
            <a:extLst>
              <a:ext uri="{FF2B5EF4-FFF2-40B4-BE49-F238E27FC236}">
                <a16:creationId xmlns:a16="http://schemas.microsoft.com/office/drawing/2014/main" id="{00000000-0008-0000-0200-000052110000}"/>
              </a:ext>
            </a:extLst>
          </xdr:cNvPr>
          <xdr:cNvSpPr/>
        </xdr:nvSpPr>
        <xdr:spPr>
          <a:xfrm>
            <a:off x="114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5" name="$E$116">
            <a:extLst>
              <a:ext uri="{FF2B5EF4-FFF2-40B4-BE49-F238E27FC236}">
                <a16:creationId xmlns:a16="http://schemas.microsoft.com/office/drawing/2014/main" id="{00000000-0008-0000-0200-000053110000}"/>
              </a:ext>
            </a:extLst>
          </xdr:cNvPr>
          <xdr:cNvSpPr/>
        </xdr:nvSpPr>
        <xdr:spPr>
          <a:xfrm>
            <a:off x="127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6" name="$E$116">
            <a:extLst>
              <a:ext uri="{FF2B5EF4-FFF2-40B4-BE49-F238E27FC236}">
                <a16:creationId xmlns:a16="http://schemas.microsoft.com/office/drawing/2014/main" id="{00000000-0008-0000-0200-000054110000}"/>
              </a:ext>
            </a:extLst>
          </xdr:cNvPr>
          <xdr:cNvSpPr/>
        </xdr:nvSpPr>
        <xdr:spPr>
          <a:xfrm>
            <a:off x="139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7" name="$E$116">
            <a:extLst>
              <a:ext uri="{FF2B5EF4-FFF2-40B4-BE49-F238E27FC236}">
                <a16:creationId xmlns:a16="http://schemas.microsoft.com/office/drawing/2014/main" id="{00000000-0008-0000-0200-000055110000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8" name="$E$116">
            <a:extLst>
              <a:ext uri="{FF2B5EF4-FFF2-40B4-BE49-F238E27FC236}">
                <a16:creationId xmlns:a16="http://schemas.microsoft.com/office/drawing/2014/main" id="{00000000-0008-0000-0200-000056110000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9" name="$E$116">
            <a:extLst>
              <a:ext uri="{FF2B5EF4-FFF2-40B4-BE49-F238E27FC236}">
                <a16:creationId xmlns:a16="http://schemas.microsoft.com/office/drawing/2014/main" id="{00000000-0008-0000-0200-000057110000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0" name="$E$116">
            <a:extLst>
              <a:ext uri="{FF2B5EF4-FFF2-40B4-BE49-F238E27FC236}">
                <a16:creationId xmlns:a16="http://schemas.microsoft.com/office/drawing/2014/main" id="{00000000-0008-0000-0200-000058110000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1" name="$E$116">
            <a:extLst>
              <a:ext uri="{FF2B5EF4-FFF2-40B4-BE49-F238E27FC236}">
                <a16:creationId xmlns:a16="http://schemas.microsoft.com/office/drawing/2014/main" id="{00000000-0008-0000-0200-000059110000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2" name="$E$116">
            <a:extLst>
              <a:ext uri="{FF2B5EF4-FFF2-40B4-BE49-F238E27FC236}">
                <a16:creationId xmlns:a16="http://schemas.microsoft.com/office/drawing/2014/main" id="{00000000-0008-0000-0200-00005A110000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3" name="$E$116">
            <a:extLst>
              <a:ext uri="{FF2B5EF4-FFF2-40B4-BE49-F238E27FC236}">
                <a16:creationId xmlns:a16="http://schemas.microsoft.com/office/drawing/2014/main" id="{00000000-0008-0000-0200-00005B110000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4" name="$E$116">
            <a:extLst>
              <a:ext uri="{FF2B5EF4-FFF2-40B4-BE49-F238E27FC236}">
                <a16:creationId xmlns:a16="http://schemas.microsoft.com/office/drawing/2014/main" id="{00000000-0008-0000-0200-00005C110000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5" name="$E$116">
            <a:extLst>
              <a:ext uri="{FF2B5EF4-FFF2-40B4-BE49-F238E27FC236}">
                <a16:creationId xmlns:a16="http://schemas.microsoft.com/office/drawing/2014/main" id="{00000000-0008-0000-0200-00005D110000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6" name="$E$116">
            <a:extLst>
              <a:ext uri="{FF2B5EF4-FFF2-40B4-BE49-F238E27FC236}">
                <a16:creationId xmlns:a16="http://schemas.microsoft.com/office/drawing/2014/main" id="{00000000-0008-0000-0200-00005E110000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7" name="$E$116">
            <a:extLst>
              <a:ext uri="{FF2B5EF4-FFF2-40B4-BE49-F238E27FC236}">
                <a16:creationId xmlns:a16="http://schemas.microsoft.com/office/drawing/2014/main" id="{00000000-0008-0000-0200-00005F110000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8" name="$E$116">
            <a:extLst>
              <a:ext uri="{FF2B5EF4-FFF2-40B4-BE49-F238E27FC236}">
                <a16:creationId xmlns:a16="http://schemas.microsoft.com/office/drawing/2014/main" id="{00000000-0008-0000-0200-000060110000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9" name="$E$116">
            <a:extLst>
              <a:ext uri="{FF2B5EF4-FFF2-40B4-BE49-F238E27FC236}">
                <a16:creationId xmlns:a16="http://schemas.microsoft.com/office/drawing/2014/main" id="{00000000-0008-0000-0200-000061110000}"/>
              </a:ext>
            </a:extLst>
          </xdr:cNvPr>
          <xdr:cNvSpPr/>
        </xdr:nvSpPr>
        <xdr:spPr>
          <a:xfrm>
            <a:off x="114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0" name="$E$116">
            <a:extLst>
              <a:ext uri="{FF2B5EF4-FFF2-40B4-BE49-F238E27FC236}">
                <a16:creationId xmlns:a16="http://schemas.microsoft.com/office/drawing/2014/main" id="{00000000-0008-0000-0200-000062110000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1" name="$E$116">
            <a:extLst>
              <a:ext uri="{FF2B5EF4-FFF2-40B4-BE49-F238E27FC236}">
                <a16:creationId xmlns:a16="http://schemas.microsoft.com/office/drawing/2014/main" id="{00000000-0008-0000-0200-000063110000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2" name="$E$116">
            <a:extLst>
              <a:ext uri="{FF2B5EF4-FFF2-40B4-BE49-F238E27FC236}">
                <a16:creationId xmlns:a16="http://schemas.microsoft.com/office/drawing/2014/main" id="{00000000-0008-0000-0200-000064110000}"/>
              </a:ext>
            </a:extLst>
          </xdr:cNvPr>
          <xdr:cNvSpPr/>
        </xdr:nvSpPr>
        <xdr:spPr>
          <a:xfrm>
            <a:off x="190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3" name="$E$116">
            <a:extLst>
              <a:ext uri="{FF2B5EF4-FFF2-40B4-BE49-F238E27FC236}">
                <a16:creationId xmlns:a16="http://schemas.microsoft.com/office/drawing/2014/main" id="{00000000-0008-0000-0200-000065110000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4" name="$E$116">
            <a:extLst>
              <a:ext uri="{FF2B5EF4-FFF2-40B4-BE49-F238E27FC236}">
                <a16:creationId xmlns:a16="http://schemas.microsoft.com/office/drawing/2014/main" id="{00000000-0008-0000-0200-000066110000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5" name="$E$116">
            <a:extLst>
              <a:ext uri="{FF2B5EF4-FFF2-40B4-BE49-F238E27FC236}">
                <a16:creationId xmlns:a16="http://schemas.microsoft.com/office/drawing/2014/main" id="{00000000-0008-0000-0200-000067110000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6" name="$E$116">
            <a:extLst>
              <a:ext uri="{FF2B5EF4-FFF2-40B4-BE49-F238E27FC236}">
                <a16:creationId xmlns:a16="http://schemas.microsoft.com/office/drawing/2014/main" id="{00000000-0008-0000-0200-000068110000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7" name="$E$116">
            <a:extLst>
              <a:ext uri="{FF2B5EF4-FFF2-40B4-BE49-F238E27FC236}">
                <a16:creationId xmlns:a16="http://schemas.microsoft.com/office/drawing/2014/main" id="{00000000-0008-0000-0200-000069110000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8" name="$E$116">
            <a:extLst>
              <a:ext uri="{FF2B5EF4-FFF2-40B4-BE49-F238E27FC236}">
                <a16:creationId xmlns:a16="http://schemas.microsoft.com/office/drawing/2014/main" id="{00000000-0008-0000-0200-00006A110000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9" name="$E$116">
            <a:extLst>
              <a:ext uri="{FF2B5EF4-FFF2-40B4-BE49-F238E27FC236}">
                <a16:creationId xmlns:a16="http://schemas.microsoft.com/office/drawing/2014/main" id="{00000000-0008-0000-0200-00006B110000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0" name="$E$116">
            <a:extLst>
              <a:ext uri="{FF2B5EF4-FFF2-40B4-BE49-F238E27FC236}">
                <a16:creationId xmlns:a16="http://schemas.microsoft.com/office/drawing/2014/main" id="{00000000-0008-0000-0200-00006C110000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1" name="$E$116">
            <a:extLst>
              <a:ext uri="{FF2B5EF4-FFF2-40B4-BE49-F238E27FC236}">
                <a16:creationId xmlns:a16="http://schemas.microsoft.com/office/drawing/2014/main" id="{00000000-0008-0000-0200-00006D110000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2" name="$E$116">
            <a:extLst>
              <a:ext uri="{FF2B5EF4-FFF2-40B4-BE49-F238E27FC236}">
                <a16:creationId xmlns:a16="http://schemas.microsoft.com/office/drawing/2014/main" id="{00000000-0008-0000-0200-00006E110000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3" name="$E$116">
            <a:extLst>
              <a:ext uri="{FF2B5EF4-FFF2-40B4-BE49-F238E27FC236}">
                <a16:creationId xmlns:a16="http://schemas.microsoft.com/office/drawing/2014/main" id="{00000000-0008-0000-0200-00006F110000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4" name="$E$116">
            <a:extLst>
              <a:ext uri="{FF2B5EF4-FFF2-40B4-BE49-F238E27FC236}">
                <a16:creationId xmlns:a16="http://schemas.microsoft.com/office/drawing/2014/main" id="{00000000-0008-0000-0200-000070110000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5" name="$E$116">
            <a:extLst>
              <a:ext uri="{FF2B5EF4-FFF2-40B4-BE49-F238E27FC236}">
                <a16:creationId xmlns:a16="http://schemas.microsoft.com/office/drawing/2014/main" id="{00000000-0008-0000-0200-000071110000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6" name="$E$116">
            <a:extLst>
              <a:ext uri="{FF2B5EF4-FFF2-40B4-BE49-F238E27FC236}">
                <a16:creationId xmlns:a16="http://schemas.microsoft.com/office/drawing/2014/main" id="{00000000-0008-0000-0200-000072110000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7" name="$E$116">
            <a:extLst>
              <a:ext uri="{FF2B5EF4-FFF2-40B4-BE49-F238E27FC236}">
                <a16:creationId xmlns:a16="http://schemas.microsoft.com/office/drawing/2014/main" id="{00000000-0008-0000-0200-000073110000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8" name="$E$116">
            <a:extLst>
              <a:ext uri="{FF2B5EF4-FFF2-40B4-BE49-F238E27FC236}">
                <a16:creationId xmlns:a16="http://schemas.microsoft.com/office/drawing/2014/main" id="{00000000-0008-0000-0200-000074110000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9" name="$E$116">
            <a:extLst>
              <a:ext uri="{FF2B5EF4-FFF2-40B4-BE49-F238E27FC236}">
                <a16:creationId xmlns:a16="http://schemas.microsoft.com/office/drawing/2014/main" id="{00000000-0008-0000-0200-000075110000}"/>
              </a:ext>
            </a:extLst>
          </xdr:cNvPr>
          <xdr:cNvSpPr/>
        </xdr:nvSpPr>
        <xdr:spPr>
          <a:xfrm>
            <a:off x="203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70" name="$E$116">
            <a:extLst>
              <a:ext uri="{FF2B5EF4-FFF2-40B4-BE49-F238E27FC236}">
                <a16:creationId xmlns:a16="http://schemas.microsoft.com/office/drawing/2014/main" id="{00000000-0008-0000-0200-000076110000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71" name="$E$116">
            <a:extLst>
              <a:ext uri="{FF2B5EF4-FFF2-40B4-BE49-F238E27FC236}">
                <a16:creationId xmlns:a16="http://schemas.microsoft.com/office/drawing/2014/main" id="{00000000-0008-0000-0200-000077110000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72" name="$E$116">
            <a:extLst>
              <a:ext uri="{FF2B5EF4-FFF2-40B4-BE49-F238E27FC236}">
                <a16:creationId xmlns:a16="http://schemas.microsoft.com/office/drawing/2014/main" id="{00000000-0008-0000-0200-000078110000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73" name="$E$116">
            <a:extLst>
              <a:ext uri="{FF2B5EF4-FFF2-40B4-BE49-F238E27FC236}">
                <a16:creationId xmlns:a16="http://schemas.microsoft.com/office/drawing/2014/main" id="{00000000-0008-0000-0200-000079110000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74" name="$E$116">
            <a:extLst>
              <a:ext uri="{FF2B5EF4-FFF2-40B4-BE49-F238E27FC236}">
                <a16:creationId xmlns:a16="http://schemas.microsoft.com/office/drawing/2014/main" id="{00000000-0008-0000-0200-00007A110000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75" name="$E$116">
            <a:extLst>
              <a:ext uri="{FF2B5EF4-FFF2-40B4-BE49-F238E27FC236}">
                <a16:creationId xmlns:a16="http://schemas.microsoft.com/office/drawing/2014/main" id="{00000000-0008-0000-0200-00007B110000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76" name="$E$116">
            <a:extLst>
              <a:ext uri="{FF2B5EF4-FFF2-40B4-BE49-F238E27FC236}">
                <a16:creationId xmlns:a16="http://schemas.microsoft.com/office/drawing/2014/main" id="{00000000-0008-0000-0200-00007C110000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336369</xdr:colOff>
      <xdr:row>111</xdr:row>
      <xdr:rowOff>45851</xdr:rowOff>
    </xdr:from>
    <xdr:to>
      <xdr:col>5</xdr:col>
      <xdr:colOff>139882</xdr:colOff>
      <xdr:row>111</xdr:row>
      <xdr:rowOff>1506714</xdr:rowOff>
    </xdr:to>
    <xdr:grpSp>
      <xdr:nvGrpSpPr>
        <xdr:cNvPr id="5025" name="$E$112" descr="QuickResponse barcode, level L, version 4, mode binary, 33x33 cells" title="https://centrodecapacitaciondelsur.com/violencia-sexual-1233193095/">
          <a:extLst>
            <a:ext uri="{FF2B5EF4-FFF2-40B4-BE49-F238E27FC236}">
              <a16:creationId xmlns:a16="http://schemas.microsoft.com/office/drawing/2014/main" id="{00000000-0008-0000-0200-0000A1130000}"/>
            </a:ext>
          </a:extLst>
        </xdr:cNvPr>
        <xdr:cNvGrpSpPr>
          <a:grpSpLocks noChangeAspect="1"/>
        </xdr:cNvGrpSpPr>
      </xdr:nvGrpSpPr>
      <xdr:grpSpPr>
        <a:xfrm>
          <a:off x="20910369" y="121740715"/>
          <a:ext cx="1466058" cy="1460863"/>
          <a:chOff x="0" y="0"/>
          <a:chExt cx="419100" cy="419100"/>
        </a:xfrm>
      </xdr:grpSpPr>
      <xdr:sp macro="" textlink="">
        <xdr:nvSpPr>
          <xdr:cNvPr id="4478" name="$E$112">
            <a:extLst>
              <a:ext uri="{FF2B5EF4-FFF2-40B4-BE49-F238E27FC236}">
                <a16:creationId xmlns:a16="http://schemas.microsoft.com/office/drawing/2014/main" id="{00000000-0008-0000-0200-00007E11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79" name="$E$112">
            <a:extLst>
              <a:ext uri="{FF2B5EF4-FFF2-40B4-BE49-F238E27FC236}">
                <a16:creationId xmlns:a16="http://schemas.microsoft.com/office/drawing/2014/main" id="{00000000-0008-0000-0200-00007F11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0" name="$E$112">
            <a:extLst>
              <a:ext uri="{FF2B5EF4-FFF2-40B4-BE49-F238E27FC236}">
                <a16:creationId xmlns:a16="http://schemas.microsoft.com/office/drawing/2014/main" id="{00000000-0008-0000-0200-00008011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1" name="$E$112">
            <a:extLst>
              <a:ext uri="{FF2B5EF4-FFF2-40B4-BE49-F238E27FC236}">
                <a16:creationId xmlns:a16="http://schemas.microsoft.com/office/drawing/2014/main" id="{00000000-0008-0000-0200-00008111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2" name="$E$112">
            <a:extLst>
              <a:ext uri="{FF2B5EF4-FFF2-40B4-BE49-F238E27FC236}">
                <a16:creationId xmlns:a16="http://schemas.microsoft.com/office/drawing/2014/main" id="{00000000-0008-0000-0200-00008211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3" name="$E$112">
            <a:extLst>
              <a:ext uri="{FF2B5EF4-FFF2-40B4-BE49-F238E27FC236}">
                <a16:creationId xmlns:a16="http://schemas.microsoft.com/office/drawing/2014/main" id="{00000000-0008-0000-0200-00008311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4" name="$E$112">
            <a:extLst>
              <a:ext uri="{FF2B5EF4-FFF2-40B4-BE49-F238E27FC236}">
                <a16:creationId xmlns:a16="http://schemas.microsoft.com/office/drawing/2014/main" id="{00000000-0008-0000-0200-00008411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5" name="$E$112">
            <a:extLst>
              <a:ext uri="{FF2B5EF4-FFF2-40B4-BE49-F238E27FC236}">
                <a16:creationId xmlns:a16="http://schemas.microsoft.com/office/drawing/2014/main" id="{00000000-0008-0000-0200-00008511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6" name="$E$112">
            <a:extLst>
              <a:ext uri="{FF2B5EF4-FFF2-40B4-BE49-F238E27FC236}">
                <a16:creationId xmlns:a16="http://schemas.microsoft.com/office/drawing/2014/main" id="{00000000-0008-0000-0200-00008611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7" name="$E$112">
            <a:extLst>
              <a:ext uri="{FF2B5EF4-FFF2-40B4-BE49-F238E27FC236}">
                <a16:creationId xmlns:a16="http://schemas.microsoft.com/office/drawing/2014/main" id="{00000000-0008-0000-0200-000087110000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8" name="$E$112">
            <a:extLst>
              <a:ext uri="{FF2B5EF4-FFF2-40B4-BE49-F238E27FC236}">
                <a16:creationId xmlns:a16="http://schemas.microsoft.com/office/drawing/2014/main" id="{00000000-0008-0000-0200-000088110000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9" name="$E$112">
            <a:extLst>
              <a:ext uri="{FF2B5EF4-FFF2-40B4-BE49-F238E27FC236}">
                <a16:creationId xmlns:a16="http://schemas.microsoft.com/office/drawing/2014/main" id="{00000000-0008-0000-0200-000089110000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90" name="$E$112">
            <a:extLst>
              <a:ext uri="{FF2B5EF4-FFF2-40B4-BE49-F238E27FC236}">
                <a16:creationId xmlns:a16="http://schemas.microsoft.com/office/drawing/2014/main" id="{00000000-0008-0000-0200-00008A11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91" name="$E$112">
            <a:extLst>
              <a:ext uri="{FF2B5EF4-FFF2-40B4-BE49-F238E27FC236}">
                <a16:creationId xmlns:a16="http://schemas.microsoft.com/office/drawing/2014/main" id="{00000000-0008-0000-0200-00008B11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92" name="$E$112">
            <a:extLst>
              <a:ext uri="{FF2B5EF4-FFF2-40B4-BE49-F238E27FC236}">
                <a16:creationId xmlns:a16="http://schemas.microsoft.com/office/drawing/2014/main" id="{00000000-0008-0000-0200-00008C11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93" name="$E$112">
            <a:extLst>
              <a:ext uri="{FF2B5EF4-FFF2-40B4-BE49-F238E27FC236}">
                <a16:creationId xmlns:a16="http://schemas.microsoft.com/office/drawing/2014/main" id="{00000000-0008-0000-0200-00008D11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94" name="$E$112">
            <a:extLst>
              <a:ext uri="{FF2B5EF4-FFF2-40B4-BE49-F238E27FC236}">
                <a16:creationId xmlns:a16="http://schemas.microsoft.com/office/drawing/2014/main" id="{00000000-0008-0000-0200-00008E11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95" name="$E$112">
            <a:extLst>
              <a:ext uri="{FF2B5EF4-FFF2-40B4-BE49-F238E27FC236}">
                <a16:creationId xmlns:a16="http://schemas.microsoft.com/office/drawing/2014/main" id="{00000000-0008-0000-0200-00008F110000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96" name="$E$112">
            <a:extLst>
              <a:ext uri="{FF2B5EF4-FFF2-40B4-BE49-F238E27FC236}">
                <a16:creationId xmlns:a16="http://schemas.microsoft.com/office/drawing/2014/main" id="{00000000-0008-0000-0200-000090110000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97" name="$E$112">
            <a:extLst>
              <a:ext uri="{FF2B5EF4-FFF2-40B4-BE49-F238E27FC236}">
                <a16:creationId xmlns:a16="http://schemas.microsoft.com/office/drawing/2014/main" id="{00000000-0008-0000-0200-000091110000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98" name="$E$112">
            <a:extLst>
              <a:ext uri="{FF2B5EF4-FFF2-40B4-BE49-F238E27FC236}">
                <a16:creationId xmlns:a16="http://schemas.microsoft.com/office/drawing/2014/main" id="{00000000-0008-0000-0200-000092110000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99" name="$E$112">
            <a:extLst>
              <a:ext uri="{FF2B5EF4-FFF2-40B4-BE49-F238E27FC236}">
                <a16:creationId xmlns:a16="http://schemas.microsoft.com/office/drawing/2014/main" id="{00000000-0008-0000-0200-00009311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0" name="$E$112">
            <a:extLst>
              <a:ext uri="{FF2B5EF4-FFF2-40B4-BE49-F238E27FC236}">
                <a16:creationId xmlns:a16="http://schemas.microsoft.com/office/drawing/2014/main" id="{00000000-0008-0000-0200-00009411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1" name="$E$112">
            <a:extLst>
              <a:ext uri="{FF2B5EF4-FFF2-40B4-BE49-F238E27FC236}">
                <a16:creationId xmlns:a16="http://schemas.microsoft.com/office/drawing/2014/main" id="{00000000-0008-0000-0200-00009511000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2" name="$E$112">
            <a:extLst>
              <a:ext uri="{FF2B5EF4-FFF2-40B4-BE49-F238E27FC236}">
                <a16:creationId xmlns:a16="http://schemas.microsoft.com/office/drawing/2014/main" id="{00000000-0008-0000-0200-00009611000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3" name="$E$112">
            <a:extLst>
              <a:ext uri="{FF2B5EF4-FFF2-40B4-BE49-F238E27FC236}">
                <a16:creationId xmlns:a16="http://schemas.microsoft.com/office/drawing/2014/main" id="{00000000-0008-0000-0200-000097110000}"/>
              </a:ext>
            </a:extLst>
          </xdr:cNvPr>
          <xdr:cNvSpPr/>
        </xdr:nvSpPr>
        <xdr:spPr>
          <a:xfrm>
            <a:off x="165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4" name="$E$112">
            <a:extLst>
              <a:ext uri="{FF2B5EF4-FFF2-40B4-BE49-F238E27FC236}">
                <a16:creationId xmlns:a16="http://schemas.microsoft.com/office/drawing/2014/main" id="{00000000-0008-0000-0200-00009811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5" name="$E$112">
            <a:extLst>
              <a:ext uri="{FF2B5EF4-FFF2-40B4-BE49-F238E27FC236}">
                <a16:creationId xmlns:a16="http://schemas.microsoft.com/office/drawing/2014/main" id="{00000000-0008-0000-0200-00009911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6" name="$E$112">
            <a:extLst>
              <a:ext uri="{FF2B5EF4-FFF2-40B4-BE49-F238E27FC236}">
                <a16:creationId xmlns:a16="http://schemas.microsoft.com/office/drawing/2014/main" id="{00000000-0008-0000-0200-00009A11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7" name="$E$112">
            <a:extLst>
              <a:ext uri="{FF2B5EF4-FFF2-40B4-BE49-F238E27FC236}">
                <a16:creationId xmlns:a16="http://schemas.microsoft.com/office/drawing/2014/main" id="{00000000-0008-0000-0200-00009B110000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8" name="$E$112">
            <a:extLst>
              <a:ext uri="{FF2B5EF4-FFF2-40B4-BE49-F238E27FC236}">
                <a16:creationId xmlns:a16="http://schemas.microsoft.com/office/drawing/2014/main" id="{00000000-0008-0000-0200-00009C110000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9" name="$E$112">
            <a:extLst>
              <a:ext uri="{FF2B5EF4-FFF2-40B4-BE49-F238E27FC236}">
                <a16:creationId xmlns:a16="http://schemas.microsoft.com/office/drawing/2014/main" id="{00000000-0008-0000-0200-00009D1100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0" name="$E$112">
            <a:extLst>
              <a:ext uri="{FF2B5EF4-FFF2-40B4-BE49-F238E27FC236}">
                <a16:creationId xmlns:a16="http://schemas.microsoft.com/office/drawing/2014/main" id="{00000000-0008-0000-0200-00009E1100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1" name="$E$112">
            <a:extLst>
              <a:ext uri="{FF2B5EF4-FFF2-40B4-BE49-F238E27FC236}">
                <a16:creationId xmlns:a16="http://schemas.microsoft.com/office/drawing/2014/main" id="{00000000-0008-0000-0200-00009F1100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2" name="$E$112">
            <a:extLst>
              <a:ext uri="{FF2B5EF4-FFF2-40B4-BE49-F238E27FC236}">
                <a16:creationId xmlns:a16="http://schemas.microsoft.com/office/drawing/2014/main" id="{00000000-0008-0000-0200-0000A01100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3" name="$E$112">
            <a:extLst>
              <a:ext uri="{FF2B5EF4-FFF2-40B4-BE49-F238E27FC236}">
                <a16:creationId xmlns:a16="http://schemas.microsoft.com/office/drawing/2014/main" id="{00000000-0008-0000-0200-0000A11100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4" name="$E$112">
            <a:extLst>
              <a:ext uri="{FF2B5EF4-FFF2-40B4-BE49-F238E27FC236}">
                <a16:creationId xmlns:a16="http://schemas.microsoft.com/office/drawing/2014/main" id="{00000000-0008-0000-0200-0000A21100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5" name="$E$112">
            <a:extLst>
              <a:ext uri="{FF2B5EF4-FFF2-40B4-BE49-F238E27FC236}">
                <a16:creationId xmlns:a16="http://schemas.microsoft.com/office/drawing/2014/main" id="{00000000-0008-0000-0200-0000A3110000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6" name="$E$112">
            <a:extLst>
              <a:ext uri="{FF2B5EF4-FFF2-40B4-BE49-F238E27FC236}">
                <a16:creationId xmlns:a16="http://schemas.microsoft.com/office/drawing/2014/main" id="{00000000-0008-0000-0200-0000A41100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7" name="$E$112">
            <a:extLst>
              <a:ext uri="{FF2B5EF4-FFF2-40B4-BE49-F238E27FC236}">
                <a16:creationId xmlns:a16="http://schemas.microsoft.com/office/drawing/2014/main" id="{00000000-0008-0000-0200-0000A5110000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8" name="$E$112">
            <a:extLst>
              <a:ext uri="{FF2B5EF4-FFF2-40B4-BE49-F238E27FC236}">
                <a16:creationId xmlns:a16="http://schemas.microsoft.com/office/drawing/2014/main" id="{00000000-0008-0000-0200-0000A6110000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9" name="$E$112">
            <a:extLst>
              <a:ext uri="{FF2B5EF4-FFF2-40B4-BE49-F238E27FC236}">
                <a16:creationId xmlns:a16="http://schemas.microsoft.com/office/drawing/2014/main" id="{00000000-0008-0000-0200-0000A71100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0" name="$E$112">
            <a:extLst>
              <a:ext uri="{FF2B5EF4-FFF2-40B4-BE49-F238E27FC236}">
                <a16:creationId xmlns:a16="http://schemas.microsoft.com/office/drawing/2014/main" id="{00000000-0008-0000-0200-0000A81100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1" name="$E$112">
            <a:extLst>
              <a:ext uri="{FF2B5EF4-FFF2-40B4-BE49-F238E27FC236}">
                <a16:creationId xmlns:a16="http://schemas.microsoft.com/office/drawing/2014/main" id="{00000000-0008-0000-0200-0000A9110000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2" name="$E$112">
            <a:extLst>
              <a:ext uri="{FF2B5EF4-FFF2-40B4-BE49-F238E27FC236}">
                <a16:creationId xmlns:a16="http://schemas.microsoft.com/office/drawing/2014/main" id="{00000000-0008-0000-0200-0000AA110000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3" name="$E$112">
            <a:extLst>
              <a:ext uri="{FF2B5EF4-FFF2-40B4-BE49-F238E27FC236}">
                <a16:creationId xmlns:a16="http://schemas.microsoft.com/office/drawing/2014/main" id="{00000000-0008-0000-0200-0000AB110000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4" name="$E$112">
            <a:extLst>
              <a:ext uri="{FF2B5EF4-FFF2-40B4-BE49-F238E27FC236}">
                <a16:creationId xmlns:a16="http://schemas.microsoft.com/office/drawing/2014/main" id="{00000000-0008-0000-0200-0000AC1100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5" name="$E$112">
            <a:extLst>
              <a:ext uri="{FF2B5EF4-FFF2-40B4-BE49-F238E27FC236}">
                <a16:creationId xmlns:a16="http://schemas.microsoft.com/office/drawing/2014/main" id="{00000000-0008-0000-0200-0000AD1100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6" name="$E$112">
            <a:extLst>
              <a:ext uri="{FF2B5EF4-FFF2-40B4-BE49-F238E27FC236}">
                <a16:creationId xmlns:a16="http://schemas.microsoft.com/office/drawing/2014/main" id="{00000000-0008-0000-0200-0000AE1100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7" name="$E$112">
            <a:extLst>
              <a:ext uri="{FF2B5EF4-FFF2-40B4-BE49-F238E27FC236}">
                <a16:creationId xmlns:a16="http://schemas.microsoft.com/office/drawing/2014/main" id="{00000000-0008-0000-0200-0000AF1100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8" name="$E$112">
            <a:extLst>
              <a:ext uri="{FF2B5EF4-FFF2-40B4-BE49-F238E27FC236}">
                <a16:creationId xmlns:a16="http://schemas.microsoft.com/office/drawing/2014/main" id="{00000000-0008-0000-0200-0000B01100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9" name="$E$112">
            <a:extLst>
              <a:ext uri="{FF2B5EF4-FFF2-40B4-BE49-F238E27FC236}">
                <a16:creationId xmlns:a16="http://schemas.microsoft.com/office/drawing/2014/main" id="{00000000-0008-0000-0200-0000B111000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0" name="$E$112">
            <a:extLst>
              <a:ext uri="{FF2B5EF4-FFF2-40B4-BE49-F238E27FC236}">
                <a16:creationId xmlns:a16="http://schemas.microsoft.com/office/drawing/2014/main" id="{00000000-0008-0000-0200-0000B2110000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1" name="$E$112">
            <a:extLst>
              <a:ext uri="{FF2B5EF4-FFF2-40B4-BE49-F238E27FC236}">
                <a16:creationId xmlns:a16="http://schemas.microsoft.com/office/drawing/2014/main" id="{00000000-0008-0000-0200-0000B3110000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2" name="$E$112">
            <a:extLst>
              <a:ext uri="{FF2B5EF4-FFF2-40B4-BE49-F238E27FC236}">
                <a16:creationId xmlns:a16="http://schemas.microsoft.com/office/drawing/2014/main" id="{00000000-0008-0000-0200-0000B41100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3" name="$E$112">
            <a:extLst>
              <a:ext uri="{FF2B5EF4-FFF2-40B4-BE49-F238E27FC236}">
                <a16:creationId xmlns:a16="http://schemas.microsoft.com/office/drawing/2014/main" id="{00000000-0008-0000-0200-0000B51100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4" name="$E$112">
            <a:extLst>
              <a:ext uri="{FF2B5EF4-FFF2-40B4-BE49-F238E27FC236}">
                <a16:creationId xmlns:a16="http://schemas.microsoft.com/office/drawing/2014/main" id="{00000000-0008-0000-0200-0000B6110000}"/>
              </a:ext>
            </a:extLst>
          </xdr:cNvPr>
          <xdr:cNvSpPr/>
        </xdr:nvSpPr>
        <xdr:spPr>
          <a:xfrm>
            <a:off x="190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5" name="$E$112">
            <a:extLst>
              <a:ext uri="{FF2B5EF4-FFF2-40B4-BE49-F238E27FC236}">
                <a16:creationId xmlns:a16="http://schemas.microsoft.com/office/drawing/2014/main" id="{00000000-0008-0000-0200-0000B7110000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6" name="$E$112">
            <a:extLst>
              <a:ext uri="{FF2B5EF4-FFF2-40B4-BE49-F238E27FC236}">
                <a16:creationId xmlns:a16="http://schemas.microsoft.com/office/drawing/2014/main" id="{00000000-0008-0000-0200-0000B8110000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7" name="$E$112">
            <a:extLst>
              <a:ext uri="{FF2B5EF4-FFF2-40B4-BE49-F238E27FC236}">
                <a16:creationId xmlns:a16="http://schemas.microsoft.com/office/drawing/2014/main" id="{00000000-0008-0000-0200-0000B9110000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8" name="$E$112">
            <a:extLst>
              <a:ext uri="{FF2B5EF4-FFF2-40B4-BE49-F238E27FC236}">
                <a16:creationId xmlns:a16="http://schemas.microsoft.com/office/drawing/2014/main" id="{00000000-0008-0000-0200-0000BA1100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9" name="$E$112">
            <a:extLst>
              <a:ext uri="{FF2B5EF4-FFF2-40B4-BE49-F238E27FC236}">
                <a16:creationId xmlns:a16="http://schemas.microsoft.com/office/drawing/2014/main" id="{00000000-0008-0000-0200-0000BB110000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0" name="$E$112">
            <a:extLst>
              <a:ext uri="{FF2B5EF4-FFF2-40B4-BE49-F238E27FC236}">
                <a16:creationId xmlns:a16="http://schemas.microsoft.com/office/drawing/2014/main" id="{00000000-0008-0000-0200-0000BC1100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1" name="$E$112">
            <a:extLst>
              <a:ext uri="{FF2B5EF4-FFF2-40B4-BE49-F238E27FC236}">
                <a16:creationId xmlns:a16="http://schemas.microsoft.com/office/drawing/2014/main" id="{00000000-0008-0000-0200-0000BD1100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2" name="$E$112">
            <a:extLst>
              <a:ext uri="{FF2B5EF4-FFF2-40B4-BE49-F238E27FC236}">
                <a16:creationId xmlns:a16="http://schemas.microsoft.com/office/drawing/2014/main" id="{00000000-0008-0000-0200-0000BE1100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3" name="$E$112">
            <a:extLst>
              <a:ext uri="{FF2B5EF4-FFF2-40B4-BE49-F238E27FC236}">
                <a16:creationId xmlns:a16="http://schemas.microsoft.com/office/drawing/2014/main" id="{00000000-0008-0000-0200-0000BF110000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4" name="$E$112">
            <a:extLst>
              <a:ext uri="{FF2B5EF4-FFF2-40B4-BE49-F238E27FC236}">
                <a16:creationId xmlns:a16="http://schemas.microsoft.com/office/drawing/2014/main" id="{00000000-0008-0000-0200-0000C0110000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5" name="$E$112">
            <a:extLst>
              <a:ext uri="{FF2B5EF4-FFF2-40B4-BE49-F238E27FC236}">
                <a16:creationId xmlns:a16="http://schemas.microsoft.com/office/drawing/2014/main" id="{00000000-0008-0000-0200-0000C1110000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6" name="$E$112">
            <a:extLst>
              <a:ext uri="{FF2B5EF4-FFF2-40B4-BE49-F238E27FC236}">
                <a16:creationId xmlns:a16="http://schemas.microsoft.com/office/drawing/2014/main" id="{00000000-0008-0000-0200-0000C21100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7" name="$E$112">
            <a:extLst>
              <a:ext uri="{FF2B5EF4-FFF2-40B4-BE49-F238E27FC236}">
                <a16:creationId xmlns:a16="http://schemas.microsoft.com/office/drawing/2014/main" id="{00000000-0008-0000-0200-0000C31100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8" name="$E$112">
            <a:extLst>
              <a:ext uri="{FF2B5EF4-FFF2-40B4-BE49-F238E27FC236}">
                <a16:creationId xmlns:a16="http://schemas.microsoft.com/office/drawing/2014/main" id="{00000000-0008-0000-0200-0000C41100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9" name="$E$112">
            <a:extLst>
              <a:ext uri="{FF2B5EF4-FFF2-40B4-BE49-F238E27FC236}">
                <a16:creationId xmlns:a16="http://schemas.microsoft.com/office/drawing/2014/main" id="{00000000-0008-0000-0200-0000C51100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0" name="$E$112">
            <a:extLst>
              <a:ext uri="{FF2B5EF4-FFF2-40B4-BE49-F238E27FC236}">
                <a16:creationId xmlns:a16="http://schemas.microsoft.com/office/drawing/2014/main" id="{00000000-0008-0000-0200-0000C61100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1" name="$E$112">
            <a:extLst>
              <a:ext uri="{FF2B5EF4-FFF2-40B4-BE49-F238E27FC236}">
                <a16:creationId xmlns:a16="http://schemas.microsoft.com/office/drawing/2014/main" id="{00000000-0008-0000-0200-0000C7110000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2" name="$E$112">
            <a:extLst>
              <a:ext uri="{FF2B5EF4-FFF2-40B4-BE49-F238E27FC236}">
                <a16:creationId xmlns:a16="http://schemas.microsoft.com/office/drawing/2014/main" id="{00000000-0008-0000-0200-0000C81100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3" name="$E$112">
            <a:extLst>
              <a:ext uri="{FF2B5EF4-FFF2-40B4-BE49-F238E27FC236}">
                <a16:creationId xmlns:a16="http://schemas.microsoft.com/office/drawing/2014/main" id="{00000000-0008-0000-0200-0000C9110000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4" name="$E$112">
            <a:extLst>
              <a:ext uri="{FF2B5EF4-FFF2-40B4-BE49-F238E27FC236}">
                <a16:creationId xmlns:a16="http://schemas.microsoft.com/office/drawing/2014/main" id="{00000000-0008-0000-0200-0000CA1100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5" name="$E$112">
            <a:extLst>
              <a:ext uri="{FF2B5EF4-FFF2-40B4-BE49-F238E27FC236}">
                <a16:creationId xmlns:a16="http://schemas.microsoft.com/office/drawing/2014/main" id="{00000000-0008-0000-0200-0000CB1100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6" name="$E$112">
            <a:extLst>
              <a:ext uri="{FF2B5EF4-FFF2-40B4-BE49-F238E27FC236}">
                <a16:creationId xmlns:a16="http://schemas.microsoft.com/office/drawing/2014/main" id="{00000000-0008-0000-0200-0000CC1100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7" name="$E$112">
            <a:extLst>
              <a:ext uri="{FF2B5EF4-FFF2-40B4-BE49-F238E27FC236}">
                <a16:creationId xmlns:a16="http://schemas.microsoft.com/office/drawing/2014/main" id="{00000000-0008-0000-0200-0000CD110000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8" name="$E$112">
            <a:extLst>
              <a:ext uri="{FF2B5EF4-FFF2-40B4-BE49-F238E27FC236}">
                <a16:creationId xmlns:a16="http://schemas.microsoft.com/office/drawing/2014/main" id="{00000000-0008-0000-0200-0000CE110000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9" name="$E$112">
            <a:extLst>
              <a:ext uri="{FF2B5EF4-FFF2-40B4-BE49-F238E27FC236}">
                <a16:creationId xmlns:a16="http://schemas.microsoft.com/office/drawing/2014/main" id="{00000000-0008-0000-0200-0000CF1100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0" name="$E$112">
            <a:extLst>
              <a:ext uri="{FF2B5EF4-FFF2-40B4-BE49-F238E27FC236}">
                <a16:creationId xmlns:a16="http://schemas.microsoft.com/office/drawing/2014/main" id="{00000000-0008-0000-0200-0000D01100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1" name="$E$112">
            <a:extLst>
              <a:ext uri="{FF2B5EF4-FFF2-40B4-BE49-F238E27FC236}">
                <a16:creationId xmlns:a16="http://schemas.microsoft.com/office/drawing/2014/main" id="{00000000-0008-0000-0200-0000D1110000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2" name="$E$112">
            <a:extLst>
              <a:ext uri="{FF2B5EF4-FFF2-40B4-BE49-F238E27FC236}">
                <a16:creationId xmlns:a16="http://schemas.microsoft.com/office/drawing/2014/main" id="{00000000-0008-0000-0200-0000D2110000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3" name="$E$112">
            <a:extLst>
              <a:ext uri="{FF2B5EF4-FFF2-40B4-BE49-F238E27FC236}">
                <a16:creationId xmlns:a16="http://schemas.microsoft.com/office/drawing/2014/main" id="{00000000-0008-0000-0200-0000D3110000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4" name="$E$112">
            <a:extLst>
              <a:ext uri="{FF2B5EF4-FFF2-40B4-BE49-F238E27FC236}">
                <a16:creationId xmlns:a16="http://schemas.microsoft.com/office/drawing/2014/main" id="{00000000-0008-0000-0200-0000D41100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5" name="$E$112">
            <a:extLst>
              <a:ext uri="{FF2B5EF4-FFF2-40B4-BE49-F238E27FC236}">
                <a16:creationId xmlns:a16="http://schemas.microsoft.com/office/drawing/2014/main" id="{00000000-0008-0000-0200-0000D51100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6" name="$E$112">
            <a:extLst>
              <a:ext uri="{FF2B5EF4-FFF2-40B4-BE49-F238E27FC236}">
                <a16:creationId xmlns:a16="http://schemas.microsoft.com/office/drawing/2014/main" id="{00000000-0008-0000-0200-0000D61100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7" name="$E$112">
            <a:extLst>
              <a:ext uri="{FF2B5EF4-FFF2-40B4-BE49-F238E27FC236}">
                <a16:creationId xmlns:a16="http://schemas.microsoft.com/office/drawing/2014/main" id="{00000000-0008-0000-0200-0000D7110000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8" name="$E$112">
            <a:extLst>
              <a:ext uri="{FF2B5EF4-FFF2-40B4-BE49-F238E27FC236}">
                <a16:creationId xmlns:a16="http://schemas.microsoft.com/office/drawing/2014/main" id="{00000000-0008-0000-0200-0000D811000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9" name="$E$112">
            <a:extLst>
              <a:ext uri="{FF2B5EF4-FFF2-40B4-BE49-F238E27FC236}">
                <a16:creationId xmlns:a16="http://schemas.microsoft.com/office/drawing/2014/main" id="{00000000-0008-0000-0200-0000D9110000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0" name="$E$112">
            <a:extLst>
              <a:ext uri="{FF2B5EF4-FFF2-40B4-BE49-F238E27FC236}">
                <a16:creationId xmlns:a16="http://schemas.microsoft.com/office/drawing/2014/main" id="{00000000-0008-0000-0200-0000DA1100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1" name="$E$112">
            <a:extLst>
              <a:ext uri="{FF2B5EF4-FFF2-40B4-BE49-F238E27FC236}">
                <a16:creationId xmlns:a16="http://schemas.microsoft.com/office/drawing/2014/main" id="{00000000-0008-0000-0200-0000DB110000}"/>
              </a:ext>
            </a:extLst>
          </xdr:cNvPr>
          <xdr:cNvSpPr/>
        </xdr:nvSpPr>
        <xdr:spPr>
          <a:xfrm>
            <a:off x="215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2" name="$E$112">
            <a:extLst>
              <a:ext uri="{FF2B5EF4-FFF2-40B4-BE49-F238E27FC236}">
                <a16:creationId xmlns:a16="http://schemas.microsoft.com/office/drawing/2014/main" id="{00000000-0008-0000-0200-0000DC110000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3" name="$E$112">
            <a:extLst>
              <a:ext uri="{FF2B5EF4-FFF2-40B4-BE49-F238E27FC236}">
                <a16:creationId xmlns:a16="http://schemas.microsoft.com/office/drawing/2014/main" id="{00000000-0008-0000-0200-0000DD110000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4" name="$E$112">
            <a:extLst>
              <a:ext uri="{FF2B5EF4-FFF2-40B4-BE49-F238E27FC236}">
                <a16:creationId xmlns:a16="http://schemas.microsoft.com/office/drawing/2014/main" id="{00000000-0008-0000-0200-0000DE1100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5" name="$E$112">
            <a:extLst>
              <a:ext uri="{FF2B5EF4-FFF2-40B4-BE49-F238E27FC236}">
                <a16:creationId xmlns:a16="http://schemas.microsoft.com/office/drawing/2014/main" id="{00000000-0008-0000-0200-0000DF110000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6" name="$E$112">
            <a:extLst>
              <a:ext uri="{FF2B5EF4-FFF2-40B4-BE49-F238E27FC236}">
                <a16:creationId xmlns:a16="http://schemas.microsoft.com/office/drawing/2014/main" id="{00000000-0008-0000-0200-0000E0110000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7" name="$E$112">
            <a:extLst>
              <a:ext uri="{FF2B5EF4-FFF2-40B4-BE49-F238E27FC236}">
                <a16:creationId xmlns:a16="http://schemas.microsoft.com/office/drawing/2014/main" id="{00000000-0008-0000-0200-0000E11100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8" name="$E$112">
            <a:extLst>
              <a:ext uri="{FF2B5EF4-FFF2-40B4-BE49-F238E27FC236}">
                <a16:creationId xmlns:a16="http://schemas.microsoft.com/office/drawing/2014/main" id="{00000000-0008-0000-0200-0000E21100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9" name="$E$112">
            <a:extLst>
              <a:ext uri="{FF2B5EF4-FFF2-40B4-BE49-F238E27FC236}">
                <a16:creationId xmlns:a16="http://schemas.microsoft.com/office/drawing/2014/main" id="{00000000-0008-0000-0200-0000E31100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0" name="$E$112">
            <a:extLst>
              <a:ext uri="{FF2B5EF4-FFF2-40B4-BE49-F238E27FC236}">
                <a16:creationId xmlns:a16="http://schemas.microsoft.com/office/drawing/2014/main" id="{00000000-0008-0000-0200-0000E41100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1" name="$E$112">
            <a:extLst>
              <a:ext uri="{FF2B5EF4-FFF2-40B4-BE49-F238E27FC236}">
                <a16:creationId xmlns:a16="http://schemas.microsoft.com/office/drawing/2014/main" id="{00000000-0008-0000-0200-0000E51100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2" name="$E$112">
            <a:extLst>
              <a:ext uri="{FF2B5EF4-FFF2-40B4-BE49-F238E27FC236}">
                <a16:creationId xmlns:a16="http://schemas.microsoft.com/office/drawing/2014/main" id="{00000000-0008-0000-0200-0000E61100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3" name="$E$112">
            <a:extLst>
              <a:ext uri="{FF2B5EF4-FFF2-40B4-BE49-F238E27FC236}">
                <a16:creationId xmlns:a16="http://schemas.microsoft.com/office/drawing/2014/main" id="{00000000-0008-0000-0200-0000E71100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4" name="$E$112">
            <a:extLst>
              <a:ext uri="{FF2B5EF4-FFF2-40B4-BE49-F238E27FC236}">
                <a16:creationId xmlns:a16="http://schemas.microsoft.com/office/drawing/2014/main" id="{00000000-0008-0000-0200-0000E81100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5" name="$E$112">
            <a:extLst>
              <a:ext uri="{FF2B5EF4-FFF2-40B4-BE49-F238E27FC236}">
                <a16:creationId xmlns:a16="http://schemas.microsoft.com/office/drawing/2014/main" id="{00000000-0008-0000-0200-0000E91100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6" name="$E$112">
            <a:extLst>
              <a:ext uri="{FF2B5EF4-FFF2-40B4-BE49-F238E27FC236}">
                <a16:creationId xmlns:a16="http://schemas.microsoft.com/office/drawing/2014/main" id="{00000000-0008-0000-0200-0000EA1100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7" name="$E$112">
            <a:extLst>
              <a:ext uri="{FF2B5EF4-FFF2-40B4-BE49-F238E27FC236}">
                <a16:creationId xmlns:a16="http://schemas.microsoft.com/office/drawing/2014/main" id="{00000000-0008-0000-0200-0000EB1100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8" name="$E$112">
            <a:extLst>
              <a:ext uri="{FF2B5EF4-FFF2-40B4-BE49-F238E27FC236}">
                <a16:creationId xmlns:a16="http://schemas.microsoft.com/office/drawing/2014/main" id="{00000000-0008-0000-0200-0000EC1100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9" name="$E$112">
            <a:extLst>
              <a:ext uri="{FF2B5EF4-FFF2-40B4-BE49-F238E27FC236}">
                <a16:creationId xmlns:a16="http://schemas.microsoft.com/office/drawing/2014/main" id="{00000000-0008-0000-0200-0000ED1100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0" name="$E$112">
            <a:extLst>
              <a:ext uri="{FF2B5EF4-FFF2-40B4-BE49-F238E27FC236}">
                <a16:creationId xmlns:a16="http://schemas.microsoft.com/office/drawing/2014/main" id="{00000000-0008-0000-0200-0000EE1100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1" name="$E$112">
            <a:extLst>
              <a:ext uri="{FF2B5EF4-FFF2-40B4-BE49-F238E27FC236}">
                <a16:creationId xmlns:a16="http://schemas.microsoft.com/office/drawing/2014/main" id="{00000000-0008-0000-0200-0000EF1100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2" name="$E$112">
            <a:extLst>
              <a:ext uri="{FF2B5EF4-FFF2-40B4-BE49-F238E27FC236}">
                <a16:creationId xmlns:a16="http://schemas.microsoft.com/office/drawing/2014/main" id="{00000000-0008-0000-0200-0000F01100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3" name="$E$112">
            <a:extLst>
              <a:ext uri="{FF2B5EF4-FFF2-40B4-BE49-F238E27FC236}">
                <a16:creationId xmlns:a16="http://schemas.microsoft.com/office/drawing/2014/main" id="{00000000-0008-0000-0200-0000F11100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4" name="$E$112">
            <a:extLst>
              <a:ext uri="{FF2B5EF4-FFF2-40B4-BE49-F238E27FC236}">
                <a16:creationId xmlns:a16="http://schemas.microsoft.com/office/drawing/2014/main" id="{00000000-0008-0000-0200-0000F21100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5" name="$E$112">
            <a:extLst>
              <a:ext uri="{FF2B5EF4-FFF2-40B4-BE49-F238E27FC236}">
                <a16:creationId xmlns:a16="http://schemas.microsoft.com/office/drawing/2014/main" id="{00000000-0008-0000-0200-0000F31100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6" name="$E$112">
            <a:extLst>
              <a:ext uri="{FF2B5EF4-FFF2-40B4-BE49-F238E27FC236}">
                <a16:creationId xmlns:a16="http://schemas.microsoft.com/office/drawing/2014/main" id="{00000000-0008-0000-0200-0000F4110000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7" name="$E$112">
            <a:extLst>
              <a:ext uri="{FF2B5EF4-FFF2-40B4-BE49-F238E27FC236}">
                <a16:creationId xmlns:a16="http://schemas.microsoft.com/office/drawing/2014/main" id="{00000000-0008-0000-0200-0000F5110000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8" name="$E$112">
            <a:extLst>
              <a:ext uri="{FF2B5EF4-FFF2-40B4-BE49-F238E27FC236}">
                <a16:creationId xmlns:a16="http://schemas.microsoft.com/office/drawing/2014/main" id="{00000000-0008-0000-0200-0000F6110000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9" name="$E$112">
            <a:extLst>
              <a:ext uri="{FF2B5EF4-FFF2-40B4-BE49-F238E27FC236}">
                <a16:creationId xmlns:a16="http://schemas.microsoft.com/office/drawing/2014/main" id="{00000000-0008-0000-0200-0000F7110000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0" name="$E$112">
            <a:extLst>
              <a:ext uri="{FF2B5EF4-FFF2-40B4-BE49-F238E27FC236}">
                <a16:creationId xmlns:a16="http://schemas.microsoft.com/office/drawing/2014/main" id="{00000000-0008-0000-0200-0000F81100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1" name="$E$112">
            <a:extLst>
              <a:ext uri="{FF2B5EF4-FFF2-40B4-BE49-F238E27FC236}">
                <a16:creationId xmlns:a16="http://schemas.microsoft.com/office/drawing/2014/main" id="{00000000-0008-0000-0200-0000F91100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2" name="$E$112">
            <a:extLst>
              <a:ext uri="{FF2B5EF4-FFF2-40B4-BE49-F238E27FC236}">
                <a16:creationId xmlns:a16="http://schemas.microsoft.com/office/drawing/2014/main" id="{00000000-0008-0000-0200-0000FA110000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3" name="$E$112">
            <a:extLst>
              <a:ext uri="{FF2B5EF4-FFF2-40B4-BE49-F238E27FC236}">
                <a16:creationId xmlns:a16="http://schemas.microsoft.com/office/drawing/2014/main" id="{00000000-0008-0000-0200-0000FB110000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4" name="$E$112">
            <a:extLst>
              <a:ext uri="{FF2B5EF4-FFF2-40B4-BE49-F238E27FC236}">
                <a16:creationId xmlns:a16="http://schemas.microsoft.com/office/drawing/2014/main" id="{00000000-0008-0000-0200-0000FC1100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5" name="$E$112">
            <a:extLst>
              <a:ext uri="{FF2B5EF4-FFF2-40B4-BE49-F238E27FC236}">
                <a16:creationId xmlns:a16="http://schemas.microsoft.com/office/drawing/2014/main" id="{00000000-0008-0000-0200-0000FD110000}"/>
              </a:ext>
            </a:extLst>
          </xdr:cNvPr>
          <xdr:cNvSpPr/>
        </xdr:nvSpPr>
        <xdr:spPr>
          <a:xfrm>
            <a:off x="241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6" name="$E$112">
            <a:extLst>
              <a:ext uri="{FF2B5EF4-FFF2-40B4-BE49-F238E27FC236}">
                <a16:creationId xmlns:a16="http://schemas.microsoft.com/office/drawing/2014/main" id="{00000000-0008-0000-0200-0000FE110000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7" name="$E$112">
            <a:extLst>
              <a:ext uri="{FF2B5EF4-FFF2-40B4-BE49-F238E27FC236}">
                <a16:creationId xmlns:a16="http://schemas.microsoft.com/office/drawing/2014/main" id="{00000000-0008-0000-0200-0000FF110000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8" name="$E$112">
            <a:extLst>
              <a:ext uri="{FF2B5EF4-FFF2-40B4-BE49-F238E27FC236}">
                <a16:creationId xmlns:a16="http://schemas.microsoft.com/office/drawing/2014/main" id="{00000000-0008-0000-0200-000000120000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9" name="$E$112">
            <a:extLst>
              <a:ext uri="{FF2B5EF4-FFF2-40B4-BE49-F238E27FC236}">
                <a16:creationId xmlns:a16="http://schemas.microsoft.com/office/drawing/2014/main" id="{00000000-0008-0000-0200-0000011200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0" name="$E$112">
            <a:extLst>
              <a:ext uri="{FF2B5EF4-FFF2-40B4-BE49-F238E27FC236}">
                <a16:creationId xmlns:a16="http://schemas.microsoft.com/office/drawing/2014/main" id="{00000000-0008-0000-0200-000002120000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1" name="$E$112">
            <a:extLst>
              <a:ext uri="{FF2B5EF4-FFF2-40B4-BE49-F238E27FC236}">
                <a16:creationId xmlns:a16="http://schemas.microsoft.com/office/drawing/2014/main" id="{00000000-0008-0000-0200-000003120000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2" name="$E$112">
            <a:extLst>
              <a:ext uri="{FF2B5EF4-FFF2-40B4-BE49-F238E27FC236}">
                <a16:creationId xmlns:a16="http://schemas.microsoft.com/office/drawing/2014/main" id="{00000000-0008-0000-0200-0000041200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3" name="$E$112">
            <a:extLst>
              <a:ext uri="{FF2B5EF4-FFF2-40B4-BE49-F238E27FC236}">
                <a16:creationId xmlns:a16="http://schemas.microsoft.com/office/drawing/2014/main" id="{00000000-0008-0000-0200-000005120000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4" name="$E$112">
            <a:extLst>
              <a:ext uri="{FF2B5EF4-FFF2-40B4-BE49-F238E27FC236}">
                <a16:creationId xmlns:a16="http://schemas.microsoft.com/office/drawing/2014/main" id="{00000000-0008-0000-0200-0000061200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5" name="$E$112">
            <a:extLst>
              <a:ext uri="{FF2B5EF4-FFF2-40B4-BE49-F238E27FC236}">
                <a16:creationId xmlns:a16="http://schemas.microsoft.com/office/drawing/2014/main" id="{00000000-0008-0000-0200-000007120000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6" name="$E$112">
            <a:extLst>
              <a:ext uri="{FF2B5EF4-FFF2-40B4-BE49-F238E27FC236}">
                <a16:creationId xmlns:a16="http://schemas.microsoft.com/office/drawing/2014/main" id="{00000000-0008-0000-0200-0000081200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7" name="$E$112">
            <a:extLst>
              <a:ext uri="{FF2B5EF4-FFF2-40B4-BE49-F238E27FC236}">
                <a16:creationId xmlns:a16="http://schemas.microsoft.com/office/drawing/2014/main" id="{00000000-0008-0000-0200-0000091200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8" name="$E$112">
            <a:extLst>
              <a:ext uri="{FF2B5EF4-FFF2-40B4-BE49-F238E27FC236}">
                <a16:creationId xmlns:a16="http://schemas.microsoft.com/office/drawing/2014/main" id="{00000000-0008-0000-0200-00000A120000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9" name="$E$112">
            <a:extLst>
              <a:ext uri="{FF2B5EF4-FFF2-40B4-BE49-F238E27FC236}">
                <a16:creationId xmlns:a16="http://schemas.microsoft.com/office/drawing/2014/main" id="{00000000-0008-0000-0200-00000B120000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0" name="$E$112">
            <a:extLst>
              <a:ext uri="{FF2B5EF4-FFF2-40B4-BE49-F238E27FC236}">
                <a16:creationId xmlns:a16="http://schemas.microsoft.com/office/drawing/2014/main" id="{00000000-0008-0000-0200-00000C120000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1" name="$E$112">
            <a:extLst>
              <a:ext uri="{FF2B5EF4-FFF2-40B4-BE49-F238E27FC236}">
                <a16:creationId xmlns:a16="http://schemas.microsoft.com/office/drawing/2014/main" id="{00000000-0008-0000-0200-00000D1200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2" name="$E$112">
            <a:extLst>
              <a:ext uri="{FF2B5EF4-FFF2-40B4-BE49-F238E27FC236}">
                <a16:creationId xmlns:a16="http://schemas.microsoft.com/office/drawing/2014/main" id="{00000000-0008-0000-0200-00000E1200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3" name="$E$112">
            <a:extLst>
              <a:ext uri="{FF2B5EF4-FFF2-40B4-BE49-F238E27FC236}">
                <a16:creationId xmlns:a16="http://schemas.microsoft.com/office/drawing/2014/main" id="{00000000-0008-0000-0200-00000F12000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4" name="$E$112">
            <a:extLst>
              <a:ext uri="{FF2B5EF4-FFF2-40B4-BE49-F238E27FC236}">
                <a16:creationId xmlns:a16="http://schemas.microsoft.com/office/drawing/2014/main" id="{00000000-0008-0000-0200-000010120000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5" name="$E$112">
            <a:extLst>
              <a:ext uri="{FF2B5EF4-FFF2-40B4-BE49-F238E27FC236}">
                <a16:creationId xmlns:a16="http://schemas.microsoft.com/office/drawing/2014/main" id="{00000000-0008-0000-0200-0000111200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6" name="$E$112">
            <a:extLst>
              <a:ext uri="{FF2B5EF4-FFF2-40B4-BE49-F238E27FC236}">
                <a16:creationId xmlns:a16="http://schemas.microsoft.com/office/drawing/2014/main" id="{00000000-0008-0000-0200-000012120000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7" name="$E$112">
            <a:extLst>
              <a:ext uri="{FF2B5EF4-FFF2-40B4-BE49-F238E27FC236}">
                <a16:creationId xmlns:a16="http://schemas.microsoft.com/office/drawing/2014/main" id="{00000000-0008-0000-0200-000013120000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8" name="$E$112">
            <a:extLst>
              <a:ext uri="{FF2B5EF4-FFF2-40B4-BE49-F238E27FC236}">
                <a16:creationId xmlns:a16="http://schemas.microsoft.com/office/drawing/2014/main" id="{00000000-0008-0000-0200-000014120000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9" name="$E$112">
            <a:extLst>
              <a:ext uri="{FF2B5EF4-FFF2-40B4-BE49-F238E27FC236}">
                <a16:creationId xmlns:a16="http://schemas.microsoft.com/office/drawing/2014/main" id="{00000000-0008-0000-0200-000015120000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0" name="$E$112">
            <a:extLst>
              <a:ext uri="{FF2B5EF4-FFF2-40B4-BE49-F238E27FC236}">
                <a16:creationId xmlns:a16="http://schemas.microsoft.com/office/drawing/2014/main" id="{00000000-0008-0000-0200-000016120000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1" name="$E$112">
            <a:extLst>
              <a:ext uri="{FF2B5EF4-FFF2-40B4-BE49-F238E27FC236}">
                <a16:creationId xmlns:a16="http://schemas.microsoft.com/office/drawing/2014/main" id="{00000000-0008-0000-0200-000017120000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2" name="$E$112">
            <a:extLst>
              <a:ext uri="{FF2B5EF4-FFF2-40B4-BE49-F238E27FC236}">
                <a16:creationId xmlns:a16="http://schemas.microsoft.com/office/drawing/2014/main" id="{00000000-0008-0000-0200-0000181200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3" name="$E$112">
            <a:extLst>
              <a:ext uri="{FF2B5EF4-FFF2-40B4-BE49-F238E27FC236}">
                <a16:creationId xmlns:a16="http://schemas.microsoft.com/office/drawing/2014/main" id="{00000000-0008-0000-0200-000019120000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4" name="$E$112">
            <a:extLst>
              <a:ext uri="{FF2B5EF4-FFF2-40B4-BE49-F238E27FC236}">
                <a16:creationId xmlns:a16="http://schemas.microsoft.com/office/drawing/2014/main" id="{00000000-0008-0000-0200-00001A12000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5" name="$E$112">
            <a:extLst>
              <a:ext uri="{FF2B5EF4-FFF2-40B4-BE49-F238E27FC236}">
                <a16:creationId xmlns:a16="http://schemas.microsoft.com/office/drawing/2014/main" id="{00000000-0008-0000-0200-00001B120000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6" name="$E$112">
            <a:extLst>
              <a:ext uri="{FF2B5EF4-FFF2-40B4-BE49-F238E27FC236}">
                <a16:creationId xmlns:a16="http://schemas.microsoft.com/office/drawing/2014/main" id="{00000000-0008-0000-0200-00001C12000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7" name="$E$112">
            <a:extLst>
              <a:ext uri="{FF2B5EF4-FFF2-40B4-BE49-F238E27FC236}">
                <a16:creationId xmlns:a16="http://schemas.microsoft.com/office/drawing/2014/main" id="{00000000-0008-0000-0200-00001D1200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8" name="$E$112">
            <a:extLst>
              <a:ext uri="{FF2B5EF4-FFF2-40B4-BE49-F238E27FC236}">
                <a16:creationId xmlns:a16="http://schemas.microsoft.com/office/drawing/2014/main" id="{00000000-0008-0000-0200-00001E120000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9" name="$E$112">
            <a:extLst>
              <a:ext uri="{FF2B5EF4-FFF2-40B4-BE49-F238E27FC236}">
                <a16:creationId xmlns:a16="http://schemas.microsoft.com/office/drawing/2014/main" id="{00000000-0008-0000-0200-00001F1200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0" name="$E$112">
            <a:extLst>
              <a:ext uri="{FF2B5EF4-FFF2-40B4-BE49-F238E27FC236}">
                <a16:creationId xmlns:a16="http://schemas.microsoft.com/office/drawing/2014/main" id="{00000000-0008-0000-0200-000020120000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1" name="$E$112">
            <a:extLst>
              <a:ext uri="{FF2B5EF4-FFF2-40B4-BE49-F238E27FC236}">
                <a16:creationId xmlns:a16="http://schemas.microsoft.com/office/drawing/2014/main" id="{00000000-0008-0000-0200-0000211200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2" name="$E$112">
            <a:extLst>
              <a:ext uri="{FF2B5EF4-FFF2-40B4-BE49-F238E27FC236}">
                <a16:creationId xmlns:a16="http://schemas.microsoft.com/office/drawing/2014/main" id="{00000000-0008-0000-0200-000022120000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3" name="$E$112">
            <a:extLst>
              <a:ext uri="{FF2B5EF4-FFF2-40B4-BE49-F238E27FC236}">
                <a16:creationId xmlns:a16="http://schemas.microsoft.com/office/drawing/2014/main" id="{00000000-0008-0000-0200-0000231200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4" name="$E$112">
            <a:extLst>
              <a:ext uri="{FF2B5EF4-FFF2-40B4-BE49-F238E27FC236}">
                <a16:creationId xmlns:a16="http://schemas.microsoft.com/office/drawing/2014/main" id="{00000000-0008-0000-0200-0000241200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5" name="$E$112">
            <a:extLst>
              <a:ext uri="{FF2B5EF4-FFF2-40B4-BE49-F238E27FC236}">
                <a16:creationId xmlns:a16="http://schemas.microsoft.com/office/drawing/2014/main" id="{00000000-0008-0000-0200-000025120000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6" name="$E$112">
            <a:extLst>
              <a:ext uri="{FF2B5EF4-FFF2-40B4-BE49-F238E27FC236}">
                <a16:creationId xmlns:a16="http://schemas.microsoft.com/office/drawing/2014/main" id="{00000000-0008-0000-0200-000026120000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7" name="$E$112">
            <a:extLst>
              <a:ext uri="{FF2B5EF4-FFF2-40B4-BE49-F238E27FC236}">
                <a16:creationId xmlns:a16="http://schemas.microsoft.com/office/drawing/2014/main" id="{00000000-0008-0000-0200-000027120000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8" name="$E$112">
            <a:extLst>
              <a:ext uri="{FF2B5EF4-FFF2-40B4-BE49-F238E27FC236}">
                <a16:creationId xmlns:a16="http://schemas.microsoft.com/office/drawing/2014/main" id="{00000000-0008-0000-0200-000028120000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9" name="$E$112">
            <a:extLst>
              <a:ext uri="{FF2B5EF4-FFF2-40B4-BE49-F238E27FC236}">
                <a16:creationId xmlns:a16="http://schemas.microsoft.com/office/drawing/2014/main" id="{00000000-0008-0000-0200-0000291200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0" name="$E$112">
            <a:extLst>
              <a:ext uri="{FF2B5EF4-FFF2-40B4-BE49-F238E27FC236}">
                <a16:creationId xmlns:a16="http://schemas.microsoft.com/office/drawing/2014/main" id="{00000000-0008-0000-0200-00002A1200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1" name="$E$112">
            <a:extLst>
              <a:ext uri="{FF2B5EF4-FFF2-40B4-BE49-F238E27FC236}">
                <a16:creationId xmlns:a16="http://schemas.microsoft.com/office/drawing/2014/main" id="{00000000-0008-0000-0200-00002B1200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2" name="$E$112">
            <a:extLst>
              <a:ext uri="{FF2B5EF4-FFF2-40B4-BE49-F238E27FC236}">
                <a16:creationId xmlns:a16="http://schemas.microsoft.com/office/drawing/2014/main" id="{00000000-0008-0000-0200-00002C1200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3" name="$E$112">
            <a:extLst>
              <a:ext uri="{FF2B5EF4-FFF2-40B4-BE49-F238E27FC236}">
                <a16:creationId xmlns:a16="http://schemas.microsoft.com/office/drawing/2014/main" id="{00000000-0008-0000-0200-00002D1200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4" name="$E$112">
            <a:extLst>
              <a:ext uri="{FF2B5EF4-FFF2-40B4-BE49-F238E27FC236}">
                <a16:creationId xmlns:a16="http://schemas.microsoft.com/office/drawing/2014/main" id="{00000000-0008-0000-0200-00002E1200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5" name="$E$112">
            <a:extLst>
              <a:ext uri="{FF2B5EF4-FFF2-40B4-BE49-F238E27FC236}">
                <a16:creationId xmlns:a16="http://schemas.microsoft.com/office/drawing/2014/main" id="{00000000-0008-0000-0200-00002F1200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6" name="$E$112">
            <a:extLst>
              <a:ext uri="{FF2B5EF4-FFF2-40B4-BE49-F238E27FC236}">
                <a16:creationId xmlns:a16="http://schemas.microsoft.com/office/drawing/2014/main" id="{00000000-0008-0000-0200-000030120000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7" name="$E$112">
            <a:extLst>
              <a:ext uri="{FF2B5EF4-FFF2-40B4-BE49-F238E27FC236}">
                <a16:creationId xmlns:a16="http://schemas.microsoft.com/office/drawing/2014/main" id="{00000000-0008-0000-0200-000031120000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8" name="$E$112">
            <a:extLst>
              <a:ext uri="{FF2B5EF4-FFF2-40B4-BE49-F238E27FC236}">
                <a16:creationId xmlns:a16="http://schemas.microsoft.com/office/drawing/2014/main" id="{00000000-0008-0000-0200-0000321200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9" name="$E$112">
            <a:extLst>
              <a:ext uri="{FF2B5EF4-FFF2-40B4-BE49-F238E27FC236}">
                <a16:creationId xmlns:a16="http://schemas.microsoft.com/office/drawing/2014/main" id="{00000000-0008-0000-0200-0000331200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0" name="$E$112">
            <a:extLst>
              <a:ext uri="{FF2B5EF4-FFF2-40B4-BE49-F238E27FC236}">
                <a16:creationId xmlns:a16="http://schemas.microsoft.com/office/drawing/2014/main" id="{00000000-0008-0000-0200-0000341200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1" name="$E$112">
            <a:extLst>
              <a:ext uri="{FF2B5EF4-FFF2-40B4-BE49-F238E27FC236}">
                <a16:creationId xmlns:a16="http://schemas.microsoft.com/office/drawing/2014/main" id="{00000000-0008-0000-0200-000035120000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2" name="$E$112">
            <a:extLst>
              <a:ext uri="{FF2B5EF4-FFF2-40B4-BE49-F238E27FC236}">
                <a16:creationId xmlns:a16="http://schemas.microsoft.com/office/drawing/2014/main" id="{00000000-0008-0000-0200-000036120000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3" name="$E$112">
            <a:extLst>
              <a:ext uri="{FF2B5EF4-FFF2-40B4-BE49-F238E27FC236}">
                <a16:creationId xmlns:a16="http://schemas.microsoft.com/office/drawing/2014/main" id="{00000000-0008-0000-0200-000037120000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4" name="$E$112">
            <a:extLst>
              <a:ext uri="{FF2B5EF4-FFF2-40B4-BE49-F238E27FC236}">
                <a16:creationId xmlns:a16="http://schemas.microsoft.com/office/drawing/2014/main" id="{00000000-0008-0000-0200-0000381200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5" name="$E$112">
            <a:extLst>
              <a:ext uri="{FF2B5EF4-FFF2-40B4-BE49-F238E27FC236}">
                <a16:creationId xmlns:a16="http://schemas.microsoft.com/office/drawing/2014/main" id="{00000000-0008-0000-0200-000039120000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6" name="$E$112">
            <a:extLst>
              <a:ext uri="{FF2B5EF4-FFF2-40B4-BE49-F238E27FC236}">
                <a16:creationId xmlns:a16="http://schemas.microsoft.com/office/drawing/2014/main" id="{00000000-0008-0000-0200-00003A120000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7" name="$E$112">
            <a:extLst>
              <a:ext uri="{FF2B5EF4-FFF2-40B4-BE49-F238E27FC236}">
                <a16:creationId xmlns:a16="http://schemas.microsoft.com/office/drawing/2014/main" id="{00000000-0008-0000-0200-00003B1200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8" name="$E$112">
            <a:extLst>
              <a:ext uri="{FF2B5EF4-FFF2-40B4-BE49-F238E27FC236}">
                <a16:creationId xmlns:a16="http://schemas.microsoft.com/office/drawing/2014/main" id="{00000000-0008-0000-0200-00003C120000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9" name="$E$112">
            <a:extLst>
              <a:ext uri="{FF2B5EF4-FFF2-40B4-BE49-F238E27FC236}">
                <a16:creationId xmlns:a16="http://schemas.microsoft.com/office/drawing/2014/main" id="{00000000-0008-0000-0200-00003D1200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0" name="$E$112">
            <a:extLst>
              <a:ext uri="{FF2B5EF4-FFF2-40B4-BE49-F238E27FC236}">
                <a16:creationId xmlns:a16="http://schemas.microsoft.com/office/drawing/2014/main" id="{00000000-0008-0000-0200-00003E120000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1" name="$E$112">
            <a:extLst>
              <a:ext uri="{FF2B5EF4-FFF2-40B4-BE49-F238E27FC236}">
                <a16:creationId xmlns:a16="http://schemas.microsoft.com/office/drawing/2014/main" id="{00000000-0008-0000-0200-00003F1200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2" name="$E$112">
            <a:extLst>
              <a:ext uri="{FF2B5EF4-FFF2-40B4-BE49-F238E27FC236}">
                <a16:creationId xmlns:a16="http://schemas.microsoft.com/office/drawing/2014/main" id="{00000000-0008-0000-0200-000040120000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3" name="$E$112">
            <a:extLst>
              <a:ext uri="{FF2B5EF4-FFF2-40B4-BE49-F238E27FC236}">
                <a16:creationId xmlns:a16="http://schemas.microsoft.com/office/drawing/2014/main" id="{00000000-0008-0000-0200-000041120000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4" name="$E$112">
            <a:extLst>
              <a:ext uri="{FF2B5EF4-FFF2-40B4-BE49-F238E27FC236}">
                <a16:creationId xmlns:a16="http://schemas.microsoft.com/office/drawing/2014/main" id="{00000000-0008-0000-0200-0000421200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5" name="$E$112">
            <a:extLst>
              <a:ext uri="{FF2B5EF4-FFF2-40B4-BE49-F238E27FC236}">
                <a16:creationId xmlns:a16="http://schemas.microsoft.com/office/drawing/2014/main" id="{00000000-0008-0000-0200-0000431200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6" name="$E$112">
            <a:extLst>
              <a:ext uri="{FF2B5EF4-FFF2-40B4-BE49-F238E27FC236}">
                <a16:creationId xmlns:a16="http://schemas.microsoft.com/office/drawing/2014/main" id="{00000000-0008-0000-0200-000044120000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7" name="$E$112">
            <a:extLst>
              <a:ext uri="{FF2B5EF4-FFF2-40B4-BE49-F238E27FC236}">
                <a16:creationId xmlns:a16="http://schemas.microsoft.com/office/drawing/2014/main" id="{00000000-0008-0000-0200-000045120000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8" name="$E$112">
            <a:extLst>
              <a:ext uri="{FF2B5EF4-FFF2-40B4-BE49-F238E27FC236}">
                <a16:creationId xmlns:a16="http://schemas.microsoft.com/office/drawing/2014/main" id="{00000000-0008-0000-0200-0000461200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9" name="$E$112">
            <a:extLst>
              <a:ext uri="{FF2B5EF4-FFF2-40B4-BE49-F238E27FC236}">
                <a16:creationId xmlns:a16="http://schemas.microsoft.com/office/drawing/2014/main" id="{00000000-0008-0000-0200-000047120000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0" name="$E$112">
            <a:extLst>
              <a:ext uri="{FF2B5EF4-FFF2-40B4-BE49-F238E27FC236}">
                <a16:creationId xmlns:a16="http://schemas.microsoft.com/office/drawing/2014/main" id="{00000000-0008-0000-0200-000048120000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1" name="$E$112">
            <a:extLst>
              <a:ext uri="{FF2B5EF4-FFF2-40B4-BE49-F238E27FC236}">
                <a16:creationId xmlns:a16="http://schemas.microsoft.com/office/drawing/2014/main" id="{00000000-0008-0000-0200-0000491200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2" name="$E$112">
            <a:extLst>
              <a:ext uri="{FF2B5EF4-FFF2-40B4-BE49-F238E27FC236}">
                <a16:creationId xmlns:a16="http://schemas.microsoft.com/office/drawing/2014/main" id="{00000000-0008-0000-0200-00004A1200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3" name="$E$112">
            <a:extLst>
              <a:ext uri="{FF2B5EF4-FFF2-40B4-BE49-F238E27FC236}">
                <a16:creationId xmlns:a16="http://schemas.microsoft.com/office/drawing/2014/main" id="{00000000-0008-0000-0200-00004B1200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4" name="$E$112">
            <a:extLst>
              <a:ext uri="{FF2B5EF4-FFF2-40B4-BE49-F238E27FC236}">
                <a16:creationId xmlns:a16="http://schemas.microsoft.com/office/drawing/2014/main" id="{00000000-0008-0000-0200-00004C120000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5" name="$E$112">
            <a:extLst>
              <a:ext uri="{FF2B5EF4-FFF2-40B4-BE49-F238E27FC236}">
                <a16:creationId xmlns:a16="http://schemas.microsoft.com/office/drawing/2014/main" id="{00000000-0008-0000-0200-00004D120000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6" name="$E$112">
            <a:extLst>
              <a:ext uri="{FF2B5EF4-FFF2-40B4-BE49-F238E27FC236}">
                <a16:creationId xmlns:a16="http://schemas.microsoft.com/office/drawing/2014/main" id="{00000000-0008-0000-0200-00004E1200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7" name="$E$112">
            <a:extLst>
              <a:ext uri="{FF2B5EF4-FFF2-40B4-BE49-F238E27FC236}">
                <a16:creationId xmlns:a16="http://schemas.microsoft.com/office/drawing/2014/main" id="{00000000-0008-0000-0200-00004F120000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8" name="$E$112">
            <a:extLst>
              <a:ext uri="{FF2B5EF4-FFF2-40B4-BE49-F238E27FC236}">
                <a16:creationId xmlns:a16="http://schemas.microsoft.com/office/drawing/2014/main" id="{00000000-0008-0000-0200-000050120000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9" name="$E$112">
            <a:extLst>
              <a:ext uri="{FF2B5EF4-FFF2-40B4-BE49-F238E27FC236}">
                <a16:creationId xmlns:a16="http://schemas.microsoft.com/office/drawing/2014/main" id="{00000000-0008-0000-0200-000051120000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0" name="$E$112">
            <a:extLst>
              <a:ext uri="{FF2B5EF4-FFF2-40B4-BE49-F238E27FC236}">
                <a16:creationId xmlns:a16="http://schemas.microsoft.com/office/drawing/2014/main" id="{00000000-0008-0000-0200-000052120000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1" name="$E$112">
            <a:extLst>
              <a:ext uri="{FF2B5EF4-FFF2-40B4-BE49-F238E27FC236}">
                <a16:creationId xmlns:a16="http://schemas.microsoft.com/office/drawing/2014/main" id="{00000000-0008-0000-0200-000053120000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2" name="$E$112">
            <a:extLst>
              <a:ext uri="{FF2B5EF4-FFF2-40B4-BE49-F238E27FC236}">
                <a16:creationId xmlns:a16="http://schemas.microsoft.com/office/drawing/2014/main" id="{00000000-0008-0000-0200-000054120000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3" name="$E$112">
            <a:extLst>
              <a:ext uri="{FF2B5EF4-FFF2-40B4-BE49-F238E27FC236}">
                <a16:creationId xmlns:a16="http://schemas.microsoft.com/office/drawing/2014/main" id="{00000000-0008-0000-0200-000055120000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4" name="$E$112">
            <a:extLst>
              <a:ext uri="{FF2B5EF4-FFF2-40B4-BE49-F238E27FC236}">
                <a16:creationId xmlns:a16="http://schemas.microsoft.com/office/drawing/2014/main" id="{00000000-0008-0000-0200-0000561200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5" name="$E$112">
            <a:extLst>
              <a:ext uri="{FF2B5EF4-FFF2-40B4-BE49-F238E27FC236}">
                <a16:creationId xmlns:a16="http://schemas.microsoft.com/office/drawing/2014/main" id="{00000000-0008-0000-0200-000057120000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6" name="$E$112">
            <a:extLst>
              <a:ext uri="{FF2B5EF4-FFF2-40B4-BE49-F238E27FC236}">
                <a16:creationId xmlns:a16="http://schemas.microsoft.com/office/drawing/2014/main" id="{00000000-0008-0000-0200-000058120000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7" name="$E$112">
            <a:extLst>
              <a:ext uri="{FF2B5EF4-FFF2-40B4-BE49-F238E27FC236}">
                <a16:creationId xmlns:a16="http://schemas.microsoft.com/office/drawing/2014/main" id="{00000000-0008-0000-0200-000059120000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8" name="$E$112">
            <a:extLst>
              <a:ext uri="{FF2B5EF4-FFF2-40B4-BE49-F238E27FC236}">
                <a16:creationId xmlns:a16="http://schemas.microsoft.com/office/drawing/2014/main" id="{00000000-0008-0000-0200-00005A120000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9" name="$E$112">
            <a:extLst>
              <a:ext uri="{FF2B5EF4-FFF2-40B4-BE49-F238E27FC236}">
                <a16:creationId xmlns:a16="http://schemas.microsoft.com/office/drawing/2014/main" id="{00000000-0008-0000-0200-00005B120000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0" name="$E$112">
            <a:extLst>
              <a:ext uri="{FF2B5EF4-FFF2-40B4-BE49-F238E27FC236}">
                <a16:creationId xmlns:a16="http://schemas.microsoft.com/office/drawing/2014/main" id="{00000000-0008-0000-0200-00005C1200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1" name="$E$112">
            <a:extLst>
              <a:ext uri="{FF2B5EF4-FFF2-40B4-BE49-F238E27FC236}">
                <a16:creationId xmlns:a16="http://schemas.microsoft.com/office/drawing/2014/main" id="{00000000-0008-0000-0200-00005D1200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2" name="$E$112">
            <a:extLst>
              <a:ext uri="{FF2B5EF4-FFF2-40B4-BE49-F238E27FC236}">
                <a16:creationId xmlns:a16="http://schemas.microsoft.com/office/drawing/2014/main" id="{00000000-0008-0000-0200-00005E1200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3" name="$E$112">
            <a:extLst>
              <a:ext uri="{FF2B5EF4-FFF2-40B4-BE49-F238E27FC236}">
                <a16:creationId xmlns:a16="http://schemas.microsoft.com/office/drawing/2014/main" id="{00000000-0008-0000-0200-00005F120000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4" name="$E$112">
            <a:extLst>
              <a:ext uri="{FF2B5EF4-FFF2-40B4-BE49-F238E27FC236}">
                <a16:creationId xmlns:a16="http://schemas.microsoft.com/office/drawing/2014/main" id="{00000000-0008-0000-0200-0000601200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5" name="$E$112">
            <a:extLst>
              <a:ext uri="{FF2B5EF4-FFF2-40B4-BE49-F238E27FC236}">
                <a16:creationId xmlns:a16="http://schemas.microsoft.com/office/drawing/2014/main" id="{00000000-0008-0000-0200-000061120000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6" name="$E$112">
            <a:extLst>
              <a:ext uri="{FF2B5EF4-FFF2-40B4-BE49-F238E27FC236}">
                <a16:creationId xmlns:a16="http://schemas.microsoft.com/office/drawing/2014/main" id="{00000000-0008-0000-0200-000062120000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7" name="$E$112">
            <a:extLst>
              <a:ext uri="{FF2B5EF4-FFF2-40B4-BE49-F238E27FC236}">
                <a16:creationId xmlns:a16="http://schemas.microsoft.com/office/drawing/2014/main" id="{00000000-0008-0000-0200-000063120000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8" name="$E$112">
            <a:extLst>
              <a:ext uri="{FF2B5EF4-FFF2-40B4-BE49-F238E27FC236}">
                <a16:creationId xmlns:a16="http://schemas.microsoft.com/office/drawing/2014/main" id="{00000000-0008-0000-0200-000064120000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9" name="$E$112">
            <a:extLst>
              <a:ext uri="{FF2B5EF4-FFF2-40B4-BE49-F238E27FC236}">
                <a16:creationId xmlns:a16="http://schemas.microsoft.com/office/drawing/2014/main" id="{00000000-0008-0000-0200-000065120000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0" name="$E$112">
            <a:extLst>
              <a:ext uri="{FF2B5EF4-FFF2-40B4-BE49-F238E27FC236}">
                <a16:creationId xmlns:a16="http://schemas.microsoft.com/office/drawing/2014/main" id="{00000000-0008-0000-0200-0000661200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1" name="$E$112">
            <a:extLst>
              <a:ext uri="{FF2B5EF4-FFF2-40B4-BE49-F238E27FC236}">
                <a16:creationId xmlns:a16="http://schemas.microsoft.com/office/drawing/2014/main" id="{00000000-0008-0000-0200-000067120000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2" name="$E$112">
            <a:extLst>
              <a:ext uri="{FF2B5EF4-FFF2-40B4-BE49-F238E27FC236}">
                <a16:creationId xmlns:a16="http://schemas.microsoft.com/office/drawing/2014/main" id="{00000000-0008-0000-0200-000068120000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3" name="$E$112">
            <a:extLst>
              <a:ext uri="{FF2B5EF4-FFF2-40B4-BE49-F238E27FC236}">
                <a16:creationId xmlns:a16="http://schemas.microsoft.com/office/drawing/2014/main" id="{00000000-0008-0000-0200-000069120000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4" name="$E$112">
            <a:extLst>
              <a:ext uri="{FF2B5EF4-FFF2-40B4-BE49-F238E27FC236}">
                <a16:creationId xmlns:a16="http://schemas.microsoft.com/office/drawing/2014/main" id="{00000000-0008-0000-0200-00006A1200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5" name="$E$112">
            <a:extLst>
              <a:ext uri="{FF2B5EF4-FFF2-40B4-BE49-F238E27FC236}">
                <a16:creationId xmlns:a16="http://schemas.microsoft.com/office/drawing/2014/main" id="{00000000-0008-0000-0200-00006B120000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6" name="$E$112">
            <a:extLst>
              <a:ext uri="{FF2B5EF4-FFF2-40B4-BE49-F238E27FC236}">
                <a16:creationId xmlns:a16="http://schemas.microsoft.com/office/drawing/2014/main" id="{00000000-0008-0000-0200-00006C120000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7" name="$E$112">
            <a:extLst>
              <a:ext uri="{FF2B5EF4-FFF2-40B4-BE49-F238E27FC236}">
                <a16:creationId xmlns:a16="http://schemas.microsoft.com/office/drawing/2014/main" id="{00000000-0008-0000-0200-00006D1200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8" name="$E$112">
            <a:extLst>
              <a:ext uri="{FF2B5EF4-FFF2-40B4-BE49-F238E27FC236}">
                <a16:creationId xmlns:a16="http://schemas.microsoft.com/office/drawing/2014/main" id="{00000000-0008-0000-0200-00006E1200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9" name="$E$112">
            <a:extLst>
              <a:ext uri="{FF2B5EF4-FFF2-40B4-BE49-F238E27FC236}">
                <a16:creationId xmlns:a16="http://schemas.microsoft.com/office/drawing/2014/main" id="{00000000-0008-0000-0200-00006F1200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0" name="$E$112">
            <a:extLst>
              <a:ext uri="{FF2B5EF4-FFF2-40B4-BE49-F238E27FC236}">
                <a16:creationId xmlns:a16="http://schemas.microsoft.com/office/drawing/2014/main" id="{00000000-0008-0000-0200-000070120000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1" name="$E$112">
            <a:extLst>
              <a:ext uri="{FF2B5EF4-FFF2-40B4-BE49-F238E27FC236}">
                <a16:creationId xmlns:a16="http://schemas.microsoft.com/office/drawing/2014/main" id="{00000000-0008-0000-0200-0000711200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2" name="$E$112">
            <a:extLst>
              <a:ext uri="{FF2B5EF4-FFF2-40B4-BE49-F238E27FC236}">
                <a16:creationId xmlns:a16="http://schemas.microsoft.com/office/drawing/2014/main" id="{00000000-0008-0000-0200-000072120000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3" name="$E$112">
            <a:extLst>
              <a:ext uri="{FF2B5EF4-FFF2-40B4-BE49-F238E27FC236}">
                <a16:creationId xmlns:a16="http://schemas.microsoft.com/office/drawing/2014/main" id="{00000000-0008-0000-0200-0000731200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4" name="$E$112">
            <a:extLst>
              <a:ext uri="{FF2B5EF4-FFF2-40B4-BE49-F238E27FC236}">
                <a16:creationId xmlns:a16="http://schemas.microsoft.com/office/drawing/2014/main" id="{00000000-0008-0000-0200-000074120000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5" name="$E$112">
            <a:extLst>
              <a:ext uri="{FF2B5EF4-FFF2-40B4-BE49-F238E27FC236}">
                <a16:creationId xmlns:a16="http://schemas.microsoft.com/office/drawing/2014/main" id="{00000000-0008-0000-0200-000075120000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6" name="$E$112">
            <a:extLst>
              <a:ext uri="{FF2B5EF4-FFF2-40B4-BE49-F238E27FC236}">
                <a16:creationId xmlns:a16="http://schemas.microsoft.com/office/drawing/2014/main" id="{00000000-0008-0000-0200-000076120000}"/>
              </a:ext>
            </a:extLst>
          </xdr:cNvPr>
          <xdr:cNvSpPr/>
        </xdr:nvSpPr>
        <xdr:spPr>
          <a:xfrm>
            <a:off x="12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7" name="$E$112">
            <a:extLst>
              <a:ext uri="{FF2B5EF4-FFF2-40B4-BE49-F238E27FC236}">
                <a16:creationId xmlns:a16="http://schemas.microsoft.com/office/drawing/2014/main" id="{00000000-0008-0000-0200-0000771200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8" name="$E$112">
            <a:extLst>
              <a:ext uri="{FF2B5EF4-FFF2-40B4-BE49-F238E27FC236}">
                <a16:creationId xmlns:a16="http://schemas.microsoft.com/office/drawing/2014/main" id="{00000000-0008-0000-0200-0000781200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9" name="$E$112">
            <a:extLst>
              <a:ext uri="{FF2B5EF4-FFF2-40B4-BE49-F238E27FC236}">
                <a16:creationId xmlns:a16="http://schemas.microsoft.com/office/drawing/2014/main" id="{00000000-0008-0000-0200-0000791200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0" name="$E$112">
            <a:extLst>
              <a:ext uri="{FF2B5EF4-FFF2-40B4-BE49-F238E27FC236}">
                <a16:creationId xmlns:a16="http://schemas.microsoft.com/office/drawing/2014/main" id="{00000000-0008-0000-0200-00007A120000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1" name="$E$112">
            <a:extLst>
              <a:ext uri="{FF2B5EF4-FFF2-40B4-BE49-F238E27FC236}">
                <a16:creationId xmlns:a16="http://schemas.microsoft.com/office/drawing/2014/main" id="{00000000-0008-0000-0200-00007B1200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2" name="$E$112">
            <a:extLst>
              <a:ext uri="{FF2B5EF4-FFF2-40B4-BE49-F238E27FC236}">
                <a16:creationId xmlns:a16="http://schemas.microsoft.com/office/drawing/2014/main" id="{00000000-0008-0000-0200-00007C120000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3" name="$E$112">
            <a:extLst>
              <a:ext uri="{FF2B5EF4-FFF2-40B4-BE49-F238E27FC236}">
                <a16:creationId xmlns:a16="http://schemas.microsoft.com/office/drawing/2014/main" id="{00000000-0008-0000-0200-00007D120000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4" name="$E$112">
            <a:extLst>
              <a:ext uri="{FF2B5EF4-FFF2-40B4-BE49-F238E27FC236}">
                <a16:creationId xmlns:a16="http://schemas.microsoft.com/office/drawing/2014/main" id="{00000000-0008-0000-0200-00007E1200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5" name="$E$112">
            <a:extLst>
              <a:ext uri="{FF2B5EF4-FFF2-40B4-BE49-F238E27FC236}">
                <a16:creationId xmlns:a16="http://schemas.microsoft.com/office/drawing/2014/main" id="{00000000-0008-0000-0200-00007F1200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6" name="$E$112">
            <a:extLst>
              <a:ext uri="{FF2B5EF4-FFF2-40B4-BE49-F238E27FC236}">
                <a16:creationId xmlns:a16="http://schemas.microsoft.com/office/drawing/2014/main" id="{00000000-0008-0000-0200-000080120000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7" name="$E$112">
            <a:extLst>
              <a:ext uri="{FF2B5EF4-FFF2-40B4-BE49-F238E27FC236}">
                <a16:creationId xmlns:a16="http://schemas.microsoft.com/office/drawing/2014/main" id="{00000000-0008-0000-0200-000081120000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8" name="$E$112">
            <a:extLst>
              <a:ext uri="{FF2B5EF4-FFF2-40B4-BE49-F238E27FC236}">
                <a16:creationId xmlns:a16="http://schemas.microsoft.com/office/drawing/2014/main" id="{00000000-0008-0000-0200-0000821200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9" name="$E$112">
            <a:extLst>
              <a:ext uri="{FF2B5EF4-FFF2-40B4-BE49-F238E27FC236}">
                <a16:creationId xmlns:a16="http://schemas.microsoft.com/office/drawing/2014/main" id="{00000000-0008-0000-0200-000083120000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0" name="$E$112">
            <a:extLst>
              <a:ext uri="{FF2B5EF4-FFF2-40B4-BE49-F238E27FC236}">
                <a16:creationId xmlns:a16="http://schemas.microsoft.com/office/drawing/2014/main" id="{00000000-0008-0000-0200-000084120000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1" name="$E$112">
            <a:extLst>
              <a:ext uri="{FF2B5EF4-FFF2-40B4-BE49-F238E27FC236}">
                <a16:creationId xmlns:a16="http://schemas.microsoft.com/office/drawing/2014/main" id="{00000000-0008-0000-0200-000085120000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2" name="$E$112">
            <a:extLst>
              <a:ext uri="{FF2B5EF4-FFF2-40B4-BE49-F238E27FC236}">
                <a16:creationId xmlns:a16="http://schemas.microsoft.com/office/drawing/2014/main" id="{00000000-0008-0000-0200-0000861200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3" name="$E$112">
            <a:extLst>
              <a:ext uri="{FF2B5EF4-FFF2-40B4-BE49-F238E27FC236}">
                <a16:creationId xmlns:a16="http://schemas.microsoft.com/office/drawing/2014/main" id="{00000000-0008-0000-0200-0000871200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4" name="$E$112">
            <a:extLst>
              <a:ext uri="{FF2B5EF4-FFF2-40B4-BE49-F238E27FC236}">
                <a16:creationId xmlns:a16="http://schemas.microsoft.com/office/drawing/2014/main" id="{00000000-0008-0000-0200-0000881200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5" name="$E$112">
            <a:extLst>
              <a:ext uri="{FF2B5EF4-FFF2-40B4-BE49-F238E27FC236}">
                <a16:creationId xmlns:a16="http://schemas.microsoft.com/office/drawing/2014/main" id="{00000000-0008-0000-0200-000089120000}"/>
              </a:ext>
            </a:extLst>
          </xdr:cNvPr>
          <xdr:cNvSpPr/>
        </xdr:nvSpPr>
        <xdr:spPr>
          <a:xfrm>
            <a:off x="88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6" name="$E$112">
            <a:extLst>
              <a:ext uri="{FF2B5EF4-FFF2-40B4-BE49-F238E27FC236}">
                <a16:creationId xmlns:a16="http://schemas.microsoft.com/office/drawing/2014/main" id="{00000000-0008-0000-0200-00008A120000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7" name="$E$112">
            <a:extLst>
              <a:ext uri="{FF2B5EF4-FFF2-40B4-BE49-F238E27FC236}">
                <a16:creationId xmlns:a16="http://schemas.microsoft.com/office/drawing/2014/main" id="{00000000-0008-0000-0200-00008B120000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8" name="$E$112">
            <a:extLst>
              <a:ext uri="{FF2B5EF4-FFF2-40B4-BE49-F238E27FC236}">
                <a16:creationId xmlns:a16="http://schemas.microsoft.com/office/drawing/2014/main" id="{00000000-0008-0000-0200-00008C1200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9" name="$E$112">
            <a:extLst>
              <a:ext uri="{FF2B5EF4-FFF2-40B4-BE49-F238E27FC236}">
                <a16:creationId xmlns:a16="http://schemas.microsoft.com/office/drawing/2014/main" id="{00000000-0008-0000-0200-00008D1200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0" name="$E$112">
            <a:extLst>
              <a:ext uri="{FF2B5EF4-FFF2-40B4-BE49-F238E27FC236}">
                <a16:creationId xmlns:a16="http://schemas.microsoft.com/office/drawing/2014/main" id="{00000000-0008-0000-0200-00008E1200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1" name="$E$112">
            <a:extLst>
              <a:ext uri="{FF2B5EF4-FFF2-40B4-BE49-F238E27FC236}">
                <a16:creationId xmlns:a16="http://schemas.microsoft.com/office/drawing/2014/main" id="{00000000-0008-0000-0200-00008F120000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2" name="$E$112">
            <a:extLst>
              <a:ext uri="{FF2B5EF4-FFF2-40B4-BE49-F238E27FC236}">
                <a16:creationId xmlns:a16="http://schemas.microsoft.com/office/drawing/2014/main" id="{00000000-0008-0000-0200-0000901200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3" name="$E$112">
            <a:extLst>
              <a:ext uri="{FF2B5EF4-FFF2-40B4-BE49-F238E27FC236}">
                <a16:creationId xmlns:a16="http://schemas.microsoft.com/office/drawing/2014/main" id="{00000000-0008-0000-0200-000091120000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4" name="$E$112">
            <a:extLst>
              <a:ext uri="{FF2B5EF4-FFF2-40B4-BE49-F238E27FC236}">
                <a16:creationId xmlns:a16="http://schemas.microsoft.com/office/drawing/2014/main" id="{00000000-0008-0000-0200-0000921200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5" name="$E$112">
            <a:extLst>
              <a:ext uri="{FF2B5EF4-FFF2-40B4-BE49-F238E27FC236}">
                <a16:creationId xmlns:a16="http://schemas.microsoft.com/office/drawing/2014/main" id="{00000000-0008-0000-0200-0000931200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6" name="$E$112">
            <a:extLst>
              <a:ext uri="{FF2B5EF4-FFF2-40B4-BE49-F238E27FC236}">
                <a16:creationId xmlns:a16="http://schemas.microsoft.com/office/drawing/2014/main" id="{00000000-0008-0000-0200-0000941200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7" name="$E$112">
            <a:extLst>
              <a:ext uri="{FF2B5EF4-FFF2-40B4-BE49-F238E27FC236}">
                <a16:creationId xmlns:a16="http://schemas.microsoft.com/office/drawing/2014/main" id="{00000000-0008-0000-0200-000095120000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8" name="$E$112">
            <a:extLst>
              <a:ext uri="{FF2B5EF4-FFF2-40B4-BE49-F238E27FC236}">
                <a16:creationId xmlns:a16="http://schemas.microsoft.com/office/drawing/2014/main" id="{00000000-0008-0000-0200-000096120000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9" name="$E$112">
            <a:extLst>
              <a:ext uri="{FF2B5EF4-FFF2-40B4-BE49-F238E27FC236}">
                <a16:creationId xmlns:a16="http://schemas.microsoft.com/office/drawing/2014/main" id="{00000000-0008-0000-0200-000097120000}"/>
              </a:ext>
            </a:extLst>
          </xdr:cNvPr>
          <xdr:cNvSpPr/>
        </xdr:nvSpPr>
        <xdr:spPr>
          <a:xfrm>
            <a:off x="12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0" name="$E$112">
            <a:extLst>
              <a:ext uri="{FF2B5EF4-FFF2-40B4-BE49-F238E27FC236}">
                <a16:creationId xmlns:a16="http://schemas.microsoft.com/office/drawing/2014/main" id="{00000000-0008-0000-0200-0000981200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1" name="$E$112">
            <a:extLst>
              <a:ext uri="{FF2B5EF4-FFF2-40B4-BE49-F238E27FC236}">
                <a16:creationId xmlns:a16="http://schemas.microsoft.com/office/drawing/2014/main" id="{00000000-0008-0000-0200-0000991200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2" name="$E$112">
            <a:extLst>
              <a:ext uri="{FF2B5EF4-FFF2-40B4-BE49-F238E27FC236}">
                <a16:creationId xmlns:a16="http://schemas.microsoft.com/office/drawing/2014/main" id="{00000000-0008-0000-0200-00009A1200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3" name="$E$112">
            <a:extLst>
              <a:ext uri="{FF2B5EF4-FFF2-40B4-BE49-F238E27FC236}">
                <a16:creationId xmlns:a16="http://schemas.microsoft.com/office/drawing/2014/main" id="{00000000-0008-0000-0200-00009B1200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4" name="$E$112">
            <a:extLst>
              <a:ext uri="{FF2B5EF4-FFF2-40B4-BE49-F238E27FC236}">
                <a16:creationId xmlns:a16="http://schemas.microsoft.com/office/drawing/2014/main" id="{00000000-0008-0000-0200-00009C120000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5" name="$E$112">
            <a:extLst>
              <a:ext uri="{FF2B5EF4-FFF2-40B4-BE49-F238E27FC236}">
                <a16:creationId xmlns:a16="http://schemas.microsoft.com/office/drawing/2014/main" id="{00000000-0008-0000-0200-00009D1200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6" name="$E$112">
            <a:extLst>
              <a:ext uri="{FF2B5EF4-FFF2-40B4-BE49-F238E27FC236}">
                <a16:creationId xmlns:a16="http://schemas.microsoft.com/office/drawing/2014/main" id="{00000000-0008-0000-0200-00009E1200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7" name="$E$112">
            <a:extLst>
              <a:ext uri="{FF2B5EF4-FFF2-40B4-BE49-F238E27FC236}">
                <a16:creationId xmlns:a16="http://schemas.microsoft.com/office/drawing/2014/main" id="{00000000-0008-0000-0200-00009F120000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8" name="$E$112">
            <a:extLst>
              <a:ext uri="{FF2B5EF4-FFF2-40B4-BE49-F238E27FC236}">
                <a16:creationId xmlns:a16="http://schemas.microsoft.com/office/drawing/2014/main" id="{00000000-0008-0000-0200-0000A01200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9" name="$E$112">
            <a:extLst>
              <a:ext uri="{FF2B5EF4-FFF2-40B4-BE49-F238E27FC236}">
                <a16:creationId xmlns:a16="http://schemas.microsoft.com/office/drawing/2014/main" id="{00000000-0008-0000-0200-0000A11200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0" name="$E$112">
            <a:extLst>
              <a:ext uri="{FF2B5EF4-FFF2-40B4-BE49-F238E27FC236}">
                <a16:creationId xmlns:a16="http://schemas.microsoft.com/office/drawing/2014/main" id="{00000000-0008-0000-0200-0000A21200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1" name="$E$112">
            <a:extLst>
              <a:ext uri="{FF2B5EF4-FFF2-40B4-BE49-F238E27FC236}">
                <a16:creationId xmlns:a16="http://schemas.microsoft.com/office/drawing/2014/main" id="{00000000-0008-0000-0200-0000A31200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2" name="$E$112">
            <a:extLst>
              <a:ext uri="{FF2B5EF4-FFF2-40B4-BE49-F238E27FC236}">
                <a16:creationId xmlns:a16="http://schemas.microsoft.com/office/drawing/2014/main" id="{00000000-0008-0000-0200-0000A4120000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3" name="$E$112">
            <a:extLst>
              <a:ext uri="{FF2B5EF4-FFF2-40B4-BE49-F238E27FC236}">
                <a16:creationId xmlns:a16="http://schemas.microsoft.com/office/drawing/2014/main" id="{00000000-0008-0000-0200-0000A51200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4" name="$E$112">
            <a:extLst>
              <a:ext uri="{FF2B5EF4-FFF2-40B4-BE49-F238E27FC236}">
                <a16:creationId xmlns:a16="http://schemas.microsoft.com/office/drawing/2014/main" id="{00000000-0008-0000-0200-0000A6120000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5" name="$E$112">
            <a:extLst>
              <a:ext uri="{FF2B5EF4-FFF2-40B4-BE49-F238E27FC236}">
                <a16:creationId xmlns:a16="http://schemas.microsoft.com/office/drawing/2014/main" id="{00000000-0008-0000-0200-0000A7120000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6" name="$E$112">
            <a:extLst>
              <a:ext uri="{FF2B5EF4-FFF2-40B4-BE49-F238E27FC236}">
                <a16:creationId xmlns:a16="http://schemas.microsoft.com/office/drawing/2014/main" id="{00000000-0008-0000-0200-0000A8120000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7" name="$E$112">
            <a:extLst>
              <a:ext uri="{FF2B5EF4-FFF2-40B4-BE49-F238E27FC236}">
                <a16:creationId xmlns:a16="http://schemas.microsoft.com/office/drawing/2014/main" id="{00000000-0008-0000-0200-0000A9120000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8" name="$E$112">
            <a:extLst>
              <a:ext uri="{FF2B5EF4-FFF2-40B4-BE49-F238E27FC236}">
                <a16:creationId xmlns:a16="http://schemas.microsoft.com/office/drawing/2014/main" id="{00000000-0008-0000-0200-0000AA1200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9" name="$E$112">
            <a:extLst>
              <a:ext uri="{FF2B5EF4-FFF2-40B4-BE49-F238E27FC236}">
                <a16:creationId xmlns:a16="http://schemas.microsoft.com/office/drawing/2014/main" id="{00000000-0008-0000-0200-0000AB1200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0" name="$E$112">
            <a:extLst>
              <a:ext uri="{FF2B5EF4-FFF2-40B4-BE49-F238E27FC236}">
                <a16:creationId xmlns:a16="http://schemas.microsoft.com/office/drawing/2014/main" id="{00000000-0008-0000-0200-0000AC120000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1" name="$E$112">
            <a:extLst>
              <a:ext uri="{FF2B5EF4-FFF2-40B4-BE49-F238E27FC236}">
                <a16:creationId xmlns:a16="http://schemas.microsoft.com/office/drawing/2014/main" id="{00000000-0008-0000-0200-0000AD120000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2" name="$E$112">
            <a:extLst>
              <a:ext uri="{FF2B5EF4-FFF2-40B4-BE49-F238E27FC236}">
                <a16:creationId xmlns:a16="http://schemas.microsoft.com/office/drawing/2014/main" id="{00000000-0008-0000-0200-0000AE1200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3" name="$E$112">
            <a:extLst>
              <a:ext uri="{FF2B5EF4-FFF2-40B4-BE49-F238E27FC236}">
                <a16:creationId xmlns:a16="http://schemas.microsoft.com/office/drawing/2014/main" id="{00000000-0008-0000-0200-0000AF1200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4" name="$E$112">
            <a:extLst>
              <a:ext uri="{FF2B5EF4-FFF2-40B4-BE49-F238E27FC236}">
                <a16:creationId xmlns:a16="http://schemas.microsoft.com/office/drawing/2014/main" id="{00000000-0008-0000-0200-0000B012000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5" name="$E$112">
            <a:extLst>
              <a:ext uri="{FF2B5EF4-FFF2-40B4-BE49-F238E27FC236}">
                <a16:creationId xmlns:a16="http://schemas.microsoft.com/office/drawing/2014/main" id="{00000000-0008-0000-0200-0000B1120000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6" name="$E$112">
            <a:extLst>
              <a:ext uri="{FF2B5EF4-FFF2-40B4-BE49-F238E27FC236}">
                <a16:creationId xmlns:a16="http://schemas.microsoft.com/office/drawing/2014/main" id="{00000000-0008-0000-0200-0000B2120000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7" name="$E$112">
            <a:extLst>
              <a:ext uri="{FF2B5EF4-FFF2-40B4-BE49-F238E27FC236}">
                <a16:creationId xmlns:a16="http://schemas.microsoft.com/office/drawing/2014/main" id="{00000000-0008-0000-0200-0000B31200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8" name="$E$112">
            <a:extLst>
              <a:ext uri="{FF2B5EF4-FFF2-40B4-BE49-F238E27FC236}">
                <a16:creationId xmlns:a16="http://schemas.microsoft.com/office/drawing/2014/main" id="{00000000-0008-0000-0200-0000B4120000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9" name="$E$112">
            <a:extLst>
              <a:ext uri="{FF2B5EF4-FFF2-40B4-BE49-F238E27FC236}">
                <a16:creationId xmlns:a16="http://schemas.microsoft.com/office/drawing/2014/main" id="{00000000-0008-0000-0200-0000B5120000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0" name="$E$112">
            <a:extLst>
              <a:ext uri="{FF2B5EF4-FFF2-40B4-BE49-F238E27FC236}">
                <a16:creationId xmlns:a16="http://schemas.microsoft.com/office/drawing/2014/main" id="{00000000-0008-0000-0200-0000B6120000}"/>
              </a:ext>
            </a:extLst>
          </xdr:cNvPr>
          <xdr:cNvSpPr/>
        </xdr:nvSpPr>
        <xdr:spPr>
          <a:xfrm>
            <a:off x="12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1" name="$E$112">
            <a:extLst>
              <a:ext uri="{FF2B5EF4-FFF2-40B4-BE49-F238E27FC236}">
                <a16:creationId xmlns:a16="http://schemas.microsoft.com/office/drawing/2014/main" id="{00000000-0008-0000-0200-0000B71200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2" name="$E$112">
            <a:extLst>
              <a:ext uri="{FF2B5EF4-FFF2-40B4-BE49-F238E27FC236}">
                <a16:creationId xmlns:a16="http://schemas.microsoft.com/office/drawing/2014/main" id="{00000000-0008-0000-0200-0000B8120000}"/>
              </a:ext>
            </a:extLst>
          </xdr:cNvPr>
          <xdr:cNvSpPr/>
        </xdr:nvSpPr>
        <xdr:spPr>
          <a:xfrm>
            <a:off x="63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3" name="$E$112">
            <a:extLst>
              <a:ext uri="{FF2B5EF4-FFF2-40B4-BE49-F238E27FC236}">
                <a16:creationId xmlns:a16="http://schemas.microsoft.com/office/drawing/2014/main" id="{00000000-0008-0000-0200-0000B9120000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4" name="$E$112">
            <a:extLst>
              <a:ext uri="{FF2B5EF4-FFF2-40B4-BE49-F238E27FC236}">
                <a16:creationId xmlns:a16="http://schemas.microsoft.com/office/drawing/2014/main" id="{00000000-0008-0000-0200-0000BA1200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5" name="$E$112">
            <a:extLst>
              <a:ext uri="{FF2B5EF4-FFF2-40B4-BE49-F238E27FC236}">
                <a16:creationId xmlns:a16="http://schemas.microsoft.com/office/drawing/2014/main" id="{00000000-0008-0000-0200-0000BB1200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6" name="$E$112">
            <a:extLst>
              <a:ext uri="{FF2B5EF4-FFF2-40B4-BE49-F238E27FC236}">
                <a16:creationId xmlns:a16="http://schemas.microsoft.com/office/drawing/2014/main" id="{00000000-0008-0000-0200-0000BC120000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7" name="$E$112">
            <a:extLst>
              <a:ext uri="{FF2B5EF4-FFF2-40B4-BE49-F238E27FC236}">
                <a16:creationId xmlns:a16="http://schemas.microsoft.com/office/drawing/2014/main" id="{00000000-0008-0000-0200-0000BD120000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8" name="$E$112">
            <a:extLst>
              <a:ext uri="{FF2B5EF4-FFF2-40B4-BE49-F238E27FC236}">
                <a16:creationId xmlns:a16="http://schemas.microsoft.com/office/drawing/2014/main" id="{00000000-0008-0000-0200-0000BE120000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9" name="$E$112">
            <a:extLst>
              <a:ext uri="{FF2B5EF4-FFF2-40B4-BE49-F238E27FC236}">
                <a16:creationId xmlns:a16="http://schemas.microsoft.com/office/drawing/2014/main" id="{00000000-0008-0000-0200-0000BF1200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0" name="$E$112">
            <a:extLst>
              <a:ext uri="{FF2B5EF4-FFF2-40B4-BE49-F238E27FC236}">
                <a16:creationId xmlns:a16="http://schemas.microsoft.com/office/drawing/2014/main" id="{00000000-0008-0000-0200-0000C0120000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1" name="$E$112">
            <a:extLst>
              <a:ext uri="{FF2B5EF4-FFF2-40B4-BE49-F238E27FC236}">
                <a16:creationId xmlns:a16="http://schemas.microsoft.com/office/drawing/2014/main" id="{00000000-0008-0000-0200-0000C11200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2" name="$E$112">
            <a:extLst>
              <a:ext uri="{FF2B5EF4-FFF2-40B4-BE49-F238E27FC236}">
                <a16:creationId xmlns:a16="http://schemas.microsoft.com/office/drawing/2014/main" id="{00000000-0008-0000-0200-0000C2120000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3" name="$E$112">
            <a:extLst>
              <a:ext uri="{FF2B5EF4-FFF2-40B4-BE49-F238E27FC236}">
                <a16:creationId xmlns:a16="http://schemas.microsoft.com/office/drawing/2014/main" id="{00000000-0008-0000-0200-0000C31200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4" name="$E$112">
            <a:extLst>
              <a:ext uri="{FF2B5EF4-FFF2-40B4-BE49-F238E27FC236}">
                <a16:creationId xmlns:a16="http://schemas.microsoft.com/office/drawing/2014/main" id="{00000000-0008-0000-0200-0000C4120000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5" name="$E$112">
            <a:extLst>
              <a:ext uri="{FF2B5EF4-FFF2-40B4-BE49-F238E27FC236}">
                <a16:creationId xmlns:a16="http://schemas.microsoft.com/office/drawing/2014/main" id="{00000000-0008-0000-0200-0000C51200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6" name="$E$112">
            <a:extLst>
              <a:ext uri="{FF2B5EF4-FFF2-40B4-BE49-F238E27FC236}">
                <a16:creationId xmlns:a16="http://schemas.microsoft.com/office/drawing/2014/main" id="{00000000-0008-0000-0200-0000C6120000}"/>
              </a:ext>
            </a:extLst>
          </xdr:cNvPr>
          <xdr:cNvSpPr/>
        </xdr:nvSpPr>
        <xdr:spPr>
          <a:xfrm>
            <a:off x="101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7" name="$E$112">
            <a:extLst>
              <a:ext uri="{FF2B5EF4-FFF2-40B4-BE49-F238E27FC236}">
                <a16:creationId xmlns:a16="http://schemas.microsoft.com/office/drawing/2014/main" id="{00000000-0008-0000-0200-0000C7120000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8" name="$E$112">
            <a:extLst>
              <a:ext uri="{FF2B5EF4-FFF2-40B4-BE49-F238E27FC236}">
                <a16:creationId xmlns:a16="http://schemas.microsoft.com/office/drawing/2014/main" id="{00000000-0008-0000-0200-0000C8120000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9" name="$E$112">
            <a:extLst>
              <a:ext uri="{FF2B5EF4-FFF2-40B4-BE49-F238E27FC236}">
                <a16:creationId xmlns:a16="http://schemas.microsoft.com/office/drawing/2014/main" id="{00000000-0008-0000-0200-0000C9120000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0" name="$E$112">
            <a:extLst>
              <a:ext uri="{FF2B5EF4-FFF2-40B4-BE49-F238E27FC236}">
                <a16:creationId xmlns:a16="http://schemas.microsoft.com/office/drawing/2014/main" id="{00000000-0008-0000-0200-0000CA1200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1" name="$E$112">
            <a:extLst>
              <a:ext uri="{FF2B5EF4-FFF2-40B4-BE49-F238E27FC236}">
                <a16:creationId xmlns:a16="http://schemas.microsoft.com/office/drawing/2014/main" id="{00000000-0008-0000-0200-0000CB1200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2" name="$E$112">
            <a:extLst>
              <a:ext uri="{FF2B5EF4-FFF2-40B4-BE49-F238E27FC236}">
                <a16:creationId xmlns:a16="http://schemas.microsoft.com/office/drawing/2014/main" id="{00000000-0008-0000-0200-0000CC120000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3" name="$E$112">
            <a:extLst>
              <a:ext uri="{FF2B5EF4-FFF2-40B4-BE49-F238E27FC236}">
                <a16:creationId xmlns:a16="http://schemas.microsoft.com/office/drawing/2014/main" id="{00000000-0008-0000-0200-0000CD1200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4" name="$E$112">
            <a:extLst>
              <a:ext uri="{FF2B5EF4-FFF2-40B4-BE49-F238E27FC236}">
                <a16:creationId xmlns:a16="http://schemas.microsoft.com/office/drawing/2014/main" id="{00000000-0008-0000-0200-0000CE1200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5" name="$E$112">
            <a:extLst>
              <a:ext uri="{FF2B5EF4-FFF2-40B4-BE49-F238E27FC236}">
                <a16:creationId xmlns:a16="http://schemas.microsoft.com/office/drawing/2014/main" id="{00000000-0008-0000-0200-0000CF120000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6" name="$E$112">
            <a:extLst>
              <a:ext uri="{FF2B5EF4-FFF2-40B4-BE49-F238E27FC236}">
                <a16:creationId xmlns:a16="http://schemas.microsoft.com/office/drawing/2014/main" id="{00000000-0008-0000-0200-0000D0120000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7" name="$E$112">
            <a:extLst>
              <a:ext uri="{FF2B5EF4-FFF2-40B4-BE49-F238E27FC236}">
                <a16:creationId xmlns:a16="http://schemas.microsoft.com/office/drawing/2014/main" id="{00000000-0008-0000-0200-0000D1120000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8" name="$E$112">
            <a:extLst>
              <a:ext uri="{FF2B5EF4-FFF2-40B4-BE49-F238E27FC236}">
                <a16:creationId xmlns:a16="http://schemas.microsoft.com/office/drawing/2014/main" id="{00000000-0008-0000-0200-0000D2120000}"/>
              </a:ext>
            </a:extLst>
          </xdr:cNvPr>
          <xdr:cNvSpPr/>
        </xdr:nvSpPr>
        <xdr:spPr>
          <a:xfrm>
            <a:off x="25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9" name="$E$112">
            <a:extLst>
              <a:ext uri="{FF2B5EF4-FFF2-40B4-BE49-F238E27FC236}">
                <a16:creationId xmlns:a16="http://schemas.microsoft.com/office/drawing/2014/main" id="{00000000-0008-0000-0200-0000D3120000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0" name="$E$112">
            <a:extLst>
              <a:ext uri="{FF2B5EF4-FFF2-40B4-BE49-F238E27FC236}">
                <a16:creationId xmlns:a16="http://schemas.microsoft.com/office/drawing/2014/main" id="{00000000-0008-0000-0200-0000D4120000}"/>
              </a:ext>
            </a:extLst>
          </xdr:cNvPr>
          <xdr:cNvSpPr/>
        </xdr:nvSpPr>
        <xdr:spPr>
          <a:xfrm>
            <a:off x="88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1" name="$E$112">
            <a:extLst>
              <a:ext uri="{FF2B5EF4-FFF2-40B4-BE49-F238E27FC236}">
                <a16:creationId xmlns:a16="http://schemas.microsoft.com/office/drawing/2014/main" id="{00000000-0008-0000-0200-0000D51200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2" name="$E$112">
            <a:extLst>
              <a:ext uri="{FF2B5EF4-FFF2-40B4-BE49-F238E27FC236}">
                <a16:creationId xmlns:a16="http://schemas.microsoft.com/office/drawing/2014/main" id="{00000000-0008-0000-0200-0000D61200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3" name="$E$112">
            <a:extLst>
              <a:ext uri="{FF2B5EF4-FFF2-40B4-BE49-F238E27FC236}">
                <a16:creationId xmlns:a16="http://schemas.microsoft.com/office/drawing/2014/main" id="{00000000-0008-0000-0200-0000D7120000}"/>
              </a:ext>
            </a:extLst>
          </xdr:cNvPr>
          <xdr:cNvSpPr/>
        </xdr:nvSpPr>
        <xdr:spPr>
          <a:xfrm>
            <a:off x="165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4" name="$E$112">
            <a:extLst>
              <a:ext uri="{FF2B5EF4-FFF2-40B4-BE49-F238E27FC236}">
                <a16:creationId xmlns:a16="http://schemas.microsoft.com/office/drawing/2014/main" id="{00000000-0008-0000-0200-0000D81200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5" name="$E$112">
            <a:extLst>
              <a:ext uri="{FF2B5EF4-FFF2-40B4-BE49-F238E27FC236}">
                <a16:creationId xmlns:a16="http://schemas.microsoft.com/office/drawing/2014/main" id="{00000000-0008-0000-0200-0000D9120000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6" name="$E$112">
            <a:extLst>
              <a:ext uri="{FF2B5EF4-FFF2-40B4-BE49-F238E27FC236}">
                <a16:creationId xmlns:a16="http://schemas.microsoft.com/office/drawing/2014/main" id="{00000000-0008-0000-0200-0000DA120000}"/>
              </a:ext>
            </a:extLst>
          </xdr:cNvPr>
          <xdr:cNvSpPr/>
        </xdr:nvSpPr>
        <xdr:spPr>
          <a:xfrm>
            <a:off x="215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7" name="$E$112">
            <a:extLst>
              <a:ext uri="{FF2B5EF4-FFF2-40B4-BE49-F238E27FC236}">
                <a16:creationId xmlns:a16="http://schemas.microsoft.com/office/drawing/2014/main" id="{00000000-0008-0000-0200-0000DB1200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8" name="$E$112">
            <a:extLst>
              <a:ext uri="{FF2B5EF4-FFF2-40B4-BE49-F238E27FC236}">
                <a16:creationId xmlns:a16="http://schemas.microsoft.com/office/drawing/2014/main" id="{00000000-0008-0000-0200-0000DC1200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9" name="$E$112">
            <a:extLst>
              <a:ext uri="{FF2B5EF4-FFF2-40B4-BE49-F238E27FC236}">
                <a16:creationId xmlns:a16="http://schemas.microsoft.com/office/drawing/2014/main" id="{00000000-0008-0000-0200-0000DD120000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0" name="$E$112">
            <a:extLst>
              <a:ext uri="{FF2B5EF4-FFF2-40B4-BE49-F238E27FC236}">
                <a16:creationId xmlns:a16="http://schemas.microsoft.com/office/drawing/2014/main" id="{00000000-0008-0000-0200-0000DE120000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1" name="$E$112">
            <a:extLst>
              <a:ext uri="{FF2B5EF4-FFF2-40B4-BE49-F238E27FC236}">
                <a16:creationId xmlns:a16="http://schemas.microsoft.com/office/drawing/2014/main" id="{00000000-0008-0000-0200-0000DF120000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2" name="$E$112">
            <a:extLst>
              <a:ext uri="{FF2B5EF4-FFF2-40B4-BE49-F238E27FC236}">
                <a16:creationId xmlns:a16="http://schemas.microsoft.com/office/drawing/2014/main" id="{00000000-0008-0000-0200-0000E0120000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3" name="$E$112">
            <a:extLst>
              <a:ext uri="{FF2B5EF4-FFF2-40B4-BE49-F238E27FC236}">
                <a16:creationId xmlns:a16="http://schemas.microsoft.com/office/drawing/2014/main" id="{00000000-0008-0000-0200-0000E11200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4" name="$E$112">
            <a:extLst>
              <a:ext uri="{FF2B5EF4-FFF2-40B4-BE49-F238E27FC236}">
                <a16:creationId xmlns:a16="http://schemas.microsoft.com/office/drawing/2014/main" id="{00000000-0008-0000-0200-0000E2120000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5" name="$E$112">
            <a:extLst>
              <a:ext uri="{FF2B5EF4-FFF2-40B4-BE49-F238E27FC236}">
                <a16:creationId xmlns:a16="http://schemas.microsoft.com/office/drawing/2014/main" id="{00000000-0008-0000-0200-0000E3120000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6" name="$E$112">
            <a:extLst>
              <a:ext uri="{FF2B5EF4-FFF2-40B4-BE49-F238E27FC236}">
                <a16:creationId xmlns:a16="http://schemas.microsoft.com/office/drawing/2014/main" id="{00000000-0008-0000-0200-0000E4120000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7" name="$E$112">
            <a:extLst>
              <a:ext uri="{FF2B5EF4-FFF2-40B4-BE49-F238E27FC236}">
                <a16:creationId xmlns:a16="http://schemas.microsoft.com/office/drawing/2014/main" id="{00000000-0008-0000-0200-0000E51200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8" name="$E$112">
            <a:extLst>
              <a:ext uri="{FF2B5EF4-FFF2-40B4-BE49-F238E27FC236}">
                <a16:creationId xmlns:a16="http://schemas.microsoft.com/office/drawing/2014/main" id="{00000000-0008-0000-0200-0000E61200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9" name="$E$112">
            <a:extLst>
              <a:ext uri="{FF2B5EF4-FFF2-40B4-BE49-F238E27FC236}">
                <a16:creationId xmlns:a16="http://schemas.microsoft.com/office/drawing/2014/main" id="{00000000-0008-0000-0200-0000E71200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0" name="$E$112">
            <a:extLst>
              <a:ext uri="{FF2B5EF4-FFF2-40B4-BE49-F238E27FC236}">
                <a16:creationId xmlns:a16="http://schemas.microsoft.com/office/drawing/2014/main" id="{00000000-0008-0000-0200-0000E81200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1" name="$E$112">
            <a:extLst>
              <a:ext uri="{FF2B5EF4-FFF2-40B4-BE49-F238E27FC236}">
                <a16:creationId xmlns:a16="http://schemas.microsoft.com/office/drawing/2014/main" id="{00000000-0008-0000-0200-0000E91200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2" name="$E$112">
            <a:extLst>
              <a:ext uri="{FF2B5EF4-FFF2-40B4-BE49-F238E27FC236}">
                <a16:creationId xmlns:a16="http://schemas.microsoft.com/office/drawing/2014/main" id="{00000000-0008-0000-0200-0000EA120000}"/>
              </a:ext>
            </a:extLst>
          </xdr:cNvPr>
          <xdr:cNvSpPr/>
        </xdr:nvSpPr>
        <xdr:spPr>
          <a:xfrm>
            <a:off x="88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3" name="$E$112">
            <a:extLst>
              <a:ext uri="{FF2B5EF4-FFF2-40B4-BE49-F238E27FC236}">
                <a16:creationId xmlns:a16="http://schemas.microsoft.com/office/drawing/2014/main" id="{00000000-0008-0000-0200-0000EB120000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4" name="$E$112">
            <a:extLst>
              <a:ext uri="{FF2B5EF4-FFF2-40B4-BE49-F238E27FC236}">
                <a16:creationId xmlns:a16="http://schemas.microsoft.com/office/drawing/2014/main" id="{00000000-0008-0000-0200-0000EC120000}"/>
              </a:ext>
            </a:extLst>
          </xdr:cNvPr>
          <xdr:cNvSpPr/>
        </xdr:nvSpPr>
        <xdr:spPr>
          <a:xfrm>
            <a:off x="114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5" name="$E$112">
            <a:extLst>
              <a:ext uri="{FF2B5EF4-FFF2-40B4-BE49-F238E27FC236}">
                <a16:creationId xmlns:a16="http://schemas.microsoft.com/office/drawing/2014/main" id="{00000000-0008-0000-0200-0000ED120000}"/>
              </a:ext>
            </a:extLst>
          </xdr:cNvPr>
          <xdr:cNvSpPr/>
        </xdr:nvSpPr>
        <xdr:spPr>
          <a:xfrm>
            <a:off x="139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6" name="$E$112">
            <a:extLst>
              <a:ext uri="{FF2B5EF4-FFF2-40B4-BE49-F238E27FC236}">
                <a16:creationId xmlns:a16="http://schemas.microsoft.com/office/drawing/2014/main" id="{00000000-0008-0000-0200-0000EE1200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7" name="$E$112">
            <a:extLst>
              <a:ext uri="{FF2B5EF4-FFF2-40B4-BE49-F238E27FC236}">
                <a16:creationId xmlns:a16="http://schemas.microsoft.com/office/drawing/2014/main" id="{00000000-0008-0000-0200-0000EF1200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8" name="$E$112">
            <a:extLst>
              <a:ext uri="{FF2B5EF4-FFF2-40B4-BE49-F238E27FC236}">
                <a16:creationId xmlns:a16="http://schemas.microsoft.com/office/drawing/2014/main" id="{00000000-0008-0000-0200-0000F0120000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9" name="$E$112">
            <a:extLst>
              <a:ext uri="{FF2B5EF4-FFF2-40B4-BE49-F238E27FC236}">
                <a16:creationId xmlns:a16="http://schemas.microsoft.com/office/drawing/2014/main" id="{00000000-0008-0000-0200-0000F11200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0" name="$E$112">
            <a:extLst>
              <a:ext uri="{FF2B5EF4-FFF2-40B4-BE49-F238E27FC236}">
                <a16:creationId xmlns:a16="http://schemas.microsoft.com/office/drawing/2014/main" id="{00000000-0008-0000-0200-0000F2120000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1" name="$E$112">
            <a:extLst>
              <a:ext uri="{FF2B5EF4-FFF2-40B4-BE49-F238E27FC236}">
                <a16:creationId xmlns:a16="http://schemas.microsoft.com/office/drawing/2014/main" id="{00000000-0008-0000-0200-0000F31200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2" name="$E$112">
            <a:extLst>
              <a:ext uri="{FF2B5EF4-FFF2-40B4-BE49-F238E27FC236}">
                <a16:creationId xmlns:a16="http://schemas.microsoft.com/office/drawing/2014/main" id="{00000000-0008-0000-0200-0000F4120000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3" name="$E$112">
            <a:extLst>
              <a:ext uri="{FF2B5EF4-FFF2-40B4-BE49-F238E27FC236}">
                <a16:creationId xmlns:a16="http://schemas.microsoft.com/office/drawing/2014/main" id="{00000000-0008-0000-0200-0000F5120000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4" name="$E$112">
            <a:extLst>
              <a:ext uri="{FF2B5EF4-FFF2-40B4-BE49-F238E27FC236}">
                <a16:creationId xmlns:a16="http://schemas.microsoft.com/office/drawing/2014/main" id="{00000000-0008-0000-0200-0000F6120000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5" name="$E$112">
            <a:extLst>
              <a:ext uri="{FF2B5EF4-FFF2-40B4-BE49-F238E27FC236}">
                <a16:creationId xmlns:a16="http://schemas.microsoft.com/office/drawing/2014/main" id="{00000000-0008-0000-0200-0000F71200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6" name="$E$112">
            <a:extLst>
              <a:ext uri="{FF2B5EF4-FFF2-40B4-BE49-F238E27FC236}">
                <a16:creationId xmlns:a16="http://schemas.microsoft.com/office/drawing/2014/main" id="{00000000-0008-0000-0200-0000F8120000}"/>
              </a:ext>
            </a:extLst>
          </xdr:cNvPr>
          <xdr:cNvSpPr/>
        </xdr:nvSpPr>
        <xdr:spPr>
          <a:xfrm>
            <a:off x="50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7" name="$E$112">
            <a:extLst>
              <a:ext uri="{FF2B5EF4-FFF2-40B4-BE49-F238E27FC236}">
                <a16:creationId xmlns:a16="http://schemas.microsoft.com/office/drawing/2014/main" id="{00000000-0008-0000-0200-0000F9120000}"/>
              </a:ext>
            </a:extLst>
          </xdr:cNvPr>
          <xdr:cNvSpPr/>
        </xdr:nvSpPr>
        <xdr:spPr>
          <a:xfrm>
            <a:off x="63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8" name="$E$112">
            <a:extLst>
              <a:ext uri="{FF2B5EF4-FFF2-40B4-BE49-F238E27FC236}">
                <a16:creationId xmlns:a16="http://schemas.microsoft.com/office/drawing/2014/main" id="{00000000-0008-0000-0200-0000FA1200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9" name="$E$112">
            <a:extLst>
              <a:ext uri="{FF2B5EF4-FFF2-40B4-BE49-F238E27FC236}">
                <a16:creationId xmlns:a16="http://schemas.microsoft.com/office/drawing/2014/main" id="{00000000-0008-0000-0200-0000FB120000}"/>
              </a:ext>
            </a:extLst>
          </xdr:cNvPr>
          <xdr:cNvSpPr/>
        </xdr:nvSpPr>
        <xdr:spPr>
          <a:xfrm>
            <a:off x="127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0" name="$E$112">
            <a:extLst>
              <a:ext uri="{FF2B5EF4-FFF2-40B4-BE49-F238E27FC236}">
                <a16:creationId xmlns:a16="http://schemas.microsoft.com/office/drawing/2014/main" id="{00000000-0008-0000-0200-0000FC120000}"/>
              </a:ext>
            </a:extLst>
          </xdr:cNvPr>
          <xdr:cNvSpPr/>
        </xdr:nvSpPr>
        <xdr:spPr>
          <a:xfrm>
            <a:off x="139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1" name="$E$112">
            <a:extLst>
              <a:ext uri="{FF2B5EF4-FFF2-40B4-BE49-F238E27FC236}">
                <a16:creationId xmlns:a16="http://schemas.microsoft.com/office/drawing/2014/main" id="{00000000-0008-0000-0200-0000FD1200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2" name="$E$112">
            <a:extLst>
              <a:ext uri="{FF2B5EF4-FFF2-40B4-BE49-F238E27FC236}">
                <a16:creationId xmlns:a16="http://schemas.microsoft.com/office/drawing/2014/main" id="{00000000-0008-0000-0200-0000FE120000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3" name="$E$112">
            <a:extLst>
              <a:ext uri="{FF2B5EF4-FFF2-40B4-BE49-F238E27FC236}">
                <a16:creationId xmlns:a16="http://schemas.microsoft.com/office/drawing/2014/main" id="{00000000-0008-0000-0200-0000FF1200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4" name="$E$112">
            <a:extLst>
              <a:ext uri="{FF2B5EF4-FFF2-40B4-BE49-F238E27FC236}">
                <a16:creationId xmlns:a16="http://schemas.microsoft.com/office/drawing/2014/main" id="{00000000-0008-0000-0200-000000130000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5" name="$E$112">
            <a:extLst>
              <a:ext uri="{FF2B5EF4-FFF2-40B4-BE49-F238E27FC236}">
                <a16:creationId xmlns:a16="http://schemas.microsoft.com/office/drawing/2014/main" id="{00000000-0008-0000-0200-000001130000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6" name="$E$112">
            <a:extLst>
              <a:ext uri="{FF2B5EF4-FFF2-40B4-BE49-F238E27FC236}">
                <a16:creationId xmlns:a16="http://schemas.microsoft.com/office/drawing/2014/main" id="{00000000-0008-0000-0200-0000021300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7" name="$E$112">
            <a:extLst>
              <a:ext uri="{FF2B5EF4-FFF2-40B4-BE49-F238E27FC236}">
                <a16:creationId xmlns:a16="http://schemas.microsoft.com/office/drawing/2014/main" id="{00000000-0008-0000-0200-000003130000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8" name="$E$112">
            <a:extLst>
              <a:ext uri="{FF2B5EF4-FFF2-40B4-BE49-F238E27FC236}">
                <a16:creationId xmlns:a16="http://schemas.microsoft.com/office/drawing/2014/main" id="{00000000-0008-0000-0200-000004130000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9" name="$E$112">
            <a:extLst>
              <a:ext uri="{FF2B5EF4-FFF2-40B4-BE49-F238E27FC236}">
                <a16:creationId xmlns:a16="http://schemas.microsoft.com/office/drawing/2014/main" id="{00000000-0008-0000-0200-0000051300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0" name="$E$112">
            <a:extLst>
              <a:ext uri="{FF2B5EF4-FFF2-40B4-BE49-F238E27FC236}">
                <a16:creationId xmlns:a16="http://schemas.microsoft.com/office/drawing/2014/main" id="{00000000-0008-0000-0200-0000061300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1" name="$E$112">
            <a:extLst>
              <a:ext uri="{FF2B5EF4-FFF2-40B4-BE49-F238E27FC236}">
                <a16:creationId xmlns:a16="http://schemas.microsoft.com/office/drawing/2014/main" id="{00000000-0008-0000-0200-0000071300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2" name="$E$112">
            <a:extLst>
              <a:ext uri="{FF2B5EF4-FFF2-40B4-BE49-F238E27FC236}">
                <a16:creationId xmlns:a16="http://schemas.microsoft.com/office/drawing/2014/main" id="{00000000-0008-0000-0200-000008130000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3" name="$E$112">
            <a:extLst>
              <a:ext uri="{FF2B5EF4-FFF2-40B4-BE49-F238E27FC236}">
                <a16:creationId xmlns:a16="http://schemas.microsoft.com/office/drawing/2014/main" id="{00000000-0008-0000-0200-0000091300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4" name="$E$112">
            <a:extLst>
              <a:ext uri="{FF2B5EF4-FFF2-40B4-BE49-F238E27FC236}">
                <a16:creationId xmlns:a16="http://schemas.microsoft.com/office/drawing/2014/main" id="{00000000-0008-0000-0200-00000A1300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5" name="$E$112">
            <a:extLst>
              <a:ext uri="{FF2B5EF4-FFF2-40B4-BE49-F238E27FC236}">
                <a16:creationId xmlns:a16="http://schemas.microsoft.com/office/drawing/2014/main" id="{00000000-0008-0000-0200-00000B1300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6" name="$E$112">
            <a:extLst>
              <a:ext uri="{FF2B5EF4-FFF2-40B4-BE49-F238E27FC236}">
                <a16:creationId xmlns:a16="http://schemas.microsoft.com/office/drawing/2014/main" id="{00000000-0008-0000-0200-00000C130000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7" name="$E$112">
            <a:extLst>
              <a:ext uri="{FF2B5EF4-FFF2-40B4-BE49-F238E27FC236}">
                <a16:creationId xmlns:a16="http://schemas.microsoft.com/office/drawing/2014/main" id="{00000000-0008-0000-0200-00000D1300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8" name="$E$112">
            <a:extLst>
              <a:ext uri="{FF2B5EF4-FFF2-40B4-BE49-F238E27FC236}">
                <a16:creationId xmlns:a16="http://schemas.microsoft.com/office/drawing/2014/main" id="{00000000-0008-0000-0200-00000E1300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9" name="$E$112">
            <a:extLst>
              <a:ext uri="{FF2B5EF4-FFF2-40B4-BE49-F238E27FC236}">
                <a16:creationId xmlns:a16="http://schemas.microsoft.com/office/drawing/2014/main" id="{00000000-0008-0000-0200-00000F1300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0" name="$E$112">
            <a:extLst>
              <a:ext uri="{FF2B5EF4-FFF2-40B4-BE49-F238E27FC236}">
                <a16:creationId xmlns:a16="http://schemas.microsoft.com/office/drawing/2014/main" id="{00000000-0008-0000-0200-0000101300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1" name="$E$112">
            <a:extLst>
              <a:ext uri="{FF2B5EF4-FFF2-40B4-BE49-F238E27FC236}">
                <a16:creationId xmlns:a16="http://schemas.microsoft.com/office/drawing/2014/main" id="{00000000-0008-0000-0200-0000111300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2" name="$E$112">
            <a:extLst>
              <a:ext uri="{FF2B5EF4-FFF2-40B4-BE49-F238E27FC236}">
                <a16:creationId xmlns:a16="http://schemas.microsoft.com/office/drawing/2014/main" id="{00000000-0008-0000-0200-0000121300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3" name="$E$112">
            <a:extLst>
              <a:ext uri="{FF2B5EF4-FFF2-40B4-BE49-F238E27FC236}">
                <a16:creationId xmlns:a16="http://schemas.microsoft.com/office/drawing/2014/main" id="{00000000-0008-0000-0200-000013130000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4" name="$E$112">
            <a:extLst>
              <a:ext uri="{FF2B5EF4-FFF2-40B4-BE49-F238E27FC236}">
                <a16:creationId xmlns:a16="http://schemas.microsoft.com/office/drawing/2014/main" id="{00000000-0008-0000-0200-0000141300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5" name="$E$112">
            <a:extLst>
              <a:ext uri="{FF2B5EF4-FFF2-40B4-BE49-F238E27FC236}">
                <a16:creationId xmlns:a16="http://schemas.microsoft.com/office/drawing/2014/main" id="{00000000-0008-0000-0200-0000151300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6" name="$E$112">
            <a:extLst>
              <a:ext uri="{FF2B5EF4-FFF2-40B4-BE49-F238E27FC236}">
                <a16:creationId xmlns:a16="http://schemas.microsoft.com/office/drawing/2014/main" id="{00000000-0008-0000-0200-0000161300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7" name="$E$112">
            <a:extLst>
              <a:ext uri="{FF2B5EF4-FFF2-40B4-BE49-F238E27FC236}">
                <a16:creationId xmlns:a16="http://schemas.microsoft.com/office/drawing/2014/main" id="{00000000-0008-0000-0200-000017130000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8" name="$E$112">
            <a:extLst>
              <a:ext uri="{FF2B5EF4-FFF2-40B4-BE49-F238E27FC236}">
                <a16:creationId xmlns:a16="http://schemas.microsoft.com/office/drawing/2014/main" id="{00000000-0008-0000-0200-0000181300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9" name="$E$112">
            <a:extLst>
              <a:ext uri="{FF2B5EF4-FFF2-40B4-BE49-F238E27FC236}">
                <a16:creationId xmlns:a16="http://schemas.microsoft.com/office/drawing/2014/main" id="{00000000-0008-0000-0200-000019130000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0" name="$E$112">
            <a:extLst>
              <a:ext uri="{FF2B5EF4-FFF2-40B4-BE49-F238E27FC236}">
                <a16:creationId xmlns:a16="http://schemas.microsoft.com/office/drawing/2014/main" id="{00000000-0008-0000-0200-00001A130000}"/>
              </a:ext>
            </a:extLst>
          </xdr:cNvPr>
          <xdr:cNvSpPr/>
        </xdr:nvSpPr>
        <xdr:spPr>
          <a:xfrm>
            <a:off x="127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1" name="$E$112">
            <a:extLst>
              <a:ext uri="{FF2B5EF4-FFF2-40B4-BE49-F238E27FC236}">
                <a16:creationId xmlns:a16="http://schemas.microsoft.com/office/drawing/2014/main" id="{00000000-0008-0000-0200-00001B130000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2" name="$E$112">
            <a:extLst>
              <a:ext uri="{FF2B5EF4-FFF2-40B4-BE49-F238E27FC236}">
                <a16:creationId xmlns:a16="http://schemas.microsoft.com/office/drawing/2014/main" id="{00000000-0008-0000-0200-00001C130000}"/>
              </a:ext>
            </a:extLst>
          </xdr:cNvPr>
          <xdr:cNvSpPr/>
        </xdr:nvSpPr>
        <xdr:spPr>
          <a:xfrm>
            <a:off x="177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3" name="$E$112">
            <a:extLst>
              <a:ext uri="{FF2B5EF4-FFF2-40B4-BE49-F238E27FC236}">
                <a16:creationId xmlns:a16="http://schemas.microsoft.com/office/drawing/2014/main" id="{00000000-0008-0000-0200-00001D1300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4" name="$E$112">
            <a:extLst>
              <a:ext uri="{FF2B5EF4-FFF2-40B4-BE49-F238E27FC236}">
                <a16:creationId xmlns:a16="http://schemas.microsoft.com/office/drawing/2014/main" id="{00000000-0008-0000-0200-00001E1300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5" name="$E$112">
            <a:extLst>
              <a:ext uri="{FF2B5EF4-FFF2-40B4-BE49-F238E27FC236}">
                <a16:creationId xmlns:a16="http://schemas.microsoft.com/office/drawing/2014/main" id="{00000000-0008-0000-0200-00001F1300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6" name="$E$112">
            <a:extLst>
              <a:ext uri="{FF2B5EF4-FFF2-40B4-BE49-F238E27FC236}">
                <a16:creationId xmlns:a16="http://schemas.microsoft.com/office/drawing/2014/main" id="{00000000-0008-0000-0200-0000201300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7" name="$E$112">
            <a:extLst>
              <a:ext uri="{FF2B5EF4-FFF2-40B4-BE49-F238E27FC236}">
                <a16:creationId xmlns:a16="http://schemas.microsoft.com/office/drawing/2014/main" id="{00000000-0008-0000-0200-000021130000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8" name="$E$112">
            <a:extLst>
              <a:ext uri="{FF2B5EF4-FFF2-40B4-BE49-F238E27FC236}">
                <a16:creationId xmlns:a16="http://schemas.microsoft.com/office/drawing/2014/main" id="{00000000-0008-0000-0200-000022130000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9" name="$E$112">
            <a:extLst>
              <a:ext uri="{FF2B5EF4-FFF2-40B4-BE49-F238E27FC236}">
                <a16:creationId xmlns:a16="http://schemas.microsoft.com/office/drawing/2014/main" id="{00000000-0008-0000-0200-000023130000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0" name="$E$112">
            <a:extLst>
              <a:ext uri="{FF2B5EF4-FFF2-40B4-BE49-F238E27FC236}">
                <a16:creationId xmlns:a16="http://schemas.microsoft.com/office/drawing/2014/main" id="{00000000-0008-0000-0200-000024130000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1" name="$E$112">
            <a:extLst>
              <a:ext uri="{FF2B5EF4-FFF2-40B4-BE49-F238E27FC236}">
                <a16:creationId xmlns:a16="http://schemas.microsoft.com/office/drawing/2014/main" id="{00000000-0008-0000-0200-000025130000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2" name="$E$112">
            <a:extLst>
              <a:ext uri="{FF2B5EF4-FFF2-40B4-BE49-F238E27FC236}">
                <a16:creationId xmlns:a16="http://schemas.microsoft.com/office/drawing/2014/main" id="{00000000-0008-0000-0200-0000261300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3" name="$E$112">
            <a:extLst>
              <a:ext uri="{FF2B5EF4-FFF2-40B4-BE49-F238E27FC236}">
                <a16:creationId xmlns:a16="http://schemas.microsoft.com/office/drawing/2014/main" id="{00000000-0008-0000-0200-000027130000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4" name="$E$112">
            <a:extLst>
              <a:ext uri="{FF2B5EF4-FFF2-40B4-BE49-F238E27FC236}">
                <a16:creationId xmlns:a16="http://schemas.microsoft.com/office/drawing/2014/main" id="{00000000-0008-0000-0200-0000281300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5" name="$E$112">
            <a:extLst>
              <a:ext uri="{FF2B5EF4-FFF2-40B4-BE49-F238E27FC236}">
                <a16:creationId xmlns:a16="http://schemas.microsoft.com/office/drawing/2014/main" id="{00000000-0008-0000-0200-0000291300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6" name="$E$112">
            <a:extLst>
              <a:ext uri="{FF2B5EF4-FFF2-40B4-BE49-F238E27FC236}">
                <a16:creationId xmlns:a16="http://schemas.microsoft.com/office/drawing/2014/main" id="{00000000-0008-0000-0200-00002A1300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7" name="$E$112">
            <a:extLst>
              <a:ext uri="{FF2B5EF4-FFF2-40B4-BE49-F238E27FC236}">
                <a16:creationId xmlns:a16="http://schemas.microsoft.com/office/drawing/2014/main" id="{00000000-0008-0000-0200-00002B130000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8" name="$E$112">
            <a:extLst>
              <a:ext uri="{FF2B5EF4-FFF2-40B4-BE49-F238E27FC236}">
                <a16:creationId xmlns:a16="http://schemas.microsoft.com/office/drawing/2014/main" id="{00000000-0008-0000-0200-00002C1300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9" name="$E$112">
            <a:extLst>
              <a:ext uri="{FF2B5EF4-FFF2-40B4-BE49-F238E27FC236}">
                <a16:creationId xmlns:a16="http://schemas.microsoft.com/office/drawing/2014/main" id="{00000000-0008-0000-0200-00002D130000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0" name="$E$112">
            <a:extLst>
              <a:ext uri="{FF2B5EF4-FFF2-40B4-BE49-F238E27FC236}">
                <a16:creationId xmlns:a16="http://schemas.microsoft.com/office/drawing/2014/main" id="{00000000-0008-0000-0200-00002E130000}"/>
              </a:ext>
            </a:extLst>
          </xdr:cNvPr>
          <xdr:cNvSpPr/>
        </xdr:nvSpPr>
        <xdr:spPr>
          <a:xfrm>
            <a:off x="177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1" name="$E$112">
            <a:extLst>
              <a:ext uri="{FF2B5EF4-FFF2-40B4-BE49-F238E27FC236}">
                <a16:creationId xmlns:a16="http://schemas.microsoft.com/office/drawing/2014/main" id="{00000000-0008-0000-0200-00002F1300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2" name="$E$112">
            <a:extLst>
              <a:ext uri="{FF2B5EF4-FFF2-40B4-BE49-F238E27FC236}">
                <a16:creationId xmlns:a16="http://schemas.microsoft.com/office/drawing/2014/main" id="{00000000-0008-0000-0200-000030130000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3" name="$E$112">
            <a:extLst>
              <a:ext uri="{FF2B5EF4-FFF2-40B4-BE49-F238E27FC236}">
                <a16:creationId xmlns:a16="http://schemas.microsoft.com/office/drawing/2014/main" id="{00000000-0008-0000-0200-0000311300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4" name="$E$112">
            <a:extLst>
              <a:ext uri="{FF2B5EF4-FFF2-40B4-BE49-F238E27FC236}">
                <a16:creationId xmlns:a16="http://schemas.microsoft.com/office/drawing/2014/main" id="{00000000-0008-0000-0200-000032130000}"/>
              </a:ext>
            </a:extLst>
          </xdr:cNvPr>
          <xdr:cNvSpPr/>
        </xdr:nvSpPr>
        <xdr:spPr>
          <a:xfrm>
            <a:off x="228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5" name="$E$112">
            <a:extLst>
              <a:ext uri="{FF2B5EF4-FFF2-40B4-BE49-F238E27FC236}">
                <a16:creationId xmlns:a16="http://schemas.microsoft.com/office/drawing/2014/main" id="{00000000-0008-0000-0200-000033130000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6" name="$E$112">
            <a:extLst>
              <a:ext uri="{FF2B5EF4-FFF2-40B4-BE49-F238E27FC236}">
                <a16:creationId xmlns:a16="http://schemas.microsoft.com/office/drawing/2014/main" id="{00000000-0008-0000-0200-0000341300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7" name="$E$112">
            <a:extLst>
              <a:ext uri="{FF2B5EF4-FFF2-40B4-BE49-F238E27FC236}">
                <a16:creationId xmlns:a16="http://schemas.microsoft.com/office/drawing/2014/main" id="{00000000-0008-0000-0200-000035130000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8" name="$E$112">
            <a:extLst>
              <a:ext uri="{FF2B5EF4-FFF2-40B4-BE49-F238E27FC236}">
                <a16:creationId xmlns:a16="http://schemas.microsoft.com/office/drawing/2014/main" id="{00000000-0008-0000-0200-0000361300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9" name="$E$112">
            <a:extLst>
              <a:ext uri="{FF2B5EF4-FFF2-40B4-BE49-F238E27FC236}">
                <a16:creationId xmlns:a16="http://schemas.microsoft.com/office/drawing/2014/main" id="{00000000-0008-0000-0200-0000371300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0" name="$E$112">
            <a:extLst>
              <a:ext uri="{FF2B5EF4-FFF2-40B4-BE49-F238E27FC236}">
                <a16:creationId xmlns:a16="http://schemas.microsoft.com/office/drawing/2014/main" id="{00000000-0008-0000-0200-000038130000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1" name="$E$112">
            <a:extLst>
              <a:ext uri="{FF2B5EF4-FFF2-40B4-BE49-F238E27FC236}">
                <a16:creationId xmlns:a16="http://schemas.microsoft.com/office/drawing/2014/main" id="{00000000-0008-0000-0200-000039130000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2" name="$E$112">
            <a:extLst>
              <a:ext uri="{FF2B5EF4-FFF2-40B4-BE49-F238E27FC236}">
                <a16:creationId xmlns:a16="http://schemas.microsoft.com/office/drawing/2014/main" id="{00000000-0008-0000-0200-00003A1300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3" name="$E$112">
            <a:extLst>
              <a:ext uri="{FF2B5EF4-FFF2-40B4-BE49-F238E27FC236}">
                <a16:creationId xmlns:a16="http://schemas.microsoft.com/office/drawing/2014/main" id="{00000000-0008-0000-0200-00003B1300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4" name="$E$112">
            <a:extLst>
              <a:ext uri="{FF2B5EF4-FFF2-40B4-BE49-F238E27FC236}">
                <a16:creationId xmlns:a16="http://schemas.microsoft.com/office/drawing/2014/main" id="{00000000-0008-0000-0200-00003C1300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5" name="$E$112">
            <a:extLst>
              <a:ext uri="{FF2B5EF4-FFF2-40B4-BE49-F238E27FC236}">
                <a16:creationId xmlns:a16="http://schemas.microsoft.com/office/drawing/2014/main" id="{00000000-0008-0000-0200-00003D1300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6" name="$E$112">
            <a:extLst>
              <a:ext uri="{FF2B5EF4-FFF2-40B4-BE49-F238E27FC236}">
                <a16:creationId xmlns:a16="http://schemas.microsoft.com/office/drawing/2014/main" id="{00000000-0008-0000-0200-00003E1300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7" name="$E$112">
            <a:extLst>
              <a:ext uri="{FF2B5EF4-FFF2-40B4-BE49-F238E27FC236}">
                <a16:creationId xmlns:a16="http://schemas.microsoft.com/office/drawing/2014/main" id="{00000000-0008-0000-0200-00003F1300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8" name="$E$112">
            <a:extLst>
              <a:ext uri="{FF2B5EF4-FFF2-40B4-BE49-F238E27FC236}">
                <a16:creationId xmlns:a16="http://schemas.microsoft.com/office/drawing/2014/main" id="{00000000-0008-0000-0200-000040130000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9" name="$E$112">
            <a:extLst>
              <a:ext uri="{FF2B5EF4-FFF2-40B4-BE49-F238E27FC236}">
                <a16:creationId xmlns:a16="http://schemas.microsoft.com/office/drawing/2014/main" id="{00000000-0008-0000-0200-000041130000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0" name="$E$112">
            <a:extLst>
              <a:ext uri="{FF2B5EF4-FFF2-40B4-BE49-F238E27FC236}">
                <a16:creationId xmlns:a16="http://schemas.microsoft.com/office/drawing/2014/main" id="{00000000-0008-0000-0200-0000421300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1" name="$E$112">
            <a:extLst>
              <a:ext uri="{FF2B5EF4-FFF2-40B4-BE49-F238E27FC236}">
                <a16:creationId xmlns:a16="http://schemas.microsoft.com/office/drawing/2014/main" id="{00000000-0008-0000-0200-000043130000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2" name="$E$112">
            <a:extLst>
              <a:ext uri="{FF2B5EF4-FFF2-40B4-BE49-F238E27FC236}">
                <a16:creationId xmlns:a16="http://schemas.microsoft.com/office/drawing/2014/main" id="{00000000-0008-0000-0200-000044130000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3" name="$E$112">
            <a:extLst>
              <a:ext uri="{FF2B5EF4-FFF2-40B4-BE49-F238E27FC236}">
                <a16:creationId xmlns:a16="http://schemas.microsoft.com/office/drawing/2014/main" id="{00000000-0008-0000-0200-000045130000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4" name="$E$112">
            <a:extLst>
              <a:ext uri="{FF2B5EF4-FFF2-40B4-BE49-F238E27FC236}">
                <a16:creationId xmlns:a16="http://schemas.microsoft.com/office/drawing/2014/main" id="{00000000-0008-0000-0200-000046130000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5" name="$E$112">
            <a:extLst>
              <a:ext uri="{FF2B5EF4-FFF2-40B4-BE49-F238E27FC236}">
                <a16:creationId xmlns:a16="http://schemas.microsoft.com/office/drawing/2014/main" id="{00000000-0008-0000-0200-000047130000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6" name="$E$112">
            <a:extLst>
              <a:ext uri="{FF2B5EF4-FFF2-40B4-BE49-F238E27FC236}">
                <a16:creationId xmlns:a16="http://schemas.microsoft.com/office/drawing/2014/main" id="{00000000-0008-0000-0200-000048130000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7" name="$E$112">
            <a:extLst>
              <a:ext uri="{FF2B5EF4-FFF2-40B4-BE49-F238E27FC236}">
                <a16:creationId xmlns:a16="http://schemas.microsoft.com/office/drawing/2014/main" id="{00000000-0008-0000-0200-000049130000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8" name="$E$112">
            <a:extLst>
              <a:ext uri="{FF2B5EF4-FFF2-40B4-BE49-F238E27FC236}">
                <a16:creationId xmlns:a16="http://schemas.microsoft.com/office/drawing/2014/main" id="{00000000-0008-0000-0200-00004A130000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9" name="$E$112">
            <a:extLst>
              <a:ext uri="{FF2B5EF4-FFF2-40B4-BE49-F238E27FC236}">
                <a16:creationId xmlns:a16="http://schemas.microsoft.com/office/drawing/2014/main" id="{00000000-0008-0000-0200-00004B1300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0" name="$E$112">
            <a:extLst>
              <a:ext uri="{FF2B5EF4-FFF2-40B4-BE49-F238E27FC236}">
                <a16:creationId xmlns:a16="http://schemas.microsoft.com/office/drawing/2014/main" id="{00000000-0008-0000-0200-00004C1300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1" name="$E$112">
            <a:extLst>
              <a:ext uri="{FF2B5EF4-FFF2-40B4-BE49-F238E27FC236}">
                <a16:creationId xmlns:a16="http://schemas.microsoft.com/office/drawing/2014/main" id="{00000000-0008-0000-0200-00004D1300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2" name="$E$112">
            <a:extLst>
              <a:ext uri="{FF2B5EF4-FFF2-40B4-BE49-F238E27FC236}">
                <a16:creationId xmlns:a16="http://schemas.microsoft.com/office/drawing/2014/main" id="{00000000-0008-0000-0200-00004E1300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3" name="$E$112">
            <a:extLst>
              <a:ext uri="{FF2B5EF4-FFF2-40B4-BE49-F238E27FC236}">
                <a16:creationId xmlns:a16="http://schemas.microsoft.com/office/drawing/2014/main" id="{00000000-0008-0000-0200-00004F1300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4" name="$E$112">
            <a:extLst>
              <a:ext uri="{FF2B5EF4-FFF2-40B4-BE49-F238E27FC236}">
                <a16:creationId xmlns:a16="http://schemas.microsoft.com/office/drawing/2014/main" id="{00000000-0008-0000-0200-0000501300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5" name="$E$112">
            <a:extLst>
              <a:ext uri="{FF2B5EF4-FFF2-40B4-BE49-F238E27FC236}">
                <a16:creationId xmlns:a16="http://schemas.microsoft.com/office/drawing/2014/main" id="{00000000-0008-0000-0200-0000511300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6" name="$E$112">
            <a:extLst>
              <a:ext uri="{FF2B5EF4-FFF2-40B4-BE49-F238E27FC236}">
                <a16:creationId xmlns:a16="http://schemas.microsoft.com/office/drawing/2014/main" id="{00000000-0008-0000-0200-0000521300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7" name="$E$112">
            <a:extLst>
              <a:ext uri="{FF2B5EF4-FFF2-40B4-BE49-F238E27FC236}">
                <a16:creationId xmlns:a16="http://schemas.microsoft.com/office/drawing/2014/main" id="{00000000-0008-0000-0200-000053130000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8" name="$E$112">
            <a:extLst>
              <a:ext uri="{FF2B5EF4-FFF2-40B4-BE49-F238E27FC236}">
                <a16:creationId xmlns:a16="http://schemas.microsoft.com/office/drawing/2014/main" id="{00000000-0008-0000-0200-000054130000}"/>
              </a:ext>
            </a:extLst>
          </xdr:cNvPr>
          <xdr:cNvSpPr/>
        </xdr:nvSpPr>
        <xdr:spPr>
          <a:xfrm>
            <a:off x="203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9" name="$E$112">
            <a:extLst>
              <a:ext uri="{FF2B5EF4-FFF2-40B4-BE49-F238E27FC236}">
                <a16:creationId xmlns:a16="http://schemas.microsoft.com/office/drawing/2014/main" id="{00000000-0008-0000-0200-0000551300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0" name="$E$112">
            <a:extLst>
              <a:ext uri="{FF2B5EF4-FFF2-40B4-BE49-F238E27FC236}">
                <a16:creationId xmlns:a16="http://schemas.microsoft.com/office/drawing/2014/main" id="{00000000-0008-0000-0200-0000561300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1" name="$E$112">
            <a:extLst>
              <a:ext uri="{FF2B5EF4-FFF2-40B4-BE49-F238E27FC236}">
                <a16:creationId xmlns:a16="http://schemas.microsoft.com/office/drawing/2014/main" id="{00000000-0008-0000-0200-0000571300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2" name="$E$112">
            <a:extLst>
              <a:ext uri="{FF2B5EF4-FFF2-40B4-BE49-F238E27FC236}">
                <a16:creationId xmlns:a16="http://schemas.microsoft.com/office/drawing/2014/main" id="{00000000-0008-0000-0200-0000581300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3" name="$E$112">
            <a:extLst>
              <a:ext uri="{FF2B5EF4-FFF2-40B4-BE49-F238E27FC236}">
                <a16:creationId xmlns:a16="http://schemas.microsoft.com/office/drawing/2014/main" id="{00000000-0008-0000-0200-000059130000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4" name="$E$112">
            <a:extLst>
              <a:ext uri="{FF2B5EF4-FFF2-40B4-BE49-F238E27FC236}">
                <a16:creationId xmlns:a16="http://schemas.microsoft.com/office/drawing/2014/main" id="{00000000-0008-0000-0200-00005A1300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5" name="$E$112">
            <a:extLst>
              <a:ext uri="{FF2B5EF4-FFF2-40B4-BE49-F238E27FC236}">
                <a16:creationId xmlns:a16="http://schemas.microsoft.com/office/drawing/2014/main" id="{00000000-0008-0000-0200-00005B130000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6" name="$E$112">
            <a:extLst>
              <a:ext uri="{FF2B5EF4-FFF2-40B4-BE49-F238E27FC236}">
                <a16:creationId xmlns:a16="http://schemas.microsoft.com/office/drawing/2014/main" id="{00000000-0008-0000-0200-00005C130000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7" name="$E$112">
            <a:extLst>
              <a:ext uri="{FF2B5EF4-FFF2-40B4-BE49-F238E27FC236}">
                <a16:creationId xmlns:a16="http://schemas.microsoft.com/office/drawing/2014/main" id="{00000000-0008-0000-0200-00005D130000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8" name="$E$112">
            <a:extLst>
              <a:ext uri="{FF2B5EF4-FFF2-40B4-BE49-F238E27FC236}">
                <a16:creationId xmlns:a16="http://schemas.microsoft.com/office/drawing/2014/main" id="{00000000-0008-0000-0200-00005E130000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9" name="$E$112">
            <a:extLst>
              <a:ext uri="{FF2B5EF4-FFF2-40B4-BE49-F238E27FC236}">
                <a16:creationId xmlns:a16="http://schemas.microsoft.com/office/drawing/2014/main" id="{00000000-0008-0000-0200-00005F130000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0" name="$E$112">
            <a:extLst>
              <a:ext uri="{FF2B5EF4-FFF2-40B4-BE49-F238E27FC236}">
                <a16:creationId xmlns:a16="http://schemas.microsoft.com/office/drawing/2014/main" id="{00000000-0008-0000-0200-000060130000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1" name="$E$112">
            <a:extLst>
              <a:ext uri="{FF2B5EF4-FFF2-40B4-BE49-F238E27FC236}">
                <a16:creationId xmlns:a16="http://schemas.microsoft.com/office/drawing/2014/main" id="{00000000-0008-0000-0200-000061130000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2" name="$E$112">
            <a:extLst>
              <a:ext uri="{FF2B5EF4-FFF2-40B4-BE49-F238E27FC236}">
                <a16:creationId xmlns:a16="http://schemas.microsoft.com/office/drawing/2014/main" id="{00000000-0008-0000-0200-000062130000}"/>
              </a:ext>
            </a:extLst>
          </xdr:cNvPr>
          <xdr:cNvSpPr/>
        </xdr:nvSpPr>
        <xdr:spPr>
          <a:xfrm>
            <a:off x="114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3" name="$E$112">
            <a:extLst>
              <a:ext uri="{FF2B5EF4-FFF2-40B4-BE49-F238E27FC236}">
                <a16:creationId xmlns:a16="http://schemas.microsoft.com/office/drawing/2014/main" id="{00000000-0008-0000-0200-000063130000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4" name="$E$112">
            <a:extLst>
              <a:ext uri="{FF2B5EF4-FFF2-40B4-BE49-F238E27FC236}">
                <a16:creationId xmlns:a16="http://schemas.microsoft.com/office/drawing/2014/main" id="{00000000-0008-0000-0200-000064130000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5" name="$E$112">
            <a:extLst>
              <a:ext uri="{FF2B5EF4-FFF2-40B4-BE49-F238E27FC236}">
                <a16:creationId xmlns:a16="http://schemas.microsoft.com/office/drawing/2014/main" id="{00000000-0008-0000-0200-000065130000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6" name="$E$112">
            <a:extLst>
              <a:ext uri="{FF2B5EF4-FFF2-40B4-BE49-F238E27FC236}">
                <a16:creationId xmlns:a16="http://schemas.microsoft.com/office/drawing/2014/main" id="{00000000-0008-0000-0200-000066130000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7" name="$E$112">
            <a:extLst>
              <a:ext uri="{FF2B5EF4-FFF2-40B4-BE49-F238E27FC236}">
                <a16:creationId xmlns:a16="http://schemas.microsoft.com/office/drawing/2014/main" id="{00000000-0008-0000-0200-000067130000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8" name="$E$112">
            <a:extLst>
              <a:ext uri="{FF2B5EF4-FFF2-40B4-BE49-F238E27FC236}">
                <a16:creationId xmlns:a16="http://schemas.microsoft.com/office/drawing/2014/main" id="{00000000-0008-0000-0200-000068130000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9" name="$E$112">
            <a:extLst>
              <a:ext uri="{FF2B5EF4-FFF2-40B4-BE49-F238E27FC236}">
                <a16:creationId xmlns:a16="http://schemas.microsoft.com/office/drawing/2014/main" id="{00000000-0008-0000-0200-000069130000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0" name="$E$112">
            <a:extLst>
              <a:ext uri="{FF2B5EF4-FFF2-40B4-BE49-F238E27FC236}">
                <a16:creationId xmlns:a16="http://schemas.microsoft.com/office/drawing/2014/main" id="{00000000-0008-0000-0200-00006A130000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1" name="$E$112">
            <a:extLst>
              <a:ext uri="{FF2B5EF4-FFF2-40B4-BE49-F238E27FC236}">
                <a16:creationId xmlns:a16="http://schemas.microsoft.com/office/drawing/2014/main" id="{00000000-0008-0000-0200-00006B130000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2" name="$E$112">
            <a:extLst>
              <a:ext uri="{FF2B5EF4-FFF2-40B4-BE49-F238E27FC236}">
                <a16:creationId xmlns:a16="http://schemas.microsoft.com/office/drawing/2014/main" id="{00000000-0008-0000-0200-00006C130000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3" name="$E$112">
            <a:extLst>
              <a:ext uri="{FF2B5EF4-FFF2-40B4-BE49-F238E27FC236}">
                <a16:creationId xmlns:a16="http://schemas.microsoft.com/office/drawing/2014/main" id="{00000000-0008-0000-0200-00006D130000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4" name="$E$112">
            <a:extLst>
              <a:ext uri="{FF2B5EF4-FFF2-40B4-BE49-F238E27FC236}">
                <a16:creationId xmlns:a16="http://schemas.microsoft.com/office/drawing/2014/main" id="{00000000-0008-0000-0200-00006E130000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5" name="$E$112">
            <a:extLst>
              <a:ext uri="{FF2B5EF4-FFF2-40B4-BE49-F238E27FC236}">
                <a16:creationId xmlns:a16="http://schemas.microsoft.com/office/drawing/2014/main" id="{00000000-0008-0000-0200-00006F130000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6" name="$E$112">
            <a:extLst>
              <a:ext uri="{FF2B5EF4-FFF2-40B4-BE49-F238E27FC236}">
                <a16:creationId xmlns:a16="http://schemas.microsoft.com/office/drawing/2014/main" id="{00000000-0008-0000-0200-000070130000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7" name="$E$112">
            <a:extLst>
              <a:ext uri="{FF2B5EF4-FFF2-40B4-BE49-F238E27FC236}">
                <a16:creationId xmlns:a16="http://schemas.microsoft.com/office/drawing/2014/main" id="{00000000-0008-0000-0200-000071130000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8" name="$E$112">
            <a:extLst>
              <a:ext uri="{FF2B5EF4-FFF2-40B4-BE49-F238E27FC236}">
                <a16:creationId xmlns:a16="http://schemas.microsoft.com/office/drawing/2014/main" id="{00000000-0008-0000-0200-000072130000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9" name="$E$112">
            <a:extLst>
              <a:ext uri="{FF2B5EF4-FFF2-40B4-BE49-F238E27FC236}">
                <a16:creationId xmlns:a16="http://schemas.microsoft.com/office/drawing/2014/main" id="{00000000-0008-0000-0200-000073130000}"/>
              </a:ext>
            </a:extLst>
          </xdr:cNvPr>
          <xdr:cNvSpPr/>
        </xdr:nvSpPr>
        <xdr:spPr>
          <a:xfrm>
            <a:off x="114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0" name="$E$112">
            <a:extLst>
              <a:ext uri="{FF2B5EF4-FFF2-40B4-BE49-F238E27FC236}">
                <a16:creationId xmlns:a16="http://schemas.microsoft.com/office/drawing/2014/main" id="{00000000-0008-0000-0200-000074130000}"/>
              </a:ext>
            </a:extLst>
          </xdr:cNvPr>
          <xdr:cNvSpPr/>
        </xdr:nvSpPr>
        <xdr:spPr>
          <a:xfrm>
            <a:off x="139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1" name="$E$112">
            <a:extLst>
              <a:ext uri="{FF2B5EF4-FFF2-40B4-BE49-F238E27FC236}">
                <a16:creationId xmlns:a16="http://schemas.microsoft.com/office/drawing/2014/main" id="{00000000-0008-0000-0200-000075130000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2" name="$E$112">
            <a:extLst>
              <a:ext uri="{FF2B5EF4-FFF2-40B4-BE49-F238E27FC236}">
                <a16:creationId xmlns:a16="http://schemas.microsoft.com/office/drawing/2014/main" id="{00000000-0008-0000-0200-000076130000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3" name="$E$112">
            <a:extLst>
              <a:ext uri="{FF2B5EF4-FFF2-40B4-BE49-F238E27FC236}">
                <a16:creationId xmlns:a16="http://schemas.microsoft.com/office/drawing/2014/main" id="{00000000-0008-0000-0200-000077130000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4" name="$E$112">
            <a:extLst>
              <a:ext uri="{FF2B5EF4-FFF2-40B4-BE49-F238E27FC236}">
                <a16:creationId xmlns:a16="http://schemas.microsoft.com/office/drawing/2014/main" id="{00000000-0008-0000-0200-000078130000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5" name="$E$112">
            <a:extLst>
              <a:ext uri="{FF2B5EF4-FFF2-40B4-BE49-F238E27FC236}">
                <a16:creationId xmlns:a16="http://schemas.microsoft.com/office/drawing/2014/main" id="{00000000-0008-0000-0200-000079130000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6" name="$E$112">
            <a:extLst>
              <a:ext uri="{FF2B5EF4-FFF2-40B4-BE49-F238E27FC236}">
                <a16:creationId xmlns:a16="http://schemas.microsoft.com/office/drawing/2014/main" id="{00000000-0008-0000-0200-00007A130000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7" name="$E$112">
            <a:extLst>
              <a:ext uri="{FF2B5EF4-FFF2-40B4-BE49-F238E27FC236}">
                <a16:creationId xmlns:a16="http://schemas.microsoft.com/office/drawing/2014/main" id="{00000000-0008-0000-0200-00007B130000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8" name="$E$112">
            <a:extLst>
              <a:ext uri="{FF2B5EF4-FFF2-40B4-BE49-F238E27FC236}">
                <a16:creationId xmlns:a16="http://schemas.microsoft.com/office/drawing/2014/main" id="{00000000-0008-0000-0200-00007C130000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9" name="$E$112">
            <a:extLst>
              <a:ext uri="{FF2B5EF4-FFF2-40B4-BE49-F238E27FC236}">
                <a16:creationId xmlns:a16="http://schemas.microsoft.com/office/drawing/2014/main" id="{00000000-0008-0000-0200-00007D130000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0" name="$E$112">
            <a:extLst>
              <a:ext uri="{FF2B5EF4-FFF2-40B4-BE49-F238E27FC236}">
                <a16:creationId xmlns:a16="http://schemas.microsoft.com/office/drawing/2014/main" id="{00000000-0008-0000-0200-00007E130000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1" name="$E$112">
            <a:extLst>
              <a:ext uri="{FF2B5EF4-FFF2-40B4-BE49-F238E27FC236}">
                <a16:creationId xmlns:a16="http://schemas.microsoft.com/office/drawing/2014/main" id="{00000000-0008-0000-0200-00007F130000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2" name="$E$112">
            <a:extLst>
              <a:ext uri="{FF2B5EF4-FFF2-40B4-BE49-F238E27FC236}">
                <a16:creationId xmlns:a16="http://schemas.microsoft.com/office/drawing/2014/main" id="{00000000-0008-0000-0200-000080130000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3" name="$E$112">
            <a:extLst>
              <a:ext uri="{FF2B5EF4-FFF2-40B4-BE49-F238E27FC236}">
                <a16:creationId xmlns:a16="http://schemas.microsoft.com/office/drawing/2014/main" id="{00000000-0008-0000-0200-000081130000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4" name="$E$112">
            <a:extLst>
              <a:ext uri="{FF2B5EF4-FFF2-40B4-BE49-F238E27FC236}">
                <a16:creationId xmlns:a16="http://schemas.microsoft.com/office/drawing/2014/main" id="{00000000-0008-0000-0200-000082130000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5" name="$E$112">
            <a:extLst>
              <a:ext uri="{FF2B5EF4-FFF2-40B4-BE49-F238E27FC236}">
                <a16:creationId xmlns:a16="http://schemas.microsoft.com/office/drawing/2014/main" id="{00000000-0008-0000-0200-000083130000}"/>
              </a:ext>
            </a:extLst>
          </xdr:cNvPr>
          <xdr:cNvSpPr/>
        </xdr:nvSpPr>
        <xdr:spPr>
          <a:xfrm>
            <a:off x="114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6" name="$E$112">
            <a:extLst>
              <a:ext uri="{FF2B5EF4-FFF2-40B4-BE49-F238E27FC236}">
                <a16:creationId xmlns:a16="http://schemas.microsoft.com/office/drawing/2014/main" id="{00000000-0008-0000-0200-000084130000}"/>
              </a:ext>
            </a:extLst>
          </xdr:cNvPr>
          <xdr:cNvSpPr/>
        </xdr:nvSpPr>
        <xdr:spPr>
          <a:xfrm>
            <a:off x="127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7" name="$E$112">
            <a:extLst>
              <a:ext uri="{FF2B5EF4-FFF2-40B4-BE49-F238E27FC236}">
                <a16:creationId xmlns:a16="http://schemas.microsoft.com/office/drawing/2014/main" id="{00000000-0008-0000-0200-000085130000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8" name="$E$112">
            <a:extLst>
              <a:ext uri="{FF2B5EF4-FFF2-40B4-BE49-F238E27FC236}">
                <a16:creationId xmlns:a16="http://schemas.microsoft.com/office/drawing/2014/main" id="{00000000-0008-0000-0200-000086130000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9" name="$E$112">
            <a:extLst>
              <a:ext uri="{FF2B5EF4-FFF2-40B4-BE49-F238E27FC236}">
                <a16:creationId xmlns:a16="http://schemas.microsoft.com/office/drawing/2014/main" id="{00000000-0008-0000-0200-000087130000}"/>
              </a:ext>
            </a:extLst>
          </xdr:cNvPr>
          <xdr:cNvSpPr/>
        </xdr:nvSpPr>
        <xdr:spPr>
          <a:xfrm>
            <a:off x="190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0" name="$E$112">
            <a:extLst>
              <a:ext uri="{FF2B5EF4-FFF2-40B4-BE49-F238E27FC236}">
                <a16:creationId xmlns:a16="http://schemas.microsoft.com/office/drawing/2014/main" id="{00000000-0008-0000-0200-000088130000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1" name="$E$112">
            <a:extLst>
              <a:ext uri="{FF2B5EF4-FFF2-40B4-BE49-F238E27FC236}">
                <a16:creationId xmlns:a16="http://schemas.microsoft.com/office/drawing/2014/main" id="{00000000-0008-0000-0200-000089130000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2" name="$E$112">
            <a:extLst>
              <a:ext uri="{FF2B5EF4-FFF2-40B4-BE49-F238E27FC236}">
                <a16:creationId xmlns:a16="http://schemas.microsoft.com/office/drawing/2014/main" id="{00000000-0008-0000-0200-00008A130000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3" name="$E$112">
            <a:extLst>
              <a:ext uri="{FF2B5EF4-FFF2-40B4-BE49-F238E27FC236}">
                <a16:creationId xmlns:a16="http://schemas.microsoft.com/office/drawing/2014/main" id="{00000000-0008-0000-0200-00008B130000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4" name="$E$112">
            <a:extLst>
              <a:ext uri="{FF2B5EF4-FFF2-40B4-BE49-F238E27FC236}">
                <a16:creationId xmlns:a16="http://schemas.microsoft.com/office/drawing/2014/main" id="{00000000-0008-0000-0200-00008C130000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5" name="$E$112">
            <a:extLst>
              <a:ext uri="{FF2B5EF4-FFF2-40B4-BE49-F238E27FC236}">
                <a16:creationId xmlns:a16="http://schemas.microsoft.com/office/drawing/2014/main" id="{00000000-0008-0000-0200-00008D130000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6" name="$E$112">
            <a:extLst>
              <a:ext uri="{FF2B5EF4-FFF2-40B4-BE49-F238E27FC236}">
                <a16:creationId xmlns:a16="http://schemas.microsoft.com/office/drawing/2014/main" id="{00000000-0008-0000-0200-00008E130000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7" name="$E$112">
            <a:extLst>
              <a:ext uri="{FF2B5EF4-FFF2-40B4-BE49-F238E27FC236}">
                <a16:creationId xmlns:a16="http://schemas.microsoft.com/office/drawing/2014/main" id="{00000000-0008-0000-0200-00008F130000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8" name="$E$112">
            <a:extLst>
              <a:ext uri="{FF2B5EF4-FFF2-40B4-BE49-F238E27FC236}">
                <a16:creationId xmlns:a16="http://schemas.microsoft.com/office/drawing/2014/main" id="{00000000-0008-0000-0200-000090130000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9" name="$E$112">
            <a:extLst>
              <a:ext uri="{FF2B5EF4-FFF2-40B4-BE49-F238E27FC236}">
                <a16:creationId xmlns:a16="http://schemas.microsoft.com/office/drawing/2014/main" id="{00000000-0008-0000-0200-000091130000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0" name="$E$112">
            <a:extLst>
              <a:ext uri="{FF2B5EF4-FFF2-40B4-BE49-F238E27FC236}">
                <a16:creationId xmlns:a16="http://schemas.microsoft.com/office/drawing/2014/main" id="{00000000-0008-0000-0200-000092130000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1" name="$E$112">
            <a:extLst>
              <a:ext uri="{FF2B5EF4-FFF2-40B4-BE49-F238E27FC236}">
                <a16:creationId xmlns:a16="http://schemas.microsoft.com/office/drawing/2014/main" id="{00000000-0008-0000-0200-000093130000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2" name="$E$112">
            <a:extLst>
              <a:ext uri="{FF2B5EF4-FFF2-40B4-BE49-F238E27FC236}">
                <a16:creationId xmlns:a16="http://schemas.microsoft.com/office/drawing/2014/main" id="{00000000-0008-0000-0200-000094130000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3" name="$E$112">
            <a:extLst>
              <a:ext uri="{FF2B5EF4-FFF2-40B4-BE49-F238E27FC236}">
                <a16:creationId xmlns:a16="http://schemas.microsoft.com/office/drawing/2014/main" id="{00000000-0008-0000-0200-000095130000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4" name="$E$112">
            <a:extLst>
              <a:ext uri="{FF2B5EF4-FFF2-40B4-BE49-F238E27FC236}">
                <a16:creationId xmlns:a16="http://schemas.microsoft.com/office/drawing/2014/main" id="{00000000-0008-0000-0200-000096130000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5" name="$E$112">
            <a:extLst>
              <a:ext uri="{FF2B5EF4-FFF2-40B4-BE49-F238E27FC236}">
                <a16:creationId xmlns:a16="http://schemas.microsoft.com/office/drawing/2014/main" id="{00000000-0008-0000-0200-000097130000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6" name="$E$112">
            <a:extLst>
              <a:ext uri="{FF2B5EF4-FFF2-40B4-BE49-F238E27FC236}">
                <a16:creationId xmlns:a16="http://schemas.microsoft.com/office/drawing/2014/main" id="{00000000-0008-0000-0200-000098130000}"/>
              </a:ext>
            </a:extLst>
          </xdr:cNvPr>
          <xdr:cNvSpPr/>
        </xdr:nvSpPr>
        <xdr:spPr>
          <a:xfrm>
            <a:off x="152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7" name="$E$112">
            <a:extLst>
              <a:ext uri="{FF2B5EF4-FFF2-40B4-BE49-F238E27FC236}">
                <a16:creationId xmlns:a16="http://schemas.microsoft.com/office/drawing/2014/main" id="{00000000-0008-0000-0200-000099130000}"/>
              </a:ext>
            </a:extLst>
          </xdr:cNvPr>
          <xdr:cNvSpPr/>
        </xdr:nvSpPr>
        <xdr:spPr>
          <a:xfrm>
            <a:off x="203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8" name="$E$112">
            <a:extLst>
              <a:ext uri="{FF2B5EF4-FFF2-40B4-BE49-F238E27FC236}">
                <a16:creationId xmlns:a16="http://schemas.microsoft.com/office/drawing/2014/main" id="{00000000-0008-0000-0200-00009A130000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9" name="$E$112">
            <a:extLst>
              <a:ext uri="{FF2B5EF4-FFF2-40B4-BE49-F238E27FC236}">
                <a16:creationId xmlns:a16="http://schemas.microsoft.com/office/drawing/2014/main" id="{00000000-0008-0000-0200-00009B130000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0" name="$E$112">
            <a:extLst>
              <a:ext uri="{FF2B5EF4-FFF2-40B4-BE49-F238E27FC236}">
                <a16:creationId xmlns:a16="http://schemas.microsoft.com/office/drawing/2014/main" id="{00000000-0008-0000-0200-00009C130000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1" name="$E$112">
            <a:extLst>
              <a:ext uri="{FF2B5EF4-FFF2-40B4-BE49-F238E27FC236}">
                <a16:creationId xmlns:a16="http://schemas.microsoft.com/office/drawing/2014/main" id="{00000000-0008-0000-0200-00009D130000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2" name="$E$112">
            <a:extLst>
              <a:ext uri="{FF2B5EF4-FFF2-40B4-BE49-F238E27FC236}">
                <a16:creationId xmlns:a16="http://schemas.microsoft.com/office/drawing/2014/main" id="{00000000-0008-0000-0200-00009E130000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3" name="$E$112">
            <a:extLst>
              <a:ext uri="{FF2B5EF4-FFF2-40B4-BE49-F238E27FC236}">
                <a16:creationId xmlns:a16="http://schemas.microsoft.com/office/drawing/2014/main" id="{00000000-0008-0000-0200-00009F130000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4" name="$E$112">
            <a:extLst>
              <a:ext uri="{FF2B5EF4-FFF2-40B4-BE49-F238E27FC236}">
                <a16:creationId xmlns:a16="http://schemas.microsoft.com/office/drawing/2014/main" id="{00000000-0008-0000-0200-0000A0130000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336369</xdr:colOff>
      <xdr:row>109</xdr:row>
      <xdr:rowOff>45851</xdr:rowOff>
    </xdr:from>
    <xdr:to>
      <xdr:col>5</xdr:col>
      <xdr:colOff>139882</xdr:colOff>
      <xdr:row>109</xdr:row>
      <xdr:rowOff>1506714</xdr:rowOff>
    </xdr:to>
    <xdr:grpSp>
      <xdr:nvGrpSpPr>
        <xdr:cNvPr id="5571" name="$E$110" descr="QuickResponse barcode, level L, version 4, mode binary, 33x33 cells" title="https://centrodecapacitaciondelsur.com/humanizacion-1233193095/">
          <a:extLst>
            <a:ext uri="{FF2B5EF4-FFF2-40B4-BE49-F238E27FC236}">
              <a16:creationId xmlns:a16="http://schemas.microsoft.com/office/drawing/2014/main" id="{00000000-0008-0000-0200-0000C3150000}"/>
            </a:ext>
          </a:extLst>
        </xdr:cNvPr>
        <xdr:cNvGrpSpPr>
          <a:grpSpLocks noChangeAspect="1"/>
        </xdr:cNvGrpSpPr>
      </xdr:nvGrpSpPr>
      <xdr:grpSpPr>
        <a:xfrm>
          <a:off x="20910369" y="118623442"/>
          <a:ext cx="1466058" cy="1460863"/>
          <a:chOff x="0" y="0"/>
          <a:chExt cx="419100" cy="419100"/>
        </a:xfrm>
      </xdr:grpSpPr>
      <xdr:sp macro="" textlink="">
        <xdr:nvSpPr>
          <xdr:cNvPr id="5026" name="$E$110">
            <a:extLst>
              <a:ext uri="{FF2B5EF4-FFF2-40B4-BE49-F238E27FC236}">
                <a16:creationId xmlns:a16="http://schemas.microsoft.com/office/drawing/2014/main" id="{00000000-0008-0000-0200-0000A213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7" name="$E$110">
            <a:extLst>
              <a:ext uri="{FF2B5EF4-FFF2-40B4-BE49-F238E27FC236}">
                <a16:creationId xmlns:a16="http://schemas.microsoft.com/office/drawing/2014/main" id="{00000000-0008-0000-0200-0000A313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8" name="$E$110">
            <a:extLst>
              <a:ext uri="{FF2B5EF4-FFF2-40B4-BE49-F238E27FC236}">
                <a16:creationId xmlns:a16="http://schemas.microsoft.com/office/drawing/2014/main" id="{00000000-0008-0000-0200-0000A413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9" name="$E$110">
            <a:extLst>
              <a:ext uri="{FF2B5EF4-FFF2-40B4-BE49-F238E27FC236}">
                <a16:creationId xmlns:a16="http://schemas.microsoft.com/office/drawing/2014/main" id="{00000000-0008-0000-0200-0000A513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0" name="$E$110">
            <a:extLst>
              <a:ext uri="{FF2B5EF4-FFF2-40B4-BE49-F238E27FC236}">
                <a16:creationId xmlns:a16="http://schemas.microsoft.com/office/drawing/2014/main" id="{00000000-0008-0000-0200-0000A613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1" name="$E$110">
            <a:extLst>
              <a:ext uri="{FF2B5EF4-FFF2-40B4-BE49-F238E27FC236}">
                <a16:creationId xmlns:a16="http://schemas.microsoft.com/office/drawing/2014/main" id="{00000000-0008-0000-0200-0000A713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2" name="$E$110">
            <a:extLst>
              <a:ext uri="{FF2B5EF4-FFF2-40B4-BE49-F238E27FC236}">
                <a16:creationId xmlns:a16="http://schemas.microsoft.com/office/drawing/2014/main" id="{00000000-0008-0000-0200-0000A813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3" name="$E$110">
            <a:extLst>
              <a:ext uri="{FF2B5EF4-FFF2-40B4-BE49-F238E27FC236}">
                <a16:creationId xmlns:a16="http://schemas.microsoft.com/office/drawing/2014/main" id="{00000000-0008-0000-0200-0000A913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4" name="$E$110">
            <a:extLst>
              <a:ext uri="{FF2B5EF4-FFF2-40B4-BE49-F238E27FC236}">
                <a16:creationId xmlns:a16="http://schemas.microsoft.com/office/drawing/2014/main" id="{00000000-0008-0000-0200-0000AA13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5" name="$E$110">
            <a:extLst>
              <a:ext uri="{FF2B5EF4-FFF2-40B4-BE49-F238E27FC236}">
                <a16:creationId xmlns:a16="http://schemas.microsoft.com/office/drawing/2014/main" id="{00000000-0008-0000-0200-0000AB130000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6" name="$E$110">
            <a:extLst>
              <a:ext uri="{FF2B5EF4-FFF2-40B4-BE49-F238E27FC236}">
                <a16:creationId xmlns:a16="http://schemas.microsoft.com/office/drawing/2014/main" id="{00000000-0008-0000-0200-0000AC130000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7" name="$E$110">
            <a:extLst>
              <a:ext uri="{FF2B5EF4-FFF2-40B4-BE49-F238E27FC236}">
                <a16:creationId xmlns:a16="http://schemas.microsoft.com/office/drawing/2014/main" id="{00000000-0008-0000-0200-0000AD130000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8" name="$E$110">
            <a:extLst>
              <a:ext uri="{FF2B5EF4-FFF2-40B4-BE49-F238E27FC236}">
                <a16:creationId xmlns:a16="http://schemas.microsoft.com/office/drawing/2014/main" id="{00000000-0008-0000-0200-0000AE130000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9" name="$E$110">
            <a:extLst>
              <a:ext uri="{FF2B5EF4-FFF2-40B4-BE49-F238E27FC236}">
                <a16:creationId xmlns:a16="http://schemas.microsoft.com/office/drawing/2014/main" id="{00000000-0008-0000-0200-0000AF13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0" name="$E$110">
            <a:extLst>
              <a:ext uri="{FF2B5EF4-FFF2-40B4-BE49-F238E27FC236}">
                <a16:creationId xmlns:a16="http://schemas.microsoft.com/office/drawing/2014/main" id="{00000000-0008-0000-0200-0000B013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1" name="$E$110">
            <a:extLst>
              <a:ext uri="{FF2B5EF4-FFF2-40B4-BE49-F238E27FC236}">
                <a16:creationId xmlns:a16="http://schemas.microsoft.com/office/drawing/2014/main" id="{00000000-0008-0000-0200-0000B113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2" name="$E$110">
            <a:extLst>
              <a:ext uri="{FF2B5EF4-FFF2-40B4-BE49-F238E27FC236}">
                <a16:creationId xmlns:a16="http://schemas.microsoft.com/office/drawing/2014/main" id="{00000000-0008-0000-0200-0000B213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3" name="$E$110">
            <a:extLst>
              <a:ext uri="{FF2B5EF4-FFF2-40B4-BE49-F238E27FC236}">
                <a16:creationId xmlns:a16="http://schemas.microsoft.com/office/drawing/2014/main" id="{00000000-0008-0000-0200-0000B313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4" name="$E$110">
            <a:extLst>
              <a:ext uri="{FF2B5EF4-FFF2-40B4-BE49-F238E27FC236}">
                <a16:creationId xmlns:a16="http://schemas.microsoft.com/office/drawing/2014/main" id="{00000000-0008-0000-0200-0000B4130000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5" name="$E$110">
            <a:extLst>
              <a:ext uri="{FF2B5EF4-FFF2-40B4-BE49-F238E27FC236}">
                <a16:creationId xmlns:a16="http://schemas.microsoft.com/office/drawing/2014/main" id="{00000000-0008-0000-0200-0000B5130000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6" name="$E$110">
            <a:extLst>
              <a:ext uri="{FF2B5EF4-FFF2-40B4-BE49-F238E27FC236}">
                <a16:creationId xmlns:a16="http://schemas.microsoft.com/office/drawing/2014/main" id="{00000000-0008-0000-0200-0000B6130000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7" name="$E$110">
            <a:extLst>
              <a:ext uri="{FF2B5EF4-FFF2-40B4-BE49-F238E27FC236}">
                <a16:creationId xmlns:a16="http://schemas.microsoft.com/office/drawing/2014/main" id="{00000000-0008-0000-0200-0000B7130000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8" name="$E$110">
            <a:extLst>
              <a:ext uri="{FF2B5EF4-FFF2-40B4-BE49-F238E27FC236}">
                <a16:creationId xmlns:a16="http://schemas.microsoft.com/office/drawing/2014/main" id="{00000000-0008-0000-0200-0000B813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9" name="$E$110">
            <a:extLst>
              <a:ext uri="{FF2B5EF4-FFF2-40B4-BE49-F238E27FC236}">
                <a16:creationId xmlns:a16="http://schemas.microsoft.com/office/drawing/2014/main" id="{00000000-0008-0000-0200-0000B913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0" name="$E$110">
            <a:extLst>
              <a:ext uri="{FF2B5EF4-FFF2-40B4-BE49-F238E27FC236}">
                <a16:creationId xmlns:a16="http://schemas.microsoft.com/office/drawing/2014/main" id="{00000000-0008-0000-0200-0000BA13000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1" name="$E$110">
            <a:extLst>
              <a:ext uri="{FF2B5EF4-FFF2-40B4-BE49-F238E27FC236}">
                <a16:creationId xmlns:a16="http://schemas.microsoft.com/office/drawing/2014/main" id="{00000000-0008-0000-0200-0000BB13000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2" name="$E$110">
            <a:extLst>
              <a:ext uri="{FF2B5EF4-FFF2-40B4-BE49-F238E27FC236}">
                <a16:creationId xmlns:a16="http://schemas.microsoft.com/office/drawing/2014/main" id="{00000000-0008-0000-0200-0000BC13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3" name="$E$110">
            <a:extLst>
              <a:ext uri="{FF2B5EF4-FFF2-40B4-BE49-F238E27FC236}">
                <a16:creationId xmlns:a16="http://schemas.microsoft.com/office/drawing/2014/main" id="{00000000-0008-0000-0200-0000BD13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4" name="$E$110">
            <a:extLst>
              <a:ext uri="{FF2B5EF4-FFF2-40B4-BE49-F238E27FC236}">
                <a16:creationId xmlns:a16="http://schemas.microsoft.com/office/drawing/2014/main" id="{00000000-0008-0000-0200-0000BE130000}"/>
              </a:ext>
            </a:extLst>
          </xdr:cNvPr>
          <xdr:cNvSpPr/>
        </xdr:nvSpPr>
        <xdr:spPr>
          <a:xfrm>
            <a:off x="215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5" name="$E$110">
            <a:extLst>
              <a:ext uri="{FF2B5EF4-FFF2-40B4-BE49-F238E27FC236}">
                <a16:creationId xmlns:a16="http://schemas.microsoft.com/office/drawing/2014/main" id="{00000000-0008-0000-0200-0000BF130000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6" name="$E$110">
            <a:extLst>
              <a:ext uri="{FF2B5EF4-FFF2-40B4-BE49-F238E27FC236}">
                <a16:creationId xmlns:a16="http://schemas.microsoft.com/office/drawing/2014/main" id="{00000000-0008-0000-0200-0000C013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7" name="$E$110">
            <a:extLst>
              <a:ext uri="{FF2B5EF4-FFF2-40B4-BE49-F238E27FC236}">
                <a16:creationId xmlns:a16="http://schemas.microsoft.com/office/drawing/2014/main" id="{00000000-0008-0000-0200-0000C1130000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8" name="$E$110">
            <a:extLst>
              <a:ext uri="{FF2B5EF4-FFF2-40B4-BE49-F238E27FC236}">
                <a16:creationId xmlns:a16="http://schemas.microsoft.com/office/drawing/2014/main" id="{00000000-0008-0000-0200-0000C2130000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9" name="$E$110">
            <a:extLst>
              <a:ext uri="{FF2B5EF4-FFF2-40B4-BE49-F238E27FC236}">
                <a16:creationId xmlns:a16="http://schemas.microsoft.com/office/drawing/2014/main" id="{00000000-0008-0000-0200-0000C31300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0" name="$E$110">
            <a:extLst>
              <a:ext uri="{FF2B5EF4-FFF2-40B4-BE49-F238E27FC236}">
                <a16:creationId xmlns:a16="http://schemas.microsoft.com/office/drawing/2014/main" id="{00000000-0008-0000-0200-0000C41300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1" name="$E$110">
            <a:extLst>
              <a:ext uri="{FF2B5EF4-FFF2-40B4-BE49-F238E27FC236}">
                <a16:creationId xmlns:a16="http://schemas.microsoft.com/office/drawing/2014/main" id="{00000000-0008-0000-0200-0000C51300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2" name="$E$110">
            <a:extLst>
              <a:ext uri="{FF2B5EF4-FFF2-40B4-BE49-F238E27FC236}">
                <a16:creationId xmlns:a16="http://schemas.microsoft.com/office/drawing/2014/main" id="{00000000-0008-0000-0200-0000C61300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3" name="$E$110">
            <a:extLst>
              <a:ext uri="{FF2B5EF4-FFF2-40B4-BE49-F238E27FC236}">
                <a16:creationId xmlns:a16="http://schemas.microsoft.com/office/drawing/2014/main" id="{00000000-0008-0000-0200-0000C71300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4" name="$E$110">
            <a:extLst>
              <a:ext uri="{FF2B5EF4-FFF2-40B4-BE49-F238E27FC236}">
                <a16:creationId xmlns:a16="http://schemas.microsoft.com/office/drawing/2014/main" id="{00000000-0008-0000-0200-0000C81300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5" name="$E$110">
            <a:extLst>
              <a:ext uri="{FF2B5EF4-FFF2-40B4-BE49-F238E27FC236}">
                <a16:creationId xmlns:a16="http://schemas.microsoft.com/office/drawing/2014/main" id="{00000000-0008-0000-0200-0000C9130000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6" name="$E$110">
            <a:extLst>
              <a:ext uri="{FF2B5EF4-FFF2-40B4-BE49-F238E27FC236}">
                <a16:creationId xmlns:a16="http://schemas.microsoft.com/office/drawing/2014/main" id="{00000000-0008-0000-0200-0000CA130000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7" name="$E$110">
            <a:extLst>
              <a:ext uri="{FF2B5EF4-FFF2-40B4-BE49-F238E27FC236}">
                <a16:creationId xmlns:a16="http://schemas.microsoft.com/office/drawing/2014/main" id="{00000000-0008-0000-0200-0000CB130000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8" name="$E$110">
            <a:extLst>
              <a:ext uri="{FF2B5EF4-FFF2-40B4-BE49-F238E27FC236}">
                <a16:creationId xmlns:a16="http://schemas.microsoft.com/office/drawing/2014/main" id="{00000000-0008-0000-0200-0000CC1300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9" name="$E$110">
            <a:extLst>
              <a:ext uri="{FF2B5EF4-FFF2-40B4-BE49-F238E27FC236}">
                <a16:creationId xmlns:a16="http://schemas.microsoft.com/office/drawing/2014/main" id="{00000000-0008-0000-0200-0000CD1300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0" name="$E$110">
            <a:extLst>
              <a:ext uri="{FF2B5EF4-FFF2-40B4-BE49-F238E27FC236}">
                <a16:creationId xmlns:a16="http://schemas.microsoft.com/office/drawing/2014/main" id="{00000000-0008-0000-0200-0000CE130000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1" name="$E$110">
            <a:extLst>
              <a:ext uri="{FF2B5EF4-FFF2-40B4-BE49-F238E27FC236}">
                <a16:creationId xmlns:a16="http://schemas.microsoft.com/office/drawing/2014/main" id="{00000000-0008-0000-0200-0000CF130000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2" name="$E$110">
            <a:extLst>
              <a:ext uri="{FF2B5EF4-FFF2-40B4-BE49-F238E27FC236}">
                <a16:creationId xmlns:a16="http://schemas.microsoft.com/office/drawing/2014/main" id="{00000000-0008-0000-0200-0000D0130000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3" name="$E$110">
            <a:extLst>
              <a:ext uri="{FF2B5EF4-FFF2-40B4-BE49-F238E27FC236}">
                <a16:creationId xmlns:a16="http://schemas.microsoft.com/office/drawing/2014/main" id="{00000000-0008-0000-0200-0000D11300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4" name="$E$110">
            <a:extLst>
              <a:ext uri="{FF2B5EF4-FFF2-40B4-BE49-F238E27FC236}">
                <a16:creationId xmlns:a16="http://schemas.microsoft.com/office/drawing/2014/main" id="{00000000-0008-0000-0200-0000D21300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5" name="$E$110">
            <a:extLst>
              <a:ext uri="{FF2B5EF4-FFF2-40B4-BE49-F238E27FC236}">
                <a16:creationId xmlns:a16="http://schemas.microsoft.com/office/drawing/2014/main" id="{00000000-0008-0000-0200-0000D31300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6" name="$E$110">
            <a:extLst>
              <a:ext uri="{FF2B5EF4-FFF2-40B4-BE49-F238E27FC236}">
                <a16:creationId xmlns:a16="http://schemas.microsoft.com/office/drawing/2014/main" id="{00000000-0008-0000-0200-0000D41300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7" name="$E$110">
            <a:extLst>
              <a:ext uri="{FF2B5EF4-FFF2-40B4-BE49-F238E27FC236}">
                <a16:creationId xmlns:a16="http://schemas.microsoft.com/office/drawing/2014/main" id="{00000000-0008-0000-0200-0000D51300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8" name="$E$110">
            <a:extLst>
              <a:ext uri="{FF2B5EF4-FFF2-40B4-BE49-F238E27FC236}">
                <a16:creationId xmlns:a16="http://schemas.microsoft.com/office/drawing/2014/main" id="{00000000-0008-0000-0200-0000D613000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9" name="$E$110">
            <a:extLst>
              <a:ext uri="{FF2B5EF4-FFF2-40B4-BE49-F238E27FC236}">
                <a16:creationId xmlns:a16="http://schemas.microsoft.com/office/drawing/2014/main" id="{00000000-0008-0000-0200-0000D7130000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0" name="$E$110">
            <a:extLst>
              <a:ext uri="{FF2B5EF4-FFF2-40B4-BE49-F238E27FC236}">
                <a16:creationId xmlns:a16="http://schemas.microsoft.com/office/drawing/2014/main" id="{00000000-0008-0000-0200-0000D8130000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1" name="$E$110">
            <a:extLst>
              <a:ext uri="{FF2B5EF4-FFF2-40B4-BE49-F238E27FC236}">
                <a16:creationId xmlns:a16="http://schemas.microsoft.com/office/drawing/2014/main" id="{00000000-0008-0000-0200-0000D91300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2" name="$E$110">
            <a:extLst>
              <a:ext uri="{FF2B5EF4-FFF2-40B4-BE49-F238E27FC236}">
                <a16:creationId xmlns:a16="http://schemas.microsoft.com/office/drawing/2014/main" id="{00000000-0008-0000-0200-0000DA1300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3" name="$E$110">
            <a:extLst>
              <a:ext uri="{FF2B5EF4-FFF2-40B4-BE49-F238E27FC236}">
                <a16:creationId xmlns:a16="http://schemas.microsoft.com/office/drawing/2014/main" id="{00000000-0008-0000-0200-0000DB130000}"/>
              </a:ext>
            </a:extLst>
          </xdr:cNvPr>
          <xdr:cNvSpPr/>
        </xdr:nvSpPr>
        <xdr:spPr>
          <a:xfrm>
            <a:off x="190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4" name="$E$110">
            <a:extLst>
              <a:ext uri="{FF2B5EF4-FFF2-40B4-BE49-F238E27FC236}">
                <a16:creationId xmlns:a16="http://schemas.microsoft.com/office/drawing/2014/main" id="{00000000-0008-0000-0200-0000DC130000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5" name="$E$110">
            <a:extLst>
              <a:ext uri="{FF2B5EF4-FFF2-40B4-BE49-F238E27FC236}">
                <a16:creationId xmlns:a16="http://schemas.microsoft.com/office/drawing/2014/main" id="{00000000-0008-0000-0200-0000DD130000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6" name="$E$110">
            <a:extLst>
              <a:ext uri="{FF2B5EF4-FFF2-40B4-BE49-F238E27FC236}">
                <a16:creationId xmlns:a16="http://schemas.microsoft.com/office/drawing/2014/main" id="{00000000-0008-0000-0200-0000DE1300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7" name="$E$110">
            <a:extLst>
              <a:ext uri="{FF2B5EF4-FFF2-40B4-BE49-F238E27FC236}">
                <a16:creationId xmlns:a16="http://schemas.microsoft.com/office/drawing/2014/main" id="{00000000-0008-0000-0200-0000DF130000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8" name="$E$110">
            <a:extLst>
              <a:ext uri="{FF2B5EF4-FFF2-40B4-BE49-F238E27FC236}">
                <a16:creationId xmlns:a16="http://schemas.microsoft.com/office/drawing/2014/main" id="{00000000-0008-0000-0200-0000E01300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9" name="$E$110">
            <a:extLst>
              <a:ext uri="{FF2B5EF4-FFF2-40B4-BE49-F238E27FC236}">
                <a16:creationId xmlns:a16="http://schemas.microsoft.com/office/drawing/2014/main" id="{00000000-0008-0000-0200-0000E11300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0" name="$E$110">
            <a:extLst>
              <a:ext uri="{FF2B5EF4-FFF2-40B4-BE49-F238E27FC236}">
                <a16:creationId xmlns:a16="http://schemas.microsoft.com/office/drawing/2014/main" id="{00000000-0008-0000-0200-0000E21300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1" name="$E$110">
            <a:extLst>
              <a:ext uri="{FF2B5EF4-FFF2-40B4-BE49-F238E27FC236}">
                <a16:creationId xmlns:a16="http://schemas.microsoft.com/office/drawing/2014/main" id="{00000000-0008-0000-0200-0000E3130000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2" name="$E$110">
            <a:extLst>
              <a:ext uri="{FF2B5EF4-FFF2-40B4-BE49-F238E27FC236}">
                <a16:creationId xmlns:a16="http://schemas.microsoft.com/office/drawing/2014/main" id="{00000000-0008-0000-0200-0000E4130000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3" name="$E$110">
            <a:extLst>
              <a:ext uri="{FF2B5EF4-FFF2-40B4-BE49-F238E27FC236}">
                <a16:creationId xmlns:a16="http://schemas.microsoft.com/office/drawing/2014/main" id="{00000000-0008-0000-0200-0000E5130000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4" name="$E$110">
            <a:extLst>
              <a:ext uri="{FF2B5EF4-FFF2-40B4-BE49-F238E27FC236}">
                <a16:creationId xmlns:a16="http://schemas.microsoft.com/office/drawing/2014/main" id="{00000000-0008-0000-0200-0000E61300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5" name="$E$110">
            <a:extLst>
              <a:ext uri="{FF2B5EF4-FFF2-40B4-BE49-F238E27FC236}">
                <a16:creationId xmlns:a16="http://schemas.microsoft.com/office/drawing/2014/main" id="{00000000-0008-0000-0200-0000E71300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6" name="$E$110">
            <a:extLst>
              <a:ext uri="{FF2B5EF4-FFF2-40B4-BE49-F238E27FC236}">
                <a16:creationId xmlns:a16="http://schemas.microsoft.com/office/drawing/2014/main" id="{00000000-0008-0000-0200-0000E81300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7" name="$E$110">
            <a:extLst>
              <a:ext uri="{FF2B5EF4-FFF2-40B4-BE49-F238E27FC236}">
                <a16:creationId xmlns:a16="http://schemas.microsoft.com/office/drawing/2014/main" id="{00000000-0008-0000-0200-0000E91300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8" name="$E$110">
            <a:extLst>
              <a:ext uri="{FF2B5EF4-FFF2-40B4-BE49-F238E27FC236}">
                <a16:creationId xmlns:a16="http://schemas.microsoft.com/office/drawing/2014/main" id="{00000000-0008-0000-0200-0000EA1300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9" name="$E$110">
            <a:extLst>
              <a:ext uri="{FF2B5EF4-FFF2-40B4-BE49-F238E27FC236}">
                <a16:creationId xmlns:a16="http://schemas.microsoft.com/office/drawing/2014/main" id="{00000000-0008-0000-0200-0000EB130000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0" name="$E$110">
            <a:extLst>
              <a:ext uri="{FF2B5EF4-FFF2-40B4-BE49-F238E27FC236}">
                <a16:creationId xmlns:a16="http://schemas.microsoft.com/office/drawing/2014/main" id="{00000000-0008-0000-0200-0000EC130000}"/>
              </a:ext>
            </a:extLst>
          </xdr:cNvPr>
          <xdr:cNvSpPr/>
        </xdr:nvSpPr>
        <xdr:spPr>
          <a:xfrm>
            <a:off x="165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1" name="$E$110">
            <a:extLst>
              <a:ext uri="{FF2B5EF4-FFF2-40B4-BE49-F238E27FC236}">
                <a16:creationId xmlns:a16="http://schemas.microsoft.com/office/drawing/2014/main" id="{00000000-0008-0000-0200-0000ED1300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2" name="$E$110">
            <a:extLst>
              <a:ext uri="{FF2B5EF4-FFF2-40B4-BE49-F238E27FC236}">
                <a16:creationId xmlns:a16="http://schemas.microsoft.com/office/drawing/2014/main" id="{00000000-0008-0000-0200-0000EE130000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3" name="$E$110">
            <a:extLst>
              <a:ext uri="{FF2B5EF4-FFF2-40B4-BE49-F238E27FC236}">
                <a16:creationId xmlns:a16="http://schemas.microsoft.com/office/drawing/2014/main" id="{00000000-0008-0000-0200-0000EF1300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4" name="$E$110">
            <a:extLst>
              <a:ext uri="{FF2B5EF4-FFF2-40B4-BE49-F238E27FC236}">
                <a16:creationId xmlns:a16="http://schemas.microsoft.com/office/drawing/2014/main" id="{00000000-0008-0000-0200-0000F01300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5" name="$E$110">
            <a:extLst>
              <a:ext uri="{FF2B5EF4-FFF2-40B4-BE49-F238E27FC236}">
                <a16:creationId xmlns:a16="http://schemas.microsoft.com/office/drawing/2014/main" id="{00000000-0008-0000-0200-0000F11300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6" name="$E$110">
            <a:extLst>
              <a:ext uri="{FF2B5EF4-FFF2-40B4-BE49-F238E27FC236}">
                <a16:creationId xmlns:a16="http://schemas.microsoft.com/office/drawing/2014/main" id="{00000000-0008-0000-0200-0000F2130000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7" name="$E$110">
            <a:extLst>
              <a:ext uri="{FF2B5EF4-FFF2-40B4-BE49-F238E27FC236}">
                <a16:creationId xmlns:a16="http://schemas.microsoft.com/office/drawing/2014/main" id="{00000000-0008-0000-0200-0000F3130000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8" name="$E$110">
            <a:extLst>
              <a:ext uri="{FF2B5EF4-FFF2-40B4-BE49-F238E27FC236}">
                <a16:creationId xmlns:a16="http://schemas.microsoft.com/office/drawing/2014/main" id="{00000000-0008-0000-0200-0000F41300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9" name="$E$110">
            <a:extLst>
              <a:ext uri="{FF2B5EF4-FFF2-40B4-BE49-F238E27FC236}">
                <a16:creationId xmlns:a16="http://schemas.microsoft.com/office/drawing/2014/main" id="{00000000-0008-0000-0200-0000F51300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0" name="$E$110">
            <a:extLst>
              <a:ext uri="{FF2B5EF4-FFF2-40B4-BE49-F238E27FC236}">
                <a16:creationId xmlns:a16="http://schemas.microsoft.com/office/drawing/2014/main" id="{00000000-0008-0000-0200-0000F6130000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1" name="$E$110">
            <a:extLst>
              <a:ext uri="{FF2B5EF4-FFF2-40B4-BE49-F238E27FC236}">
                <a16:creationId xmlns:a16="http://schemas.microsoft.com/office/drawing/2014/main" id="{00000000-0008-0000-0200-0000F7130000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2" name="$E$110">
            <a:extLst>
              <a:ext uri="{FF2B5EF4-FFF2-40B4-BE49-F238E27FC236}">
                <a16:creationId xmlns:a16="http://schemas.microsoft.com/office/drawing/2014/main" id="{00000000-0008-0000-0200-0000F8130000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3" name="$E$110">
            <a:extLst>
              <a:ext uri="{FF2B5EF4-FFF2-40B4-BE49-F238E27FC236}">
                <a16:creationId xmlns:a16="http://schemas.microsoft.com/office/drawing/2014/main" id="{00000000-0008-0000-0200-0000F91300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4" name="$E$110">
            <a:extLst>
              <a:ext uri="{FF2B5EF4-FFF2-40B4-BE49-F238E27FC236}">
                <a16:creationId xmlns:a16="http://schemas.microsoft.com/office/drawing/2014/main" id="{00000000-0008-0000-0200-0000FA1300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5" name="$E$110">
            <a:extLst>
              <a:ext uri="{FF2B5EF4-FFF2-40B4-BE49-F238E27FC236}">
                <a16:creationId xmlns:a16="http://schemas.microsoft.com/office/drawing/2014/main" id="{00000000-0008-0000-0200-0000FB1300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6" name="$E$110">
            <a:extLst>
              <a:ext uri="{FF2B5EF4-FFF2-40B4-BE49-F238E27FC236}">
                <a16:creationId xmlns:a16="http://schemas.microsoft.com/office/drawing/2014/main" id="{00000000-0008-0000-0200-0000FC130000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7" name="$E$110">
            <a:extLst>
              <a:ext uri="{FF2B5EF4-FFF2-40B4-BE49-F238E27FC236}">
                <a16:creationId xmlns:a16="http://schemas.microsoft.com/office/drawing/2014/main" id="{00000000-0008-0000-0200-0000FD13000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8" name="$E$110">
            <a:extLst>
              <a:ext uri="{FF2B5EF4-FFF2-40B4-BE49-F238E27FC236}">
                <a16:creationId xmlns:a16="http://schemas.microsoft.com/office/drawing/2014/main" id="{00000000-0008-0000-0200-0000FE130000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9" name="$E$110">
            <a:extLst>
              <a:ext uri="{FF2B5EF4-FFF2-40B4-BE49-F238E27FC236}">
                <a16:creationId xmlns:a16="http://schemas.microsoft.com/office/drawing/2014/main" id="{00000000-0008-0000-0200-0000FF1300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0" name="$E$110">
            <a:extLst>
              <a:ext uri="{FF2B5EF4-FFF2-40B4-BE49-F238E27FC236}">
                <a16:creationId xmlns:a16="http://schemas.microsoft.com/office/drawing/2014/main" id="{00000000-0008-0000-0200-0000001400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1" name="$E$110">
            <a:extLst>
              <a:ext uri="{FF2B5EF4-FFF2-40B4-BE49-F238E27FC236}">
                <a16:creationId xmlns:a16="http://schemas.microsoft.com/office/drawing/2014/main" id="{00000000-0008-0000-0200-000001140000}"/>
              </a:ext>
            </a:extLst>
          </xdr:cNvPr>
          <xdr:cNvSpPr/>
        </xdr:nvSpPr>
        <xdr:spPr>
          <a:xfrm>
            <a:off x="228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2" name="$E$110">
            <a:extLst>
              <a:ext uri="{FF2B5EF4-FFF2-40B4-BE49-F238E27FC236}">
                <a16:creationId xmlns:a16="http://schemas.microsoft.com/office/drawing/2014/main" id="{00000000-0008-0000-0200-000002140000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3" name="$E$110">
            <a:extLst>
              <a:ext uri="{FF2B5EF4-FFF2-40B4-BE49-F238E27FC236}">
                <a16:creationId xmlns:a16="http://schemas.microsoft.com/office/drawing/2014/main" id="{00000000-0008-0000-0200-000003140000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4" name="$E$110">
            <a:extLst>
              <a:ext uri="{FF2B5EF4-FFF2-40B4-BE49-F238E27FC236}">
                <a16:creationId xmlns:a16="http://schemas.microsoft.com/office/drawing/2014/main" id="{00000000-0008-0000-0200-0000041400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5" name="$E$110">
            <a:extLst>
              <a:ext uri="{FF2B5EF4-FFF2-40B4-BE49-F238E27FC236}">
                <a16:creationId xmlns:a16="http://schemas.microsoft.com/office/drawing/2014/main" id="{00000000-0008-0000-0200-000005140000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6" name="$E$110">
            <a:extLst>
              <a:ext uri="{FF2B5EF4-FFF2-40B4-BE49-F238E27FC236}">
                <a16:creationId xmlns:a16="http://schemas.microsoft.com/office/drawing/2014/main" id="{00000000-0008-0000-0200-000006140000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7" name="$E$110">
            <a:extLst>
              <a:ext uri="{FF2B5EF4-FFF2-40B4-BE49-F238E27FC236}">
                <a16:creationId xmlns:a16="http://schemas.microsoft.com/office/drawing/2014/main" id="{00000000-0008-0000-0200-0000071400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8" name="$E$110">
            <a:extLst>
              <a:ext uri="{FF2B5EF4-FFF2-40B4-BE49-F238E27FC236}">
                <a16:creationId xmlns:a16="http://schemas.microsoft.com/office/drawing/2014/main" id="{00000000-0008-0000-0200-0000081400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9" name="$E$110">
            <a:extLst>
              <a:ext uri="{FF2B5EF4-FFF2-40B4-BE49-F238E27FC236}">
                <a16:creationId xmlns:a16="http://schemas.microsoft.com/office/drawing/2014/main" id="{00000000-0008-0000-0200-0000091400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0" name="$E$110">
            <a:extLst>
              <a:ext uri="{FF2B5EF4-FFF2-40B4-BE49-F238E27FC236}">
                <a16:creationId xmlns:a16="http://schemas.microsoft.com/office/drawing/2014/main" id="{00000000-0008-0000-0200-00000A1400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1" name="$E$110">
            <a:extLst>
              <a:ext uri="{FF2B5EF4-FFF2-40B4-BE49-F238E27FC236}">
                <a16:creationId xmlns:a16="http://schemas.microsoft.com/office/drawing/2014/main" id="{00000000-0008-0000-0200-00000B1400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2" name="$E$110">
            <a:extLst>
              <a:ext uri="{FF2B5EF4-FFF2-40B4-BE49-F238E27FC236}">
                <a16:creationId xmlns:a16="http://schemas.microsoft.com/office/drawing/2014/main" id="{00000000-0008-0000-0200-00000C1400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3" name="$E$110">
            <a:extLst>
              <a:ext uri="{FF2B5EF4-FFF2-40B4-BE49-F238E27FC236}">
                <a16:creationId xmlns:a16="http://schemas.microsoft.com/office/drawing/2014/main" id="{00000000-0008-0000-0200-00000D1400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4" name="$E$110">
            <a:extLst>
              <a:ext uri="{FF2B5EF4-FFF2-40B4-BE49-F238E27FC236}">
                <a16:creationId xmlns:a16="http://schemas.microsoft.com/office/drawing/2014/main" id="{00000000-0008-0000-0200-00000E1400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5" name="$E$110">
            <a:extLst>
              <a:ext uri="{FF2B5EF4-FFF2-40B4-BE49-F238E27FC236}">
                <a16:creationId xmlns:a16="http://schemas.microsoft.com/office/drawing/2014/main" id="{00000000-0008-0000-0200-00000F1400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6" name="$E$110">
            <a:extLst>
              <a:ext uri="{FF2B5EF4-FFF2-40B4-BE49-F238E27FC236}">
                <a16:creationId xmlns:a16="http://schemas.microsoft.com/office/drawing/2014/main" id="{00000000-0008-0000-0200-0000101400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7" name="$E$110">
            <a:extLst>
              <a:ext uri="{FF2B5EF4-FFF2-40B4-BE49-F238E27FC236}">
                <a16:creationId xmlns:a16="http://schemas.microsoft.com/office/drawing/2014/main" id="{00000000-0008-0000-0200-0000111400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8" name="$E$110">
            <a:extLst>
              <a:ext uri="{FF2B5EF4-FFF2-40B4-BE49-F238E27FC236}">
                <a16:creationId xmlns:a16="http://schemas.microsoft.com/office/drawing/2014/main" id="{00000000-0008-0000-0200-0000121400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9" name="$E$110">
            <a:extLst>
              <a:ext uri="{FF2B5EF4-FFF2-40B4-BE49-F238E27FC236}">
                <a16:creationId xmlns:a16="http://schemas.microsoft.com/office/drawing/2014/main" id="{00000000-0008-0000-0200-0000131400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0" name="$E$110">
            <a:extLst>
              <a:ext uri="{FF2B5EF4-FFF2-40B4-BE49-F238E27FC236}">
                <a16:creationId xmlns:a16="http://schemas.microsoft.com/office/drawing/2014/main" id="{00000000-0008-0000-0200-0000141400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1" name="$E$110">
            <a:extLst>
              <a:ext uri="{FF2B5EF4-FFF2-40B4-BE49-F238E27FC236}">
                <a16:creationId xmlns:a16="http://schemas.microsoft.com/office/drawing/2014/main" id="{00000000-0008-0000-0200-0000151400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2" name="$E$110">
            <a:extLst>
              <a:ext uri="{FF2B5EF4-FFF2-40B4-BE49-F238E27FC236}">
                <a16:creationId xmlns:a16="http://schemas.microsoft.com/office/drawing/2014/main" id="{00000000-0008-0000-0200-0000161400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3" name="$E$110">
            <a:extLst>
              <a:ext uri="{FF2B5EF4-FFF2-40B4-BE49-F238E27FC236}">
                <a16:creationId xmlns:a16="http://schemas.microsoft.com/office/drawing/2014/main" id="{00000000-0008-0000-0200-0000171400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4" name="$E$110">
            <a:extLst>
              <a:ext uri="{FF2B5EF4-FFF2-40B4-BE49-F238E27FC236}">
                <a16:creationId xmlns:a16="http://schemas.microsoft.com/office/drawing/2014/main" id="{00000000-0008-0000-0200-0000181400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5" name="$E$110">
            <a:extLst>
              <a:ext uri="{FF2B5EF4-FFF2-40B4-BE49-F238E27FC236}">
                <a16:creationId xmlns:a16="http://schemas.microsoft.com/office/drawing/2014/main" id="{00000000-0008-0000-0200-0000191400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6" name="$E$110">
            <a:extLst>
              <a:ext uri="{FF2B5EF4-FFF2-40B4-BE49-F238E27FC236}">
                <a16:creationId xmlns:a16="http://schemas.microsoft.com/office/drawing/2014/main" id="{00000000-0008-0000-0200-00001A140000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7" name="$E$110">
            <a:extLst>
              <a:ext uri="{FF2B5EF4-FFF2-40B4-BE49-F238E27FC236}">
                <a16:creationId xmlns:a16="http://schemas.microsoft.com/office/drawing/2014/main" id="{00000000-0008-0000-0200-00001B140000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8" name="$E$110">
            <a:extLst>
              <a:ext uri="{FF2B5EF4-FFF2-40B4-BE49-F238E27FC236}">
                <a16:creationId xmlns:a16="http://schemas.microsoft.com/office/drawing/2014/main" id="{00000000-0008-0000-0200-00001C140000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9" name="$E$110">
            <a:extLst>
              <a:ext uri="{FF2B5EF4-FFF2-40B4-BE49-F238E27FC236}">
                <a16:creationId xmlns:a16="http://schemas.microsoft.com/office/drawing/2014/main" id="{00000000-0008-0000-0200-00001D140000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0" name="$E$110">
            <a:extLst>
              <a:ext uri="{FF2B5EF4-FFF2-40B4-BE49-F238E27FC236}">
                <a16:creationId xmlns:a16="http://schemas.microsoft.com/office/drawing/2014/main" id="{00000000-0008-0000-0200-00001E1400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1" name="$E$110">
            <a:extLst>
              <a:ext uri="{FF2B5EF4-FFF2-40B4-BE49-F238E27FC236}">
                <a16:creationId xmlns:a16="http://schemas.microsoft.com/office/drawing/2014/main" id="{00000000-0008-0000-0200-00001F1400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2" name="$E$110">
            <a:extLst>
              <a:ext uri="{FF2B5EF4-FFF2-40B4-BE49-F238E27FC236}">
                <a16:creationId xmlns:a16="http://schemas.microsoft.com/office/drawing/2014/main" id="{00000000-0008-0000-0200-000020140000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3" name="$E$110">
            <a:extLst>
              <a:ext uri="{FF2B5EF4-FFF2-40B4-BE49-F238E27FC236}">
                <a16:creationId xmlns:a16="http://schemas.microsoft.com/office/drawing/2014/main" id="{00000000-0008-0000-0200-000021140000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4" name="$E$110">
            <a:extLst>
              <a:ext uri="{FF2B5EF4-FFF2-40B4-BE49-F238E27FC236}">
                <a16:creationId xmlns:a16="http://schemas.microsoft.com/office/drawing/2014/main" id="{00000000-0008-0000-0200-0000221400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5" name="$E$110">
            <a:extLst>
              <a:ext uri="{FF2B5EF4-FFF2-40B4-BE49-F238E27FC236}">
                <a16:creationId xmlns:a16="http://schemas.microsoft.com/office/drawing/2014/main" id="{00000000-0008-0000-0200-000023140000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6" name="$E$110">
            <a:extLst>
              <a:ext uri="{FF2B5EF4-FFF2-40B4-BE49-F238E27FC236}">
                <a16:creationId xmlns:a16="http://schemas.microsoft.com/office/drawing/2014/main" id="{00000000-0008-0000-0200-000024140000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7" name="$E$110">
            <a:extLst>
              <a:ext uri="{FF2B5EF4-FFF2-40B4-BE49-F238E27FC236}">
                <a16:creationId xmlns:a16="http://schemas.microsoft.com/office/drawing/2014/main" id="{00000000-0008-0000-0200-000025140000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8" name="$E$110">
            <a:extLst>
              <a:ext uri="{FF2B5EF4-FFF2-40B4-BE49-F238E27FC236}">
                <a16:creationId xmlns:a16="http://schemas.microsoft.com/office/drawing/2014/main" id="{00000000-0008-0000-0200-0000261400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9" name="$E$110">
            <a:extLst>
              <a:ext uri="{FF2B5EF4-FFF2-40B4-BE49-F238E27FC236}">
                <a16:creationId xmlns:a16="http://schemas.microsoft.com/office/drawing/2014/main" id="{00000000-0008-0000-0200-000027140000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0" name="$E$110">
            <a:extLst>
              <a:ext uri="{FF2B5EF4-FFF2-40B4-BE49-F238E27FC236}">
                <a16:creationId xmlns:a16="http://schemas.microsoft.com/office/drawing/2014/main" id="{00000000-0008-0000-0200-000028140000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1" name="$E$110">
            <a:extLst>
              <a:ext uri="{FF2B5EF4-FFF2-40B4-BE49-F238E27FC236}">
                <a16:creationId xmlns:a16="http://schemas.microsoft.com/office/drawing/2014/main" id="{00000000-0008-0000-0200-0000291400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2" name="$E$110">
            <a:extLst>
              <a:ext uri="{FF2B5EF4-FFF2-40B4-BE49-F238E27FC236}">
                <a16:creationId xmlns:a16="http://schemas.microsoft.com/office/drawing/2014/main" id="{00000000-0008-0000-0200-00002A140000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3" name="$E$110">
            <a:extLst>
              <a:ext uri="{FF2B5EF4-FFF2-40B4-BE49-F238E27FC236}">
                <a16:creationId xmlns:a16="http://schemas.microsoft.com/office/drawing/2014/main" id="{00000000-0008-0000-0200-00002B1400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4" name="$E$110">
            <a:extLst>
              <a:ext uri="{FF2B5EF4-FFF2-40B4-BE49-F238E27FC236}">
                <a16:creationId xmlns:a16="http://schemas.microsoft.com/office/drawing/2014/main" id="{00000000-0008-0000-0200-00002C140000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5" name="$E$110">
            <a:extLst>
              <a:ext uri="{FF2B5EF4-FFF2-40B4-BE49-F238E27FC236}">
                <a16:creationId xmlns:a16="http://schemas.microsoft.com/office/drawing/2014/main" id="{00000000-0008-0000-0200-00002D1400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6" name="$E$110">
            <a:extLst>
              <a:ext uri="{FF2B5EF4-FFF2-40B4-BE49-F238E27FC236}">
                <a16:creationId xmlns:a16="http://schemas.microsoft.com/office/drawing/2014/main" id="{00000000-0008-0000-0200-00002E1400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7" name="$E$110">
            <a:extLst>
              <a:ext uri="{FF2B5EF4-FFF2-40B4-BE49-F238E27FC236}">
                <a16:creationId xmlns:a16="http://schemas.microsoft.com/office/drawing/2014/main" id="{00000000-0008-0000-0200-00002F140000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8" name="$E$110">
            <a:extLst>
              <a:ext uri="{FF2B5EF4-FFF2-40B4-BE49-F238E27FC236}">
                <a16:creationId xmlns:a16="http://schemas.microsoft.com/office/drawing/2014/main" id="{00000000-0008-0000-0200-000030140000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9" name="$E$110">
            <a:extLst>
              <a:ext uri="{FF2B5EF4-FFF2-40B4-BE49-F238E27FC236}">
                <a16:creationId xmlns:a16="http://schemas.microsoft.com/office/drawing/2014/main" id="{00000000-0008-0000-0200-0000311400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0" name="$E$110">
            <a:extLst>
              <a:ext uri="{FF2B5EF4-FFF2-40B4-BE49-F238E27FC236}">
                <a16:creationId xmlns:a16="http://schemas.microsoft.com/office/drawing/2014/main" id="{00000000-0008-0000-0200-0000321400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1" name="$E$110">
            <a:extLst>
              <a:ext uri="{FF2B5EF4-FFF2-40B4-BE49-F238E27FC236}">
                <a16:creationId xmlns:a16="http://schemas.microsoft.com/office/drawing/2014/main" id="{00000000-0008-0000-0200-00003314000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2" name="$E$110">
            <a:extLst>
              <a:ext uri="{FF2B5EF4-FFF2-40B4-BE49-F238E27FC236}">
                <a16:creationId xmlns:a16="http://schemas.microsoft.com/office/drawing/2014/main" id="{00000000-0008-0000-0200-000034140000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3" name="$E$110">
            <a:extLst>
              <a:ext uri="{FF2B5EF4-FFF2-40B4-BE49-F238E27FC236}">
                <a16:creationId xmlns:a16="http://schemas.microsoft.com/office/drawing/2014/main" id="{00000000-0008-0000-0200-0000351400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4" name="$E$110">
            <a:extLst>
              <a:ext uri="{FF2B5EF4-FFF2-40B4-BE49-F238E27FC236}">
                <a16:creationId xmlns:a16="http://schemas.microsoft.com/office/drawing/2014/main" id="{00000000-0008-0000-0200-000036140000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5" name="$E$110">
            <a:extLst>
              <a:ext uri="{FF2B5EF4-FFF2-40B4-BE49-F238E27FC236}">
                <a16:creationId xmlns:a16="http://schemas.microsoft.com/office/drawing/2014/main" id="{00000000-0008-0000-0200-000037140000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6" name="$E$110">
            <a:extLst>
              <a:ext uri="{FF2B5EF4-FFF2-40B4-BE49-F238E27FC236}">
                <a16:creationId xmlns:a16="http://schemas.microsoft.com/office/drawing/2014/main" id="{00000000-0008-0000-0200-000038140000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7" name="$E$110">
            <a:extLst>
              <a:ext uri="{FF2B5EF4-FFF2-40B4-BE49-F238E27FC236}">
                <a16:creationId xmlns:a16="http://schemas.microsoft.com/office/drawing/2014/main" id="{00000000-0008-0000-0200-000039140000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8" name="$E$110">
            <a:extLst>
              <a:ext uri="{FF2B5EF4-FFF2-40B4-BE49-F238E27FC236}">
                <a16:creationId xmlns:a16="http://schemas.microsoft.com/office/drawing/2014/main" id="{00000000-0008-0000-0200-00003A140000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9" name="$E$110">
            <a:extLst>
              <a:ext uri="{FF2B5EF4-FFF2-40B4-BE49-F238E27FC236}">
                <a16:creationId xmlns:a16="http://schemas.microsoft.com/office/drawing/2014/main" id="{00000000-0008-0000-0200-00003B140000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0" name="$E$110">
            <a:extLst>
              <a:ext uri="{FF2B5EF4-FFF2-40B4-BE49-F238E27FC236}">
                <a16:creationId xmlns:a16="http://schemas.microsoft.com/office/drawing/2014/main" id="{00000000-0008-0000-0200-00003C1400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1" name="$E$110">
            <a:extLst>
              <a:ext uri="{FF2B5EF4-FFF2-40B4-BE49-F238E27FC236}">
                <a16:creationId xmlns:a16="http://schemas.microsoft.com/office/drawing/2014/main" id="{00000000-0008-0000-0200-00003D1400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2" name="$E$110">
            <a:extLst>
              <a:ext uri="{FF2B5EF4-FFF2-40B4-BE49-F238E27FC236}">
                <a16:creationId xmlns:a16="http://schemas.microsoft.com/office/drawing/2014/main" id="{00000000-0008-0000-0200-00003E14000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3" name="$E$110">
            <a:extLst>
              <a:ext uri="{FF2B5EF4-FFF2-40B4-BE49-F238E27FC236}">
                <a16:creationId xmlns:a16="http://schemas.microsoft.com/office/drawing/2014/main" id="{00000000-0008-0000-0200-00003F140000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4" name="$E$110">
            <a:extLst>
              <a:ext uri="{FF2B5EF4-FFF2-40B4-BE49-F238E27FC236}">
                <a16:creationId xmlns:a16="http://schemas.microsoft.com/office/drawing/2014/main" id="{00000000-0008-0000-0200-00004014000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5" name="$E$110">
            <a:extLst>
              <a:ext uri="{FF2B5EF4-FFF2-40B4-BE49-F238E27FC236}">
                <a16:creationId xmlns:a16="http://schemas.microsoft.com/office/drawing/2014/main" id="{00000000-0008-0000-0200-000041140000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6" name="$E$110">
            <a:extLst>
              <a:ext uri="{FF2B5EF4-FFF2-40B4-BE49-F238E27FC236}">
                <a16:creationId xmlns:a16="http://schemas.microsoft.com/office/drawing/2014/main" id="{00000000-0008-0000-0200-000042140000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7" name="$E$110">
            <a:extLst>
              <a:ext uri="{FF2B5EF4-FFF2-40B4-BE49-F238E27FC236}">
                <a16:creationId xmlns:a16="http://schemas.microsoft.com/office/drawing/2014/main" id="{00000000-0008-0000-0200-000043140000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8" name="$E$110">
            <a:extLst>
              <a:ext uri="{FF2B5EF4-FFF2-40B4-BE49-F238E27FC236}">
                <a16:creationId xmlns:a16="http://schemas.microsoft.com/office/drawing/2014/main" id="{00000000-0008-0000-0200-0000441400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9" name="$E$110">
            <a:extLst>
              <a:ext uri="{FF2B5EF4-FFF2-40B4-BE49-F238E27FC236}">
                <a16:creationId xmlns:a16="http://schemas.microsoft.com/office/drawing/2014/main" id="{00000000-0008-0000-0200-000045140000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0" name="$E$110">
            <a:extLst>
              <a:ext uri="{FF2B5EF4-FFF2-40B4-BE49-F238E27FC236}">
                <a16:creationId xmlns:a16="http://schemas.microsoft.com/office/drawing/2014/main" id="{00000000-0008-0000-0200-0000461400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1" name="$E$110">
            <a:extLst>
              <a:ext uri="{FF2B5EF4-FFF2-40B4-BE49-F238E27FC236}">
                <a16:creationId xmlns:a16="http://schemas.microsoft.com/office/drawing/2014/main" id="{00000000-0008-0000-0200-0000471400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2" name="$E$110">
            <a:extLst>
              <a:ext uri="{FF2B5EF4-FFF2-40B4-BE49-F238E27FC236}">
                <a16:creationId xmlns:a16="http://schemas.microsoft.com/office/drawing/2014/main" id="{00000000-0008-0000-0200-000048140000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3" name="$E$110">
            <a:extLst>
              <a:ext uri="{FF2B5EF4-FFF2-40B4-BE49-F238E27FC236}">
                <a16:creationId xmlns:a16="http://schemas.microsoft.com/office/drawing/2014/main" id="{00000000-0008-0000-0200-000049140000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4" name="$E$110">
            <a:extLst>
              <a:ext uri="{FF2B5EF4-FFF2-40B4-BE49-F238E27FC236}">
                <a16:creationId xmlns:a16="http://schemas.microsoft.com/office/drawing/2014/main" id="{00000000-0008-0000-0200-00004A140000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5" name="$E$110">
            <a:extLst>
              <a:ext uri="{FF2B5EF4-FFF2-40B4-BE49-F238E27FC236}">
                <a16:creationId xmlns:a16="http://schemas.microsoft.com/office/drawing/2014/main" id="{00000000-0008-0000-0200-00004B140000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6" name="$E$110">
            <a:extLst>
              <a:ext uri="{FF2B5EF4-FFF2-40B4-BE49-F238E27FC236}">
                <a16:creationId xmlns:a16="http://schemas.microsoft.com/office/drawing/2014/main" id="{00000000-0008-0000-0200-00004C1400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7" name="$E$110">
            <a:extLst>
              <a:ext uri="{FF2B5EF4-FFF2-40B4-BE49-F238E27FC236}">
                <a16:creationId xmlns:a16="http://schemas.microsoft.com/office/drawing/2014/main" id="{00000000-0008-0000-0200-00004D1400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8" name="$E$110">
            <a:extLst>
              <a:ext uri="{FF2B5EF4-FFF2-40B4-BE49-F238E27FC236}">
                <a16:creationId xmlns:a16="http://schemas.microsoft.com/office/drawing/2014/main" id="{00000000-0008-0000-0200-00004E1400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9" name="$E$110">
            <a:extLst>
              <a:ext uri="{FF2B5EF4-FFF2-40B4-BE49-F238E27FC236}">
                <a16:creationId xmlns:a16="http://schemas.microsoft.com/office/drawing/2014/main" id="{00000000-0008-0000-0200-00004F1400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0" name="$E$110">
            <a:extLst>
              <a:ext uri="{FF2B5EF4-FFF2-40B4-BE49-F238E27FC236}">
                <a16:creationId xmlns:a16="http://schemas.microsoft.com/office/drawing/2014/main" id="{00000000-0008-0000-0200-0000501400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1" name="$E$110">
            <a:extLst>
              <a:ext uri="{FF2B5EF4-FFF2-40B4-BE49-F238E27FC236}">
                <a16:creationId xmlns:a16="http://schemas.microsoft.com/office/drawing/2014/main" id="{00000000-0008-0000-0200-0000511400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2" name="$E$110">
            <a:extLst>
              <a:ext uri="{FF2B5EF4-FFF2-40B4-BE49-F238E27FC236}">
                <a16:creationId xmlns:a16="http://schemas.microsoft.com/office/drawing/2014/main" id="{00000000-0008-0000-0200-000052140000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3" name="$E$110">
            <a:extLst>
              <a:ext uri="{FF2B5EF4-FFF2-40B4-BE49-F238E27FC236}">
                <a16:creationId xmlns:a16="http://schemas.microsoft.com/office/drawing/2014/main" id="{00000000-0008-0000-0200-000053140000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4" name="$E$110">
            <a:extLst>
              <a:ext uri="{FF2B5EF4-FFF2-40B4-BE49-F238E27FC236}">
                <a16:creationId xmlns:a16="http://schemas.microsoft.com/office/drawing/2014/main" id="{00000000-0008-0000-0200-0000541400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5" name="$E$110">
            <a:extLst>
              <a:ext uri="{FF2B5EF4-FFF2-40B4-BE49-F238E27FC236}">
                <a16:creationId xmlns:a16="http://schemas.microsoft.com/office/drawing/2014/main" id="{00000000-0008-0000-0200-0000551400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6" name="$E$110">
            <a:extLst>
              <a:ext uri="{FF2B5EF4-FFF2-40B4-BE49-F238E27FC236}">
                <a16:creationId xmlns:a16="http://schemas.microsoft.com/office/drawing/2014/main" id="{00000000-0008-0000-0200-0000561400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7" name="$E$110">
            <a:extLst>
              <a:ext uri="{FF2B5EF4-FFF2-40B4-BE49-F238E27FC236}">
                <a16:creationId xmlns:a16="http://schemas.microsoft.com/office/drawing/2014/main" id="{00000000-0008-0000-0200-000057140000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8" name="$E$110">
            <a:extLst>
              <a:ext uri="{FF2B5EF4-FFF2-40B4-BE49-F238E27FC236}">
                <a16:creationId xmlns:a16="http://schemas.microsoft.com/office/drawing/2014/main" id="{00000000-0008-0000-0200-000058140000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9" name="$E$110">
            <a:extLst>
              <a:ext uri="{FF2B5EF4-FFF2-40B4-BE49-F238E27FC236}">
                <a16:creationId xmlns:a16="http://schemas.microsoft.com/office/drawing/2014/main" id="{00000000-0008-0000-0200-000059140000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0" name="$E$110">
            <a:extLst>
              <a:ext uri="{FF2B5EF4-FFF2-40B4-BE49-F238E27FC236}">
                <a16:creationId xmlns:a16="http://schemas.microsoft.com/office/drawing/2014/main" id="{00000000-0008-0000-0200-00005A140000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1" name="$E$110">
            <a:extLst>
              <a:ext uri="{FF2B5EF4-FFF2-40B4-BE49-F238E27FC236}">
                <a16:creationId xmlns:a16="http://schemas.microsoft.com/office/drawing/2014/main" id="{00000000-0008-0000-0200-00005B140000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2" name="$E$110">
            <a:extLst>
              <a:ext uri="{FF2B5EF4-FFF2-40B4-BE49-F238E27FC236}">
                <a16:creationId xmlns:a16="http://schemas.microsoft.com/office/drawing/2014/main" id="{00000000-0008-0000-0200-00005C1400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3" name="$E$110">
            <a:extLst>
              <a:ext uri="{FF2B5EF4-FFF2-40B4-BE49-F238E27FC236}">
                <a16:creationId xmlns:a16="http://schemas.microsoft.com/office/drawing/2014/main" id="{00000000-0008-0000-0200-00005D1400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4" name="$E$110">
            <a:extLst>
              <a:ext uri="{FF2B5EF4-FFF2-40B4-BE49-F238E27FC236}">
                <a16:creationId xmlns:a16="http://schemas.microsoft.com/office/drawing/2014/main" id="{00000000-0008-0000-0200-00005E1400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5" name="$E$110">
            <a:extLst>
              <a:ext uri="{FF2B5EF4-FFF2-40B4-BE49-F238E27FC236}">
                <a16:creationId xmlns:a16="http://schemas.microsoft.com/office/drawing/2014/main" id="{00000000-0008-0000-0200-00005F140000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6" name="$E$110">
            <a:extLst>
              <a:ext uri="{FF2B5EF4-FFF2-40B4-BE49-F238E27FC236}">
                <a16:creationId xmlns:a16="http://schemas.microsoft.com/office/drawing/2014/main" id="{00000000-0008-0000-0200-000060140000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7" name="$E$110">
            <a:extLst>
              <a:ext uri="{FF2B5EF4-FFF2-40B4-BE49-F238E27FC236}">
                <a16:creationId xmlns:a16="http://schemas.microsoft.com/office/drawing/2014/main" id="{00000000-0008-0000-0200-000061140000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8" name="$E$110">
            <a:extLst>
              <a:ext uri="{FF2B5EF4-FFF2-40B4-BE49-F238E27FC236}">
                <a16:creationId xmlns:a16="http://schemas.microsoft.com/office/drawing/2014/main" id="{00000000-0008-0000-0200-000062140000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9" name="$E$110">
            <a:extLst>
              <a:ext uri="{FF2B5EF4-FFF2-40B4-BE49-F238E27FC236}">
                <a16:creationId xmlns:a16="http://schemas.microsoft.com/office/drawing/2014/main" id="{00000000-0008-0000-0200-0000631400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0" name="$E$110">
            <a:extLst>
              <a:ext uri="{FF2B5EF4-FFF2-40B4-BE49-F238E27FC236}">
                <a16:creationId xmlns:a16="http://schemas.microsoft.com/office/drawing/2014/main" id="{00000000-0008-0000-0200-0000641400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1" name="$E$110">
            <a:extLst>
              <a:ext uri="{FF2B5EF4-FFF2-40B4-BE49-F238E27FC236}">
                <a16:creationId xmlns:a16="http://schemas.microsoft.com/office/drawing/2014/main" id="{00000000-0008-0000-0200-000065140000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2" name="$E$110">
            <a:extLst>
              <a:ext uri="{FF2B5EF4-FFF2-40B4-BE49-F238E27FC236}">
                <a16:creationId xmlns:a16="http://schemas.microsoft.com/office/drawing/2014/main" id="{00000000-0008-0000-0200-000066140000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3" name="$E$110">
            <a:extLst>
              <a:ext uri="{FF2B5EF4-FFF2-40B4-BE49-F238E27FC236}">
                <a16:creationId xmlns:a16="http://schemas.microsoft.com/office/drawing/2014/main" id="{00000000-0008-0000-0200-0000671400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4" name="$E$110">
            <a:extLst>
              <a:ext uri="{FF2B5EF4-FFF2-40B4-BE49-F238E27FC236}">
                <a16:creationId xmlns:a16="http://schemas.microsoft.com/office/drawing/2014/main" id="{00000000-0008-0000-0200-000068140000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5" name="$E$110">
            <a:extLst>
              <a:ext uri="{FF2B5EF4-FFF2-40B4-BE49-F238E27FC236}">
                <a16:creationId xmlns:a16="http://schemas.microsoft.com/office/drawing/2014/main" id="{00000000-0008-0000-0200-000069140000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6" name="$E$110">
            <a:extLst>
              <a:ext uri="{FF2B5EF4-FFF2-40B4-BE49-F238E27FC236}">
                <a16:creationId xmlns:a16="http://schemas.microsoft.com/office/drawing/2014/main" id="{00000000-0008-0000-0200-00006A1400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7" name="$E$110">
            <a:extLst>
              <a:ext uri="{FF2B5EF4-FFF2-40B4-BE49-F238E27FC236}">
                <a16:creationId xmlns:a16="http://schemas.microsoft.com/office/drawing/2014/main" id="{00000000-0008-0000-0200-00006B1400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8" name="$E$110">
            <a:extLst>
              <a:ext uri="{FF2B5EF4-FFF2-40B4-BE49-F238E27FC236}">
                <a16:creationId xmlns:a16="http://schemas.microsoft.com/office/drawing/2014/main" id="{00000000-0008-0000-0200-00006C1400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9" name="$E$110">
            <a:extLst>
              <a:ext uri="{FF2B5EF4-FFF2-40B4-BE49-F238E27FC236}">
                <a16:creationId xmlns:a16="http://schemas.microsoft.com/office/drawing/2014/main" id="{00000000-0008-0000-0200-00006D1400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0" name="$E$110">
            <a:extLst>
              <a:ext uri="{FF2B5EF4-FFF2-40B4-BE49-F238E27FC236}">
                <a16:creationId xmlns:a16="http://schemas.microsoft.com/office/drawing/2014/main" id="{00000000-0008-0000-0200-00006E140000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1" name="$E$110">
            <a:extLst>
              <a:ext uri="{FF2B5EF4-FFF2-40B4-BE49-F238E27FC236}">
                <a16:creationId xmlns:a16="http://schemas.microsoft.com/office/drawing/2014/main" id="{00000000-0008-0000-0200-00006F140000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2" name="$E$110">
            <a:extLst>
              <a:ext uri="{FF2B5EF4-FFF2-40B4-BE49-F238E27FC236}">
                <a16:creationId xmlns:a16="http://schemas.microsoft.com/office/drawing/2014/main" id="{00000000-0008-0000-0200-0000701400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3" name="$E$110">
            <a:extLst>
              <a:ext uri="{FF2B5EF4-FFF2-40B4-BE49-F238E27FC236}">
                <a16:creationId xmlns:a16="http://schemas.microsoft.com/office/drawing/2014/main" id="{00000000-0008-0000-0200-000071140000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4" name="$E$110">
            <a:extLst>
              <a:ext uri="{FF2B5EF4-FFF2-40B4-BE49-F238E27FC236}">
                <a16:creationId xmlns:a16="http://schemas.microsoft.com/office/drawing/2014/main" id="{00000000-0008-0000-0200-000072140000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5" name="$E$110">
            <a:extLst>
              <a:ext uri="{FF2B5EF4-FFF2-40B4-BE49-F238E27FC236}">
                <a16:creationId xmlns:a16="http://schemas.microsoft.com/office/drawing/2014/main" id="{00000000-0008-0000-0200-0000731400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6" name="$E$110">
            <a:extLst>
              <a:ext uri="{FF2B5EF4-FFF2-40B4-BE49-F238E27FC236}">
                <a16:creationId xmlns:a16="http://schemas.microsoft.com/office/drawing/2014/main" id="{00000000-0008-0000-0200-000074140000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7" name="$E$110">
            <a:extLst>
              <a:ext uri="{FF2B5EF4-FFF2-40B4-BE49-F238E27FC236}">
                <a16:creationId xmlns:a16="http://schemas.microsoft.com/office/drawing/2014/main" id="{00000000-0008-0000-0200-000075140000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8" name="$E$110">
            <a:extLst>
              <a:ext uri="{FF2B5EF4-FFF2-40B4-BE49-F238E27FC236}">
                <a16:creationId xmlns:a16="http://schemas.microsoft.com/office/drawing/2014/main" id="{00000000-0008-0000-0200-000076140000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9" name="$E$110">
            <a:extLst>
              <a:ext uri="{FF2B5EF4-FFF2-40B4-BE49-F238E27FC236}">
                <a16:creationId xmlns:a16="http://schemas.microsoft.com/office/drawing/2014/main" id="{00000000-0008-0000-0200-000077140000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0" name="$E$110">
            <a:extLst>
              <a:ext uri="{FF2B5EF4-FFF2-40B4-BE49-F238E27FC236}">
                <a16:creationId xmlns:a16="http://schemas.microsoft.com/office/drawing/2014/main" id="{00000000-0008-0000-0200-0000781400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1" name="$E$110">
            <a:extLst>
              <a:ext uri="{FF2B5EF4-FFF2-40B4-BE49-F238E27FC236}">
                <a16:creationId xmlns:a16="http://schemas.microsoft.com/office/drawing/2014/main" id="{00000000-0008-0000-0200-000079140000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2" name="$E$110">
            <a:extLst>
              <a:ext uri="{FF2B5EF4-FFF2-40B4-BE49-F238E27FC236}">
                <a16:creationId xmlns:a16="http://schemas.microsoft.com/office/drawing/2014/main" id="{00000000-0008-0000-0200-00007A140000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3" name="$E$110">
            <a:extLst>
              <a:ext uri="{FF2B5EF4-FFF2-40B4-BE49-F238E27FC236}">
                <a16:creationId xmlns:a16="http://schemas.microsoft.com/office/drawing/2014/main" id="{00000000-0008-0000-0200-00007B140000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4" name="$E$110">
            <a:extLst>
              <a:ext uri="{FF2B5EF4-FFF2-40B4-BE49-F238E27FC236}">
                <a16:creationId xmlns:a16="http://schemas.microsoft.com/office/drawing/2014/main" id="{00000000-0008-0000-0200-00007C140000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5" name="$E$110">
            <a:extLst>
              <a:ext uri="{FF2B5EF4-FFF2-40B4-BE49-F238E27FC236}">
                <a16:creationId xmlns:a16="http://schemas.microsoft.com/office/drawing/2014/main" id="{00000000-0008-0000-0200-00007D140000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6" name="$E$110">
            <a:extLst>
              <a:ext uri="{FF2B5EF4-FFF2-40B4-BE49-F238E27FC236}">
                <a16:creationId xmlns:a16="http://schemas.microsoft.com/office/drawing/2014/main" id="{00000000-0008-0000-0200-00007E1400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7" name="$E$110">
            <a:extLst>
              <a:ext uri="{FF2B5EF4-FFF2-40B4-BE49-F238E27FC236}">
                <a16:creationId xmlns:a16="http://schemas.microsoft.com/office/drawing/2014/main" id="{00000000-0008-0000-0200-00007F1400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8" name="$E$110">
            <a:extLst>
              <a:ext uri="{FF2B5EF4-FFF2-40B4-BE49-F238E27FC236}">
                <a16:creationId xmlns:a16="http://schemas.microsoft.com/office/drawing/2014/main" id="{00000000-0008-0000-0200-000080140000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9" name="$E$110">
            <a:extLst>
              <a:ext uri="{FF2B5EF4-FFF2-40B4-BE49-F238E27FC236}">
                <a16:creationId xmlns:a16="http://schemas.microsoft.com/office/drawing/2014/main" id="{00000000-0008-0000-0200-0000811400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0" name="$E$110">
            <a:extLst>
              <a:ext uri="{FF2B5EF4-FFF2-40B4-BE49-F238E27FC236}">
                <a16:creationId xmlns:a16="http://schemas.microsoft.com/office/drawing/2014/main" id="{00000000-0008-0000-0200-000082140000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1" name="$E$110">
            <a:extLst>
              <a:ext uri="{FF2B5EF4-FFF2-40B4-BE49-F238E27FC236}">
                <a16:creationId xmlns:a16="http://schemas.microsoft.com/office/drawing/2014/main" id="{00000000-0008-0000-0200-000083140000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2" name="$E$110">
            <a:extLst>
              <a:ext uri="{FF2B5EF4-FFF2-40B4-BE49-F238E27FC236}">
                <a16:creationId xmlns:a16="http://schemas.microsoft.com/office/drawing/2014/main" id="{00000000-0008-0000-0200-000084140000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3" name="$E$110">
            <a:extLst>
              <a:ext uri="{FF2B5EF4-FFF2-40B4-BE49-F238E27FC236}">
                <a16:creationId xmlns:a16="http://schemas.microsoft.com/office/drawing/2014/main" id="{00000000-0008-0000-0200-000085140000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4" name="$E$110">
            <a:extLst>
              <a:ext uri="{FF2B5EF4-FFF2-40B4-BE49-F238E27FC236}">
                <a16:creationId xmlns:a16="http://schemas.microsoft.com/office/drawing/2014/main" id="{00000000-0008-0000-0200-000086140000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5" name="$E$110">
            <a:extLst>
              <a:ext uri="{FF2B5EF4-FFF2-40B4-BE49-F238E27FC236}">
                <a16:creationId xmlns:a16="http://schemas.microsoft.com/office/drawing/2014/main" id="{00000000-0008-0000-0200-000087140000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6" name="$E$110">
            <a:extLst>
              <a:ext uri="{FF2B5EF4-FFF2-40B4-BE49-F238E27FC236}">
                <a16:creationId xmlns:a16="http://schemas.microsoft.com/office/drawing/2014/main" id="{00000000-0008-0000-0200-000088140000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7" name="$E$110">
            <a:extLst>
              <a:ext uri="{FF2B5EF4-FFF2-40B4-BE49-F238E27FC236}">
                <a16:creationId xmlns:a16="http://schemas.microsoft.com/office/drawing/2014/main" id="{00000000-0008-0000-0200-0000891400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8" name="$E$110">
            <a:extLst>
              <a:ext uri="{FF2B5EF4-FFF2-40B4-BE49-F238E27FC236}">
                <a16:creationId xmlns:a16="http://schemas.microsoft.com/office/drawing/2014/main" id="{00000000-0008-0000-0200-00008A140000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9" name="$E$110">
            <a:extLst>
              <a:ext uri="{FF2B5EF4-FFF2-40B4-BE49-F238E27FC236}">
                <a16:creationId xmlns:a16="http://schemas.microsoft.com/office/drawing/2014/main" id="{00000000-0008-0000-0200-00008B1400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0" name="$E$110">
            <a:extLst>
              <a:ext uri="{FF2B5EF4-FFF2-40B4-BE49-F238E27FC236}">
                <a16:creationId xmlns:a16="http://schemas.microsoft.com/office/drawing/2014/main" id="{00000000-0008-0000-0200-00008C140000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1" name="$E$110">
            <a:extLst>
              <a:ext uri="{FF2B5EF4-FFF2-40B4-BE49-F238E27FC236}">
                <a16:creationId xmlns:a16="http://schemas.microsoft.com/office/drawing/2014/main" id="{00000000-0008-0000-0200-00008D140000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2" name="$E$110">
            <a:extLst>
              <a:ext uri="{FF2B5EF4-FFF2-40B4-BE49-F238E27FC236}">
                <a16:creationId xmlns:a16="http://schemas.microsoft.com/office/drawing/2014/main" id="{00000000-0008-0000-0200-00008E1400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3" name="$E$110">
            <a:extLst>
              <a:ext uri="{FF2B5EF4-FFF2-40B4-BE49-F238E27FC236}">
                <a16:creationId xmlns:a16="http://schemas.microsoft.com/office/drawing/2014/main" id="{00000000-0008-0000-0200-00008F1400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4" name="$E$110">
            <a:extLst>
              <a:ext uri="{FF2B5EF4-FFF2-40B4-BE49-F238E27FC236}">
                <a16:creationId xmlns:a16="http://schemas.microsoft.com/office/drawing/2014/main" id="{00000000-0008-0000-0200-0000901400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5" name="$E$110">
            <a:extLst>
              <a:ext uri="{FF2B5EF4-FFF2-40B4-BE49-F238E27FC236}">
                <a16:creationId xmlns:a16="http://schemas.microsoft.com/office/drawing/2014/main" id="{00000000-0008-0000-0200-0000911400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6" name="$E$110">
            <a:extLst>
              <a:ext uri="{FF2B5EF4-FFF2-40B4-BE49-F238E27FC236}">
                <a16:creationId xmlns:a16="http://schemas.microsoft.com/office/drawing/2014/main" id="{00000000-0008-0000-0200-000092140000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7" name="$E$110">
            <a:extLst>
              <a:ext uri="{FF2B5EF4-FFF2-40B4-BE49-F238E27FC236}">
                <a16:creationId xmlns:a16="http://schemas.microsoft.com/office/drawing/2014/main" id="{00000000-0008-0000-0200-0000931400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8" name="$E$110">
            <a:extLst>
              <a:ext uri="{FF2B5EF4-FFF2-40B4-BE49-F238E27FC236}">
                <a16:creationId xmlns:a16="http://schemas.microsoft.com/office/drawing/2014/main" id="{00000000-0008-0000-0200-000094140000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9" name="$E$110">
            <a:extLst>
              <a:ext uri="{FF2B5EF4-FFF2-40B4-BE49-F238E27FC236}">
                <a16:creationId xmlns:a16="http://schemas.microsoft.com/office/drawing/2014/main" id="{00000000-0008-0000-0200-0000951400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0" name="$E$110">
            <a:extLst>
              <a:ext uri="{FF2B5EF4-FFF2-40B4-BE49-F238E27FC236}">
                <a16:creationId xmlns:a16="http://schemas.microsoft.com/office/drawing/2014/main" id="{00000000-0008-0000-0200-000096140000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1" name="$E$110">
            <a:extLst>
              <a:ext uri="{FF2B5EF4-FFF2-40B4-BE49-F238E27FC236}">
                <a16:creationId xmlns:a16="http://schemas.microsoft.com/office/drawing/2014/main" id="{00000000-0008-0000-0200-000097140000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2" name="$E$110">
            <a:extLst>
              <a:ext uri="{FF2B5EF4-FFF2-40B4-BE49-F238E27FC236}">
                <a16:creationId xmlns:a16="http://schemas.microsoft.com/office/drawing/2014/main" id="{00000000-0008-0000-0200-000098140000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3" name="$E$110">
            <a:extLst>
              <a:ext uri="{FF2B5EF4-FFF2-40B4-BE49-F238E27FC236}">
                <a16:creationId xmlns:a16="http://schemas.microsoft.com/office/drawing/2014/main" id="{00000000-0008-0000-0200-000099140000}"/>
              </a:ext>
            </a:extLst>
          </xdr:cNvPr>
          <xdr:cNvSpPr/>
        </xdr:nvSpPr>
        <xdr:spPr>
          <a:xfrm>
            <a:off x="12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4" name="$E$110">
            <a:extLst>
              <a:ext uri="{FF2B5EF4-FFF2-40B4-BE49-F238E27FC236}">
                <a16:creationId xmlns:a16="http://schemas.microsoft.com/office/drawing/2014/main" id="{00000000-0008-0000-0200-00009A1400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5" name="$E$110">
            <a:extLst>
              <a:ext uri="{FF2B5EF4-FFF2-40B4-BE49-F238E27FC236}">
                <a16:creationId xmlns:a16="http://schemas.microsoft.com/office/drawing/2014/main" id="{00000000-0008-0000-0200-00009B1400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6" name="$E$110">
            <a:extLst>
              <a:ext uri="{FF2B5EF4-FFF2-40B4-BE49-F238E27FC236}">
                <a16:creationId xmlns:a16="http://schemas.microsoft.com/office/drawing/2014/main" id="{00000000-0008-0000-0200-00009C140000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7" name="$E$110">
            <a:extLst>
              <a:ext uri="{FF2B5EF4-FFF2-40B4-BE49-F238E27FC236}">
                <a16:creationId xmlns:a16="http://schemas.microsoft.com/office/drawing/2014/main" id="{00000000-0008-0000-0200-00009D1400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8" name="$E$110">
            <a:extLst>
              <a:ext uri="{FF2B5EF4-FFF2-40B4-BE49-F238E27FC236}">
                <a16:creationId xmlns:a16="http://schemas.microsoft.com/office/drawing/2014/main" id="{00000000-0008-0000-0200-00009E140000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9" name="$E$110">
            <a:extLst>
              <a:ext uri="{FF2B5EF4-FFF2-40B4-BE49-F238E27FC236}">
                <a16:creationId xmlns:a16="http://schemas.microsoft.com/office/drawing/2014/main" id="{00000000-0008-0000-0200-00009F140000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0" name="$E$110">
            <a:extLst>
              <a:ext uri="{FF2B5EF4-FFF2-40B4-BE49-F238E27FC236}">
                <a16:creationId xmlns:a16="http://schemas.microsoft.com/office/drawing/2014/main" id="{00000000-0008-0000-0200-0000A01400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1" name="$E$110">
            <a:extLst>
              <a:ext uri="{FF2B5EF4-FFF2-40B4-BE49-F238E27FC236}">
                <a16:creationId xmlns:a16="http://schemas.microsoft.com/office/drawing/2014/main" id="{00000000-0008-0000-0200-0000A1140000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2" name="$E$110">
            <a:extLst>
              <a:ext uri="{FF2B5EF4-FFF2-40B4-BE49-F238E27FC236}">
                <a16:creationId xmlns:a16="http://schemas.microsoft.com/office/drawing/2014/main" id="{00000000-0008-0000-0200-0000A2140000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3" name="$E$110">
            <a:extLst>
              <a:ext uri="{FF2B5EF4-FFF2-40B4-BE49-F238E27FC236}">
                <a16:creationId xmlns:a16="http://schemas.microsoft.com/office/drawing/2014/main" id="{00000000-0008-0000-0200-0000A31400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4" name="$E$110">
            <a:extLst>
              <a:ext uri="{FF2B5EF4-FFF2-40B4-BE49-F238E27FC236}">
                <a16:creationId xmlns:a16="http://schemas.microsoft.com/office/drawing/2014/main" id="{00000000-0008-0000-0200-0000A41400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5" name="$E$110">
            <a:extLst>
              <a:ext uri="{FF2B5EF4-FFF2-40B4-BE49-F238E27FC236}">
                <a16:creationId xmlns:a16="http://schemas.microsoft.com/office/drawing/2014/main" id="{00000000-0008-0000-0200-0000A51400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6" name="$E$110">
            <a:extLst>
              <a:ext uri="{FF2B5EF4-FFF2-40B4-BE49-F238E27FC236}">
                <a16:creationId xmlns:a16="http://schemas.microsoft.com/office/drawing/2014/main" id="{00000000-0008-0000-0200-0000A61400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7" name="$E$110">
            <a:extLst>
              <a:ext uri="{FF2B5EF4-FFF2-40B4-BE49-F238E27FC236}">
                <a16:creationId xmlns:a16="http://schemas.microsoft.com/office/drawing/2014/main" id="{00000000-0008-0000-0200-0000A7140000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8" name="$E$110">
            <a:extLst>
              <a:ext uri="{FF2B5EF4-FFF2-40B4-BE49-F238E27FC236}">
                <a16:creationId xmlns:a16="http://schemas.microsoft.com/office/drawing/2014/main" id="{00000000-0008-0000-0200-0000A8140000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9" name="$E$110">
            <a:extLst>
              <a:ext uri="{FF2B5EF4-FFF2-40B4-BE49-F238E27FC236}">
                <a16:creationId xmlns:a16="http://schemas.microsoft.com/office/drawing/2014/main" id="{00000000-0008-0000-0200-0000A91400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0" name="$E$110">
            <a:extLst>
              <a:ext uri="{FF2B5EF4-FFF2-40B4-BE49-F238E27FC236}">
                <a16:creationId xmlns:a16="http://schemas.microsoft.com/office/drawing/2014/main" id="{00000000-0008-0000-0200-0000AA140000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1" name="$E$110">
            <a:extLst>
              <a:ext uri="{FF2B5EF4-FFF2-40B4-BE49-F238E27FC236}">
                <a16:creationId xmlns:a16="http://schemas.microsoft.com/office/drawing/2014/main" id="{00000000-0008-0000-0200-0000AB140000}"/>
              </a:ext>
            </a:extLst>
          </xdr:cNvPr>
          <xdr:cNvSpPr/>
        </xdr:nvSpPr>
        <xdr:spPr>
          <a:xfrm>
            <a:off x="203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2" name="$E$110">
            <a:extLst>
              <a:ext uri="{FF2B5EF4-FFF2-40B4-BE49-F238E27FC236}">
                <a16:creationId xmlns:a16="http://schemas.microsoft.com/office/drawing/2014/main" id="{00000000-0008-0000-0200-0000AC1400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3" name="$E$110">
            <a:extLst>
              <a:ext uri="{FF2B5EF4-FFF2-40B4-BE49-F238E27FC236}">
                <a16:creationId xmlns:a16="http://schemas.microsoft.com/office/drawing/2014/main" id="{00000000-0008-0000-0200-0000AD140000}"/>
              </a:ext>
            </a:extLst>
          </xdr:cNvPr>
          <xdr:cNvSpPr/>
        </xdr:nvSpPr>
        <xdr:spPr>
          <a:xfrm>
            <a:off x="241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4" name="$E$110">
            <a:extLst>
              <a:ext uri="{FF2B5EF4-FFF2-40B4-BE49-F238E27FC236}">
                <a16:creationId xmlns:a16="http://schemas.microsoft.com/office/drawing/2014/main" id="{00000000-0008-0000-0200-0000AE1400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5" name="$E$110">
            <a:extLst>
              <a:ext uri="{FF2B5EF4-FFF2-40B4-BE49-F238E27FC236}">
                <a16:creationId xmlns:a16="http://schemas.microsoft.com/office/drawing/2014/main" id="{00000000-0008-0000-0200-0000AF140000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6" name="$E$110">
            <a:extLst>
              <a:ext uri="{FF2B5EF4-FFF2-40B4-BE49-F238E27FC236}">
                <a16:creationId xmlns:a16="http://schemas.microsoft.com/office/drawing/2014/main" id="{00000000-0008-0000-0200-0000B01400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7" name="$E$110">
            <a:extLst>
              <a:ext uri="{FF2B5EF4-FFF2-40B4-BE49-F238E27FC236}">
                <a16:creationId xmlns:a16="http://schemas.microsoft.com/office/drawing/2014/main" id="{00000000-0008-0000-0200-0000B11400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8" name="$E$110">
            <a:extLst>
              <a:ext uri="{FF2B5EF4-FFF2-40B4-BE49-F238E27FC236}">
                <a16:creationId xmlns:a16="http://schemas.microsoft.com/office/drawing/2014/main" id="{00000000-0008-0000-0200-0000B21400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9" name="$E$110">
            <a:extLst>
              <a:ext uri="{FF2B5EF4-FFF2-40B4-BE49-F238E27FC236}">
                <a16:creationId xmlns:a16="http://schemas.microsoft.com/office/drawing/2014/main" id="{00000000-0008-0000-0200-0000B3140000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0" name="$E$110">
            <a:extLst>
              <a:ext uri="{FF2B5EF4-FFF2-40B4-BE49-F238E27FC236}">
                <a16:creationId xmlns:a16="http://schemas.microsoft.com/office/drawing/2014/main" id="{00000000-0008-0000-0200-0000B4140000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1" name="$E$110">
            <a:extLst>
              <a:ext uri="{FF2B5EF4-FFF2-40B4-BE49-F238E27FC236}">
                <a16:creationId xmlns:a16="http://schemas.microsoft.com/office/drawing/2014/main" id="{00000000-0008-0000-0200-0000B5140000}"/>
              </a:ext>
            </a:extLst>
          </xdr:cNvPr>
          <xdr:cNvSpPr/>
        </xdr:nvSpPr>
        <xdr:spPr>
          <a:xfrm>
            <a:off x="12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2" name="$E$110">
            <a:extLst>
              <a:ext uri="{FF2B5EF4-FFF2-40B4-BE49-F238E27FC236}">
                <a16:creationId xmlns:a16="http://schemas.microsoft.com/office/drawing/2014/main" id="{00000000-0008-0000-0200-0000B61400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3" name="$E$110">
            <a:extLst>
              <a:ext uri="{FF2B5EF4-FFF2-40B4-BE49-F238E27FC236}">
                <a16:creationId xmlns:a16="http://schemas.microsoft.com/office/drawing/2014/main" id="{00000000-0008-0000-0200-0000B7140000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4" name="$E$110">
            <a:extLst>
              <a:ext uri="{FF2B5EF4-FFF2-40B4-BE49-F238E27FC236}">
                <a16:creationId xmlns:a16="http://schemas.microsoft.com/office/drawing/2014/main" id="{00000000-0008-0000-0200-0000B81400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5" name="$E$110">
            <a:extLst>
              <a:ext uri="{FF2B5EF4-FFF2-40B4-BE49-F238E27FC236}">
                <a16:creationId xmlns:a16="http://schemas.microsoft.com/office/drawing/2014/main" id="{00000000-0008-0000-0200-0000B91400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6" name="$E$110">
            <a:extLst>
              <a:ext uri="{FF2B5EF4-FFF2-40B4-BE49-F238E27FC236}">
                <a16:creationId xmlns:a16="http://schemas.microsoft.com/office/drawing/2014/main" id="{00000000-0008-0000-0200-0000BA140000}"/>
              </a:ext>
            </a:extLst>
          </xdr:cNvPr>
          <xdr:cNvSpPr/>
        </xdr:nvSpPr>
        <xdr:spPr>
          <a:xfrm>
            <a:off x="114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7" name="$E$110">
            <a:extLst>
              <a:ext uri="{FF2B5EF4-FFF2-40B4-BE49-F238E27FC236}">
                <a16:creationId xmlns:a16="http://schemas.microsoft.com/office/drawing/2014/main" id="{00000000-0008-0000-0200-0000BB1400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8" name="$E$110">
            <a:extLst>
              <a:ext uri="{FF2B5EF4-FFF2-40B4-BE49-F238E27FC236}">
                <a16:creationId xmlns:a16="http://schemas.microsoft.com/office/drawing/2014/main" id="{00000000-0008-0000-0200-0000BC1400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9" name="$E$110">
            <a:extLst>
              <a:ext uri="{FF2B5EF4-FFF2-40B4-BE49-F238E27FC236}">
                <a16:creationId xmlns:a16="http://schemas.microsoft.com/office/drawing/2014/main" id="{00000000-0008-0000-0200-0000BD140000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0" name="$E$110">
            <a:extLst>
              <a:ext uri="{FF2B5EF4-FFF2-40B4-BE49-F238E27FC236}">
                <a16:creationId xmlns:a16="http://schemas.microsoft.com/office/drawing/2014/main" id="{00000000-0008-0000-0200-0000BE1400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1" name="$E$110">
            <a:extLst>
              <a:ext uri="{FF2B5EF4-FFF2-40B4-BE49-F238E27FC236}">
                <a16:creationId xmlns:a16="http://schemas.microsoft.com/office/drawing/2014/main" id="{00000000-0008-0000-0200-0000BF1400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2" name="$E$110">
            <a:extLst>
              <a:ext uri="{FF2B5EF4-FFF2-40B4-BE49-F238E27FC236}">
                <a16:creationId xmlns:a16="http://schemas.microsoft.com/office/drawing/2014/main" id="{00000000-0008-0000-0200-0000C01400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3" name="$E$110">
            <a:extLst>
              <a:ext uri="{FF2B5EF4-FFF2-40B4-BE49-F238E27FC236}">
                <a16:creationId xmlns:a16="http://schemas.microsoft.com/office/drawing/2014/main" id="{00000000-0008-0000-0200-0000C11400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4" name="$E$110">
            <a:extLst>
              <a:ext uri="{FF2B5EF4-FFF2-40B4-BE49-F238E27FC236}">
                <a16:creationId xmlns:a16="http://schemas.microsoft.com/office/drawing/2014/main" id="{00000000-0008-0000-0200-0000C2140000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5" name="$E$110">
            <a:extLst>
              <a:ext uri="{FF2B5EF4-FFF2-40B4-BE49-F238E27FC236}">
                <a16:creationId xmlns:a16="http://schemas.microsoft.com/office/drawing/2014/main" id="{00000000-0008-0000-0200-0000C31400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6" name="$E$110">
            <a:extLst>
              <a:ext uri="{FF2B5EF4-FFF2-40B4-BE49-F238E27FC236}">
                <a16:creationId xmlns:a16="http://schemas.microsoft.com/office/drawing/2014/main" id="{00000000-0008-0000-0200-0000C4140000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7" name="$E$110">
            <a:extLst>
              <a:ext uri="{FF2B5EF4-FFF2-40B4-BE49-F238E27FC236}">
                <a16:creationId xmlns:a16="http://schemas.microsoft.com/office/drawing/2014/main" id="{00000000-0008-0000-0200-0000C5140000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8" name="$E$110">
            <a:extLst>
              <a:ext uri="{FF2B5EF4-FFF2-40B4-BE49-F238E27FC236}">
                <a16:creationId xmlns:a16="http://schemas.microsoft.com/office/drawing/2014/main" id="{00000000-0008-0000-0200-0000C6140000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9" name="$E$110">
            <a:extLst>
              <a:ext uri="{FF2B5EF4-FFF2-40B4-BE49-F238E27FC236}">
                <a16:creationId xmlns:a16="http://schemas.microsoft.com/office/drawing/2014/main" id="{00000000-0008-0000-0200-0000C71400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0" name="$E$110">
            <a:extLst>
              <a:ext uri="{FF2B5EF4-FFF2-40B4-BE49-F238E27FC236}">
                <a16:creationId xmlns:a16="http://schemas.microsoft.com/office/drawing/2014/main" id="{00000000-0008-0000-0200-0000C8140000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1" name="$E$110">
            <a:extLst>
              <a:ext uri="{FF2B5EF4-FFF2-40B4-BE49-F238E27FC236}">
                <a16:creationId xmlns:a16="http://schemas.microsoft.com/office/drawing/2014/main" id="{00000000-0008-0000-0200-0000C91400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2" name="$E$110">
            <a:extLst>
              <a:ext uri="{FF2B5EF4-FFF2-40B4-BE49-F238E27FC236}">
                <a16:creationId xmlns:a16="http://schemas.microsoft.com/office/drawing/2014/main" id="{00000000-0008-0000-0200-0000CA1400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3" name="$E$110">
            <a:extLst>
              <a:ext uri="{FF2B5EF4-FFF2-40B4-BE49-F238E27FC236}">
                <a16:creationId xmlns:a16="http://schemas.microsoft.com/office/drawing/2014/main" id="{00000000-0008-0000-0200-0000CB140000}"/>
              </a:ext>
            </a:extLst>
          </xdr:cNvPr>
          <xdr:cNvSpPr/>
        </xdr:nvSpPr>
        <xdr:spPr>
          <a:xfrm>
            <a:off x="165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4" name="$E$110">
            <a:extLst>
              <a:ext uri="{FF2B5EF4-FFF2-40B4-BE49-F238E27FC236}">
                <a16:creationId xmlns:a16="http://schemas.microsoft.com/office/drawing/2014/main" id="{00000000-0008-0000-0200-0000CC1400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5" name="$E$110">
            <a:extLst>
              <a:ext uri="{FF2B5EF4-FFF2-40B4-BE49-F238E27FC236}">
                <a16:creationId xmlns:a16="http://schemas.microsoft.com/office/drawing/2014/main" id="{00000000-0008-0000-0200-0000CD1400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6" name="$E$110">
            <a:extLst>
              <a:ext uri="{FF2B5EF4-FFF2-40B4-BE49-F238E27FC236}">
                <a16:creationId xmlns:a16="http://schemas.microsoft.com/office/drawing/2014/main" id="{00000000-0008-0000-0200-0000CE140000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7" name="$E$110">
            <a:extLst>
              <a:ext uri="{FF2B5EF4-FFF2-40B4-BE49-F238E27FC236}">
                <a16:creationId xmlns:a16="http://schemas.microsoft.com/office/drawing/2014/main" id="{00000000-0008-0000-0200-0000CF140000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8" name="$E$110">
            <a:extLst>
              <a:ext uri="{FF2B5EF4-FFF2-40B4-BE49-F238E27FC236}">
                <a16:creationId xmlns:a16="http://schemas.microsoft.com/office/drawing/2014/main" id="{00000000-0008-0000-0200-0000D01400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9" name="$E$110">
            <a:extLst>
              <a:ext uri="{FF2B5EF4-FFF2-40B4-BE49-F238E27FC236}">
                <a16:creationId xmlns:a16="http://schemas.microsoft.com/office/drawing/2014/main" id="{00000000-0008-0000-0200-0000D114000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0" name="$E$110">
            <a:extLst>
              <a:ext uri="{FF2B5EF4-FFF2-40B4-BE49-F238E27FC236}">
                <a16:creationId xmlns:a16="http://schemas.microsoft.com/office/drawing/2014/main" id="{00000000-0008-0000-0200-0000D2140000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1" name="$E$110">
            <a:extLst>
              <a:ext uri="{FF2B5EF4-FFF2-40B4-BE49-F238E27FC236}">
                <a16:creationId xmlns:a16="http://schemas.microsoft.com/office/drawing/2014/main" id="{00000000-0008-0000-0200-0000D3140000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2" name="$E$110">
            <a:extLst>
              <a:ext uri="{FF2B5EF4-FFF2-40B4-BE49-F238E27FC236}">
                <a16:creationId xmlns:a16="http://schemas.microsoft.com/office/drawing/2014/main" id="{00000000-0008-0000-0200-0000D41400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3" name="$E$110">
            <a:extLst>
              <a:ext uri="{FF2B5EF4-FFF2-40B4-BE49-F238E27FC236}">
                <a16:creationId xmlns:a16="http://schemas.microsoft.com/office/drawing/2014/main" id="{00000000-0008-0000-0200-0000D5140000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4" name="$E$110">
            <a:extLst>
              <a:ext uri="{FF2B5EF4-FFF2-40B4-BE49-F238E27FC236}">
                <a16:creationId xmlns:a16="http://schemas.microsoft.com/office/drawing/2014/main" id="{00000000-0008-0000-0200-0000D6140000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5" name="$E$110">
            <a:extLst>
              <a:ext uri="{FF2B5EF4-FFF2-40B4-BE49-F238E27FC236}">
                <a16:creationId xmlns:a16="http://schemas.microsoft.com/office/drawing/2014/main" id="{00000000-0008-0000-0200-0000D71400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6" name="$E$110">
            <a:extLst>
              <a:ext uri="{FF2B5EF4-FFF2-40B4-BE49-F238E27FC236}">
                <a16:creationId xmlns:a16="http://schemas.microsoft.com/office/drawing/2014/main" id="{00000000-0008-0000-0200-0000D8140000}"/>
              </a:ext>
            </a:extLst>
          </xdr:cNvPr>
          <xdr:cNvSpPr/>
        </xdr:nvSpPr>
        <xdr:spPr>
          <a:xfrm>
            <a:off x="50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7" name="$E$110">
            <a:extLst>
              <a:ext uri="{FF2B5EF4-FFF2-40B4-BE49-F238E27FC236}">
                <a16:creationId xmlns:a16="http://schemas.microsoft.com/office/drawing/2014/main" id="{00000000-0008-0000-0200-0000D9140000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8" name="$E$110">
            <a:extLst>
              <a:ext uri="{FF2B5EF4-FFF2-40B4-BE49-F238E27FC236}">
                <a16:creationId xmlns:a16="http://schemas.microsoft.com/office/drawing/2014/main" id="{00000000-0008-0000-0200-0000DA140000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9" name="$E$110">
            <a:extLst>
              <a:ext uri="{FF2B5EF4-FFF2-40B4-BE49-F238E27FC236}">
                <a16:creationId xmlns:a16="http://schemas.microsoft.com/office/drawing/2014/main" id="{00000000-0008-0000-0200-0000DB140000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0" name="$E$110">
            <a:extLst>
              <a:ext uri="{FF2B5EF4-FFF2-40B4-BE49-F238E27FC236}">
                <a16:creationId xmlns:a16="http://schemas.microsoft.com/office/drawing/2014/main" id="{00000000-0008-0000-0200-0000DC140000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1" name="$E$110">
            <a:extLst>
              <a:ext uri="{FF2B5EF4-FFF2-40B4-BE49-F238E27FC236}">
                <a16:creationId xmlns:a16="http://schemas.microsoft.com/office/drawing/2014/main" id="{00000000-0008-0000-0200-0000DD140000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2" name="$E$110">
            <a:extLst>
              <a:ext uri="{FF2B5EF4-FFF2-40B4-BE49-F238E27FC236}">
                <a16:creationId xmlns:a16="http://schemas.microsoft.com/office/drawing/2014/main" id="{00000000-0008-0000-0200-0000DE140000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3" name="$E$110">
            <a:extLst>
              <a:ext uri="{FF2B5EF4-FFF2-40B4-BE49-F238E27FC236}">
                <a16:creationId xmlns:a16="http://schemas.microsoft.com/office/drawing/2014/main" id="{00000000-0008-0000-0200-0000DF1400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4" name="$E$110">
            <a:extLst>
              <a:ext uri="{FF2B5EF4-FFF2-40B4-BE49-F238E27FC236}">
                <a16:creationId xmlns:a16="http://schemas.microsoft.com/office/drawing/2014/main" id="{00000000-0008-0000-0200-0000E0140000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5" name="$E$110">
            <a:extLst>
              <a:ext uri="{FF2B5EF4-FFF2-40B4-BE49-F238E27FC236}">
                <a16:creationId xmlns:a16="http://schemas.microsoft.com/office/drawing/2014/main" id="{00000000-0008-0000-0200-0000E11400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6" name="$E$110">
            <a:extLst>
              <a:ext uri="{FF2B5EF4-FFF2-40B4-BE49-F238E27FC236}">
                <a16:creationId xmlns:a16="http://schemas.microsoft.com/office/drawing/2014/main" id="{00000000-0008-0000-0200-0000E2140000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7" name="$E$110">
            <a:extLst>
              <a:ext uri="{FF2B5EF4-FFF2-40B4-BE49-F238E27FC236}">
                <a16:creationId xmlns:a16="http://schemas.microsoft.com/office/drawing/2014/main" id="{00000000-0008-0000-0200-0000E31400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8" name="$E$110">
            <a:extLst>
              <a:ext uri="{FF2B5EF4-FFF2-40B4-BE49-F238E27FC236}">
                <a16:creationId xmlns:a16="http://schemas.microsoft.com/office/drawing/2014/main" id="{00000000-0008-0000-0200-0000E41400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9" name="$E$110">
            <a:extLst>
              <a:ext uri="{FF2B5EF4-FFF2-40B4-BE49-F238E27FC236}">
                <a16:creationId xmlns:a16="http://schemas.microsoft.com/office/drawing/2014/main" id="{00000000-0008-0000-0200-0000E51400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0" name="$E$110">
            <a:extLst>
              <a:ext uri="{FF2B5EF4-FFF2-40B4-BE49-F238E27FC236}">
                <a16:creationId xmlns:a16="http://schemas.microsoft.com/office/drawing/2014/main" id="{00000000-0008-0000-0200-0000E6140000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1" name="$E$110">
            <a:extLst>
              <a:ext uri="{FF2B5EF4-FFF2-40B4-BE49-F238E27FC236}">
                <a16:creationId xmlns:a16="http://schemas.microsoft.com/office/drawing/2014/main" id="{00000000-0008-0000-0200-0000E71400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2" name="$E$110">
            <a:extLst>
              <a:ext uri="{FF2B5EF4-FFF2-40B4-BE49-F238E27FC236}">
                <a16:creationId xmlns:a16="http://schemas.microsoft.com/office/drawing/2014/main" id="{00000000-0008-0000-0200-0000E8140000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3" name="$E$110">
            <a:extLst>
              <a:ext uri="{FF2B5EF4-FFF2-40B4-BE49-F238E27FC236}">
                <a16:creationId xmlns:a16="http://schemas.microsoft.com/office/drawing/2014/main" id="{00000000-0008-0000-0200-0000E9140000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4" name="$E$110">
            <a:extLst>
              <a:ext uri="{FF2B5EF4-FFF2-40B4-BE49-F238E27FC236}">
                <a16:creationId xmlns:a16="http://schemas.microsoft.com/office/drawing/2014/main" id="{00000000-0008-0000-0200-0000EA140000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5" name="$E$110">
            <a:extLst>
              <a:ext uri="{FF2B5EF4-FFF2-40B4-BE49-F238E27FC236}">
                <a16:creationId xmlns:a16="http://schemas.microsoft.com/office/drawing/2014/main" id="{00000000-0008-0000-0200-0000EB140000}"/>
              </a:ext>
            </a:extLst>
          </xdr:cNvPr>
          <xdr:cNvSpPr/>
        </xdr:nvSpPr>
        <xdr:spPr>
          <a:xfrm>
            <a:off x="177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6" name="$E$110">
            <a:extLst>
              <a:ext uri="{FF2B5EF4-FFF2-40B4-BE49-F238E27FC236}">
                <a16:creationId xmlns:a16="http://schemas.microsoft.com/office/drawing/2014/main" id="{00000000-0008-0000-0200-0000EC140000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7" name="$E$110">
            <a:extLst>
              <a:ext uri="{FF2B5EF4-FFF2-40B4-BE49-F238E27FC236}">
                <a16:creationId xmlns:a16="http://schemas.microsoft.com/office/drawing/2014/main" id="{00000000-0008-0000-0200-0000ED140000}"/>
              </a:ext>
            </a:extLst>
          </xdr:cNvPr>
          <xdr:cNvSpPr/>
        </xdr:nvSpPr>
        <xdr:spPr>
          <a:xfrm>
            <a:off x="203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8" name="$E$110">
            <a:extLst>
              <a:ext uri="{FF2B5EF4-FFF2-40B4-BE49-F238E27FC236}">
                <a16:creationId xmlns:a16="http://schemas.microsoft.com/office/drawing/2014/main" id="{00000000-0008-0000-0200-0000EE1400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9" name="$E$110">
            <a:extLst>
              <a:ext uri="{FF2B5EF4-FFF2-40B4-BE49-F238E27FC236}">
                <a16:creationId xmlns:a16="http://schemas.microsoft.com/office/drawing/2014/main" id="{00000000-0008-0000-0200-0000EF140000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0" name="$E$110">
            <a:extLst>
              <a:ext uri="{FF2B5EF4-FFF2-40B4-BE49-F238E27FC236}">
                <a16:creationId xmlns:a16="http://schemas.microsoft.com/office/drawing/2014/main" id="{00000000-0008-0000-0200-0000F01400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1" name="$E$110">
            <a:extLst>
              <a:ext uri="{FF2B5EF4-FFF2-40B4-BE49-F238E27FC236}">
                <a16:creationId xmlns:a16="http://schemas.microsoft.com/office/drawing/2014/main" id="{00000000-0008-0000-0200-0000F11400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2" name="$E$110">
            <a:extLst>
              <a:ext uri="{FF2B5EF4-FFF2-40B4-BE49-F238E27FC236}">
                <a16:creationId xmlns:a16="http://schemas.microsoft.com/office/drawing/2014/main" id="{00000000-0008-0000-0200-0000F2140000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3" name="$E$110">
            <a:extLst>
              <a:ext uri="{FF2B5EF4-FFF2-40B4-BE49-F238E27FC236}">
                <a16:creationId xmlns:a16="http://schemas.microsoft.com/office/drawing/2014/main" id="{00000000-0008-0000-0200-0000F3140000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4" name="$E$110">
            <a:extLst>
              <a:ext uri="{FF2B5EF4-FFF2-40B4-BE49-F238E27FC236}">
                <a16:creationId xmlns:a16="http://schemas.microsoft.com/office/drawing/2014/main" id="{00000000-0008-0000-0200-0000F4140000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5" name="$E$110">
            <a:extLst>
              <a:ext uri="{FF2B5EF4-FFF2-40B4-BE49-F238E27FC236}">
                <a16:creationId xmlns:a16="http://schemas.microsoft.com/office/drawing/2014/main" id="{00000000-0008-0000-0200-0000F5140000}"/>
              </a:ext>
            </a:extLst>
          </xdr:cNvPr>
          <xdr:cNvSpPr/>
        </xdr:nvSpPr>
        <xdr:spPr>
          <a:xfrm>
            <a:off x="38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6" name="$E$110">
            <a:extLst>
              <a:ext uri="{FF2B5EF4-FFF2-40B4-BE49-F238E27FC236}">
                <a16:creationId xmlns:a16="http://schemas.microsoft.com/office/drawing/2014/main" id="{00000000-0008-0000-0200-0000F6140000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7" name="$E$110">
            <a:extLst>
              <a:ext uri="{FF2B5EF4-FFF2-40B4-BE49-F238E27FC236}">
                <a16:creationId xmlns:a16="http://schemas.microsoft.com/office/drawing/2014/main" id="{00000000-0008-0000-0200-0000F7140000}"/>
              </a:ext>
            </a:extLst>
          </xdr:cNvPr>
          <xdr:cNvSpPr/>
        </xdr:nvSpPr>
        <xdr:spPr>
          <a:xfrm>
            <a:off x="63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8" name="$E$110">
            <a:extLst>
              <a:ext uri="{FF2B5EF4-FFF2-40B4-BE49-F238E27FC236}">
                <a16:creationId xmlns:a16="http://schemas.microsoft.com/office/drawing/2014/main" id="{00000000-0008-0000-0200-0000F81400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9" name="$E$110">
            <a:extLst>
              <a:ext uri="{FF2B5EF4-FFF2-40B4-BE49-F238E27FC236}">
                <a16:creationId xmlns:a16="http://schemas.microsoft.com/office/drawing/2014/main" id="{00000000-0008-0000-0200-0000F9140000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0" name="$E$110">
            <a:extLst>
              <a:ext uri="{FF2B5EF4-FFF2-40B4-BE49-F238E27FC236}">
                <a16:creationId xmlns:a16="http://schemas.microsoft.com/office/drawing/2014/main" id="{00000000-0008-0000-0200-0000FA140000}"/>
              </a:ext>
            </a:extLst>
          </xdr:cNvPr>
          <xdr:cNvSpPr/>
        </xdr:nvSpPr>
        <xdr:spPr>
          <a:xfrm>
            <a:off x="215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1" name="$E$110">
            <a:extLst>
              <a:ext uri="{FF2B5EF4-FFF2-40B4-BE49-F238E27FC236}">
                <a16:creationId xmlns:a16="http://schemas.microsoft.com/office/drawing/2014/main" id="{00000000-0008-0000-0200-0000FB1400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2" name="$E$110">
            <a:extLst>
              <a:ext uri="{FF2B5EF4-FFF2-40B4-BE49-F238E27FC236}">
                <a16:creationId xmlns:a16="http://schemas.microsoft.com/office/drawing/2014/main" id="{00000000-0008-0000-0200-0000FC1400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3" name="$E$110">
            <a:extLst>
              <a:ext uri="{FF2B5EF4-FFF2-40B4-BE49-F238E27FC236}">
                <a16:creationId xmlns:a16="http://schemas.microsoft.com/office/drawing/2014/main" id="{00000000-0008-0000-0200-0000FD140000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4" name="$E$110">
            <a:extLst>
              <a:ext uri="{FF2B5EF4-FFF2-40B4-BE49-F238E27FC236}">
                <a16:creationId xmlns:a16="http://schemas.microsoft.com/office/drawing/2014/main" id="{00000000-0008-0000-0200-0000FE140000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5" name="$E$110">
            <a:extLst>
              <a:ext uri="{FF2B5EF4-FFF2-40B4-BE49-F238E27FC236}">
                <a16:creationId xmlns:a16="http://schemas.microsoft.com/office/drawing/2014/main" id="{00000000-0008-0000-0200-0000FF140000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6" name="$E$110">
            <a:extLst>
              <a:ext uri="{FF2B5EF4-FFF2-40B4-BE49-F238E27FC236}">
                <a16:creationId xmlns:a16="http://schemas.microsoft.com/office/drawing/2014/main" id="{00000000-0008-0000-0200-000000150000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7" name="$E$110">
            <a:extLst>
              <a:ext uri="{FF2B5EF4-FFF2-40B4-BE49-F238E27FC236}">
                <a16:creationId xmlns:a16="http://schemas.microsoft.com/office/drawing/2014/main" id="{00000000-0008-0000-0200-0000011500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8" name="$E$110">
            <a:extLst>
              <a:ext uri="{FF2B5EF4-FFF2-40B4-BE49-F238E27FC236}">
                <a16:creationId xmlns:a16="http://schemas.microsoft.com/office/drawing/2014/main" id="{00000000-0008-0000-0200-000002150000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9" name="$E$110">
            <a:extLst>
              <a:ext uri="{FF2B5EF4-FFF2-40B4-BE49-F238E27FC236}">
                <a16:creationId xmlns:a16="http://schemas.microsoft.com/office/drawing/2014/main" id="{00000000-0008-0000-0200-000003150000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0" name="$E$110">
            <a:extLst>
              <a:ext uri="{FF2B5EF4-FFF2-40B4-BE49-F238E27FC236}">
                <a16:creationId xmlns:a16="http://schemas.microsoft.com/office/drawing/2014/main" id="{00000000-0008-0000-0200-000004150000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1" name="$E$110">
            <a:extLst>
              <a:ext uri="{FF2B5EF4-FFF2-40B4-BE49-F238E27FC236}">
                <a16:creationId xmlns:a16="http://schemas.microsoft.com/office/drawing/2014/main" id="{00000000-0008-0000-0200-0000051500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2" name="$E$110">
            <a:extLst>
              <a:ext uri="{FF2B5EF4-FFF2-40B4-BE49-F238E27FC236}">
                <a16:creationId xmlns:a16="http://schemas.microsoft.com/office/drawing/2014/main" id="{00000000-0008-0000-0200-0000061500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3" name="$E$110">
            <a:extLst>
              <a:ext uri="{FF2B5EF4-FFF2-40B4-BE49-F238E27FC236}">
                <a16:creationId xmlns:a16="http://schemas.microsoft.com/office/drawing/2014/main" id="{00000000-0008-0000-0200-0000071500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4" name="$E$110">
            <a:extLst>
              <a:ext uri="{FF2B5EF4-FFF2-40B4-BE49-F238E27FC236}">
                <a16:creationId xmlns:a16="http://schemas.microsoft.com/office/drawing/2014/main" id="{00000000-0008-0000-0200-000008150000}"/>
              </a:ext>
            </a:extLst>
          </xdr:cNvPr>
          <xdr:cNvSpPr/>
        </xdr:nvSpPr>
        <xdr:spPr>
          <a:xfrm>
            <a:off x="88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5" name="$E$110">
            <a:extLst>
              <a:ext uri="{FF2B5EF4-FFF2-40B4-BE49-F238E27FC236}">
                <a16:creationId xmlns:a16="http://schemas.microsoft.com/office/drawing/2014/main" id="{00000000-0008-0000-0200-000009150000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6" name="$E$110">
            <a:extLst>
              <a:ext uri="{FF2B5EF4-FFF2-40B4-BE49-F238E27FC236}">
                <a16:creationId xmlns:a16="http://schemas.microsoft.com/office/drawing/2014/main" id="{00000000-0008-0000-0200-00000A150000}"/>
              </a:ext>
            </a:extLst>
          </xdr:cNvPr>
          <xdr:cNvSpPr/>
        </xdr:nvSpPr>
        <xdr:spPr>
          <a:xfrm>
            <a:off x="114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7" name="$E$110">
            <a:extLst>
              <a:ext uri="{FF2B5EF4-FFF2-40B4-BE49-F238E27FC236}">
                <a16:creationId xmlns:a16="http://schemas.microsoft.com/office/drawing/2014/main" id="{00000000-0008-0000-0200-00000B150000}"/>
              </a:ext>
            </a:extLst>
          </xdr:cNvPr>
          <xdr:cNvSpPr/>
        </xdr:nvSpPr>
        <xdr:spPr>
          <a:xfrm>
            <a:off x="139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8" name="$E$110">
            <a:extLst>
              <a:ext uri="{FF2B5EF4-FFF2-40B4-BE49-F238E27FC236}">
                <a16:creationId xmlns:a16="http://schemas.microsoft.com/office/drawing/2014/main" id="{00000000-0008-0000-0200-00000C1500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9" name="$E$110">
            <a:extLst>
              <a:ext uri="{FF2B5EF4-FFF2-40B4-BE49-F238E27FC236}">
                <a16:creationId xmlns:a16="http://schemas.microsoft.com/office/drawing/2014/main" id="{00000000-0008-0000-0200-00000D1500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0" name="$E$110">
            <a:extLst>
              <a:ext uri="{FF2B5EF4-FFF2-40B4-BE49-F238E27FC236}">
                <a16:creationId xmlns:a16="http://schemas.microsoft.com/office/drawing/2014/main" id="{00000000-0008-0000-0200-00000E150000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1" name="$E$110">
            <a:extLst>
              <a:ext uri="{FF2B5EF4-FFF2-40B4-BE49-F238E27FC236}">
                <a16:creationId xmlns:a16="http://schemas.microsoft.com/office/drawing/2014/main" id="{00000000-0008-0000-0200-00000F1500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2" name="$E$110">
            <a:extLst>
              <a:ext uri="{FF2B5EF4-FFF2-40B4-BE49-F238E27FC236}">
                <a16:creationId xmlns:a16="http://schemas.microsoft.com/office/drawing/2014/main" id="{00000000-0008-0000-0200-000010150000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3" name="$E$110">
            <a:extLst>
              <a:ext uri="{FF2B5EF4-FFF2-40B4-BE49-F238E27FC236}">
                <a16:creationId xmlns:a16="http://schemas.microsoft.com/office/drawing/2014/main" id="{00000000-0008-0000-0200-0000111500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4" name="$E$110">
            <a:extLst>
              <a:ext uri="{FF2B5EF4-FFF2-40B4-BE49-F238E27FC236}">
                <a16:creationId xmlns:a16="http://schemas.microsoft.com/office/drawing/2014/main" id="{00000000-0008-0000-0200-000012150000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5" name="$E$110">
            <a:extLst>
              <a:ext uri="{FF2B5EF4-FFF2-40B4-BE49-F238E27FC236}">
                <a16:creationId xmlns:a16="http://schemas.microsoft.com/office/drawing/2014/main" id="{00000000-0008-0000-0200-000013150000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6" name="$E$110">
            <a:extLst>
              <a:ext uri="{FF2B5EF4-FFF2-40B4-BE49-F238E27FC236}">
                <a16:creationId xmlns:a16="http://schemas.microsoft.com/office/drawing/2014/main" id="{00000000-0008-0000-0200-000014150000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7" name="$E$110">
            <a:extLst>
              <a:ext uri="{FF2B5EF4-FFF2-40B4-BE49-F238E27FC236}">
                <a16:creationId xmlns:a16="http://schemas.microsoft.com/office/drawing/2014/main" id="{00000000-0008-0000-0200-0000151500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8" name="$E$110">
            <a:extLst>
              <a:ext uri="{FF2B5EF4-FFF2-40B4-BE49-F238E27FC236}">
                <a16:creationId xmlns:a16="http://schemas.microsoft.com/office/drawing/2014/main" id="{00000000-0008-0000-0200-000016150000}"/>
              </a:ext>
            </a:extLst>
          </xdr:cNvPr>
          <xdr:cNvSpPr/>
        </xdr:nvSpPr>
        <xdr:spPr>
          <a:xfrm>
            <a:off x="25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9" name="$E$110">
            <a:extLst>
              <a:ext uri="{FF2B5EF4-FFF2-40B4-BE49-F238E27FC236}">
                <a16:creationId xmlns:a16="http://schemas.microsoft.com/office/drawing/2014/main" id="{00000000-0008-0000-0200-000017150000}"/>
              </a:ext>
            </a:extLst>
          </xdr:cNvPr>
          <xdr:cNvSpPr/>
        </xdr:nvSpPr>
        <xdr:spPr>
          <a:xfrm>
            <a:off x="38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0" name="$E$110">
            <a:extLst>
              <a:ext uri="{FF2B5EF4-FFF2-40B4-BE49-F238E27FC236}">
                <a16:creationId xmlns:a16="http://schemas.microsoft.com/office/drawing/2014/main" id="{00000000-0008-0000-0200-000018150000}"/>
              </a:ext>
            </a:extLst>
          </xdr:cNvPr>
          <xdr:cNvSpPr/>
        </xdr:nvSpPr>
        <xdr:spPr>
          <a:xfrm>
            <a:off x="50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1" name="$E$110">
            <a:extLst>
              <a:ext uri="{FF2B5EF4-FFF2-40B4-BE49-F238E27FC236}">
                <a16:creationId xmlns:a16="http://schemas.microsoft.com/office/drawing/2014/main" id="{00000000-0008-0000-0200-000019150000}"/>
              </a:ext>
            </a:extLst>
          </xdr:cNvPr>
          <xdr:cNvSpPr/>
        </xdr:nvSpPr>
        <xdr:spPr>
          <a:xfrm>
            <a:off x="139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2" name="$E$110">
            <a:extLst>
              <a:ext uri="{FF2B5EF4-FFF2-40B4-BE49-F238E27FC236}">
                <a16:creationId xmlns:a16="http://schemas.microsoft.com/office/drawing/2014/main" id="{00000000-0008-0000-0200-00001A1500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3" name="$E$110">
            <a:extLst>
              <a:ext uri="{FF2B5EF4-FFF2-40B4-BE49-F238E27FC236}">
                <a16:creationId xmlns:a16="http://schemas.microsoft.com/office/drawing/2014/main" id="{00000000-0008-0000-0200-00001B1500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4" name="$E$110">
            <a:extLst>
              <a:ext uri="{FF2B5EF4-FFF2-40B4-BE49-F238E27FC236}">
                <a16:creationId xmlns:a16="http://schemas.microsoft.com/office/drawing/2014/main" id="{00000000-0008-0000-0200-00001C150000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5" name="$E$110">
            <a:extLst>
              <a:ext uri="{FF2B5EF4-FFF2-40B4-BE49-F238E27FC236}">
                <a16:creationId xmlns:a16="http://schemas.microsoft.com/office/drawing/2014/main" id="{00000000-0008-0000-0200-00001D150000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6" name="$E$110">
            <a:extLst>
              <a:ext uri="{FF2B5EF4-FFF2-40B4-BE49-F238E27FC236}">
                <a16:creationId xmlns:a16="http://schemas.microsoft.com/office/drawing/2014/main" id="{00000000-0008-0000-0200-00001E1500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7" name="$E$110">
            <a:extLst>
              <a:ext uri="{FF2B5EF4-FFF2-40B4-BE49-F238E27FC236}">
                <a16:creationId xmlns:a16="http://schemas.microsoft.com/office/drawing/2014/main" id="{00000000-0008-0000-0200-00001F150000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8" name="$E$110">
            <a:extLst>
              <a:ext uri="{FF2B5EF4-FFF2-40B4-BE49-F238E27FC236}">
                <a16:creationId xmlns:a16="http://schemas.microsoft.com/office/drawing/2014/main" id="{00000000-0008-0000-0200-000020150000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9" name="$E$110">
            <a:extLst>
              <a:ext uri="{FF2B5EF4-FFF2-40B4-BE49-F238E27FC236}">
                <a16:creationId xmlns:a16="http://schemas.microsoft.com/office/drawing/2014/main" id="{00000000-0008-0000-0200-0000211500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0" name="$E$110">
            <a:extLst>
              <a:ext uri="{FF2B5EF4-FFF2-40B4-BE49-F238E27FC236}">
                <a16:creationId xmlns:a16="http://schemas.microsoft.com/office/drawing/2014/main" id="{00000000-0008-0000-0200-0000221500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1" name="$E$110">
            <a:extLst>
              <a:ext uri="{FF2B5EF4-FFF2-40B4-BE49-F238E27FC236}">
                <a16:creationId xmlns:a16="http://schemas.microsoft.com/office/drawing/2014/main" id="{00000000-0008-0000-0200-0000231500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2" name="$E$110">
            <a:extLst>
              <a:ext uri="{FF2B5EF4-FFF2-40B4-BE49-F238E27FC236}">
                <a16:creationId xmlns:a16="http://schemas.microsoft.com/office/drawing/2014/main" id="{00000000-0008-0000-0200-0000241500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3" name="$E$110">
            <a:extLst>
              <a:ext uri="{FF2B5EF4-FFF2-40B4-BE49-F238E27FC236}">
                <a16:creationId xmlns:a16="http://schemas.microsoft.com/office/drawing/2014/main" id="{00000000-0008-0000-0200-0000251500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4" name="$E$110">
            <a:extLst>
              <a:ext uri="{FF2B5EF4-FFF2-40B4-BE49-F238E27FC236}">
                <a16:creationId xmlns:a16="http://schemas.microsoft.com/office/drawing/2014/main" id="{00000000-0008-0000-0200-0000261500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5" name="$E$110">
            <a:extLst>
              <a:ext uri="{FF2B5EF4-FFF2-40B4-BE49-F238E27FC236}">
                <a16:creationId xmlns:a16="http://schemas.microsoft.com/office/drawing/2014/main" id="{00000000-0008-0000-0200-0000271500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6" name="$E$110">
            <a:extLst>
              <a:ext uri="{FF2B5EF4-FFF2-40B4-BE49-F238E27FC236}">
                <a16:creationId xmlns:a16="http://schemas.microsoft.com/office/drawing/2014/main" id="{00000000-0008-0000-0200-0000281500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7" name="$E$110">
            <a:extLst>
              <a:ext uri="{FF2B5EF4-FFF2-40B4-BE49-F238E27FC236}">
                <a16:creationId xmlns:a16="http://schemas.microsoft.com/office/drawing/2014/main" id="{00000000-0008-0000-0200-000029150000}"/>
              </a:ext>
            </a:extLst>
          </xdr:cNvPr>
          <xdr:cNvSpPr/>
        </xdr:nvSpPr>
        <xdr:spPr>
          <a:xfrm>
            <a:off x="203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8" name="$E$110">
            <a:extLst>
              <a:ext uri="{FF2B5EF4-FFF2-40B4-BE49-F238E27FC236}">
                <a16:creationId xmlns:a16="http://schemas.microsoft.com/office/drawing/2014/main" id="{00000000-0008-0000-0200-00002A1500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9" name="$E$110">
            <a:extLst>
              <a:ext uri="{FF2B5EF4-FFF2-40B4-BE49-F238E27FC236}">
                <a16:creationId xmlns:a16="http://schemas.microsoft.com/office/drawing/2014/main" id="{00000000-0008-0000-0200-00002B1500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0" name="$E$110">
            <a:extLst>
              <a:ext uri="{FF2B5EF4-FFF2-40B4-BE49-F238E27FC236}">
                <a16:creationId xmlns:a16="http://schemas.microsoft.com/office/drawing/2014/main" id="{00000000-0008-0000-0200-00002C1500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1" name="$E$110">
            <a:extLst>
              <a:ext uri="{FF2B5EF4-FFF2-40B4-BE49-F238E27FC236}">
                <a16:creationId xmlns:a16="http://schemas.microsoft.com/office/drawing/2014/main" id="{00000000-0008-0000-0200-00002D1500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2" name="$E$110">
            <a:extLst>
              <a:ext uri="{FF2B5EF4-FFF2-40B4-BE49-F238E27FC236}">
                <a16:creationId xmlns:a16="http://schemas.microsoft.com/office/drawing/2014/main" id="{00000000-0008-0000-0200-00002E1500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3" name="$E$110">
            <a:extLst>
              <a:ext uri="{FF2B5EF4-FFF2-40B4-BE49-F238E27FC236}">
                <a16:creationId xmlns:a16="http://schemas.microsoft.com/office/drawing/2014/main" id="{00000000-0008-0000-0200-00002F150000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4" name="$E$110">
            <a:extLst>
              <a:ext uri="{FF2B5EF4-FFF2-40B4-BE49-F238E27FC236}">
                <a16:creationId xmlns:a16="http://schemas.microsoft.com/office/drawing/2014/main" id="{00000000-0008-0000-0200-0000301500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5" name="$E$110">
            <a:extLst>
              <a:ext uri="{FF2B5EF4-FFF2-40B4-BE49-F238E27FC236}">
                <a16:creationId xmlns:a16="http://schemas.microsoft.com/office/drawing/2014/main" id="{00000000-0008-0000-0200-0000311500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6" name="$E$110">
            <a:extLst>
              <a:ext uri="{FF2B5EF4-FFF2-40B4-BE49-F238E27FC236}">
                <a16:creationId xmlns:a16="http://schemas.microsoft.com/office/drawing/2014/main" id="{00000000-0008-0000-0200-0000321500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7" name="$E$110">
            <a:extLst>
              <a:ext uri="{FF2B5EF4-FFF2-40B4-BE49-F238E27FC236}">
                <a16:creationId xmlns:a16="http://schemas.microsoft.com/office/drawing/2014/main" id="{00000000-0008-0000-0200-000033150000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8" name="$E$110">
            <a:extLst>
              <a:ext uri="{FF2B5EF4-FFF2-40B4-BE49-F238E27FC236}">
                <a16:creationId xmlns:a16="http://schemas.microsoft.com/office/drawing/2014/main" id="{00000000-0008-0000-0200-0000341500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9" name="$E$110">
            <a:extLst>
              <a:ext uri="{FF2B5EF4-FFF2-40B4-BE49-F238E27FC236}">
                <a16:creationId xmlns:a16="http://schemas.microsoft.com/office/drawing/2014/main" id="{00000000-0008-0000-0200-000035150000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0" name="$E$110">
            <a:extLst>
              <a:ext uri="{FF2B5EF4-FFF2-40B4-BE49-F238E27FC236}">
                <a16:creationId xmlns:a16="http://schemas.microsoft.com/office/drawing/2014/main" id="{00000000-0008-0000-0200-000036150000}"/>
              </a:ext>
            </a:extLst>
          </xdr:cNvPr>
          <xdr:cNvSpPr/>
        </xdr:nvSpPr>
        <xdr:spPr>
          <a:xfrm>
            <a:off x="127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1" name="$E$110">
            <a:extLst>
              <a:ext uri="{FF2B5EF4-FFF2-40B4-BE49-F238E27FC236}">
                <a16:creationId xmlns:a16="http://schemas.microsoft.com/office/drawing/2014/main" id="{00000000-0008-0000-0200-000037150000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2" name="$E$110">
            <a:extLst>
              <a:ext uri="{FF2B5EF4-FFF2-40B4-BE49-F238E27FC236}">
                <a16:creationId xmlns:a16="http://schemas.microsoft.com/office/drawing/2014/main" id="{00000000-0008-0000-0200-0000381500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3" name="$E$110">
            <a:extLst>
              <a:ext uri="{FF2B5EF4-FFF2-40B4-BE49-F238E27FC236}">
                <a16:creationId xmlns:a16="http://schemas.microsoft.com/office/drawing/2014/main" id="{00000000-0008-0000-0200-000039150000}"/>
              </a:ext>
            </a:extLst>
          </xdr:cNvPr>
          <xdr:cNvSpPr/>
        </xdr:nvSpPr>
        <xdr:spPr>
          <a:xfrm>
            <a:off x="177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4" name="$E$110">
            <a:extLst>
              <a:ext uri="{FF2B5EF4-FFF2-40B4-BE49-F238E27FC236}">
                <a16:creationId xmlns:a16="http://schemas.microsoft.com/office/drawing/2014/main" id="{00000000-0008-0000-0200-00003A150000}"/>
              </a:ext>
            </a:extLst>
          </xdr:cNvPr>
          <xdr:cNvSpPr/>
        </xdr:nvSpPr>
        <xdr:spPr>
          <a:xfrm>
            <a:off x="215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5" name="$E$110">
            <a:extLst>
              <a:ext uri="{FF2B5EF4-FFF2-40B4-BE49-F238E27FC236}">
                <a16:creationId xmlns:a16="http://schemas.microsoft.com/office/drawing/2014/main" id="{00000000-0008-0000-0200-00003B1500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6" name="$E$110">
            <a:extLst>
              <a:ext uri="{FF2B5EF4-FFF2-40B4-BE49-F238E27FC236}">
                <a16:creationId xmlns:a16="http://schemas.microsoft.com/office/drawing/2014/main" id="{00000000-0008-0000-0200-00003C1500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7" name="$E$110">
            <a:extLst>
              <a:ext uri="{FF2B5EF4-FFF2-40B4-BE49-F238E27FC236}">
                <a16:creationId xmlns:a16="http://schemas.microsoft.com/office/drawing/2014/main" id="{00000000-0008-0000-0200-00003D1500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8" name="$E$110">
            <a:extLst>
              <a:ext uri="{FF2B5EF4-FFF2-40B4-BE49-F238E27FC236}">
                <a16:creationId xmlns:a16="http://schemas.microsoft.com/office/drawing/2014/main" id="{00000000-0008-0000-0200-00003E1500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9" name="$E$110">
            <a:extLst>
              <a:ext uri="{FF2B5EF4-FFF2-40B4-BE49-F238E27FC236}">
                <a16:creationId xmlns:a16="http://schemas.microsoft.com/office/drawing/2014/main" id="{00000000-0008-0000-0200-00003F150000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0" name="$E$110">
            <a:extLst>
              <a:ext uri="{FF2B5EF4-FFF2-40B4-BE49-F238E27FC236}">
                <a16:creationId xmlns:a16="http://schemas.microsoft.com/office/drawing/2014/main" id="{00000000-0008-0000-0200-000040150000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1" name="$E$110">
            <a:extLst>
              <a:ext uri="{FF2B5EF4-FFF2-40B4-BE49-F238E27FC236}">
                <a16:creationId xmlns:a16="http://schemas.microsoft.com/office/drawing/2014/main" id="{00000000-0008-0000-0200-000041150000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2" name="$E$110">
            <a:extLst>
              <a:ext uri="{FF2B5EF4-FFF2-40B4-BE49-F238E27FC236}">
                <a16:creationId xmlns:a16="http://schemas.microsoft.com/office/drawing/2014/main" id="{00000000-0008-0000-0200-000042150000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3" name="$E$110">
            <a:extLst>
              <a:ext uri="{FF2B5EF4-FFF2-40B4-BE49-F238E27FC236}">
                <a16:creationId xmlns:a16="http://schemas.microsoft.com/office/drawing/2014/main" id="{00000000-0008-0000-0200-000043150000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4" name="$E$110">
            <a:extLst>
              <a:ext uri="{FF2B5EF4-FFF2-40B4-BE49-F238E27FC236}">
                <a16:creationId xmlns:a16="http://schemas.microsoft.com/office/drawing/2014/main" id="{00000000-0008-0000-0200-0000441500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5" name="$E$110">
            <a:extLst>
              <a:ext uri="{FF2B5EF4-FFF2-40B4-BE49-F238E27FC236}">
                <a16:creationId xmlns:a16="http://schemas.microsoft.com/office/drawing/2014/main" id="{00000000-0008-0000-0200-000045150000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6" name="$E$110">
            <a:extLst>
              <a:ext uri="{FF2B5EF4-FFF2-40B4-BE49-F238E27FC236}">
                <a16:creationId xmlns:a16="http://schemas.microsoft.com/office/drawing/2014/main" id="{00000000-0008-0000-0200-0000461500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7" name="$E$110">
            <a:extLst>
              <a:ext uri="{FF2B5EF4-FFF2-40B4-BE49-F238E27FC236}">
                <a16:creationId xmlns:a16="http://schemas.microsoft.com/office/drawing/2014/main" id="{00000000-0008-0000-0200-0000471500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8" name="$E$110">
            <a:extLst>
              <a:ext uri="{FF2B5EF4-FFF2-40B4-BE49-F238E27FC236}">
                <a16:creationId xmlns:a16="http://schemas.microsoft.com/office/drawing/2014/main" id="{00000000-0008-0000-0200-0000481500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9" name="$E$110">
            <a:extLst>
              <a:ext uri="{FF2B5EF4-FFF2-40B4-BE49-F238E27FC236}">
                <a16:creationId xmlns:a16="http://schemas.microsoft.com/office/drawing/2014/main" id="{00000000-0008-0000-0200-000049150000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0" name="$E$110">
            <a:extLst>
              <a:ext uri="{FF2B5EF4-FFF2-40B4-BE49-F238E27FC236}">
                <a16:creationId xmlns:a16="http://schemas.microsoft.com/office/drawing/2014/main" id="{00000000-0008-0000-0200-00004A1500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1" name="$E$110">
            <a:extLst>
              <a:ext uri="{FF2B5EF4-FFF2-40B4-BE49-F238E27FC236}">
                <a16:creationId xmlns:a16="http://schemas.microsoft.com/office/drawing/2014/main" id="{00000000-0008-0000-0200-00004B150000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2" name="$E$110">
            <a:extLst>
              <a:ext uri="{FF2B5EF4-FFF2-40B4-BE49-F238E27FC236}">
                <a16:creationId xmlns:a16="http://schemas.microsoft.com/office/drawing/2014/main" id="{00000000-0008-0000-0200-00004C1500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3" name="$E$110">
            <a:extLst>
              <a:ext uri="{FF2B5EF4-FFF2-40B4-BE49-F238E27FC236}">
                <a16:creationId xmlns:a16="http://schemas.microsoft.com/office/drawing/2014/main" id="{00000000-0008-0000-0200-00004D1500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4" name="$E$110">
            <a:extLst>
              <a:ext uri="{FF2B5EF4-FFF2-40B4-BE49-F238E27FC236}">
                <a16:creationId xmlns:a16="http://schemas.microsoft.com/office/drawing/2014/main" id="{00000000-0008-0000-0200-00004E150000}"/>
              </a:ext>
            </a:extLst>
          </xdr:cNvPr>
          <xdr:cNvSpPr/>
        </xdr:nvSpPr>
        <xdr:spPr>
          <a:xfrm>
            <a:off x="177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5" name="$E$110">
            <a:extLst>
              <a:ext uri="{FF2B5EF4-FFF2-40B4-BE49-F238E27FC236}">
                <a16:creationId xmlns:a16="http://schemas.microsoft.com/office/drawing/2014/main" id="{00000000-0008-0000-0200-00004F1500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6" name="$E$110">
            <a:extLst>
              <a:ext uri="{FF2B5EF4-FFF2-40B4-BE49-F238E27FC236}">
                <a16:creationId xmlns:a16="http://schemas.microsoft.com/office/drawing/2014/main" id="{00000000-0008-0000-0200-000050150000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7" name="$E$110">
            <a:extLst>
              <a:ext uri="{FF2B5EF4-FFF2-40B4-BE49-F238E27FC236}">
                <a16:creationId xmlns:a16="http://schemas.microsoft.com/office/drawing/2014/main" id="{00000000-0008-0000-0200-0000511500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8" name="$E$110">
            <a:extLst>
              <a:ext uri="{FF2B5EF4-FFF2-40B4-BE49-F238E27FC236}">
                <a16:creationId xmlns:a16="http://schemas.microsoft.com/office/drawing/2014/main" id="{00000000-0008-0000-0200-000052150000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9" name="$E$110">
            <a:extLst>
              <a:ext uri="{FF2B5EF4-FFF2-40B4-BE49-F238E27FC236}">
                <a16:creationId xmlns:a16="http://schemas.microsoft.com/office/drawing/2014/main" id="{00000000-0008-0000-0200-0000531500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0" name="$E$110">
            <a:extLst>
              <a:ext uri="{FF2B5EF4-FFF2-40B4-BE49-F238E27FC236}">
                <a16:creationId xmlns:a16="http://schemas.microsoft.com/office/drawing/2014/main" id="{00000000-0008-0000-0200-000054150000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1" name="$E$110">
            <a:extLst>
              <a:ext uri="{FF2B5EF4-FFF2-40B4-BE49-F238E27FC236}">
                <a16:creationId xmlns:a16="http://schemas.microsoft.com/office/drawing/2014/main" id="{00000000-0008-0000-0200-0000551500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2" name="$E$110">
            <a:extLst>
              <a:ext uri="{FF2B5EF4-FFF2-40B4-BE49-F238E27FC236}">
                <a16:creationId xmlns:a16="http://schemas.microsoft.com/office/drawing/2014/main" id="{00000000-0008-0000-0200-0000561500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3" name="$E$110">
            <a:extLst>
              <a:ext uri="{FF2B5EF4-FFF2-40B4-BE49-F238E27FC236}">
                <a16:creationId xmlns:a16="http://schemas.microsoft.com/office/drawing/2014/main" id="{00000000-0008-0000-0200-000057150000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4" name="$E$110">
            <a:extLst>
              <a:ext uri="{FF2B5EF4-FFF2-40B4-BE49-F238E27FC236}">
                <a16:creationId xmlns:a16="http://schemas.microsoft.com/office/drawing/2014/main" id="{00000000-0008-0000-0200-000058150000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5" name="$E$110">
            <a:extLst>
              <a:ext uri="{FF2B5EF4-FFF2-40B4-BE49-F238E27FC236}">
                <a16:creationId xmlns:a16="http://schemas.microsoft.com/office/drawing/2014/main" id="{00000000-0008-0000-0200-0000591500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6" name="$E$110">
            <a:extLst>
              <a:ext uri="{FF2B5EF4-FFF2-40B4-BE49-F238E27FC236}">
                <a16:creationId xmlns:a16="http://schemas.microsoft.com/office/drawing/2014/main" id="{00000000-0008-0000-0200-00005A1500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7" name="$E$110">
            <a:extLst>
              <a:ext uri="{FF2B5EF4-FFF2-40B4-BE49-F238E27FC236}">
                <a16:creationId xmlns:a16="http://schemas.microsoft.com/office/drawing/2014/main" id="{00000000-0008-0000-0200-00005B150000}"/>
              </a:ext>
            </a:extLst>
          </xdr:cNvPr>
          <xdr:cNvSpPr/>
        </xdr:nvSpPr>
        <xdr:spPr>
          <a:xfrm>
            <a:off x="114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8" name="$E$110">
            <a:extLst>
              <a:ext uri="{FF2B5EF4-FFF2-40B4-BE49-F238E27FC236}">
                <a16:creationId xmlns:a16="http://schemas.microsoft.com/office/drawing/2014/main" id="{00000000-0008-0000-0200-00005C1500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9" name="$E$110">
            <a:extLst>
              <a:ext uri="{FF2B5EF4-FFF2-40B4-BE49-F238E27FC236}">
                <a16:creationId xmlns:a16="http://schemas.microsoft.com/office/drawing/2014/main" id="{00000000-0008-0000-0200-00005D1500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0" name="$E$110">
            <a:extLst>
              <a:ext uri="{FF2B5EF4-FFF2-40B4-BE49-F238E27FC236}">
                <a16:creationId xmlns:a16="http://schemas.microsoft.com/office/drawing/2014/main" id="{00000000-0008-0000-0200-00005E1500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1" name="$E$110">
            <a:extLst>
              <a:ext uri="{FF2B5EF4-FFF2-40B4-BE49-F238E27FC236}">
                <a16:creationId xmlns:a16="http://schemas.microsoft.com/office/drawing/2014/main" id="{00000000-0008-0000-0200-00005F1500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2" name="$E$110">
            <a:extLst>
              <a:ext uri="{FF2B5EF4-FFF2-40B4-BE49-F238E27FC236}">
                <a16:creationId xmlns:a16="http://schemas.microsoft.com/office/drawing/2014/main" id="{00000000-0008-0000-0200-000060150000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3" name="$E$110">
            <a:extLst>
              <a:ext uri="{FF2B5EF4-FFF2-40B4-BE49-F238E27FC236}">
                <a16:creationId xmlns:a16="http://schemas.microsoft.com/office/drawing/2014/main" id="{00000000-0008-0000-0200-0000611500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4" name="$E$110">
            <a:extLst>
              <a:ext uri="{FF2B5EF4-FFF2-40B4-BE49-F238E27FC236}">
                <a16:creationId xmlns:a16="http://schemas.microsoft.com/office/drawing/2014/main" id="{00000000-0008-0000-0200-000062150000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5" name="$E$110">
            <a:extLst>
              <a:ext uri="{FF2B5EF4-FFF2-40B4-BE49-F238E27FC236}">
                <a16:creationId xmlns:a16="http://schemas.microsoft.com/office/drawing/2014/main" id="{00000000-0008-0000-0200-000063150000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6" name="$E$110">
            <a:extLst>
              <a:ext uri="{FF2B5EF4-FFF2-40B4-BE49-F238E27FC236}">
                <a16:creationId xmlns:a16="http://schemas.microsoft.com/office/drawing/2014/main" id="{00000000-0008-0000-0200-000064150000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7" name="$E$110">
            <a:extLst>
              <a:ext uri="{FF2B5EF4-FFF2-40B4-BE49-F238E27FC236}">
                <a16:creationId xmlns:a16="http://schemas.microsoft.com/office/drawing/2014/main" id="{00000000-0008-0000-0200-000065150000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8" name="$E$110">
            <a:extLst>
              <a:ext uri="{FF2B5EF4-FFF2-40B4-BE49-F238E27FC236}">
                <a16:creationId xmlns:a16="http://schemas.microsoft.com/office/drawing/2014/main" id="{00000000-0008-0000-0200-000066150000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9" name="$E$110">
            <a:extLst>
              <a:ext uri="{FF2B5EF4-FFF2-40B4-BE49-F238E27FC236}">
                <a16:creationId xmlns:a16="http://schemas.microsoft.com/office/drawing/2014/main" id="{00000000-0008-0000-0200-000067150000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0" name="$E$110">
            <a:extLst>
              <a:ext uri="{FF2B5EF4-FFF2-40B4-BE49-F238E27FC236}">
                <a16:creationId xmlns:a16="http://schemas.microsoft.com/office/drawing/2014/main" id="{00000000-0008-0000-0200-000068150000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1" name="$E$110">
            <a:extLst>
              <a:ext uri="{FF2B5EF4-FFF2-40B4-BE49-F238E27FC236}">
                <a16:creationId xmlns:a16="http://schemas.microsoft.com/office/drawing/2014/main" id="{00000000-0008-0000-0200-000069150000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2" name="$E$110">
            <a:extLst>
              <a:ext uri="{FF2B5EF4-FFF2-40B4-BE49-F238E27FC236}">
                <a16:creationId xmlns:a16="http://schemas.microsoft.com/office/drawing/2014/main" id="{00000000-0008-0000-0200-00006A1500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3" name="$E$110">
            <a:extLst>
              <a:ext uri="{FF2B5EF4-FFF2-40B4-BE49-F238E27FC236}">
                <a16:creationId xmlns:a16="http://schemas.microsoft.com/office/drawing/2014/main" id="{00000000-0008-0000-0200-00006B1500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4" name="$E$110">
            <a:extLst>
              <a:ext uri="{FF2B5EF4-FFF2-40B4-BE49-F238E27FC236}">
                <a16:creationId xmlns:a16="http://schemas.microsoft.com/office/drawing/2014/main" id="{00000000-0008-0000-0200-00006C1500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5" name="$E$110">
            <a:extLst>
              <a:ext uri="{FF2B5EF4-FFF2-40B4-BE49-F238E27FC236}">
                <a16:creationId xmlns:a16="http://schemas.microsoft.com/office/drawing/2014/main" id="{00000000-0008-0000-0200-00006D1500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6" name="$E$110">
            <a:extLst>
              <a:ext uri="{FF2B5EF4-FFF2-40B4-BE49-F238E27FC236}">
                <a16:creationId xmlns:a16="http://schemas.microsoft.com/office/drawing/2014/main" id="{00000000-0008-0000-0200-00006E1500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7" name="$E$110">
            <a:extLst>
              <a:ext uri="{FF2B5EF4-FFF2-40B4-BE49-F238E27FC236}">
                <a16:creationId xmlns:a16="http://schemas.microsoft.com/office/drawing/2014/main" id="{00000000-0008-0000-0200-00006F1500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8" name="$E$110">
            <a:extLst>
              <a:ext uri="{FF2B5EF4-FFF2-40B4-BE49-F238E27FC236}">
                <a16:creationId xmlns:a16="http://schemas.microsoft.com/office/drawing/2014/main" id="{00000000-0008-0000-0200-0000701500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9" name="$E$110">
            <a:extLst>
              <a:ext uri="{FF2B5EF4-FFF2-40B4-BE49-F238E27FC236}">
                <a16:creationId xmlns:a16="http://schemas.microsoft.com/office/drawing/2014/main" id="{00000000-0008-0000-0200-0000711500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0" name="$E$110">
            <a:extLst>
              <a:ext uri="{FF2B5EF4-FFF2-40B4-BE49-F238E27FC236}">
                <a16:creationId xmlns:a16="http://schemas.microsoft.com/office/drawing/2014/main" id="{00000000-0008-0000-0200-0000721500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1" name="$E$110">
            <a:extLst>
              <a:ext uri="{FF2B5EF4-FFF2-40B4-BE49-F238E27FC236}">
                <a16:creationId xmlns:a16="http://schemas.microsoft.com/office/drawing/2014/main" id="{00000000-0008-0000-0200-000073150000}"/>
              </a:ext>
            </a:extLst>
          </xdr:cNvPr>
          <xdr:cNvSpPr/>
        </xdr:nvSpPr>
        <xdr:spPr>
          <a:xfrm>
            <a:off x="177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2" name="$E$110">
            <a:extLst>
              <a:ext uri="{FF2B5EF4-FFF2-40B4-BE49-F238E27FC236}">
                <a16:creationId xmlns:a16="http://schemas.microsoft.com/office/drawing/2014/main" id="{00000000-0008-0000-0200-000074150000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3" name="$E$110">
            <a:extLst>
              <a:ext uri="{FF2B5EF4-FFF2-40B4-BE49-F238E27FC236}">
                <a16:creationId xmlns:a16="http://schemas.microsoft.com/office/drawing/2014/main" id="{00000000-0008-0000-0200-000075150000}"/>
              </a:ext>
            </a:extLst>
          </xdr:cNvPr>
          <xdr:cNvSpPr/>
        </xdr:nvSpPr>
        <xdr:spPr>
          <a:xfrm>
            <a:off x="203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4" name="$E$110">
            <a:extLst>
              <a:ext uri="{FF2B5EF4-FFF2-40B4-BE49-F238E27FC236}">
                <a16:creationId xmlns:a16="http://schemas.microsoft.com/office/drawing/2014/main" id="{00000000-0008-0000-0200-0000761500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5" name="$E$110">
            <a:extLst>
              <a:ext uri="{FF2B5EF4-FFF2-40B4-BE49-F238E27FC236}">
                <a16:creationId xmlns:a16="http://schemas.microsoft.com/office/drawing/2014/main" id="{00000000-0008-0000-0200-0000771500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6" name="$E$110">
            <a:extLst>
              <a:ext uri="{FF2B5EF4-FFF2-40B4-BE49-F238E27FC236}">
                <a16:creationId xmlns:a16="http://schemas.microsoft.com/office/drawing/2014/main" id="{00000000-0008-0000-0200-0000781500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7" name="$E$110">
            <a:extLst>
              <a:ext uri="{FF2B5EF4-FFF2-40B4-BE49-F238E27FC236}">
                <a16:creationId xmlns:a16="http://schemas.microsoft.com/office/drawing/2014/main" id="{00000000-0008-0000-0200-0000791500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8" name="$E$110">
            <a:extLst>
              <a:ext uri="{FF2B5EF4-FFF2-40B4-BE49-F238E27FC236}">
                <a16:creationId xmlns:a16="http://schemas.microsoft.com/office/drawing/2014/main" id="{00000000-0008-0000-0200-00007A150000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9" name="$E$110">
            <a:extLst>
              <a:ext uri="{FF2B5EF4-FFF2-40B4-BE49-F238E27FC236}">
                <a16:creationId xmlns:a16="http://schemas.microsoft.com/office/drawing/2014/main" id="{00000000-0008-0000-0200-00007B1500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0" name="$E$110">
            <a:extLst>
              <a:ext uri="{FF2B5EF4-FFF2-40B4-BE49-F238E27FC236}">
                <a16:creationId xmlns:a16="http://schemas.microsoft.com/office/drawing/2014/main" id="{00000000-0008-0000-0200-00007C150000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1" name="$E$110">
            <a:extLst>
              <a:ext uri="{FF2B5EF4-FFF2-40B4-BE49-F238E27FC236}">
                <a16:creationId xmlns:a16="http://schemas.microsoft.com/office/drawing/2014/main" id="{00000000-0008-0000-0200-00007D150000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2" name="$E$110">
            <a:extLst>
              <a:ext uri="{FF2B5EF4-FFF2-40B4-BE49-F238E27FC236}">
                <a16:creationId xmlns:a16="http://schemas.microsoft.com/office/drawing/2014/main" id="{00000000-0008-0000-0200-00007E150000}"/>
              </a:ext>
            </a:extLst>
          </xdr:cNvPr>
          <xdr:cNvSpPr/>
        </xdr:nvSpPr>
        <xdr:spPr>
          <a:xfrm>
            <a:off x="406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3" name="$E$110">
            <a:extLst>
              <a:ext uri="{FF2B5EF4-FFF2-40B4-BE49-F238E27FC236}">
                <a16:creationId xmlns:a16="http://schemas.microsoft.com/office/drawing/2014/main" id="{00000000-0008-0000-0200-00007F150000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4" name="$E$110">
            <a:extLst>
              <a:ext uri="{FF2B5EF4-FFF2-40B4-BE49-F238E27FC236}">
                <a16:creationId xmlns:a16="http://schemas.microsoft.com/office/drawing/2014/main" id="{00000000-0008-0000-0200-000080150000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5" name="$E$110">
            <a:extLst>
              <a:ext uri="{FF2B5EF4-FFF2-40B4-BE49-F238E27FC236}">
                <a16:creationId xmlns:a16="http://schemas.microsoft.com/office/drawing/2014/main" id="{00000000-0008-0000-0200-000081150000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6" name="$E$110">
            <a:extLst>
              <a:ext uri="{FF2B5EF4-FFF2-40B4-BE49-F238E27FC236}">
                <a16:creationId xmlns:a16="http://schemas.microsoft.com/office/drawing/2014/main" id="{00000000-0008-0000-0200-000082150000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7" name="$E$110">
            <a:extLst>
              <a:ext uri="{FF2B5EF4-FFF2-40B4-BE49-F238E27FC236}">
                <a16:creationId xmlns:a16="http://schemas.microsoft.com/office/drawing/2014/main" id="{00000000-0008-0000-0200-000083150000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8" name="$E$110">
            <a:extLst>
              <a:ext uri="{FF2B5EF4-FFF2-40B4-BE49-F238E27FC236}">
                <a16:creationId xmlns:a16="http://schemas.microsoft.com/office/drawing/2014/main" id="{00000000-0008-0000-0200-000084150000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9" name="$E$110">
            <a:extLst>
              <a:ext uri="{FF2B5EF4-FFF2-40B4-BE49-F238E27FC236}">
                <a16:creationId xmlns:a16="http://schemas.microsoft.com/office/drawing/2014/main" id="{00000000-0008-0000-0200-000085150000}"/>
              </a:ext>
            </a:extLst>
          </xdr:cNvPr>
          <xdr:cNvSpPr/>
        </xdr:nvSpPr>
        <xdr:spPr>
          <a:xfrm>
            <a:off x="114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0" name="$E$110">
            <a:extLst>
              <a:ext uri="{FF2B5EF4-FFF2-40B4-BE49-F238E27FC236}">
                <a16:creationId xmlns:a16="http://schemas.microsoft.com/office/drawing/2014/main" id="{00000000-0008-0000-0200-000086150000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1" name="$E$110">
            <a:extLst>
              <a:ext uri="{FF2B5EF4-FFF2-40B4-BE49-F238E27FC236}">
                <a16:creationId xmlns:a16="http://schemas.microsoft.com/office/drawing/2014/main" id="{00000000-0008-0000-0200-000087150000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2" name="$E$110">
            <a:extLst>
              <a:ext uri="{FF2B5EF4-FFF2-40B4-BE49-F238E27FC236}">
                <a16:creationId xmlns:a16="http://schemas.microsoft.com/office/drawing/2014/main" id="{00000000-0008-0000-0200-000088150000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3" name="$E$110">
            <a:extLst>
              <a:ext uri="{FF2B5EF4-FFF2-40B4-BE49-F238E27FC236}">
                <a16:creationId xmlns:a16="http://schemas.microsoft.com/office/drawing/2014/main" id="{00000000-0008-0000-0200-000089150000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4" name="$E$110">
            <a:extLst>
              <a:ext uri="{FF2B5EF4-FFF2-40B4-BE49-F238E27FC236}">
                <a16:creationId xmlns:a16="http://schemas.microsoft.com/office/drawing/2014/main" id="{00000000-0008-0000-0200-00008A150000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5" name="$E$110">
            <a:extLst>
              <a:ext uri="{FF2B5EF4-FFF2-40B4-BE49-F238E27FC236}">
                <a16:creationId xmlns:a16="http://schemas.microsoft.com/office/drawing/2014/main" id="{00000000-0008-0000-0200-00008B150000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6" name="$E$110">
            <a:extLst>
              <a:ext uri="{FF2B5EF4-FFF2-40B4-BE49-F238E27FC236}">
                <a16:creationId xmlns:a16="http://schemas.microsoft.com/office/drawing/2014/main" id="{00000000-0008-0000-0200-00008C150000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7" name="$E$110">
            <a:extLst>
              <a:ext uri="{FF2B5EF4-FFF2-40B4-BE49-F238E27FC236}">
                <a16:creationId xmlns:a16="http://schemas.microsoft.com/office/drawing/2014/main" id="{00000000-0008-0000-0200-00008D150000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8" name="$E$110">
            <a:extLst>
              <a:ext uri="{FF2B5EF4-FFF2-40B4-BE49-F238E27FC236}">
                <a16:creationId xmlns:a16="http://schemas.microsoft.com/office/drawing/2014/main" id="{00000000-0008-0000-0200-00008E150000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9" name="$E$110">
            <a:extLst>
              <a:ext uri="{FF2B5EF4-FFF2-40B4-BE49-F238E27FC236}">
                <a16:creationId xmlns:a16="http://schemas.microsoft.com/office/drawing/2014/main" id="{00000000-0008-0000-0200-00008F150000}"/>
              </a:ext>
            </a:extLst>
          </xdr:cNvPr>
          <xdr:cNvSpPr/>
        </xdr:nvSpPr>
        <xdr:spPr>
          <a:xfrm>
            <a:off x="393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0" name="$E$110">
            <a:extLst>
              <a:ext uri="{FF2B5EF4-FFF2-40B4-BE49-F238E27FC236}">
                <a16:creationId xmlns:a16="http://schemas.microsoft.com/office/drawing/2014/main" id="{00000000-0008-0000-0200-000090150000}"/>
              </a:ext>
            </a:extLst>
          </xdr:cNvPr>
          <xdr:cNvSpPr/>
        </xdr:nvSpPr>
        <xdr:spPr>
          <a:xfrm>
            <a:off x="406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1" name="$E$110">
            <a:extLst>
              <a:ext uri="{FF2B5EF4-FFF2-40B4-BE49-F238E27FC236}">
                <a16:creationId xmlns:a16="http://schemas.microsoft.com/office/drawing/2014/main" id="{00000000-0008-0000-0200-000091150000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2" name="$E$110">
            <a:extLst>
              <a:ext uri="{FF2B5EF4-FFF2-40B4-BE49-F238E27FC236}">
                <a16:creationId xmlns:a16="http://schemas.microsoft.com/office/drawing/2014/main" id="{00000000-0008-0000-0200-000092150000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3" name="$E$110">
            <a:extLst>
              <a:ext uri="{FF2B5EF4-FFF2-40B4-BE49-F238E27FC236}">
                <a16:creationId xmlns:a16="http://schemas.microsoft.com/office/drawing/2014/main" id="{00000000-0008-0000-0200-000093150000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4" name="$E$110">
            <a:extLst>
              <a:ext uri="{FF2B5EF4-FFF2-40B4-BE49-F238E27FC236}">
                <a16:creationId xmlns:a16="http://schemas.microsoft.com/office/drawing/2014/main" id="{00000000-0008-0000-0200-000094150000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5" name="$E$110">
            <a:extLst>
              <a:ext uri="{FF2B5EF4-FFF2-40B4-BE49-F238E27FC236}">
                <a16:creationId xmlns:a16="http://schemas.microsoft.com/office/drawing/2014/main" id="{00000000-0008-0000-0200-000095150000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6" name="$E$110">
            <a:extLst>
              <a:ext uri="{FF2B5EF4-FFF2-40B4-BE49-F238E27FC236}">
                <a16:creationId xmlns:a16="http://schemas.microsoft.com/office/drawing/2014/main" id="{00000000-0008-0000-0200-000096150000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7" name="$E$110">
            <a:extLst>
              <a:ext uri="{FF2B5EF4-FFF2-40B4-BE49-F238E27FC236}">
                <a16:creationId xmlns:a16="http://schemas.microsoft.com/office/drawing/2014/main" id="{00000000-0008-0000-0200-000097150000}"/>
              </a:ext>
            </a:extLst>
          </xdr:cNvPr>
          <xdr:cNvSpPr/>
        </xdr:nvSpPr>
        <xdr:spPr>
          <a:xfrm>
            <a:off x="139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8" name="$E$110">
            <a:extLst>
              <a:ext uri="{FF2B5EF4-FFF2-40B4-BE49-F238E27FC236}">
                <a16:creationId xmlns:a16="http://schemas.microsoft.com/office/drawing/2014/main" id="{00000000-0008-0000-0200-000098150000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9" name="$E$110">
            <a:extLst>
              <a:ext uri="{FF2B5EF4-FFF2-40B4-BE49-F238E27FC236}">
                <a16:creationId xmlns:a16="http://schemas.microsoft.com/office/drawing/2014/main" id="{00000000-0008-0000-0200-000099150000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0" name="$E$110">
            <a:extLst>
              <a:ext uri="{FF2B5EF4-FFF2-40B4-BE49-F238E27FC236}">
                <a16:creationId xmlns:a16="http://schemas.microsoft.com/office/drawing/2014/main" id="{00000000-0008-0000-0200-00009A150000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1" name="$E$110">
            <a:extLst>
              <a:ext uri="{FF2B5EF4-FFF2-40B4-BE49-F238E27FC236}">
                <a16:creationId xmlns:a16="http://schemas.microsoft.com/office/drawing/2014/main" id="{00000000-0008-0000-0200-00009B150000}"/>
              </a:ext>
            </a:extLst>
          </xdr:cNvPr>
          <xdr:cNvSpPr/>
        </xdr:nvSpPr>
        <xdr:spPr>
          <a:xfrm>
            <a:off x="2159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2" name="$E$110">
            <a:extLst>
              <a:ext uri="{FF2B5EF4-FFF2-40B4-BE49-F238E27FC236}">
                <a16:creationId xmlns:a16="http://schemas.microsoft.com/office/drawing/2014/main" id="{00000000-0008-0000-0200-00009C150000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3" name="$E$110">
            <a:extLst>
              <a:ext uri="{FF2B5EF4-FFF2-40B4-BE49-F238E27FC236}">
                <a16:creationId xmlns:a16="http://schemas.microsoft.com/office/drawing/2014/main" id="{00000000-0008-0000-0200-00009D150000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4" name="$E$110">
            <a:extLst>
              <a:ext uri="{FF2B5EF4-FFF2-40B4-BE49-F238E27FC236}">
                <a16:creationId xmlns:a16="http://schemas.microsoft.com/office/drawing/2014/main" id="{00000000-0008-0000-0200-00009E150000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5" name="$E$110">
            <a:extLst>
              <a:ext uri="{FF2B5EF4-FFF2-40B4-BE49-F238E27FC236}">
                <a16:creationId xmlns:a16="http://schemas.microsoft.com/office/drawing/2014/main" id="{00000000-0008-0000-0200-00009F150000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6" name="$E$110">
            <a:extLst>
              <a:ext uri="{FF2B5EF4-FFF2-40B4-BE49-F238E27FC236}">
                <a16:creationId xmlns:a16="http://schemas.microsoft.com/office/drawing/2014/main" id="{00000000-0008-0000-0200-0000A0150000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7" name="$E$110">
            <a:extLst>
              <a:ext uri="{FF2B5EF4-FFF2-40B4-BE49-F238E27FC236}">
                <a16:creationId xmlns:a16="http://schemas.microsoft.com/office/drawing/2014/main" id="{00000000-0008-0000-0200-0000A1150000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8" name="$E$110">
            <a:extLst>
              <a:ext uri="{FF2B5EF4-FFF2-40B4-BE49-F238E27FC236}">
                <a16:creationId xmlns:a16="http://schemas.microsoft.com/office/drawing/2014/main" id="{00000000-0008-0000-0200-0000A2150000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9" name="$E$110">
            <a:extLst>
              <a:ext uri="{FF2B5EF4-FFF2-40B4-BE49-F238E27FC236}">
                <a16:creationId xmlns:a16="http://schemas.microsoft.com/office/drawing/2014/main" id="{00000000-0008-0000-0200-0000A3150000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0" name="$E$110">
            <a:extLst>
              <a:ext uri="{FF2B5EF4-FFF2-40B4-BE49-F238E27FC236}">
                <a16:creationId xmlns:a16="http://schemas.microsoft.com/office/drawing/2014/main" id="{00000000-0008-0000-0200-0000A4150000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1" name="$E$110">
            <a:extLst>
              <a:ext uri="{FF2B5EF4-FFF2-40B4-BE49-F238E27FC236}">
                <a16:creationId xmlns:a16="http://schemas.microsoft.com/office/drawing/2014/main" id="{00000000-0008-0000-0200-0000A5150000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2" name="$E$110">
            <a:extLst>
              <a:ext uri="{FF2B5EF4-FFF2-40B4-BE49-F238E27FC236}">
                <a16:creationId xmlns:a16="http://schemas.microsoft.com/office/drawing/2014/main" id="{00000000-0008-0000-0200-0000A6150000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3" name="$E$110">
            <a:extLst>
              <a:ext uri="{FF2B5EF4-FFF2-40B4-BE49-F238E27FC236}">
                <a16:creationId xmlns:a16="http://schemas.microsoft.com/office/drawing/2014/main" id="{00000000-0008-0000-0200-0000A7150000}"/>
              </a:ext>
            </a:extLst>
          </xdr:cNvPr>
          <xdr:cNvSpPr/>
        </xdr:nvSpPr>
        <xdr:spPr>
          <a:xfrm>
            <a:off x="190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4" name="$E$110">
            <a:extLst>
              <a:ext uri="{FF2B5EF4-FFF2-40B4-BE49-F238E27FC236}">
                <a16:creationId xmlns:a16="http://schemas.microsoft.com/office/drawing/2014/main" id="{00000000-0008-0000-0200-0000A8150000}"/>
              </a:ext>
            </a:extLst>
          </xdr:cNvPr>
          <xdr:cNvSpPr/>
        </xdr:nvSpPr>
        <xdr:spPr>
          <a:xfrm>
            <a:off x="203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5" name="$E$110">
            <a:extLst>
              <a:ext uri="{FF2B5EF4-FFF2-40B4-BE49-F238E27FC236}">
                <a16:creationId xmlns:a16="http://schemas.microsoft.com/office/drawing/2014/main" id="{00000000-0008-0000-0200-0000A9150000}"/>
              </a:ext>
            </a:extLst>
          </xdr:cNvPr>
          <xdr:cNvSpPr/>
        </xdr:nvSpPr>
        <xdr:spPr>
          <a:xfrm>
            <a:off x="228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6" name="$E$110">
            <a:extLst>
              <a:ext uri="{FF2B5EF4-FFF2-40B4-BE49-F238E27FC236}">
                <a16:creationId xmlns:a16="http://schemas.microsoft.com/office/drawing/2014/main" id="{00000000-0008-0000-0200-0000AA150000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7" name="$E$110">
            <a:extLst>
              <a:ext uri="{FF2B5EF4-FFF2-40B4-BE49-F238E27FC236}">
                <a16:creationId xmlns:a16="http://schemas.microsoft.com/office/drawing/2014/main" id="{00000000-0008-0000-0200-0000AB150000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8" name="$E$110">
            <a:extLst>
              <a:ext uri="{FF2B5EF4-FFF2-40B4-BE49-F238E27FC236}">
                <a16:creationId xmlns:a16="http://schemas.microsoft.com/office/drawing/2014/main" id="{00000000-0008-0000-0200-0000AC150000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9" name="$E$110">
            <a:extLst>
              <a:ext uri="{FF2B5EF4-FFF2-40B4-BE49-F238E27FC236}">
                <a16:creationId xmlns:a16="http://schemas.microsoft.com/office/drawing/2014/main" id="{00000000-0008-0000-0200-0000AD150000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0" name="$E$110">
            <a:extLst>
              <a:ext uri="{FF2B5EF4-FFF2-40B4-BE49-F238E27FC236}">
                <a16:creationId xmlns:a16="http://schemas.microsoft.com/office/drawing/2014/main" id="{00000000-0008-0000-0200-0000AE150000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1" name="$E$110">
            <a:extLst>
              <a:ext uri="{FF2B5EF4-FFF2-40B4-BE49-F238E27FC236}">
                <a16:creationId xmlns:a16="http://schemas.microsoft.com/office/drawing/2014/main" id="{00000000-0008-0000-0200-0000AF150000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2" name="$E$110">
            <a:extLst>
              <a:ext uri="{FF2B5EF4-FFF2-40B4-BE49-F238E27FC236}">
                <a16:creationId xmlns:a16="http://schemas.microsoft.com/office/drawing/2014/main" id="{00000000-0008-0000-0200-0000B0150000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3" name="$E$110">
            <a:extLst>
              <a:ext uri="{FF2B5EF4-FFF2-40B4-BE49-F238E27FC236}">
                <a16:creationId xmlns:a16="http://schemas.microsoft.com/office/drawing/2014/main" id="{00000000-0008-0000-0200-0000B1150000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4" name="$E$110">
            <a:extLst>
              <a:ext uri="{FF2B5EF4-FFF2-40B4-BE49-F238E27FC236}">
                <a16:creationId xmlns:a16="http://schemas.microsoft.com/office/drawing/2014/main" id="{00000000-0008-0000-0200-0000B2150000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5" name="$E$110">
            <a:extLst>
              <a:ext uri="{FF2B5EF4-FFF2-40B4-BE49-F238E27FC236}">
                <a16:creationId xmlns:a16="http://schemas.microsoft.com/office/drawing/2014/main" id="{00000000-0008-0000-0200-0000B3150000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6" name="$E$110">
            <a:extLst>
              <a:ext uri="{FF2B5EF4-FFF2-40B4-BE49-F238E27FC236}">
                <a16:creationId xmlns:a16="http://schemas.microsoft.com/office/drawing/2014/main" id="{00000000-0008-0000-0200-0000B4150000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7" name="$E$110">
            <a:extLst>
              <a:ext uri="{FF2B5EF4-FFF2-40B4-BE49-F238E27FC236}">
                <a16:creationId xmlns:a16="http://schemas.microsoft.com/office/drawing/2014/main" id="{00000000-0008-0000-0200-0000B5150000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8" name="$E$110">
            <a:extLst>
              <a:ext uri="{FF2B5EF4-FFF2-40B4-BE49-F238E27FC236}">
                <a16:creationId xmlns:a16="http://schemas.microsoft.com/office/drawing/2014/main" id="{00000000-0008-0000-0200-0000B6150000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9" name="$E$110">
            <a:extLst>
              <a:ext uri="{FF2B5EF4-FFF2-40B4-BE49-F238E27FC236}">
                <a16:creationId xmlns:a16="http://schemas.microsoft.com/office/drawing/2014/main" id="{00000000-0008-0000-0200-0000B7150000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0" name="$E$110">
            <a:extLst>
              <a:ext uri="{FF2B5EF4-FFF2-40B4-BE49-F238E27FC236}">
                <a16:creationId xmlns:a16="http://schemas.microsoft.com/office/drawing/2014/main" id="{00000000-0008-0000-0200-0000B8150000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1" name="$E$110">
            <a:extLst>
              <a:ext uri="{FF2B5EF4-FFF2-40B4-BE49-F238E27FC236}">
                <a16:creationId xmlns:a16="http://schemas.microsoft.com/office/drawing/2014/main" id="{00000000-0008-0000-0200-0000B9150000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2" name="$E$110">
            <a:extLst>
              <a:ext uri="{FF2B5EF4-FFF2-40B4-BE49-F238E27FC236}">
                <a16:creationId xmlns:a16="http://schemas.microsoft.com/office/drawing/2014/main" id="{00000000-0008-0000-0200-0000BA150000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3" name="$E$110">
            <a:extLst>
              <a:ext uri="{FF2B5EF4-FFF2-40B4-BE49-F238E27FC236}">
                <a16:creationId xmlns:a16="http://schemas.microsoft.com/office/drawing/2014/main" id="{00000000-0008-0000-0200-0000BB150000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4" name="$E$110">
            <a:extLst>
              <a:ext uri="{FF2B5EF4-FFF2-40B4-BE49-F238E27FC236}">
                <a16:creationId xmlns:a16="http://schemas.microsoft.com/office/drawing/2014/main" id="{00000000-0008-0000-0200-0000BC150000}"/>
              </a:ext>
            </a:extLst>
          </xdr:cNvPr>
          <xdr:cNvSpPr/>
        </xdr:nvSpPr>
        <xdr:spPr>
          <a:xfrm>
            <a:off x="228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5" name="$E$110">
            <a:extLst>
              <a:ext uri="{FF2B5EF4-FFF2-40B4-BE49-F238E27FC236}">
                <a16:creationId xmlns:a16="http://schemas.microsoft.com/office/drawing/2014/main" id="{00000000-0008-0000-0200-0000BD150000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6" name="$E$110">
            <a:extLst>
              <a:ext uri="{FF2B5EF4-FFF2-40B4-BE49-F238E27FC236}">
                <a16:creationId xmlns:a16="http://schemas.microsoft.com/office/drawing/2014/main" id="{00000000-0008-0000-0200-0000BE150000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7" name="$E$110">
            <a:extLst>
              <a:ext uri="{FF2B5EF4-FFF2-40B4-BE49-F238E27FC236}">
                <a16:creationId xmlns:a16="http://schemas.microsoft.com/office/drawing/2014/main" id="{00000000-0008-0000-0200-0000BF150000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8" name="$E$110">
            <a:extLst>
              <a:ext uri="{FF2B5EF4-FFF2-40B4-BE49-F238E27FC236}">
                <a16:creationId xmlns:a16="http://schemas.microsoft.com/office/drawing/2014/main" id="{00000000-0008-0000-0200-0000C0150000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9" name="$E$110">
            <a:extLst>
              <a:ext uri="{FF2B5EF4-FFF2-40B4-BE49-F238E27FC236}">
                <a16:creationId xmlns:a16="http://schemas.microsoft.com/office/drawing/2014/main" id="{00000000-0008-0000-0200-0000C1150000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0" name="$E$110">
            <a:extLst>
              <a:ext uri="{FF2B5EF4-FFF2-40B4-BE49-F238E27FC236}">
                <a16:creationId xmlns:a16="http://schemas.microsoft.com/office/drawing/2014/main" id="{00000000-0008-0000-0200-0000C2150000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336369</xdr:colOff>
      <xdr:row>173</xdr:row>
      <xdr:rowOff>45864</xdr:rowOff>
    </xdr:from>
    <xdr:to>
      <xdr:col>5</xdr:col>
      <xdr:colOff>139882</xdr:colOff>
      <xdr:row>173</xdr:row>
      <xdr:rowOff>1506727</xdr:rowOff>
    </xdr:to>
    <xdr:grpSp>
      <xdr:nvGrpSpPr>
        <xdr:cNvPr id="11676" name="$E$174" descr="QuickResponse barcode, level L, version 4, mode binary, 33x33 cells" title="https://centrodecapacitaciondelsur.com/soporte-basico-de-vida-37085908/">
          <a:extLst>
            <a:ext uri="{FF2B5EF4-FFF2-40B4-BE49-F238E27FC236}">
              <a16:creationId xmlns:a16="http://schemas.microsoft.com/office/drawing/2014/main" id="{00000000-0008-0000-0200-00009C2D0000}"/>
            </a:ext>
          </a:extLst>
        </xdr:cNvPr>
        <xdr:cNvGrpSpPr>
          <a:grpSpLocks noChangeAspect="1"/>
        </xdr:cNvGrpSpPr>
      </xdr:nvGrpSpPr>
      <xdr:grpSpPr>
        <a:xfrm>
          <a:off x="20910369" y="218376182"/>
          <a:ext cx="1466058" cy="1460863"/>
          <a:chOff x="0" y="0"/>
          <a:chExt cx="419100" cy="419100"/>
        </a:xfrm>
      </xdr:grpSpPr>
      <xdr:sp macro="" textlink="">
        <xdr:nvSpPr>
          <xdr:cNvPr id="11133" name="$E$174">
            <a:extLst>
              <a:ext uri="{FF2B5EF4-FFF2-40B4-BE49-F238E27FC236}">
                <a16:creationId xmlns:a16="http://schemas.microsoft.com/office/drawing/2014/main" id="{00000000-0008-0000-0200-00007D2B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34" name="$E$174">
            <a:extLst>
              <a:ext uri="{FF2B5EF4-FFF2-40B4-BE49-F238E27FC236}">
                <a16:creationId xmlns:a16="http://schemas.microsoft.com/office/drawing/2014/main" id="{00000000-0008-0000-0200-00007E2B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35" name="$E$174">
            <a:extLst>
              <a:ext uri="{FF2B5EF4-FFF2-40B4-BE49-F238E27FC236}">
                <a16:creationId xmlns:a16="http://schemas.microsoft.com/office/drawing/2014/main" id="{00000000-0008-0000-0200-00007F2B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36" name="$E$174">
            <a:extLst>
              <a:ext uri="{FF2B5EF4-FFF2-40B4-BE49-F238E27FC236}">
                <a16:creationId xmlns:a16="http://schemas.microsoft.com/office/drawing/2014/main" id="{00000000-0008-0000-0200-0000802B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37" name="$E$174">
            <a:extLst>
              <a:ext uri="{FF2B5EF4-FFF2-40B4-BE49-F238E27FC236}">
                <a16:creationId xmlns:a16="http://schemas.microsoft.com/office/drawing/2014/main" id="{00000000-0008-0000-0200-0000812B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38" name="$E$174">
            <a:extLst>
              <a:ext uri="{FF2B5EF4-FFF2-40B4-BE49-F238E27FC236}">
                <a16:creationId xmlns:a16="http://schemas.microsoft.com/office/drawing/2014/main" id="{00000000-0008-0000-0200-0000822B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39" name="$E$174">
            <a:extLst>
              <a:ext uri="{FF2B5EF4-FFF2-40B4-BE49-F238E27FC236}">
                <a16:creationId xmlns:a16="http://schemas.microsoft.com/office/drawing/2014/main" id="{00000000-0008-0000-0200-0000832B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40" name="$E$174">
            <a:extLst>
              <a:ext uri="{FF2B5EF4-FFF2-40B4-BE49-F238E27FC236}">
                <a16:creationId xmlns:a16="http://schemas.microsoft.com/office/drawing/2014/main" id="{00000000-0008-0000-0200-0000842B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41" name="$E$174">
            <a:extLst>
              <a:ext uri="{FF2B5EF4-FFF2-40B4-BE49-F238E27FC236}">
                <a16:creationId xmlns:a16="http://schemas.microsoft.com/office/drawing/2014/main" id="{00000000-0008-0000-0200-0000852B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42" name="$E$174">
            <a:extLst>
              <a:ext uri="{FF2B5EF4-FFF2-40B4-BE49-F238E27FC236}">
                <a16:creationId xmlns:a16="http://schemas.microsoft.com/office/drawing/2014/main" id="{00000000-0008-0000-0200-0000862B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43" name="$E$174">
            <a:extLst>
              <a:ext uri="{FF2B5EF4-FFF2-40B4-BE49-F238E27FC236}">
                <a16:creationId xmlns:a16="http://schemas.microsoft.com/office/drawing/2014/main" id="{00000000-0008-0000-0200-0000872B0000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44" name="$E$174">
            <a:extLst>
              <a:ext uri="{FF2B5EF4-FFF2-40B4-BE49-F238E27FC236}">
                <a16:creationId xmlns:a16="http://schemas.microsoft.com/office/drawing/2014/main" id="{00000000-0008-0000-0200-0000882B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45" name="$E$174">
            <a:extLst>
              <a:ext uri="{FF2B5EF4-FFF2-40B4-BE49-F238E27FC236}">
                <a16:creationId xmlns:a16="http://schemas.microsoft.com/office/drawing/2014/main" id="{00000000-0008-0000-0200-0000892B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46" name="$E$174">
            <a:extLst>
              <a:ext uri="{FF2B5EF4-FFF2-40B4-BE49-F238E27FC236}">
                <a16:creationId xmlns:a16="http://schemas.microsoft.com/office/drawing/2014/main" id="{00000000-0008-0000-0200-00008A2B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47" name="$E$174">
            <a:extLst>
              <a:ext uri="{FF2B5EF4-FFF2-40B4-BE49-F238E27FC236}">
                <a16:creationId xmlns:a16="http://schemas.microsoft.com/office/drawing/2014/main" id="{00000000-0008-0000-0200-00008B2B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48" name="$E$174">
            <a:extLst>
              <a:ext uri="{FF2B5EF4-FFF2-40B4-BE49-F238E27FC236}">
                <a16:creationId xmlns:a16="http://schemas.microsoft.com/office/drawing/2014/main" id="{00000000-0008-0000-0200-00008C2B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49" name="$E$174">
            <a:extLst>
              <a:ext uri="{FF2B5EF4-FFF2-40B4-BE49-F238E27FC236}">
                <a16:creationId xmlns:a16="http://schemas.microsoft.com/office/drawing/2014/main" id="{00000000-0008-0000-0200-00008D2B0000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50" name="$E$174">
            <a:extLst>
              <a:ext uri="{FF2B5EF4-FFF2-40B4-BE49-F238E27FC236}">
                <a16:creationId xmlns:a16="http://schemas.microsoft.com/office/drawing/2014/main" id="{00000000-0008-0000-0200-00008E2B0000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51" name="$E$174">
            <a:extLst>
              <a:ext uri="{FF2B5EF4-FFF2-40B4-BE49-F238E27FC236}">
                <a16:creationId xmlns:a16="http://schemas.microsoft.com/office/drawing/2014/main" id="{00000000-0008-0000-0200-00008F2B0000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52" name="$E$174">
            <a:extLst>
              <a:ext uri="{FF2B5EF4-FFF2-40B4-BE49-F238E27FC236}">
                <a16:creationId xmlns:a16="http://schemas.microsoft.com/office/drawing/2014/main" id="{00000000-0008-0000-0200-0000902B0000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53" name="$E$174">
            <a:extLst>
              <a:ext uri="{FF2B5EF4-FFF2-40B4-BE49-F238E27FC236}">
                <a16:creationId xmlns:a16="http://schemas.microsoft.com/office/drawing/2014/main" id="{00000000-0008-0000-0200-0000912B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54" name="$E$174">
            <a:extLst>
              <a:ext uri="{FF2B5EF4-FFF2-40B4-BE49-F238E27FC236}">
                <a16:creationId xmlns:a16="http://schemas.microsoft.com/office/drawing/2014/main" id="{00000000-0008-0000-0200-0000922B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55" name="$E$174">
            <a:extLst>
              <a:ext uri="{FF2B5EF4-FFF2-40B4-BE49-F238E27FC236}">
                <a16:creationId xmlns:a16="http://schemas.microsoft.com/office/drawing/2014/main" id="{00000000-0008-0000-0200-0000932B000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56" name="$E$174">
            <a:extLst>
              <a:ext uri="{FF2B5EF4-FFF2-40B4-BE49-F238E27FC236}">
                <a16:creationId xmlns:a16="http://schemas.microsoft.com/office/drawing/2014/main" id="{00000000-0008-0000-0200-0000942B000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57" name="$E$174">
            <a:extLst>
              <a:ext uri="{FF2B5EF4-FFF2-40B4-BE49-F238E27FC236}">
                <a16:creationId xmlns:a16="http://schemas.microsoft.com/office/drawing/2014/main" id="{00000000-0008-0000-0200-0000952B0000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58" name="$E$174">
            <a:extLst>
              <a:ext uri="{FF2B5EF4-FFF2-40B4-BE49-F238E27FC236}">
                <a16:creationId xmlns:a16="http://schemas.microsoft.com/office/drawing/2014/main" id="{00000000-0008-0000-0200-0000962B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59" name="$E$174">
            <a:extLst>
              <a:ext uri="{FF2B5EF4-FFF2-40B4-BE49-F238E27FC236}">
                <a16:creationId xmlns:a16="http://schemas.microsoft.com/office/drawing/2014/main" id="{00000000-0008-0000-0200-0000972B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60" name="$E$174">
            <a:extLst>
              <a:ext uri="{FF2B5EF4-FFF2-40B4-BE49-F238E27FC236}">
                <a16:creationId xmlns:a16="http://schemas.microsoft.com/office/drawing/2014/main" id="{00000000-0008-0000-0200-0000982B0000}"/>
              </a:ext>
            </a:extLst>
          </xdr:cNvPr>
          <xdr:cNvSpPr/>
        </xdr:nvSpPr>
        <xdr:spPr>
          <a:xfrm>
            <a:off x="215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61" name="$E$174">
            <a:extLst>
              <a:ext uri="{FF2B5EF4-FFF2-40B4-BE49-F238E27FC236}">
                <a16:creationId xmlns:a16="http://schemas.microsoft.com/office/drawing/2014/main" id="{00000000-0008-0000-0200-0000992B0000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62" name="$E$174">
            <a:extLst>
              <a:ext uri="{FF2B5EF4-FFF2-40B4-BE49-F238E27FC236}">
                <a16:creationId xmlns:a16="http://schemas.microsoft.com/office/drawing/2014/main" id="{00000000-0008-0000-0200-00009A2B0000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63" name="$E$174">
            <a:extLst>
              <a:ext uri="{FF2B5EF4-FFF2-40B4-BE49-F238E27FC236}">
                <a16:creationId xmlns:a16="http://schemas.microsoft.com/office/drawing/2014/main" id="{00000000-0008-0000-0200-00009B2B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64" name="$E$174">
            <a:extLst>
              <a:ext uri="{FF2B5EF4-FFF2-40B4-BE49-F238E27FC236}">
                <a16:creationId xmlns:a16="http://schemas.microsoft.com/office/drawing/2014/main" id="{00000000-0008-0000-0200-00009C2B0000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65" name="$E$174">
            <a:extLst>
              <a:ext uri="{FF2B5EF4-FFF2-40B4-BE49-F238E27FC236}">
                <a16:creationId xmlns:a16="http://schemas.microsoft.com/office/drawing/2014/main" id="{00000000-0008-0000-0200-00009D2B0000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66" name="$E$174">
            <a:extLst>
              <a:ext uri="{FF2B5EF4-FFF2-40B4-BE49-F238E27FC236}">
                <a16:creationId xmlns:a16="http://schemas.microsoft.com/office/drawing/2014/main" id="{00000000-0008-0000-0200-00009E2B00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67" name="$E$174">
            <a:extLst>
              <a:ext uri="{FF2B5EF4-FFF2-40B4-BE49-F238E27FC236}">
                <a16:creationId xmlns:a16="http://schemas.microsoft.com/office/drawing/2014/main" id="{00000000-0008-0000-0200-00009F2B00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68" name="$E$174">
            <a:extLst>
              <a:ext uri="{FF2B5EF4-FFF2-40B4-BE49-F238E27FC236}">
                <a16:creationId xmlns:a16="http://schemas.microsoft.com/office/drawing/2014/main" id="{00000000-0008-0000-0200-0000A02B00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69" name="$E$174">
            <a:extLst>
              <a:ext uri="{FF2B5EF4-FFF2-40B4-BE49-F238E27FC236}">
                <a16:creationId xmlns:a16="http://schemas.microsoft.com/office/drawing/2014/main" id="{00000000-0008-0000-0200-0000A12B00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70" name="$E$174">
            <a:extLst>
              <a:ext uri="{FF2B5EF4-FFF2-40B4-BE49-F238E27FC236}">
                <a16:creationId xmlns:a16="http://schemas.microsoft.com/office/drawing/2014/main" id="{00000000-0008-0000-0200-0000A22B00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71" name="$E$174">
            <a:extLst>
              <a:ext uri="{FF2B5EF4-FFF2-40B4-BE49-F238E27FC236}">
                <a16:creationId xmlns:a16="http://schemas.microsoft.com/office/drawing/2014/main" id="{00000000-0008-0000-0200-0000A32B00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72" name="$E$174">
            <a:extLst>
              <a:ext uri="{FF2B5EF4-FFF2-40B4-BE49-F238E27FC236}">
                <a16:creationId xmlns:a16="http://schemas.microsoft.com/office/drawing/2014/main" id="{00000000-0008-0000-0200-0000A42B0000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73" name="$E$174">
            <a:extLst>
              <a:ext uri="{FF2B5EF4-FFF2-40B4-BE49-F238E27FC236}">
                <a16:creationId xmlns:a16="http://schemas.microsoft.com/office/drawing/2014/main" id="{00000000-0008-0000-0200-0000A52B0000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74" name="$E$174">
            <a:extLst>
              <a:ext uri="{FF2B5EF4-FFF2-40B4-BE49-F238E27FC236}">
                <a16:creationId xmlns:a16="http://schemas.microsoft.com/office/drawing/2014/main" id="{00000000-0008-0000-0200-0000A62B00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75" name="$E$174">
            <a:extLst>
              <a:ext uri="{FF2B5EF4-FFF2-40B4-BE49-F238E27FC236}">
                <a16:creationId xmlns:a16="http://schemas.microsoft.com/office/drawing/2014/main" id="{00000000-0008-0000-0200-0000A72B00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76" name="$E$174">
            <a:extLst>
              <a:ext uri="{FF2B5EF4-FFF2-40B4-BE49-F238E27FC236}">
                <a16:creationId xmlns:a16="http://schemas.microsoft.com/office/drawing/2014/main" id="{00000000-0008-0000-0200-0000A82B0000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77" name="$E$174">
            <a:extLst>
              <a:ext uri="{FF2B5EF4-FFF2-40B4-BE49-F238E27FC236}">
                <a16:creationId xmlns:a16="http://schemas.microsoft.com/office/drawing/2014/main" id="{00000000-0008-0000-0200-0000A92B0000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78" name="$E$174">
            <a:extLst>
              <a:ext uri="{FF2B5EF4-FFF2-40B4-BE49-F238E27FC236}">
                <a16:creationId xmlns:a16="http://schemas.microsoft.com/office/drawing/2014/main" id="{00000000-0008-0000-0200-0000AA2B00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79" name="$E$174">
            <a:extLst>
              <a:ext uri="{FF2B5EF4-FFF2-40B4-BE49-F238E27FC236}">
                <a16:creationId xmlns:a16="http://schemas.microsoft.com/office/drawing/2014/main" id="{00000000-0008-0000-0200-0000AB2B00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80" name="$E$174">
            <a:extLst>
              <a:ext uri="{FF2B5EF4-FFF2-40B4-BE49-F238E27FC236}">
                <a16:creationId xmlns:a16="http://schemas.microsoft.com/office/drawing/2014/main" id="{00000000-0008-0000-0200-0000AC2B0000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81" name="$E$174">
            <a:extLst>
              <a:ext uri="{FF2B5EF4-FFF2-40B4-BE49-F238E27FC236}">
                <a16:creationId xmlns:a16="http://schemas.microsoft.com/office/drawing/2014/main" id="{00000000-0008-0000-0200-0000AD2B0000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82" name="$E$174">
            <a:extLst>
              <a:ext uri="{FF2B5EF4-FFF2-40B4-BE49-F238E27FC236}">
                <a16:creationId xmlns:a16="http://schemas.microsoft.com/office/drawing/2014/main" id="{00000000-0008-0000-0200-0000AE2B0000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83" name="$E$174">
            <a:extLst>
              <a:ext uri="{FF2B5EF4-FFF2-40B4-BE49-F238E27FC236}">
                <a16:creationId xmlns:a16="http://schemas.microsoft.com/office/drawing/2014/main" id="{00000000-0008-0000-0200-0000AF2B00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84" name="$E$174">
            <a:extLst>
              <a:ext uri="{FF2B5EF4-FFF2-40B4-BE49-F238E27FC236}">
                <a16:creationId xmlns:a16="http://schemas.microsoft.com/office/drawing/2014/main" id="{00000000-0008-0000-0200-0000B02B00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85" name="$E$174">
            <a:extLst>
              <a:ext uri="{FF2B5EF4-FFF2-40B4-BE49-F238E27FC236}">
                <a16:creationId xmlns:a16="http://schemas.microsoft.com/office/drawing/2014/main" id="{00000000-0008-0000-0200-0000B12B00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86" name="$E$174">
            <a:extLst>
              <a:ext uri="{FF2B5EF4-FFF2-40B4-BE49-F238E27FC236}">
                <a16:creationId xmlns:a16="http://schemas.microsoft.com/office/drawing/2014/main" id="{00000000-0008-0000-0200-0000B22B00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87" name="$E$174">
            <a:extLst>
              <a:ext uri="{FF2B5EF4-FFF2-40B4-BE49-F238E27FC236}">
                <a16:creationId xmlns:a16="http://schemas.microsoft.com/office/drawing/2014/main" id="{00000000-0008-0000-0200-0000B32B00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88" name="$E$174">
            <a:extLst>
              <a:ext uri="{FF2B5EF4-FFF2-40B4-BE49-F238E27FC236}">
                <a16:creationId xmlns:a16="http://schemas.microsoft.com/office/drawing/2014/main" id="{00000000-0008-0000-0200-0000B42B000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89" name="$E$174">
            <a:extLst>
              <a:ext uri="{FF2B5EF4-FFF2-40B4-BE49-F238E27FC236}">
                <a16:creationId xmlns:a16="http://schemas.microsoft.com/office/drawing/2014/main" id="{00000000-0008-0000-0200-0000B52B0000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90" name="$E$174">
            <a:extLst>
              <a:ext uri="{FF2B5EF4-FFF2-40B4-BE49-F238E27FC236}">
                <a16:creationId xmlns:a16="http://schemas.microsoft.com/office/drawing/2014/main" id="{00000000-0008-0000-0200-0000B62B0000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91" name="$E$174">
            <a:extLst>
              <a:ext uri="{FF2B5EF4-FFF2-40B4-BE49-F238E27FC236}">
                <a16:creationId xmlns:a16="http://schemas.microsoft.com/office/drawing/2014/main" id="{00000000-0008-0000-0200-0000B72B00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92" name="$E$174">
            <a:extLst>
              <a:ext uri="{FF2B5EF4-FFF2-40B4-BE49-F238E27FC236}">
                <a16:creationId xmlns:a16="http://schemas.microsoft.com/office/drawing/2014/main" id="{00000000-0008-0000-0200-0000B82B00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93" name="$E$174">
            <a:extLst>
              <a:ext uri="{FF2B5EF4-FFF2-40B4-BE49-F238E27FC236}">
                <a16:creationId xmlns:a16="http://schemas.microsoft.com/office/drawing/2014/main" id="{00000000-0008-0000-0200-0000B92B0000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94" name="$E$174">
            <a:extLst>
              <a:ext uri="{FF2B5EF4-FFF2-40B4-BE49-F238E27FC236}">
                <a16:creationId xmlns:a16="http://schemas.microsoft.com/office/drawing/2014/main" id="{00000000-0008-0000-0200-0000BA2B0000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95" name="$E$174">
            <a:extLst>
              <a:ext uri="{FF2B5EF4-FFF2-40B4-BE49-F238E27FC236}">
                <a16:creationId xmlns:a16="http://schemas.microsoft.com/office/drawing/2014/main" id="{00000000-0008-0000-0200-0000BB2B0000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96" name="$E$174">
            <a:extLst>
              <a:ext uri="{FF2B5EF4-FFF2-40B4-BE49-F238E27FC236}">
                <a16:creationId xmlns:a16="http://schemas.microsoft.com/office/drawing/2014/main" id="{00000000-0008-0000-0200-0000BC2B00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97" name="$E$174">
            <a:extLst>
              <a:ext uri="{FF2B5EF4-FFF2-40B4-BE49-F238E27FC236}">
                <a16:creationId xmlns:a16="http://schemas.microsoft.com/office/drawing/2014/main" id="{00000000-0008-0000-0200-0000BD2B0000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98" name="$E$174">
            <a:extLst>
              <a:ext uri="{FF2B5EF4-FFF2-40B4-BE49-F238E27FC236}">
                <a16:creationId xmlns:a16="http://schemas.microsoft.com/office/drawing/2014/main" id="{00000000-0008-0000-0200-0000BE2B00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199" name="$E$174">
            <a:extLst>
              <a:ext uri="{FF2B5EF4-FFF2-40B4-BE49-F238E27FC236}">
                <a16:creationId xmlns:a16="http://schemas.microsoft.com/office/drawing/2014/main" id="{00000000-0008-0000-0200-0000BF2B00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00" name="$E$174">
            <a:extLst>
              <a:ext uri="{FF2B5EF4-FFF2-40B4-BE49-F238E27FC236}">
                <a16:creationId xmlns:a16="http://schemas.microsoft.com/office/drawing/2014/main" id="{00000000-0008-0000-0200-0000C02B00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01" name="$E$174">
            <a:extLst>
              <a:ext uri="{FF2B5EF4-FFF2-40B4-BE49-F238E27FC236}">
                <a16:creationId xmlns:a16="http://schemas.microsoft.com/office/drawing/2014/main" id="{00000000-0008-0000-0200-0000C12B0000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02" name="$E$174">
            <a:extLst>
              <a:ext uri="{FF2B5EF4-FFF2-40B4-BE49-F238E27FC236}">
                <a16:creationId xmlns:a16="http://schemas.microsoft.com/office/drawing/2014/main" id="{00000000-0008-0000-0200-0000C22B0000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03" name="$E$174">
            <a:extLst>
              <a:ext uri="{FF2B5EF4-FFF2-40B4-BE49-F238E27FC236}">
                <a16:creationId xmlns:a16="http://schemas.microsoft.com/office/drawing/2014/main" id="{00000000-0008-0000-0200-0000C32B0000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04" name="$E$174">
            <a:extLst>
              <a:ext uri="{FF2B5EF4-FFF2-40B4-BE49-F238E27FC236}">
                <a16:creationId xmlns:a16="http://schemas.microsoft.com/office/drawing/2014/main" id="{00000000-0008-0000-0200-0000C42B00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05" name="$E$174">
            <a:extLst>
              <a:ext uri="{FF2B5EF4-FFF2-40B4-BE49-F238E27FC236}">
                <a16:creationId xmlns:a16="http://schemas.microsoft.com/office/drawing/2014/main" id="{00000000-0008-0000-0200-0000C52B00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06" name="$E$174">
            <a:extLst>
              <a:ext uri="{FF2B5EF4-FFF2-40B4-BE49-F238E27FC236}">
                <a16:creationId xmlns:a16="http://schemas.microsoft.com/office/drawing/2014/main" id="{00000000-0008-0000-0200-0000C62B00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07" name="$E$174">
            <a:extLst>
              <a:ext uri="{FF2B5EF4-FFF2-40B4-BE49-F238E27FC236}">
                <a16:creationId xmlns:a16="http://schemas.microsoft.com/office/drawing/2014/main" id="{00000000-0008-0000-0200-0000C72B00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08" name="$E$174">
            <a:extLst>
              <a:ext uri="{FF2B5EF4-FFF2-40B4-BE49-F238E27FC236}">
                <a16:creationId xmlns:a16="http://schemas.microsoft.com/office/drawing/2014/main" id="{00000000-0008-0000-0200-0000C82B00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09" name="$E$174">
            <a:extLst>
              <a:ext uri="{FF2B5EF4-FFF2-40B4-BE49-F238E27FC236}">
                <a16:creationId xmlns:a16="http://schemas.microsoft.com/office/drawing/2014/main" id="{00000000-0008-0000-0200-0000C92B0000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10" name="$E$174">
            <a:extLst>
              <a:ext uri="{FF2B5EF4-FFF2-40B4-BE49-F238E27FC236}">
                <a16:creationId xmlns:a16="http://schemas.microsoft.com/office/drawing/2014/main" id="{00000000-0008-0000-0200-0000CA2B0000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11" name="$E$174">
            <a:extLst>
              <a:ext uri="{FF2B5EF4-FFF2-40B4-BE49-F238E27FC236}">
                <a16:creationId xmlns:a16="http://schemas.microsoft.com/office/drawing/2014/main" id="{00000000-0008-0000-0200-0000CB2B00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12" name="$E$174">
            <a:extLst>
              <a:ext uri="{FF2B5EF4-FFF2-40B4-BE49-F238E27FC236}">
                <a16:creationId xmlns:a16="http://schemas.microsoft.com/office/drawing/2014/main" id="{00000000-0008-0000-0200-0000CC2B00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13" name="$E$174">
            <a:extLst>
              <a:ext uri="{FF2B5EF4-FFF2-40B4-BE49-F238E27FC236}">
                <a16:creationId xmlns:a16="http://schemas.microsoft.com/office/drawing/2014/main" id="{00000000-0008-0000-0200-0000CD2B0000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14" name="$E$174">
            <a:extLst>
              <a:ext uri="{FF2B5EF4-FFF2-40B4-BE49-F238E27FC236}">
                <a16:creationId xmlns:a16="http://schemas.microsoft.com/office/drawing/2014/main" id="{00000000-0008-0000-0200-0000CE2B0000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15" name="$E$174">
            <a:extLst>
              <a:ext uri="{FF2B5EF4-FFF2-40B4-BE49-F238E27FC236}">
                <a16:creationId xmlns:a16="http://schemas.microsoft.com/office/drawing/2014/main" id="{00000000-0008-0000-0200-0000CF2B00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16" name="$E$174">
            <a:extLst>
              <a:ext uri="{FF2B5EF4-FFF2-40B4-BE49-F238E27FC236}">
                <a16:creationId xmlns:a16="http://schemas.microsoft.com/office/drawing/2014/main" id="{00000000-0008-0000-0200-0000D02B00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17" name="$E$174">
            <a:extLst>
              <a:ext uri="{FF2B5EF4-FFF2-40B4-BE49-F238E27FC236}">
                <a16:creationId xmlns:a16="http://schemas.microsoft.com/office/drawing/2014/main" id="{00000000-0008-0000-0200-0000D12B0000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18" name="$E$174">
            <a:extLst>
              <a:ext uri="{FF2B5EF4-FFF2-40B4-BE49-F238E27FC236}">
                <a16:creationId xmlns:a16="http://schemas.microsoft.com/office/drawing/2014/main" id="{00000000-0008-0000-0200-0000D22B0000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19" name="$E$174">
            <a:extLst>
              <a:ext uri="{FF2B5EF4-FFF2-40B4-BE49-F238E27FC236}">
                <a16:creationId xmlns:a16="http://schemas.microsoft.com/office/drawing/2014/main" id="{00000000-0008-0000-0200-0000D32B0000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20" name="$E$174">
            <a:extLst>
              <a:ext uri="{FF2B5EF4-FFF2-40B4-BE49-F238E27FC236}">
                <a16:creationId xmlns:a16="http://schemas.microsoft.com/office/drawing/2014/main" id="{00000000-0008-0000-0200-0000D42B00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21" name="$E$174">
            <a:extLst>
              <a:ext uri="{FF2B5EF4-FFF2-40B4-BE49-F238E27FC236}">
                <a16:creationId xmlns:a16="http://schemas.microsoft.com/office/drawing/2014/main" id="{00000000-0008-0000-0200-0000D52B00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22" name="$E$174">
            <a:extLst>
              <a:ext uri="{FF2B5EF4-FFF2-40B4-BE49-F238E27FC236}">
                <a16:creationId xmlns:a16="http://schemas.microsoft.com/office/drawing/2014/main" id="{00000000-0008-0000-0200-0000D62B00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23" name="$E$174">
            <a:extLst>
              <a:ext uri="{FF2B5EF4-FFF2-40B4-BE49-F238E27FC236}">
                <a16:creationId xmlns:a16="http://schemas.microsoft.com/office/drawing/2014/main" id="{00000000-0008-0000-0200-0000D72B0000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24" name="$E$174">
            <a:extLst>
              <a:ext uri="{FF2B5EF4-FFF2-40B4-BE49-F238E27FC236}">
                <a16:creationId xmlns:a16="http://schemas.microsoft.com/office/drawing/2014/main" id="{00000000-0008-0000-0200-0000D82B000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25" name="$E$174">
            <a:extLst>
              <a:ext uri="{FF2B5EF4-FFF2-40B4-BE49-F238E27FC236}">
                <a16:creationId xmlns:a16="http://schemas.microsoft.com/office/drawing/2014/main" id="{00000000-0008-0000-0200-0000D92B0000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26" name="$E$174">
            <a:extLst>
              <a:ext uri="{FF2B5EF4-FFF2-40B4-BE49-F238E27FC236}">
                <a16:creationId xmlns:a16="http://schemas.microsoft.com/office/drawing/2014/main" id="{00000000-0008-0000-0200-0000DA2B00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27" name="$E$174">
            <a:extLst>
              <a:ext uri="{FF2B5EF4-FFF2-40B4-BE49-F238E27FC236}">
                <a16:creationId xmlns:a16="http://schemas.microsoft.com/office/drawing/2014/main" id="{00000000-0008-0000-0200-0000DB2B0000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28" name="$E$174">
            <a:extLst>
              <a:ext uri="{FF2B5EF4-FFF2-40B4-BE49-F238E27FC236}">
                <a16:creationId xmlns:a16="http://schemas.microsoft.com/office/drawing/2014/main" id="{00000000-0008-0000-0200-0000DC2B00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29" name="$E$174">
            <a:extLst>
              <a:ext uri="{FF2B5EF4-FFF2-40B4-BE49-F238E27FC236}">
                <a16:creationId xmlns:a16="http://schemas.microsoft.com/office/drawing/2014/main" id="{00000000-0008-0000-0200-0000DD2B0000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30" name="$E$174">
            <a:extLst>
              <a:ext uri="{FF2B5EF4-FFF2-40B4-BE49-F238E27FC236}">
                <a16:creationId xmlns:a16="http://schemas.microsoft.com/office/drawing/2014/main" id="{00000000-0008-0000-0200-0000DE2B0000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31" name="$E$174">
            <a:extLst>
              <a:ext uri="{FF2B5EF4-FFF2-40B4-BE49-F238E27FC236}">
                <a16:creationId xmlns:a16="http://schemas.microsoft.com/office/drawing/2014/main" id="{00000000-0008-0000-0200-0000DF2B00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32" name="$E$174">
            <a:extLst>
              <a:ext uri="{FF2B5EF4-FFF2-40B4-BE49-F238E27FC236}">
                <a16:creationId xmlns:a16="http://schemas.microsoft.com/office/drawing/2014/main" id="{00000000-0008-0000-0200-0000E02B00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33" name="$E$174">
            <a:extLst>
              <a:ext uri="{FF2B5EF4-FFF2-40B4-BE49-F238E27FC236}">
                <a16:creationId xmlns:a16="http://schemas.microsoft.com/office/drawing/2014/main" id="{00000000-0008-0000-0200-0000E12B00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34" name="$E$174">
            <a:extLst>
              <a:ext uri="{FF2B5EF4-FFF2-40B4-BE49-F238E27FC236}">
                <a16:creationId xmlns:a16="http://schemas.microsoft.com/office/drawing/2014/main" id="{00000000-0008-0000-0200-0000E22B00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35" name="$E$174">
            <a:extLst>
              <a:ext uri="{FF2B5EF4-FFF2-40B4-BE49-F238E27FC236}">
                <a16:creationId xmlns:a16="http://schemas.microsoft.com/office/drawing/2014/main" id="{00000000-0008-0000-0200-0000E32B00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36" name="$E$174">
            <a:extLst>
              <a:ext uri="{FF2B5EF4-FFF2-40B4-BE49-F238E27FC236}">
                <a16:creationId xmlns:a16="http://schemas.microsoft.com/office/drawing/2014/main" id="{00000000-0008-0000-0200-0000E42B00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37" name="$E$174">
            <a:extLst>
              <a:ext uri="{FF2B5EF4-FFF2-40B4-BE49-F238E27FC236}">
                <a16:creationId xmlns:a16="http://schemas.microsoft.com/office/drawing/2014/main" id="{00000000-0008-0000-0200-0000E52B00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38" name="$E$174">
            <a:extLst>
              <a:ext uri="{FF2B5EF4-FFF2-40B4-BE49-F238E27FC236}">
                <a16:creationId xmlns:a16="http://schemas.microsoft.com/office/drawing/2014/main" id="{00000000-0008-0000-0200-0000E62B00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39" name="$E$174">
            <a:extLst>
              <a:ext uri="{FF2B5EF4-FFF2-40B4-BE49-F238E27FC236}">
                <a16:creationId xmlns:a16="http://schemas.microsoft.com/office/drawing/2014/main" id="{00000000-0008-0000-0200-0000E72B00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40" name="$E$174">
            <a:extLst>
              <a:ext uri="{FF2B5EF4-FFF2-40B4-BE49-F238E27FC236}">
                <a16:creationId xmlns:a16="http://schemas.microsoft.com/office/drawing/2014/main" id="{00000000-0008-0000-0200-0000E82B00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41" name="$E$174">
            <a:extLst>
              <a:ext uri="{FF2B5EF4-FFF2-40B4-BE49-F238E27FC236}">
                <a16:creationId xmlns:a16="http://schemas.microsoft.com/office/drawing/2014/main" id="{00000000-0008-0000-0200-0000E92B00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42" name="$E$174">
            <a:extLst>
              <a:ext uri="{FF2B5EF4-FFF2-40B4-BE49-F238E27FC236}">
                <a16:creationId xmlns:a16="http://schemas.microsoft.com/office/drawing/2014/main" id="{00000000-0008-0000-0200-0000EA2B00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43" name="$E$174">
            <a:extLst>
              <a:ext uri="{FF2B5EF4-FFF2-40B4-BE49-F238E27FC236}">
                <a16:creationId xmlns:a16="http://schemas.microsoft.com/office/drawing/2014/main" id="{00000000-0008-0000-0200-0000EB2B00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44" name="$E$174">
            <a:extLst>
              <a:ext uri="{FF2B5EF4-FFF2-40B4-BE49-F238E27FC236}">
                <a16:creationId xmlns:a16="http://schemas.microsoft.com/office/drawing/2014/main" id="{00000000-0008-0000-0200-0000EC2B00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45" name="$E$174">
            <a:extLst>
              <a:ext uri="{FF2B5EF4-FFF2-40B4-BE49-F238E27FC236}">
                <a16:creationId xmlns:a16="http://schemas.microsoft.com/office/drawing/2014/main" id="{00000000-0008-0000-0200-0000ED2B00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46" name="$E$174">
            <a:extLst>
              <a:ext uri="{FF2B5EF4-FFF2-40B4-BE49-F238E27FC236}">
                <a16:creationId xmlns:a16="http://schemas.microsoft.com/office/drawing/2014/main" id="{00000000-0008-0000-0200-0000EE2B00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47" name="$E$174">
            <a:extLst>
              <a:ext uri="{FF2B5EF4-FFF2-40B4-BE49-F238E27FC236}">
                <a16:creationId xmlns:a16="http://schemas.microsoft.com/office/drawing/2014/main" id="{00000000-0008-0000-0200-0000EF2B00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48" name="$E$174">
            <a:extLst>
              <a:ext uri="{FF2B5EF4-FFF2-40B4-BE49-F238E27FC236}">
                <a16:creationId xmlns:a16="http://schemas.microsoft.com/office/drawing/2014/main" id="{00000000-0008-0000-0200-0000F02B00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49" name="$E$174">
            <a:extLst>
              <a:ext uri="{FF2B5EF4-FFF2-40B4-BE49-F238E27FC236}">
                <a16:creationId xmlns:a16="http://schemas.microsoft.com/office/drawing/2014/main" id="{00000000-0008-0000-0200-0000F12B00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50" name="$E$174">
            <a:extLst>
              <a:ext uri="{FF2B5EF4-FFF2-40B4-BE49-F238E27FC236}">
                <a16:creationId xmlns:a16="http://schemas.microsoft.com/office/drawing/2014/main" id="{00000000-0008-0000-0200-0000F22B0000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51" name="$E$174">
            <a:extLst>
              <a:ext uri="{FF2B5EF4-FFF2-40B4-BE49-F238E27FC236}">
                <a16:creationId xmlns:a16="http://schemas.microsoft.com/office/drawing/2014/main" id="{00000000-0008-0000-0200-0000F32B0000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52" name="$E$174">
            <a:extLst>
              <a:ext uri="{FF2B5EF4-FFF2-40B4-BE49-F238E27FC236}">
                <a16:creationId xmlns:a16="http://schemas.microsoft.com/office/drawing/2014/main" id="{00000000-0008-0000-0200-0000F42B0000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53" name="$E$174">
            <a:extLst>
              <a:ext uri="{FF2B5EF4-FFF2-40B4-BE49-F238E27FC236}">
                <a16:creationId xmlns:a16="http://schemas.microsoft.com/office/drawing/2014/main" id="{00000000-0008-0000-0200-0000F52B0000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54" name="$E$174">
            <a:extLst>
              <a:ext uri="{FF2B5EF4-FFF2-40B4-BE49-F238E27FC236}">
                <a16:creationId xmlns:a16="http://schemas.microsoft.com/office/drawing/2014/main" id="{00000000-0008-0000-0200-0000F62B00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55" name="$E$174">
            <a:extLst>
              <a:ext uri="{FF2B5EF4-FFF2-40B4-BE49-F238E27FC236}">
                <a16:creationId xmlns:a16="http://schemas.microsoft.com/office/drawing/2014/main" id="{00000000-0008-0000-0200-0000F72B00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56" name="$E$174">
            <a:extLst>
              <a:ext uri="{FF2B5EF4-FFF2-40B4-BE49-F238E27FC236}">
                <a16:creationId xmlns:a16="http://schemas.microsoft.com/office/drawing/2014/main" id="{00000000-0008-0000-0200-0000F82B0000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57" name="$E$174">
            <a:extLst>
              <a:ext uri="{FF2B5EF4-FFF2-40B4-BE49-F238E27FC236}">
                <a16:creationId xmlns:a16="http://schemas.microsoft.com/office/drawing/2014/main" id="{00000000-0008-0000-0200-0000F92B0000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58" name="$E$174">
            <a:extLst>
              <a:ext uri="{FF2B5EF4-FFF2-40B4-BE49-F238E27FC236}">
                <a16:creationId xmlns:a16="http://schemas.microsoft.com/office/drawing/2014/main" id="{00000000-0008-0000-0200-0000FA2B0000}"/>
              </a:ext>
            </a:extLst>
          </xdr:cNvPr>
          <xdr:cNvSpPr/>
        </xdr:nvSpPr>
        <xdr:spPr>
          <a:xfrm>
            <a:off x="2032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59" name="$E$174">
            <a:extLst>
              <a:ext uri="{FF2B5EF4-FFF2-40B4-BE49-F238E27FC236}">
                <a16:creationId xmlns:a16="http://schemas.microsoft.com/office/drawing/2014/main" id="{00000000-0008-0000-0200-0000FB2B00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60" name="$E$174">
            <a:extLst>
              <a:ext uri="{FF2B5EF4-FFF2-40B4-BE49-F238E27FC236}">
                <a16:creationId xmlns:a16="http://schemas.microsoft.com/office/drawing/2014/main" id="{00000000-0008-0000-0200-0000FC2B0000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61" name="$E$174">
            <a:extLst>
              <a:ext uri="{FF2B5EF4-FFF2-40B4-BE49-F238E27FC236}">
                <a16:creationId xmlns:a16="http://schemas.microsoft.com/office/drawing/2014/main" id="{00000000-0008-0000-0200-0000FD2B0000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62" name="$E$174">
            <a:extLst>
              <a:ext uri="{FF2B5EF4-FFF2-40B4-BE49-F238E27FC236}">
                <a16:creationId xmlns:a16="http://schemas.microsoft.com/office/drawing/2014/main" id="{00000000-0008-0000-0200-0000FE2B00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63" name="$E$174">
            <a:extLst>
              <a:ext uri="{FF2B5EF4-FFF2-40B4-BE49-F238E27FC236}">
                <a16:creationId xmlns:a16="http://schemas.microsoft.com/office/drawing/2014/main" id="{00000000-0008-0000-0200-0000FF2B0000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64" name="$E$174">
            <a:extLst>
              <a:ext uri="{FF2B5EF4-FFF2-40B4-BE49-F238E27FC236}">
                <a16:creationId xmlns:a16="http://schemas.microsoft.com/office/drawing/2014/main" id="{00000000-0008-0000-0200-0000002C0000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65" name="$E$174">
            <a:extLst>
              <a:ext uri="{FF2B5EF4-FFF2-40B4-BE49-F238E27FC236}">
                <a16:creationId xmlns:a16="http://schemas.microsoft.com/office/drawing/2014/main" id="{00000000-0008-0000-0200-0000012C00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66" name="$E$174">
            <a:extLst>
              <a:ext uri="{FF2B5EF4-FFF2-40B4-BE49-F238E27FC236}">
                <a16:creationId xmlns:a16="http://schemas.microsoft.com/office/drawing/2014/main" id="{00000000-0008-0000-0200-0000022C0000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67" name="$E$174">
            <a:extLst>
              <a:ext uri="{FF2B5EF4-FFF2-40B4-BE49-F238E27FC236}">
                <a16:creationId xmlns:a16="http://schemas.microsoft.com/office/drawing/2014/main" id="{00000000-0008-0000-0200-0000032C00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68" name="$E$174">
            <a:extLst>
              <a:ext uri="{FF2B5EF4-FFF2-40B4-BE49-F238E27FC236}">
                <a16:creationId xmlns:a16="http://schemas.microsoft.com/office/drawing/2014/main" id="{00000000-0008-0000-0200-0000042C0000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69" name="$E$174">
            <a:extLst>
              <a:ext uri="{FF2B5EF4-FFF2-40B4-BE49-F238E27FC236}">
                <a16:creationId xmlns:a16="http://schemas.microsoft.com/office/drawing/2014/main" id="{00000000-0008-0000-0200-0000052C00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70" name="$E$174">
            <a:extLst>
              <a:ext uri="{FF2B5EF4-FFF2-40B4-BE49-F238E27FC236}">
                <a16:creationId xmlns:a16="http://schemas.microsoft.com/office/drawing/2014/main" id="{00000000-0008-0000-0200-0000062C00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71" name="$E$174">
            <a:extLst>
              <a:ext uri="{FF2B5EF4-FFF2-40B4-BE49-F238E27FC236}">
                <a16:creationId xmlns:a16="http://schemas.microsoft.com/office/drawing/2014/main" id="{00000000-0008-0000-0200-0000072C0000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72" name="$E$174">
            <a:extLst>
              <a:ext uri="{FF2B5EF4-FFF2-40B4-BE49-F238E27FC236}">
                <a16:creationId xmlns:a16="http://schemas.microsoft.com/office/drawing/2014/main" id="{00000000-0008-0000-0200-0000082C0000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73" name="$E$174">
            <a:extLst>
              <a:ext uri="{FF2B5EF4-FFF2-40B4-BE49-F238E27FC236}">
                <a16:creationId xmlns:a16="http://schemas.microsoft.com/office/drawing/2014/main" id="{00000000-0008-0000-0200-0000092C0000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74" name="$E$174">
            <a:extLst>
              <a:ext uri="{FF2B5EF4-FFF2-40B4-BE49-F238E27FC236}">
                <a16:creationId xmlns:a16="http://schemas.microsoft.com/office/drawing/2014/main" id="{00000000-0008-0000-0200-00000A2C00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75" name="$E$174">
            <a:extLst>
              <a:ext uri="{FF2B5EF4-FFF2-40B4-BE49-F238E27FC236}">
                <a16:creationId xmlns:a16="http://schemas.microsoft.com/office/drawing/2014/main" id="{00000000-0008-0000-0200-00000B2C00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76" name="$E$174">
            <a:extLst>
              <a:ext uri="{FF2B5EF4-FFF2-40B4-BE49-F238E27FC236}">
                <a16:creationId xmlns:a16="http://schemas.microsoft.com/office/drawing/2014/main" id="{00000000-0008-0000-0200-00000C2C0000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77" name="$E$174">
            <a:extLst>
              <a:ext uri="{FF2B5EF4-FFF2-40B4-BE49-F238E27FC236}">
                <a16:creationId xmlns:a16="http://schemas.microsoft.com/office/drawing/2014/main" id="{00000000-0008-0000-0200-00000D2C0000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78" name="$E$174">
            <a:extLst>
              <a:ext uri="{FF2B5EF4-FFF2-40B4-BE49-F238E27FC236}">
                <a16:creationId xmlns:a16="http://schemas.microsoft.com/office/drawing/2014/main" id="{00000000-0008-0000-0200-00000E2C00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79" name="$E$174">
            <a:extLst>
              <a:ext uri="{FF2B5EF4-FFF2-40B4-BE49-F238E27FC236}">
                <a16:creationId xmlns:a16="http://schemas.microsoft.com/office/drawing/2014/main" id="{00000000-0008-0000-0200-00000F2C0000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80" name="$E$174">
            <a:extLst>
              <a:ext uri="{FF2B5EF4-FFF2-40B4-BE49-F238E27FC236}">
                <a16:creationId xmlns:a16="http://schemas.microsoft.com/office/drawing/2014/main" id="{00000000-0008-0000-0200-0000102C0000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81" name="$E$174">
            <a:extLst>
              <a:ext uri="{FF2B5EF4-FFF2-40B4-BE49-F238E27FC236}">
                <a16:creationId xmlns:a16="http://schemas.microsoft.com/office/drawing/2014/main" id="{00000000-0008-0000-0200-0000112C0000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82" name="$E$174">
            <a:extLst>
              <a:ext uri="{FF2B5EF4-FFF2-40B4-BE49-F238E27FC236}">
                <a16:creationId xmlns:a16="http://schemas.microsoft.com/office/drawing/2014/main" id="{00000000-0008-0000-0200-0000122C0000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83" name="$E$174">
            <a:extLst>
              <a:ext uri="{FF2B5EF4-FFF2-40B4-BE49-F238E27FC236}">
                <a16:creationId xmlns:a16="http://schemas.microsoft.com/office/drawing/2014/main" id="{00000000-0008-0000-0200-0000132C0000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84" name="$E$174">
            <a:extLst>
              <a:ext uri="{FF2B5EF4-FFF2-40B4-BE49-F238E27FC236}">
                <a16:creationId xmlns:a16="http://schemas.microsoft.com/office/drawing/2014/main" id="{00000000-0008-0000-0200-0000142C00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85" name="$E$174">
            <a:extLst>
              <a:ext uri="{FF2B5EF4-FFF2-40B4-BE49-F238E27FC236}">
                <a16:creationId xmlns:a16="http://schemas.microsoft.com/office/drawing/2014/main" id="{00000000-0008-0000-0200-0000152C0000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86" name="$E$174">
            <a:extLst>
              <a:ext uri="{FF2B5EF4-FFF2-40B4-BE49-F238E27FC236}">
                <a16:creationId xmlns:a16="http://schemas.microsoft.com/office/drawing/2014/main" id="{00000000-0008-0000-0200-0000162C000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87" name="$E$174">
            <a:extLst>
              <a:ext uri="{FF2B5EF4-FFF2-40B4-BE49-F238E27FC236}">
                <a16:creationId xmlns:a16="http://schemas.microsoft.com/office/drawing/2014/main" id="{00000000-0008-0000-0200-0000172C0000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88" name="$E$174">
            <a:extLst>
              <a:ext uri="{FF2B5EF4-FFF2-40B4-BE49-F238E27FC236}">
                <a16:creationId xmlns:a16="http://schemas.microsoft.com/office/drawing/2014/main" id="{00000000-0008-0000-0200-0000182C000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89" name="$E$174">
            <a:extLst>
              <a:ext uri="{FF2B5EF4-FFF2-40B4-BE49-F238E27FC236}">
                <a16:creationId xmlns:a16="http://schemas.microsoft.com/office/drawing/2014/main" id="{00000000-0008-0000-0200-0000192C00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90" name="$E$174">
            <a:extLst>
              <a:ext uri="{FF2B5EF4-FFF2-40B4-BE49-F238E27FC236}">
                <a16:creationId xmlns:a16="http://schemas.microsoft.com/office/drawing/2014/main" id="{00000000-0008-0000-0200-00001A2C0000}"/>
              </a:ext>
            </a:extLst>
          </xdr:cNvPr>
          <xdr:cNvSpPr/>
        </xdr:nvSpPr>
        <xdr:spPr>
          <a:xfrm>
            <a:off x="203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91" name="$E$174">
            <a:extLst>
              <a:ext uri="{FF2B5EF4-FFF2-40B4-BE49-F238E27FC236}">
                <a16:creationId xmlns:a16="http://schemas.microsoft.com/office/drawing/2014/main" id="{00000000-0008-0000-0200-00001B2C00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92" name="$E$174">
            <a:extLst>
              <a:ext uri="{FF2B5EF4-FFF2-40B4-BE49-F238E27FC236}">
                <a16:creationId xmlns:a16="http://schemas.microsoft.com/office/drawing/2014/main" id="{00000000-0008-0000-0200-00001C2C0000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93" name="$E$174">
            <a:extLst>
              <a:ext uri="{FF2B5EF4-FFF2-40B4-BE49-F238E27FC236}">
                <a16:creationId xmlns:a16="http://schemas.microsoft.com/office/drawing/2014/main" id="{00000000-0008-0000-0200-00001D2C00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94" name="$E$174">
            <a:extLst>
              <a:ext uri="{FF2B5EF4-FFF2-40B4-BE49-F238E27FC236}">
                <a16:creationId xmlns:a16="http://schemas.microsoft.com/office/drawing/2014/main" id="{00000000-0008-0000-0200-00001E2C0000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95" name="$E$174">
            <a:extLst>
              <a:ext uri="{FF2B5EF4-FFF2-40B4-BE49-F238E27FC236}">
                <a16:creationId xmlns:a16="http://schemas.microsoft.com/office/drawing/2014/main" id="{00000000-0008-0000-0200-00001F2C00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96" name="$E$174">
            <a:extLst>
              <a:ext uri="{FF2B5EF4-FFF2-40B4-BE49-F238E27FC236}">
                <a16:creationId xmlns:a16="http://schemas.microsoft.com/office/drawing/2014/main" id="{00000000-0008-0000-0200-0000202C00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97" name="$E$174">
            <a:extLst>
              <a:ext uri="{FF2B5EF4-FFF2-40B4-BE49-F238E27FC236}">
                <a16:creationId xmlns:a16="http://schemas.microsoft.com/office/drawing/2014/main" id="{00000000-0008-0000-0200-0000212C0000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98" name="$E$174">
            <a:extLst>
              <a:ext uri="{FF2B5EF4-FFF2-40B4-BE49-F238E27FC236}">
                <a16:creationId xmlns:a16="http://schemas.microsoft.com/office/drawing/2014/main" id="{00000000-0008-0000-0200-0000222C0000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299" name="$E$174">
            <a:extLst>
              <a:ext uri="{FF2B5EF4-FFF2-40B4-BE49-F238E27FC236}">
                <a16:creationId xmlns:a16="http://schemas.microsoft.com/office/drawing/2014/main" id="{00000000-0008-0000-0200-0000232C0000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00" name="$E$174">
            <a:extLst>
              <a:ext uri="{FF2B5EF4-FFF2-40B4-BE49-F238E27FC236}">
                <a16:creationId xmlns:a16="http://schemas.microsoft.com/office/drawing/2014/main" id="{00000000-0008-0000-0200-0000242C0000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01" name="$E$174">
            <a:extLst>
              <a:ext uri="{FF2B5EF4-FFF2-40B4-BE49-F238E27FC236}">
                <a16:creationId xmlns:a16="http://schemas.microsoft.com/office/drawing/2014/main" id="{00000000-0008-0000-0200-0000252C0000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02" name="$E$174">
            <a:extLst>
              <a:ext uri="{FF2B5EF4-FFF2-40B4-BE49-F238E27FC236}">
                <a16:creationId xmlns:a16="http://schemas.microsoft.com/office/drawing/2014/main" id="{00000000-0008-0000-0200-0000262C0000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03" name="$E$174">
            <a:extLst>
              <a:ext uri="{FF2B5EF4-FFF2-40B4-BE49-F238E27FC236}">
                <a16:creationId xmlns:a16="http://schemas.microsoft.com/office/drawing/2014/main" id="{00000000-0008-0000-0200-0000272C00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04" name="$E$174">
            <a:extLst>
              <a:ext uri="{FF2B5EF4-FFF2-40B4-BE49-F238E27FC236}">
                <a16:creationId xmlns:a16="http://schemas.microsoft.com/office/drawing/2014/main" id="{00000000-0008-0000-0200-0000282C00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05" name="$E$174">
            <a:extLst>
              <a:ext uri="{FF2B5EF4-FFF2-40B4-BE49-F238E27FC236}">
                <a16:creationId xmlns:a16="http://schemas.microsoft.com/office/drawing/2014/main" id="{00000000-0008-0000-0200-0000292C00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06" name="$E$174">
            <a:extLst>
              <a:ext uri="{FF2B5EF4-FFF2-40B4-BE49-F238E27FC236}">
                <a16:creationId xmlns:a16="http://schemas.microsoft.com/office/drawing/2014/main" id="{00000000-0008-0000-0200-00002A2C00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07" name="$E$174">
            <a:extLst>
              <a:ext uri="{FF2B5EF4-FFF2-40B4-BE49-F238E27FC236}">
                <a16:creationId xmlns:a16="http://schemas.microsoft.com/office/drawing/2014/main" id="{00000000-0008-0000-0200-00002B2C00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08" name="$E$174">
            <a:extLst>
              <a:ext uri="{FF2B5EF4-FFF2-40B4-BE49-F238E27FC236}">
                <a16:creationId xmlns:a16="http://schemas.microsoft.com/office/drawing/2014/main" id="{00000000-0008-0000-0200-00002C2C00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09" name="$E$174">
            <a:extLst>
              <a:ext uri="{FF2B5EF4-FFF2-40B4-BE49-F238E27FC236}">
                <a16:creationId xmlns:a16="http://schemas.microsoft.com/office/drawing/2014/main" id="{00000000-0008-0000-0200-00002D2C0000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10" name="$E$174">
            <a:extLst>
              <a:ext uri="{FF2B5EF4-FFF2-40B4-BE49-F238E27FC236}">
                <a16:creationId xmlns:a16="http://schemas.microsoft.com/office/drawing/2014/main" id="{00000000-0008-0000-0200-00002E2C00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11" name="$E$174">
            <a:extLst>
              <a:ext uri="{FF2B5EF4-FFF2-40B4-BE49-F238E27FC236}">
                <a16:creationId xmlns:a16="http://schemas.microsoft.com/office/drawing/2014/main" id="{00000000-0008-0000-0200-00002F2C00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12" name="$E$174">
            <a:extLst>
              <a:ext uri="{FF2B5EF4-FFF2-40B4-BE49-F238E27FC236}">
                <a16:creationId xmlns:a16="http://schemas.microsoft.com/office/drawing/2014/main" id="{00000000-0008-0000-0200-0000302C00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13" name="$E$174">
            <a:extLst>
              <a:ext uri="{FF2B5EF4-FFF2-40B4-BE49-F238E27FC236}">
                <a16:creationId xmlns:a16="http://schemas.microsoft.com/office/drawing/2014/main" id="{00000000-0008-0000-0200-0000312C0000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14" name="$E$174">
            <a:extLst>
              <a:ext uri="{FF2B5EF4-FFF2-40B4-BE49-F238E27FC236}">
                <a16:creationId xmlns:a16="http://schemas.microsoft.com/office/drawing/2014/main" id="{00000000-0008-0000-0200-0000322C0000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15" name="$E$174">
            <a:extLst>
              <a:ext uri="{FF2B5EF4-FFF2-40B4-BE49-F238E27FC236}">
                <a16:creationId xmlns:a16="http://schemas.microsoft.com/office/drawing/2014/main" id="{00000000-0008-0000-0200-0000332C0000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16" name="$E$174">
            <a:extLst>
              <a:ext uri="{FF2B5EF4-FFF2-40B4-BE49-F238E27FC236}">
                <a16:creationId xmlns:a16="http://schemas.microsoft.com/office/drawing/2014/main" id="{00000000-0008-0000-0200-0000342C00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17" name="$E$174">
            <a:extLst>
              <a:ext uri="{FF2B5EF4-FFF2-40B4-BE49-F238E27FC236}">
                <a16:creationId xmlns:a16="http://schemas.microsoft.com/office/drawing/2014/main" id="{00000000-0008-0000-0200-0000352C0000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18" name="$E$174">
            <a:extLst>
              <a:ext uri="{FF2B5EF4-FFF2-40B4-BE49-F238E27FC236}">
                <a16:creationId xmlns:a16="http://schemas.microsoft.com/office/drawing/2014/main" id="{00000000-0008-0000-0200-0000362C00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19" name="$E$174">
            <a:extLst>
              <a:ext uri="{FF2B5EF4-FFF2-40B4-BE49-F238E27FC236}">
                <a16:creationId xmlns:a16="http://schemas.microsoft.com/office/drawing/2014/main" id="{00000000-0008-0000-0200-0000372C0000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20" name="$E$174">
            <a:extLst>
              <a:ext uri="{FF2B5EF4-FFF2-40B4-BE49-F238E27FC236}">
                <a16:creationId xmlns:a16="http://schemas.microsoft.com/office/drawing/2014/main" id="{00000000-0008-0000-0200-0000382C00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21" name="$E$174">
            <a:extLst>
              <a:ext uri="{FF2B5EF4-FFF2-40B4-BE49-F238E27FC236}">
                <a16:creationId xmlns:a16="http://schemas.microsoft.com/office/drawing/2014/main" id="{00000000-0008-0000-0200-0000392C0000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22" name="$E$174">
            <a:extLst>
              <a:ext uri="{FF2B5EF4-FFF2-40B4-BE49-F238E27FC236}">
                <a16:creationId xmlns:a16="http://schemas.microsoft.com/office/drawing/2014/main" id="{00000000-0008-0000-0200-00003A2C0000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23" name="$E$174">
            <a:extLst>
              <a:ext uri="{FF2B5EF4-FFF2-40B4-BE49-F238E27FC236}">
                <a16:creationId xmlns:a16="http://schemas.microsoft.com/office/drawing/2014/main" id="{00000000-0008-0000-0200-00003B2C00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24" name="$E$174">
            <a:extLst>
              <a:ext uri="{FF2B5EF4-FFF2-40B4-BE49-F238E27FC236}">
                <a16:creationId xmlns:a16="http://schemas.microsoft.com/office/drawing/2014/main" id="{00000000-0008-0000-0200-00003C2C0000}"/>
              </a:ext>
            </a:extLst>
          </xdr:cNvPr>
          <xdr:cNvSpPr/>
        </xdr:nvSpPr>
        <xdr:spPr>
          <a:xfrm>
            <a:off x="241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25" name="$E$174">
            <a:extLst>
              <a:ext uri="{FF2B5EF4-FFF2-40B4-BE49-F238E27FC236}">
                <a16:creationId xmlns:a16="http://schemas.microsoft.com/office/drawing/2014/main" id="{00000000-0008-0000-0200-00003D2C0000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26" name="$E$174">
            <a:extLst>
              <a:ext uri="{FF2B5EF4-FFF2-40B4-BE49-F238E27FC236}">
                <a16:creationId xmlns:a16="http://schemas.microsoft.com/office/drawing/2014/main" id="{00000000-0008-0000-0200-00003E2C00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27" name="$E$174">
            <a:extLst>
              <a:ext uri="{FF2B5EF4-FFF2-40B4-BE49-F238E27FC236}">
                <a16:creationId xmlns:a16="http://schemas.microsoft.com/office/drawing/2014/main" id="{00000000-0008-0000-0200-00003F2C00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28" name="$E$174">
            <a:extLst>
              <a:ext uri="{FF2B5EF4-FFF2-40B4-BE49-F238E27FC236}">
                <a16:creationId xmlns:a16="http://schemas.microsoft.com/office/drawing/2014/main" id="{00000000-0008-0000-0200-0000402C0000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29" name="$E$174">
            <a:extLst>
              <a:ext uri="{FF2B5EF4-FFF2-40B4-BE49-F238E27FC236}">
                <a16:creationId xmlns:a16="http://schemas.microsoft.com/office/drawing/2014/main" id="{00000000-0008-0000-0200-0000412C0000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30" name="$E$174">
            <a:extLst>
              <a:ext uri="{FF2B5EF4-FFF2-40B4-BE49-F238E27FC236}">
                <a16:creationId xmlns:a16="http://schemas.microsoft.com/office/drawing/2014/main" id="{00000000-0008-0000-0200-0000422C00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31" name="$E$174">
            <a:extLst>
              <a:ext uri="{FF2B5EF4-FFF2-40B4-BE49-F238E27FC236}">
                <a16:creationId xmlns:a16="http://schemas.microsoft.com/office/drawing/2014/main" id="{00000000-0008-0000-0200-0000432C0000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32" name="$E$174">
            <a:extLst>
              <a:ext uri="{FF2B5EF4-FFF2-40B4-BE49-F238E27FC236}">
                <a16:creationId xmlns:a16="http://schemas.microsoft.com/office/drawing/2014/main" id="{00000000-0008-0000-0200-0000442C0000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33" name="$E$174">
            <a:extLst>
              <a:ext uri="{FF2B5EF4-FFF2-40B4-BE49-F238E27FC236}">
                <a16:creationId xmlns:a16="http://schemas.microsoft.com/office/drawing/2014/main" id="{00000000-0008-0000-0200-0000452C0000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34" name="$E$174">
            <a:extLst>
              <a:ext uri="{FF2B5EF4-FFF2-40B4-BE49-F238E27FC236}">
                <a16:creationId xmlns:a16="http://schemas.microsoft.com/office/drawing/2014/main" id="{00000000-0008-0000-0200-0000462C00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35" name="$E$174">
            <a:extLst>
              <a:ext uri="{FF2B5EF4-FFF2-40B4-BE49-F238E27FC236}">
                <a16:creationId xmlns:a16="http://schemas.microsoft.com/office/drawing/2014/main" id="{00000000-0008-0000-0200-0000472C0000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36" name="$E$174">
            <a:extLst>
              <a:ext uri="{FF2B5EF4-FFF2-40B4-BE49-F238E27FC236}">
                <a16:creationId xmlns:a16="http://schemas.microsoft.com/office/drawing/2014/main" id="{00000000-0008-0000-0200-0000482C00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37" name="$E$174">
            <a:extLst>
              <a:ext uri="{FF2B5EF4-FFF2-40B4-BE49-F238E27FC236}">
                <a16:creationId xmlns:a16="http://schemas.microsoft.com/office/drawing/2014/main" id="{00000000-0008-0000-0200-0000492C00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38" name="$E$174">
            <a:extLst>
              <a:ext uri="{FF2B5EF4-FFF2-40B4-BE49-F238E27FC236}">
                <a16:creationId xmlns:a16="http://schemas.microsoft.com/office/drawing/2014/main" id="{00000000-0008-0000-0200-00004A2C00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39" name="$E$174">
            <a:extLst>
              <a:ext uri="{FF2B5EF4-FFF2-40B4-BE49-F238E27FC236}">
                <a16:creationId xmlns:a16="http://schemas.microsoft.com/office/drawing/2014/main" id="{00000000-0008-0000-0200-00004B2C00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40" name="$E$174">
            <a:extLst>
              <a:ext uri="{FF2B5EF4-FFF2-40B4-BE49-F238E27FC236}">
                <a16:creationId xmlns:a16="http://schemas.microsoft.com/office/drawing/2014/main" id="{00000000-0008-0000-0200-00004C2C0000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41" name="$E$174">
            <a:extLst>
              <a:ext uri="{FF2B5EF4-FFF2-40B4-BE49-F238E27FC236}">
                <a16:creationId xmlns:a16="http://schemas.microsoft.com/office/drawing/2014/main" id="{00000000-0008-0000-0200-00004D2C0000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42" name="$E$174">
            <a:extLst>
              <a:ext uri="{FF2B5EF4-FFF2-40B4-BE49-F238E27FC236}">
                <a16:creationId xmlns:a16="http://schemas.microsoft.com/office/drawing/2014/main" id="{00000000-0008-0000-0200-00004E2C0000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43" name="$E$174">
            <a:extLst>
              <a:ext uri="{FF2B5EF4-FFF2-40B4-BE49-F238E27FC236}">
                <a16:creationId xmlns:a16="http://schemas.microsoft.com/office/drawing/2014/main" id="{00000000-0008-0000-0200-00004F2C00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44" name="$E$174">
            <a:extLst>
              <a:ext uri="{FF2B5EF4-FFF2-40B4-BE49-F238E27FC236}">
                <a16:creationId xmlns:a16="http://schemas.microsoft.com/office/drawing/2014/main" id="{00000000-0008-0000-0200-0000502C0000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45" name="$E$174">
            <a:extLst>
              <a:ext uri="{FF2B5EF4-FFF2-40B4-BE49-F238E27FC236}">
                <a16:creationId xmlns:a16="http://schemas.microsoft.com/office/drawing/2014/main" id="{00000000-0008-0000-0200-0000512C0000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46" name="$E$174">
            <a:extLst>
              <a:ext uri="{FF2B5EF4-FFF2-40B4-BE49-F238E27FC236}">
                <a16:creationId xmlns:a16="http://schemas.microsoft.com/office/drawing/2014/main" id="{00000000-0008-0000-0200-0000522C0000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47" name="$E$174">
            <a:extLst>
              <a:ext uri="{FF2B5EF4-FFF2-40B4-BE49-F238E27FC236}">
                <a16:creationId xmlns:a16="http://schemas.microsoft.com/office/drawing/2014/main" id="{00000000-0008-0000-0200-0000532C0000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48" name="$E$174">
            <a:extLst>
              <a:ext uri="{FF2B5EF4-FFF2-40B4-BE49-F238E27FC236}">
                <a16:creationId xmlns:a16="http://schemas.microsoft.com/office/drawing/2014/main" id="{00000000-0008-0000-0200-0000542C0000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49" name="$E$174">
            <a:extLst>
              <a:ext uri="{FF2B5EF4-FFF2-40B4-BE49-F238E27FC236}">
                <a16:creationId xmlns:a16="http://schemas.microsoft.com/office/drawing/2014/main" id="{00000000-0008-0000-0200-0000552C00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50" name="$E$174">
            <a:extLst>
              <a:ext uri="{FF2B5EF4-FFF2-40B4-BE49-F238E27FC236}">
                <a16:creationId xmlns:a16="http://schemas.microsoft.com/office/drawing/2014/main" id="{00000000-0008-0000-0200-0000562C0000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51" name="$E$174">
            <a:extLst>
              <a:ext uri="{FF2B5EF4-FFF2-40B4-BE49-F238E27FC236}">
                <a16:creationId xmlns:a16="http://schemas.microsoft.com/office/drawing/2014/main" id="{00000000-0008-0000-0200-0000572C0000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52" name="$E$174">
            <a:extLst>
              <a:ext uri="{FF2B5EF4-FFF2-40B4-BE49-F238E27FC236}">
                <a16:creationId xmlns:a16="http://schemas.microsoft.com/office/drawing/2014/main" id="{00000000-0008-0000-0200-0000582C00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53" name="$E$174">
            <a:extLst>
              <a:ext uri="{FF2B5EF4-FFF2-40B4-BE49-F238E27FC236}">
                <a16:creationId xmlns:a16="http://schemas.microsoft.com/office/drawing/2014/main" id="{00000000-0008-0000-0200-0000592C00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54" name="$E$174">
            <a:extLst>
              <a:ext uri="{FF2B5EF4-FFF2-40B4-BE49-F238E27FC236}">
                <a16:creationId xmlns:a16="http://schemas.microsoft.com/office/drawing/2014/main" id="{00000000-0008-0000-0200-00005A2C00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55" name="$E$174">
            <a:extLst>
              <a:ext uri="{FF2B5EF4-FFF2-40B4-BE49-F238E27FC236}">
                <a16:creationId xmlns:a16="http://schemas.microsoft.com/office/drawing/2014/main" id="{00000000-0008-0000-0200-00005B2C00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56" name="$E$174">
            <a:extLst>
              <a:ext uri="{FF2B5EF4-FFF2-40B4-BE49-F238E27FC236}">
                <a16:creationId xmlns:a16="http://schemas.microsoft.com/office/drawing/2014/main" id="{00000000-0008-0000-0200-00005C2C00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57" name="$E$174">
            <a:extLst>
              <a:ext uri="{FF2B5EF4-FFF2-40B4-BE49-F238E27FC236}">
                <a16:creationId xmlns:a16="http://schemas.microsoft.com/office/drawing/2014/main" id="{00000000-0008-0000-0200-00005D2C0000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58" name="$E$174">
            <a:extLst>
              <a:ext uri="{FF2B5EF4-FFF2-40B4-BE49-F238E27FC236}">
                <a16:creationId xmlns:a16="http://schemas.microsoft.com/office/drawing/2014/main" id="{00000000-0008-0000-0200-00005E2C00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59" name="$E$174">
            <a:extLst>
              <a:ext uri="{FF2B5EF4-FFF2-40B4-BE49-F238E27FC236}">
                <a16:creationId xmlns:a16="http://schemas.microsoft.com/office/drawing/2014/main" id="{00000000-0008-0000-0200-00005F2C0000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60" name="$E$174">
            <a:extLst>
              <a:ext uri="{FF2B5EF4-FFF2-40B4-BE49-F238E27FC236}">
                <a16:creationId xmlns:a16="http://schemas.microsoft.com/office/drawing/2014/main" id="{00000000-0008-0000-0200-0000602C0000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61" name="$E$174">
            <a:extLst>
              <a:ext uri="{FF2B5EF4-FFF2-40B4-BE49-F238E27FC236}">
                <a16:creationId xmlns:a16="http://schemas.microsoft.com/office/drawing/2014/main" id="{00000000-0008-0000-0200-0000612C0000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62" name="$E$174">
            <a:extLst>
              <a:ext uri="{FF2B5EF4-FFF2-40B4-BE49-F238E27FC236}">
                <a16:creationId xmlns:a16="http://schemas.microsoft.com/office/drawing/2014/main" id="{00000000-0008-0000-0200-0000622C0000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63" name="$E$174">
            <a:extLst>
              <a:ext uri="{FF2B5EF4-FFF2-40B4-BE49-F238E27FC236}">
                <a16:creationId xmlns:a16="http://schemas.microsoft.com/office/drawing/2014/main" id="{00000000-0008-0000-0200-0000632C0000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64" name="$E$174">
            <a:extLst>
              <a:ext uri="{FF2B5EF4-FFF2-40B4-BE49-F238E27FC236}">
                <a16:creationId xmlns:a16="http://schemas.microsoft.com/office/drawing/2014/main" id="{00000000-0008-0000-0200-0000642C00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65" name="$E$174">
            <a:extLst>
              <a:ext uri="{FF2B5EF4-FFF2-40B4-BE49-F238E27FC236}">
                <a16:creationId xmlns:a16="http://schemas.microsoft.com/office/drawing/2014/main" id="{00000000-0008-0000-0200-0000652C0000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66" name="$E$174">
            <a:extLst>
              <a:ext uri="{FF2B5EF4-FFF2-40B4-BE49-F238E27FC236}">
                <a16:creationId xmlns:a16="http://schemas.microsoft.com/office/drawing/2014/main" id="{00000000-0008-0000-0200-0000662C00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67" name="$E$174">
            <a:extLst>
              <a:ext uri="{FF2B5EF4-FFF2-40B4-BE49-F238E27FC236}">
                <a16:creationId xmlns:a16="http://schemas.microsoft.com/office/drawing/2014/main" id="{00000000-0008-0000-0200-0000672C00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68" name="$E$174">
            <a:extLst>
              <a:ext uri="{FF2B5EF4-FFF2-40B4-BE49-F238E27FC236}">
                <a16:creationId xmlns:a16="http://schemas.microsoft.com/office/drawing/2014/main" id="{00000000-0008-0000-0200-0000682C00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69" name="$E$174">
            <a:extLst>
              <a:ext uri="{FF2B5EF4-FFF2-40B4-BE49-F238E27FC236}">
                <a16:creationId xmlns:a16="http://schemas.microsoft.com/office/drawing/2014/main" id="{00000000-0008-0000-0200-0000692C0000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70" name="$E$174">
            <a:extLst>
              <a:ext uri="{FF2B5EF4-FFF2-40B4-BE49-F238E27FC236}">
                <a16:creationId xmlns:a16="http://schemas.microsoft.com/office/drawing/2014/main" id="{00000000-0008-0000-0200-00006A2C0000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71" name="$E$174">
            <a:extLst>
              <a:ext uri="{FF2B5EF4-FFF2-40B4-BE49-F238E27FC236}">
                <a16:creationId xmlns:a16="http://schemas.microsoft.com/office/drawing/2014/main" id="{00000000-0008-0000-0200-00006B2C0000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72" name="$E$174">
            <a:extLst>
              <a:ext uri="{FF2B5EF4-FFF2-40B4-BE49-F238E27FC236}">
                <a16:creationId xmlns:a16="http://schemas.microsoft.com/office/drawing/2014/main" id="{00000000-0008-0000-0200-00006C2C00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73" name="$E$174">
            <a:extLst>
              <a:ext uri="{FF2B5EF4-FFF2-40B4-BE49-F238E27FC236}">
                <a16:creationId xmlns:a16="http://schemas.microsoft.com/office/drawing/2014/main" id="{00000000-0008-0000-0200-00006D2C0000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74" name="$E$174">
            <a:extLst>
              <a:ext uri="{FF2B5EF4-FFF2-40B4-BE49-F238E27FC236}">
                <a16:creationId xmlns:a16="http://schemas.microsoft.com/office/drawing/2014/main" id="{00000000-0008-0000-0200-00006E2C0000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75" name="$E$174">
            <a:extLst>
              <a:ext uri="{FF2B5EF4-FFF2-40B4-BE49-F238E27FC236}">
                <a16:creationId xmlns:a16="http://schemas.microsoft.com/office/drawing/2014/main" id="{00000000-0008-0000-0200-00006F2C00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76" name="$E$174">
            <a:extLst>
              <a:ext uri="{FF2B5EF4-FFF2-40B4-BE49-F238E27FC236}">
                <a16:creationId xmlns:a16="http://schemas.microsoft.com/office/drawing/2014/main" id="{00000000-0008-0000-0200-0000702C00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77" name="$E$174">
            <a:extLst>
              <a:ext uri="{FF2B5EF4-FFF2-40B4-BE49-F238E27FC236}">
                <a16:creationId xmlns:a16="http://schemas.microsoft.com/office/drawing/2014/main" id="{00000000-0008-0000-0200-0000712C00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78" name="$E$174">
            <a:extLst>
              <a:ext uri="{FF2B5EF4-FFF2-40B4-BE49-F238E27FC236}">
                <a16:creationId xmlns:a16="http://schemas.microsoft.com/office/drawing/2014/main" id="{00000000-0008-0000-0200-0000722C00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79" name="$E$174">
            <a:extLst>
              <a:ext uri="{FF2B5EF4-FFF2-40B4-BE49-F238E27FC236}">
                <a16:creationId xmlns:a16="http://schemas.microsoft.com/office/drawing/2014/main" id="{00000000-0008-0000-0200-0000732C00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80" name="$E$174">
            <a:extLst>
              <a:ext uri="{FF2B5EF4-FFF2-40B4-BE49-F238E27FC236}">
                <a16:creationId xmlns:a16="http://schemas.microsoft.com/office/drawing/2014/main" id="{00000000-0008-0000-0200-0000742C00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81" name="$E$174">
            <a:extLst>
              <a:ext uri="{FF2B5EF4-FFF2-40B4-BE49-F238E27FC236}">
                <a16:creationId xmlns:a16="http://schemas.microsoft.com/office/drawing/2014/main" id="{00000000-0008-0000-0200-0000752C0000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82" name="$E$174">
            <a:extLst>
              <a:ext uri="{FF2B5EF4-FFF2-40B4-BE49-F238E27FC236}">
                <a16:creationId xmlns:a16="http://schemas.microsoft.com/office/drawing/2014/main" id="{00000000-0008-0000-0200-0000762C00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83" name="$E$174">
            <a:extLst>
              <a:ext uri="{FF2B5EF4-FFF2-40B4-BE49-F238E27FC236}">
                <a16:creationId xmlns:a16="http://schemas.microsoft.com/office/drawing/2014/main" id="{00000000-0008-0000-0200-0000772C0000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84" name="$E$174">
            <a:extLst>
              <a:ext uri="{FF2B5EF4-FFF2-40B4-BE49-F238E27FC236}">
                <a16:creationId xmlns:a16="http://schemas.microsoft.com/office/drawing/2014/main" id="{00000000-0008-0000-0200-0000782C0000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85" name="$E$174">
            <a:extLst>
              <a:ext uri="{FF2B5EF4-FFF2-40B4-BE49-F238E27FC236}">
                <a16:creationId xmlns:a16="http://schemas.microsoft.com/office/drawing/2014/main" id="{00000000-0008-0000-0200-0000792C00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86" name="$E$174">
            <a:extLst>
              <a:ext uri="{FF2B5EF4-FFF2-40B4-BE49-F238E27FC236}">
                <a16:creationId xmlns:a16="http://schemas.microsoft.com/office/drawing/2014/main" id="{00000000-0008-0000-0200-00007A2C0000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87" name="$E$174">
            <a:extLst>
              <a:ext uri="{FF2B5EF4-FFF2-40B4-BE49-F238E27FC236}">
                <a16:creationId xmlns:a16="http://schemas.microsoft.com/office/drawing/2014/main" id="{00000000-0008-0000-0200-00007B2C0000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88" name="$E$174">
            <a:extLst>
              <a:ext uri="{FF2B5EF4-FFF2-40B4-BE49-F238E27FC236}">
                <a16:creationId xmlns:a16="http://schemas.microsoft.com/office/drawing/2014/main" id="{00000000-0008-0000-0200-00007C2C00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89" name="$E$174">
            <a:extLst>
              <a:ext uri="{FF2B5EF4-FFF2-40B4-BE49-F238E27FC236}">
                <a16:creationId xmlns:a16="http://schemas.microsoft.com/office/drawing/2014/main" id="{00000000-0008-0000-0200-00007D2C0000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90" name="$E$174">
            <a:extLst>
              <a:ext uri="{FF2B5EF4-FFF2-40B4-BE49-F238E27FC236}">
                <a16:creationId xmlns:a16="http://schemas.microsoft.com/office/drawing/2014/main" id="{00000000-0008-0000-0200-00007E2C0000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91" name="$E$174">
            <a:extLst>
              <a:ext uri="{FF2B5EF4-FFF2-40B4-BE49-F238E27FC236}">
                <a16:creationId xmlns:a16="http://schemas.microsoft.com/office/drawing/2014/main" id="{00000000-0008-0000-0200-00007F2C0000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92" name="$E$174">
            <a:extLst>
              <a:ext uri="{FF2B5EF4-FFF2-40B4-BE49-F238E27FC236}">
                <a16:creationId xmlns:a16="http://schemas.microsoft.com/office/drawing/2014/main" id="{00000000-0008-0000-0200-0000802C00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93" name="$E$174">
            <a:extLst>
              <a:ext uri="{FF2B5EF4-FFF2-40B4-BE49-F238E27FC236}">
                <a16:creationId xmlns:a16="http://schemas.microsoft.com/office/drawing/2014/main" id="{00000000-0008-0000-0200-0000812C00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94" name="$E$174">
            <a:extLst>
              <a:ext uri="{FF2B5EF4-FFF2-40B4-BE49-F238E27FC236}">
                <a16:creationId xmlns:a16="http://schemas.microsoft.com/office/drawing/2014/main" id="{00000000-0008-0000-0200-0000822C0000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95" name="$E$174">
            <a:extLst>
              <a:ext uri="{FF2B5EF4-FFF2-40B4-BE49-F238E27FC236}">
                <a16:creationId xmlns:a16="http://schemas.microsoft.com/office/drawing/2014/main" id="{00000000-0008-0000-0200-0000832C0000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96" name="$E$174">
            <a:extLst>
              <a:ext uri="{FF2B5EF4-FFF2-40B4-BE49-F238E27FC236}">
                <a16:creationId xmlns:a16="http://schemas.microsoft.com/office/drawing/2014/main" id="{00000000-0008-0000-0200-0000842C00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97" name="$E$174">
            <a:extLst>
              <a:ext uri="{FF2B5EF4-FFF2-40B4-BE49-F238E27FC236}">
                <a16:creationId xmlns:a16="http://schemas.microsoft.com/office/drawing/2014/main" id="{00000000-0008-0000-0200-0000852C00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98" name="$E$174">
            <a:extLst>
              <a:ext uri="{FF2B5EF4-FFF2-40B4-BE49-F238E27FC236}">
                <a16:creationId xmlns:a16="http://schemas.microsoft.com/office/drawing/2014/main" id="{00000000-0008-0000-0200-0000862C00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399" name="$E$174">
            <a:extLst>
              <a:ext uri="{FF2B5EF4-FFF2-40B4-BE49-F238E27FC236}">
                <a16:creationId xmlns:a16="http://schemas.microsoft.com/office/drawing/2014/main" id="{00000000-0008-0000-0200-0000872C0000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00" name="$E$174">
            <a:extLst>
              <a:ext uri="{FF2B5EF4-FFF2-40B4-BE49-F238E27FC236}">
                <a16:creationId xmlns:a16="http://schemas.microsoft.com/office/drawing/2014/main" id="{00000000-0008-0000-0200-0000882C00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01" name="$E$174">
            <a:extLst>
              <a:ext uri="{FF2B5EF4-FFF2-40B4-BE49-F238E27FC236}">
                <a16:creationId xmlns:a16="http://schemas.microsoft.com/office/drawing/2014/main" id="{00000000-0008-0000-0200-0000892C0000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02" name="$E$174">
            <a:extLst>
              <a:ext uri="{FF2B5EF4-FFF2-40B4-BE49-F238E27FC236}">
                <a16:creationId xmlns:a16="http://schemas.microsoft.com/office/drawing/2014/main" id="{00000000-0008-0000-0200-00008A2C00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03" name="$E$174">
            <a:extLst>
              <a:ext uri="{FF2B5EF4-FFF2-40B4-BE49-F238E27FC236}">
                <a16:creationId xmlns:a16="http://schemas.microsoft.com/office/drawing/2014/main" id="{00000000-0008-0000-0200-00008B2C0000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04" name="$E$174">
            <a:extLst>
              <a:ext uri="{FF2B5EF4-FFF2-40B4-BE49-F238E27FC236}">
                <a16:creationId xmlns:a16="http://schemas.microsoft.com/office/drawing/2014/main" id="{00000000-0008-0000-0200-00008C2C00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05" name="$E$174">
            <a:extLst>
              <a:ext uri="{FF2B5EF4-FFF2-40B4-BE49-F238E27FC236}">
                <a16:creationId xmlns:a16="http://schemas.microsoft.com/office/drawing/2014/main" id="{00000000-0008-0000-0200-00008D2C00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06" name="$E$174">
            <a:extLst>
              <a:ext uri="{FF2B5EF4-FFF2-40B4-BE49-F238E27FC236}">
                <a16:creationId xmlns:a16="http://schemas.microsoft.com/office/drawing/2014/main" id="{00000000-0008-0000-0200-00008E2C00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07" name="$E$174">
            <a:extLst>
              <a:ext uri="{FF2B5EF4-FFF2-40B4-BE49-F238E27FC236}">
                <a16:creationId xmlns:a16="http://schemas.microsoft.com/office/drawing/2014/main" id="{00000000-0008-0000-0200-00008F2C0000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08" name="$E$174">
            <a:extLst>
              <a:ext uri="{FF2B5EF4-FFF2-40B4-BE49-F238E27FC236}">
                <a16:creationId xmlns:a16="http://schemas.microsoft.com/office/drawing/2014/main" id="{00000000-0008-0000-0200-0000902C0000}"/>
              </a:ext>
            </a:extLst>
          </xdr:cNvPr>
          <xdr:cNvSpPr/>
        </xdr:nvSpPr>
        <xdr:spPr>
          <a:xfrm>
            <a:off x="12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09" name="$E$174">
            <a:extLst>
              <a:ext uri="{FF2B5EF4-FFF2-40B4-BE49-F238E27FC236}">
                <a16:creationId xmlns:a16="http://schemas.microsoft.com/office/drawing/2014/main" id="{00000000-0008-0000-0200-0000912C00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10" name="$E$174">
            <a:extLst>
              <a:ext uri="{FF2B5EF4-FFF2-40B4-BE49-F238E27FC236}">
                <a16:creationId xmlns:a16="http://schemas.microsoft.com/office/drawing/2014/main" id="{00000000-0008-0000-0200-0000922C0000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11" name="$E$174">
            <a:extLst>
              <a:ext uri="{FF2B5EF4-FFF2-40B4-BE49-F238E27FC236}">
                <a16:creationId xmlns:a16="http://schemas.microsoft.com/office/drawing/2014/main" id="{00000000-0008-0000-0200-0000932C0000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12" name="$E$174">
            <a:extLst>
              <a:ext uri="{FF2B5EF4-FFF2-40B4-BE49-F238E27FC236}">
                <a16:creationId xmlns:a16="http://schemas.microsoft.com/office/drawing/2014/main" id="{00000000-0008-0000-0200-0000942C00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13" name="$E$174">
            <a:extLst>
              <a:ext uri="{FF2B5EF4-FFF2-40B4-BE49-F238E27FC236}">
                <a16:creationId xmlns:a16="http://schemas.microsoft.com/office/drawing/2014/main" id="{00000000-0008-0000-0200-0000952C00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14" name="$E$174">
            <a:extLst>
              <a:ext uri="{FF2B5EF4-FFF2-40B4-BE49-F238E27FC236}">
                <a16:creationId xmlns:a16="http://schemas.microsoft.com/office/drawing/2014/main" id="{00000000-0008-0000-0200-0000962C00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15" name="$E$174">
            <a:extLst>
              <a:ext uri="{FF2B5EF4-FFF2-40B4-BE49-F238E27FC236}">
                <a16:creationId xmlns:a16="http://schemas.microsoft.com/office/drawing/2014/main" id="{00000000-0008-0000-0200-0000972C00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16" name="$E$174">
            <a:extLst>
              <a:ext uri="{FF2B5EF4-FFF2-40B4-BE49-F238E27FC236}">
                <a16:creationId xmlns:a16="http://schemas.microsoft.com/office/drawing/2014/main" id="{00000000-0008-0000-0200-0000982C00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17" name="$E$174">
            <a:extLst>
              <a:ext uri="{FF2B5EF4-FFF2-40B4-BE49-F238E27FC236}">
                <a16:creationId xmlns:a16="http://schemas.microsoft.com/office/drawing/2014/main" id="{00000000-0008-0000-0200-0000992C0000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18" name="$E$174">
            <a:extLst>
              <a:ext uri="{FF2B5EF4-FFF2-40B4-BE49-F238E27FC236}">
                <a16:creationId xmlns:a16="http://schemas.microsoft.com/office/drawing/2014/main" id="{00000000-0008-0000-0200-00009A2C00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19" name="$E$174">
            <a:extLst>
              <a:ext uri="{FF2B5EF4-FFF2-40B4-BE49-F238E27FC236}">
                <a16:creationId xmlns:a16="http://schemas.microsoft.com/office/drawing/2014/main" id="{00000000-0008-0000-0200-00009B2C00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20" name="$E$174">
            <a:extLst>
              <a:ext uri="{FF2B5EF4-FFF2-40B4-BE49-F238E27FC236}">
                <a16:creationId xmlns:a16="http://schemas.microsoft.com/office/drawing/2014/main" id="{00000000-0008-0000-0200-00009C2C00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21" name="$E$174">
            <a:extLst>
              <a:ext uri="{FF2B5EF4-FFF2-40B4-BE49-F238E27FC236}">
                <a16:creationId xmlns:a16="http://schemas.microsoft.com/office/drawing/2014/main" id="{00000000-0008-0000-0200-00009D2C00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22" name="$E$174">
            <a:extLst>
              <a:ext uri="{FF2B5EF4-FFF2-40B4-BE49-F238E27FC236}">
                <a16:creationId xmlns:a16="http://schemas.microsoft.com/office/drawing/2014/main" id="{00000000-0008-0000-0200-00009E2C0000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23" name="$E$174">
            <a:extLst>
              <a:ext uri="{FF2B5EF4-FFF2-40B4-BE49-F238E27FC236}">
                <a16:creationId xmlns:a16="http://schemas.microsoft.com/office/drawing/2014/main" id="{00000000-0008-0000-0200-00009F2C00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24" name="$E$174">
            <a:extLst>
              <a:ext uri="{FF2B5EF4-FFF2-40B4-BE49-F238E27FC236}">
                <a16:creationId xmlns:a16="http://schemas.microsoft.com/office/drawing/2014/main" id="{00000000-0008-0000-0200-0000A02C0000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25" name="$E$174">
            <a:extLst>
              <a:ext uri="{FF2B5EF4-FFF2-40B4-BE49-F238E27FC236}">
                <a16:creationId xmlns:a16="http://schemas.microsoft.com/office/drawing/2014/main" id="{00000000-0008-0000-0200-0000A12C0000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26" name="$E$174">
            <a:extLst>
              <a:ext uri="{FF2B5EF4-FFF2-40B4-BE49-F238E27FC236}">
                <a16:creationId xmlns:a16="http://schemas.microsoft.com/office/drawing/2014/main" id="{00000000-0008-0000-0200-0000A22C0000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27" name="$E$174">
            <a:extLst>
              <a:ext uri="{FF2B5EF4-FFF2-40B4-BE49-F238E27FC236}">
                <a16:creationId xmlns:a16="http://schemas.microsoft.com/office/drawing/2014/main" id="{00000000-0008-0000-0200-0000A32C00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28" name="$E$174">
            <a:extLst>
              <a:ext uri="{FF2B5EF4-FFF2-40B4-BE49-F238E27FC236}">
                <a16:creationId xmlns:a16="http://schemas.microsoft.com/office/drawing/2014/main" id="{00000000-0008-0000-0200-0000A42C0000}"/>
              </a:ext>
            </a:extLst>
          </xdr:cNvPr>
          <xdr:cNvSpPr/>
        </xdr:nvSpPr>
        <xdr:spPr>
          <a:xfrm>
            <a:off x="63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29" name="$E$174">
            <a:extLst>
              <a:ext uri="{FF2B5EF4-FFF2-40B4-BE49-F238E27FC236}">
                <a16:creationId xmlns:a16="http://schemas.microsoft.com/office/drawing/2014/main" id="{00000000-0008-0000-0200-0000A52C00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30" name="$E$174">
            <a:extLst>
              <a:ext uri="{FF2B5EF4-FFF2-40B4-BE49-F238E27FC236}">
                <a16:creationId xmlns:a16="http://schemas.microsoft.com/office/drawing/2014/main" id="{00000000-0008-0000-0200-0000A62C0000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31" name="$E$174">
            <a:extLst>
              <a:ext uri="{FF2B5EF4-FFF2-40B4-BE49-F238E27FC236}">
                <a16:creationId xmlns:a16="http://schemas.microsoft.com/office/drawing/2014/main" id="{00000000-0008-0000-0200-0000A72C00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32" name="$E$174">
            <a:extLst>
              <a:ext uri="{FF2B5EF4-FFF2-40B4-BE49-F238E27FC236}">
                <a16:creationId xmlns:a16="http://schemas.microsoft.com/office/drawing/2014/main" id="{00000000-0008-0000-0200-0000A82C0000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33" name="$E$174">
            <a:extLst>
              <a:ext uri="{FF2B5EF4-FFF2-40B4-BE49-F238E27FC236}">
                <a16:creationId xmlns:a16="http://schemas.microsoft.com/office/drawing/2014/main" id="{00000000-0008-0000-0200-0000A92C0000}"/>
              </a:ext>
            </a:extLst>
          </xdr:cNvPr>
          <xdr:cNvSpPr/>
        </xdr:nvSpPr>
        <xdr:spPr>
          <a:xfrm>
            <a:off x="165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34" name="$E$174">
            <a:extLst>
              <a:ext uri="{FF2B5EF4-FFF2-40B4-BE49-F238E27FC236}">
                <a16:creationId xmlns:a16="http://schemas.microsoft.com/office/drawing/2014/main" id="{00000000-0008-0000-0200-0000AA2C00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35" name="$E$174">
            <a:extLst>
              <a:ext uri="{FF2B5EF4-FFF2-40B4-BE49-F238E27FC236}">
                <a16:creationId xmlns:a16="http://schemas.microsoft.com/office/drawing/2014/main" id="{00000000-0008-0000-0200-0000AB2C00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36" name="$E$174">
            <a:extLst>
              <a:ext uri="{FF2B5EF4-FFF2-40B4-BE49-F238E27FC236}">
                <a16:creationId xmlns:a16="http://schemas.microsoft.com/office/drawing/2014/main" id="{00000000-0008-0000-0200-0000AC2C0000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37" name="$E$174">
            <a:extLst>
              <a:ext uri="{FF2B5EF4-FFF2-40B4-BE49-F238E27FC236}">
                <a16:creationId xmlns:a16="http://schemas.microsoft.com/office/drawing/2014/main" id="{00000000-0008-0000-0200-0000AD2C00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38" name="$E$174">
            <a:extLst>
              <a:ext uri="{FF2B5EF4-FFF2-40B4-BE49-F238E27FC236}">
                <a16:creationId xmlns:a16="http://schemas.microsoft.com/office/drawing/2014/main" id="{00000000-0008-0000-0200-0000AE2C000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39" name="$E$174">
            <a:extLst>
              <a:ext uri="{FF2B5EF4-FFF2-40B4-BE49-F238E27FC236}">
                <a16:creationId xmlns:a16="http://schemas.microsoft.com/office/drawing/2014/main" id="{00000000-0008-0000-0200-0000AF2C0000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40" name="$E$174">
            <a:extLst>
              <a:ext uri="{FF2B5EF4-FFF2-40B4-BE49-F238E27FC236}">
                <a16:creationId xmlns:a16="http://schemas.microsoft.com/office/drawing/2014/main" id="{00000000-0008-0000-0200-0000B02C0000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41" name="$E$174">
            <a:extLst>
              <a:ext uri="{FF2B5EF4-FFF2-40B4-BE49-F238E27FC236}">
                <a16:creationId xmlns:a16="http://schemas.microsoft.com/office/drawing/2014/main" id="{00000000-0008-0000-0200-0000B12C00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42" name="$E$174">
            <a:extLst>
              <a:ext uri="{FF2B5EF4-FFF2-40B4-BE49-F238E27FC236}">
                <a16:creationId xmlns:a16="http://schemas.microsoft.com/office/drawing/2014/main" id="{00000000-0008-0000-0200-0000B22C0000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43" name="$E$174">
            <a:extLst>
              <a:ext uri="{FF2B5EF4-FFF2-40B4-BE49-F238E27FC236}">
                <a16:creationId xmlns:a16="http://schemas.microsoft.com/office/drawing/2014/main" id="{00000000-0008-0000-0200-0000B32C0000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44" name="$E$174">
            <a:extLst>
              <a:ext uri="{FF2B5EF4-FFF2-40B4-BE49-F238E27FC236}">
                <a16:creationId xmlns:a16="http://schemas.microsoft.com/office/drawing/2014/main" id="{00000000-0008-0000-0200-0000B42C00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45" name="$E$174">
            <a:extLst>
              <a:ext uri="{FF2B5EF4-FFF2-40B4-BE49-F238E27FC236}">
                <a16:creationId xmlns:a16="http://schemas.microsoft.com/office/drawing/2014/main" id="{00000000-0008-0000-0200-0000B52C0000}"/>
              </a:ext>
            </a:extLst>
          </xdr:cNvPr>
          <xdr:cNvSpPr/>
        </xdr:nvSpPr>
        <xdr:spPr>
          <a:xfrm>
            <a:off x="63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46" name="$E$174">
            <a:extLst>
              <a:ext uri="{FF2B5EF4-FFF2-40B4-BE49-F238E27FC236}">
                <a16:creationId xmlns:a16="http://schemas.microsoft.com/office/drawing/2014/main" id="{00000000-0008-0000-0200-0000B62C0000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47" name="$E$174">
            <a:extLst>
              <a:ext uri="{FF2B5EF4-FFF2-40B4-BE49-F238E27FC236}">
                <a16:creationId xmlns:a16="http://schemas.microsoft.com/office/drawing/2014/main" id="{00000000-0008-0000-0200-0000B72C00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48" name="$E$174">
            <a:extLst>
              <a:ext uri="{FF2B5EF4-FFF2-40B4-BE49-F238E27FC236}">
                <a16:creationId xmlns:a16="http://schemas.microsoft.com/office/drawing/2014/main" id="{00000000-0008-0000-0200-0000B82C00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49" name="$E$174">
            <a:extLst>
              <a:ext uri="{FF2B5EF4-FFF2-40B4-BE49-F238E27FC236}">
                <a16:creationId xmlns:a16="http://schemas.microsoft.com/office/drawing/2014/main" id="{00000000-0008-0000-0200-0000B92C00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50" name="$E$174">
            <a:extLst>
              <a:ext uri="{FF2B5EF4-FFF2-40B4-BE49-F238E27FC236}">
                <a16:creationId xmlns:a16="http://schemas.microsoft.com/office/drawing/2014/main" id="{00000000-0008-0000-0200-0000BA2C00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51" name="$E$174">
            <a:extLst>
              <a:ext uri="{FF2B5EF4-FFF2-40B4-BE49-F238E27FC236}">
                <a16:creationId xmlns:a16="http://schemas.microsoft.com/office/drawing/2014/main" id="{00000000-0008-0000-0200-0000BB2C00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52" name="$E$174">
            <a:extLst>
              <a:ext uri="{FF2B5EF4-FFF2-40B4-BE49-F238E27FC236}">
                <a16:creationId xmlns:a16="http://schemas.microsoft.com/office/drawing/2014/main" id="{00000000-0008-0000-0200-0000BC2C0000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53" name="$E$174">
            <a:extLst>
              <a:ext uri="{FF2B5EF4-FFF2-40B4-BE49-F238E27FC236}">
                <a16:creationId xmlns:a16="http://schemas.microsoft.com/office/drawing/2014/main" id="{00000000-0008-0000-0200-0000BD2C0000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54" name="$E$174">
            <a:extLst>
              <a:ext uri="{FF2B5EF4-FFF2-40B4-BE49-F238E27FC236}">
                <a16:creationId xmlns:a16="http://schemas.microsoft.com/office/drawing/2014/main" id="{00000000-0008-0000-0200-0000BE2C0000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55" name="$E$174">
            <a:extLst>
              <a:ext uri="{FF2B5EF4-FFF2-40B4-BE49-F238E27FC236}">
                <a16:creationId xmlns:a16="http://schemas.microsoft.com/office/drawing/2014/main" id="{00000000-0008-0000-0200-0000BF2C00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56" name="$E$174">
            <a:extLst>
              <a:ext uri="{FF2B5EF4-FFF2-40B4-BE49-F238E27FC236}">
                <a16:creationId xmlns:a16="http://schemas.microsoft.com/office/drawing/2014/main" id="{00000000-0008-0000-0200-0000C02C0000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57" name="$E$174">
            <a:extLst>
              <a:ext uri="{FF2B5EF4-FFF2-40B4-BE49-F238E27FC236}">
                <a16:creationId xmlns:a16="http://schemas.microsoft.com/office/drawing/2014/main" id="{00000000-0008-0000-0200-0000C12C00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58" name="$E$174">
            <a:extLst>
              <a:ext uri="{FF2B5EF4-FFF2-40B4-BE49-F238E27FC236}">
                <a16:creationId xmlns:a16="http://schemas.microsoft.com/office/drawing/2014/main" id="{00000000-0008-0000-0200-0000C22C0000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59" name="$E$174">
            <a:extLst>
              <a:ext uri="{FF2B5EF4-FFF2-40B4-BE49-F238E27FC236}">
                <a16:creationId xmlns:a16="http://schemas.microsoft.com/office/drawing/2014/main" id="{00000000-0008-0000-0200-0000C32C0000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60" name="$E$174">
            <a:extLst>
              <a:ext uri="{FF2B5EF4-FFF2-40B4-BE49-F238E27FC236}">
                <a16:creationId xmlns:a16="http://schemas.microsoft.com/office/drawing/2014/main" id="{00000000-0008-0000-0200-0000C42C00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61" name="$E$174">
            <a:extLst>
              <a:ext uri="{FF2B5EF4-FFF2-40B4-BE49-F238E27FC236}">
                <a16:creationId xmlns:a16="http://schemas.microsoft.com/office/drawing/2014/main" id="{00000000-0008-0000-0200-0000C52C0000}"/>
              </a:ext>
            </a:extLst>
          </xdr:cNvPr>
          <xdr:cNvSpPr/>
        </xdr:nvSpPr>
        <xdr:spPr>
          <a:xfrm>
            <a:off x="88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62" name="$E$174">
            <a:extLst>
              <a:ext uri="{FF2B5EF4-FFF2-40B4-BE49-F238E27FC236}">
                <a16:creationId xmlns:a16="http://schemas.microsoft.com/office/drawing/2014/main" id="{00000000-0008-0000-0200-0000C62C0000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63" name="$E$174">
            <a:extLst>
              <a:ext uri="{FF2B5EF4-FFF2-40B4-BE49-F238E27FC236}">
                <a16:creationId xmlns:a16="http://schemas.microsoft.com/office/drawing/2014/main" id="{00000000-0008-0000-0200-0000C72C0000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64" name="$E$174">
            <a:extLst>
              <a:ext uri="{FF2B5EF4-FFF2-40B4-BE49-F238E27FC236}">
                <a16:creationId xmlns:a16="http://schemas.microsoft.com/office/drawing/2014/main" id="{00000000-0008-0000-0200-0000C82C0000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65" name="$E$174">
            <a:extLst>
              <a:ext uri="{FF2B5EF4-FFF2-40B4-BE49-F238E27FC236}">
                <a16:creationId xmlns:a16="http://schemas.microsoft.com/office/drawing/2014/main" id="{00000000-0008-0000-0200-0000C92C0000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66" name="$E$174">
            <a:extLst>
              <a:ext uri="{FF2B5EF4-FFF2-40B4-BE49-F238E27FC236}">
                <a16:creationId xmlns:a16="http://schemas.microsoft.com/office/drawing/2014/main" id="{00000000-0008-0000-0200-0000CA2C0000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67" name="$E$174">
            <a:extLst>
              <a:ext uri="{FF2B5EF4-FFF2-40B4-BE49-F238E27FC236}">
                <a16:creationId xmlns:a16="http://schemas.microsoft.com/office/drawing/2014/main" id="{00000000-0008-0000-0200-0000CB2C00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68" name="$E$174">
            <a:extLst>
              <a:ext uri="{FF2B5EF4-FFF2-40B4-BE49-F238E27FC236}">
                <a16:creationId xmlns:a16="http://schemas.microsoft.com/office/drawing/2014/main" id="{00000000-0008-0000-0200-0000CC2C0000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69" name="$E$174">
            <a:extLst>
              <a:ext uri="{FF2B5EF4-FFF2-40B4-BE49-F238E27FC236}">
                <a16:creationId xmlns:a16="http://schemas.microsoft.com/office/drawing/2014/main" id="{00000000-0008-0000-0200-0000CD2C00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70" name="$E$174">
            <a:extLst>
              <a:ext uri="{FF2B5EF4-FFF2-40B4-BE49-F238E27FC236}">
                <a16:creationId xmlns:a16="http://schemas.microsoft.com/office/drawing/2014/main" id="{00000000-0008-0000-0200-0000CE2C00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71" name="$E$174">
            <a:extLst>
              <a:ext uri="{FF2B5EF4-FFF2-40B4-BE49-F238E27FC236}">
                <a16:creationId xmlns:a16="http://schemas.microsoft.com/office/drawing/2014/main" id="{00000000-0008-0000-0200-0000CF2C0000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72" name="$E$174">
            <a:extLst>
              <a:ext uri="{FF2B5EF4-FFF2-40B4-BE49-F238E27FC236}">
                <a16:creationId xmlns:a16="http://schemas.microsoft.com/office/drawing/2014/main" id="{00000000-0008-0000-0200-0000D02C0000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73" name="$E$174">
            <a:extLst>
              <a:ext uri="{FF2B5EF4-FFF2-40B4-BE49-F238E27FC236}">
                <a16:creationId xmlns:a16="http://schemas.microsoft.com/office/drawing/2014/main" id="{00000000-0008-0000-0200-0000D12C0000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74" name="$E$174">
            <a:extLst>
              <a:ext uri="{FF2B5EF4-FFF2-40B4-BE49-F238E27FC236}">
                <a16:creationId xmlns:a16="http://schemas.microsoft.com/office/drawing/2014/main" id="{00000000-0008-0000-0200-0000D22C0000}"/>
              </a:ext>
            </a:extLst>
          </xdr:cNvPr>
          <xdr:cNvSpPr/>
        </xdr:nvSpPr>
        <xdr:spPr>
          <a:xfrm>
            <a:off x="12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75" name="$E$174">
            <a:extLst>
              <a:ext uri="{FF2B5EF4-FFF2-40B4-BE49-F238E27FC236}">
                <a16:creationId xmlns:a16="http://schemas.microsoft.com/office/drawing/2014/main" id="{00000000-0008-0000-0200-0000D32C0000}"/>
              </a:ext>
            </a:extLst>
          </xdr:cNvPr>
          <xdr:cNvSpPr/>
        </xdr:nvSpPr>
        <xdr:spPr>
          <a:xfrm>
            <a:off x="25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76" name="$E$174">
            <a:extLst>
              <a:ext uri="{FF2B5EF4-FFF2-40B4-BE49-F238E27FC236}">
                <a16:creationId xmlns:a16="http://schemas.microsoft.com/office/drawing/2014/main" id="{00000000-0008-0000-0200-0000D42C0000}"/>
              </a:ext>
            </a:extLst>
          </xdr:cNvPr>
          <xdr:cNvSpPr/>
        </xdr:nvSpPr>
        <xdr:spPr>
          <a:xfrm>
            <a:off x="38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77" name="$E$174">
            <a:extLst>
              <a:ext uri="{FF2B5EF4-FFF2-40B4-BE49-F238E27FC236}">
                <a16:creationId xmlns:a16="http://schemas.microsoft.com/office/drawing/2014/main" id="{00000000-0008-0000-0200-0000D52C0000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78" name="$E$174">
            <a:extLst>
              <a:ext uri="{FF2B5EF4-FFF2-40B4-BE49-F238E27FC236}">
                <a16:creationId xmlns:a16="http://schemas.microsoft.com/office/drawing/2014/main" id="{00000000-0008-0000-0200-0000D62C0000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79" name="$E$174">
            <a:extLst>
              <a:ext uri="{FF2B5EF4-FFF2-40B4-BE49-F238E27FC236}">
                <a16:creationId xmlns:a16="http://schemas.microsoft.com/office/drawing/2014/main" id="{00000000-0008-0000-0200-0000D72C0000}"/>
              </a:ext>
            </a:extLst>
          </xdr:cNvPr>
          <xdr:cNvSpPr/>
        </xdr:nvSpPr>
        <xdr:spPr>
          <a:xfrm>
            <a:off x="139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80" name="$E$174">
            <a:extLst>
              <a:ext uri="{FF2B5EF4-FFF2-40B4-BE49-F238E27FC236}">
                <a16:creationId xmlns:a16="http://schemas.microsoft.com/office/drawing/2014/main" id="{00000000-0008-0000-0200-0000D82C0000}"/>
              </a:ext>
            </a:extLst>
          </xdr:cNvPr>
          <xdr:cNvSpPr/>
        </xdr:nvSpPr>
        <xdr:spPr>
          <a:xfrm>
            <a:off x="152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81" name="$E$174">
            <a:extLst>
              <a:ext uri="{FF2B5EF4-FFF2-40B4-BE49-F238E27FC236}">
                <a16:creationId xmlns:a16="http://schemas.microsoft.com/office/drawing/2014/main" id="{00000000-0008-0000-0200-0000D92C00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82" name="$E$174">
            <a:extLst>
              <a:ext uri="{FF2B5EF4-FFF2-40B4-BE49-F238E27FC236}">
                <a16:creationId xmlns:a16="http://schemas.microsoft.com/office/drawing/2014/main" id="{00000000-0008-0000-0200-0000DA2C0000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83" name="$E$174">
            <a:extLst>
              <a:ext uri="{FF2B5EF4-FFF2-40B4-BE49-F238E27FC236}">
                <a16:creationId xmlns:a16="http://schemas.microsoft.com/office/drawing/2014/main" id="{00000000-0008-0000-0200-0000DB2C00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84" name="$E$174">
            <a:extLst>
              <a:ext uri="{FF2B5EF4-FFF2-40B4-BE49-F238E27FC236}">
                <a16:creationId xmlns:a16="http://schemas.microsoft.com/office/drawing/2014/main" id="{00000000-0008-0000-0200-0000DC2C00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85" name="$E$174">
            <a:extLst>
              <a:ext uri="{FF2B5EF4-FFF2-40B4-BE49-F238E27FC236}">
                <a16:creationId xmlns:a16="http://schemas.microsoft.com/office/drawing/2014/main" id="{00000000-0008-0000-0200-0000DD2C0000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86" name="$E$174">
            <a:extLst>
              <a:ext uri="{FF2B5EF4-FFF2-40B4-BE49-F238E27FC236}">
                <a16:creationId xmlns:a16="http://schemas.microsoft.com/office/drawing/2014/main" id="{00000000-0008-0000-0200-0000DE2C0000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87" name="$E$174">
            <a:extLst>
              <a:ext uri="{FF2B5EF4-FFF2-40B4-BE49-F238E27FC236}">
                <a16:creationId xmlns:a16="http://schemas.microsoft.com/office/drawing/2014/main" id="{00000000-0008-0000-0200-0000DF2C0000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88" name="$E$174">
            <a:extLst>
              <a:ext uri="{FF2B5EF4-FFF2-40B4-BE49-F238E27FC236}">
                <a16:creationId xmlns:a16="http://schemas.microsoft.com/office/drawing/2014/main" id="{00000000-0008-0000-0200-0000E02C0000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89" name="$E$174">
            <a:extLst>
              <a:ext uri="{FF2B5EF4-FFF2-40B4-BE49-F238E27FC236}">
                <a16:creationId xmlns:a16="http://schemas.microsoft.com/office/drawing/2014/main" id="{00000000-0008-0000-0200-0000E12C00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90" name="$E$174">
            <a:extLst>
              <a:ext uri="{FF2B5EF4-FFF2-40B4-BE49-F238E27FC236}">
                <a16:creationId xmlns:a16="http://schemas.microsoft.com/office/drawing/2014/main" id="{00000000-0008-0000-0200-0000E22C0000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91" name="$E$174">
            <a:extLst>
              <a:ext uri="{FF2B5EF4-FFF2-40B4-BE49-F238E27FC236}">
                <a16:creationId xmlns:a16="http://schemas.microsoft.com/office/drawing/2014/main" id="{00000000-0008-0000-0200-0000E32C0000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92" name="$E$174">
            <a:extLst>
              <a:ext uri="{FF2B5EF4-FFF2-40B4-BE49-F238E27FC236}">
                <a16:creationId xmlns:a16="http://schemas.microsoft.com/office/drawing/2014/main" id="{00000000-0008-0000-0200-0000E42C0000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93" name="$E$174">
            <a:extLst>
              <a:ext uri="{FF2B5EF4-FFF2-40B4-BE49-F238E27FC236}">
                <a16:creationId xmlns:a16="http://schemas.microsoft.com/office/drawing/2014/main" id="{00000000-0008-0000-0200-0000E52C00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94" name="$E$174">
            <a:extLst>
              <a:ext uri="{FF2B5EF4-FFF2-40B4-BE49-F238E27FC236}">
                <a16:creationId xmlns:a16="http://schemas.microsoft.com/office/drawing/2014/main" id="{00000000-0008-0000-0200-0000E62C00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95" name="$E$174">
            <a:extLst>
              <a:ext uri="{FF2B5EF4-FFF2-40B4-BE49-F238E27FC236}">
                <a16:creationId xmlns:a16="http://schemas.microsoft.com/office/drawing/2014/main" id="{00000000-0008-0000-0200-0000E72C00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96" name="$E$174">
            <a:extLst>
              <a:ext uri="{FF2B5EF4-FFF2-40B4-BE49-F238E27FC236}">
                <a16:creationId xmlns:a16="http://schemas.microsoft.com/office/drawing/2014/main" id="{00000000-0008-0000-0200-0000E82C00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97" name="$E$174">
            <a:extLst>
              <a:ext uri="{FF2B5EF4-FFF2-40B4-BE49-F238E27FC236}">
                <a16:creationId xmlns:a16="http://schemas.microsoft.com/office/drawing/2014/main" id="{00000000-0008-0000-0200-0000E92C00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98" name="$E$174">
            <a:extLst>
              <a:ext uri="{FF2B5EF4-FFF2-40B4-BE49-F238E27FC236}">
                <a16:creationId xmlns:a16="http://schemas.microsoft.com/office/drawing/2014/main" id="{00000000-0008-0000-0200-0000EA2C0000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499" name="$E$174">
            <a:extLst>
              <a:ext uri="{FF2B5EF4-FFF2-40B4-BE49-F238E27FC236}">
                <a16:creationId xmlns:a16="http://schemas.microsoft.com/office/drawing/2014/main" id="{00000000-0008-0000-0200-0000EB2C00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00" name="$E$174">
            <a:extLst>
              <a:ext uri="{FF2B5EF4-FFF2-40B4-BE49-F238E27FC236}">
                <a16:creationId xmlns:a16="http://schemas.microsoft.com/office/drawing/2014/main" id="{00000000-0008-0000-0200-0000EC2C00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01" name="$E$174">
            <a:extLst>
              <a:ext uri="{FF2B5EF4-FFF2-40B4-BE49-F238E27FC236}">
                <a16:creationId xmlns:a16="http://schemas.microsoft.com/office/drawing/2014/main" id="{00000000-0008-0000-0200-0000ED2C0000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02" name="$E$174">
            <a:extLst>
              <a:ext uri="{FF2B5EF4-FFF2-40B4-BE49-F238E27FC236}">
                <a16:creationId xmlns:a16="http://schemas.microsoft.com/office/drawing/2014/main" id="{00000000-0008-0000-0200-0000EE2C0000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03" name="$E$174">
            <a:extLst>
              <a:ext uri="{FF2B5EF4-FFF2-40B4-BE49-F238E27FC236}">
                <a16:creationId xmlns:a16="http://schemas.microsoft.com/office/drawing/2014/main" id="{00000000-0008-0000-0200-0000EF2C00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04" name="$E$174">
            <a:extLst>
              <a:ext uri="{FF2B5EF4-FFF2-40B4-BE49-F238E27FC236}">
                <a16:creationId xmlns:a16="http://schemas.microsoft.com/office/drawing/2014/main" id="{00000000-0008-0000-0200-0000F02C0000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05" name="$E$174">
            <a:extLst>
              <a:ext uri="{FF2B5EF4-FFF2-40B4-BE49-F238E27FC236}">
                <a16:creationId xmlns:a16="http://schemas.microsoft.com/office/drawing/2014/main" id="{00000000-0008-0000-0200-0000F12C00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06" name="$E$174">
            <a:extLst>
              <a:ext uri="{FF2B5EF4-FFF2-40B4-BE49-F238E27FC236}">
                <a16:creationId xmlns:a16="http://schemas.microsoft.com/office/drawing/2014/main" id="{00000000-0008-0000-0200-0000F22C0000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07" name="$E$174">
            <a:extLst>
              <a:ext uri="{FF2B5EF4-FFF2-40B4-BE49-F238E27FC236}">
                <a16:creationId xmlns:a16="http://schemas.microsoft.com/office/drawing/2014/main" id="{00000000-0008-0000-0200-0000F32C0000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08" name="$E$174">
            <a:extLst>
              <a:ext uri="{FF2B5EF4-FFF2-40B4-BE49-F238E27FC236}">
                <a16:creationId xmlns:a16="http://schemas.microsoft.com/office/drawing/2014/main" id="{00000000-0008-0000-0200-0000F42C0000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09" name="$E$174">
            <a:extLst>
              <a:ext uri="{FF2B5EF4-FFF2-40B4-BE49-F238E27FC236}">
                <a16:creationId xmlns:a16="http://schemas.microsoft.com/office/drawing/2014/main" id="{00000000-0008-0000-0200-0000F52C00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10" name="$E$174">
            <a:extLst>
              <a:ext uri="{FF2B5EF4-FFF2-40B4-BE49-F238E27FC236}">
                <a16:creationId xmlns:a16="http://schemas.microsoft.com/office/drawing/2014/main" id="{00000000-0008-0000-0200-0000F62C0000}"/>
              </a:ext>
            </a:extLst>
          </xdr:cNvPr>
          <xdr:cNvSpPr/>
        </xdr:nvSpPr>
        <xdr:spPr>
          <a:xfrm>
            <a:off x="25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11" name="$E$174">
            <a:extLst>
              <a:ext uri="{FF2B5EF4-FFF2-40B4-BE49-F238E27FC236}">
                <a16:creationId xmlns:a16="http://schemas.microsoft.com/office/drawing/2014/main" id="{00000000-0008-0000-0200-0000F72C0000}"/>
              </a:ext>
            </a:extLst>
          </xdr:cNvPr>
          <xdr:cNvSpPr/>
        </xdr:nvSpPr>
        <xdr:spPr>
          <a:xfrm>
            <a:off x="50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12" name="$E$174">
            <a:extLst>
              <a:ext uri="{FF2B5EF4-FFF2-40B4-BE49-F238E27FC236}">
                <a16:creationId xmlns:a16="http://schemas.microsoft.com/office/drawing/2014/main" id="{00000000-0008-0000-0200-0000F82C0000}"/>
              </a:ext>
            </a:extLst>
          </xdr:cNvPr>
          <xdr:cNvSpPr/>
        </xdr:nvSpPr>
        <xdr:spPr>
          <a:xfrm>
            <a:off x="63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13" name="$E$174">
            <a:extLst>
              <a:ext uri="{FF2B5EF4-FFF2-40B4-BE49-F238E27FC236}">
                <a16:creationId xmlns:a16="http://schemas.microsoft.com/office/drawing/2014/main" id="{00000000-0008-0000-0200-0000F92C0000}"/>
              </a:ext>
            </a:extLst>
          </xdr:cNvPr>
          <xdr:cNvSpPr/>
        </xdr:nvSpPr>
        <xdr:spPr>
          <a:xfrm>
            <a:off x="127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14" name="$E$174">
            <a:extLst>
              <a:ext uri="{FF2B5EF4-FFF2-40B4-BE49-F238E27FC236}">
                <a16:creationId xmlns:a16="http://schemas.microsoft.com/office/drawing/2014/main" id="{00000000-0008-0000-0200-0000FA2C00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15" name="$E$174">
            <a:extLst>
              <a:ext uri="{FF2B5EF4-FFF2-40B4-BE49-F238E27FC236}">
                <a16:creationId xmlns:a16="http://schemas.microsoft.com/office/drawing/2014/main" id="{00000000-0008-0000-0200-0000FB2C0000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16" name="$E$174">
            <a:extLst>
              <a:ext uri="{FF2B5EF4-FFF2-40B4-BE49-F238E27FC236}">
                <a16:creationId xmlns:a16="http://schemas.microsoft.com/office/drawing/2014/main" id="{00000000-0008-0000-0200-0000FC2C00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17" name="$E$174">
            <a:extLst>
              <a:ext uri="{FF2B5EF4-FFF2-40B4-BE49-F238E27FC236}">
                <a16:creationId xmlns:a16="http://schemas.microsoft.com/office/drawing/2014/main" id="{00000000-0008-0000-0200-0000FD2C00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18" name="$E$174">
            <a:extLst>
              <a:ext uri="{FF2B5EF4-FFF2-40B4-BE49-F238E27FC236}">
                <a16:creationId xmlns:a16="http://schemas.microsoft.com/office/drawing/2014/main" id="{00000000-0008-0000-0200-0000FE2C0000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19" name="$E$174">
            <a:extLst>
              <a:ext uri="{FF2B5EF4-FFF2-40B4-BE49-F238E27FC236}">
                <a16:creationId xmlns:a16="http://schemas.microsoft.com/office/drawing/2014/main" id="{00000000-0008-0000-0200-0000FF2C0000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20" name="$E$174">
            <a:extLst>
              <a:ext uri="{FF2B5EF4-FFF2-40B4-BE49-F238E27FC236}">
                <a16:creationId xmlns:a16="http://schemas.microsoft.com/office/drawing/2014/main" id="{00000000-0008-0000-0200-0000002D00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21" name="$E$174">
            <a:extLst>
              <a:ext uri="{FF2B5EF4-FFF2-40B4-BE49-F238E27FC236}">
                <a16:creationId xmlns:a16="http://schemas.microsoft.com/office/drawing/2014/main" id="{00000000-0008-0000-0200-0000012D0000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22" name="$E$174">
            <a:extLst>
              <a:ext uri="{FF2B5EF4-FFF2-40B4-BE49-F238E27FC236}">
                <a16:creationId xmlns:a16="http://schemas.microsoft.com/office/drawing/2014/main" id="{00000000-0008-0000-0200-0000022D0000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23" name="$E$174">
            <a:extLst>
              <a:ext uri="{FF2B5EF4-FFF2-40B4-BE49-F238E27FC236}">
                <a16:creationId xmlns:a16="http://schemas.microsoft.com/office/drawing/2014/main" id="{00000000-0008-0000-0200-0000032D00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24" name="$E$174">
            <a:extLst>
              <a:ext uri="{FF2B5EF4-FFF2-40B4-BE49-F238E27FC236}">
                <a16:creationId xmlns:a16="http://schemas.microsoft.com/office/drawing/2014/main" id="{00000000-0008-0000-0200-0000042D00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25" name="$E$174">
            <a:extLst>
              <a:ext uri="{FF2B5EF4-FFF2-40B4-BE49-F238E27FC236}">
                <a16:creationId xmlns:a16="http://schemas.microsoft.com/office/drawing/2014/main" id="{00000000-0008-0000-0200-0000052D00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26" name="$E$174">
            <a:extLst>
              <a:ext uri="{FF2B5EF4-FFF2-40B4-BE49-F238E27FC236}">
                <a16:creationId xmlns:a16="http://schemas.microsoft.com/office/drawing/2014/main" id="{00000000-0008-0000-0200-0000062D00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27" name="$E$174">
            <a:extLst>
              <a:ext uri="{FF2B5EF4-FFF2-40B4-BE49-F238E27FC236}">
                <a16:creationId xmlns:a16="http://schemas.microsoft.com/office/drawing/2014/main" id="{00000000-0008-0000-0200-0000072D00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28" name="$E$174">
            <a:extLst>
              <a:ext uri="{FF2B5EF4-FFF2-40B4-BE49-F238E27FC236}">
                <a16:creationId xmlns:a16="http://schemas.microsoft.com/office/drawing/2014/main" id="{00000000-0008-0000-0200-0000082D00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29" name="$E$174">
            <a:extLst>
              <a:ext uri="{FF2B5EF4-FFF2-40B4-BE49-F238E27FC236}">
                <a16:creationId xmlns:a16="http://schemas.microsoft.com/office/drawing/2014/main" id="{00000000-0008-0000-0200-0000092D0000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30" name="$E$174">
            <a:extLst>
              <a:ext uri="{FF2B5EF4-FFF2-40B4-BE49-F238E27FC236}">
                <a16:creationId xmlns:a16="http://schemas.microsoft.com/office/drawing/2014/main" id="{00000000-0008-0000-0200-00000A2D00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31" name="$E$174">
            <a:extLst>
              <a:ext uri="{FF2B5EF4-FFF2-40B4-BE49-F238E27FC236}">
                <a16:creationId xmlns:a16="http://schemas.microsoft.com/office/drawing/2014/main" id="{00000000-0008-0000-0200-00000B2D00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32" name="$E$174">
            <a:extLst>
              <a:ext uri="{FF2B5EF4-FFF2-40B4-BE49-F238E27FC236}">
                <a16:creationId xmlns:a16="http://schemas.microsoft.com/office/drawing/2014/main" id="{00000000-0008-0000-0200-00000C2D00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33" name="$E$174">
            <a:extLst>
              <a:ext uri="{FF2B5EF4-FFF2-40B4-BE49-F238E27FC236}">
                <a16:creationId xmlns:a16="http://schemas.microsoft.com/office/drawing/2014/main" id="{00000000-0008-0000-0200-00000D2D00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34" name="$E$174">
            <a:extLst>
              <a:ext uri="{FF2B5EF4-FFF2-40B4-BE49-F238E27FC236}">
                <a16:creationId xmlns:a16="http://schemas.microsoft.com/office/drawing/2014/main" id="{00000000-0008-0000-0200-00000E2D00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35" name="$E$174">
            <a:extLst>
              <a:ext uri="{FF2B5EF4-FFF2-40B4-BE49-F238E27FC236}">
                <a16:creationId xmlns:a16="http://schemas.microsoft.com/office/drawing/2014/main" id="{00000000-0008-0000-0200-00000F2D0000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36" name="$E$174">
            <a:extLst>
              <a:ext uri="{FF2B5EF4-FFF2-40B4-BE49-F238E27FC236}">
                <a16:creationId xmlns:a16="http://schemas.microsoft.com/office/drawing/2014/main" id="{00000000-0008-0000-0200-0000102D00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37" name="$E$174">
            <a:extLst>
              <a:ext uri="{FF2B5EF4-FFF2-40B4-BE49-F238E27FC236}">
                <a16:creationId xmlns:a16="http://schemas.microsoft.com/office/drawing/2014/main" id="{00000000-0008-0000-0200-0000112D00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38" name="$E$174">
            <a:extLst>
              <a:ext uri="{FF2B5EF4-FFF2-40B4-BE49-F238E27FC236}">
                <a16:creationId xmlns:a16="http://schemas.microsoft.com/office/drawing/2014/main" id="{00000000-0008-0000-0200-0000122D00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39" name="$E$174">
            <a:extLst>
              <a:ext uri="{FF2B5EF4-FFF2-40B4-BE49-F238E27FC236}">
                <a16:creationId xmlns:a16="http://schemas.microsoft.com/office/drawing/2014/main" id="{00000000-0008-0000-0200-0000132D0000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40" name="$E$174">
            <a:extLst>
              <a:ext uri="{FF2B5EF4-FFF2-40B4-BE49-F238E27FC236}">
                <a16:creationId xmlns:a16="http://schemas.microsoft.com/office/drawing/2014/main" id="{00000000-0008-0000-0200-0000142D00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41" name="$E$174">
            <a:extLst>
              <a:ext uri="{FF2B5EF4-FFF2-40B4-BE49-F238E27FC236}">
                <a16:creationId xmlns:a16="http://schemas.microsoft.com/office/drawing/2014/main" id="{00000000-0008-0000-0200-0000152D0000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42" name="$E$174">
            <a:extLst>
              <a:ext uri="{FF2B5EF4-FFF2-40B4-BE49-F238E27FC236}">
                <a16:creationId xmlns:a16="http://schemas.microsoft.com/office/drawing/2014/main" id="{00000000-0008-0000-0200-0000162D0000}"/>
              </a:ext>
            </a:extLst>
          </xdr:cNvPr>
          <xdr:cNvSpPr/>
        </xdr:nvSpPr>
        <xdr:spPr>
          <a:xfrm>
            <a:off x="127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43" name="$E$174">
            <a:extLst>
              <a:ext uri="{FF2B5EF4-FFF2-40B4-BE49-F238E27FC236}">
                <a16:creationId xmlns:a16="http://schemas.microsoft.com/office/drawing/2014/main" id="{00000000-0008-0000-0200-0000172D00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44" name="$E$174">
            <a:extLst>
              <a:ext uri="{FF2B5EF4-FFF2-40B4-BE49-F238E27FC236}">
                <a16:creationId xmlns:a16="http://schemas.microsoft.com/office/drawing/2014/main" id="{00000000-0008-0000-0200-0000182D0000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45" name="$E$174">
            <a:extLst>
              <a:ext uri="{FF2B5EF4-FFF2-40B4-BE49-F238E27FC236}">
                <a16:creationId xmlns:a16="http://schemas.microsoft.com/office/drawing/2014/main" id="{00000000-0008-0000-0200-0000192D00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46" name="$E$174">
            <a:extLst>
              <a:ext uri="{FF2B5EF4-FFF2-40B4-BE49-F238E27FC236}">
                <a16:creationId xmlns:a16="http://schemas.microsoft.com/office/drawing/2014/main" id="{00000000-0008-0000-0200-00001A2D0000}"/>
              </a:ext>
            </a:extLst>
          </xdr:cNvPr>
          <xdr:cNvSpPr/>
        </xdr:nvSpPr>
        <xdr:spPr>
          <a:xfrm>
            <a:off x="177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47" name="$E$174">
            <a:extLst>
              <a:ext uri="{FF2B5EF4-FFF2-40B4-BE49-F238E27FC236}">
                <a16:creationId xmlns:a16="http://schemas.microsoft.com/office/drawing/2014/main" id="{00000000-0008-0000-0200-00001B2D00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48" name="$E$174">
            <a:extLst>
              <a:ext uri="{FF2B5EF4-FFF2-40B4-BE49-F238E27FC236}">
                <a16:creationId xmlns:a16="http://schemas.microsoft.com/office/drawing/2014/main" id="{00000000-0008-0000-0200-00001C2D00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49" name="$E$174">
            <a:extLst>
              <a:ext uri="{FF2B5EF4-FFF2-40B4-BE49-F238E27FC236}">
                <a16:creationId xmlns:a16="http://schemas.microsoft.com/office/drawing/2014/main" id="{00000000-0008-0000-0200-00001D2D00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50" name="$E$174">
            <a:extLst>
              <a:ext uri="{FF2B5EF4-FFF2-40B4-BE49-F238E27FC236}">
                <a16:creationId xmlns:a16="http://schemas.microsoft.com/office/drawing/2014/main" id="{00000000-0008-0000-0200-00001E2D0000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51" name="$E$174">
            <a:extLst>
              <a:ext uri="{FF2B5EF4-FFF2-40B4-BE49-F238E27FC236}">
                <a16:creationId xmlns:a16="http://schemas.microsoft.com/office/drawing/2014/main" id="{00000000-0008-0000-0200-00001F2D0000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52" name="$E$174">
            <a:extLst>
              <a:ext uri="{FF2B5EF4-FFF2-40B4-BE49-F238E27FC236}">
                <a16:creationId xmlns:a16="http://schemas.microsoft.com/office/drawing/2014/main" id="{00000000-0008-0000-0200-0000202D0000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53" name="$E$174">
            <a:extLst>
              <a:ext uri="{FF2B5EF4-FFF2-40B4-BE49-F238E27FC236}">
                <a16:creationId xmlns:a16="http://schemas.microsoft.com/office/drawing/2014/main" id="{00000000-0008-0000-0200-0000212D0000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54" name="$E$174">
            <a:extLst>
              <a:ext uri="{FF2B5EF4-FFF2-40B4-BE49-F238E27FC236}">
                <a16:creationId xmlns:a16="http://schemas.microsoft.com/office/drawing/2014/main" id="{00000000-0008-0000-0200-0000222D0000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55" name="$E$174">
            <a:extLst>
              <a:ext uri="{FF2B5EF4-FFF2-40B4-BE49-F238E27FC236}">
                <a16:creationId xmlns:a16="http://schemas.microsoft.com/office/drawing/2014/main" id="{00000000-0008-0000-0200-0000232D00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56" name="$E$174">
            <a:extLst>
              <a:ext uri="{FF2B5EF4-FFF2-40B4-BE49-F238E27FC236}">
                <a16:creationId xmlns:a16="http://schemas.microsoft.com/office/drawing/2014/main" id="{00000000-0008-0000-0200-0000242D0000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57" name="$E$174">
            <a:extLst>
              <a:ext uri="{FF2B5EF4-FFF2-40B4-BE49-F238E27FC236}">
                <a16:creationId xmlns:a16="http://schemas.microsoft.com/office/drawing/2014/main" id="{00000000-0008-0000-0200-0000252D00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58" name="$E$174">
            <a:extLst>
              <a:ext uri="{FF2B5EF4-FFF2-40B4-BE49-F238E27FC236}">
                <a16:creationId xmlns:a16="http://schemas.microsoft.com/office/drawing/2014/main" id="{00000000-0008-0000-0200-0000262D00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59" name="$E$174">
            <a:extLst>
              <a:ext uri="{FF2B5EF4-FFF2-40B4-BE49-F238E27FC236}">
                <a16:creationId xmlns:a16="http://schemas.microsoft.com/office/drawing/2014/main" id="{00000000-0008-0000-0200-0000272D00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60" name="$E$174">
            <a:extLst>
              <a:ext uri="{FF2B5EF4-FFF2-40B4-BE49-F238E27FC236}">
                <a16:creationId xmlns:a16="http://schemas.microsoft.com/office/drawing/2014/main" id="{00000000-0008-0000-0200-0000282D0000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61" name="$E$174">
            <a:extLst>
              <a:ext uri="{FF2B5EF4-FFF2-40B4-BE49-F238E27FC236}">
                <a16:creationId xmlns:a16="http://schemas.microsoft.com/office/drawing/2014/main" id="{00000000-0008-0000-0200-0000292D00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62" name="$E$174">
            <a:extLst>
              <a:ext uri="{FF2B5EF4-FFF2-40B4-BE49-F238E27FC236}">
                <a16:creationId xmlns:a16="http://schemas.microsoft.com/office/drawing/2014/main" id="{00000000-0008-0000-0200-00002A2D0000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63" name="$E$174">
            <a:extLst>
              <a:ext uri="{FF2B5EF4-FFF2-40B4-BE49-F238E27FC236}">
                <a16:creationId xmlns:a16="http://schemas.microsoft.com/office/drawing/2014/main" id="{00000000-0008-0000-0200-00002B2D0000}"/>
              </a:ext>
            </a:extLst>
          </xdr:cNvPr>
          <xdr:cNvSpPr/>
        </xdr:nvSpPr>
        <xdr:spPr>
          <a:xfrm>
            <a:off x="114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64" name="$E$174">
            <a:extLst>
              <a:ext uri="{FF2B5EF4-FFF2-40B4-BE49-F238E27FC236}">
                <a16:creationId xmlns:a16="http://schemas.microsoft.com/office/drawing/2014/main" id="{00000000-0008-0000-0200-00002C2D00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65" name="$E$174">
            <a:extLst>
              <a:ext uri="{FF2B5EF4-FFF2-40B4-BE49-F238E27FC236}">
                <a16:creationId xmlns:a16="http://schemas.microsoft.com/office/drawing/2014/main" id="{00000000-0008-0000-0200-00002D2D00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66" name="$E$174">
            <a:extLst>
              <a:ext uri="{FF2B5EF4-FFF2-40B4-BE49-F238E27FC236}">
                <a16:creationId xmlns:a16="http://schemas.microsoft.com/office/drawing/2014/main" id="{00000000-0008-0000-0200-00002E2D00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67" name="$E$174">
            <a:extLst>
              <a:ext uri="{FF2B5EF4-FFF2-40B4-BE49-F238E27FC236}">
                <a16:creationId xmlns:a16="http://schemas.microsoft.com/office/drawing/2014/main" id="{00000000-0008-0000-0200-00002F2D0000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68" name="$E$174">
            <a:extLst>
              <a:ext uri="{FF2B5EF4-FFF2-40B4-BE49-F238E27FC236}">
                <a16:creationId xmlns:a16="http://schemas.microsoft.com/office/drawing/2014/main" id="{00000000-0008-0000-0200-0000302D00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69" name="$E$174">
            <a:extLst>
              <a:ext uri="{FF2B5EF4-FFF2-40B4-BE49-F238E27FC236}">
                <a16:creationId xmlns:a16="http://schemas.microsoft.com/office/drawing/2014/main" id="{00000000-0008-0000-0200-0000312D0000}"/>
              </a:ext>
            </a:extLst>
          </xdr:cNvPr>
          <xdr:cNvSpPr/>
        </xdr:nvSpPr>
        <xdr:spPr>
          <a:xfrm>
            <a:off x="228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70" name="$E$174">
            <a:extLst>
              <a:ext uri="{FF2B5EF4-FFF2-40B4-BE49-F238E27FC236}">
                <a16:creationId xmlns:a16="http://schemas.microsoft.com/office/drawing/2014/main" id="{00000000-0008-0000-0200-0000322D0000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71" name="$E$174">
            <a:extLst>
              <a:ext uri="{FF2B5EF4-FFF2-40B4-BE49-F238E27FC236}">
                <a16:creationId xmlns:a16="http://schemas.microsoft.com/office/drawing/2014/main" id="{00000000-0008-0000-0200-0000332D00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72" name="$E$174">
            <a:extLst>
              <a:ext uri="{FF2B5EF4-FFF2-40B4-BE49-F238E27FC236}">
                <a16:creationId xmlns:a16="http://schemas.microsoft.com/office/drawing/2014/main" id="{00000000-0008-0000-0200-0000342D0000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73" name="$E$174">
            <a:extLst>
              <a:ext uri="{FF2B5EF4-FFF2-40B4-BE49-F238E27FC236}">
                <a16:creationId xmlns:a16="http://schemas.microsoft.com/office/drawing/2014/main" id="{00000000-0008-0000-0200-0000352D00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74" name="$E$174">
            <a:extLst>
              <a:ext uri="{FF2B5EF4-FFF2-40B4-BE49-F238E27FC236}">
                <a16:creationId xmlns:a16="http://schemas.microsoft.com/office/drawing/2014/main" id="{00000000-0008-0000-0200-0000362D00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75" name="$E$174">
            <a:extLst>
              <a:ext uri="{FF2B5EF4-FFF2-40B4-BE49-F238E27FC236}">
                <a16:creationId xmlns:a16="http://schemas.microsoft.com/office/drawing/2014/main" id="{00000000-0008-0000-0200-0000372D0000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76" name="$E$174">
            <a:extLst>
              <a:ext uri="{FF2B5EF4-FFF2-40B4-BE49-F238E27FC236}">
                <a16:creationId xmlns:a16="http://schemas.microsoft.com/office/drawing/2014/main" id="{00000000-0008-0000-0200-0000382D0000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77" name="$E$174">
            <a:extLst>
              <a:ext uri="{FF2B5EF4-FFF2-40B4-BE49-F238E27FC236}">
                <a16:creationId xmlns:a16="http://schemas.microsoft.com/office/drawing/2014/main" id="{00000000-0008-0000-0200-0000392D00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78" name="$E$174">
            <a:extLst>
              <a:ext uri="{FF2B5EF4-FFF2-40B4-BE49-F238E27FC236}">
                <a16:creationId xmlns:a16="http://schemas.microsoft.com/office/drawing/2014/main" id="{00000000-0008-0000-0200-00003A2D00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79" name="$E$174">
            <a:extLst>
              <a:ext uri="{FF2B5EF4-FFF2-40B4-BE49-F238E27FC236}">
                <a16:creationId xmlns:a16="http://schemas.microsoft.com/office/drawing/2014/main" id="{00000000-0008-0000-0200-00003B2D00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80" name="$E$174">
            <a:extLst>
              <a:ext uri="{FF2B5EF4-FFF2-40B4-BE49-F238E27FC236}">
                <a16:creationId xmlns:a16="http://schemas.microsoft.com/office/drawing/2014/main" id="{00000000-0008-0000-0200-00003C2D00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81" name="$E$174">
            <a:extLst>
              <a:ext uri="{FF2B5EF4-FFF2-40B4-BE49-F238E27FC236}">
                <a16:creationId xmlns:a16="http://schemas.microsoft.com/office/drawing/2014/main" id="{00000000-0008-0000-0200-00003D2D0000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82" name="$E$174">
            <a:extLst>
              <a:ext uri="{FF2B5EF4-FFF2-40B4-BE49-F238E27FC236}">
                <a16:creationId xmlns:a16="http://schemas.microsoft.com/office/drawing/2014/main" id="{00000000-0008-0000-0200-00003E2D0000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83" name="$E$174">
            <a:extLst>
              <a:ext uri="{FF2B5EF4-FFF2-40B4-BE49-F238E27FC236}">
                <a16:creationId xmlns:a16="http://schemas.microsoft.com/office/drawing/2014/main" id="{00000000-0008-0000-0200-00003F2D00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84" name="$E$174">
            <a:extLst>
              <a:ext uri="{FF2B5EF4-FFF2-40B4-BE49-F238E27FC236}">
                <a16:creationId xmlns:a16="http://schemas.microsoft.com/office/drawing/2014/main" id="{00000000-0008-0000-0200-0000402D0000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85" name="$E$174">
            <a:extLst>
              <a:ext uri="{FF2B5EF4-FFF2-40B4-BE49-F238E27FC236}">
                <a16:creationId xmlns:a16="http://schemas.microsoft.com/office/drawing/2014/main" id="{00000000-0008-0000-0200-0000412D0000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86" name="$E$174">
            <a:extLst>
              <a:ext uri="{FF2B5EF4-FFF2-40B4-BE49-F238E27FC236}">
                <a16:creationId xmlns:a16="http://schemas.microsoft.com/office/drawing/2014/main" id="{00000000-0008-0000-0200-0000422D0000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87" name="$E$174">
            <a:extLst>
              <a:ext uri="{FF2B5EF4-FFF2-40B4-BE49-F238E27FC236}">
                <a16:creationId xmlns:a16="http://schemas.microsoft.com/office/drawing/2014/main" id="{00000000-0008-0000-0200-0000432D0000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88" name="$E$174">
            <a:extLst>
              <a:ext uri="{FF2B5EF4-FFF2-40B4-BE49-F238E27FC236}">
                <a16:creationId xmlns:a16="http://schemas.microsoft.com/office/drawing/2014/main" id="{00000000-0008-0000-0200-0000442D0000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89" name="$E$174">
            <a:extLst>
              <a:ext uri="{FF2B5EF4-FFF2-40B4-BE49-F238E27FC236}">
                <a16:creationId xmlns:a16="http://schemas.microsoft.com/office/drawing/2014/main" id="{00000000-0008-0000-0200-0000452D0000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90" name="$E$174">
            <a:extLst>
              <a:ext uri="{FF2B5EF4-FFF2-40B4-BE49-F238E27FC236}">
                <a16:creationId xmlns:a16="http://schemas.microsoft.com/office/drawing/2014/main" id="{00000000-0008-0000-0200-0000462D0000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91" name="$E$174">
            <a:extLst>
              <a:ext uri="{FF2B5EF4-FFF2-40B4-BE49-F238E27FC236}">
                <a16:creationId xmlns:a16="http://schemas.microsoft.com/office/drawing/2014/main" id="{00000000-0008-0000-0200-0000472D0000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92" name="$E$174">
            <a:extLst>
              <a:ext uri="{FF2B5EF4-FFF2-40B4-BE49-F238E27FC236}">
                <a16:creationId xmlns:a16="http://schemas.microsoft.com/office/drawing/2014/main" id="{00000000-0008-0000-0200-0000482D00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93" name="$E$174">
            <a:extLst>
              <a:ext uri="{FF2B5EF4-FFF2-40B4-BE49-F238E27FC236}">
                <a16:creationId xmlns:a16="http://schemas.microsoft.com/office/drawing/2014/main" id="{00000000-0008-0000-0200-0000492D00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94" name="$E$174">
            <a:extLst>
              <a:ext uri="{FF2B5EF4-FFF2-40B4-BE49-F238E27FC236}">
                <a16:creationId xmlns:a16="http://schemas.microsoft.com/office/drawing/2014/main" id="{00000000-0008-0000-0200-00004A2D00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95" name="$E$174">
            <a:extLst>
              <a:ext uri="{FF2B5EF4-FFF2-40B4-BE49-F238E27FC236}">
                <a16:creationId xmlns:a16="http://schemas.microsoft.com/office/drawing/2014/main" id="{00000000-0008-0000-0200-00004B2D00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96" name="$E$174">
            <a:extLst>
              <a:ext uri="{FF2B5EF4-FFF2-40B4-BE49-F238E27FC236}">
                <a16:creationId xmlns:a16="http://schemas.microsoft.com/office/drawing/2014/main" id="{00000000-0008-0000-0200-00004C2D00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97" name="$E$174">
            <a:extLst>
              <a:ext uri="{FF2B5EF4-FFF2-40B4-BE49-F238E27FC236}">
                <a16:creationId xmlns:a16="http://schemas.microsoft.com/office/drawing/2014/main" id="{00000000-0008-0000-0200-00004D2D00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98" name="$E$174">
            <a:extLst>
              <a:ext uri="{FF2B5EF4-FFF2-40B4-BE49-F238E27FC236}">
                <a16:creationId xmlns:a16="http://schemas.microsoft.com/office/drawing/2014/main" id="{00000000-0008-0000-0200-00004E2D00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599" name="$E$174">
            <a:extLst>
              <a:ext uri="{FF2B5EF4-FFF2-40B4-BE49-F238E27FC236}">
                <a16:creationId xmlns:a16="http://schemas.microsoft.com/office/drawing/2014/main" id="{00000000-0008-0000-0200-00004F2D00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00" name="$E$174">
            <a:extLst>
              <a:ext uri="{FF2B5EF4-FFF2-40B4-BE49-F238E27FC236}">
                <a16:creationId xmlns:a16="http://schemas.microsoft.com/office/drawing/2014/main" id="{00000000-0008-0000-0200-0000502D00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01" name="$E$174">
            <a:extLst>
              <a:ext uri="{FF2B5EF4-FFF2-40B4-BE49-F238E27FC236}">
                <a16:creationId xmlns:a16="http://schemas.microsoft.com/office/drawing/2014/main" id="{00000000-0008-0000-0200-0000512D00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02" name="$E$174">
            <a:extLst>
              <a:ext uri="{FF2B5EF4-FFF2-40B4-BE49-F238E27FC236}">
                <a16:creationId xmlns:a16="http://schemas.microsoft.com/office/drawing/2014/main" id="{00000000-0008-0000-0200-0000522D00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03" name="$E$174">
            <a:extLst>
              <a:ext uri="{FF2B5EF4-FFF2-40B4-BE49-F238E27FC236}">
                <a16:creationId xmlns:a16="http://schemas.microsoft.com/office/drawing/2014/main" id="{00000000-0008-0000-0200-0000532D0000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04" name="$E$174">
            <a:extLst>
              <a:ext uri="{FF2B5EF4-FFF2-40B4-BE49-F238E27FC236}">
                <a16:creationId xmlns:a16="http://schemas.microsoft.com/office/drawing/2014/main" id="{00000000-0008-0000-0200-0000542D00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05" name="$E$174">
            <a:extLst>
              <a:ext uri="{FF2B5EF4-FFF2-40B4-BE49-F238E27FC236}">
                <a16:creationId xmlns:a16="http://schemas.microsoft.com/office/drawing/2014/main" id="{00000000-0008-0000-0200-0000552D0000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06" name="$E$174">
            <a:extLst>
              <a:ext uri="{FF2B5EF4-FFF2-40B4-BE49-F238E27FC236}">
                <a16:creationId xmlns:a16="http://schemas.microsoft.com/office/drawing/2014/main" id="{00000000-0008-0000-0200-0000562D0000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07" name="$E$174">
            <a:extLst>
              <a:ext uri="{FF2B5EF4-FFF2-40B4-BE49-F238E27FC236}">
                <a16:creationId xmlns:a16="http://schemas.microsoft.com/office/drawing/2014/main" id="{00000000-0008-0000-0200-0000572D0000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08" name="$E$174">
            <a:extLst>
              <a:ext uri="{FF2B5EF4-FFF2-40B4-BE49-F238E27FC236}">
                <a16:creationId xmlns:a16="http://schemas.microsoft.com/office/drawing/2014/main" id="{00000000-0008-0000-0200-0000582D0000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09" name="$E$174">
            <a:extLst>
              <a:ext uri="{FF2B5EF4-FFF2-40B4-BE49-F238E27FC236}">
                <a16:creationId xmlns:a16="http://schemas.microsoft.com/office/drawing/2014/main" id="{00000000-0008-0000-0200-0000592D0000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10" name="$E$174">
            <a:extLst>
              <a:ext uri="{FF2B5EF4-FFF2-40B4-BE49-F238E27FC236}">
                <a16:creationId xmlns:a16="http://schemas.microsoft.com/office/drawing/2014/main" id="{00000000-0008-0000-0200-00005A2D0000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11" name="$E$174">
            <a:extLst>
              <a:ext uri="{FF2B5EF4-FFF2-40B4-BE49-F238E27FC236}">
                <a16:creationId xmlns:a16="http://schemas.microsoft.com/office/drawing/2014/main" id="{00000000-0008-0000-0200-00005B2D0000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12" name="$E$174">
            <a:extLst>
              <a:ext uri="{FF2B5EF4-FFF2-40B4-BE49-F238E27FC236}">
                <a16:creationId xmlns:a16="http://schemas.microsoft.com/office/drawing/2014/main" id="{00000000-0008-0000-0200-00005C2D0000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13" name="$E$174">
            <a:extLst>
              <a:ext uri="{FF2B5EF4-FFF2-40B4-BE49-F238E27FC236}">
                <a16:creationId xmlns:a16="http://schemas.microsoft.com/office/drawing/2014/main" id="{00000000-0008-0000-0200-00005D2D0000}"/>
              </a:ext>
            </a:extLst>
          </xdr:cNvPr>
          <xdr:cNvSpPr/>
        </xdr:nvSpPr>
        <xdr:spPr>
          <a:xfrm>
            <a:off x="127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14" name="$E$174">
            <a:extLst>
              <a:ext uri="{FF2B5EF4-FFF2-40B4-BE49-F238E27FC236}">
                <a16:creationId xmlns:a16="http://schemas.microsoft.com/office/drawing/2014/main" id="{00000000-0008-0000-0200-00005E2D0000}"/>
              </a:ext>
            </a:extLst>
          </xdr:cNvPr>
          <xdr:cNvSpPr/>
        </xdr:nvSpPr>
        <xdr:spPr>
          <a:xfrm>
            <a:off x="139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15" name="$E$174">
            <a:extLst>
              <a:ext uri="{FF2B5EF4-FFF2-40B4-BE49-F238E27FC236}">
                <a16:creationId xmlns:a16="http://schemas.microsoft.com/office/drawing/2014/main" id="{00000000-0008-0000-0200-00005F2D0000}"/>
              </a:ext>
            </a:extLst>
          </xdr:cNvPr>
          <xdr:cNvSpPr/>
        </xdr:nvSpPr>
        <xdr:spPr>
          <a:xfrm>
            <a:off x="152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16" name="$E$174">
            <a:extLst>
              <a:ext uri="{FF2B5EF4-FFF2-40B4-BE49-F238E27FC236}">
                <a16:creationId xmlns:a16="http://schemas.microsoft.com/office/drawing/2014/main" id="{00000000-0008-0000-0200-0000602D0000}"/>
              </a:ext>
            </a:extLst>
          </xdr:cNvPr>
          <xdr:cNvSpPr/>
        </xdr:nvSpPr>
        <xdr:spPr>
          <a:xfrm>
            <a:off x="177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17" name="$E$174">
            <a:extLst>
              <a:ext uri="{FF2B5EF4-FFF2-40B4-BE49-F238E27FC236}">
                <a16:creationId xmlns:a16="http://schemas.microsoft.com/office/drawing/2014/main" id="{00000000-0008-0000-0200-0000612D0000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18" name="$E$174">
            <a:extLst>
              <a:ext uri="{FF2B5EF4-FFF2-40B4-BE49-F238E27FC236}">
                <a16:creationId xmlns:a16="http://schemas.microsoft.com/office/drawing/2014/main" id="{00000000-0008-0000-0200-0000622D0000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19" name="$E$174">
            <a:extLst>
              <a:ext uri="{FF2B5EF4-FFF2-40B4-BE49-F238E27FC236}">
                <a16:creationId xmlns:a16="http://schemas.microsoft.com/office/drawing/2014/main" id="{00000000-0008-0000-0200-0000632D0000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20" name="$E$174">
            <a:extLst>
              <a:ext uri="{FF2B5EF4-FFF2-40B4-BE49-F238E27FC236}">
                <a16:creationId xmlns:a16="http://schemas.microsoft.com/office/drawing/2014/main" id="{00000000-0008-0000-0200-0000642D0000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21" name="$E$174">
            <a:extLst>
              <a:ext uri="{FF2B5EF4-FFF2-40B4-BE49-F238E27FC236}">
                <a16:creationId xmlns:a16="http://schemas.microsoft.com/office/drawing/2014/main" id="{00000000-0008-0000-0200-0000652D0000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22" name="$E$174">
            <a:extLst>
              <a:ext uri="{FF2B5EF4-FFF2-40B4-BE49-F238E27FC236}">
                <a16:creationId xmlns:a16="http://schemas.microsoft.com/office/drawing/2014/main" id="{00000000-0008-0000-0200-0000662D0000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23" name="$E$174">
            <a:extLst>
              <a:ext uri="{FF2B5EF4-FFF2-40B4-BE49-F238E27FC236}">
                <a16:creationId xmlns:a16="http://schemas.microsoft.com/office/drawing/2014/main" id="{00000000-0008-0000-0200-0000672D0000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24" name="$E$174">
            <a:extLst>
              <a:ext uri="{FF2B5EF4-FFF2-40B4-BE49-F238E27FC236}">
                <a16:creationId xmlns:a16="http://schemas.microsoft.com/office/drawing/2014/main" id="{00000000-0008-0000-0200-0000682D0000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25" name="$E$174">
            <a:extLst>
              <a:ext uri="{FF2B5EF4-FFF2-40B4-BE49-F238E27FC236}">
                <a16:creationId xmlns:a16="http://schemas.microsoft.com/office/drawing/2014/main" id="{00000000-0008-0000-0200-0000692D0000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26" name="$E$174">
            <a:extLst>
              <a:ext uri="{FF2B5EF4-FFF2-40B4-BE49-F238E27FC236}">
                <a16:creationId xmlns:a16="http://schemas.microsoft.com/office/drawing/2014/main" id="{00000000-0008-0000-0200-00006A2D0000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27" name="$E$174">
            <a:extLst>
              <a:ext uri="{FF2B5EF4-FFF2-40B4-BE49-F238E27FC236}">
                <a16:creationId xmlns:a16="http://schemas.microsoft.com/office/drawing/2014/main" id="{00000000-0008-0000-0200-00006B2D0000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28" name="$E$174">
            <a:extLst>
              <a:ext uri="{FF2B5EF4-FFF2-40B4-BE49-F238E27FC236}">
                <a16:creationId xmlns:a16="http://schemas.microsoft.com/office/drawing/2014/main" id="{00000000-0008-0000-0200-00006C2D0000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29" name="$E$174">
            <a:extLst>
              <a:ext uri="{FF2B5EF4-FFF2-40B4-BE49-F238E27FC236}">
                <a16:creationId xmlns:a16="http://schemas.microsoft.com/office/drawing/2014/main" id="{00000000-0008-0000-0200-00006D2D0000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30" name="$E$174">
            <a:extLst>
              <a:ext uri="{FF2B5EF4-FFF2-40B4-BE49-F238E27FC236}">
                <a16:creationId xmlns:a16="http://schemas.microsoft.com/office/drawing/2014/main" id="{00000000-0008-0000-0200-00006E2D0000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31" name="$E$174">
            <a:extLst>
              <a:ext uri="{FF2B5EF4-FFF2-40B4-BE49-F238E27FC236}">
                <a16:creationId xmlns:a16="http://schemas.microsoft.com/office/drawing/2014/main" id="{00000000-0008-0000-0200-00006F2D0000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32" name="$E$174">
            <a:extLst>
              <a:ext uri="{FF2B5EF4-FFF2-40B4-BE49-F238E27FC236}">
                <a16:creationId xmlns:a16="http://schemas.microsoft.com/office/drawing/2014/main" id="{00000000-0008-0000-0200-0000702D0000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33" name="$E$174">
            <a:extLst>
              <a:ext uri="{FF2B5EF4-FFF2-40B4-BE49-F238E27FC236}">
                <a16:creationId xmlns:a16="http://schemas.microsoft.com/office/drawing/2014/main" id="{00000000-0008-0000-0200-0000712D0000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34" name="$E$174">
            <a:extLst>
              <a:ext uri="{FF2B5EF4-FFF2-40B4-BE49-F238E27FC236}">
                <a16:creationId xmlns:a16="http://schemas.microsoft.com/office/drawing/2014/main" id="{00000000-0008-0000-0200-0000722D0000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35" name="$E$174">
            <a:extLst>
              <a:ext uri="{FF2B5EF4-FFF2-40B4-BE49-F238E27FC236}">
                <a16:creationId xmlns:a16="http://schemas.microsoft.com/office/drawing/2014/main" id="{00000000-0008-0000-0200-0000732D0000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36" name="$E$174">
            <a:extLst>
              <a:ext uri="{FF2B5EF4-FFF2-40B4-BE49-F238E27FC236}">
                <a16:creationId xmlns:a16="http://schemas.microsoft.com/office/drawing/2014/main" id="{00000000-0008-0000-0200-0000742D0000}"/>
              </a:ext>
            </a:extLst>
          </xdr:cNvPr>
          <xdr:cNvSpPr/>
        </xdr:nvSpPr>
        <xdr:spPr>
          <a:xfrm>
            <a:off x="228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37" name="$E$174">
            <a:extLst>
              <a:ext uri="{FF2B5EF4-FFF2-40B4-BE49-F238E27FC236}">
                <a16:creationId xmlns:a16="http://schemas.microsoft.com/office/drawing/2014/main" id="{00000000-0008-0000-0200-0000752D0000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38" name="$E$174">
            <a:extLst>
              <a:ext uri="{FF2B5EF4-FFF2-40B4-BE49-F238E27FC236}">
                <a16:creationId xmlns:a16="http://schemas.microsoft.com/office/drawing/2014/main" id="{00000000-0008-0000-0200-0000762D0000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39" name="$E$174">
            <a:extLst>
              <a:ext uri="{FF2B5EF4-FFF2-40B4-BE49-F238E27FC236}">
                <a16:creationId xmlns:a16="http://schemas.microsoft.com/office/drawing/2014/main" id="{00000000-0008-0000-0200-0000772D0000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40" name="$E$174">
            <a:extLst>
              <a:ext uri="{FF2B5EF4-FFF2-40B4-BE49-F238E27FC236}">
                <a16:creationId xmlns:a16="http://schemas.microsoft.com/office/drawing/2014/main" id="{00000000-0008-0000-0200-0000782D0000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41" name="$E$174">
            <a:extLst>
              <a:ext uri="{FF2B5EF4-FFF2-40B4-BE49-F238E27FC236}">
                <a16:creationId xmlns:a16="http://schemas.microsoft.com/office/drawing/2014/main" id="{00000000-0008-0000-0200-0000792D0000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42" name="$E$174">
            <a:extLst>
              <a:ext uri="{FF2B5EF4-FFF2-40B4-BE49-F238E27FC236}">
                <a16:creationId xmlns:a16="http://schemas.microsoft.com/office/drawing/2014/main" id="{00000000-0008-0000-0200-00007A2D0000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43" name="$E$174">
            <a:extLst>
              <a:ext uri="{FF2B5EF4-FFF2-40B4-BE49-F238E27FC236}">
                <a16:creationId xmlns:a16="http://schemas.microsoft.com/office/drawing/2014/main" id="{00000000-0008-0000-0200-00007B2D0000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44" name="$E$174">
            <a:extLst>
              <a:ext uri="{FF2B5EF4-FFF2-40B4-BE49-F238E27FC236}">
                <a16:creationId xmlns:a16="http://schemas.microsoft.com/office/drawing/2014/main" id="{00000000-0008-0000-0200-00007C2D0000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45" name="$E$174">
            <a:extLst>
              <a:ext uri="{FF2B5EF4-FFF2-40B4-BE49-F238E27FC236}">
                <a16:creationId xmlns:a16="http://schemas.microsoft.com/office/drawing/2014/main" id="{00000000-0008-0000-0200-00007D2D0000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46" name="$E$174">
            <a:extLst>
              <a:ext uri="{FF2B5EF4-FFF2-40B4-BE49-F238E27FC236}">
                <a16:creationId xmlns:a16="http://schemas.microsoft.com/office/drawing/2014/main" id="{00000000-0008-0000-0200-00007E2D0000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47" name="$E$174">
            <a:extLst>
              <a:ext uri="{FF2B5EF4-FFF2-40B4-BE49-F238E27FC236}">
                <a16:creationId xmlns:a16="http://schemas.microsoft.com/office/drawing/2014/main" id="{00000000-0008-0000-0200-00007F2D0000}"/>
              </a:ext>
            </a:extLst>
          </xdr:cNvPr>
          <xdr:cNvSpPr/>
        </xdr:nvSpPr>
        <xdr:spPr>
          <a:xfrm>
            <a:off x="114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48" name="$E$174">
            <a:extLst>
              <a:ext uri="{FF2B5EF4-FFF2-40B4-BE49-F238E27FC236}">
                <a16:creationId xmlns:a16="http://schemas.microsoft.com/office/drawing/2014/main" id="{00000000-0008-0000-0200-0000802D0000}"/>
              </a:ext>
            </a:extLst>
          </xdr:cNvPr>
          <xdr:cNvSpPr/>
        </xdr:nvSpPr>
        <xdr:spPr>
          <a:xfrm>
            <a:off x="127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49" name="$E$174">
            <a:extLst>
              <a:ext uri="{FF2B5EF4-FFF2-40B4-BE49-F238E27FC236}">
                <a16:creationId xmlns:a16="http://schemas.microsoft.com/office/drawing/2014/main" id="{00000000-0008-0000-0200-0000812D0000}"/>
              </a:ext>
            </a:extLst>
          </xdr:cNvPr>
          <xdr:cNvSpPr/>
        </xdr:nvSpPr>
        <xdr:spPr>
          <a:xfrm>
            <a:off x="152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50" name="$E$174">
            <a:extLst>
              <a:ext uri="{FF2B5EF4-FFF2-40B4-BE49-F238E27FC236}">
                <a16:creationId xmlns:a16="http://schemas.microsoft.com/office/drawing/2014/main" id="{00000000-0008-0000-0200-0000822D0000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51" name="$E$174">
            <a:extLst>
              <a:ext uri="{FF2B5EF4-FFF2-40B4-BE49-F238E27FC236}">
                <a16:creationId xmlns:a16="http://schemas.microsoft.com/office/drawing/2014/main" id="{00000000-0008-0000-0200-0000832D0000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52" name="$E$174">
            <a:extLst>
              <a:ext uri="{FF2B5EF4-FFF2-40B4-BE49-F238E27FC236}">
                <a16:creationId xmlns:a16="http://schemas.microsoft.com/office/drawing/2014/main" id="{00000000-0008-0000-0200-0000842D0000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53" name="$E$174">
            <a:extLst>
              <a:ext uri="{FF2B5EF4-FFF2-40B4-BE49-F238E27FC236}">
                <a16:creationId xmlns:a16="http://schemas.microsoft.com/office/drawing/2014/main" id="{00000000-0008-0000-0200-0000852D0000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54" name="$E$174">
            <a:extLst>
              <a:ext uri="{FF2B5EF4-FFF2-40B4-BE49-F238E27FC236}">
                <a16:creationId xmlns:a16="http://schemas.microsoft.com/office/drawing/2014/main" id="{00000000-0008-0000-0200-0000862D0000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55" name="$E$174">
            <a:extLst>
              <a:ext uri="{FF2B5EF4-FFF2-40B4-BE49-F238E27FC236}">
                <a16:creationId xmlns:a16="http://schemas.microsoft.com/office/drawing/2014/main" id="{00000000-0008-0000-0200-0000872D0000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56" name="$E$174">
            <a:extLst>
              <a:ext uri="{FF2B5EF4-FFF2-40B4-BE49-F238E27FC236}">
                <a16:creationId xmlns:a16="http://schemas.microsoft.com/office/drawing/2014/main" id="{00000000-0008-0000-0200-0000882D0000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57" name="$E$174">
            <a:extLst>
              <a:ext uri="{FF2B5EF4-FFF2-40B4-BE49-F238E27FC236}">
                <a16:creationId xmlns:a16="http://schemas.microsoft.com/office/drawing/2014/main" id="{00000000-0008-0000-0200-0000892D0000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58" name="$E$174">
            <a:extLst>
              <a:ext uri="{FF2B5EF4-FFF2-40B4-BE49-F238E27FC236}">
                <a16:creationId xmlns:a16="http://schemas.microsoft.com/office/drawing/2014/main" id="{00000000-0008-0000-0200-00008A2D0000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59" name="$E$174">
            <a:extLst>
              <a:ext uri="{FF2B5EF4-FFF2-40B4-BE49-F238E27FC236}">
                <a16:creationId xmlns:a16="http://schemas.microsoft.com/office/drawing/2014/main" id="{00000000-0008-0000-0200-00008B2D0000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60" name="$E$174">
            <a:extLst>
              <a:ext uri="{FF2B5EF4-FFF2-40B4-BE49-F238E27FC236}">
                <a16:creationId xmlns:a16="http://schemas.microsoft.com/office/drawing/2014/main" id="{00000000-0008-0000-0200-00008C2D0000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61" name="$E$174">
            <a:extLst>
              <a:ext uri="{FF2B5EF4-FFF2-40B4-BE49-F238E27FC236}">
                <a16:creationId xmlns:a16="http://schemas.microsoft.com/office/drawing/2014/main" id="{00000000-0008-0000-0200-00008D2D0000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62" name="$E$174">
            <a:extLst>
              <a:ext uri="{FF2B5EF4-FFF2-40B4-BE49-F238E27FC236}">
                <a16:creationId xmlns:a16="http://schemas.microsoft.com/office/drawing/2014/main" id="{00000000-0008-0000-0200-00008E2D0000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63" name="$E$174">
            <a:extLst>
              <a:ext uri="{FF2B5EF4-FFF2-40B4-BE49-F238E27FC236}">
                <a16:creationId xmlns:a16="http://schemas.microsoft.com/office/drawing/2014/main" id="{00000000-0008-0000-0200-00008F2D0000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64" name="$E$174">
            <a:extLst>
              <a:ext uri="{FF2B5EF4-FFF2-40B4-BE49-F238E27FC236}">
                <a16:creationId xmlns:a16="http://schemas.microsoft.com/office/drawing/2014/main" id="{00000000-0008-0000-0200-0000902D0000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65" name="$E$174">
            <a:extLst>
              <a:ext uri="{FF2B5EF4-FFF2-40B4-BE49-F238E27FC236}">
                <a16:creationId xmlns:a16="http://schemas.microsoft.com/office/drawing/2014/main" id="{00000000-0008-0000-0200-0000912D0000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66" name="$E$174">
            <a:extLst>
              <a:ext uri="{FF2B5EF4-FFF2-40B4-BE49-F238E27FC236}">
                <a16:creationId xmlns:a16="http://schemas.microsoft.com/office/drawing/2014/main" id="{00000000-0008-0000-0200-0000922D0000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67" name="$E$174">
            <a:extLst>
              <a:ext uri="{FF2B5EF4-FFF2-40B4-BE49-F238E27FC236}">
                <a16:creationId xmlns:a16="http://schemas.microsoft.com/office/drawing/2014/main" id="{00000000-0008-0000-0200-0000932D0000}"/>
              </a:ext>
            </a:extLst>
          </xdr:cNvPr>
          <xdr:cNvSpPr/>
        </xdr:nvSpPr>
        <xdr:spPr>
          <a:xfrm>
            <a:off x="165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68" name="$E$174">
            <a:extLst>
              <a:ext uri="{FF2B5EF4-FFF2-40B4-BE49-F238E27FC236}">
                <a16:creationId xmlns:a16="http://schemas.microsoft.com/office/drawing/2014/main" id="{00000000-0008-0000-0200-0000942D0000}"/>
              </a:ext>
            </a:extLst>
          </xdr:cNvPr>
          <xdr:cNvSpPr/>
        </xdr:nvSpPr>
        <xdr:spPr>
          <a:xfrm>
            <a:off x="190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69" name="$E$174">
            <a:extLst>
              <a:ext uri="{FF2B5EF4-FFF2-40B4-BE49-F238E27FC236}">
                <a16:creationId xmlns:a16="http://schemas.microsoft.com/office/drawing/2014/main" id="{00000000-0008-0000-0200-0000952D0000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70" name="$E$174">
            <a:extLst>
              <a:ext uri="{FF2B5EF4-FFF2-40B4-BE49-F238E27FC236}">
                <a16:creationId xmlns:a16="http://schemas.microsoft.com/office/drawing/2014/main" id="{00000000-0008-0000-0200-0000962D0000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71" name="$E$174">
            <a:extLst>
              <a:ext uri="{FF2B5EF4-FFF2-40B4-BE49-F238E27FC236}">
                <a16:creationId xmlns:a16="http://schemas.microsoft.com/office/drawing/2014/main" id="{00000000-0008-0000-0200-0000972D0000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72" name="$E$174">
            <a:extLst>
              <a:ext uri="{FF2B5EF4-FFF2-40B4-BE49-F238E27FC236}">
                <a16:creationId xmlns:a16="http://schemas.microsoft.com/office/drawing/2014/main" id="{00000000-0008-0000-0200-0000982D0000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73" name="$E$174">
            <a:extLst>
              <a:ext uri="{FF2B5EF4-FFF2-40B4-BE49-F238E27FC236}">
                <a16:creationId xmlns:a16="http://schemas.microsoft.com/office/drawing/2014/main" id="{00000000-0008-0000-0200-0000992D0000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74" name="$E$174">
            <a:extLst>
              <a:ext uri="{FF2B5EF4-FFF2-40B4-BE49-F238E27FC236}">
                <a16:creationId xmlns:a16="http://schemas.microsoft.com/office/drawing/2014/main" id="{00000000-0008-0000-0200-00009A2D0000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675" name="$E$174">
            <a:extLst>
              <a:ext uri="{FF2B5EF4-FFF2-40B4-BE49-F238E27FC236}">
                <a16:creationId xmlns:a16="http://schemas.microsoft.com/office/drawing/2014/main" id="{00000000-0008-0000-0200-00009B2D0000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98244</xdr:colOff>
      <xdr:row>287</xdr:row>
      <xdr:rowOff>45864</xdr:rowOff>
    </xdr:from>
    <xdr:to>
      <xdr:col>4</xdr:col>
      <xdr:colOff>1559107</xdr:colOff>
      <xdr:row>287</xdr:row>
      <xdr:rowOff>1506727</xdr:rowOff>
    </xdr:to>
    <xdr:grpSp>
      <xdr:nvGrpSpPr>
        <xdr:cNvPr id="14277" name="$E$288" descr="QuickResponse barcode, level L, version 4, mode binary, 33x33 cells" title="https://centrodecapacitaciondelsur.com/soporte-basico-de-vida-1088734431/">
          <a:extLst>
            <a:ext uri="{FF2B5EF4-FFF2-40B4-BE49-F238E27FC236}">
              <a16:creationId xmlns:a16="http://schemas.microsoft.com/office/drawing/2014/main" id="{49CA0BF0-C35F-4885-82BA-F16625E6B773}"/>
            </a:ext>
          </a:extLst>
        </xdr:cNvPr>
        <xdr:cNvGrpSpPr>
          <a:grpSpLocks noChangeAspect="1"/>
        </xdr:cNvGrpSpPr>
      </xdr:nvGrpSpPr>
      <xdr:grpSpPr>
        <a:xfrm>
          <a:off x="20672244" y="396060728"/>
          <a:ext cx="1460863" cy="1460863"/>
          <a:chOff x="0" y="0"/>
          <a:chExt cx="419100" cy="419100"/>
        </a:xfrm>
      </xdr:grpSpPr>
      <xdr:sp macro="" textlink="">
        <xdr:nvSpPr>
          <xdr:cNvPr id="13726" name="$E$288">
            <a:extLst>
              <a:ext uri="{FF2B5EF4-FFF2-40B4-BE49-F238E27FC236}">
                <a16:creationId xmlns:a16="http://schemas.microsoft.com/office/drawing/2014/main" id="{F7FA14D2-4BE7-4EF9-874F-B205BAC35933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27" name="$E$288">
            <a:extLst>
              <a:ext uri="{FF2B5EF4-FFF2-40B4-BE49-F238E27FC236}">
                <a16:creationId xmlns:a16="http://schemas.microsoft.com/office/drawing/2014/main" id="{4254B80C-73B3-4A93-83B0-FB6A04311AEE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28" name="$E$288">
            <a:extLst>
              <a:ext uri="{FF2B5EF4-FFF2-40B4-BE49-F238E27FC236}">
                <a16:creationId xmlns:a16="http://schemas.microsoft.com/office/drawing/2014/main" id="{6B540032-E154-49CB-8925-B8095282D56D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29" name="$E$288">
            <a:extLst>
              <a:ext uri="{FF2B5EF4-FFF2-40B4-BE49-F238E27FC236}">
                <a16:creationId xmlns:a16="http://schemas.microsoft.com/office/drawing/2014/main" id="{BDF580F9-69D3-4609-92DF-25C0925416D8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30" name="$E$288">
            <a:extLst>
              <a:ext uri="{FF2B5EF4-FFF2-40B4-BE49-F238E27FC236}">
                <a16:creationId xmlns:a16="http://schemas.microsoft.com/office/drawing/2014/main" id="{2CAF8C8E-75CD-4478-994A-3AFD1F11554B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31" name="$E$288">
            <a:extLst>
              <a:ext uri="{FF2B5EF4-FFF2-40B4-BE49-F238E27FC236}">
                <a16:creationId xmlns:a16="http://schemas.microsoft.com/office/drawing/2014/main" id="{9F926241-54C8-4072-9C3E-793817133C1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32" name="$E$288">
            <a:extLst>
              <a:ext uri="{FF2B5EF4-FFF2-40B4-BE49-F238E27FC236}">
                <a16:creationId xmlns:a16="http://schemas.microsoft.com/office/drawing/2014/main" id="{BD9F6751-5F4B-494B-B837-61F94A652FE6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33" name="$E$288">
            <a:extLst>
              <a:ext uri="{FF2B5EF4-FFF2-40B4-BE49-F238E27FC236}">
                <a16:creationId xmlns:a16="http://schemas.microsoft.com/office/drawing/2014/main" id="{C3AF0FFB-4C0B-43C6-84B0-C238359B80A2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34" name="$E$288">
            <a:extLst>
              <a:ext uri="{FF2B5EF4-FFF2-40B4-BE49-F238E27FC236}">
                <a16:creationId xmlns:a16="http://schemas.microsoft.com/office/drawing/2014/main" id="{E74B4AFB-DA92-457F-8F12-17600F0A61B6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35" name="$E$288">
            <a:extLst>
              <a:ext uri="{FF2B5EF4-FFF2-40B4-BE49-F238E27FC236}">
                <a16:creationId xmlns:a16="http://schemas.microsoft.com/office/drawing/2014/main" id="{964FA2AB-01C3-4B68-85D5-08620A5D0F05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36" name="$E$288">
            <a:extLst>
              <a:ext uri="{FF2B5EF4-FFF2-40B4-BE49-F238E27FC236}">
                <a16:creationId xmlns:a16="http://schemas.microsoft.com/office/drawing/2014/main" id="{C7B88D81-3CD4-47CC-9595-5D1492817B9B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37" name="$E$288">
            <a:extLst>
              <a:ext uri="{FF2B5EF4-FFF2-40B4-BE49-F238E27FC236}">
                <a16:creationId xmlns:a16="http://schemas.microsoft.com/office/drawing/2014/main" id="{634A0E94-8E62-4C29-B03B-83C7CFC8E4B3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38" name="$E$288">
            <a:extLst>
              <a:ext uri="{FF2B5EF4-FFF2-40B4-BE49-F238E27FC236}">
                <a16:creationId xmlns:a16="http://schemas.microsoft.com/office/drawing/2014/main" id="{80394575-4F05-4399-9012-CC0AFBCB9FFB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39" name="$E$288">
            <a:extLst>
              <a:ext uri="{FF2B5EF4-FFF2-40B4-BE49-F238E27FC236}">
                <a16:creationId xmlns:a16="http://schemas.microsoft.com/office/drawing/2014/main" id="{5A10B7B7-9FC7-4718-AC54-A810A8DC502E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40" name="$E$288">
            <a:extLst>
              <a:ext uri="{FF2B5EF4-FFF2-40B4-BE49-F238E27FC236}">
                <a16:creationId xmlns:a16="http://schemas.microsoft.com/office/drawing/2014/main" id="{6F96F4D1-66D8-4E39-9958-3C253542DF7A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41" name="$E$288">
            <a:extLst>
              <a:ext uri="{FF2B5EF4-FFF2-40B4-BE49-F238E27FC236}">
                <a16:creationId xmlns:a16="http://schemas.microsoft.com/office/drawing/2014/main" id="{A705C81C-1277-42EC-847C-CC666BFCEFBB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42" name="$E$288">
            <a:extLst>
              <a:ext uri="{FF2B5EF4-FFF2-40B4-BE49-F238E27FC236}">
                <a16:creationId xmlns:a16="http://schemas.microsoft.com/office/drawing/2014/main" id="{C8F90371-187F-4DE7-96A4-57EB38C699AB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43" name="$E$288">
            <a:extLst>
              <a:ext uri="{FF2B5EF4-FFF2-40B4-BE49-F238E27FC236}">
                <a16:creationId xmlns:a16="http://schemas.microsoft.com/office/drawing/2014/main" id="{906B1ADF-8107-44E3-9F8B-C632FEFCD891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44" name="$E$288">
            <a:extLst>
              <a:ext uri="{FF2B5EF4-FFF2-40B4-BE49-F238E27FC236}">
                <a16:creationId xmlns:a16="http://schemas.microsoft.com/office/drawing/2014/main" id="{A9720A39-4EC4-406D-9433-6C583C480597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45" name="$E$288">
            <a:extLst>
              <a:ext uri="{FF2B5EF4-FFF2-40B4-BE49-F238E27FC236}">
                <a16:creationId xmlns:a16="http://schemas.microsoft.com/office/drawing/2014/main" id="{A3DCC2A4-8C23-4D02-91E5-343C66D0F810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46" name="$E$288">
            <a:extLst>
              <a:ext uri="{FF2B5EF4-FFF2-40B4-BE49-F238E27FC236}">
                <a16:creationId xmlns:a16="http://schemas.microsoft.com/office/drawing/2014/main" id="{61014124-9C3E-4C1D-B7AA-413CE0AA625C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47" name="$E$288">
            <a:extLst>
              <a:ext uri="{FF2B5EF4-FFF2-40B4-BE49-F238E27FC236}">
                <a16:creationId xmlns:a16="http://schemas.microsoft.com/office/drawing/2014/main" id="{46F53419-B656-4A64-9052-49FDA4FA9AB9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48" name="$E$288">
            <a:extLst>
              <a:ext uri="{FF2B5EF4-FFF2-40B4-BE49-F238E27FC236}">
                <a16:creationId xmlns:a16="http://schemas.microsoft.com/office/drawing/2014/main" id="{3E828C48-D293-49C8-AF98-90958671BBCE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49" name="$E$288">
            <a:extLst>
              <a:ext uri="{FF2B5EF4-FFF2-40B4-BE49-F238E27FC236}">
                <a16:creationId xmlns:a16="http://schemas.microsoft.com/office/drawing/2014/main" id="{75737F83-4DFA-4310-8D3C-1DE47B115D9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50" name="$E$288">
            <a:extLst>
              <a:ext uri="{FF2B5EF4-FFF2-40B4-BE49-F238E27FC236}">
                <a16:creationId xmlns:a16="http://schemas.microsoft.com/office/drawing/2014/main" id="{2F0D3066-F3ED-4178-AA30-D0F7F0941212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51" name="$E$288">
            <a:extLst>
              <a:ext uri="{FF2B5EF4-FFF2-40B4-BE49-F238E27FC236}">
                <a16:creationId xmlns:a16="http://schemas.microsoft.com/office/drawing/2014/main" id="{5D8A0F97-8042-469F-B701-D0AEBF609AC4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52" name="$E$288">
            <a:extLst>
              <a:ext uri="{FF2B5EF4-FFF2-40B4-BE49-F238E27FC236}">
                <a16:creationId xmlns:a16="http://schemas.microsoft.com/office/drawing/2014/main" id="{55CEF2B9-B915-4ECA-81BD-EDE6F702C694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53" name="$E$288">
            <a:extLst>
              <a:ext uri="{FF2B5EF4-FFF2-40B4-BE49-F238E27FC236}">
                <a16:creationId xmlns:a16="http://schemas.microsoft.com/office/drawing/2014/main" id="{B57FE069-842B-43F6-96B8-78FC74D0DE94}"/>
              </a:ext>
            </a:extLst>
          </xdr:cNvPr>
          <xdr:cNvSpPr/>
        </xdr:nvSpPr>
        <xdr:spPr>
          <a:xfrm>
            <a:off x="215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54" name="$E$288">
            <a:extLst>
              <a:ext uri="{FF2B5EF4-FFF2-40B4-BE49-F238E27FC236}">
                <a16:creationId xmlns:a16="http://schemas.microsoft.com/office/drawing/2014/main" id="{7E3BD2A3-0F26-4F15-A3C8-8C89323F533F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55" name="$E$288">
            <a:extLst>
              <a:ext uri="{FF2B5EF4-FFF2-40B4-BE49-F238E27FC236}">
                <a16:creationId xmlns:a16="http://schemas.microsoft.com/office/drawing/2014/main" id="{DF6ADEB0-64DA-40AA-AB21-005789EFD0E5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56" name="$E$288">
            <a:extLst>
              <a:ext uri="{FF2B5EF4-FFF2-40B4-BE49-F238E27FC236}">
                <a16:creationId xmlns:a16="http://schemas.microsoft.com/office/drawing/2014/main" id="{58DBEBC8-9B84-4A5E-97D0-6DAE86E89418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57" name="$E$288">
            <a:extLst>
              <a:ext uri="{FF2B5EF4-FFF2-40B4-BE49-F238E27FC236}">
                <a16:creationId xmlns:a16="http://schemas.microsoft.com/office/drawing/2014/main" id="{6904D546-D72E-4A99-B830-F16D24BEC13F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58" name="$E$288">
            <a:extLst>
              <a:ext uri="{FF2B5EF4-FFF2-40B4-BE49-F238E27FC236}">
                <a16:creationId xmlns:a16="http://schemas.microsoft.com/office/drawing/2014/main" id="{5F8A6473-F410-482D-B89E-4954853782EC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59" name="$E$288">
            <a:extLst>
              <a:ext uri="{FF2B5EF4-FFF2-40B4-BE49-F238E27FC236}">
                <a16:creationId xmlns:a16="http://schemas.microsoft.com/office/drawing/2014/main" id="{ECCB6459-0EC1-4C0C-9E47-78A4C5B6AA6B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60" name="$E$288">
            <a:extLst>
              <a:ext uri="{FF2B5EF4-FFF2-40B4-BE49-F238E27FC236}">
                <a16:creationId xmlns:a16="http://schemas.microsoft.com/office/drawing/2014/main" id="{4C858FEE-F13D-4867-9133-06A303B91102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61" name="$E$288">
            <a:extLst>
              <a:ext uri="{FF2B5EF4-FFF2-40B4-BE49-F238E27FC236}">
                <a16:creationId xmlns:a16="http://schemas.microsoft.com/office/drawing/2014/main" id="{E6607BE8-9050-4690-A81C-E8C16D7D29AE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62" name="$E$288">
            <a:extLst>
              <a:ext uri="{FF2B5EF4-FFF2-40B4-BE49-F238E27FC236}">
                <a16:creationId xmlns:a16="http://schemas.microsoft.com/office/drawing/2014/main" id="{B05C1FB7-C53E-4789-A948-73EC60E5C5D3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63" name="$E$288">
            <a:extLst>
              <a:ext uri="{FF2B5EF4-FFF2-40B4-BE49-F238E27FC236}">
                <a16:creationId xmlns:a16="http://schemas.microsoft.com/office/drawing/2014/main" id="{37CE14E3-284D-41A0-9669-CA7DD97CB2A5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64" name="$E$288">
            <a:extLst>
              <a:ext uri="{FF2B5EF4-FFF2-40B4-BE49-F238E27FC236}">
                <a16:creationId xmlns:a16="http://schemas.microsoft.com/office/drawing/2014/main" id="{3F22418E-4944-4700-9DAD-A2384DE8F989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65" name="$E$288">
            <a:extLst>
              <a:ext uri="{FF2B5EF4-FFF2-40B4-BE49-F238E27FC236}">
                <a16:creationId xmlns:a16="http://schemas.microsoft.com/office/drawing/2014/main" id="{0C41B32F-6BE7-438C-9D11-9B064FCAE894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66" name="$E$288">
            <a:extLst>
              <a:ext uri="{FF2B5EF4-FFF2-40B4-BE49-F238E27FC236}">
                <a16:creationId xmlns:a16="http://schemas.microsoft.com/office/drawing/2014/main" id="{9D0D43D4-F9E2-444A-B153-55C47E660663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67" name="$E$288">
            <a:extLst>
              <a:ext uri="{FF2B5EF4-FFF2-40B4-BE49-F238E27FC236}">
                <a16:creationId xmlns:a16="http://schemas.microsoft.com/office/drawing/2014/main" id="{E4328CF5-08C1-499D-A283-4AF621ACE74C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68" name="$E$288">
            <a:extLst>
              <a:ext uri="{FF2B5EF4-FFF2-40B4-BE49-F238E27FC236}">
                <a16:creationId xmlns:a16="http://schemas.microsoft.com/office/drawing/2014/main" id="{2027FB68-A791-49AE-BA60-852E27FEB682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69" name="$E$288">
            <a:extLst>
              <a:ext uri="{FF2B5EF4-FFF2-40B4-BE49-F238E27FC236}">
                <a16:creationId xmlns:a16="http://schemas.microsoft.com/office/drawing/2014/main" id="{0C8C9B83-D896-4BD9-A622-7A8420931E7B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70" name="$E$288">
            <a:extLst>
              <a:ext uri="{FF2B5EF4-FFF2-40B4-BE49-F238E27FC236}">
                <a16:creationId xmlns:a16="http://schemas.microsoft.com/office/drawing/2014/main" id="{05B9C688-9E66-423F-B5BC-D8CDF3260F08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71" name="$E$288">
            <a:extLst>
              <a:ext uri="{FF2B5EF4-FFF2-40B4-BE49-F238E27FC236}">
                <a16:creationId xmlns:a16="http://schemas.microsoft.com/office/drawing/2014/main" id="{19F348AA-8A8D-4EEC-B021-65CDA40C7FEA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72" name="$E$288">
            <a:extLst>
              <a:ext uri="{FF2B5EF4-FFF2-40B4-BE49-F238E27FC236}">
                <a16:creationId xmlns:a16="http://schemas.microsoft.com/office/drawing/2014/main" id="{B0A00E01-9C85-45BD-BD93-18F12CBCE8E5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73" name="$E$288">
            <a:extLst>
              <a:ext uri="{FF2B5EF4-FFF2-40B4-BE49-F238E27FC236}">
                <a16:creationId xmlns:a16="http://schemas.microsoft.com/office/drawing/2014/main" id="{0AC166C6-1839-42E0-BD01-E408AF0E689B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74" name="$E$288">
            <a:extLst>
              <a:ext uri="{FF2B5EF4-FFF2-40B4-BE49-F238E27FC236}">
                <a16:creationId xmlns:a16="http://schemas.microsoft.com/office/drawing/2014/main" id="{B291BB6A-9988-4AE2-9A0D-115F210B8D5A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75" name="$E$288">
            <a:extLst>
              <a:ext uri="{FF2B5EF4-FFF2-40B4-BE49-F238E27FC236}">
                <a16:creationId xmlns:a16="http://schemas.microsoft.com/office/drawing/2014/main" id="{CE551997-4A64-475E-A6B7-480A01B21119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76" name="$E$288">
            <a:extLst>
              <a:ext uri="{FF2B5EF4-FFF2-40B4-BE49-F238E27FC236}">
                <a16:creationId xmlns:a16="http://schemas.microsoft.com/office/drawing/2014/main" id="{82FF21E5-B57D-416D-9917-0E376CEA7D0C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77" name="$E$288">
            <a:extLst>
              <a:ext uri="{FF2B5EF4-FFF2-40B4-BE49-F238E27FC236}">
                <a16:creationId xmlns:a16="http://schemas.microsoft.com/office/drawing/2014/main" id="{B3AEE894-12E1-49FA-8360-5649221F6CF3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78" name="$E$288">
            <a:extLst>
              <a:ext uri="{FF2B5EF4-FFF2-40B4-BE49-F238E27FC236}">
                <a16:creationId xmlns:a16="http://schemas.microsoft.com/office/drawing/2014/main" id="{D4E8AED7-9706-48AD-BC34-46D4532FB5BA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79" name="$E$288">
            <a:extLst>
              <a:ext uri="{FF2B5EF4-FFF2-40B4-BE49-F238E27FC236}">
                <a16:creationId xmlns:a16="http://schemas.microsoft.com/office/drawing/2014/main" id="{F3D82DF3-8508-4FFA-B1DD-B0997A62A6EE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80" name="$E$288">
            <a:extLst>
              <a:ext uri="{FF2B5EF4-FFF2-40B4-BE49-F238E27FC236}">
                <a16:creationId xmlns:a16="http://schemas.microsoft.com/office/drawing/2014/main" id="{66D5295A-BAD8-4079-9303-37601CAA09C4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81" name="$E$288">
            <a:extLst>
              <a:ext uri="{FF2B5EF4-FFF2-40B4-BE49-F238E27FC236}">
                <a16:creationId xmlns:a16="http://schemas.microsoft.com/office/drawing/2014/main" id="{4180D301-984C-4D30-B374-7D89F5614635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82" name="$E$288">
            <a:extLst>
              <a:ext uri="{FF2B5EF4-FFF2-40B4-BE49-F238E27FC236}">
                <a16:creationId xmlns:a16="http://schemas.microsoft.com/office/drawing/2014/main" id="{C61756C7-351D-45F3-9028-EB42BF06A13E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83" name="$E$288">
            <a:extLst>
              <a:ext uri="{FF2B5EF4-FFF2-40B4-BE49-F238E27FC236}">
                <a16:creationId xmlns:a16="http://schemas.microsoft.com/office/drawing/2014/main" id="{C10FF070-4255-4BEC-8389-2976A3C84708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84" name="$E$288">
            <a:extLst>
              <a:ext uri="{FF2B5EF4-FFF2-40B4-BE49-F238E27FC236}">
                <a16:creationId xmlns:a16="http://schemas.microsoft.com/office/drawing/2014/main" id="{9BA48912-A0CF-4598-AF88-53A36649B4DC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85" name="$E$288">
            <a:extLst>
              <a:ext uri="{FF2B5EF4-FFF2-40B4-BE49-F238E27FC236}">
                <a16:creationId xmlns:a16="http://schemas.microsoft.com/office/drawing/2014/main" id="{FF2EE4ED-AAD5-4056-B206-072E5AC8091F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86" name="$E$288">
            <a:extLst>
              <a:ext uri="{FF2B5EF4-FFF2-40B4-BE49-F238E27FC236}">
                <a16:creationId xmlns:a16="http://schemas.microsoft.com/office/drawing/2014/main" id="{28A7C90E-441E-4857-849C-A87A6A96F8D6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87" name="$E$288">
            <a:extLst>
              <a:ext uri="{FF2B5EF4-FFF2-40B4-BE49-F238E27FC236}">
                <a16:creationId xmlns:a16="http://schemas.microsoft.com/office/drawing/2014/main" id="{70AB740F-22A7-4640-9594-16FEB5DE8520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88" name="$E$288">
            <a:extLst>
              <a:ext uri="{FF2B5EF4-FFF2-40B4-BE49-F238E27FC236}">
                <a16:creationId xmlns:a16="http://schemas.microsoft.com/office/drawing/2014/main" id="{1034298F-A4C1-4EE2-8C02-D38278B932E7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89" name="$E$288">
            <a:extLst>
              <a:ext uri="{FF2B5EF4-FFF2-40B4-BE49-F238E27FC236}">
                <a16:creationId xmlns:a16="http://schemas.microsoft.com/office/drawing/2014/main" id="{D1C9DABE-59F5-43D0-B6CE-01A4D64ABC22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90" name="$E$288">
            <a:extLst>
              <a:ext uri="{FF2B5EF4-FFF2-40B4-BE49-F238E27FC236}">
                <a16:creationId xmlns:a16="http://schemas.microsoft.com/office/drawing/2014/main" id="{A7D9F2B8-8292-44A5-8E3F-25AE77EF51B0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91" name="$E$288">
            <a:extLst>
              <a:ext uri="{FF2B5EF4-FFF2-40B4-BE49-F238E27FC236}">
                <a16:creationId xmlns:a16="http://schemas.microsoft.com/office/drawing/2014/main" id="{EFFEC523-F99B-4DA8-9586-41BBB2918A07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92" name="$E$288">
            <a:extLst>
              <a:ext uri="{FF2B5EF4-FFF2-40B4-BE49-F238E27FC236}">
                <a16:creationId xmlns:a16="http://schemas.microsoft.com/office/drawing/2014/main" id="{B0A43291-48CE-44D4-9D3D-1070ECF54729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93" name="$E$288">
            <a:extLst>
              <a:ext uri="{FF2B5EF4-FFF2-40B4-BE49-F238E27FC236}">
                <a16:creationId xmlns:a16="http://schemas.microsoft.com/office/drawing/2014/main" id="{DEDD0FB5-DF44-4D46-B3F0-AE9035680B28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94" name="$E$288">
            <a:extLst>
              <a:ext uri="{FF2B5EF4-FFF2-40B4-BE49-F238E27FC236}">
                <a16:creationId xmlns:a16="http://schemas.microsoft.com/office/drawing/2014/main" id="{6AEEACC9-9987-4701-871E-038DE54A8456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95" name="$E$288">
            <a:extLst>
              <a:ext uri="{FF2B5EF4-FFF2-40B4-BE49-F238E27FC236}">
                <a16:creationId xmlns:a16="http://schemas.microsoft.com/office/drawing/2014/main" id="{7F1DC5E7-FD51-41B5-A0D9-0805D6101336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96" name="$E$288">
            <a:extLst>
              <a:ext uri="{FF2B5EF4-FFF2-40B4-BE49-F238E27FC236}">
                <a16:creationId xmlns:a16="http://schemas.microsoft.com/office/drawing/2014/main" id="{18B61EBA-D38D-47A4-B763-9D6E02439DE6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97" name="$E$288">
            <a:extLst>
              <a:ext uri="{FF2B5EF4-FFF2-40B4-BE49-F238E27FC236}">
                <a16:creationId xmlns:a16="http://schemas.microsoft.com/office/drawing/2014/main" id="{2A2347AC-296C-4686-9134-04EF3E5AF88C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98" name="$E$288">
            <a:extLst>
              <a:ext uri="{FF2B5EF4-FFF2-40B4-BE49-F238E27FC236}">
                <a16:creationId xmlns:a16="http://schemas.microsoft.com/office/drawing/2014/main" id="{F54DBD8B-99E2-4B49-A6C5-D5BF71379C32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799" name="$E$288">
            <a:extLst>
              <a:ext uri="{FF2B5EF4-FFF2-40B4-BE49-F238E27FC236}">
                <a16:creationId xmlns:a16="http://schemas.microsoft.com/office/drawing/2014/main" id="{0A4FEC0A-47EA-4797-BC7B-50116C87E65E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00" name="$E$288">
            <a:extLst>
              <a:ext uri="{FF2B5EF4-FFF2-40B4-BE49-F238E27FC236}">
                <a16:creationId xmlns:a16="http://schemas.microsoft.com/office/drawing/2014/main" id="{CABD68C8-A907-4705-B441-2911084E031D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01" name="$E$288">
            <a:extLst>
              <a:ext uri="{FF2B5EF4-FFF2-40B4-BE49-F238E27FC236}">
                <a16:creationId xmlns:a16="http://schemas.microsoft.com/office/drawing/2014/main" id="{EA1018D7-2193-4177-8C52-49DD6DB2793A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02" name="$E$288">
            <a:extLst>
              <a:ext uri="{FF2B5EF4-FFF2-40B4-BE49-F238E27FC236}">
                <a16:creationId xmlns:a16="http://schemas.microsoft.com/office/drawing/2014/main" id="{CAF1A921-B19B-4F22-8C51-6B6219DA96DC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03" name="$E$288">
            <a:extLst>
              <a:ext uri="{FF2B5EF4-FFF2-40B4-BE49-F238E27FC236}">
                <a16:creationId xmlns:a16="http://schemas.microsoft.com/office/drawing/2014/main" id="{043FEABD-E950-4713-8301-5BFB1DD0EA49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04" name="$E$288">
            <a:extLst>
              <a:ext uri="{FF2B5EF4-FFF2-40B4-BE49-F238E27FC236}">
                <a16:creationId xmlns:a16="http://schemas.microsoft.com/office/drawing/2014/main" id="{EF673D68-4BBD-4031-AF7E-E9866D641289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05" name="$E$288">
            <a:extLst>
              <a:ext uri="{FF2B5EF4-FFF2-40B4-BE49-F238E27FC236}">
                <a16:creationId xmlns:a16="http://schemas.microsoft.com/office/drawing/2014/main" id="{25D2827C-3AF5-4754-AAC3-4F9B44C7949F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06" name="$E$288">
            <a:extLst>
              <a:ext uri="{FF2B5EF4-FFF2-40B4-BE49-F238E27FC236}">
                <a16:creationId xmlns:a16="http://schemas.microsoft.com/office/drawing/2014/main" id="{941F55B5-C288-48FA-A3FA-90D4F42DAC45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07" name="$E$288">
            <a:extLst>
              <a:ext uri="{FF2B5EF4-FFF2-40B4-BE49-F238E27FC236}">
                <a16:creationId xmlns:a16="http://schemas.microsoft.com/office/drawing/2014/main" id="{C1DD9C78-8178-4EAC-986F-16D561BA8411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08" name="$E$288">
            <a:extLst>
              <a:ext uri="{FF2B5EF4-FFF2-40B4-BE49-F238E27FC236}">
                <a16:creationId xmlns:a16="http://schemas.microsoft.com/office/drawing/2014/main" id="{727AC697-5123-4A25-ABFF-FA4FD71A71E7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09" name="$E$288">
            <a:extLst>
              <a:ext uri="{FF2B5EF4-FFF2-40B4-BE49-F238E27FC236}">
                <a16:creationId xmlns:a16="http://schemas.microsoft.com/office/drawing/2014/main" id="{5E1E2E33-0B01-43B1-91AA-101C8247B183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10" name="$E$288">
            <a:extLst>
              <a:ext uri="{FF2B5EF4-FFF2-40B4-BE49-F238E27FC236}">
                <a16:creationId xmlns:a16="http://schemas.microsoft.com/office/drawing/2014/main" id="{BF5A9E66-F775-4295-8879-93FFEC5E4976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11" name="$E$288">
            <a:extLst>
              <a:ext uri="{FF2B5EF4-FFF2-40B4-BE49-F238E27FC236}">
                <a16:creationId xmlns:a16="http://schemas.microsoft.com/office/drawing/2014/main" id="{7310F5CE-602C-488E-9570-0999F436F344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12" name="$E$288">
            <a:extLst>
              <a:ext uri="{FF2B5EF4-FFF2-40B4-BE49-F238E27FC236}">
                <a16:creationId xmlns:a16="http://schemas.microsoft.com/office/drawing/2014/main" id="{CEBEB1C8-E12F-43F6-B258-E2DE494BB715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13" name="$E$288">
            <a:extLst>
              <a:ext uri="{FF2B5EF4-FFF2-40B4-BE49-F238E27FC236}">
                <a16:creationId xmlns:a16="http://schemas.microsoft.com/office/drawing/2014/main" id="{533561A6-83E3-4DFD-9254-BE1735DCE69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14" name="$E$288">
            <a:extLst>
              <a:ext uri="{FF2B5EF4-FFF2-40B4-BE49-F238E27FC236}">
                <a16:creationId xmlns:a16="http://schemas.microsoft.com/office/drawing/2014/main" id="{2E810767-3593-4941-BFFF-A1CF9F2311E6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15" name="$E$288">
            <a:extLst>
              <a:ext uri="{FF2B5EF4-FFF2-40B4-BE49-F238E27FC236}">
                <a16:creationId xmlns:a16="http://schemas.microsoft.com/office/drawing/2014/main" id="{DF97A4F1-1A06-4A94-B2BB-AFCC04876375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16" name="$E$288">
            <a:extLst>
              <a:ext uri="{FF2B5EF4-FFF2-40B4-BE49-F238E27FC236}">
                <a16:creationId xmlns:a16="http://schemas.microsoft.com/office/drawing/2014/main" id="{7BB2F6C5-CAE4-44F0-85A5-AA0E3D95DCD9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17" name="$E$288">
            <a:extLst>
              <a:ext uri="{FF2B5EF4-FFF2-40B4-BE49-F238E27FC236}">
                <a16:creationId xmlns:a16="http://schemas.microsoft.com/office/drawing/2014/main" id="{3B0212A5-052B-4A3B-8EA4-36D055808C0A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18" name="$E$288">
            <a:extLst>
              <a:ext uri="{FF2B5EF4-FFF2-40B4-BE49-F238E27FC236}">
                <a16:creationId xmlns:a16="http://schemas.microsoft.com/office/drawing/2014/main" id="{4874E98B-91ED-4B15-8C0F-D9FB2567A4D9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19" name="$E$288">
            <a:extLst>
              <a:ext uri="{FF2B5EF4-FFF2-40B4-BE49-F238E27FC236}">
                <a16:creationId xmlns:a16="http://schemas.microsoft.com/office/drawing/2014/main" id="{B66338CF-220E-4606-BAFD-0D9C315E008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20" name="$E$288">
            <a:extLst>
              <a:ext uri="{FF2B5EF4-FFF2-40B4-BE49-F238E27FC236}">
                <a16:creationId xmlns:a16="http://schemas.microsoft.com/office/drawing/2014/main" id="{AB6BD3A1-6B90-431D-AE89-C87AE155FE85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21" name="$E$288">
            <a:extLst>
              <a:ext uri="{FF2B5EF4-FFF2-40B4-BE49-F238E27FC236}">
                <a16:creationId xmlns:a16="http://schemas.microsoft.com/office/drawing/2014/main" id="{3159E42F-E059-4616-A688-A110FFE7395D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22" name="$E$288">
            <a:extLst>
              <a:ext uri="{FF2B5EF4-FFF2-40B4-BE49-F238E27FC236}">
                <a16:creationId xmlns:a16="http://schemas.microsoft.com/office/drawing/2014/main" id="{428D347B-0510-42C4-844A-1A861EA8F8B9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23" name="$E$288">
            <a:extLst>
              <a:ext uri="{FF2B5EF4-FFF2-40B4-BE49-F238E27FC236}">
                <a16:creationId xmlns:a16="http://schemas.microsoft.com/office/drawing/2014/main" id="{CB21CA2E-2F3A-4BC8-9CA8-EAAF4BE7B98A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24" name="$E$288">
            <a:extLst>
              <a:ext uri="{FF2B5EF4-FFF2-40B4-BE49-F238E27FC236}">
                <a16:creationId xmlns:a16="http://schemas.microsoft.com/office/drawing/2014/main" id="{02572821-3D29-41D0-9BE3-92D5FF7420F7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25" name="$E$288">
            <a:extLst>
              <a:ext uri="{FF2B5EF4-FFF2-40B4-BE49-F238E27FC236}">
                <a16:creationId xmlns:a16="http://schemas.microsoft.com/office/drawing/2014/main" id="{1DFFA60F-3D12-4E70-BB78-7F586FAB6ACC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26" name="$E$288">
            <a:extLst>
              <a:ext uri="{FF2B5EF4-FFF2-40B4-BE49-F238E27FC236}">
                <a16:creationId xmlns:a16="http://schemas.microsoft.com/office/drawing/2014/main" id="{20A408A1-45C0-4C4A-A862-A8B7E40251C8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27" name="$E$288">
            <a:extLst>
              <a:ext uri="{FF2B5EF4-FFF2-40B4-BE49-F238E27FC236}">
                <a16:creationId xmlns:a16="http://schemas.microsoft.com/office/drawing/2014/main" id="{02F61B0E-39E8-4BF1-B10D-79E06B2EE38D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28" name="$E$288">
            <a:extLst>
              <a:ext uri="{FF2B5EF4-FFF2-40B4-BE49-F238E27FC236}">
                <a16:creationId xmlns:a16="http://schemas.microsoft.com/office/drawing/2014/main" id="{928EAEE2-2FB4-4B7D-8E40-8C866F1820AD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29" name="$E$288">
            <a:extLst>
              <a:ext uri="{FF2B5EF4-FFF2-40B4-BE49-F238E27FC236}">
                <a16:creationId xmlns:a16="http://schemas.microsoft.com/office/drawing/2014/main" id="{D310B7B7-CBDE-49D0-8B23-A910884E8974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30" name="$E$288">
            <a:extLst>
              <a:ext uri="{FF2B5EF4-FFF2-40B4-BE49-F238E27FC236}">
                <a16:creationId xmlns:a16="http://schemas.microsoft.com/office/drawing/2014/main" id="{6E9EE6A3-9E4C-478A-8414-B8AB7B275B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31" name="$E$288">
            <a:extLst>
              <a:ext uri="{FF2B5EF4-FFF2-40B4-BE49-F238E27FC236}">
                <a16:creationId xmlns:a16="http://schemas.microsoft.com/office/drawing/2014/main" id="{D6433942-DC1E-4470-9581-7C9F09DF719D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32" name="$E$288">
            <a:extLst>
              <a:ext uri="{FF2B5EF4-FFF2-40B4-BE49-F238E27FC236}">
                <a16:creationId xmlns:a16="http://schemas.microsoft.com/office/drawing/2014/main" id="{ED8FEAB7-EBBC-49F4-93C8-B782876D83D5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33" name="$E$288">
            <a:extLst>
              <a:ext uri="{FF2B5EF4-FFF2-40B4-BE49-F238E27FC236}">
                <a16:creationId xmlns:a16="http://schemas.microsoft.com/office/drawing/2014/main" id="{DC69641E-A23B-4803-997E-1A318AABCD3D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34" name="$E$288">
            <a:extLst>
              <a:ext uri="{FF2B5EF4-FFF2-40B4-BE49-F238E27FC236}">
                <a16:creationId xmlns:a16="http://schemas.microsoft.com/office/drawing/2014/main" id="{E8D10786-EE39-40B4-BDA6-E7D4EEA1C6B9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35" name="$E$288">
            <a:extLst>
              <a:ext uri="{FF2B5EF4-FFF2-40B4-BE49-F238E27FC236}">
                <a16:creationId xmlns:a16="http://schemas.microsoft.com/office/drawing/2014/main" id="{8C84E28E-B18B-42DC-9114-3BD9D769B639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36" name="$E$288">
            <a:extLst>
              <a:ext uri="{FF2B5EF4-FFF2-40B4-BE49-F238E27FC236}">
                <a16:creationId xmlns:a16="http://schemas.microsoft.com/office/drawing/2014/main" id="{47665385-1A34-4D48-8A03-67104C073CD7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37" name="$E$288">
            <a:extLst>
              <a:ext uri="{FF2B5EF4-FFF2-40B4-BE49-F238E27FC236}">
                <a16:creationId xmlns:a16="http://schemas.microsoft.com/office/drawing/2014/main" id="{EE2363CE-AAD6-41CC-9D9E-82F30F5D5F78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38" name="$E$288">
            <a:extLst>
              <a:ext uri="{FF2B5EF4-FFF2-40B4-BE49-F238E27FC236}">
                <a16:creationId xmlns:a16="http://schemas.microsoft.com/office/drawing/2014/main" id="{1C75DAAD-7C90-42D1-8FDE-3DB93C92535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39" name="$E$288">
            <a:extLst>
              <a:ext uri="{FF2B5EF4-FFF2-40B4-BE49-F238E27FC236}">
                <a16:creationId xmlns:a16="http://schemas.microsoft.com/office/drawing/2014/main" id="{A4D8DD27-7FE8-4A40-AC72-7F4A0419B111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40" name="$E$288">
            <a:extLst>
              <a:ext uri="{FF2B5EF4-FFF2-40B4-BE49-F238E27FC236}">
                <a16:creationId xmlns:a16="http://schemas.microsoft.com/office/drawing/2014/main" id="{DCE4134D-2548-4F3C-9448-DFAA9EF9509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41" name="$E$288">
            <a:extLst>
              <a:ext uri="{FF2B5EF4-FFF2-40B4-BE49-F238E27FC236}">
                <a16:creationId xmlns:a16="http://schemas.microsoft.com/office/drawing/2014/main" id="{CFEF3F69-BC9B-4038-A123-8937A2E95F46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42" name="$E$288">
            <a:extLst>
              <a:ext uri="{FF2B5EF4-FFF2-40B4-BE49-F238E27FC236}">
                <a16:creationId xmlns:a16="http://schemas.microsoft.com/office/drawing/2014/main" id="{2D333C4C-5F2A-48DF-9B3E-FBFA78EB5F53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43" name="$E$288">
            <a:extLst>
              <a:ext uri="{FF2B5EF4-FFF2-40B4-BE49-F238E27FC236}">
                <a16:creationId xmlns:a16="http://schemas.microsoft.com/office/drawing/2014/main" id="{D20835A5-BB2E-4335-8493-19C480C7785B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44" name="$E$288">
            <a:extLst>
              <a:ext uri="{FF2B5EF4-FFF2-40B4-BE49-F238E27FC236}">
                <a16:creationId xmlns:a16="http://schemas.microsoft.com/office/drawing/2014/main" id="{838CB47F-8B9A-4A65-B97B-E4A011032482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45" name="$E$288">
            <a:extLst>
              <a:ext uri="{FF2B5EF4-FFF2-40B4-BE49-F238E27FC236}">
                <a16:creationId xmlns:a16="http://schemas.microsoft.com/office/drawing/2014/main" id="{CFA74427-C8FB-4F90-9B9B-6E9C81B9D73F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46" name="$E$288">
            <a:extLst>
              <a:ext uri="{FF2B5EF4-FFF2-40B4-BE49-F238E27FC236}">
                <a16:creationId xmlns:a16="http://schemas.microsoft.com/office/drawing/2014/main" id="{47E2BD82-3F3B-4A51-93AF-91E8A166EDEA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47" name="$E$288">
            <a:extLst>
              <a:ext uri="{FF2B5EF4-FFF2-40B4-BE49-F238E27FC236}">
                <a16:creationId xmlns:a16="http://schemas.microsoft.com/office/drawing/2014/main" id="{60E5C279-91A6-4F2B-932D-7AA4A5F5AFAA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48" name="$E$288">
            <a:extLst>
              <a:ext uri="{FF2B5EF4-FFF2-40B4-BE49-F238E27FC236}">
                <a16:creationId xmlns:a16="http://schemas.microsoft.com/office/drawing/2014/main" id="{4159BD9A-FE2A-431E-A860-23EB76982D2D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49" name="$E$288">
            <a:extLst>
              <a:ext uri="{FF2B5EF4-FFF2-40B4-BE49-F238E27FC236}">
                <a16:creationId xmlns:a16="http://schemas.microsoft.com/office/drawing/2014/main" id="{5B545AD1-8F83-48E8-AA89-19DAC3B06694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50" name="$E$288">
            <a:extLst>
              <a:ext uri="{FF2B5EF4-FFF2-40B4-BE49-F238E27FC236}">
                <a16:creationId xmlns:a16="http://schemas.microsoft.com/office/drawing/2014/main" id="{54370341-B409-4296-B4E3-3BDB424C361A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51" name="$E$288">
            <a:extLst>
              <a:ext uri="{FF2B5EF4-FFF2-40B4-BE49-F238E27FC236}">
                <a16:creationId xmlns:a16="http://schemas.microsoft.com/office/drawing/2014/main" id="{77CB992C-5A2C-4D7B-AF6E-E6098EF44A94}"/>
              </a:ext>
            </a:extLst>
          </xdr:cNvPr>
          <xdr:cNvSpPr/>
        </xdr:nvSpPr>
        <xdr:spPr>
          <a:xfrm>
            <a:off x="2032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52" name="$E$288">
            <a:extLst>
              <a:ext uri="{FF2B5EF4-FFF2-40B4-BE49-F238E27FC236}">
                <a16:creationId xmlns:a16="http://schemas.microsoft.com/office/drawing/2014/main" id="{C7FFA200-2084-44D4-90BE-8080D3ADBC5C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53" name="$E$288">
            <a:extLst>
              <a:ext uri="{FF2B5EF4-FFF2-40B4-BE49-F238E27FC236}">
                <a16:creationId xmlns:a16="http://schemas.microsoft.com/office/drawing/2014/main" id="{D9A4355A-FF6D-47D9-BD8B-CA01F9C3FB89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54" name="$E$288">
            <a:extLst>
              <a:ext uri="{FF2B5EF4-FFF2-40B4-BE49-F238E27FC236}">
                <a16:creationId xmlns:a16="http://schemas.microsoft.com/office/drawing/2014/main" id="{77B28B5C-3CDB-4D5E-AFD9-A9EAA61DA632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55" name="$E$288">
            <a:extLst>
              <a:ext uri="{FF2B5EF4-FFF2-40B4-BE49-F238E27FC236}">
                <a16:creationId xmlns:a16="http://schemas.microsoft.com/office/drawing/2014/main" id="{D5C7B32D-2BC3-42BF-9DE2-748633D4E06B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56" name="$E$288">
            <a:extLst>
              <a:ext uri="{FF2B5EF4-FFF2-40B4-BE49-F238E27FC236}">
                <a16:creationId xmlns:a16="http://schemas.microsoft.com/office/drawing/2014/main" id="{C39697B3-50EB-41B2-92DE-01CDF84360C2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57" name="$E$288">
            <a:extLst>
              <a:ext uri="{FF2B5EF4-FFF2-40B4-BE49-F238E27FC236}">
                <a16:creationId xmlns:a16="http://schemas.microsoft.com/office/drawing/2014/main" id="{2D3CC17D-9ED1-44C8-BCAB-B47DB704BC45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58" name="$E$288">
            <a:extLst>
              <a:ext uri="{FF2B5EF4-FFF2-40B4-BE49-F238E27FC236}">
                <a16:creationId xmlns:a16="http://schemas.microsoft.com/office/drawing/2014/main" id="{A753279C-36B3-40FD-9F1A-D58495825867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59" name="$E$288">
            <a:extLst>
              <a:ext uri="{FF2B5EF4-FFF2-40B4-BE49-F238E27FC236}">
                <a16:creationId xmlns:a16="http://schemas.microsoft.com/office/drawing/2014/main" id="{44AF6D95-025D-4E53-85C5-C5E2883BCA43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60" name="$E$288">
            <a:extLst>
              <a:ext uri="{FF2B5EF4-FFF2-40B4-BE49-F238E27FC236}">
                <a16:creationId xmlns:a16="http://schemas.microsoft.com/office/drawing/2014/main" id="{42053381-648D-4F68-BF92-E35AAD28885D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61" name="$E$288">
            <a:extLst>
              <a:ext uri="{FF2B5EF4-FFF2-40B4-BE49-F238E27FC236}">
                <a16:creationId xmlns:a16="http://schemas.microsoft.com/office/drawing/2014/main" id="{1710E226-772F-40E0-A175-98C001822915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62" name="$E$288">
            <a:extLst>
              <a:ext uri="{FF2B5EF4-FFF2-40B4-BE49-F238E27FC236}">
                <a16:creationId xmlns:a16="http://schemas.microsoft.com/office/drawing/2014/main" id="{0F6A9D04-B4BA-4EA6-8931-E62F4A65B464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63" name="$E$288">
            <a:extLst>
              <a:ext uri="{FF2B5EF4-FFF2-40B4-BE49-F238E27FC236}">
                <a16:creationId xmlns:a16="http://schemas.microsoft.com/office/drawing/2014/main" id="{44483350-8C67-42D7-BB96-1F3BFE8C45BD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64" name="$E$288">
            <a:extLst>
              <a:ext uri="{FF2B5EF4-FFF2-40B4-BE49-F238E27FC236}">
                <a16:creationId xmlns:a16="http://schemas.microsoft.com/office/drawing/2014/main" id="{B121A5D6-6559-4484-B107-5608F27C3276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65" name="$E$288">
            <a:extLst>
              <a:ext uri="{FF2B5EF4-FFF2-40B4-BE49-F238E27FC236}">
                <a16:creationId xmlns:a16="http://schemas.microsoft.com/office/drawing/2014/main" id="{1C01494A-6FE5-4162-8039-11C70089E9F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66" name="$E$288">
            <a:extLst>
              <a:ext uri="{FF2B5EF4-FFF2-40B4-BE49-F238E27FC236}">
                <a16:creationId xmlns:a16="http://schemas.microsoft.com/office/drawing/2014/main" id="{7226C7A9-1120-4D42-9AED-233F02D1BC14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67" name="$E$288">
            <a:extLst>
              <a:ext uri="{FF2B5EF4-FFF2-40B4-BE49-F238E27FC236}">
                <a16:creationId xmlns:a16="http://schemas.microsoft.com/office/drawing/2014/main" id="{A854F638-9E46-4F28-836D-E95FA9B683FF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68" name="$E$288">
            <a:extLst>
              <a:ext uri="{FF2B5EF4-FFF2-40B4-BE49-F238E27FC236}">
                <a16:creationId xmlns:a16="http://schemas.microsoft.com/office/drawing/2014/main" id="{1CA73DEE-4A55-4482-A991-93BAC434B98B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69" name="$E$288">
            <a:extLst>
              <a:ext uri="{FF2B5EF4-FFF2-40B4-BE49-F238E27FC236}">
                <a16:creationId xmlns:a16="http://schemas.microsoft.com/office/drawing/2014/main" id="{D7C26BF1-67CC-4996-93EE-E272D2F33A4F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70" name="$E$288">
            <a:extLst>
              <a:ext uri="{FF2B5EF4-FFF2-40B4-BE49-F238E27FC236}">
                <a16:creationId xmlns:a16="http://schemas.microsoft.com/office/drawing/2014/main" id="{9731A2CC-42A7-4D09-A467-571CF2AB49CF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71" name="$E$288">
            <a:extLst>
              <a:ext uri="{FF2B5EF4-FFF2-40B4-BE49-F238E27FC236}">
                <a16:creationId xmlns:a16="http://schemas.microsoft.com/office/drawing/2014/main" id="{87C56C19-1128-4492-BC40-1C272E0E968C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72" name="$E$288">
            <a:extLst>
              <a:ext uri="{FF2B5EF4-FFF2-40B4-BE49-F238E27FC236}">
                <a16:creationId xmlns:a16="http://schemas.microsoft.com/office/drawing/2014/main" id="{07B17B09-FCB3-4FCC-832A-638331071B36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73" name="$E$288">
            <a:extLst>
              <a:ext uri="{FF2B5EF4-FFF2-40B4-BE49-F238E27FC236}">
                <a16:creationId xmlns:a16="http://schemas.microsoft.com/office/drawing/2014/main" id="{F3C1A857-D030-4282-9091-DC2F9827BCCA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74" name="$E$288">
            <a:extLst>
              <a:ext uri="{FF2B5EF4-FFF2-40B4-BE49-F238E27FC236}">
                <a16:creationId xmlns:a16="http://schemas.microsoft.com/office/drawing/2014/main" id="{9560ED3A-5E67-427E-AFFB-6C236D8D3E7D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75" name="$E$288">
            <a:extLst>
              <a:ext uri="{FF2B5EF4-FFF2-40B4-BE49-F238E27FC236}">
                <a16:creationId xmlns:a16="http://schemas.microsoft.com/office/drawing/2014/main" id="{1E8EEC01-63DF-4BE7-A9F0-3EF60B344B3C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76" name="$E$288">
            <a:extLst>
              <a:ext uri="{FF2B5EF4-FFF2-40B4-BE49-F238E27FC236}">
                <a16:creationId xmlns:a16="http://schemas.microsoft.com/office/drawing/2014/main" id="{090179F2-5BF7-4DD7-A54D-67A931F5A3BA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77" name="$E$288">
            <a:extLst>
              <a:ext uri="{FF2B5EF4-FFF2-40B4-BE49-F238E27FC236}">
                <a16:creationId xmlns:a16="http://schemas.microsoft.com/office/drawing/2014/main" id="{BB62126F-B1D2-4115-8E3C-7A780FE78DB3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78" name="$E$288">
            <a:extLst>
              <a:ext uri="{FF2B5EF4-FFF2-40B4-BE49-F238E27FC236}">
                <a16:creationId xmlns:a16="http://schemas.microsoft.com/office/drawing/2014/main" id="{ADB2A916-EEFF-4B8E-AF72-4673EBD6C6BC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79" name="$E$288">
            <a:extLst>
              <a:ext uri="{FF2B5EF4-FFF2-40B4-BE49-F238E27FC236}">
                <a16:creationId xmlns:a16="http://schemas.microsoft.com/office/drawing/2014/main" id="{92014DB5-71C0-4DBA-B8CC-8209DDD2DCB9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80" name="$E$288">
            <a:extLst>
              <a:ext uri="{FF2B5EF4-FFF2-40B4-BE49-F238E27FC236}">
                <a16:creationId xmlns:a16="http://schemas.microsoft.com/office/drawing/2014/main" id="{9C4EEBAB-003D-43EC-A2B1-1AB0FFF7C108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81" name="$E$288">
            <a:extLst>
              <a:ext uri="{FF2B5EF4-FFF2-40B4-BE49-F238E27FC236}">
                <a16:creationId xmlns:a16="http://schemas.microsoft.com/office/drawing/2014/main" id="{10DF4FAB-3D60-4D97-AC37-9782C6F09BDA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82" name="$E$288">
            <a:extLst>
              <a:ext uri="{FF2B5EF4-FFF2-40B4-BE49-F238E27FC236}">
                <a16:creationId xmlns:a16="http://schemas.microsoft.com/office/drawing/2014/main" id="{9EF26BAB-9EB9-4B85-B625-F96DEB8CFFE5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83" name="$E$288">
            <a:extLst>
              <a:ext uri="{FF2B5EF4-FFF2-40B4-BE49-F238E27FC236}">
                <a16:creationId xmlns:a16="http://schemas.microsoft.com/office/drawing/2014/main" id="{44BE7021-0A6C-4BF1-842B-4E62E897F5D8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84" name="$E$288">
            <a:extLst>
              <a:ext uri="{FF2B5EF4-FFF2-40B4-BE49-F238E27FC236}">
                <a16:creationId xmlns:a16="http://schemas.microsoft.com/office/drawing/2014/main" id="{390E8BC9-F94A-463B-BA2F-A6A41A35D61E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85" name="$E$288">
            <a:extLst>
              <a:ext uri="{FF2B5EF4-FFF2-40B4-BE49-F238E27FC236}">
                <a16:creationId xmlns:a16="http://schemas.microsoft.com/office/drawing/2014/main" id="{3AF361FB-3965-491B-8B90-A2651DF20E84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86" name="$E$288">
            <a:extLst>
              <a:ext uri="{FF2B5EF4-FFF2-40B4-BE49-F238E27FC236}">
                <a16:creationId xmlns:a16="http://schemas.microsoft.com/office/drawing/2014/main" id="{EF2C1A53-33B4-4916-B95D-5EC3AAC268FA}"/>
              </a:ext>
            </a:extLst>
          </xdr:cNvPr>
          <xdr:cNvSpPr/>
        </xdr:nvSpPr>
        <xdr:spPr>
          <a:xfrm>
            <a:off x="203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87" name="$E$288">
            <a:extLst>
              <a:ext uri="{FF2B5EF4-FFF2-40B4-BE49-F238E27FC236}">
                <a16:creationId xmlns:a16="http://schemas.microsoft.com/office/drawing/2014/main" id="{A99D6142-3A4E-4347-9E7D-427BC130B98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88" name="$E$288">
            <a:extLst>
              <a:ext uri="{FF2B5EF4-FFF2-40B4-BE49-F238E27FC236}">
                <a16:creationId xmlns:a16="http://schemas.microsoft.com/office/drawing/2014/main" id="{76BC9596-A0FF-4659-A992-6ABC90746F58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89" name="$E$288">
            <a:extLst>
              <a:ext uri="{FF2B5EF4-FFF2-40B4-BE49-F238E27FC236}">
                <a16:creationId xmlns:a16="http://schemas.microsoft.com/office/drawing/2014/main" id="{209F07F7-75D9-437B-B38F-565153F7F2CB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90" name="$E$288">
            <a:extLst>
              <a:ext uri="{FF2B5EF4-FFF2-40B4-BE49-F238E27FC236}">
                <a16:creationId xmlns:a16="http://schemas.microsoft.com/office/drawing/2014/main" id="{491CD42C-305B-43F0-AF89-C3A768116B68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91" name="$E$288">
            <a:extLst>
              <a:ext uri="{FF2B5EF4-FFF2-40B4-BE49-F238E27FC236}">
                <a16:creationId xmlns:a16="http://schemas.microsoft.com/office/drawing/2014/main" id="{2EB518B4-C634-4569-A195-3F3A4192FAA9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92" name="$E$288">
            <a:extLst>
              <a:ext uri="{FF2B5EF4-FFF2-40B4-BE49-F238E27FC236}">
                <a16:creationId xmlns:a16="http://schemas.microsoft.com/office/drawing/2014/main" id="{C5041A75-E11B-4497-B237-7D7877D650A1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93" name="$E$288">
            <a:extLst>
              <a:ext uri="{FF2B5EF4-FFF2-40B4-BE49-F238E27FC236}">
                <a16:creationId xmlns:a16="http://schemas.microsoft.com/office/drawing/2014/main" id="{83554A3C-F297-41D6-BDCA-4DA5FCA00700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94" name="$E$288">
            <a:extLst>
              <a:ext uri="{FF2B5EF4-FFF2-40B4-BE49-F238E27FC236}">
                <a16:creationId xmlns:a16="http://schemas.microsoft.com/office/drawing/2014/main" id="{875CD4BA-4BBE-4D5B-965B-B1677399C9EB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95" name="$E$288">
            <a:extLst>
              <a:ext uri="{FF2B5EF4-FFF2-40B4-BE49-F238E27FC236}">
                <a16:creationId xmlns:a16="http://schemas.microsoft.com/office/drawing/2014/main" id="{C0674A8E-41AF-4D01-A371-58E2383062AA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96" name="$E$288">
            <a:extLst>
              <a:ext uri="{FF2B5EF4-FFF2-40B4-BE49-F238E27FC236}">
                <a16:creationId xmlns:a16="http://schemas.microsoft.com/office/drawing/2014/main" id="{FEA8F60C-B78A-4B47-9525-4F4D205F68C8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97" name="$E$288">
            <a:extLst>
              <a:ext uri="{FF2B5EF4-FFF2-40B4-BE49-F238E27FC236}">
                <a16:creationId xmlns:a16="http://schemas.microsoft.com/office/drawing/2014/main" id="{71232867-71F6-4287-931A-67D043407CF8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98" name="$E$288">
            <a:extLst>
              <a:ext uri="{FF2B5EF4-FFF2-40B4-BE49-F238E27FC236}">
                <a16:creationId xmlns:a16="http://schemas.microsoft.com/office/drawing/2014/main" id="{7420D1CA-32DF-43AE-AFCF-41BC8080E0CB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899" name="$E$288">
            <a:extLst>
              <a:ext uri="{FF2B5EF4-FFF2-40B4-BE49-F238E27FC236}">
                <a16:creationId xmlns:a16="http://schemas.microsoft.com/office/drawing/2014/main" id="{7E8ADFD7-F9E0-4C67-8E7A-CC8A04332E06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00" name="$E$288">
            <a:extLst>
              <a:ext uri="{FF2B5EF4-FFF2-40B4-BE49-F238E27FC236}">
                <a16:creationId xmlns:a16="http://schemas.microsoft.com/office/drawing/2014/main" id="{4D9B33A2-12EE-4356-89E6-AC3A9A18B218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01" name="$E$288">
            <a:extLst>
              <a:ext uri="{FF2B5EF4-FFF2-40B4-BE49-F238E27FC236}">
                <a16:creationId xmlns:a16="http://schemas.microsoft.com/office/drawing/2014/main" id="{A11A16FE-7F31-41AC-8098-76ADE93927F5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02" name="$E$288">
            <a:extLst>
              <a:ext uri="{FF2B5EF4-FFF2-40B4-BE49-F238E27FC236}">
                <a16:creationId xmlns:a16="http://schemas.microsoft.com/office/drawing/2014/main" id="{7E4D20D4-6B24-4010-A30C-CE6C82016AA2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03" name="$E$288">
            <a:extLst>
              <a:ext uri="{FF2B5EF4-FFF2-40B4-BE49-F238E27FC236}">
                <a16:creationId xmlns:a16="http://schemas.microsoft.com/office/drawing/2014/main" id="{4751006B-1826-4CCC-BB77-2172987FAC3F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04" name="$E$288">
            <a:extLst>
              <a:ext uri="{FF2B5EF4-FFF2-40B4-BE49-F238E27FC236}">
                <a16:creationId xmlns:a16="http://schemas.microsoft.com/office/drawing/2014/main" id="{0698F2D4-2D6E-49EF-B65F-F1EECF890D8A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05" name="$E$288">
            <a:extLst>
              <a:ext uri="{FF2B5EF4-FFF2-40B4-BE49-F238E27FC236}">
                <a16:creationId xmlns:a16="http://schemas.microsoft.com/office/drawing/2014/main" id="{FE6D77A1-09F7-4002-B276-9827EE5BD1E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06" name="$E$288">
            <a:extLst>
              <a:ext uri="{FF2B5EF4-FFF2-40B4-BE49-F238E27FC236}">
                <a16:creationId xmlns:a16="http://schemas.microsoft.com/office/drawing/2014/main" id="{1A12D2E9-BE0C-44C0-A624-07F6678B6BD8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07" name="$E$288">
            <a:extLst>
              <a:ext uri="{FF2B5EF4-FFF2-40B4-BE49-F238E27FC236}">
                <a16:creationId xmlns:a16="http://schemas.microsoft.com/office/drawing/2014/main" id="{48085C28-84C8-413C-83EA-9924C46F4C3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08" name="$E$288">
            <a:extLst>
              <a:ext uri="{FF2B5EF4-FFF2-40B4-BE49-F238E27FC236}">
                <a16:creationId xmlns:a16="http://schemas.microsoft.com/office/drawing/2014/main" id="{73CB22F7-8B26-498D-AF6B-918121A94A92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09" name="$E$288">
            <a:extLst>
              <a:ext uri="{FF2B5EF4-FFF2-40B4-BE49-F238E27FC236}">
                <a16:creationId xmlns:a16="http://schemas.microsoft.com/office/drawing/2014/main" id="{0F9DBC33-4401-4281-AB8B-C49097FF4B8A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10" name="$E$288">
            <a:extLst>
              <a:ext uri="{FF2B5EF4-FFF2-40B4-BE49-F238E27FC236}">
                <a16:creationId xmlns:a16="http://schemas.microsoft.com/office/drawing/2014/main" id="{E14D1E75-3636-45BC-93A6-29207FC94870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11" name="$E$288">
            <a:extLst>
              <a:ext uri="{FF2B5EF4-FFF2-40B4-BE49-F238E27FC236}">
                <a16:creationId xmlns:a16="http://schemas.microsoft.com/office/drawing/2014/main" id="{16C2DD32-FBC8-45F1-84A3-7791E20EE2B4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12" name="$E$288">
            <a:extLst>
              <a:ext uri="{FF2B5EF4-FFF2-40B4-BE49-F238E27FC236}">
                <a16:creationId xmlns:a16="http://schemas.microsoft.com/office/drawing/2014/main" id="{689CD64C-24AE-4A5E-A07A-CE473FD500EE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13" name="$E$288">
            <a:extLst>
              <a:ext uri="{FF2B5EF4-FFF2-40B4-BE49-F238E27FC236}">
                <a16:creationId xmlns:a16="http://schemas.microsoft.com/office/drawing/2014/main" id="{71B79C4E-415E-4510-A749-A0EF3894BA45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14" name="$E$288">
            <a:extLst>
              <a:ext uri="{FF2B5EF4-FFF2-40B4-BE49-F238E27FC236}">
                <a16:creationId xmlns:a16="http://schemas.microsoft.com/office/drawing/2014/main" id="{26E01EEC-D425-4DD8-B4D1-D521CB41759D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15" name="$E$288">
            <a:extLst>
              <a:ext uri="{FF2B5EF4-FFF2-40B4-BE49-F238E27FC236}">
                <a16:creationId xmlns:a16="http://schemas.microsoft.com/office/drawing/2014/main" id="{7F406526-E8BA-4126-9B21-94D2A08D1582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16" name="$E$288">
            <a:extLst>
              <a:ext uri="{FF2B5EF4-FFF2-40B4-BE49-F238E27FC236}">
                <a16:creationId xmlns:a16="http://schemas.microsoft.com/office/drawing/2014/main" id="{2165555A-18A6-436F-8F72-DAB7719D0060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17" name="$E$288">
            <a:extLst>
              <a:ext uri="{FF2B5EF4-FFF2-40B4-BE49-F238E27FC236}">
                <a16:creationId xmlns:a16="http://schemas.microsoft.com/office/drawing/2014/main" id="{0E4520F5-2A1A-425F-ADA6-BA9B4E09DBFE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18" name="$E$288">
            <a:extLst>
              <a:ext uri="{FF2B5EF4-FFF2-40B4-BE49-F238E27FC236}">
                <a16:creationId xmlns:a16="http://schemas.microsoft.com/office/drawing/2014/main" id="{1583354E-A751-49ED-9443-0C1CC4D7672E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19" name="$E$288">
            <a:extLst>
              <a:ext uri="{FF2B5EF4-FFF2-40B4-BE49-F238E27FC236}">
                <a16:creationId xmlns:a16="http://schemas.microsoft.com/office/drawing/2014/main" id="{F1C20A3C-529E-45C0-9E1C-D694DA4ED3A8}"/>
              </a:ext>
            </a:extLst>
          </xdr:cNvPr>
          <xdr:cNvSpPr/>
        </xdr:nvSpPr>
        <xdr:spPr>
          <a:xfrm>
            <a:off x="241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20" name="$E$288">
            <a:extLst>
              <a:ext uri="{FF2B5EF4-FFF2-40B4-BE49-F238E27FC236}">
                <a16:creationId xmlns:a16="http://schemas.microsoft.com/office/drawing/2014/main" id="{7D992C6A-EBCD-4169-8AAC-743AF1624CAD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21" name="$E$288">
            <a:extLst>
              <a:ext uri="{FF2B5EF4-FFF2-40B4-BE49-F238E27FC236}">
                <a16:creationId xmlns:a16="http://schemas.microsoft.com/office/drawing/2014/main" id="{738A9200-32B8-406E-BD7D-C9E9DDD76CCA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22" name="$E$288">
            <a:extLst>
              <a:ext uri="{FF2B5EF4-FFF2-40B4-BE49-F238E27FC236}">
                <a16:creationId xmlns:a16="http://schemas.microsoft.com/office/drawing/2014/main" id="{707CFF33-94FB-4C56-90EA-FB773803AA0A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23" name="$E$288">
            <a:extLst>
              <a:ext uri="{FF2B5EF4-FFF2-40B4-BE49-F238E27FC236}">
                <a16:creationId xmlns:a16="http://schemas.microsoft.com/office/drawing/2014/main" id="{6D6AAB41-8626-4450-964E-EA5F28EAE710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24" name="$E$288">
            <a:extLst>
              <a:ext uri="{FF2B5EF4-FFF2-40B4-BE49-F238E27FC236}">
                <a16:creationId xmlns:a16="http://schemas.microsoft.com/office/drawing/2014/main" id="{03464F39-02C7-49EC-BC05-8C786A054FE7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25" name="$E$288">
            <a:extLst>
              <a:ext uri="{FF2B5EF4-FFF2-40B4-BE49-F238E27FC236}">
                <a16:creationId xmlns:a16="http://schemas.microsoft.com/office/drawing/2014/main" id="{CDFAA3F4-7FC9-484B-BAB8-DC4B09FDEC49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26" name="$E$288">
            <a:extLst>
              <a:ext uri="{FF2B5EF4-FFF2-40B4-BE49-F238E27FC236}">
                <a16:creationId xmlns:a16="http://schemas.microsoft.com/office/drawing/2014/main" id="{976B1524-C513-4314-BAF3-356B278E4A18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27" name="$E$288">
            <a:extLst>
              <a:ext uri="{FF2B5EF4-FFF2-40B4-BE49-F238E27FC236}">
                <a16:creationId xmlns:a16="http://schemas.microsoft.com/office/drawing/2014/main" id="{0E2FFCD6-90B3-4E4B-91AD-0B594228861B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28" name="$E$288">
            <a:extLst>
              <a:ext uri="{FF2B5EF4-FFF2-40B4-BE49-F238E27FC236}">
                <a16:creationId xmlns:a16="http://schemas.microsoft.com/office/drawing/2014/main" id="{9BDECFCD-AEDA-4423-B077-AC5F9E684404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29" name="$E$288">
            <a:extLst>
              <a:ext uri="{FF2B5EF4-FFF2-40B4-BE49-F238E27FC236}">
                <a16:creationId xmlns:a16="http://schemas.microsoft.com/office/drawing/2014/main" id="{528312DF-FFE8-4B39-AF32-B27F1A745AC4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30" name="$E$288">
            <a:extLst>
              <a:ext uri="{FF2B5EF4-FFF2-40B4-BE49-F238E27FC236}">
                <a16:creationId xmlns:a16="http://schemas.microsoft.com/office/drawing/2014/main" id="{D2F9BC5F-1ED0-4BA9-B276-82C8AA764D84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31" name="$E$288">
            <a:extLst>
              <a:ext uri="{FF2B5EF4-FFF2-40B4-BE49-F238E27FC236}">
                <a16:creationId xmlns:a16="http://schemas.microsoft.com/office/drawing/2014/main" id="{9F87B479-4685-4466-A218-16803BE33200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32" name="$E$288">
            <a:extLst>
              <a:ext uri="{FF2B5EF4-FFF2-40B4-BE49-F238E27FC236}">
                <a16:creationId xmlns:a16="http://schemas.microsoft.com/office/drawing/2014/main" id="{F1A277C4-3490-4028-9F6D-F795056EF9E4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33" name="$E$288">
            <a:extLst>
              <a:ext uri="{FF2B5EF4-FFF2-40B4-BE49-F238E27FC236}">
                <a16:creationId xmlns:a16="http://schemas.microsoft.com/office/drawing/2014/main" id="{84D2744F-F0BD-4916-9CC9-5480551930AC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34" name="$E$288">
            <a:extLst>
              <a:ext uri="{FF2B5EF4-FFF2-40B4-BE49-F238E27FC236}">
                <a16:creationId xmlns:a16="http://schemas.microsoft.com/office/drawing/2014/main" id="{D13D270C-B186-4990-BEA9-3A6D54571E16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35" name="$E$288">
            <a:extLst>
              <a:ext uri="{FF2B5EF4-FFF2-40B4-BE49-F238E27FC236}">
                <a16:creationId xmlns:a16="http://schemas.microsoft.com/office/drawing/2014/main" id="{D1299946-EEA2-432E-BC56-8396B70A7A92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36" name="$E$288">
            <a:extLst>
              <a:ext uri="{FF2B5EF4-FFF2-40B4-BE49-F238E27FC236}">
                <a16:creationId xmlns:a16="http://schemas.microsoft.com/office/drawing/2014/main" id="{683A4645-3C39-41C4-8947-2D13B0202286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37" name="$E$288">
            <a:extLst>
              <a:ext uri="{FF2B5EF4-FFF2-40B4-BE49-F238E27FC236}">
                <a16:creationId xmlns:a16="http://schemas.microsoft.com/office/drawing/2014/main" id="{30BAFFDD-866A-4D22-9BCD-C2ACB274AFE8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38" name="$E$288">
            <a:extLst>
              <a:ext uri="{FF2B5EF4-FFF2-40B4-BE49-F238E27FC236}">
                <a16:creationId xmlns:a16="http://schemas.microsoft.com/office/drawing/2014/main" id="{E3C2B313-2819-4E4B-8F08-14AACEDF7632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39" name="$E$288">
            <a:extLst>
              <a:ext uri="{FF2B5EF4-FFF2-40B4-BE49-F238E27FC236}">
                <a16:creationId xmlns:a16="http://schemas.microsoft.com/office/drawing/2014/main" id="{75F2A5B0-3B2D-4F3D-9BB7-ED38CE0153FD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40" name="$E$288">
            <a:extLst>
              <a:ext uri="{FF2B5EF4-FFF2-40B4-BE49-F238E27FC236}">
                <a16:creationId xmlns:a16="http://schemas.microsoft.com/office/drawing/2014/main" id="{4B8F3DAD-1DA5-4387-A5A2-5AA30FF01C01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41" name="$E$288">
            <a:extLst>
              <a:ext uri="{FF2B5EF4-FFF2-40B4-BE49-F238E27FC236}">
                <a16:creationId xmlns:a16="http://schemas.microsoft.com/office/drawing/2014/main" id="{6FAF363E-8FCF-4CC5-9A6A-B145C03052A1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42" name="$E$288">
            <a:extLst>
              <a:ext uri="{FF2B5EF4-FFF2-40B4-BE49-F238E27FC236}">
                <a16:creationId xmlns:a16="http://schemas.microsoft.com/office/drawing/2014/main" id="{50076D45-A43A-4E51-AC41-45BBB2747A9A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43" name="$E$288">
            <a:extLst>
              <a:ext uri="{FF2B5EF4-FFF2-40B4-BE49-F238E27FC236}">
                <a16:creationId xmlns:a16="http://schemas.microsoft.com/office/drawing/2014/main" id="{0625D7C8-AB18-4E54-8268-2A66C467D770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44" name="$E$288">
            <a:extLst>
              <a:ext uri="{FF2B5EF4-FFF2-40B4-BE49-F238E27FC236}">
                <a16:creationId xmlns:a16="http://schemas.microsoft.com/office/drawing/2014/main" id="{0E4465E8-3E25-44CA-A921-E1DD6C7FD577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45" name="$E$288">
            <a:extLst>
              <a:ext uri="{FF2B5EF4-FFF2-40B4-BE49-F238E27FC236}">
                <a16:creationId xmlns:a16="http://schemas.microsoft.com/office/drawing/2014/main" id="{D595C6B8-1F8C-43E8-B9CD-B05EB5A66BCB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46" name="$E$288">
            <a:extLst>
              <a:ext uri="{FF2B5EF4-FFF2-40B4-BE49-F238E27FC236}">
                <a16:creationId xmlns:a16="http://schemas.microsoft.com/office/drawing/2014/main" id="{9F640055-8C6C-4771-94AC-3B379FAB01B3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47" name="$E$288">
            <a:extLst>
              <a:ext uri="{FF2B5EF4-FFF2-40B4-BE49-F238E27FC236}">
                <a16:creationId xmlns:a16="http://schemas.microsoft.com/office/drawing/2014/main" id="{8AAF425B-0822-42B5-9360-33DFB97892A6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48" name="$E$288">
            <a:extLst>
              <a:ext uri="{FF2B5EF4-FFF2-40B4-BE49-F238E27FC236}">
                <a16:creationId xmlns:a16="http://schemas.microsoft.com/office/drawing/2014/main" id="{D10B07FD-964A-4594-BE2A-AD3C4641D63B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49" name="$E$288">
            <a:extLst>
              <a:ext uri="{FF2B5EF4-FFF2-40B4-BE49-F238E27FC236}">
                <a16:creationId xmlns:a16="http://schemas.microsoft.com/office/drawing/2014/main" id="{EF7660E9-BF8C-4384-B6F9-B8DE706526EE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50" name="$E$288">
            <a:extLst>
              <a:ext uri="{FF2B5EF4-FFF2-40B4-BE49-F238E27FC236}">
                <a16:creationId xmlns:a16="http://schemas.microsoft.com/office/drawing/2014/main" id="{B2018E2B-3A67-407F-BC06-3FD16DD944B4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51" name="$E$288">
            <a:extLst>
              <a:ext uri="{FF2B5EF4-FFF2-40B4-BE49-F238E27FC236}">
                <a16:creationId xmlns:a16="http://schemas.microsoft.com/office/drawing/2014/main" id="{E9224B63-2A8E-4E2E-ADCC-08615151DEA2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52" name="$E$288">
            <a:extLst>
              <a:ext uri="{FF2B5EF4-FFF2-40B4-BE49-F238E27FC236}">
                <a16:creationId xmlns:a16="http://schemas.microsoft.com/office/drawing/2014/main" id="{539DC8CB-17FE-47B6-9DA8-0A244B15E3F8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53" name="$E$288">
            <a:extLst>
              <a:ext uri="{FF2B5EF4-FFF2-40B4-BE49-F238E27FC236}">
                <a16:creationId xmlns:a16="http://schemas.microsoft.com/office/drawing/2014/main" id="{8CE55260-C38B-488B-BF0F-CB3945EF24DF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54" name="$E$288">
            <a:extLst>
              <a:ext uri="{FF2B5EF4-FFF2-40B4-BE49-F238E27FC236}">
                <a16:creationId xmlns:a16="http://schemas.microsoft.com/office/drawing/2014/main" id="{6D15EE91-331B-4F74-93B3-FB082220B964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55" name="$E$288">
            <a:extLst>
              <a:ext uri="{FF2B5EF4-FFF2-40B4-BE49-F238E27FC236}">
                <a16:creationId xmlns:a16="http://schemas.microsoft.com/office/drawing/2014/main" id="{A098DB12-4233-4F31-984A-BA7BD788AD8C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56" name="$E$288">
            <a:extLst>
              <a:ext uri="{FF2B5EF4-FFF2-40B4-BE49-F238E27FC236}">
                <a16:creationId xmlns:a16="http://schemas.microsoft.com/office/drawing/2014/main" id="{AA4559E6-665A-4B88-B2D1-CEFBC269DB5C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57" name="$E$288">
            <a:extLst>
              <a:ext uri="{FF2B5EF4-FFF2-40B4-BE49-F238E27FC236}">
                <a16:creationId xmlns:a16="http://schemas.microsoft.com/office/drawing/2014/main" id="{C78764CA-55DF-4C06-B74D-3D968B1CB7B6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58" name="$E$288">
            <a:extLst>
              <a:ext uri="{FF2B5EF4-FFF2-40B4-BE49-F238E27FC236}">
                <a16:creationId xmlns:a16="http://schemas.microsoft.com/office/drawing/2014/main" id="{6C44332C-46BD-4AF5-BE31-6ED96D9EA64F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59" name="$E$288">
            <a:extLst>
              <a:ext uri="{FF2B5EF4-FFF2-40B4-BE49-F238E27FC236}">
                <a16:creationId xmlns:a16="http://schemas.microsoft.com/office/drawing/2014/main" id="{509F879E-9F90-4EE4-8F84-360CC81D10CE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60" name="$E$288">
            <a:extLst>
              <a:ext uri="{FF2B5EF4-FFF2-40B4-BE49-F238E27FC236}">
                <a16:creationId xmlns:a16="http://schemas.microsoft.com/office/drawing/2014/main" id="{1171604D-D181-42ED-9060-3AE889600A37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61" name="$E$288">
            <a:extLst>
              <a:ext uri="{FF2B5EF4-FFF2-40B4-BE49-F238E27FC236}">
                <a16:creationId xmlns:a16="http://schemas.microsoft.com/office/drawing/2014/main" id="{15CA69B5-F678-4706-A7C6-19366BF6CB5C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62" name="$E$288">
            <a:extLst>
              <a:ext uri="{FF2B5EF4-FFF2-40B4-BE49-F238E27FC236}">
                <a16:creationId xmlns:a16="http://schemas.microsoft.com/office/drawing/2014/main" id="{F8269A8A-AE74-4C5A-991F-C8029D99CBEF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63" name="$E$288">
            <a:extLst>
              <a:ext uri="{FF2B5EF4-FFF2-40B4-BE49-F238E27FC236}">
                <a16:creationId xmlns:a16="http://schemas.microsoft.com/office/drawing/2014/main" id="{ED550BFB-7C1E-4004-8DBB-FCAE5D496DE6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64" name="$E$288">
            <a:extLst>
              <a:ext uri="{FF2B5EF4-FFF2-40B4-BE49-F238E27FC236}">
                <a16:creationId xmlns:a16="http://schemas.microsoft.com/office/drawing/2014/main" id="{0F1D9E5F-A069-4409-9057-4A5FD0E6D66B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65" name="$E$288">
            <a:extLst>
              <a:ext uri="{FF2B5EF4-FFF2-40B4-BE49-F238E27FC236}">
                <a16:creationId xmlns:a16="http://schemas.microsoft.com/office/drawing/2014/main" id="{28E0304A-6E44-4233-96EB-9306E86CB8AF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66" name="$E$288">
            <a:extLst>
              <a:ext uri="{FF2B5EF4-FFF2-40B4-BE49-F238E27FC236}">
                <a16:creationId xmlns:a16="http://schemas.microsoft.com/office/drawing/2014/main" id="{26DF1856-3FC4-474A-ACF9-B6903A673F05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67" name="$E$288">
            <a:extLst>
              <a:ext uri="{FF2B5EF4-FFF2-40B4-BE49-F238E27FC236}">
                <a16:creationId xmlns:a16="http://schemas.microsoft.com/office/drawing/2014/main" id="{43241A90-88DF-4F28-B22A-EACA2012D8FC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68" name="$E$288">
            <a:extLst>
              <a:ext uri="{FF2B5EF4-FFF2-40B4-BE49-F238E27FC236}">
                <a16:creationId xmlns:a16="http://schemas.microsoft.com/office/drawing/2014/main" id="{EDDFA1D3-F717-4B9A-88AE-2B723F5AC368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69" name="$E$288">
            <a:extLst>
              <a:ext uri="{FF2B5EF4-FFF2-40B4-BE49-F238E27FC236}">
                <a16:creationId xmlns:a16="http://schemas.microsoft.com/office/drawing/2014/main" id="{FF3B5A90-75D8-4770-92D3-101D4FE00292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70" name="$E$288">
            <a:extLst>
              <a:ext uri="{FF2B5EF4-FFF2-40B4-BE49-F238E27FC236}">
                <a16:creationId xmlns:a16="http://schemas.microsoft.com/office/drawing/2014/main" id="{C0A2E601-3009-4888-97C5-4DE2F8A4DE62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71" name="$E$288">
            <a:extLst>
              <a:ext uri="{FF2B5EF4-FFF2-40B4-BE49-F238E27FC236}">
                <a16:creationId xmlns:a16="http://schemas.microsoft.com/office/drawing/2014/main" id="{361688D8-77E1-4BF6-80E9-75F51A47A805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72" name="$E$288">
            <a:extLst>
              <a:ext uri="{FF2B5EF4-FFF2-40B4-BE49-F238E27FC236}">
                <a16:creationId xmlns:a16="http://schemas.microsoft.com/office/drawing/2014/main" id="{59E0B3D9-A0E5-460B-ACD5-463B9685E900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73" name="$E$288">
            <a:extLst>
              <a:ext uri="{FF2B5EF4-FFF2-40B4-BE49-F238E27FC236}">
                <a16:creationId xmlns:a16="http://schemas.microsoft.com/office/drawing/2014/main" id="{D2F2C95E-2565-4AA8-9039-6E8914B5349F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74" name="$E$288">
            <a:extLst>
              <a:ext uri="{FF2B5EF4-FFF2-40B4-BE49-F238E27FC236}">
                <a16:creationId xmlns:a16="http://schemas.microsoft.com/office/drawing/2014/main" id="{CC34FAFF-2369-4F0C-B319-7E9DDC5F2DC8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75" name="$E$288">
            <a:extLst>
              <a:ext uri="{FF2B5EF4-FFF2-40B4-BE49-F238E27FC236}">
                <a16:creationId xmlns:a16="http://schemas.microsoft.com/office/drawing/2014/main" id="{8E484999-A8C1-4934-B24E-6235DD89EDCD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76" name="$E$288">
            <a:extLst>
              <a:ext uri="{FF2B5EF4-FFF2-40B4-BE49-F238E27FC236}">
                <a16:creationId xmlns:a16="http://schemas.microsoft.com/office/drawing/2014/main" id="{BAAC85F7-C807-4DC4-9538-59C8EE0F2236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77" name="$E$288">
            <a:extLst>
              <a:ext uri="{FF2B5EF4-FFF2-40B4-BE49-F238E27FC236}">
                <a16:creationId xmlns:a16="http://schemas.microsoft.com/office/drawing/2014/main" id="{F2D78B71-8A35-4A35-B307-BD7A57A9D286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78" name="$E$288">
            <a:extLst>
              <a:ext uri="{FF2B5EF4-FFF2-40B4-BE49-F238E27FC236}">
                <a16:creationId xmlns:a16="http://schemas.microsoft.com/office/drawing/2014/main" id="{63B959F8-3356-4F5F-AB3A-51E62D3B5B62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79" name="$E$288">
            <a:extLst>
              <a:ext uri="{FF2B5EF4-FFF2-40B4-BE49-F238E27FC236}">
                <a16:creationId xmlns:a16="http://schemas.microsoft.com/office/drawing/2014/main" id="{3EE1950C-0B70-4B75-AC5C-F0B0563097A2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80" name="$E$288">
            <a:extLst>
              <a:ext uri="{FF2B5EF4-FFF2-40B4-BE49-F238E27FC236}">
                <a16:creationId xmlns:a16="http://schemas.microsoft.com/office/drawing/2014/main" id="{B6D2D76D-52E7-4883-9C84-AAE7F2AF3644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81" name="$E$288">
            <a:extLst>
              <a:ext uri="{FF2B5EF4-FFF2-40B4-BE49-F238E27FC236}">
                <a16:creationId xmlns:a16="http://schemas.microsoft.com/office/drawing/2014/main" id="{774250AE-1996-4076-AC91-EBEA4DC18EE1}"/>
              </a:ext>
            </a:extLst>
          </xdr:cNvPr>
          <xdr:cNvSpPr/>
        </xdr:nvSpPr>
        <xdr:spPr>
          <a:xfrm>
            <a:off x="12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82" name="$E$288">
            <a:extLst>
              <a:ext uri="{FF2B5EF4-FFF2-40B4-BE49-F238E27FC236}">
                <a16:creationId xmlns:a16="http://schemas.microsoft.com/office/drawing/2014/main" id="{7223A8A7-F7F4-4FFC-80F9-488BEB5A6CB6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83" name="$E$288">
            <a:extLst>
              <a:ext uri="{FF2B5EF4-FFF2-40B4-BE49-F238E27FC236}">
                <a16:creationId xmlns:a16="http://schemas.microsoft.com/office/drawing/2014/main" id="{03385B78-1637-41E2-BC0A-355801067C65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84" name="$E$288">
            <a:extLst>
              <a:ext uri="{FF2B5EF4-FFF2-40B4-BE49-F238E27FC236}">
                <a16:creationId xmlns:a16="http://schemas.microsoft.com/office/drawing/2014/main" id="{74BD051C-467E-4675-AD43-8C6A7BD67235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85" name="$E$288">
            <a:extLst>
              <a:ext uri="{FF2B5EF4-FFF2-40B4-BE49-F238E27FC236}">
                <a16:creationId xmlns:a16="http://schemas.microsoft.com/office/drawing/2014/main" id="{D205249B-5C1E-4458-9361-203210402D75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86" name="$E$288">
            <a:extLst>
              <a:ext uri="{FF2B5EF4-FFF2-40B4-BE49-F238E27FC236}">
                <a16:creationId xmlns:a16="http://schemas.microsoft.com/office/drawing/2014/main" id="{105A4DFF-EAC5-4F70-854B-A37747CEE595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87" name="$E$288">
            <a:extLst>
              <a:ext uri="{FF2B5EF4-FFF2-40B4-BE49-F238E27FC236}">
                <a16:creationId xmlns:a16="http://schemas.microsoft.com/office/drawing/2014/main" id="{01250198-E5D6-4F83-A1E9-910CEEC3F8B8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88" name="$E$288">
            <a:extLst>
              <a:ext uri="{FF2B5EF4-FFF2-40B4-BE49-F238E27FC236}">
                <a16:creationId xmlns:a16="http://schemas.microsoft.com/office/drawing/2014/main" id="{DFE08041-881C-443D-A534-72C59DD8E562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89" name="$E$288">
            <a:extLst>
              <a:ext uri="{FF2B5EF4-FFF2-40B4-BE49-F238E27FC236}">
                <a16:creationId xmlns:a16="http://schemas.microsoft.com/office/drawing/2014/main" id="{84F32A01-E3AF-4AE4-A98D-A013FFDFA8CF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90" name="$E$288">
            <a:extLst>
              <a:ext uri="{FF2B5EF4-FFF2-40B4-BE49-F238E27FC236}">
                <a16:creationId xmlns:a16="http://schemas.microsoft.com/office/drawing/2014/main" id="{24484976-AEB9-4396-91DB-F6AF2252A7C4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91" name="$E$288">
            <a:extLst>
              <a:ext uri="{FF2B5EF4-FFF2-40B4-BE49-F238E27FC236}">
                <a16:creationId xmlns:a16="http://schemas.microsoft.com/office/drawing/2014/main" id="{8D3D4644-24C8-485D-B951-0FDB7C7254DC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92" name="$E$288">
            <a:extLst>
              <a:ext uri="{FF2B5EF4-FFF2-40B4-BE49-F238E27FC236}">
                <a16:creationId xmlns:a16="http://schemas.microsoft.com/office/drawing/2014/main" id="{68D96DD4-2719-49D4-B0C5-ADB442B2E67D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93" name="$E$288">
            <a:extLst>
              <a:ext uri="{FF2B5EF4-FFF2-40B4-BE49-F238E27FC236}">
                <a16:creationId xmlns:a16="http://schemas.microsoft.com/office/drawing/2014/main" id="{5608ADE0-8425-48AB-B3C8-C68FFF5DEED3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94" name="$E$288">
            <a:extLst>
              <a:ext uri="{FF2B5EF4-FFF2-40B4-BE49-F238E27FC236}">
                <a16:creationId xmlns:a16="http://schemas.microsoft.com/office/drawing/2014/main" id="{993E63B9-323D-48AE-B925-75FEFF18133C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95" name="$E$288">
            <a:extLst>
              <a:ext uri="{FF2B5EF4-FFF2-40B4-BE49-F238E27FC236}">
                <a16:creationId xmlns:a16="http://schemas.microsoft.com/office/drawing/2014/main" id="{D99A078E-961F-4BA6-809A-BE2A4853BCE5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96" name="$E$288">
            <a:extLst>
              <a:ext uri="{FF2B5EF4-FFF2-40B4-BE49-F238E27FC236}">
                <a16:creationId xmlns:a16="http://schemas.microsoft.com/office/drawing/2014/main" id="{3B2428B0-850C-475D-BC99-66EC21B6BD78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97" name="$E$288">
            <a:extLst>
              <a:ext uri="{FF2B5EF4-FFF2-40B4-BE49-F238E27FC236}">
                <a16:creationId xmlns:a16="http://schemas.microsoft.com/office/drawing/2014/main" id="{82F04AE8-45E9-402D-AF20-75035D41D4CA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98" name="$E$288">
            <a:extLst>
              <a:ext uri="{FF2B5EF4-FFF2-40B4-BE49-F238E27FC236}">
                <a16:creationId xmlns:a16="http://schemas.microsoft.com/office/drawing/2014/main" id="{7187F445-5501-44D5-8B7B-FD9F2B07B4CA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3999" name="$E$288">
            <a:extLst>
              <a:ext uri="{FF2B5EF4-FFF2-40B4-BE49-F238E27FC236}">
                <a16:creationId xmlns:a16="http://schemas.microsoft.com/office/drawing/2014/main" id="{42849364-E996-48A1-8617-F2284B7A972B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00" name="$E$288">
            <a:extLst>
              <a:ext uri="{FF2B5EF4-FFF2-40B4-BE49-F238E27FC236}">
                <a16:creationId xmlns:a16="http://schemas.microsoft.com/office/drawing/2014/main" id="{254CB15B-F6B9-4DCB-880B-D3628F821172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01" name="$E$288">
            <a:extLst>
              <a:ext uri="{FF2B5EF4-FFF2-40B4-BE49-F238E27FC236}">
                <a16:creationId xmlns:a16="http://schemas.microsoft.com/office/drawing/2014/main" id="{8B60D56C-0E16-4796-AE6D-4B067608BD88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02" name="$E$288">
            <a:extLst>
              <a:ext uri="{FF2B5EF4-FFF2-40B4-BE49-F238E27FC236}">
                <a16:creationId xmlns:a16="http://schemas.microsoft.com/office/drawing/2014/main" id="{AA4C896A-C34A-453A-B024-B64BB4375E9E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03" name="$E$288">
            <a:extLst>
              <a:ext uri="{FF2B5EF4-FFF2-40B4-BE49-F238E27FC236}">
                <a16:creationId xmlns:a16="http://schemas.microsoft.com/office/drawing/2014/main" id="{F748D444-F55B-4167-9989-58B849CC85C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04" name="$E$288">
            <a:extLst>
              <a:ext uri="{FF2B5EF4-FFF2-40B4-BE49-F238E27FC236}">
                <a16:creationId xmlns:a16="http://schemas.microsoft.com/office/drawing/2014/main" id="{01BF0100-A66E-437F-A854-D007413347B7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05" name="$E$288">
            <a:extLst>
              <a:ext uri="{FF2B5EF4-FFF2-40B4-BE49-F238E27FC236}">
                <a16:creationId xmlns:a16="http://schemas.microsoft.com/office/drawing/2014/main" id="{9B254D84-DEA1-4458-B09D-89B2020CE9C6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06" name="$E$288">
            <a:extLst>
              <a:ext uri="{FF2B5EF4-FFF2-40B4-BE49-F238E27FC236}">
                <a16:creationId xmlns:a16="http://schemas.microsoft.com/office/drawing/2014/main" id="{25728337-5A9E-434A-81F4-9472DD845D61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07" name="$E$288">
            <a:extLst>
              <a:ext uri="{FF2B5EF4-FFF2-40B4-BE49-F238E27FC236}">
                <a16:creationId xmlns:a16="http://schemas.microsoft.com/office/drawing/2014/main" id="{B86D22E7-1ABA-415D-9ECB-8CA6E7E92F83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08" name="$E$288">
            <a:extLst>
              <a:ext uri="{FF2B5EF4-FFF2-40B4-BE49-F238E27FC236}">
                <a16:creationId xmlns:a16="http://schemas.microsoft.com/office/drawing/2014/main" id="{C0196678-3428-4A08-8EAB-CBF93E9C78C0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09" name="$E$288">
            <a:extLst>
              <a:ext uri="{FF2B5EF4-FFF2-40B4-BE49-F238E27FC236}">
                <a16:creationId xmlns:a16="http://schemas.microsoft.com/office/drawing/2014/main" id="{C32383D3-1B91-4A84-B844-699F93ECAF31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10" name="$E$288">
            <a:extLst>
              <a:ext uri="{FF2B5EF4-FFF2-40B4-BE49-F238E27FC236}">
                <a16:creationId xmlns:a16="http://schemas.microsoft.com/office/drawing/2014/main" id="{509D1296-3F79-49BA-A607-93A40BA067A2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11" name="$E$288">
            <a:extLst>
              <a:ext uri="{FF2B5EF4-FFF2-40B4-BE49-F238E27FC236}">
                <a16:creationId xmlns:a16="http://schemas.microsoft.com/office/drawing/2014/main" id="{1A8A3F56-B210-4FDD-9617-760176C55FF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12" name="$E$288">
            <a:extLst>
              <a:ext uri="{FF2B5EF4-FFF2-40B4-BE49-F238E27FC236}">
                <a16:creationId xmlns:a16="http://schemas.microsoft.com/office/drawing/2014/main" id="{11142635-9787-4887-B290-6821BABC1B51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13" name="$E$288">
            <a:extLst>
              <a:ext uri="{FF2B5EF4-FFF2-40B4-BE49-F238E27FC236}">
                <a16:creationId xmlns:a16="http://schemas.microsoft.com/office/drawing/2014/main" id="{02F6AD8A-4BA2-4BBB-94ED-754571FD3FC8}"/>
              </a:ext>
            </a:extLst>
          </xdr:cNvPr>
          <xdr:cNvSpPr/>
        </xdr:nvSpPr>
        <xdr:spPr>
          <a:xfrm>
            <a:off x="12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14" name="$E$288">
            <a:extLst>
              <a:ext uri="{FF2B5EF4-FFF2-40B4-BE49-F238E27FC236}">
                <a16:creationId xmlns:a16="http://schemas.microsoft.com/office/drawing/2014/main" id="{D1A6D1A9-BB65-46FC-AA57-D86A7F5C1709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15" name="$E$288">
            <a:extLst>
              <a:ext uri="{FF2B5EF4-FFF2-40B4-BE49-F238E27FC236}">
                <a16:creationId xmlns:a16="http://schemas.microsoft.com/office/drawing/2014/main" id="{99556D82-50B5-4995-B07F-489AE1C79EA5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16" name="$E$288">
            <a:extLst>
              <a:ext uri="{FF2B5EF4-FFF2-40B4-BE49-F238E27FC236}">
                <a16:creationId xmlns:a16="http://schemas.microsoft.com/office/drawing/2014/main" id="{FF7A8B04-E582-43BC-9297-F4F8ABC62763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17" name="$E$288">
            <a:extLst>
              <a:ext uri="{FF2B5EF4-FFF2-40B4-BE49-F238E27FC236}">
                <a16:creationId xmlns:a16="http://schemas.microsoft.com/office/drawing/2014/main" id="{E54FC645-F043-4E7C-915F-DE14232B222F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18" name="$E$288">
            <a:extLst>
              <a:ext uri="{FF2B5EF4-FFF2-40B4-BE49-F238E27FC236}">
                <a16:creationId xmlns:a16="http://schemas.microsoft.com/office/drawing/2014/main" id="{60869D27-6590-4D59-96BF-751EC264A806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19" name="$E$288">
            <a:extLst>
              <a:ext uri="{FF2B5EF4-FFF2-40B4-BE49-F238E27FC236}">
                <a16:creationId xmlns:a16="http://schemas.microsoft.com/office/drawing/2014/main" id="{CA34F63A-4E53-430C-8B53-BD6789DE2DD5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20" name="$E$288">
            <a:extLst>
              <a:ext uri="{FF2B5EF4-FFF2-40B4-BE49-F238E27FC236}">
                <a16:creationId xmlns:a16="http://schemas.microsoft.com/office/drawing/2014/main" id="{84B975BF-7868-4B83-B27C-A30A3BEA24BF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21" name="$E$288">
            <a:extLst>
              <a:ext uri="{FF2B5EF4-FFF2-40B4-BE49-F238E27FC236}">
                <a16:creationId xmlns:a16="http://schemas.microsoft.com/office/drawing/2014/main" id="{5338B672-711F-4A5D-81E0-BE8EB494B873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22" name="$E$288">
            <a:extLst>
              <a:ext uri="{FF2B5EF4-FFF2-40B4-BE49-F238E27FC236}">
                <a16:creationId xmlns:a16="http://schemas.microsoft.com/office/drawing/2014/main" id="{CF814AC7-AC87-4B66-B37A-353F96FE1DF7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23" name="$E$288">
            <a:extLst>
              <a:ext uri="{FF2B5EF4-FFF2-40B4-BE49-F238E27FC236}">
                <a16:creationId xmlns:a16="http://schemas.microsoft.com/office/drawing/2014/main" id="{AE73333C-6587-45C6-95BB-CB168A003A29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24" name="$E$288">
            <a:extLst>
              <a:ext uri="{FF2B5EF4-FFF2-40B4-BE49-F238E27FC236}">
                <a16:creationId xmlns:a16="http://schemas.microsoft.com/office/drawing/2014/main" id="{5FE675F1-EFD0-4966-9DB5-0288B6DC82DA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25" name="$E$288">
            <a:extLst>
              <a:ext uri="{FF2B5EF4-FFF2-40B4-BE49-F238E27FC236}">
                <a16:creationId xmlns:a16="http://schemas.microsoft.com/office/drawing/2014/main" id="{76FC4C22-35E5-475F-9A57-1772C50C24E9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26" name="$E$288">
            <a:extLst>
              <a:ext uri="{FF2B5EF4-FFF2-40B4-BE49-F238E27FC236}">
                <a16:creationId xmlns:a16="http://schemas.microsoft.com/office/drawing/2014/main" id="{E27B4BB0-15A1-4150-AAC6-BC54813F7452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27" name="$E$288">
            <a:extLst>
              <a:ext uri="{FF2B5EF4-FFF2-40B4-BE49-F238E27FC236}">
                <a16:creationId xmlns:a16="http://schemas.microsoft.com/office/drawing/2014/main" id="{9E01A665-7311-4589-992B-E1F7BFA3D155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28" name="$E$288">
            <a:extLst>
              <a:ext uri="{FF2B5EF4-FFF2-40B4-BE49-F238E27FC236}">
                <a16:creationId xmlns:a16="http://schemas.microsoft.com/office/drawing/2014/main" id="{01099871-25B8-4785-8D61-C66F70693FB1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29" name="$E$288">
            <a:extLst>
              <a:ext uri="{FF2B5EF4-FFF2-40B4-BE49-F238E27FC236}">
                <a16:creationId xmlns:a16="http://schemas.microsoft.com/office/drawing/2014/main" id="{CDFCD7F3-01E9-4402-BCDA-795C38B3D0E7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30" name="$E$288">
            <a:extLst>
              <a:ext uri="{FF2B5EF4-FFF2-40B4-BE49-F238E27FC236}">
                <a16:creationId xmlns:a16="http://schemas.microsoft.com/office/drawing/2014/main" id="{E8266B01-BC98-48B3-918C-4E0D94FA7CDF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31" name="$E$288">
            <a:extLst>
              <a:ext uri="{FF2B5EF4-FFF2-40B4-BE49-F238E27FC236}">
                <a16:creationId xmlns:a16="http://schemas.microsoft.com/office/drawing/2014/main" id="{F7FC7711-9791-493D-8DE0-C955F9522324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32" name="$E$288">
            <a:extLst>
              <a:ext uri="{FF2B5EF4-FFF2-40B4-BE49-F238E27FC236}">
                <a16:creationId xmlns:a16="http://schemas.microsoft.com/office/drawing/2014/main" id="{A39A8238-CB07-4CAF-91CA-913D21A2A1AD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33" name="$E$288">
            <a:extLst>
              <a:ext uri="{FF2B5EF4-FFF2-40B4-BE49-F238E27FC236}">
                <a16:creationId xmlns:a16="http://schemas.microsoft.com/office/drawing/2014/main" id="{E77F3DA6-08DF-41BE-8A25-8CD82909485E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34" name="$E$288">
            <a:extLst>
              <a:ext uri="{FF2B5EF4-FFF2-40B4-BE49-F238E27FC236}">
                <a16:creationId xmlns:a16="http://schemas.microsoft.com/office/drawing/2014/main" id="{4E1947D6-C59D-494E-B1BF-293E3F65F940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35" name="$E$288">
            <a:extLst>
              <a:ext uri="{FF2B5EF4-FFF2-40B4-BE49-F238E27FC236}">
                <a16:creationId xmlns:a16="http://schemas.microsoft.com/office/drawing/2014/main" id="{41F50D00-2DFA-40F7-BCD1-7A80DF5C926E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36" name="$E$288">
            <a:extLst>
              <a:ext uri="{FF2B5EF4-FFF2-40B4-BE49-F238E27FC236}">
                <a16:creationId xmlns:a16="http://schemas.microsoft.com/office/drawing/2014/main" id="{65D70352-8DDF-4539-8EFC-BB1C06A8B1A7}"/>
              </a:ext>
            </a:extLst>
          </xdr:cNvPr>
          <xdr:cNvSpPr/>
        </xdr:nvSpPr>
        <xdr:spPr>
          <a:xfrm>
            <a:off x="63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37" name="$E$288">
            <a:extLst>
              <a:ext uri="{FF2B5EF4-FFF2-40B4-BE49-F238E27FC236}">
                <a16:creationId xmlns:a16="http://schemas.microsoft.com/office/drawing/2014/main" id="{336D64B4-EC12-48A4-ADA9-A38A2345AB5C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38" name="$E$288">
            <a:extLst>
              <a:ext uri="{FF2B5EF4-FFF2-40B4-BE49-F238E27FC236}">
                <a16:creationId xmlns:a16="http://schemas.microsoft.com/office/drawing/2014/main" id="{E82A6C74-70A0-4B5E-9461-E830495BE6D3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39" name="$E$288">
            <a:extLst>
              <a:ext uri="{FF2B5EF4-FFF2-40B4-BE49-F238E27FC236}">
                <a16:creationId xmlns:a16="http://schemas.microsoft.com/office/drawing/2014/main" id="{7BBFEB0D-0E05-4976-9FF2-E6F5E6973E15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40" name="$E$288">
            <a:extLst>
              <a:ext uri="{FF2B5EF4-FFF2-40B4-BE49-F238E27FC236}">
                <a16:creationId xmlns:a16="http://schemas.microsoft.com/office/drawing/2014/main" id="{701AE173-9AC3-4F2C-935A-A00FE2FA6AE0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41" name="$E$288">
            <a:extLst>
              <a:ext uri="{FF2B5EF4-FFF2-40B4-BE49-F238E27FC236}">
                <a16:creationId xmlns:a16="http://schemas.microsoft.com/office/drawing/2014/main" id="{6366ADB6-B4B6-4EA5-805B-FA27E6199D1D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42" name="$E$288">
            <a:extLst>
              <a:ext uri="{FF2B5EF4-FFF2-40B4-BE49-F238E27FC236}">
                <a16:creationId xmlns:a16="http://schemas.microsoft.com/office/drawing/2014/main" id="{FFF52D1C-7D69-43C3-9D9C-24335489AE02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43" name="$E$288">
            <a:extLst>
              <a:ext uri="{FF2B5EF4-FFF2-40B4-BE49-F238E27FC236}">
                <a16:creationId xmlns:a16="http://schemas.microsoft.com/office/drawing/2014/main" id="{1DA9E9B8-94D0-40D7-AFC2-AB0C6500FA3A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44" name="$E$288">
            <a:extLst>
              <a:ext uri="{FF2B5EF4-FFF2-40B4-BE49-F238E27FC236}">
                <a16:creationId xmlns:a16="http://schemas.microsoft.com/office/drawing/2014/main" id="{4DB7DC64-D9C1-458B-AB24-385514751BCC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45" name="$E$288">
            <a:extLst>
              <a:ext uri="{FF2B5EF4-FFF2-40B4-BE49-F238E27FC236}">
                <a16:creationId xmlns:a16="http://schemas.microsoft.com/office/drawing/2014/main" id="{D25F4D33-F546-47F4-9C8E-688C498C57BB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46" name="$E$288">
            <a:extLst>
              <a:ext uri="{FF2B5EF4-FFF2-40B4-BE49-F238E27FC236}">
                <a16:creationId xmlns:a16="http://schemas.microsoft.com/office/drawing/2014/main" id="{BBAFAB8F-EC0E-4E2B-96C6-159B9AA2A3AA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47" name="$E$288">
            <a:extLst>
              <a:ext uri="{FF2B5EF4-FFF2-40B4-BE49-F238E27FC236}">
                <a16:creationId xmlns:a16="http://schemas.microsoft.com/office/drawing/2014/main" id="{1559C15D-6183-4BA8-88E8-2B93C5D27EC0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48" name="$E$288">
            <a:extLst>
              <a:ext uri="{FF2B5EF4-FFF2-40B4-BE49-F238E27FC236}">
                <a16:creationId xmlns:a16="http://schemas.microsoft.com/office/drawing/2014/main" id="{3E3A741A-B0C1-4D12-BB31-1095CCB0BF1A}"/>
              </a:ext>
            </a:extLst>
          </xdr:cNvPr>
          <xdr:cNvSpPr/>
        </xdr:nvSpPr>
        <xdr:spPr>
          <a:xfrm>
            <a:off x="12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49" name="$E$288">
            <a:extLst>
              <a:ext uri="{FF2B5EF4-FFF2-40B4-BE49-F238E27FC236}">
                <a16:creationId xmlns:a16="http://schemas.microsoft.com/office/drawing/2014/main" id="{7C946B91-F981-46FA-9A7E-9094F19F8BB6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50" name="$E$288">
            <a:extLst>
              <a:ext uri="{FF2B5EF4-FFF2-40B4-BE49-F238E27FC236}">
                <a16:creationId xmlns:a16="http://schemas.microsoft.com/office/drawing/2014/main" id="{2CD87763-72BC-409A-A8F3-C0BA42A349F5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51" name="$E$288">
            <a:extLst>
              <a:ext uri="{FF2B5EF4-FFF2-40B4-BE49-F238E27FC236}">
                <a16:creationId xmlns:a16="http://schemas.microsoft.com/office/drawing/2014/main" id="{56DE31DC-565E-4D57-92D2-492B2DC7F1BF}"/>
              </a:ext>
            </a:extLst>
          </xdr:cNvPr>
          <xdr:cNvSpPr/>
        </xdr:nvSpPr>
        <xdr:spPr>
          <a:xfrm>
            <a:off x="50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52" name="$E$288">
            <a:extLst>
              <a:ext uri="{FF2B5EF4-FFF2-40B4-BE49-F238E27FC236}">
                <a16:creationId xmlns:a16="http://schemas.microsoft.com/office/drawing/2014/main" id="{10CFAE06-8A4F-4FF8-87B6-135AEFBABFFA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53" name="$E$288">
            <a:extLst>
              <a:ext uri="{FF2B5EF4-FFF2-40B4-BE49-F238E27FC236}">
                <a16:creationId xmlns:a16="http://schemas.microsoft.com/office/drawing/2014/main" id="{6377C2FA-7708-4FE9-9D4C-039FAB04CAEC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54" name="$E$288">
            <a:extLst>
              <a:ext uri="{FF2B5EF4-FFF2-40B4-BE49-F238E27FC236}">
                <a16:creationId xmlns:a16="http://schemas.microsoft.com/office/drawing/2014/main" id="{7DD098AA-0FEB-4FB4-A59D-D365C897ED41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55" name="$E$288">
            <a:extLst>
              <a:ext uri="{FF2B5EF4-FFF2-40B4-BE49-F238E27FC236}">
                <a16:creationId xmlns:a16="http://schemas.microsoft.com/office/drawing/2014/main" id="{CBC54353-1CAD-495C-AFE8-DA5C638FCC91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56" name="$E$288">
            <a:extLst>
              <a:ext uri="{FF2B5EF4-FFF2-40B4-BE49-F238E27FC236}">
                <a16:creationId xmlns:a16="http://schemas.microsoft.com/office/drawing/2014/main" id="{8346EEAE-8C5F-46F0-A9EC-0762E306656E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57" name="$E$288">
            <a:extLst>
              <a:ext uri="{FF2B5EF4-FFF2-40B4-BE49-F238E27FC236}">
                <a16:creationId xmlns:a16="http://schemas.microsoft.com/office/drawing/2014/main" id="{CA53364F-0C00-4097-8D91-5BFC2C35078D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58" name="$E$288">
            <a:extLst>
              <a:ext uri="{FF2B5EF4-FFF2-40B4-BE49-F238E27FC236}">
                <a16:creationId xmlns:a16="http://schemas.microsoft.com/office/drawing/2014/main" id="{B2274B46-0021-4184-9645-E65742B1A141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59" name="$E$288">
            <a:extLst>
              <a:ext uri="{FF2B5EF4-FFF2-40B4-BE49-F238E27FC236}">
                <a16:creationId xmlns:a16="http://schemas.microsoft.com/office/drawing/2014/main" id="{0630600F-8F80-4C4B-8C8A-1FF0BA6F12E6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60" name="$E$288">
            <a:extLst>
              <a:ext uri="{FF2B5EF4-FFF2-40B4-BE49-F238E27FC236}">
                <a16:creationId xmlns:a16="http://schemas.microsoft.com/office/drawing/2014/main" id="{996BC987-4E89-4E76-BDE1-F1DC80EEEC4D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61" name="$E$288">
            <a:extLst>
              <a:ext uri="{FF2B5EF4-FFF2-40B4-BE49-F238E27FC236}">
                <a16:creationId xmlns:a16="http://schemas.microsoft.com/office/drawing/2014/main" id="{81E695D3-4025-4A61-8D4A-6F409EB7D368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62" name="$E$288">
            <a:extLst>
              <a:ext uri="{FF2B5EF4-FFF2-40B4-BE49-F238E27FC236}">
                <a16:creationId xmlns:a16="http://schemas.microsoft.com/office/drawing/2014/main" id="{B1236E5F-6BEA-4067-A744-438D6182F79E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63" name="$E$288">
            <a:extLst>
              <a:ext uri="{FF2B5EF4-FFF2-40B4-BE49-F238E27FC236}">
                <a16:creationId xmlns:a16="http://schemas.microsoft.com/office/drawing/2014/main" id="{0AF6EF0C-949E-4A8D-BBC2-5A3724733586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64" name="$E$288">
            <a:extLst>
              <a:ext uri="{FF2B5EF4-FFF2-40B4-BE49-F238E27FC236}">
                <a16:creationId xmlns:a16="http://schemas.microsoft.com/office/drawing/2014/main" id="{5FEEB2C8-6D03-4BB0-8E3A-2C20244CBA8D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65" name="$E$288">
            <a:extLst>
              <a:ext uri="{FF2B5EF4-FFF2-40B4-BE49-F238E27FC236}">
                <a16:creationId xmlns:a16="http://schemas.microsoft.com/office/drawing/2014/main" id="{BF58DD04-1C23-4537-831E-7C4ECF7FB8B4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66" name="$E$288">
            <a:extLst>
              <a:ext uri="{FF2B5EF4-FFF2-40B4-BE49-F238E27FC236}">
                <a16:creationId xmlns:a16="http://schemas.microsoft.com/office/drawing/2014/main" id="{90A65C0F-6489-405B-AF73-A2643BD03117}"/>
              </a:ext>
            </a:extLst>
          </xdr:cNvPr>
          <xdr:cNvSpPr/>
        </xdr:nvSpPr>
        <xdr:spPr>
          <a:xfrm>
            <a:off x="101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67" name="$E$288">
            <a:extLst>
              <a:ext uri="{FF2B5EF4-FFF2-40B4-BE49-F238E27FC236}">
                <a16:creationId xmlns:a16="http://schemas.microsoft.com/office/drawing/2014/main" id="{21E48FEF-4992-4B06-9780-CB40E698B8D8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68" name="$E$288">
            <a:extLst>
              <a:ext uri="{FF2B5EF4-FFF2-40B4-BE49-F238E27FC236}">
                <a16:creationId xmlns:a16="http://schemas.microsoft.com/office/drawing/2014/main" id="{88EAA998-8C3F-46F9-9162-1A958693F530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69" name="$E$288">
            <a:extLst>
              <a:ext uri="{FF2B5EF4-FFF2-40B4-BE49-F238E27FC236}">
                <a16:creationId xmlns:a16="http://schemas.microsoft.com/office/drawing/2014/main" id="{A810E8F0-EF41-438D-9DD7-86A110799DE0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70" name="$E$288">
            <a:extLst>
              <a:ext uri="{FF2B5EF4-FFF2-40B4-BE49-F238E27FC236}">
                <a16:creationId xmlns:a16="http://schemas.microsoft.com/office/drawing/2014/main" id="{C3F11517-649E-4BA2-8E9F-D8B9B68E9A1C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71" name="$E$288">
            <a:extLst>
              <a:ext uri="{FF2B5EF4-FFF2-40B4-BE49-F238E27FC236}">
                <a16:creationId xmlns:a16="http://schemas.microsoft.com/office/drawing/2014/main" id="{2288B8D3-F929-49EE-9418-A21575C9BB08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72" name="$E$288">
            <a:extLst>
              <a:ext uri="{FF2B5EF4-FFF2-40B4-BE49-F238E27FC236}">
                <a16:creationId xmlns:a16="http://schemas.microsoft.com/office/drawing/2014/main" id="{07962257-24BE-4C8C-9027-7946D0555633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73" name="$E$288">
            <a:extLst>
              <a:ext uri="{FF2B5EF4-FFF2-40B4-BE49-F238E27FC236}">
                <a16:creationId xmlns:a16="http://schemas.microsoft.com/office/drawing/2014/main" id="{23884BAB-9F07-4DC4-9EEA-5FC66E00D1D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74" name="$E$288">
            <a:extLst>
              <a:ext uri="{FF2B5EF4-FFF2-40B4-BE49-F238E27FC236}">
                <a16:creationId xmlns:a16="http://schemas.microsoft.com/office/drawing/2014/main" id="{2CCCF6B7-5E92-4058-A56D-0B6E31EF7D76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75" name="$E$288">
            <a:extLst>
              <a:ext uri="{FF2B5EF4-FFF2-40B4-BE49-F238E27FC236}">
                <a16:creationId xmlns:a16="http://schemas.microsoft.com/office/drawing/2014/main" id="{FF372C04-8435-48D2-98BB-22859E600E7E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76" name="$E$288">
            <a:extLst>
              <a:ext uri="{FF2B5EF4-FFF2-40B4-BE49-F238E27FC236}">
                <a16:creationId xmlns:a16="http://schemas.microsoft.com/office/drawing/2014/main" id="{A2318A9E-197F-4D73-9B38-617DBF32F1B1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77" name="$E$288">
            <a:extLst>
              <a:ext uri="{FF2B5EF4-FFF2-40B4-BE49-F238E27FC236}">
                <a16:creationId xmlns:a16="http://schemas.microsoft.com/office/drawing/2014/main" id="{D4BAD06D-0D2B-4969-BB9E-D860BE5555EC}"/>
              </a:ext>
            </a:extLst>
          </xdr:cNvPr>
          <xdr:cNvSpPr/>
        </xdr:nvSpPr>
        <xdr:spPr>
          <a:xfrm>
            <a:off x="12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78" name="$E$288">
            <a:extLst>
              <a:ext uri="{FF2B5EF4-FFF2-40B4-BE49-F238E27FC236}">
                <a16:creationId xmlns:a16="http://schemas.microsoft.com/office/drawing/2014/main" id="{36CB39A3-B908-460F-9DED-70BA04E9273D}"/>
              </a:ext>
            </a:extLst>
          </xdr:cNvPr>
          <xdr:cNvSpPr/>
        </xdr:nvSpPr>
        <xdr:spPr>
          <a:xfrm>
            <a:off x="25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79" name="$E$288">
            <a:extLst>
              <a:ext uri="{FF2B5EF4-FFF2-40B4-BE49-F238E27FC236}">
                <a16:creationId xmlns:a16="http://schemas.microsoft.com/office/drawing/2014/main" id="{13C7F510-EEFD-449F-9726-BAA25E638C9A}"/>
              </a:ext>
            </a:extLst>
          </xdr:cNvPr>
          <xdr:cNvSpPr/>
        </xdr:nvSpPr>
        <xdr:spPr>
          <a:xfrm>
            <a:off x="63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80" name="$E$288">
            <a:extLst>
              <a:ext uri="{FF2B5EF4-FFF2-40B4-BE49-F238E27FC236}">
                <a16:creationId xmlns:a16="http://schemas.microsoft.com/office/drawing/2014/main" id="{6949C2CB-68C5-4852-90D1-849DBAD373F9}"/>
              </a:ext>
            </a:extLst>
          </xdr:cNvPr>
          <xdr:cNvSpPr/>
        </xdr:nvSpPr>
        <xdr:spPr>
          <a:xfrm>
            <a:off x="88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81" name="$E$288">
            <a:extLst>
              <a:ext uri="{FF2B5EF4-FFF2-40B4-BE49-F238E27FC236}">
                <a16:creationId xmlns:a16="http://schemas.microsoft.com/office/drawing/2014/main" id="{C3DAB3A4-3D98-49DD-A5F1-9D8E0DEBCA3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82" name="$E$288">
            <a:extLst>
              <a:ext uri="{FF2B5EF4-FFF2-40B4-BE49-F238E27FC236}">
                <a16:creationId xmlns:a16="http://schemas.microsoft.com/office/drawing/2014/main" id="{603ED30E-B3A9-4DC3-9B82-B0E56ADD56CB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83" name="$E$288">
            <a:extLst>
              <a:ext uri="{FF2B5EF4-FFF2-40B4-BE49-F238E27FC236}">
                <a16:creationId xmlns:a16="http://schemas.microsoft.com/office/drawing/2014/main" id="{B9B89D1D-92F0-452C-9DAC-17092AA95285}"/>
              </a:ext>
            </a:extLst>
          </xdr:cNvPr>
          <xdr:cNvSpPr/>
        </xdr:nvSpPr>
        <xdr:spPr>
          <a:xfrm>
            <a:off x="139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84" name="$E$288">
            <a:extLst>
              <a:ext uri="{FF2B5EF4-FFF2-40B4-BE49-F238E27FC236}">
                <a16:creationId xmlns:a16="http://schemas.microsoft.com/office/drawing/2014/main" id="{3F175BC9-76DD-41B7-B4F1-F96820C6E856}"/>
              </a:ext>
            </a:extLst>
          </xdr:cNvPr>
          <xdr:cNvSpPr/>
        </xdr:nvSpPr>
        <xdr:spPr>
          <a:xfrm>
            <a:off x="152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85" name="$E$288">
            <a:extLst>
              <a:ext uri="{FF2B5EF4-FFF2-40B4-BE49-F238E27FC236}">
                <a16:creationId xmlns:a16="http://schemas.microsoft.com/office/drawing/2014/main" id="{851B507C-B5D0-4F3C-875F-1FEE76544C61}"/>
              </a:ext>
            </a:extLst>
          </xdr:cNvPr>
          <xdr:cNvSpPr/>
        </xdr:nvSpPr>
        <xdr:spPr>
          <a:xfrm>
            <a:off x="165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86" name="$E$288">
            <a:extLst>
              <a:ext uri="{FF2B5EF4-FFF2-40B4-BE49-F238E27FC236}">
                <a16:creationId xmlns:a16="http://schemas.microsoft.com/office/drawing/2014/main" id="{72FE21AA-1374-49C7-91AF-CB79AED6DA4E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87" name="$E$288">
            <a:extLst>
              <a:ext uri="{FF2B5EF4-FFF2-40B4-BE49-F238E27FC236}">
                <a16:creationId xmlns:a16="http://schemas.microsoft.com/office/drawing/2014/main" id="{407D62F4-C2E7-4E0D-B1B5-809B9C5E4CFB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88" name="$E$288">
            <a:extLst>
              <a:ext uri="{FF2B5EF4-FFF2-40B4-BE49-F238E27FC236}">
                <a16:creationId xmlns:a16="http://schemas.microsoft.com/office/drawing/2014/main" id="{BD86E19F-6142-4969-A062-799E3C417976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89" name="$E$288">
            <a:extLst>
              <a:ext uri="{FF2B5EF4-FFF2-40B4-BE49-F238E27FC236}">
                <a16:creationId xmlns:a16="http://schemas.microsoft.com/office/drawing/2014/main" id="{E3B364E8-31DC-423E-BE6F-65EB67EA3521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90" name="$E$288">
            <a:extLst>
              <a:ext uri="{FF2B5EF4-FFF2-40B4-BE49-F238E27FC236}">
                <a16:creationId xmlns:a16="http://schemas.microsoft.com/office/drawing/2014/main" id="{8D1584DE-15B6-4F0D-A609-F0C6CBB623A1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91" name="$E$288">
            <a:extLst>
              <a:ext uri="{FF2B5EF4-FFF2-40B4-BE49-F238E27FC236}">
                <a16:creationId xmlns:a16="http://schemas.microsoft.com/office/drawing/2014/main" id="{8EE9D301-EEF2-4E15-815B-F4F6DAA4F7C6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92" name="$E$288">
            <a:extLst>
              <a:ext uri="{FF2B5EF4-FFF2-40B4-BE49-F238E27FC236}">
                <a16:creationId xmlns:a16="http://schemas.microsoft.com/office/drawing/2014/main" id="{47B8E046-CA22-4D65-A951-E07BDA2BEBDA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93" name="$E$288">
            <a:extLst>
              <a:ext uri="{FF2B5EF4-FFF2-40B4-BE49-F238E27FC236}">
                <a16:creationId xmlns:a16="http://schemas.microsoft.com/office/drawing/2014/main" id="{790ABFA3-3B1F-4D2C-AA14-BFB22E06B5F9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94" name="$E$288">
            <a:extLst>
              <a:ext uri="{FF2B5EF4-FFF2-40B4-BE49-F238E27FC236}">
                <a16:creationId xmlns:a16="http://schemas.microsoft.com/office/drawing/2014/main" id="{53714CB9-F9DF-4B2E-A572-BFE31E88D1EA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95" name="$E$288">
            <a:extLst>
              <a:ext uri="{FF2B5EF4-FFF2-40B4-BE49-F238E27FC236}">
                <a16:creationId xmlns:a16="http://schemas.microsoft.com/office/drawing/2014/main" id="{8E6C87E9-326D-4441-80D6-DD02420DA052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96" name="$E$288">
            <a:extLst>
              <a:ext uri="{FF2B5EF4-FFF2-40B4-BE49-F238E27FC236}">
                <a16:creationId xmlns:a16="http://schemas.microsoft.com/office/drawing/2014/main" id="{3A72C6D4-81BE-43AB-819A-175413BFFF97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97" name="$E$288">
            <a:extLst>
              <a:ext uri="{FF2B5EF4-FFF2-40B4-BE49-F238E27FC236}">
                <a16:creationId xmlns:a16="http://schemas.microsoft.com/office/drawing/2014/main" id="{6AC2CC5B-6AE5-4A86-BFB4-9C2F5234E648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98" name="$E$288">
            <a:extLst>
              <a:ext uri="{FF2B5EF4-FFF2-40B4-BE49-F238E27FC236}">
                <a16:creationId xmlns:a16="http://schemas.microsoft.com/office/drawing/2014/main" id="{C8CDAF29-FBF9-4685-9102-CAE9B617BD13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099" name="$E$288">
            <a:extLst>
              <a:ext uri="{FF2B5EF4-FFF2-40B4-BE49-F238E27FC236}">
                <a16:creationId xmlns:a16="http://schemas.microsoft.com/office/drawing/2014/main" id="{800E66D5-6671-477C-867C-8376279D28F6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00" name="$E$288">
            <a:extLst>
              <a:ext uri="{FF2B5EF4-FFF2-40B4-BE49-F238E27FC236}">
                <a16:creationId xmlns:a16="http://schemas.microsoft.com/office/drawing/2014/main" id="{32DC78FE-7DB4-44E9-B274-B2B37735C7D9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01" name="$E$288">
            <a:extLst>
              <a:ext uri="{FF2B5EF4-FFF2-40B4-BE49-F238E27FC236}">
                <a16:creationId xmlns:a16="http://schemas.microsoft.com/office/drawing/2014/main" id="{FCA12303-8D34-4D7F-8FB0-F779FD41D0ED}"/>
              </a:ext>
            </a:extLst>
          </xdr:cNvPr>
          <xdr:cNvSpPr/>
        </xdr:nvSpPr>
        <xdr:spPr>
          <a:xfrm>
            <a:off x="88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02" name="$E$288">
            <a:extLst>
              <a:ext uri="{FF2B5EF4-FFF2-40B4-BE49-F238E27FC236}">
                <a16:creationId xmlns:a16="http://schemas.microsoft.com/office/drawing/2014/main" id="{C114E37E-6181-4F8A-BE3E-CF384540BCF1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03" name="$E$288">
            <a:extLst>
              <a:ext uri="{FF2B5EF4-FFF2-40B4-BE49-F238E27FC236}">
                <a16:creationId xmlns:a16="http://schemas.microsoft.com/office/drawing/2014/main" id="{D459BEC4-3A8E-4A00-A36C-2E90AA869F3D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04" name="$E$288">
            <a:extLst>
              <a:ext uri="{FF2B5EF4-FFF2-40B4-BE49-F238E27FC236}">
                <a16:creationId xmlns:a16="http://schemas.microsoft.com/office/drawing/2014/main" id="{A0B042F0-A645-449E-8F59-7C7DB1A5A632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05" name="$E$288">
            <a:extLst>
              <a:ext uri="{FF2B5EF4-FFF2-40B4-BE49-F238E27FC236}">
                <a16:creationId xmlns:a16="http://schemas.microsoft.com/office/drawing/2014/main" id="{6696F888-444E-4E24-B6AF-22355D390A25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06" name="$E$288">
            <a:extLst>
              <a:ext uri="{FF2B5EF4-FFF2-40B4-BE49-F238E27FC236}">
                <a16:creationId xmlns:a16="http://schemas.microsoft.com/office/drawing/2014/main" id="{5B1337FD-9A2A-4D08-839E-210C5327BED8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07" name="$E$288">
            <a:extLst>
              <a:ext uri="{FF2B5EF4-FFF2-40B4-BE49-F238E27FC236}">
                <a16:creationId xmlns:a16="http://schemas.microsoft.com/office/drawing/2014/main" id="{0C7B502F-0868-43AB-8963-1A5CC5C3D79E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08" name="$E$288">
            <a:extLst>
              <a:ext uri="{FF2B5EF4-FFF2-40B4-BE49-F238E27FC236}">
                <a16:creationId xmlns:a16="http://schemas.microsoft.com/office/drawing/2014/main" id="{CB119694-38CC-496F-ABE9-DB7F0B55942B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09" name="$E$288">
            <a:extLst>
              <a:ext uri="{FF2B5EF4-FFF2-40B4-BE49-F238E27FC236}">
                <a16:creationId xmlns:a16="http://schemas.microsoft.com/office/drawing/2014/main" id="{88CCE521-59C5-4729-93EC-B9DDDB7C1956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10" name="$E$288">
            <a:extLst>
              <a:ext uri="{FF2B5EF4-FFF2-40B4-BE49-F238E27FC236}">
                <a16:creationId xmlns:a16="http://schemas.microsoft.com/office/drawing/2014/main" id="{367B9B98-9CFA-431E-9F20-F2B372827821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11" name="$E$288">
            <a:extLst>
              <a:ext uri="{FF2B5EF4-FFF2-40B4-BE49-F238E27FC236}">
                <a16:creationId xmlns:a16="http://schemas.microsoft.com/office/drawing/2014/main" id="{671F20E3-74FC-4B58-95BE-3F4429A1DB99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12" name="$E$288">
            <a:extLst>
              <a:ext uri="{FF2B5EF4-FFF2-40B4-BE49-F238E27FC236}">
                <a16:creationId xmlns:a16="http://schemas.microsoft.com/office/drawing/2014/main" id="{FD062435-77E7-47CB-9D54-C1A1DFA6A70E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13" name="$E$288">
            <a:extLst>
              <a:ext uri="{FF2B5EF4-FFF2-40B4-BE49-F238E27FC236}">
                <a16:creationId xmlns:a16="http://schemas.microsoft.com/office/drawing/2014/main" id="{0A286C23-9D1D-417C-B8D2-694B1487DA2D}"/>
              </a:ext>
            </a:extLst>
          </xdr:cNvPr>
          <xdr:cNvSpPr/>
        </xdr:nvSpPr>
        <xdr:spPr>
          <a:xfrm>
            <a:off x="50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14" name="$E$288">
            <a:extLst>
              <a:ext uri="{FF2B5EF4-FFF2-40B4-BE49-F238E27FC236}">
                <a16:creationId xmlns:a16="http://schemas.microsoft.com/office/drawing/2014/main" id="{D0A20B97-3B72-4F6B-8776-FB8166603AEF}"/>
              </a:ext>
            </a:extLst>
          </xdr:cNvPr>
          <xdr:cNvSpPr/>
        </xdr:nvSpPr>
        <xdr:spPr>
          <a:xfrm>
            <a:off x="63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15" name="$E$288">
            <a:extLst>
              <a:ext uri="{FF2B5EF4-FFF2-40B4-BE49-F238E27FC236}">
                <a16:creationId xmlns:a16="http://schemas.microsoft.com/office/drawing/2014/main" id="{F7EEF1D9-7220-4BB5-BC45-F83466B9B39B}"/>
              </a:ext>
            </a:extLst>
          </xdr:cNvPr>
          <xdr:cNvSpPr/>
        </xdr:nvSpPr>
        <xdr:spPr>
          <a:xfrm>
            <a:off x="88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16" name="$E$288">
            <a:extLst>
              <a:ext uri="{FF2B5EF4-FFF2-40B4-BE49-F238E27FC236}">
                <a16:creationId xmlns:a16="http://schemas.microsoft.com/office/drawing/2014/main" id="{669FA8B1-EE66-4B68-A7BA-CF3951F9FAED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17" name="$E$288">
            <a:extLst>
              <a:ext uri="{FF2B5EF4-FFF2-40B4-BE49-F238E27FC236}">
                <a16:creationId xmlns:a16="http://schemas.microsoft.com/office/drawing/2014/main" id="{1D309BF0-3AE2-41F2-B5DD-D389AE4D19C8}"/>
              </a:ext>
            </a:extLst>
          </xdr:cNvPr>
          <xdr:cNvSpPr/>
        </xdr:nvSpPr>
        <xdr:spPr>
          <a:xfrm>
            <a:off x="114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18" name="$E$288">
            <a:extLst>
              <a:ext uri="{FF2B5EF4-FFF2-40B4-BE49-F238E27FC236}">
                <a16:creationId xmlns:a16="http://schemas.microsoft.com/office/drawing/2014/main" id="{D29D10F2-B2B7-4C7F-8C2D-C5FE7F47FA9E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19" name="$E$288">
            <a:extLst>
              <a:ext uri="{FF2B5EF4-FFF2-40B4-BE49-F238E27FC236}">
                <a16:creationId xmlns:a16="http://schemas.microsoft.com/office/drawing/2014/main" id="{CAE86054-BE3F-4CA5-817F-C6DE11320C95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20" name="$E$288">
            <a:extLst>
              <a:ext uri="{FF2B5EF4-FFF2-40B4-BE49-F238E27FC236}">
                <a16:creationId xmlns:a16="http://schemas.microsoft.com/office/drawing/2014/main" id="{3F8AD596-E492-4ADE-BECC-073D067E515D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21" name="$E$288">
            <a:extLst>
              <a:ext uri="{FF2B5EF4-FFF2-40B4-BE49-F238E27FC236}">
                <a16:creationId xmlns:a16="http://schemas.microsoft.com/office/drawing/2014/main" id="{E7DC8920-A1FE-4EB5-9F27-8B32FBD174CB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22" name="$E$288">
            <a:extLst>
              <a:ext uri="{FF2B5EF4-FFF2-40B4-BE49-F238E27FC236}">
                <a16:creationId xmlns:a16="http://schemas.microsoft.com/office/drawing/2014/main" id="{4D30E20B-B33D-4E5A-BB24-4048CEE0373F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23" name="$E$288">
            <a:extLst>
              <a:ext uri="{FF2B5EF4-FFF2-40B4-BE49-F238E27FC236}">
                <a16:creationId xmlns:a16="http://schemas.microsoft.com/office/drawing/2014/main" id="{841F864A-1F9B-485A-8D5A-B27496941D8C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24" name="$E$288">
            <a:extLst>
              <a:ext uri="{FF2B5EF4-FFF2-40B4-BE49-F238E27FC236}">
                <a16:creationId xmlns:a16="http://schemas.microsoft.com/office/drawing/2014/main" id="{27200410-C5EE-4012-808D-20DACF1CE584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25" name="$E$288">
            <a:extLst>
              <a:ext uri="{FF2B5EF4-FFF2-40B4-BE49-F238E27FC236}">
                <a16:creationId xmlns:a16="http://schemas.microsoft.com/office/drawing/2014/main" id="{4284A4A3-3B8D-4764-BB56-E621E43483FA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26" name="$E$288">
            <a:extLst>
              <a:ext uri="{FF2B5EF4-FFF2-40B4-BE49-F238E27FC236}">
                <a16:creationId xmlns:a16="http://schemas.microsoft.com/office/drawing/2014/main" id="{D0404235-60C1-4A6E-B71A-8FEA28E6E631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27" name="$E$288">
            <a:extLst>
              <a:ext uri="{FF2B5EF4-FFF2-40B4-BE49-F238E27FC236}">
                <a16:creationId xmlns:a16="http://schemas.microsoft.com/office/drawing/2014/main" id="{2616A78A-13A3-42F9-B901-0DB0F83CDD7E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28" name="$E$288">
            <a:extLst>
              <a:ext uri="{FF2B5EF4-FFF2-40B4-BE49-F238E27FC236}">
                <a16:creationId xmlns:a16="http://schemas.microsoft.com/office/drawing/2014/main" id="{19F4FD3E-462E-46FF-8A5F-CAB93B1F3421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29" name="$E$288">
            <a:extLst>
              <a:ext uri="{FF2B5EF4-FFF2-40B4-BE49-F238E27FC236}">
                <a16:creationId xmlns:a16="http://schemas.microsoft.com/office/drawing/2014/main" id="{522935B2-AB87-4EE8-9716-F5C9C53892D8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30" name="$E$288">
            <a:extLst>
              <a:ext uri="{FF2B5EF4-FFF2-40B4-BE49-F238E27FC236}">
                <a16:creationId xmlns:a16="http://schemas.microsoft.com/office/drawing/2014/main" id="{F3B9C91F-FE57-407D-911E-9E9906CC7F6F}"/>
              </a:ext>
            </a:extLst>
          </xdr:cNvPr>
          <xdr:cNvSpPr/>
        </xdr:nvSpPr>
        <xdr:spPr>
          <a:xfrm>
            <a:off x="88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31" name="$E$288">
            <a:extLst>
              <a:ext uri="{FF2B5EF4-FFF2-40B4-BE49-F238E27FC236}">
                <a16:creationId xmlns:a16="http://schemas.microsoft.com/office/drawing/2014/main" id="{35534326-D33D-45C8-8D55-3A5E663D60CA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32" name="$E$288">
            <a:extLst>
              <a:ext uri="{FF2B5EF4-FFF2-40B4-BE49-F238E27FC236}">
                <a16:creationId xmlns:a16="http://schemas.microsoft.com/office/drawing/2014/main" id="{9835D511-0865-4692-B4D3-90206DD8C49A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33" name="$E$288">
            <a:extLst>
              <a:ext uri="{FF2B5EF4-FFF2-40B4-BE49-F238E27FC236}">
                <a16:creationId xmlns:a16="http://schemas.microsoft.com/office/drawing/2014/main" id="{48F82F5E-53D7-4A34-BA23-C733A3A18A8D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34" name="$E$288">
            <a:extLst>
              <a:ext uri="{FF2B5EF4-FFF2-40B4-BE49-F238E27FC236}">
                <a16:creationId xmlns:a16="http://schemas.microsoft.com/office/drawing/2014/main" id="{832FD9FE-BBBA-4DE0-AD17-FD7ED9C6F66A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35" name="$E$288">
            <a:extLst>
              <a:ext uri="{FF2B5EF4-FFF2-40B4-BE49-F238E27FC236}">
                <a16:creationId xmlns:a16="http://schemas.microsoft.com/office/drawing/2014/main" id="{32837479-948C-4BAA-A114-F6933637118F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36" name="$E$288">
            <a:extLst>
              <a:ext uri="{FF2B5EF4-FFF2-40B4-BE49-F238E27FC236}">
                <a16:creationId xmlns:a16="http://schemas.microsoft.com/office/drawing/2014/main" id="{A47F557A-46E4-4141-AB5D-41F2CBAD5F84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37" name="$E$288">
            <a:extLst>
              <a:ext uri="{FF2B5EF4-FFF2-40B4-BE49-F238E27FC236}">
                <a16:creationId xmlns:a16="http://schemas.microsoft.com/office/drawing/2014/main" id="{0CD779A4-44B2-4749-99A3-3C95BE0AD837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38" name="$E$288">
            <a:extLst>
              <a:ext uri="{FF2B5EF4-FFF2-40B4-BE49-F238E27FC236}">
                <a16:creationId xmlns:a16="http://schemas.microsoft.com/office/drawing/2014/main" id="{44E4BA09-1D19-4246-AC59-691C36F3D49D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39" name="$E$288">
            <a:extLst>
              <a:ext uri="{FF2B5EF4-FFF2-40B4-BE49-F238E27FC236}">
                <a16:creationId xmlns:a16="http://schemas.microsoft.com/office/drawing/2014/main" id="{75FB23BF-FF69-4C8D-8095-0BB0AD6562EA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40" name="$E$288">
            <a:extLst>
              <a:ext uri="{FF2B5EF4-FFF2-40B4-BE49-F238E27FC236}">
                <a16:creationId xmlns:a16="http://schemas.microsoft.com/office/drawing/2014/main" id="{C2D273D5-33FE-4B22-B5C2-C0AD3A366A9C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41" name="$E$288">
            <a:extLst>
              <a:ext uri="{FF2B5EF4-FFF2-40B4-BE49-F238E27FC236}">
                <a16:creationId xmlns:a16="http://schemas.microsoft.com/office/drawing/2014/main" id="{DAEDC7A2-0AF3-4CB4-9F9F-9591A4551E01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42" name="$E$288">
            <a:extLst>
              <a:ext uri="{FF2B5EF4-FFF2-40B4-BE49-F238E27FC236}">
                <a16:creationId xmlns:a16="http://schemas.microsoft.com/office/drawing/2014/main" id="{22806E39-1214-4A0A-A003-879E5AFA5B8A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43" name="$E$288">
            <a:extLst>
              <a:ext uri="{FF2B5EF4-FFF2-40B4-BE49-F238E27FC236}">
                <a16:creationId xmlns:a16="http://schemas.microsoft.com/office/drawing/2014/main" id="{C7440773-E95E-4ECF-A823-D231D4D57B2C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44" name="$E$288">
            <a:extLst>
              <a:ext uri="{FF2B5EF4-FFF2-40B4-BE49-F238E27FC236}">
                <a16:creationId xmlns:a16="http://schemas.microsoft.com/office/drawing/2014/main" id="{735E8EA4-7E3B-490A-8716-4D49C151A28A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45" name="$E$288">
            <a:extLst>
              <a:ext uri="{FF2B5EF4-FFF2-40B4-BE49-F238E27FC236}">
                <a16:creationId xmlns:a16="http://schemas.microsoft.com/office/drawing/2014/main" id="{F470DC47-BAA2-42CA-A889-DF1653C04D9F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46" name="$E$288">
            <a:extLst>
              <a:ext uri="{FF2B5EF4-FFF2-40B4-BE49-F238E27FC236}">
                <a16:creationId xmlns:a16="http://schemas.microsoft.com/office/drawing/2014/main" id="{37CB1BC6-784A-4FE8-A429-88D56F4FDCFB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47" name="$E$288">
            <a:extLst>
              <a:ext uri="{FF2B5EF4-FFF2-40B4-BE49-F238E27FC236}">
                <a16:creationId xmlns:a16="http://schemas.microsoft.com/office/drawing/2014/main" id="{D1B9B46C-A9A2-4C8E-A851-3158DB7874DD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48" name="$E$288">
            <a:extLst>
              <a:ext uri="{FF2B5EF4-FFF2-40B4-BE49-F238E27FC236}">
                <a16:creationId xmlns:a16="http://schemas.microsoft.com/office/drawing/2014/main" id="{57F222DB-5E4C-4B67-8EB7-C5DC5A34315F}"/>
              </a:ext>
            </a:extLst>
          </xdr:cNvPr>
          <xdr:cNvSpPr/>
        </xdr:nvSpPr>
        <xdr:spPr>
          <a:xfrm>
            <a:off x="177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49" name="$E$288">
            <a:extLst>
              <a:ext uri="{FF2B5EF4-FFF2-40B4-BE49-F238E27FC236}">
                <a16:creationId xmlns:a16="http://schemas.microsoft.com/office/drawing/2014/main" id="{54650763-E5B2-4471-B88A-B007332D009F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50" name="$E$288">
            <a:extLst>
              <a:ext uri="{FF2B5EF4-FFF2-40B4-BE49-F238E27FC236}">
                <a16:creationId xmlns:a16="http://schemas.microsoft.com/office/drawing/2014/main" id="{4662821F-0295-4307-A828-832361A82CEB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51" name="$E$288">
            <a:extLst>
              <a:ext uri="{FF2B5EF4-FFF2-40B4-BE49-F238E27FC236}">
                <a16:creationId xmlns:a16="http://schemas.microsoft.com/office/drawing/2014/main" id="{629172DE-CCED-4962-99B2-8CB8038EF503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52" name="$E$288">
            <a:extLst>
              <a:ext uri="{FF2B5EF4-FFF2-40B4-BE49-F238E27FC236}">
                <a16:creationId xmlns:a16="http://schemas.microsoft.com/office/drawing/2014/main" id="{749DF140-C94E-4E59-94D7-31A93F207418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53" name="$E$288">
            <a:extLst>
              <a:ext uri="{FF2B5EF4-FFF2-40B4-BE49-F238E27FC236}">
                <a16:creationId xmlns:a16="http://schemas.microsoft.com/office/drawing/2014/main" id="{DB4FA58F-9C0D-4BA3-9649-55DCF6B838C0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54" name="$E$288">
            <a:extLst>
              <a:ext uri="{FF2B5EF4-FFF2-40B4-BE49-F238E27FC236}">
                <a16:creationId xmlns:a16="http://schemas.microsoft.com/office/drawing/2014/main" id="{F5A05B27-70FE-4582-9142-F039E501A797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55" name="$E$288">
            <a:extLst>
              <a:ext uri="{FF2B5EF4-FFF2-40B4-BE49-F238E27FC236}">
                <a16:creationId xmlns:a16="http://schemas.microsoft.com/office/drawing/2014/main" id="{A5885FE9-13DD-4553-94FC-9676B145AC61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56" name="$E$288">
            <a:extLst>
              <a:ext uri="{FF2B5EF4-FFF2-40B4-BE49-F238E27FC236}">
                <a16:creationId xmlns:a16="http://schemas.microsoft.com/office/drawing/2014/main" id="{F789C686-D61A-4987-80CE-08C4DC4D86C2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57" name="$E$288">
            <a:extLst>
              <a:ext uri="{FF2B5EF4-FFF2-40B4-BE49-F238E27FC236}">
                <a16:creationId xmlns:a16="http://schemas.microsoft.com/office/drawing/2014/main" id="{D20C0A74-2F7C-41A2-AB2B-82E1D96A4585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58" name="$E$288">
            <a:extLst>
              <a:ext uri="{FF2B5EF4-FFF2-40B4-BE49-F238E27FC236}">
                <a16:creationId xmlns:a16="http://schemas.microsoft.com/office/drawing/2014/main" id="{BF6E6E3D-818C-49FA-8E78-D8F513C23265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59" name="$E$288">
            <a:extLst>
              <a:ext uri="{FF2B5EF4-FFF2-40B4-BE49-F238E27FC236}">
                <a16:creationId xmlns:a16="http://schemas.microsoft.com/office/drawing/2014/main" id="{13646A89-CC5F-4EE5-93FA-10EC125058CF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60" name="$E$288">
            <a:extLst>
              <a:ext uri="{FF2B5EF4-FFF2-40B4-BE49-F238E27FC236}">
                <a16:creationId xmlns:a16="http://schemas.microsoft.com/office/drawing/2014/main" id="{27270BAD-DD41-48F0-ABF6-E4692C44490D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61" name="$E$288">
            <a:extLst>
              <a:ext uri="{FF2B5EF4-FFF2-40B4-BE49-F238E27FC236}">
                <a16:creationId xmlns:a16="http://schemas.microsoft.com/office/drawing/2014/main" id="{A9332E18-8C04-4A63-B8DF-28800F55592E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62" name="$E$288">
            <a:extLst>
              <a:ext uri="{FF2B5EF4-FFF2-40B4-BE49-F238E27FC236}">
                <a16:creationId xmlns:a16="http://schemas.microsoft.com/office/drawing/2014/main" id="{1DB66978-F354-4FAF-A324-555D4CEF2247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63" name="$E$288">
            <a:extLst>
              <a:ext uri="{FF2B5EF4-FFF2-40B4-BE49-F238E27FC236}">
                <a16:creationId xmlns:a16="http://schemas.microsoft.com/office/drawing/2014/main" id="{35177F47-2FEE-4231-BC3A-EAAFA9742C66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64" name="$E$288">
            <a:extLst>
              <a:ext uri="{FF2B5EF4-FFF2-40B4-BE49-F238E27FC236}">
                <a16:creationId xmlns:a16="http://schemas.microsoft.com/office/drawing/2014/main" id="{EA8040B8-9D0B-4156-9611-54CF0EAEB2E5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65" name="$E$288">
            <a:extLst>
              <a:ext uri="{FF2B5EF4-FFF2-40B4-BE49-F238E27FC236}">
                <a16:creationId xmlns:a16="http://schemas.microsoft.com/office/drawing/2014/main" id="{CB82A91B-BF9F-4590-ACD7-1F43769FC786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66" name="$E$288">
            <a:extLst>
              <a:ext uri="{FF2B5EF4-FFF2-40B4-BE49-F238E27FC236}">
                <a16:creationId xmlns:a16="http://schemas.microsoft.com/office/drawing/2014/main" id="{B843B226-E070-408A-9701-DC33E1413E87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67" name="$E$288">
            <a:extLst>
              <a:ext uri="{FF2B5EF4-FFF2-40B4-BE49-F238E27FC236}">
                <a16:creationId xmlns:a16="http://schemas.microsoft.com/office/drawing/2014/main" id="{52C700D6-D444-4BA2-8FA1-80CC5146DB5C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68" name="$E$288">
            <a:extLst>
              <a:ext uri="{FF2B5EF4-FFF2-40B4-BE49-F238E27FC236}">
                <a16:creationId xmlns:a16="http://schemas.microsoft.com/office/drawing/2014/main" id="{7C066BF7-4044-407E-8213-1308ADF6C0EE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69" name="$E$288">
            <a:extLst>
              <a:ext uri="{FF2B5EF4-FFF2-40B4-BE49-F238E27FC236}">
                <a16:creationId xmlns:a16="http://schemas.microsoft.com/office/drawing/2014/main" id="{9421EA29-FEA1-41BC-8120-4F2F8D9E4734}"/>
              </a:ext>
            </a:extLst>
          </xdr:cNvPr>
          <xdr:cNvSpPr/>
        </xdr:nvSpPr>
        <xdr:spPr>
          <a:xfrm>
            <a:off x="228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70" name="$E$288">
            <a:extLst>
              <a:ext uri="{FF2B5EF4-FFF2-40B4-BE49-F238E27FC236}">
                <a16:creationId xmlns:a16="http://schemas.microsoft.com/office/drawing/2014/main" id="{09B3819D-7121-4AF4-8071-7F1159C0A94D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71" name="$E$288">
            <a:extLst>
              <a:ext uri="{FF2B5EF4-FFF2-40B4-BE49-F238E27FC236}">
                <a16:creationId xmlns:a16="http://schemas.microsoft.com/office/drawing/2014/main" id="{9A9CA679-D803-404B-80D1-3B56B3B739E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72" name="$E$288">
            <a:extLst>
              <a:ext uri="{FF2B5EF4-FFF2-40B4-BE49-F238E27FC236}">
                <a16:creationId xmlns:a16="http://schemas.microsoft.com/office/drawing/2014/main" id="{D937DC22-C627-4EAD-B047-0EBC44A24371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73" name="$E$288">
            <a:extLst>
              <a:ext uri="{FF2B5EF4-FFF2-40B4-BE49-F238E27FC236}">
                <a16:creationId xmlns:a16="http://schemas.microsoft.com/office/drawing/2014/main" id="{9DAE2867-68DA-4C01-8014-0B55A09CB2B1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74" name="$E$288">
            <a:extLst>
              <a:ext uri="{FF2B5EF4-FFF2-40B4-BE49-F238E27FC236}">
                <a16:creationId xmlns:a16="http://schemas.microsoft.com/office/drawing/2014/main" id="{35DC2957-01F5-4F54-83B7-9BE009031EC7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75" name="$E$288">
            <a:extLst>
              <a:ext uri="{FF2B5EF4-FFF2-40B4-BE49-F238E27FC236}">
                <a16:creationId xmlns:a16="http://schemas.microsoft.com/office/drawing/2014/main" id="{A2C8DAE3-727E-4494-A5A4-6CF8C7E7F1F0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76" name="$E$288">
            <a:extLst>
              <a:ext uri="{FF2B5EF4-FFF2-40B4-BE49-F238E27FC236}">
                <a16:creationId xmlns:a16="http://schemas.microsoft.com/office/drawing/2014/main" id="{C2F8896E-980F-4992-8B81-8702D04D98C4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77" name="$E$288">
            <a:extLst>
              <a:ext uri="{FF2B5EF4-FFF2-40B4-BE49-F238E27FC236}">
                <a16:creationId xmlns:a16="http://schemas.microsoft.com/office/drawing/2014/main" id="{A965D1AD-212B-4368-AB4D-A5FB97F6D70C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78" name="$E$288">
            <a:extLst>
              <a:ext uri="{FF2B5EF4-FFF2-40B4-BE49-F238E27FC236}">
                <a16:creationId xmlns:a16="http://schemas.microsoft.com/office/drawing/2014/main" id="{AFE8ECE3-8776-4201-BC15-C166DBF2D499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79" name="$E$288">
            <a:extLst>
              <a:ext uri="{FF2B5EF4-FFF2-40B4-BE49-F238E27FC236}">
                <a16:creationId xmlns:a16="http://schemas.microsoft.com/office/drawing/2014/main" id="{1FADA81A-1C80-461C-BB74-3BFA540DF0FC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80" name="$E$288">
            <a:extLst>
              <a:ext uri="{FF2B5EF4-FFF2-40B4-BE49-F238E27FC236}">
                <a16:creationId xmlns:a16="http://schemas.microsoft.com/office/drawing/2014/main" id="{8991A099-C59E-4519-8439-43DCB724BC15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81" name="$E$288">
            <a:extLst>
              <a:ext uri="{FF2B5EF4-FFF2-40B4-BE49-F238E27FC236}">
                <a16:creationId xmlns:a16="http://schemas.microsoft.com/office/drawing/2014/main" id="{1416F667-7FF6-42E9-86E5-3FC0F1F9261D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82" name="$E$288">
            <a:extLst>
              <a:ext uri="{FF2B5EF4-FFF2-40B4-BE49-F238E27FC236}">
                <a16:creationId xmlns:a16="http://schemas.microsoft.com/office/drawing/2014/main" id="{726124E9-FF8C-4A30-B20B-41883970EF8B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83" name="$E$288">
            <a:extLst>
              <a:ext uri="{FF2B5EF4-FFF2-40B4-BE49-F238E27FC236}">
                <a16:creationId xmlns:a16="http://schemas.microsoft.com/office/drawing/2014/main" id="{4E1B04A4-B315-40D9-9E65-FB18E2A8F9D8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84" name="$E$288">
            <a:extLst>
              <a:ext uri="{FF2B5EF4-FFF2-40B4-BE49-F238E27FC236}">
                <a16:creationId xmlns:a16="http://schemas.microsoft.com/office/drawing/2014/main" id="{FADA44B9-3A43-46B3-BECB-E02E79DB1621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85" name="$E$288">
            <a:extLst>
              <a:ext uri="{FF2B5EF4-FFF2-40B4-BE49-F238E27FC236}">
                <a16:creationId xmlns:a16="http://schemas.microsoft.com/office/drawing/2014/main" id="{8BA7FF99-E189-42DB-B3F4-D6D1F98CD886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86" name="$E$288">
            <a:extLst>
              <a:ext uri="{FF2B5EF4-FFF2-40B4-BE49-F238E27FC236}">
                <a16:creationId xmlns:a16="http://schemas.microsoft.com/office/drawing/2014/main" id="{B43F3981-AC44-4C19-8A03-B7001AB8B283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87" name="$E$288">
            <a:extLst>
              <a:ext uri="{FF2B5EF4-FFF2-40B4-BE49-F238E27FC236}">
                <a16:creationId xmlns:a16="http://schemas.microsoft.com/office/drawing/2014/main" id="{D6521598-8DEB-4A9F-B6A9-0244A6700614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88" name="$E$288">
            <a:extLst>
              <a:ext uri="{FF2B5EF4-FFF2-40B4-BE49-F238E27FC236}">
                <a16:creationId xmlns:a16="http://schemas.microsoft.com/office/drawing/2014/main" id="{83E03EBD-8DA0-441E-BAC5-B561A348D750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89" name="$E$288">
            <a:extLst>
              <a:ext uri="{FF2B5EF4-FFF2-40B4-BE49-F238E27FC236}">
                <a16:creationId xmlns:a16="http://schemas.microsoft.com/office/drawing/2014/main" id="{A2AE26AA-BF1F-4D91-96A6-B2276ADDAECF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90" name="$E$288">
            <a:extLst>
              <a:ext uri="{FF2B5EF4-FFF2-40B4-BE49-F238E27FC236}">
                <a16:creationId xmlns:a16="http://schemas.microsoft.com/office/drawing/2014/main" id="{6B8F59DA-9D3C-47A0-8A58-9CF49D425B44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91" name="$E$288">
            <a:extLst>
              <a:ext uri="{FF2B5EF4-FFF2-40B4-BE49-F238E27FC236}">
                <a16:creationId xmlns:a16="http://schemas.microsoft.com/office/drawing/2014/main" id="{B107B450-A06D-46E3-A0E7-825E555D12DC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92" name="$E$288">
            <a:extLst>
              <a:ext uri="{FF2B5EF4-FFF2-40B4-BE49-F238E27FC236}">
                <a16:creationId xmlns:a16="http://schemas.microsoft.com/office/drawing/2014/main" id="{DDE0EB6C-C6EB-4D93-8F5E-BFC0B158BEB4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93" name="$E$288">
            <a:extLst>
              <a:ext uri="{FF2B5EF4-FFF2-40B4-BE49-F238E27FC236}">
                <a16:creationId xmlns:a16="http://schemas.microsoft.com/office/drawing/2014/main" id="{CC108891-E2E8-4670-87B1-54FD8AD86CF9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94" name="$E$288">
            <a:extLst>
              <a:ext uri="{FF2B5EF4-FFF2-40B4-BE49-F238E27FC236}">
                <a16:creationId xmlns:a16="http://schemas.microsoft.com/office/drawing/2014/main" id="{147FA336-FE4D-45B8-B667-F8767963FCE4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95" name="$E$288">
            <a:extLst>
              <a:ext uri="{FF2B5EF4-FFF2-40B4-BE49-F238E27FC236}">
                <a16:creationId xmlns:a16="http://schemas.microsoft.com/office/drawing/2014/main" id="{27865BE4-CB6D-4D1D-88B0-CF4C41B14234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96" name="$E$288">
            <a:extLst>
              <a:ext uri="{FF2B5EF4-FFF2-40B4-BE49-F238E27FC236}">
                <a16:creationId xmlns:a16="http://schemas.microsoft.com/office/drawing/2014/main" id="{32856534-9474-4462-8A59-B98A3C77C441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97" name="$E$288">
            <a:extLst>
              <a:ext uri="{FF2B5EF4-FFF2-40B4-BE49-F238E27FC236}">
                <a16:creationId xmlns:a16="http://schemas.microsoft.com/office/drawing/2014/main" id="{05A9B304-B8DA-4AD9-9A73-3AFE0FF35B69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98" name="$E$288">
            <a:extLst>
              <a:ext uri="{FF2B5EF4-FFF2-40B4-BE49-F238E27FC236}">
                <a16:creationId xmlns:a16="http://schemas.microsoft.com/office/drawing/2014/main" id="{B91CEE76-2EA0-4F85-8395-CF5DAF4D91DC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199" name="$E$288">
            <a:extLst>
              <a:ext uri="{FF2B5EF4-FFF2-40B4-BE49-F238E27FC236}">
                <a16:creationId xmlns:a16="http://schemas.microsoft.com/office/drawing/2014/main" id="{D047076B-3A8C-44DE-AE52-AFE30DDD4EA6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00" name="$E$288">
            <a:extLst>
              <a:ext uri="{FF2B5EF4-FFF2-40B4-BE49-F238E27FC236}">
                <a16:creationId xmlns:a16="http://schemas.microsoft.com/office/drawing/2014/main" id="{7D3A7C4D-8810-4BBD-9918-EBD5CAB51F2A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01" name="$E$288">
            <a:extLst>
              <a:ext uri="{FF2B5EF4-FFF2-40B4-BE49-F238E27FC236}">
                <a16:creationId xmlns:a16="http://schemas.microsoft.com/office/drawing/2014/main" id="{57654362-3377-4E70-8919-61C239CB4A5A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02" name="$E$288">
            <a:extLst>
              <a:ext uri="{FF2B5EF4-FFF2-40B4-BE49-F238E27FC236}">
                <a16:creationId xmlns:a16="http://schemas.microsoft.com/office/drawing/2014/main" id="{63434479-6CB2-4584-9B24-93914662B6C1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03" name="$E$288">
            <a:extLst>
              <a:ext uri="{FF2B5EF4-FFF2-40B4-BE49-F238E27FC236}">
                <a16:creationId xmlns:a16="http://schemas.microsoft.com/office/drawing/2014/main" id="{50D1FA27-ABD5-4E48-B5AB-5E7A124F7D04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04" name="$E$288">
            <a:extLst>
              <a:ext uri="{FF2B5EF4-FFF2-40B4-BE49-F238E27FC236}">
                <a16:creationId xmlns:a16="http://schemas.microsoft.com/office/drawing/2014/main" id="{8DAD1808-542A-4081-883C-C34237368DEC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05" name="$E$288">
            <a:extLst>
              <a:ext uri="{FF2B5EF4-FFF2-40B4-BE49-F238E27FC236}">
                <a16:creationId xmlns:a16="http://schemas.microsoft.com/office/drawing/2014/main" id="{C13CCF34-07FA-40E6-A1B0-16E9596D2E26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06" name="$E$288">
            <a:extLst>
              <a:ext uri="{FF2B5EF4-FFF2-40B4-BE49-F238E27FC236}">
                <a16:creationId xmlns:a16="http://schemas.microsoft.com/office/drawing/2014/main" id="{B70D894E-91C0-4EE1-AC07-04C9009190A6}"/>
              </a:ext>
            </a:extLst>
          </xdr:cNvPr>
          <xdr:cNvSpPr/>
        </xdr:nvSpPr>
        <xdr:spPr>
          <a:xfrm>
            <a:off x="406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07" name="$E$288">
            <a:extLst>
              <a:ext uri="{FF2B5EF4-FFF2-40B4-BE49-F238E27FC236}">
                <a16:creationId xmlns:a16="http://schemas.microsoft.com/office/drawing/2014/main" id="{B9767966-B62D-498F-8218-88781CBBE7ED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08" name="$E$288">
            <a:extLst>
              <a:ext uri="{FF2B5EF4-FFF2-40B4-BE49-F238E27FC236}">
                <a16:creationId xmlns:a16="http://schemas.microsoft.com/office/drawing/2014/main" id="{AFA5ED11-DBF2-4FDB-92A2-1377A2344401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09" name="$E$288">
            <a:extLst>
              <a:ext uri="{FF2B5EF4-FFF2-40B4-BE49-F238E27FC236}">
                <a16:creationId xmlns:a16="http://schemas.microsoft.com/office/drawing/2014/main" id="{7A153A1E-7986-4128-9E5D-CE4748471666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10" name="$E$288">
            <a:extLst>
              <a:ext uri="{FF2B5EF4-FFF2-40B4-BE49-F238E27FC236}">
                <a16:creationId xmlns:a16="http://schemas.microsoft.com/office/drawing/2014/main" id="{5BB6FF69-5AA4-43B7-8176-2D5C7C83F0AC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11" name="$E$288">
            <a:extLst>
              <a:ext uri="{FF2B5EF4-FFF2-40B4-BE49-F238E27FC236}">
                <a16:creationId xmlns:a16="http://schemas.microsoft.com/office/drawing/2014/main" id="{7E638789-8AED-4A3B-8D47-D8600DAD09AE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12" name="$E$288">
            <a:extLst>
              <a:ext uri="{FF2B5EF4-FFF2-40B4-BE49-F238E27FC236}">
                <a16:creationId xmlns:a16="http://schemas.microsoft.com/office/drawing/2014/main" id="{2C1D3C04-CB4F-4E06-9490-3072A3280756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13" name="$E$288">
            <a:extLst>
              <a:ext uri="{FF2B5EF4-FFF2-40B4-BE49-F238E27FC236}">
                <a16:creationId xmlns:a16="http://schemas.microsoft.com/office/drawing/2014/main" id="{8B6A7899-D578-44C5-9E71-0857D09EC29E}"/>
              </a:ext>
            </a:extLst>
          </xdr:cNvPr>
          <xdr:cNvSpPr/>
        </xdr:nvSpPr>
        <xdr:spPr>
          <a:xfrm>
            <a:off x="127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14" name="$E$288">
            <a:extLst>
              <a:ext uri="{FF2B5EF4-FFF2-40B4-BE49-F238E27FC236}">
                <a16:creationId xmlns:a16="http://schemas.microsoft.com/office/drawing/2014/main" id="{17C1E7BC-4542-498D-9E3B-39F1C9563CE5}"/>
              </a:ext>
            </a:extLst>
          </xdr:cNvPr>
          <xdr:cNvSpPr/>
        </xdr:nvSpPr>
        <xdr:spPr>
          <a:xfrm>
            <a:off x="139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15" name="$E$288">
            <a:extLst>
              <a:ext uri="{FF2B5EF4-FFF2-40B4-BE49-F238E27FC236}">
                <a16:creationId xmlns:a16="http://schemas.microsoft.com/office/drawing/2014/main" id="{36E9107B-11D0-46DB-85BF-C6DE7D578954}"/>
              </a:ext>
            </a:extLst>
          </xdr:cNvPr>
          <xdr:cNvSpPr/>
        </xdr:nvSpPr>
        <xdr:spPr>
          <a:xfrm>
            <a:off x="152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16" name="$E$288">
            <a:extLst>
              <a:ext uri="{FF2B5EF4-FFF2-40B4-BE49-F238E27FC236}">
                <a16:creationId xmlns:a16="http://schemas.microsoft.com/office/drawing/2014/main" id="{CB96F701-B1AE-44D4-A0D5-AD2E65A55833}"/>
              </a:ext>
            </a:extLst>
          </xdr:cNvPr>
          <xdr:cNvSpPr/>
        </xdr:nvSpPr>
        <xdr:spPr>
          <a:xfrm>
            <a:off x="177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17" name="$E$288">
            <a:extLst>
              <a:ext uri="{FF2B5EF4-FFF2-40B4-BE49-F238E27FC236}">
                <a16:creationId xmlns:a16="http://schemas.microsoft.com/office/drawing/2014/main" id="{C515E788-F32D-4304-93AA-BE0CF8DD8CE7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18" name="$E$288">
            <a:extLst>
              <a:ext uri="{FF2B5EF4-FFF2-40B4-BE49-F238E27FC236}">
                <a16:creationId xmlns:a16="http://schemas.microsoft.com/office/drawing/2014/main" id="{5B754729-D694-448E-9CB3-7AED516F9530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19" name="$E$288">
            <a:extLst>
              <a:ext uri="{FF2B5EF4-FFF2-40B4-BE49-F238E27FC236}">
                <a16:creationId xmlns:a16="http://schemas.microsoft.com/office/drawing/2014/main" id="{B5FDE8B1-8996-4F33-AB98-E7309F0672E3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20" name="$E$288">
            <a:extLst>
              <a:ext uri="{FF2B5EF4-FFF2-40B4-BE49-F238E27FC236}">
                <a16:creationId xmlns:a16="http://schemas.microsoft.com/office/drawing/2014/main" id="{877A153B-A614-4C37-BE02-50F04ECDF7EA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21" name="$E$288">
            <a:extLst>
              <a:ext uri="{FF2B5EF4-FFF2-40B4-BE49-F238E27FC236}">
                <a16:creationId xmlns:a16="http://schemas.microsoft.com/office/drawing/2014/main" id="{539838E5-8BF5-4935-A526-980049ECBCCD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22" name="$E$288">
            <a:extLst>
              <a:ext uri="{FF2B5EF4-FFF2-40B4-BE49-F238E27FC236}">
                <a16:creationId xmlns:a16="http://schemas.microsoft.com/office/drawing/2014/main" id="{275F08BD-D640-49A7-B2A4-67DB9AFF61F7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23" name="$E$288">
            <a:extLst>
              <a:ext uri="{FF2B5EF4-FFF2-40B4-BE49-F238E27FC236}">
                <a16:creationId xmlns:a16="http://schemas.microsoft.com/office/drawing/2014/main" id="{6014C56F-0855-436D-A0B2-06678AD94F20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24" name="$E$288">
            <a:extLst>
              <a:ext uri="{FF2B5EF4-FFF2-40B4-BE49-F238E27FC236}">
                <a16:creationId xmlns:a16="http://schemas.microsoft.com/office/drawing/2014/main" id="{569E1FD9-AA8E-4118-973D-C646A9249CEE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25" name="$E$288">
            <a:extLst>
              <a:ext uri="{FF2B5EF4-FFF2-40B4-BE49-F238E27FC236}">
                <a16:creationId xmlns:a16="http://schemas.microsoft.com/office/drawing/2014/main" id="{866D14BE-A2D1-4C2A-B739-761BEB99731D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26" name="$E$288">
            <a:extLst>
              <a:ext uri="{FF2B5EF4-FFF2-40B4-BE49-F238E27FC236}">
                <a16:creationId xmlns:a16="http://schemas.microsoft.com/office/drawing/2014/main" id="{EF538119-D4E4-4D8D-9DA3-E17BCB31DC09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27" name="$E$288">
            <a:extLst>
              <a:ext uri="{FF2B5EF4-FFF2-40B4-BE49-F238E27FC236}">
                <a16:creationId xmlns:a16="http://schemas.microsoft.com/office/drawing/2014/main" id="{9756D71C-FBF9-4DB8-810F-2C3C8D391F3B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28" name="$E$288">
            <a:extLst>
              <a:ext uri="{FF2B5EF4-FFF2-40B4-BE49-F238E27FC236}">
                <a16:creationId xmlns:a16="http://schemas.microsoft.com/office/drawing/2014/main" id="{022EE0D7-AD35-4586-950B-DB047A6D2513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29" name="$E$288">
            <a:extLst>
              <a:ext uri="{FF2B5EF4-FFF2-40B4-BE49-F238E27FC236}">
                <a16:creationId xmlns:a16="http://schemas.microsoft.com/office/drawing/2014/main" id="{B1FA060A-AA3A-4787-9E81-B27E17228A04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30" name="$E$288">
            <a:extLst>
              <a:ext uri="{FF2B5EF4-FFF2-40B4-BE49-F238E27FC236}">
                <a16:creationId xmlns:a16="http://schemas.microsoft.com/office/drawing/2014/main" id="{03721733-8A81-4827-9F9F-22C8EDF0A117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31" name="$E$288">
            <a:extLst>
              <a:ext uri="{FF2B5EF4-FFF2-40B4-BE49-F238E27FC236}">
                <a16:creationId xmlns:a16="http://schemas.microsoft.com/office/drawing/2014/main" id="{BAC8F536-E7FE-4EB6-BA0A-AC6B8888CA14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32" name="$E$288">
            <a:extLst>
              <a:ext uri="{FF2B5EF4-FFF2-40B4-BE49-F238E27FC236}">
                <a16:creationId xmlns:a16="http://schemas.microsoft.com/office/drawing/2014/main" id="{53CC42E2-3EAC-4B3E-9314-B30EF1843D34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33" name="$E$288">
            <a:extLst>
              <a:ext uri="{FF2B5EF4-FFF2-40B4-BE49-F238E27FC236}">
                <a16:creationId xmlns:a16="http://schemas.microsoft.com/office/drawing/2014/main" id="{B1111F03-F67E-4A3A-9370-A1EA08BC4A02}"/>
              </a:ext>
            </a:extLst>
          </xdr:cNvPr>
          <xdr:cNvSpPr/>
        </xdr:nvSpPr>
        <xdr:spPr>
          <a:xfrm>
            <a:off x="127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34" name="$E$288">
            <a:extLst>
              <a:ext uri="{FF2B5EF4-FFF2-40B4-BE49-F238E27FC236}">
                <a16:creationId xmlns:a16="http://schemas.microsoft.com/office/drawing/2014/main" id="{32B9AD33-1E44-44DC-96B6-81E83F5319A8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35" name="$E$288">
            <a:extLst>
              <a:ext uri="{FF2B5EF4-FFF2-40B4-BE49-F238E27FC236}">
                <a16:creationId xmlns:a16="http://schemas.microsoft.com/office/drawing/2014/main" id="{0C10163C-B174-4337-8769-1B4D823822D9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36" name="$E$288">
            <a:extLst>
              <a:ext uri="{FF2B5EF4-FFF2-40B4-BE49-F238E27FC236}">
                <a16:creationId xmlns:a16="http://schemas.microsoft.com/office/drawing/2014/main" id="{53ACBE02-2942-4DCF-AD98-74DDEDB69E79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37" name="$E$288">
            <a:extLst>
              <a:ext uri="{FF2B5EF4-FFF2-40B4-BE49-F238E27FC236}">
                <a16:creationId xmlns:a16="http://schemas.microsoft.com/office/drawing/2014/main" id="{B099FBBD-75FE-4F30-ABB8-4B1E28EE06A2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38" name="$E$288">
            <a:extLst>
              <a:ext uri="{FF2B5EF4-FFF2-40B4-BE49-F238E27FC236}">
                <a16:creationId xmlns:a16="http://schemas.microsoft.com/office/drawing/2014/main" id="{97FB9DD3-DD5C-45B8-BAB8-8A36E8BA44EC}"/>
              </a:ext>
            </a:extLst>
          </xdr:cNvPr>
          <xdr:cNvSpPr/>
        </xdr:nvSpPr>
        <xdr:spPr>
          <a:xfrm>
            <a:off x="228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39" name="$E$288">
            <a:extLst>
              <a:ext uri="{FF2B5EF4-FFF2-40B4-BE49-F238E27FC236}">
                <a16:creationId xmlns:a16="http://schemas.microsoft.com/office/drawing/2014/main" id="{BB71A44F-223C-45F6-9482-D42A8208569E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40" name="$E$288">
            <a:extLst>
              <a:ext uri="{FF2B5EF4-FFF2-40B4-BE49-F238E27FC236}">
                <a16:creationId xmlns:a16="http://schemas.microsoft.com/office/drawing/2014/main" id="{896A37BB-9326-491B-A248-32E2B5AD3AA8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41" name="$E$288">
            <a:extLst>
              <a:ext uri="{FF2B5EF4-FFF2-40B4-BE49-F238E27FC236}">
                <a16:creationId xmlns:a16="http://schemas.microsoft.com/office/drawing/2014/main" id="{C48CF63A-3B19-4A69-B9F6-1CD9899E049C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42" name="$E$288">
            <a:extLst>
              <a:ext uri="{FF2B5EF4-FFF2-40B4-BE49-F238E27FC236}">
                <a16:creationId xmlns:a16="http://schemas.microsoft.com/office/drawing/2014/main" id="{B89EFE15-13D7-442F-8FD4-5BC2F42AF487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43" name="$E$288">
            <a:extLst>
              <a:ext uri="{FF2B5EF4-FFF2-40B4-BE49-F238E27FC236}">
                <a16:creationId xmlns:a16="http://schemas.microsoft.com/office/drawing/2014/main" id="{1C452A99-A9DA-4A3B-812F-7DCB5ED19A3C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44" name="$E$288">
            <a:extLst>
              <a:ext uri="{FF2B5EF4-FFF2-40B4-BE49-F238E27FC236}">
                <a16:creationId xmlns:a16="http://schemas.microsoft.com/office/drawing/2014/main" id="{F68ECFAF-EE48-44F6-BF8D-8E6B349B3A40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45" name="$E$288">
            <a:extLst>
              <a:ext uri="{FF2B5EF4-FFF2-40B4-BE49-F238E27FC236}">
                <a16:creationId xmlns:a16="http://schemas.microsoft.com/office/drawing/2014/main" id="{A8241B3B-1400-47B8-9AFF-D8CD27F779F7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46" name="$E$288">
            <a:extLst>
              <a:ext uri="{FF2B5EF4-FFF2-40B4-BE49-F238E27FC236}">
                <a16:creationId xmlns:a16="http://schemas.microsoft.com/office/drawing/2014/main" id="{F64EC874-9392-4B58-B0E6-4D587F98E312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47" name="$E$288">
            <a:extLst>
              <a:ext uri="{FF2B5EF4-FFF2-40B4-BE49-F238E27FC236}">
                <a16:creationId xmlns:a16="http://schemas.microsoft.com/office/drawing/2014/main" id="{31AE8BD9-DAA2-4708-A471-DF9398697AE5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48" name="$E$288">
            <a:extLst>
              <a:ext uri="{FF2B5EF4-FFF2-40B4-BE49-F238E27FC236}">
                <a16:creationId xmlns:a16="http://schemas.microsoft.com/office/drawing/2014/main" id="{FFB6BCDB-FCCF-4878-AB0A-BA4AA3904B25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49" name="$E$288">
            <a:extLst>
              <a:ext uri="{FF2B5EF4-FFF2-40B4-BE49-F238E27FC236}">
                <a16:creationId xmlns:a16="http://schemas.microsoft.com/office/drawing/2014/main" id="{55D7F70B-E663-4DFB-9C0A-56D6FC12AA23}"/>
              </a:ext>
            </a:extLst>
          </xdr:cNvPr>
          <xdr:cNvSpPr/>
        </xdr:nvSpPr>
        <xdr:spPr>
          <a:xfrm>
            <a:off x="127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50" name="$E$288">
            <a:extLst>
              <a:ext uri="{FF2B5EF4-FFF2-40B4-BE49-F238E27FC236}">
                <a16:creationId xmlns:a16="http://schemas.microsoft.com/office/drawing/2014/main" id="{259F54FE-0846-46E7-9DB7-E66161984941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51" name="$E$288">
            <a:extLst>
              <a:ext uri="{FF2B5EF4-FFF2-40B4-BE49-F238E27FC236}">
                <a16:creationId xmlns:a16="http://schemas.microsoft.com/office/drawing/2014/main" id="{B722DA3F-98B3-40F6-89AB-FF2BF584DBCE}"/>
              </a:ext>
            </a:extLst>
          </xdr:cNvPr>
          <xdr:cNvSpPr/>
        </xdr:nvSpPr>
        <xdr:spPr>
          <a:xfrm>
            <a:off x="152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52" name="$E$288">
            <a:extLst>
              <a:ext uri="{FF2B5EF4-FFF2-40B4-BE49-F238E27FC236}">
                <a16:creationId xmlns:a16="http://schemas.microsoft.com/office/drawing/2014/main" id="{2CE0E243-636C-45BB-B9DE-3AA1A576FD4E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53" name="$E$288">
            <a:extLst>
              <a:ext uri="{FF2B5EF4-FFF2-40B4-BE49-F238E27FC236}">
                <a16:creationId xmlns:a16="http://schemas.microsoft.com/office/drawing/2014/main" id="{5772A56B-F29E-4326-960C-FE3BF21F38E3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54" name="$E$288">
            <a:extLst>
              <a:ext uri="{FF2B5EF4-FFF2-40B4-BE49-F238E27FC236}">
                <a16:creationId xmlns:a16="http://schemas.microsoft.com/office/drawing/2014/main" id="{C563A728-89C5-4662-B407-48BE046321CD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55" name="$E$288">
            <a:extLst>
              <a:ext uri="{FF2B5EF4-FFF2-40B4-BE49-F238E27FC236}">
                <a16:creationId xmlns:a16="http://schemas.microsoft.com/office/drawing/2014/main" id="{D1169EBA-79B8-4754-AADA-DF5F8F130D0F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56" name="$E$288">
            <a:extLst>
              <a:ext uri="{FF2B5EF4-FFF2-40B4-BE49-F238E27FC236}">
                <a16:creationId xmlns:a16="http://schemas.microsoft.com/office/drawing/2014/main" id="{311288F4-8E90-44E8-9D19-64F7D9525F95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57" name="$E$288">
            <a:extLst>
              <a:ext uri="{FF2B5EF4-FFF2-40B4-BE49-F238E27FC236}">
                <a16:creationId xmlns:a16="http://schemas.microsoft.com/office/drawing/2014/main" id="{6B76CB77-B05C-4C26-8F6A-249AA0F53F9B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58" name="$E$288">
            <a:extLst>
              <a:ext uri="{FF2B5EF4-FFF2-40B4-BE49-F238E27FC236}">
                <a16:creationId xmlns:a16="http://schemas.microsoft.com/office/drawing/2014/main" id="{9E51933B-CA53-4570-9ACF-4099D9CD6A9D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59" name="$E$288">
            <a:extLst>
              <a:ext uri="{FF2B5EF4-FFF2-40B4-BE49-F238E27FC236}">
                <a16:creationId xmlns:a16="http://schemas.microsoft.com/office/drawing/2014/main" id="{AEC408C4-0393-4129-903E-C0A4C7F4E780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60" name="$E$288">
            <a:extLst>
              <a:ext uri="{FF2B5EF4-FFF2-40B4-BE49-F238E27FC236}">
                <a16:creationId xmlns:a16="http://schemas.microsoft.com/office/drawing/2014/main" id="{0EBD38F9-979F-45BD-AD9C-F200ECAB8BC6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61" name="$E$288">
            <a:extLst>
              <a:ext uri="{FF2B5EF4-FFF2-40B4-BE49-F238E27FC236}">
                <a16:creationId xmlns:a16="http://schemas.microsoft.com/office/drawing/2014/main" id="{5ED0363F-FBD3-4974-B050-57801F0F968F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62" name="$E$288">
            <a:extLst>
              <a:ext uri="{FF2B5EF4-FFF2-40B4-BE49-F238E27FC236}">
                <a16:creationId xmlns:a16="http://schemas.microsoft.com/office/drawing/2014/main" id="{B656F9E2-CB34-40B2-900F-B39AAE3C3289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63" name="$E$288">
            <a:extLst>
              <a:ext uri="{FF2B5EF4-FFF2-40B4-BE49-F238E27FC236}">
                <a16:creationId xmlns:a16="http://schemas.microsoft.com/office/drawing/2014/main" id="{23358335-C721-4B42-8519-B06018463EB9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64" name="$E$288">
            <a:extLst>
              <a:ext uri="{FF2B5EF4-FFF2-40B4-BE49-F238E27FC236}">
                <a16:creationId xmlns:a16="http://schemas.microsoft.com/office/drawing/2014/main" id="{615086EC-2D39-4FF4-A2BD-9EA156B8008E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65" name="$E$288">
            <a:extLst>
              <a:ext uri="{FF2B5EF4-FFF2-40B4-BE49-F238E27FC236}">
                <a16:creationId xmlns:a16="http://schemas.microsoft.com/office/drawing/2014/main" id="{A4D7E242-0460-4D01-A973-E90D9C65E56D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66" name="$E$288">
            <a:extLst>
              <a:ext uri="{FF2B5EF4-FFF2-40B4-BE49-F238E27FC236}">
                <a16:creationId xmlns:a16="http://schemas.microsoft.com/office/drawing/2014/main" id="{CC82A68E-2D18-4C1D-B849-1CD7A62DFEDA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67" name="$E$288">
            <a:extLst>
              <a:ext uri="{FF2B5EF4-FFF2-40B4-BE49-F238E27FC236}">
                <a16:creationId xmlns:a16="http://schemas.microsoft.com/office/drawing/2014/main" id="{6AD20CE9-79CB-4373-8027-E833D0D96241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68" name="$E$288">
            <a:extLst>
              <a:ext uri="{FF2B5EF4-FFF2-40B4-BE49-F238E27FC236}">
                <a16:creationId xmlns:a16="http://schemas.microsoft.com/office/drawing/2014/main" id="{A37F29AD-6D76-4F9E-B16E-728465F08055}"/>
              </a:ext>
            </a:extLst>
          </xdr:cNvPr>
          <xdr:cNvSpPr/>
        </xdr:nvSpPr>
        <xdr:spPr>
          <a:xfrm>
            <a:off x="165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69" name="$E$288">
            <a:extLst>
              <a:ext uri="{FF2B5EF4-FFF2-40B4-BE49-F238E27FC236}">
                <a16:creationId xmlns:a16="http://schemas.microsoft.com/office/drawing/2014/main" id="{5069C6C3-F11A-4E78-AC03-EDE1B265F09E}"/>
              </a:ext>
            </a:extLst>
          </xdr:cNvPr>
          <xdr:cNvSpPr/>
        </xdr:nvSpPr>
        <xdr:spPr>
          <a:xfrm>
            <a:off x="190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70" name="$E$288">
            <a:extLst>
              <a:ext uri="{FF2B5EF4-FFF2-40B4-BE49-F238E27FC236}">
                <a16:creationId xmlns:a16="http://schemas.microsoft.com/office/drawing/2014/main" id="{819C7184-6819-47B0-B6EF-80DCAE178BA1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71" name="$E$288">
            <a:extLst>
              <a:ext uri="{FF2B5EF4-FFF2-40B4-BE49-F238E27FC236}">
                <a16:creationId xmlns:a16="http://schemas.microsoft.com/office/drawing/2014/main" id="{115AC169-C283-42B5-96CE-B24272889CCF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72" name="$E$288">
            <a:extLst>
              <a:ext uri="{FF2B5EF4-FFF2-40B4-BE49-F238E27FC236}">
                <a16:creationId xmlns:a16="http://schemas.microsoft.com/office/drawing/2014/main" id="{F2553280-865B-4B56-95BE-43B0E3B581DE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73" name="$E$288">
            <a:extLst>
              <a:ext uri="{FF2B5EF4-FFF2-40B4-BE49-F238E27FC236}">
                <a16:creationId xmlns:a16="http://schemas.microsoft.com/office/drawing/2014/main" id="{72BFFBF7-75BE-41FD-800C-C16F086CA35B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74" name="$E$288">
            <a:extLst>
              <a:ext uri="{FF2B5EF4-FFF2-40B4-BE49-F238E27FC236}">
                <a16:creationId xmlns:a16="http://schemas.microsoft.com/office/drawing/2014/main" id="{34521792-BCE4-4BF5-B435-E586762DCFCB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75" name="$E$288">
            <a:extLst>
              <a:ext uri="{FF2B5EF4-FFF2-40B4-BE49-F238E27FC236}">
                <a16:creationId xmlns:a16="http://schemas.microsoft.com/office/drawing/2014/main" id="{060560C4-124C-4197-8D12-17117F964748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76" name="$E$288">
            <a:extLst>
              <a:ext uri="{FF2B5EF4-FFF2-40B4-BE49-F238E27FC236}">
                <a16:creationId xmlns:a16="http://schemas.microsoft.com/office/drawing/2014/main" id="{F554FF0E-ADF5-4AF8-83E4-42D960E7C63F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98244</xdr:colOff>
      <xdr:row>289</xdr:row>
      <xdr:rowOff>45864</xdr:rowOff>
    </xdr:from>
    <xdr:to>
      <xdr:col>4</xdr:col>
      <xdr:colOff>1559107</xdr:colOff>
      <xdr:row>289</xdr:row>
      <xdr:rowOff>1506727</xdr:rowOff>
    </xdr:to>
    <xdr:grpSp>
      <xdr:nvGrpSpPr>
        <xdr:cNvPr id="14819" name="$E$290" descr="QuickResponse barcode, level L, version 4, mode binary, 33x33 cells" title="https://centrodecapacitaciondelsur.com/violencia-sexual-1088734431/">
          <a:extLst>
            <a:ext uri="{FF2B5EF4-FFF2-40B4-BE49-F238E27FC236}">
              <a16:creationId xmlns:a16="http://schemas.microsoft.com/office/drawing/2014/main" id="{E22D533E-A4B7-4235-8696-57BCB273693E}"/>
            </a:ext>
          </a:extLst>
        </xdr:cNvPr>
        <xdr:cNvGrpSpPr>
          <a:grpSpLocks noChangeAspect="1"/>
        </xdr:cNvGrpSpPr>
      </xdr:nvGrpSpPr>
      <xdr:grpSpPr>
        <a:xfrm>
          <a:off x="20672244" y="399178000"/>
          <a:ext cx="1460863" cy="1460863"/>
          <a:chOff x="0" y="0"/>
          <a:chExt cx="419100" cy="419100"/>
        </a:xfrm>
      </xdr:grpSpPr>
      <xdr:sp macro="" textlink="">
        <xdr:nvSpPr>
          <xdr:cNvPr id="14278" name="$E$290">
            <a:extLst>
              <a:ext uri="{FF2B5EF4-FFF2-40B4-BE49-F238E27FC236}">
                <a16:creationId xmlns:a16="http://schemas.microsoft.com/office/drawing/2014/main" id="{880C8EA6-350D-43D1-8150-552E6647242B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79" name="$E$290">
            <a:extLst>
              <a:ext uri="{FF2B5EF4-FFF2-40B4-BE49-F238E27FC236}">
                <a16:creationId xmlns:a16="http://schemas.microsoft.com/office/drawing/2014/main" id="{1F29ADC9-6289-4E40-B3F5-02E96A8FA081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80" name="$E$290">
            <a:extLst>
              <a:ext uri="{FF2B5EF4-FFF2-40B4-BE49-F238E27FC236}">
                <a16:creationId xmlns:a16="http://schemas.microsoft.com/office/drawing/2014/main" id="{918437E0-FF45-46D2-B608-FF7941A042C1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81" name="$E$290">
            <a:extLst>
              <a:ext uri="{FF2B5EF4-FFF2-40B4-BE49-F238E27FC236}">
                <a16:creationId xmlns:a16="http://schemas.microsoft.com/office/drawing/2014/main" id="{3F60EEA5-9F64-4B22-9CAE-818F1BD18F02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82" name="$E$290">
            <a:extLst>
              <a:ext uri="{FF2B5EF4-FFF2-40B4-BE49-F238E27FC236}">
                <a16:creationId xmlns:a16="http://schemas.microsoft.com/office/drawing/2014/main" id="{1C5141A3-6C10-4BB5-BBF3-C34BD43877AB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83" name="$E$290">
            <a:extLst>
              <a:ext uri="{FF2B5EF4-FFF2-40B4-BE49-F238E27FC236}">
                <a16:creationId xmlns:a16="http://schemas.microsoft.com/office/drawing/2014/main" id="{4FF15671-1C1A-4A09-9969-67D57B974B6B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84" name="$E$290">
            <a:extLst>
              <a:ext uri="{FF2B5EF4-FFF2-40B4-BE49-F238E27FC236}">
                <a16:creationId xmlns:a16="http://schemas.microsoft.com/office/drawing/2014/main" id="{B6C99B02-3D14-4827-94FA-3760CA404A9B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85" name="$E$290">
            <a:extLst>
              <a:ext uri="{FF2B5EF4-FFF2-40B4-BE49-F238E27FC236}">
                <a16:creationId xmlns:a16="http://schemas.microsoft.com/office/drawing/2014/main" id="{8201EA71-4BEB-472D-B914-EF6C02687577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86" name="$E$290">
            <a:extLst>
              <a:ext uri="{FF2B5EF4-FFF2-40B4-BE49-F238E27FC236}">
                <a16:creationId xmlns:a16="http://schemas.microsoft.com/office/drawing/2014/main" id="{B48126D6-78DA-42C4-B663-37862C49FF83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87" name="$E$290">
            <a:extLst>
              <a:ext uri="{FF2B5EF4-FFF2-40B4-BE49-F238E27FC236}">
                <a16:creationId xmlns:a16="http://schemas.microsoft.com/office/drawing/2014/main" id="{3BDB8614-C9A8-4598-853D-142F2925B794}"/>
              </a:ext>
            </a:extLst>
          </xdr:cNvPr>
          <xdr:cNvSpPr/>
        </xdr:nvSpPr>
        <xdr:spPr>
          <a:xfrm>
            <a:off x="165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88" name="$E$290">
            <a:extLst>
              <a:ext uri="{FF2B5EF4-FFF2-40B4-BE49-F238E27FC236}">
                <a16:creationId xmlns:a16="http://schemas.microsoft.com/office/drawing/2014/main" id="{4DF2C341-3127-4194-91D4-6CFEBA9EF80C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89" name="$E$290">
            <a:extLst>
              <a:ext uri="{FF2B5EF4-FFF2-40B4-BE49-F238E27FC236}">
                <a16:creationId xmlns:a16="http://schemas.microsoft.com/office/drawing/2014/main" id="{9CB32654-FD05-4DC7-9466-968DCA7EF516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90" name="$E$290">
            <a:extLst>
              <a:ext uri="{FF2B5EF4-FFF2-40B4-BE49-F238E27FC236}">
                <a16:creationId xmlns:a16="http://schemas.microsoft.com/office/drawing/2014/main" id="{E5C1A5E0-C73D-4FF2-ACFA-0B465B4B3494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91" name="$E$290">
            <a:extLst>
              <a:ext uri="{FF2B5EF4-FFF2-40B4-BE49-F238E27FC236}">
                <a16:creationId xmlns:a16="http://schemas.microsoft.com/office/drawing/2014/main" id="{B80D3937-44FA-4F2F-9006-88DF7D558417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92" name="$E$290">
            <a:extLst>
              <a:ext uri="{FF2B5EF4-FFF2-40B4-BE49-F238E27FC236}">
                <a16:creationId xmlns:a16="http://schemas.microsoft.com/office/drawing/2014/main" id="{6127CE3A-7E72-4727-8C21-C6A20AA215F3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93" name="$E$290">
            <a:extLst>
              <a:ext uri="{FF2B5EF4-FFF2-40B4-BE49-F238E27FC236}">
                <a16:creationId xmlns:a16="http://schemas.microsoft.com/office/drawing/2014/main" id="{68C5103C-15E3-409D-BC0B-C62B0778A613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94" name="$E$290">
            <a:extLst>
              <a:ext uri="{FF2B5EF4-FFF2-40B4-BE49-F238E27FC236}">
                <a16:creationId xmlns:a16="http://schemas.microsoft.com/office/drawing/2014/main" id="{C0E0D2A6-D886-4C82-AF80-8E41E13E3A04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95" name="$E$290">
            <a:extLst>
              <a:ext uri="{FF2B5EF4-FFF2-40B4-BE49-F238E27FC236}">
                <a16:creationId xmlns:a16="http://schemas.microsoft.com/office/drawing/2014/main" id="{CAAC583A-6EEF-447A-820E-EFD2564E2DB2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96" name="$E$290">
            <a:extLst>
              <a:ext uri="{FF2B5EF4-FFF2-40B4-BE49-F238E27FC236}">
                <a16:creationId xmlns:a16="http://schemas.microsoft.com/office/drawing/2014/main" id="{50433F95-A1B4-4783-A72B-1A2F8E952B0D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97" name="$E$290">
            <a:extLst>
              <a:ext uri="{FF2B5EF4-FFF2-40B4-BE49-F238E27FC236}">
                <a16:creationId xmlns:a16="http://schemas.microsoft.com/office/drawing/2014/main" id="{9EF30F78-97C3-407C-A597-691F37AAA246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98" name="$E$290">
            <a:extLst>
              <a:ext uri="{FF2B5EF4-FFF2-40B4-BE49-F238E27FC236}">
                <a16:creationId xmlns:a16="http://schemas.microsoft.com/office/drawing/2014/main" id="{C9C29145-D11E-4FCE-944D-191900CE061A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299" name="$E$290">
            <a:extLst>
              <a:ext uri="{FF2B5EF4-FFF2-40B4-BE49-F238E27FC236}">
                <a16:creationId xmlns:a16="http://schemas.microsoft.com/office/drawing/2014/main" id="{C3CE0726-9F59-4BFB-8220-0765DA99C7A1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00" name="$E$290">
            <a:extLst>
              <a:ext uri="{FF2B5EF4-FFF2-40B4-BE49-F238E27FC236}">
                <a16:creationId xmlns:a16="http://schemas.microsoft.com/office/drawing/2014/main" id="{EA878080-401C-409F-B977-5E32F5F4074B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01" name="$E$290">
            <a:extLst>
              <a:ext uri="{FF2B5EF4-FFF2-40B4-BE49-F238E27FC236}">
                <a16:creationId xmlns:a16="http://schemas.microsoft.com/office/drawing/2014/main" id="{4EC16FE9-9C0D-4FF7-B103-DAA229A75F8B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02" name="$E$290">
            <a:extLst>
              <a:ext uri="{FF2B5EF4-FFF2-40B4-BE49-F238E27FC236}">
                <a16:creationId xmlns:a16="http://schemas.microsoft.com/office/drawing/2014/main" id="{ECA29728-01FA-4722-B742-DE0FED4A0051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03" name="$E$290">
            <a:extLst>
              <a:ext uri="{FF2B5EF4-FFF2-40B4-BE49-F238E27FC236}">
                <a16:creationId xmlns:a16="http://schemas.microsoft.com/office/drawing/2014/main" id="{D434F487-0FB3-45B0-9A37-29A530066E1B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04" name="$E$290">
            <a:extLst>
              <a:ext uri="{FF2B5EF4-FFF2-40B4-BE49-F238E27FC236}">
                <a16:creationId xmlns:a16="http://schemas.microsoft.com/office/drawing/2014/main" id="{E16D0E2F-E00A-448D-82CA-764E2382CE59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05" name="$E$290">
            <a:extLst>
              <a:ext uri="{FF2B5EF4-FFF2-40B4-BE49-F238E27FC236}">
                <a16:creationId xmlns:a16="http://schemas.microsoft.com/office/drawing/2014/main" id="{E8FB96AA-E5CE-4454-AD1E-12C964C3BC6E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06" name="$E$290">
            <a:extLst>
              <a:ext uri="{FF2B5EF4-FFF2-40B4-BE49-F238E27FC236}">
                <a16:creationId xmlns:a16="http://schemas.microsoft.com/office/drawing/2014/main" id="{83BE075A-8290-4F72-AEB1-930BCB5686E1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07" name="$E$290">
            <a:extLst>
              <a:ext uri="{FF2B5EF4-FFF2-40B4-BE49-F238E27FC236}">
                <a16:creationId xmlns:a16="http://schemas.microsoft.com/office/drawing/2014/main" id="{53F03017-503D-4BF1-ADF0-416CD4F5238B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08" name="$E$290">
            <a:extLst>
              <a:ext uri="{FF2B5EF4-FFF2-40B4-BE49-F238E27FC236}">
                <a16:creationId xmlns:a16="http://schemas.microsoft.com/office/drawing/2014/main" id="{F81D3793-1FB1-4C5E-879E-8D2681EF2B01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09" name="$E$290">
            <a:extLst>
              <a:ext uri="{FF2B5EF4-FFF2-40B4-BE49-F238E27FC236}">
                <a16:creationId xmlns:a16="http://schemas.microsoft.com/office/drawing/2014/main" id="{70D8E81C-B125-47CF-9BFB-3A9532BA66FB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10" name="$E$290">
            <a:extLst>
              <a:ext uri="{FF2B5EF4-FFF2-40B4-BE49-F238E27FC236}">
                <a16:creationId xmlns:a16="http://schemas.microsoft.com/office/drawing/2014/main" id="{C65899B2-934C-45E8-BF29-E4E69CF1BD43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11" name="$E$290">
            <a:extLst>
              <a:ext uri="{FF2B5EF4-FFF2-40B4-BE49-F238E27FC236}">
                <a16:creationId xmlns:a16="http://schemas.microsoft.com/office/drawing/2014/main" id="{7B7E750E-7EE2-4F84-964F-741EF68D3A12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12" name="$E$290">
            <a:extLst>
              <a:ext uri="{FF2B5EF4-FFF2-40B4-BE49-F238E27FC236}">
                <a16:creationId xmlns:a16="http://schemas.microsoft.com/office/drawing/2014/main" id="{5C466DD8-BD6A-4DB5-9B86-1370557AF991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13" name="$E$290">
            <a:extLst>
              <a:ext uri="{FF2B5EF4-FFF2-40B4-BE49-F238E27FC236}">
                <a16:creationId xmlns:a16="http://schemas.microsoft.com/office/drawing/2014/main" id="{1925E706-27BF-49CC-AD9B-0FCDC3543C75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14" name="$E$290">
            <a:extLst>
              <a:ext uri="{FF2B5EF4-FFF2-40B4-BE49-F238E27FC236}">
                <a16:creationId xmlns:a16="http://schemas.microsoft.com/office/drawing/2014/main" id="{FB86D596-0E74-4357-B0D0-79749D04B082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15" name="$E$290">
            <a:extLst>
              <a:ext uri="{FF2B5EF4-FFF2-40B4-BE49-F238E27FC236}">
                <a16:creationId xmlns:a16="http://schemas.microsoft.com/office/drawing/2014/main" id="{13385FC7-28A0-492D-A3D5-87631D76DBBC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16" name="$E$290">
            <a:extLst>
              <a:ext uri="{FF2B5EF4-FFF2-40B4-BE49-F238E27FC236}">
                <a16:creationId xmlns:a16="http://schemas.microsoft.com/office/drawing/2014/main" id="{DAC02DDC-5ED0-48D2-9F12-80CE908FE65B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17" name="$E$290">
            <a:extLst>
              <a:ext uri="{FF2B5EF4-FFF2-40B4-BE49-F238E27FC236}">
                <a16:creationId xmlns:a16="http://schemas.microsoft.com/office/drawing/2014/main" id="{10907F40-903E-486C-A6D9-512A1A547299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18" name="$E$290">
            <a:extLst>
              <a:ext uri="{FF2B5EF4-FFF2-40B4-BE49-F238E27FC236}">
                <a16:creationId xmlns:a16="http://schemas.microsoft.com/office/drawing/2014/main" id="{48CC05D4-4342-4F15-859C-6AF12B56073C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19" name="$E$290">
            <a:extLst>
              <a:ext uri="{FF2B5EF4-FFF2-40B4-BE49-F238E27FC236}">
                <a16:creationId xmlns:a16="http://schemas.microsoft.com/office/drawing/2014/main" id="{0BE99448-7ADC-4A6A-A070-77317400642D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20" name="$E$290">
            <a:extLst>
              <a:ext uri="{FF2B5EF4-FFF2-40B4-BE49-F238E27FC236}">
                <a16:creationId xmlns:a16="http://schemas.microsoft.com/office/drawing/2014/main" id="{374501A0-F616-47FC-9AE0-A831A5FB706D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21" name="$E$290">
            <a:extLst>
              <a:ext uri="{FF2B5EF4-FFF2-40B4-BE49-F238E27FC236}">
                <a16:creationId xmlns:a16="http://schemas.microsoft.com/office/drawing/2014/main" id="{41DB981C-1D41-4987-A821-64EF7F5083B4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22" name="$E$290">
            <a:extLst>
              <a:ext uri="{FF2B5EF4-FFF2-40B4-BE49-F238E27FC236}">
                <a16:creationId xmlns:a16="http://schemas.microsoft.com/office/drawing/2014/main" id="{04F5A8CE-7EF3-44E7-BD4E-15C640A38322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23" name="$E$290">
            <a:extLst>
              <a:ext uri="{FF2B5EF4-FFF2-40B4-BE49-F238E27FC236}">
                <a16:creationId xmlns:a16="http://schemas.microsoft.com/office/drawing/2014/main" id="{BC02006A-6718-465A-8376-0C4754B64F88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24" name="$E$290">
            <a:extLst>
              <a:ext uri="{FF2B5EF4-FFF2-40B4-BE49-F238E27FC236}">
                <a16:creationId xmlns:a16="http://schemas.microsoft.com/office/drawing/2014/main" id="{2487E9F1-6046-46AA-8173-C464642B1CC3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25" name="$E$290">
            <a:extLst>
              <a:ext uri="{FF2B5EF4-FFF2-40B4-BE49-F238E27FC236}">
                <a16:creationId xmlns:a16="http://schemas.microsoft.com/office/drawing/2014/main" id="{4365D73B-A0A7-4FBC-B218-4DEA99F39441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26" name="$E$290">
            <a:extLst>
              <a:ext uri="{FF2B5EF4-FFF2-40B4-BE49-F238E27FC236}">
                <a16:creationId xmlns:a16="http://schemas.microsoft.com/office/drawing/2014/main" id="{A965160A-4E05-421B-8891-F35AC37B9701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27" name="$E$290">
            <a:extLst>
              <a:ext uri="{FF2B5EF4-FFF2-40B4-BE49-F238E27FC236}">
                <a16:creationId xmlns:a16="http://schemas.microsoft.com/office/drawing/2014/main" id="{1D7FDD04-5B49-498E-B6CC-0D138CDCDFD9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28" name="$E$290">
            <a:extLst>
              <a:ext uri="{FF2B5EF4-FFF2-40B4-BE49-F238E27FC236}">
                <a16:creationId xmlns:a16="http://schemas.microsoft.com/office/drawing/2014/main" id="{144BA592-1A8C-462F-84C7-E0CC6C121F09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29" name="$E$290">
            <a:extLst>
              <a:ext uri="{FF2B5EF4-FFF2-40B4-BE49-F238E27FC236}">
                <a16:creationId xmlns:a16="http://schemas.microsoft.com/office/drawing/2014/main" id="{B3428B95-1281-491E-9E2A-967FF798ADE5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30" name="$E$290">
            <a:extLst>
              <a:ext uri="{FF2B5EF4-FFF2-40B4-BE49-F238E27FC236}">
                <a16:creationId xmlns:a16="http://schemas.microsoft.com/office/drawing/2014/main" id="{164665A0-E199-483C-B7A7-26CB7F898390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31" name="$E$290">
            <a:extLst>
              <a:ext uri="{FF2B5EF4-FFF2-40B4-BE49-F238E27FC236}">
                <a16:creationId xmlns:a16="http://schemas.microsoft.com/office/drawing/2014/main" id="{2F314A45-A973-4BA0-BA16-2A4EC51C186C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32" name="$E$290">
            <a:extLst>
              <a:ext uri="{FF2B5EF4-FFF2-40B4-BE49-F238E27FC236}">
                <a16:creationId xmlns:a16="http://schemas.microsoft.com/office/drawing/2014/main" id="{5A26CA72-F462-42CA-8FF8-72CC88649DDC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33" name="$E$290">
            <a:extLst>
              <a:ext uri="{FF2B5EF4-FFF2-40B4-BE49-F238E27FC236}">
                <a16:creationId xmlns:a16="http://schemas.microsoft.com/office/drawing/2014/main" id="{84EFFA8D-F3D2-4F20-9E97-883793BE9D37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34" name="$E$290">
            <a:extLst>
              <a:ext uri="{FF2B5EF4-FFF2-40B4-BE49-F238E27FC236}">
                <a16:creationId xmlns:a16="http://schemas.microsoft.com/office/drawing/2014/main" id="{15DD72C4-6788-4E64-8683-20BF32BF5A2F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35" name="$E$290">
            <a:extLst>
              <a:ext uri="{FF2B5EF4-FFF2-40B4-BE49-F238E27FC236}">
                <a16:creationId xmlns:a16="http://schemas.microsoft.com/office/drawing/2014/main" id="{FFF59CDC-A5D7-4E7B-98D2-8233DFA2FAE1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36" name="$E$290">
            <a:extLst>
              <a:ext uri="{FF2B5EF4-FFF2-40B4-BE49-F238E27FC236}">
                <a16:creationId xmlns:a16="http://schemas.microsoft.com/office/drawing/2014/main" id="{BBB26EE8-F9A4-4AEE-8D88-7ACA621CFE1F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37" name="$E$290">
            <a:extLst>
              <a:ext uri="{FF2B5EF4-FFF2-40B4-BE49-F238E27FC236}">
                <a16:creationId xmlns:a16="http://schemas.microsoft.com/office/drawing/2014/main" id="{DAFEE3B4-FDB6-4E8F-9990-2BCF1CDFE729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38" name="$E$290">
            <a:extLst>
              <a:ext uri="{FF2B5EF4-FFF2-40B4-BE49-F238E27FC236}">
                <a16:creationId xmlns:a16="http://schemas.microsoft.com/office/drawing/2014/main" id="{B40A5311-447F-4A6F-8137-E24C20715F76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39" name="$E$290">
            <a:extLst>
              <a:ext uri="{FF2B5EF4-FFF2-40B4-BE49-F238E27FC236}">
                <a16:creationId xmlns:a16="http://schemas.microsoft.com/office/drawing/2014/main" id="{6F62EEB0-3D13-4B6A-87B6-3975F4BBAE5A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40" name="$E$290">
            <a:extLst>
              <a:ext uri="{FF2B5EF4-FFF2-40B4-BE49-F238E27FC236}">
                <a16:creationId xmlns:a16="http://schemas.microsoft.com/office/drawing/2014/main" id="{8E288EBA-B3F0-4258-BBA9-9E90F6309B27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41" name="$E$290">
            <a:extLst>
              <a:ext uri="{FF2B5EF4-FFF2-40B4-BE49-F238E27FC236}">
                <a16:creationId xmlns:a16="http://schemas.microsoft.com/office/drawing/2014/main" id="{A60D5495-3073-4EE6-B68A-77F80A0A1AF3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42" name="$E$290">
            <a:extLst>
              <a:ext uri="{FF2B5EF4-FFF2-40B4-BE49-F238E27FC236}">
                <a16:creationId xmlns:a16="http://schemas.microsoft.com/office/drawing/2014/main" id="{CB5A9FAE-BB99-4D77-A903-C35D98736DB3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43" name="$E$290">
            <a:extLst>
              <a:ext uri="{FF2B5EF4-FFF2-40B4-BE49-F238E27FC236}">
                <a16:creationId xmlns:a16="http://schemas.microsoft.com/office/drawing/2014/main" id="{9B29F980-6749-4964-883D-7EC8275D1D7D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44" name="$E$290">
            <a:extLst>
              <a:ext uri="{FF2B5EF4-FFF2-40B4-BE49-F238E27FC236}">
                <a16:creationId xmlns:a16="http://schemas.microsoft.com/office/drawing/2014/main" id="{9B943696-71EB-4C54-BAEA-60B5DF9A3BB5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45" name="$E$290">
            <a:extLst>
              <a:ext uri="{FF2B5EF4-FFF2-40B4-BE49-F238E27FC236}">
                <a16:creationId xmlns:a16="http://schemas.microsoft.com/office/drawing/2014/main" id="{73E98F73-4F69-4399-937C-3DEC6B15E9B7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46" name="$E$290">
            <a:extLst>
              <a:ext uri="{FF2B5EF4-FFF2-40B4-BE49-F238E27FC236}">
                <a16:creationId xmlns:a16="http://schemas.microsoft.com/office/drawing/2014/main" id="{61C054AF-22B5-4F72-B811-08898174EE1B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47" name="$E$290">
            <a:extLst>
              <a:ext uri="{FF2B5EF4-FFF2-40B4-BE49-F238E27FC236}">
                <a16:creationId xmlns:a16="http://schemas.microsoft.com/office/drawing/2014/main" id="{626148E7-E666-47E0-827B-F5A583E51BCF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48" name="$E$290">
            <a:extLst>
              <a:ext uri="{FF2B5EF4-FFF2-40B4-BE49-F238E27FC236}">
                <a16:creationId xmlns:a16="http://schemas.microsoft.com/office/drawing/2014/main" id="{FC508C0F-4A49-4870-A748-CAB8015E2246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49" name="$E$290">
            <a:extLst>
              <a:ext uri="{FF2B5EF4-FFF2-40B4-BE49-F238E27FC236}">
                <a16:creationId xmlns:a16="http://schemas.microsoft.com/office/drawing/2014/main" id="{7F33DECE-4EB9-46C6-BE0F-01FE4F2425D7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50" name="$E$290">
            <a:extLst>
              <a:ext uri="{FF2B5EF4-FFF2-40B4-BE49-F238E27FC236}">
                <a16:creationId xmlns:a16="http://schemas.microsoft.com/office/drawing/2014/main" id="{473469B8-2FB1-4062-8E06-8DE23F66D0AB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51" name="$E$290">
            <a:extLst>
              <a:ext uri="{FF2B5EF4-FFF2-40B4-BE49-F238E27FC236}">
                <a16:creationId xmlns:a16="http://schemas.microsoft.com/office/drawing/2014/main" id="{5476112F-EC21-4B77-AF83-B29B7B998E09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52" name="$E$290">
            <a:extLst>
              <a:ext uri="{FF2B5EF4-FFF2-40B4-BE49-F238E27FC236}">
                <a16:creationId xmlns:a16="http://schemas.microsoft.com/office/drawing/2014/main" id="{F21AF8C2-D7EB-477A-8854-2DA8EDED5D92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53" name="$E$290">
            <a:extLst>
              <a:ext uri="{FF2B5EF4-FFF2-40B4-BE49-F238E27FC236}">
                <a16:creationId xmlns:a16="http://schemas.microsoft.com/office/drawing/2014/main" id="{591A2128-6E17-4AAA-BC0F-0F89089F127E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54" name="$E$290">
            <a:extLst>
              <a:ext uri="{FF2B5EF4-FFF2-40B4-BE49-F238E27FC236}">
                <a16:creationId xmlns:a16="http://schemas.microsoft.com/office/drawing/2014/main" id="{4FBFB8DA-AF94-48F2-89E5-0E2F0DA6251B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55" name="$E$290">
            <a:extLst>
              <a:ext uri="{FF2B5EF4-FFF2-40B4-BE49-F238E27FC236}">
                <a16:creationId xmlns:a16="http://schemas.microsoft.com/office/drawing/2014/main" id="{94254FDA-FFD6-4574-8F4D-69C339CC4138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56" name="$E$290">
            <a:extLst>
              <a:ext uri="{FF2B5EF4-FFF2-40B4-BE49-F238E27FC236}">
                <a16:creationId xmlns:a16="http://schemas.microsoft.com/office/drawing/2014/main" id="{777A99E1-BEAE-4979-A6ED-1BFAA017AEA7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57" name="$E$290">
            <a:extLst>
              <a:ext uri="{FF2B5EF4-FFF2-40B4-BE49-F238E27FC236}">
                <a16:creationId xmlns:a16="http://schemas.microsoft.com/office/drawing/2014/main" id="{E31E15B9-B3CD-41B4-9C70-BB7096BAFC02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58" name="$E$290">
            <a:extLst>
              <a:ext uri="{FF2B5EF4-FFF2-40B4-BE49-F238E27FC236}">
                <a16:creationId xmlns:a16="http://schemas.microsoft.com/office/drawing/2014/main" id="{29915C3F-A3B8-4491-B0AA-3DCDA3A1B895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59" name="$E$290">
            <a:extLst>
              <a:ext uri="{FF2B5EF4-FFF2-40B4-BE49-F238E27FC236}">
                <a16:creationId xmlns:a16="http://schemas.microsoft.com/office/drawing/2014/main" id="{B78DF8E5-E93E-4903-9707-5F36498B7E61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60" name="$E$290">
            <a:extLst>
              <a:ext uri="{FF2B5EF4-FFF2-40B4-BE49-F238E27FC236}">
                <a16:creationId xmlns:a16="http://schemas.microsoft.com/office/drawing/2014/main" id="{DAEF843E-0849-4CB2-9D2B-086ED3B0E2C8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61" name="$E$290">
            <a:extLst>
              <a:ext uri="{FF2B5EF4-FFF2-40B4-BE49-F238E27FC236}">
                <a16:creationId xmlns:a16="http://schemas.microsoft.com/office/drawing/2014/main" id="{CEDD1A2F-F18E-44F9-9469-4E8F331D4D64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62" name="$E$290">
            <a:extLst>
              <a:ext uri="{FF2B5EF4-FFF2-40B4-BE49-F238E27FC236}">
                <a16:creationId xmlns:a16="http://schemas.microsoft.com/office/drawing/2014/main" id="{45D7D80D-1F6E-4672-912B-688529278CA9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63" name="$E$290">
            <a:extLst>
              <a:ext uri="{FF2B5EF4-FFF2-40B4-BE49-F238E27FC236}">
                <a16:creationId xmlns:a16="http://schemas.microsoft.com/office/drawing/2014/main" id="{D1A3D2AA-353B-44EA-864F-2C68DFC2EBFA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64" name="$E$290">
            <a:extLst>
              <a:ext uri="{FF2B5EF4-FFF2-40B4-BE49-F238E27FC236}">
                <a16:creationId xmlns:a16="http://schemas.microsoft.com/office/drawing/2014/main" id="{F5CFC888-F25D-415A-A16E-1DAFA3CC359C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65" name="$E$290">
            <a:extLst>
              <a:ext uri="{FF2B5EF4-FFF2-40B4-BE49-F238E27FC236}">
                <a16:creationId xmlns:a16="http://schemas.microsoft.com/office/drawing/2014/main" id="{A3B4B48C-78D2-4BA0-AF48-88E1C8DE86F4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66" name="$E$290">
            <a:extLst>
              <a:ext uri="{FF2B5EF4-FFF2-40B4-BE49-F238E27FC236}">
                <a16:creationId xmlns:a16="http://schemas.microsoft.com/office/drawing/2014/main" id="{9B3125CF-EE19-4E44-ACF0-94A3E4CE5C29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67" name="$E$290">
            <a:extLst>
              <a:ext uri="{FF2B5EF4-FFF2-40B4-BE49-F238E27FC236}">
                <a16:creationId xmlns:a16="http://schemas.microsoft.com/office/drawing/2014/main" id="{FB1DC158-B19E-411E-BEFB-7F3251BE4D2B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68" name="$E$290">
            <a:extLst>
              <a:ext uri="{FF2B5EF4-FFF2-40B4-BE49-F238E27FC236}">
                <a16:creationId xmlns:a16="http://schemas.microsoft.com/office/drawing/2014/main" id="{D9AA148E-45D3-4776-87E4-0602200BD633}"/>
              </a:ext>
            </a:extLst>
          </xdr:cNvPr>
          <xdr:cNvSpPr/>
        </xdr:nvSpPr>
        <xdr:spPr>
          <a:xfrm>
            <a:off x="165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69" name="$E$290">
            <a:extLst>
              <a:ext uri="{FF2B5EF4-FFF2-40B4-BE49-F238E27FC236}">
                <a16:creationId xmlns:a16="http://schemas.microsoft.com/office/drawing/2014/main" id="{EA88A57F-5B69-4708-A7E2-383D581EA94B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70" name="$E$290">
            <a:extLst>
              <a:ext uri="{FF2B5EF4-FFF2-40B4-BE49-F238E27FC236}">
                <a16:creationId xmlns:a16="http://schemas.microsoft.com/office/drawing/2014/main" id="{7AAD6F23-6110-4187-B47A-5DF711B5367D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71" name="$E$290">
            <a:extLst>
              <a:ext uri="{FF2B5EF4-FFF2-40B4-BE49-F238E27FC236}">
                <a16:creationId xmlns:a16="http://schemas.microsoft.com/office/drawing/2014/main" id="{18CFFD95-F2FB-4599-8E88-CA29FE802778}"/>
              </a:ext>
            </a:extLst>
          </xdr:cNvPr>
          <xdr:cNvSpPr/>
        </xdr:nvSpPr>
        <xdr:spPr>
          <a:xfrm>
            <a:off x="215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72" name="$E$290">
            <a:extLst>
              <a:ext uri="{FF2B5EF4-FFF2-40B4-BE49-F238E27FC236}">
                <a16:creationId xmlns:a16="http://schemas.microsoft.com/office/drawing/2014/main" id="{FA82A3B6-6E74-4651-8961-1B68EB93992D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73" name="$E$290">
            <a:extLst>
              <a:ext uri="{FF2B5EF4-FFF2-40B4-BE49-F238E27FC236}">
                <a16:creationId xmlns:a16="http://schemas.microsoft.com/office/drawing/2014/main" id="{B9221452-A1A6-410A-9846-7DBE53E15F9E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74" name="$E$290">
            <a:extLst>
              <a:ext uri="{FF2B5EF4-FFF2-40B4-BE49-F238E27FC236}">
                <a16:creationId xmlns:a16="http://schemas.microsoft.com/office/drawing/2014/main" id="{FC55B4E9-2AC1-4622-A4FB-4F51469A964A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75" name="$E$290">
            <a:extLst>
              <a:ext uri="{FF2B5EF4-FFF2-40B4-BE49-F238E27FC236}">
                <a16:creationId xmlns:a16="http://schemas.microsoft.com/office/drawing/2014/main" id="{46B60C85-B3F8-4A25-AD4C-C553A76BA7F5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76" name="$E$290">
            <a:extLst>
              <a:ext uri="{FF2B5EF4-FFF2-40B4-BE49-F238E27FC236}">
                <a16:creationId xmlns:a16="http://schemas.microsoft.com/office/drawing/2014/main" id="{53C60FED-C6EC-496B-A9CB-6FBCCA89CEF1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77" name="$E$290">
            <a:extLst>
              <a:ext uri="{FF2B5EF4-FFF2-40B4-BE49-F238E27FC236}">
                <a16:creationId xmlns:a16="http://schemas.microsoft.com/office/drawing/2014/main" id="{31D0AEB8-2160-4504-9455-8D234A99EC92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78" name="$E$290">
            <a:extLst>
              <a:ext uri="{FF2B5EF4-FFF2-40B4-BE49-F238E27FC236}">
                <a16:creationId xmlns:a16="http://schemas.microsoft.com/office/drawing/2014/main" id="{C5CB633A-CFD8-4316-8E31-76BB4E50CF78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79" name="$E$290">
            <a:extLst>
              <a:ext uri="{FF2B5EF4-FFF2-40B4-BE49-F238E27FC236}">
                <a16:creationId xmlns:a16="http://schemas.microsoft.com/office/drawing/2014/main" id="{4D192922-481A-4260-A8F2-3E43EDBB90FA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80" name="$E$290">
            <a:extLst>
              <a:ext uri="{FF2B5EF4-FFF2-40B4-BE49-F238E27FC236}">
                <a16:creationId xmlns:a16="http://schemas.microsoft.com/office/drawing/2014/main" id="{D4B8FFD9-BB52-45BD-BAB2-FBD44C854283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81" name="$E$290">
            <a:extLst>
              <a:ext uri="{FF2B5EF4-FFF2-40B4-BE49-F238E27FC236}">
                <a16:creationId xmlns:a16="http://schemas.microsoft.com/office/drawing/2014/main" id="{4391B381-F8C7-4378-8F67-067FC73C7D72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82" name="$E$290">
            <a:extLst>
              <a:ext uri="{FF2B5EF4-FFF2-40B4-BE49-F238E27FC236}">
                <a16:creationId xmlns:a16="http://schemas.microsoft.com/office/drawing/2014/main" id="{496473D2-496B-4C2A-9E90-FFFAFBCE27C1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83" name="$E$290">
            <a:extLst>
              <a:ext uri="{FF2B5EF4-FFF2-40B4-BE49-F238E27FC236}">
                <a16:creationId xmlns:a16="http://schemas.microsoft.com/office/drawing/2014/main" id="{C855C7B8-894F-40DE-8569-0B11B7A37011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84" name="$E$290">
            <a:extLst>
              <a:ext uri="{FF2B5EF4-FFF2-40B4-BE49-F238E27FC236}">
                <a16:creationId xmlns:a16="http://schemas.microsoft.com/office/drawing/2014/main" id="{8EA2B8B0-79A4-42F2-89A1-96B18FBF0ED1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85" name="$E$290">
            <a:extLst>
              <a:ext uri="{FF2B5EF4-FFF2-40B4-BE49-F238E27FC236}">
                <a16:creationId xmlns:a16="http://schemas.microsoft.com/office/drawing/2014/main" id="{792D4EE8-7417-4E76-8694-A7143F53CCC7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86" name="$E$290">
            <a:extLst>
              <a:ext uri="{FF2B5EF4-FFF2-40B4-BE49-F238E27FC236}">
                <a16:creationId xmlns:a16="http://schemas.microsoft.com/office/drawing/2014/main" id="{2863040C-CB76-497A-BC29-EBC9BE3F8EA6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87" name="$E$290">
            <a:extLst>
              <a:ext uri="{FF2B5EF4-FFF2-40B4-BE49-F238E27FC236}">
                <a16:creationId xmlns:a16="http://schemas.microsoft.com/office/drawing/2014/main" id="{DC09E88E-3179-4AD2-920F-C77423D22CA6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88" name="$E$290">
            <a:extLst>
              <a:ext uri="{FF2B5EF4-FFF2-40B4-BE49-F238E27FC236}">
                <a16:creationId xmlns:a16="http://schemas.microsoft.com/office/drawing/2014/main" id="{062373B3-EA45-463A-9B10-4744FCFCACC8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89" name="$E$290">
            <a:extLst>
              <a:ext uri="{FF2B5EF4-FFF2-40B4-BE49-F238E27FC236}">
                <a16:creationId xmlns:a16="http://schemas.microsoft.com/office/drawing/2014/main" id="{BBEC9557-8909-425B-ACA0-70DD6A21ACE7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90" name="$E$290">
            <a:extLst>
              <a:ext uri="{FF2B5EF4-FFF2-40B4-BE49-F238E27FC236}">
                <a16:creationId xmlns:a16="http://schemas.microsoft.com/office/drawing/2014/main" id="{7A334FA0-116F-449A-9128-72FB8130B91E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91" name="$E$290">
            <a:extLst>
              <a:ext uri="{FF2B5EF4-FFF2-40B4-BE49-F238E27FC236}">
                <a16:creationId xmlns:a16="http://schemas.microsoft.com/office/drawing/2014/main" id="{68DC33A2-A078-46ED-A1DE-C31A2D8A2AC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92" name="$E$290">
            <a:extLst>
              <a:ext uri="{FF2B5EF4-FFF2-40B4-BE49-F238E27FC236}">
                <a16:creationId xmlns:a16="http://schemas.microsoft.com/office/drawing/2014/main" id="{469CA114-881E-4094-BE70-9B8A7337B11F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93" name="$E$290">
            <a:extLst>
              <a:ext uri="{FF2B5EF4-FFF2-40B4-BE49-F238E27FC236}">
                <a16:creationId xmlns:a16="http://schemas.microsoft.com/office/drawing/2014/main" id="{672E56F8-50F0-42D7-9A71-E44B87908497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94" name="$E$290">
            <a:extLst>
              <a:ext uri="{FF2B5EF4-FFF2-40B4-BE49-F238E27FC236}">
                <a16:creationId xmlns:a16="http://schemas.microsoft.com/office/drawing/2014/main" id="{DF9C1E83-05C5-4970-874F-4557A4BF4FDA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95" name="$E$290">
            <a:extLst>
              <a:ext uri="{FF2B5EF4-FFF2-40B4-BE49-F238E27FC236}">
                <a16:creationId xmlns:a16="http://schemas.microsoft.com/office/drawing/2014/main" id="{C6A27B82-23A0-44F5-BD2F-62689D8F2FE8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96" name="$E$290">
            <a:extLst>
              <a:ext uri="{FF2B5EF4-FFF2-40B4-BE49-F238E27FC236}">
                <a16:creationId xmlns:a16="http://schemas.microsoft.com/office/drawing/2014/main" id="{7A91A264-33AD-4C80-B8CD-E22CCC59146B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97" name="$E$290">
            <a:extLst>
              <a:ext uri="{FF2B5EF4-FFF2-40B4-BE49-F238E27FC236}">
                <a16:creationId xmlns:a16="http://schemas.microsoft.com/office/drawing/2014/main" id="{8CEFBA56-909E-4411-BD93-3C3125EDD309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98" name="$E$290">
            <a:extLst>
              <a:ext uri="{FF2B5EF4-FFF2-40B4-BE49-F238E27FC236}">
                <a16:creationId xmlns:a16="http://schemas.microsoft.com/office/drawing/2014/main" id="{CB0B4933-BFA4-4F49-92D9-04610B73A22F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399" name="$E$290">
            <a:extLst>
              <a:ext uri="{FF2B5EF4-FFF2-40B4-BE49-F238E27FC236}">
                <a16:creationId xmlns:a16="http://schemas.microsoft.com/office/drawing/2014/main" id="{9585B7A5-3C96-4C6F-9AF6-52C43D660B5A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00" name="$E$290">
            <a:extLst>
              <a:ext uri="{FF2B5EF4-FFF2-40B4-BE49-F238E27FC236}">
                <a16:creationId xmlns:a16="http://schemas.microsoft.com/office/drawing/2014/main" id="{1CB19EAB-9E7A-4B45-BE2F-9748D411BEDB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01" name="$E$290">
            <a:extLst>
              <a:ext uri="{FF2B5EF4-FFF2-40B4-BE49-F238E27FC236}">
                <a16:creationId xmlns:a16="http://schemas.microsoft.com/office/drawing/2014/main" id="{446CF813-206F-44F8-96D0-712D44E23EB9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02" name="$E$290">
            <a:extLst>
              <a:ext uri="{FF2B5EF4-FFF2-40B4-BE49-F238E27FC236}">
                <a16:creationId xmlns:a16="http://schemas.microsoft.com/office/drawing/2014/main" id="{C07EFDF6-89E0-4270-A8E7-4DD48721E11E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03" name="$E$290">
            <a:extLst>
              <a:ext uri="{FF2B5EF4-FFF2-40B4-BE49-F238E27FC236}">
                <a16:creationId xmlns:a16="http://schemas.microsoft.com/office/drawing/2014/main" id="{F0387375-A78B-4194-BB17-2C367B46DEE2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04" name="$E$290">
            <a:extLst>
              <a:ext uri="{FF2B5EF4-FFF2-40B4-BE49-F238E27FC236}">
                <a16:creationId xmlns:a16="http://schemas.microsoft.com/office/drawing/2014/main" id="{D5839086-8C3A-499F-A03F-0150B0F913DC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05" name="$E$290">
            <a:extLst>
              <a:ext uri="{FF2B5EF4-FFF2-40B4-BE49-F238E27FC236}">
                <a16:creationId xmlns:a16="http://schemas.microsoft.com/office/drawing/2014/main" id="{A1EAEFDC-B2C1-4E1E-A55E-8F6540C5D4F6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06" name="$E$290">
            <a:extLst>
              <a:ext uri="{FF2B5EF4-FFF2-40B4-BE49-F238E27FC236}">
                <a16:creationId xmlns:a16="http://schemas.microsoft.com/office/drawing/2014/main" id="{BCE10D1A-E074-4B6B-9148-7E4C63BA49A2}"/>
              </a:ext>
            </a:extLst>
          </xdr:cNvPr>
          <xdr:cNvSpPr/>
        </xdr:nvSpPr>
        <xdr:spPr>
          <a:xfrm>
            <a:off x="241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07" name="$E$290">
            <a:extLst>
              <a:ext uri="{FF2B5EF4-FFF2-40B4-BE49-F238E27FC236}">
                <a16:creationId xmlns:a16="http://schemas.microsoft.com/office/drawing/2014/main" id="{9A3410AD-7016-4E8F-8681-02C4C1353BBE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08" name="$E$290">
            <a:extLst>
              <a:ext uri="{FF2B5EF4-FFF2-40B4-BE49-F238E27FC236}">
                <a16:creationId xmlns:a16="http://schemas.microsoft.com/office/drawing/2014/main" id="{64593CA1-EB54-429F-AA38-06667AAA5B0B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09" name="$E$290">
            <a:extLst>
              <a:ext uri="{FF2B5EF4-FFF2-40B4-BE49-F238E27FC236}">
                <a16:creationId xmlns:a16="http://schemas.microsoft.com/office/drawing/2014/main" id="{FE3AC3B1-FCCD-47D8-BBD8-67EA5FBFD656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10" name="$E$290">
            <a:extLst>
              <a:ext uri="{FF2B5EF4-FFF2-40B4-BE49-F238E27FC236}">
                <a16:creationId xmlns:a16="http://schemas.microsoft.com/office/drawing/2014/main" id="{D82D267D-1B55-4E32-9F6F-62822EC05978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11" name="$E$290">
            <a:extLst>
              <a:ext uri="{FF2B5EF4-FFF2-40B4-BE49-F238E27FC236}">
                <a16:creationId xmlns:a16="http://schemas.microsoft.com/office/drawing/2014/main" id="{278ABB66-0435-4F15-AC8D-337A123CA4F2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12" name="$E$290">
            <a:extLst>
              <a:ext uri="{FF2B5EF4-FFF2-40B4-BE49-F238E27FC236}">
                <a16:creationId xmlns:a16="http://schemas.microsoft.com/office/drawing/2014/main" id="{BC236E30-E0AC-4649-BD92-080D15F656FB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13" name="$E$290">
            <a:extLst>
              <a:ext uri="{FF2B5EF4-FFF2-40B4-BE49-F238E27FC236}">
                <a16:creationId xmlns:a16="http://schemas.microsoft.com/office/drawing/2014/main" id="{8D1C3CF5-227C-4289-9673-0BA62F6F2DB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14" name="$E$290">
            <a:extLst>
              <a:ext uri="{FF2B5EF4-FFF2-40B4-BE49-F238E27FC236}">
                <a16:creationId xmlns:a16="http://schemas.microsoft.com/office/drawing/2014/main" id="{8847691C-D45B-492E-BE49-352ED7707C08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15" name="$E$290">
            <a:extLst>
              <a:ext uri="{FF2B5EF4-FFF2-40B4-BE49-F238E27FC236}">
                <a16:creationId xmlns:a16="http://schemas.microsoft.com/office/drawing/2014/main" id="{05157DD9-4132-4004-9EEB-5DB5C85179FA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16" name="$E$290">
            <a:extLst>
              <a:ext uri="{FF2B5EF4-FFF2-40B4-BE49-F238E27FC236}">
                <a16:creationId xmlns:a16="http://schemas.microsoft.com/office/drawing/2014/main" id="{1DCDEC13-5D09-4413-A5DF-D7A6DD42A40C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17" name="$E$290">
            <a:extLst>
              <a:ext uri="{FF2B5EF4-FFF2-40B4-BE49-F238E27FC236}">
                <a16:creationId xmlns:a16="http://schemas.microsoft.com/office/drawing/2014/main" id="{2CCBAD75-4896-4E59-B3EA-75EF9A185749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18" name="$E$290">
            <a:extLst>
              <a:ext uri="{FF2B5EF4-FFF2-40B4-BE49-F238E27FC236}">
                <a16:creationId xmlns:a16="http://schemas.microsoft.com/office/drawing/2014/main" id="{1D0546AD-0D30-4BDC-9B58-2EFFB99C97B5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19" name="$E$290">
            <a:extLst>
              <a:ext uri="{FF2B5EF4-FFF2-40B4-BE49-F238E27FC236}">
                <a16:creationId xmlns:a16="http://schemas.microsoft.com/office/drawing/2014/main" id="{2AB01ED7-D8E6-46B0-A72A-84CE036CC3A4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20" name="$E$290">
            <a:extLst>
              <a:ext uri="{FF2B5EF4-FFF2-40B4-BE49-F238E27FC236}">
                <a16:creationId xmlns:a16="http://schemas.microsoft.com/office/drawing/2014/main" id="{08DC9895-6AE7-4E65-B563-93F5AD35D35F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21" name="$E$290">
            <a:extLst>
              <a:ext uri="{FF2B5EF4-FFF2-40B4-BE49-F238E27FC236}">
                <a16:creationId xmlns:a16="http://schemas.microsoft.com/office/drawing/2014/main" id="{92AB68C2-ABAA-4981-82B7-C11B26B192E0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22" name="$E$290">
            <a:extLst>
              <a:ext uri="{FF2B5EF4-FFF2-40B4-BE49-F238E27FC236}">
                <a16:creationId xmlns:a16="http://schemas.microsoft.com/office/drawing/2014/main" id="{0A7C3A92-BF7B-4681-BEB6-FD118D1B7CE7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23" name="$E$290">
            <a:extLst>
              <a:ext uri="{FF2B5EF4-FFF2-40B4-BE49-F238E27FC236}">
                <a16:creationId xmlns:a16="http://schemas.microsoft.com/office/drawing/2014/main" id="{DF9C2690-7287-46D8-AEC1-CF8D39074B7D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24" name="$E$290">
            <a:extLst>
              <a:ext uri="{FF2B5EF4-FFF2-40B4-BE49-F238E27FC236}">
                <a16:creationId xmlns:a16="http://schemas.microsoft.com/office/drawing/2014/main" id="{F1C0A9FE-F113-4867-B153-7C969DEA7E19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25" name="$E$290">
            <a:extLst>
              <a:ext uri="{FF2B5EF4-FFF2-40B4-BE49-F238E27FC236}">
                <a16:creationId xmlns:a16="http://schemas.microsoft.com/office/drawing/2014/main" id="{4BCD8A2C-8B96-4AAE-AB6F-404EA9DA2A91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26" name="$E$290">
            <a:extLst>
              <a:ext uri="{FF2B5EF4-FFF2-40B4-BE49-F238E27FC236}">
                <a16:creationId xmlns:a16="http://schemas.microsoft.com/office/drawing/2014/main" id="{1BFD1193-7FE8-44FD-A38D-939C65968B67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27" name="$E$290">
            <a:extLst>
              <a:ext uri="{FF2B5EF4-FFF2-40B4-BE49-F238E27FC236}">
                <a16:creationId xmlns:a16="http://schemas.microsoft.com/office/drawing/2014/main" id="{1DEEAF9F-E318-4A28-8987-0F0747E90D71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28" name="$E$290">
            <a:extLst>
              <a:ext uri="{FF2B5EF4-FFF2-40B4-BE49-F238E27FC236}">
                <a16:creationId xmlns:a16="http://schemas.microsoft.com/office/drawing/2014/main" id="{92D26315-A136-4A45-B9D5-8D10F57C31AD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29" name="$E$290">
            <a:extLst>
              <a:ext uri="{FF2B5EF4-FFF2-40B4-BE49-F238E27FC236}">
                <a16:creationId xmlns:a16="http://schemas.microsoft.com/office/drawing/2014/main" id="{4F4B7FF2-7EC1-4FE2-8259-97A2E521E849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30" name="$E$290">
            <a:extLst>
              <a:ext uri="{FF2B5EF4-FFF2-40B4-BE49-F238E27FC236}">
                <a16:creationId xmlns:a16="http://schemas.microsoft.com/office/drawing/2014/main" id="{79091AAB-E081-4530-A239-B3EBB549B55F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31" name="$E$290">
            <a:extLst>
              <a:ext uri="{FF2B5EF4-FFF2-40B4-BE49-F238E27FC236}">
                <a16:creationId xmlns:a16="http://schemas.microsoft.com/office/drawing/2014/main" id="{7B4E6EEE-334F-407C-B187-C8F1C93F962B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32" name="$E$290">
            <a:extLst>
              <a:ext uri="{FF2B5EF4-FFF2-40B4-BE49-F238E27FC236}">
                <a16:creationId xmlns:a16="http://schemas.microsoft.com/office/drawing/2014/main" id="{D2A8E55C-89A2-4EEC-9196-036F9E575048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33" name="$E$290">
            <a:extLst>
              <a:ext uri="{FF2B5EF4-FFF2-40B4-BE49-F238E27FC236}">
                <a16:creationId xmlns:a16="http://schemas.microsoft.com/office/drawing/2014/main" id="{9BE81CD8-E930-4B19-87FD-BC22326569B4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34" name="$E$290">
            <a:extLst>
              <a:ext uri="{FF2B5EF4-FFF2-40B4-BE49-F238E27FC236}">
                <a16:creationId xmlns:a16="http://schemas.microsoft.com/office/drawing/2014/main" id="{11DA1EDC-BCB4-46B9-A8CB-D043DAE05356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35" name="$E$290">
            <a:extLst>
              <a:ext uri="{FF2B5EF4-FFF2-40B4-BE49-F238E27FC236}">
                <a16:creationId xmlns:a16="http://schemas.microsoft.com/office/drawing/2014/main" id="{CB442BB4-BED0-4E65-BAEB-62DC307DFA8B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36" name="$E$290">
            <a:extLst>
              <a:ext uri="{FF2B5EF4-FFF2-40B4-BE49-F238E27FC236}">
                <a16:creationId xmlns:a16="http://schemas.microsoft.com/office/drawing/2014/main" id="{97148031-AE4C-4283-A31A-7DA6A66733EB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37" name="$E$290">
            <a:extLst>
              <a:ext uri="{FF2B5EF4-FFF2-40B4-BE49-F238E27FC236}">
                <a16:creationId xmlns:a16="http://schemas.microsoft.com/office/drawing/2014/main" id="{FCFA9A95-C8CE-46A7-882C-803BE894FA36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38" name="$E$290">
            <a:extLst>
              <a:ext uri="{FF2B5EF4-FFF2-40B4-BE49-F238E27FC236}">
                <a16:creationId xmlns:a16="http://schemas.microsoft.com/office/drawing/2014/main" id="{9B53B7D0-EEF9-4FC3-BBB3-3FBE6D9E4991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39" name="$E$290">
            <a:extLst>
              <a:ext uri="{FF2B5EF4-FFF2-40B4-BE49-F238E27FC236}">
                <a16:creationId xmlns:a16="http://schemas.microsoft.com/office/drawing/2014/main" id="{0F8586C1-8BD0-4CB6-AAE9-7E4B89EEB307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40" name="$E$290">
            <a:extLst>
              <a:ext uri="{FF2B5EF4-FFF2-40B4-BE49-F238E27FC236}">
                <a16:creationId xmlns:a16="http://schemas.microsoft.com/office/drawing/2014/main" id="{C5675EDA-BFED-4B90-A84A-E28E195E5B80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41" name="$E$290">
            <a:extLst>
              <a:ext uri="{FF2B5EF4-FFF2-40B4-BE49-F238E27FC236}">
                <a16:creationId xmlns:a16="http://schemas.microsoft.com/office/drawing/2014/main" id="{07EAB3E7-0CB5-45F9-B394-62FC911142FA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42" name="$E$290">
            <a:extLst>
              <a:ext uri="{FF2B5EF4-FFF2-40B4-BE49-F238E27FC236}">
                <a16:creationId xmlns:a16="http://schemas.microsoft.com/office/drawing/2014/main" id="{0E9CEE2B-D36C-4A87-920B-CE61AD10C61D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43" name="$E$290">
            <a:extLst>
              <a:ext uri="{FF2B5EF4-FFF2-40B4-BE49-F238E27FC236}">
                <a16:creationId xmlns:a16="http://schemas.microsoft.com/office/drawing/2014/main" id="{4436DE35-353B-46FA-8EF1-8EDCEAA088C1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44" name="$E$290">
            <a:extLst>
              <a:ext uri="{FF2B5EF4-FFF2-40B4-BE49-F238E27FC236}">
                <a16:creationId xmlns:a16="http://schemas.microsoft.com/office/drawing/2014/main" id="{5BABE9AA-B6D1-4E0A-B474-CC2C853451CF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45" name="$E$290">
            <a:extLst>
              <a:ext uri="{FF2B5EF4-FFF2-40B4-BE49-F238E27FC236}">
                <a16:creationId xmlns:a16="http://schemas.microsoft.com/office/drawing/2014/main" id="{F917CB7E-9E63-4313-94F3-FFC514288CED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46" name="$E$290">
            <a:extLst>
              <a:ext uri="{FF2B5EF4-FFF2-40B4-BE49-F238E27FC236}">
                <a16:creationId xmlns:a16="http://schemas.microsoft.com/office/drawing/2014/main" id="{586A5554-5A9F-4457-9E23-6156E50731DE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47" name="$E$290">
            <a:extLst>
              <a:ext uri="{FF2B5EF4-FFF2-40B4-BE49-F238E27FC236}">
                <a16:creationId xmlns:a16="http://schemas.microsoft.com/office/drawing/2014/main" id="{BB7714E7-D441-4DB7-8301-ECBE429C5AA9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48" name="$E$290">
            <a:extLst>
              <a:ext uri="{FF2B5EF4-FFF2-40B4-BE49-F238E27FC236}">
                <a16:creationId xmlns:a16="http://schemas.microsoft.com/office/drawing/2014/main" id="{2CF13158-5A1D-49B4-A69A-B6671D6A6815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49" name="$E$290">
            <a:extLst>
              <a:ext uri="{FF2B5EF4-FFF2-40B4-BE49-F238E27FC236}">
                <a16:creationId xmlns:a16="http://schemas.microsoft.com/office/drawing/2014/main" id="{B52B5777-9198-4767-9262-291A59FFAC38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50" name="$E$290">
            <a:extLst>
              <a:ext uri="{FF2B5EF4-FFF2-40B4-BE49-F238E27FC236}">
                <a16:creationId xmlns:a16="http://schemas.microsoft.com/office/drawing/2014/main" id="{A0CD68DA-D0B9-4F95-B8C8-03A2D767075E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51" name="$E$290">
            <a:extLst>
              <a:ext uri="{FF2B5EF4-FFF2-40B4-BE49-F238E27FC236}">
                <a16:creationId xmlns:a16="http://schemas.microsoft.com/office/drawing/2014/main" id="{99EB9E7F-E530-42B1-B96E-0939647E47ED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52" name="$E$290">
            <a:extLst>
              <a:ext uri="{FF2B5EF4-FFF2-40B4-BE49-F238E27FC236}">
                <a16:creationId xmlns:a16="http://schemas.microsoft.com/office/drawing/2014/main" id="{EC8FD420-47A4-4DC9-A4DC-A4CE4B6BB00E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53" name="$E$290">
            <a:extLst>
              <a:ext uri="{FF2B5EF4-FFF2-40B4-BE49-F238E27FC236}">
                <a16:creationId xmlns:a16="http://schemas.microsoft.com/office/drawing/2014/main" id="{F32EC1EA-C479-4874-A9D3-65CB547699FD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54" name="$E$290">
            <a:extLst>
              <a:ext uri="{FF2B5EF4-FFF2-40B4-BE49-F238E27FC236}">
                <a16:creationId xmlns:a16="http://schemas.microsoft.com/office/drawing/2014/main" id="{D63DCDEF-DF34-41CA-8267-981E2380BA84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55" name="$E$290">
            <a:extLst>
              <a:ext uri="{FF2B5EF4-FFF2-40B4-BE49-F238E27FC236}">
                <a16:creationId xmlns:a16="http://schemas.microsoft.com/office/drawing/2014/main" id="{C9F43779-66D7-4CD1-B732-32B4A25F1054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56" name="$E$290">
            <a:extLst>
              <a:ext uri="{FF2B5EF4-FFF2-40B4-BE49-F238E27FC236}">
                <a16:creationId xmlns:a16="http://schemas.microsoft.com/office/drawing/2014/main" id="{49D11F08-089E-49AE-97A4-490664C9AFA8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57" name="$E$290">
            <a:extLst>
              <a:ext uri="{FF2B5EF4-FFF2-40B4-BE49-F238E27FC236}">
                <a16:creationId xmlns:a16="http://schemas.microsoft.com/office/drawing/2014/main" id="{7F704D85-5373-494F-94EC-BB9D85BD2A98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58" name="$E$290">
            <a:extLst>
              <a:ext uri="{FF2B5EF4-FFF2-40B4-BE49-F238E27FC236}">
                <a16:creationId xmlns:a16="http://schemas.microsoft.com/office/drawing/2014/main" id="{8B614547-002A-4786-BD57-344EDAD4C9DF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59" name="$E$290">
            <a:extLst>
              <a:ext uri="{FF2B5EF4-FFF2-40B4-BE49-F238E27FC236}">
                <a16:creationId xmlns:a16="http://schemas.microsoft.com/office/drawing/2014/main" id="{EF7C8C61-9BFC-4350-A8EC-5F31192C91D1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60" name="$E$290">
            <a:extLst>
              <a:ext uri="{FF2B5EF4-FFF2-40B4-BE49-F238E27FC236}">
                <a16:creationId xmlns:a16="http://schemas.microsoft.com/office/drawing/2014/main" id="{4C30FBD5-7424-4E66-B9D1-B8232FE7F07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61" name="$E$290">
            <a:extLst>
              <a:ext uri="{FF2B5EF4-FFF2-40B4-BE49-F238E27FC236}">
                <a16:creationId xmlns:a16="http://schemas.microsoft.com/office/drawing/2014/main" id="{2A664A31-372D-4F40-AC5C-9A442E4170C9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62" name="$E$290">
            <a:extLst>
              <a:ext uri="{FF2B5EF4-FFF2-40B4-BE49-F238E27FC236}">
                <a16:creationId xmlns:a16="http://schemas.microsoft.com/office/drawing/2014/main" id="{98D7384A-25DC-40F5-B7A2-2E70640F9DDA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63" name="$E$290">
            <a:extLst>
              <a:ext uri="{FF2B5EF4-FFF2-40B4-BE49-F238E27FC236}">
                <a16:creationId xmlns:a16="http://schemas.microsoft.com/office/drawing/2014/main" id="{CBC3B609-E59B-4194-8B54-BF0DF75CAD7C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64" name="$E$290">
            <a:extLst>
              <a:ext uri="{FF2B5EF4-FFF2-40B4-BE49-F238E27FC236}">
                <a16:creationId xmlns:a16="http://schemas.microsoft.com/office/drawing/2014/main" id="{FC4F8C25-505D-4C6D-AC1F-6A880D1349F9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65" name="$E$290">
            <a:extLst>
              <a:ext uri="{FF2B5EF4-FFF2-40B4-BE49-F238E27FC236}">
                <a16:creationId xmlns:a16="http://schemas.microsoft.com/office/drawing/2014/main" id="{88C04795-A133-4AE3-A78C-D9A7DD5F58D3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66" name="$E$290">
            <a:extLst>
              <a:ext uri="{FF2B5EF4-FFF2-40B4-BE49-F238E27FC236}">
                <a16:creationId xmlns:a16="http://schemas.microsoft.com/office/drawing/2014/main" id="{12C478AF-3D7C-49F1-A1DC-5C6B8DC8D324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67" name="$E$290">
            <a:extLst>
              <a:ext uri="{FF2B5EF4-FFF2-40B4-BE49-F238E27FC236}">
                <a16:creationId xmlns:a16="http://schemas.microsoft.com/office/drawing/2014/main" id="{6B510862-83D5-4C6B-974E-BDF9C780EA66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68" name="$E$290">
            <a:extLst>
              <a:ext uri="{FF2B5EF4-FFF2-40B4-BE49-F238E27FC236}">
                <a16:creationId xmlns:a16="http://schemas.microsoft.com/office/drawing/2014/main" id="{49FAA817-87E9-496B-846D-517518F66DE9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69" name="$E$290">
            <a:extLst>
              <a:ext uri="{FF2B5EF4-FFF2-40B4-BE49-F238E27FC236}">
                <a16:creationId xmlns:a16="http://schemas.microsoft.com/office/drawing/2014/main" id="{F8E90B28-5175-438A-AC31-485469F76C3E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70" name="$E$290">
            <a:extLst>
              <a:ext uri="{FF2B5EF4-FFF2-40B4-BE49-F238E27FC236}">
                <a16:creationId xmlns:a16="http://schemas.microsoft.com/office/drawing/2014/main" id="{E6A4F98D-56D8-4FE0-A5EF-8C5F063BBCE5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71" name="$E$290">
            <a:extLst>
              <a:ext uri="{FF2B5EF4-FFF2-40B4-BE49-F238E27FC236}">
                <a16:creationId xmlns:a16="http://schemas.microsoft.com/office/drawing/2014/main" id="{D43C6D65-26C6-4869-9BDE-0141365ED9B7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72" name="$E$290">
            <a:extLst>
              <a:ext uri="{FF2B5EF4-FFF2-40B4-BE49-F238E27FC236}">
                <a16:creationId xmlns:a16="http://schemas.microsoft.com/office/drawing/2014/main" id="{6E0FC4D2-C2CC-4F6D-B88A-8DEA96546F7B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73" name="$E$290">
            <a:extLst>
              <a:ext uri="{FF2B5EF4-FFF2-40B4-BE49-F238E27FC236}">
                <a16:creationId xmlns:a16="http://schemas.microsoft.com/office/drawing/2014/main" id="{10C76831-CDE0-41DD-B13F-BC811683BDC4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74" name="$E$290">
            <a:extLst>
              <a:ext uri="{FF2B5EF4-FFF2-40B4-BE49-F238E27FC236}">
                <a16:creationId xmlns:a16="http://schemas.microsoft.com/office/drawing/2014/main" id="{EC2C505C-E015-4CF0-81DD-EBCA3043CEF2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75" name="$E$290">
            <a:extLst>
              <a:ext uri="{FF2B5EF4-FFF2-40B4-BE49-F238E27FC236}">
                <a16:creationId xmlns:a16="http://schemas.microsoft.com/office/drawing/2014/main" id="{E4AD0388-2F2E-45D4-AC17-4B5778922516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76" name="$E$290">
            <a:extLst>
              <a:ext uri="{FF2B5EF4-FFF2-40B4-BE49-F238E27FC236}">
                <a16:creationId xmlns:a16="http://schemas.microsoft.com/office/drawing/2014/main" id="{D4EE2796-2E62-445C-96C5-EBA041829AE8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77" name="$E$290">
            <a:extLst>
              <a:ext uri="{FF2B5EF4-FFF2-40B4-BE49-F238E27FC236}">
                <a16:creationId xmlns:a16="http://schemas.microsoft.com/office/drawing/2014/main" id="{4672FF5B-6F1A-42EE-A6D6-96CB0EF12C3D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78" name="$E$290">
            <a:extLst>
              <a:ext uri="{FF2B5EF4-FFF2-40B4-BE49-F238E27FC236}">
                <a16:creationId xmlns:a16="http://schemas.microsoft.com/office/drawing/2014/main" id="{D8364624-AA9E-472E-9275-B890F719D79B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79" name="$E$290">
            <a:extLst>
              <a:ext uri="{FF2B5EF4-FFF2-40B4-BE49-F238E27FC236}">
                <a16:creationId xmlns:a16="http://schemas.microsoft.com/office/drawing/2014/main" id="{12A8CD96-5548-4260-80BA-6869358E0A5A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80" name="$E$290">
            <a:extLst>
              <a:ext uri="{FF2B5EF4-FFF2-40B4-BE49-F238E27FC236}">
                <a16:creationId xmlns:a16="http://schemas.microsoft.com/office/drawing/2014/main" id="{52B4A36D-94E6-4468-B458-BFE26C535020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81" name="$E$290">
            <a:extLst>
              <a:ext uri="{FF2B5EF4-FFF2-40B4-BE49-F238E27FC236}">
                <a16:creationId xmlns:a16="http://schemas.microsoft.com/office/drawing/2014/main" id="{4AC8F51C-F5C2-436F-BE2E-5984EBE94097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82" name="$E$290">
            <a:extLst>
              <a:ext uri="{FF2B5EF4-FFF2-40B4-BE49-F238E27FC236}">
                <a16:creationId xmlns:a16="http://schemas.microsoft.com/office/drawing/2014/main" id="{E0B1CAE4-D910-4DEC-B11F-D3F520F55825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83" name="$E$290">
            <a:extLst>
              <a:ext uri="{FF2B5EF4-FFF2-40B4-BE49-F238E27FC236}">
                <a16:creationId xmlns:a16="http://schemas.microsoft.com/office/drawing/2014/main" id="{19B2A269-44A6-4FE5-A438-FC9CF7DA89F7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84" name="$E$290">
            <a:extLst>
              <a:ext uri="{FF2B5EF4-FFF2-40B4-BE49-F238E27FC236}">
                <a16:creationId xmlns:a16="http://schemas.microsoft.com/office/drawing/2014/main" id="{38703468-4E61-497A-98E0-3CBD070F5F7D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85" name="$E$290">
            <a:extLst>
              <a:ext uri="{FF2B5EF4-FFF2-40B4-BE49-F238E27FC236}">
                <a16:creationId xmlns:a16="http://schemas.microsoft.com/office/drawing/2014/main" id="{CA1BBCAC-EC57-4244-B259-3039BEDFB663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86" name="$E$290">
            <a:extLst>
              <a:ext uri="{FF2B5EF4-FFF2-40B4-BE49-F238E27FC236}">
                <a16:creationId xmlns:a16="http://schemas.microsoft.com/office/drawing/2014/main" id="{C9CE759F-A3A8-4536-BC14-C52057DFFFAC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87" name="$E$290">
            <a:extLst>
              <a:ext uri="{FF2B5EF4-FFF2-40B4-BE49-F238E27FC236}">
                <a16:creationId xmlns:a16="http://schemas.microsoft.com/office/drawing/2014/main" id="{B19BF518-B794-45C6-BB50-7173DABA21C7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88" name="$E$290">
            <a:extLst>
              <a:ext uri="{FF2B5EF4-FFF2-40B4-BE49-F238E27FC236}">
                <a16:creationId xmlns:a16="http://schemas.microsoft.com/office/drawing/2014/main" id="{DE45A73E-7032-4674-997C-FDCC78E91AD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89" name="$E$290">
            <a:extLst>
              <a:ext uri="{FF2B5EF4-FFF2-40B4-BE49-F238E27FC236}">
                <a16:creationId xmlns:a16="http://schemas.microsoft.com/office/drawing/2014/main" id="{4D247215-1FA3-45C6-8797-D11987961231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90" name="$E$290">
            <a:extLst>
              <a:ext uri="{FF2B5EF4-FFF2-40B4-BE49-F238E27FC236}">
                <a16:creationId xmlns:a16="http://schemas.microsoft.com/office/drawing/2014/main" id="{313DFFB6-CD2A-4EAA-B4C7-21A87965880A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91" name="$E$290">
            <a:extLst>
              <a:ext uri="{FF2B5EF4-FFF2-40B4-BE49-F238E27FC236}">
                <a16:creationId xmlns:a16="http://schemas.microsoft.com/office/drawing/2014/main" id="{89C11500-3EB1-4191-B726-AB624394ED98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92" name="$E$290">
            <a:extLst>
              <a:ext uri="{FF2B5EF4-FFF2-40B4-BE49-F238E27FC236}">
                <a16:creationId xmlns:a16="http://schemas.microsoft.com/office/drawing/2014/main" id="{1F977849-194A-4DDB-9875-46EDBA457178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93" name="$E$290">
            <a:extLst>
              <a:ext uri="{FF2B5EF4-FFF2-40B4-BE49-F238E27FC236}">
                <a16:creationId xmlns:a16="http://schemas.microsoft.com/office/drawing/2014/main" id="{6B8F76D5-CB45-479A-B0C8-83A410E7CDA7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94" name="$E$290">
            <a:extLst>
              <a:ext uri="{FF2B5EF4-FFF2-40B4-BE49-F238E27FC236}">
                <a16:creationId xmlns:a16="http://schemas.microsoft.com/office/drawing/2014/main" id="{34C9DB8B-21F3-459B-A1D2-6635F2F9CBA2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95" name="$E$290">
            <a:extLst>
              <a:ext uri="{FF2B5EF4-FFF2-40B4-BE49-F238E27FC236}">
                <a16:creationId xmlns:a16="http://schemas.microsoft.com/office/drawing/2014/main" id="{10D38E72-BE16-4FB7-AC91-63DC6FA0B80B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96" name="$E$290">
            <a:extLst>
              <a:ext uri="{FF2B5EF4-FFF2-40B4-BE49-F238E27FC236}">
                <a16:creationId xmlns:a16="http://schemas.microsoft.com/office/drawing/2014/main" id="{9E47033B-8EC4-4A46-BFFB-6742A7E5A5D8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97" name="$E$290">
            <a:extLst>
              <a:ext uri="{FF2B5EF4-FFF2-40B4-BE49-F238E27FC236}">
                <a16:creationId xmlns:a16="http://schemas.microsoft.com/office/drawing/2014/main" id="{49160253-1C0D-4FF5-AA3C-4DB527F54B43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98" name="$E$290">
            <a:extLst>
              <a:ext uri="{FF2B5EF4-FFF2-40B4-BE49-F238E27FC236}">
                <a16:creationId xmlns:a16="http://schemas.microsoft.com/office/drawing/2014/main" id="{D464F78D-3381-4B42-A535-693047636E4A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499" name="$E$290">
            <a:extLst>
              <a:ext uri="{FF2B5EF4-FFF2-40B4-BE49-F238E27FC236}">
                <a16:creationId xmlns:a16="http://schemas.microsoft.com/office/drawing/2014/main" id="{26262E89-3C53-47A5-AED3-E8499981EBB7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00" name="$E$290">
            <a:extLst>
              <a:ext uri="{FF2B5EF4-FFF2-40B4-BE49-F238E27FC236}">
                <a16:creationId xmlns:a16="http://schemas.microsoft.com/office/drawing/2014/main" id="{60BA872F-BBDD-4947-A552-37A019B8250C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01" name="$E$290">
            <a:extLst>
              <a:ext uri="{FF2B5EF4-FFF2-40B4-BE49-F238E27FC236}">
                <a16:creationId xmlns:a16="http://schemas.microsoft.com/office/drawing/2014/main" id="{C5C9B873-366E-4FBE-B0D7-3D06842A4D0F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02" name="$E$290">
            <a:extLst>
              <a:ext uri="{FF2B5EF4-FFF2-40B4-BE49-F238E27FC236}">
                <a16:creationId xmlns:a16="http://schemas.microsoft.com/office/drawing/2014/main" id="{213AC2EC-AD6B-4185-8385-3C23C9C6AB38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03" name="$E$290">
            <a:extLst>
              <a:ext uri="{FF2B5EF4-FFF2-40B4-BE49-F238E27FC236}">
                <a16:creationId xmlns:a16="http://schemas.microsoft.com/office/drawing/2014/main" id="{6925C9D0-9B48-4D77-A323-8B255DB9FFA1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04" name="$E$290">
            <a:extLst>
              <a:ext uri="{FF2B5EF4-FFF2-40B4-BE49-F238E27FC236}">
                <a16:creationId xmlns:a16="http://schemas.microsoft.com/office/drawing/2014/main" id="{13CCE159-0EF9-4086-B69E-8CCCC3C98D26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05" name="$E$290">
            <a:extLst>
              <a:ext uri="{FF2B5EF4-FFF2-40B4-BE49-F238E27FC236}">
                <a16:creationId xmlns:a16="http://schemas.microsoft.com/office/drawing/2014/main" id="{1F2F6220-AC1B-4654-AD83-E39A3B6369F1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06" name="$E$290">
            <a:extLst>
              <a:ext uri="{FF2B5EF4-FFF2-40B4-BE49-F238E27FC236}">
                <a16:creationId xmlns:a16="http://schemas.microsoft.com/office/drawing/2014/main" id="{14487506-75D9-4317-99A6-AD0FF7C487D9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07" name="$E$290">
            <a:extLst>
              <a:ext uri="{FF2B5EF4-FFF2-40B4-BE49-F238E27FC236}">
                <a16:creationId xmlns:a16="http://schemas.microsoft.com/office/drawing/2014/main" id="{08B6DA62-BACA-43B5-9257-E8CA1CA7A101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08" name="$E$290">
            <a:extLst>
              <a:ext uri="{FF2B5EF4-FFF2-40B4-BE49-F238E27FC236}">
                <a16:creationId xmlns:a16="http://schemas.microsoft.com/office/drawing/2014/main" id="{30CBD20A-DA28-4F78-A272-DD02937D6F7B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09" name="$E$290">
            <a:extLst>
              <a:ext uri="{FF2B5EF4-FFF2-40B4-BE49-F238E27FC236}">
                <a16:creationId xmlns:a16="http://schemas.microsoft.com/office/drawing/2014/main" id="{10441BBE-0AC5-4435-9F92-EECB5C886F4C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10" name="$E$290">
            <a:extLst>
              <a:ext uri="{FF2B5EF4-FFF2-40B4-BE49-F238E27FC236}">
                <a16:creationId xmlns:a16="http://schemas.microsoft.com/office/drawing/2014/main" id="{03494898-A0EC-4366-B76A-60DAF4448F65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11" name="$E$290">
            <a:extLst>
              <a:ext uri="{FF2B5EF4-FFF2-40B4-BE49-F238E27FC236}">
                <a16:creationId xmlns:a16="http://schemas.microsoft.com/office/drawing/2014/main" id="{26615F27-6F2D-4CFD-9994-871786775497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12" name="$E$290">
            <a:extLst>
              <a:ext uri="{FF2B5EF4-FFF2-40B4-BE49-F238E27FC236}">
                <a16:creationId xmlns:a16="http://schemas.microsoft.com/office/drawing/2014/main" id="{C35087FE-86CE-4E1A-A070-AFA2B0EA7D9E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13" name="$E$290">
            <a:extLst>
              <a:ext uri="{FF2B5EF4-FFF2-40B4-BE49-F238E27FC236}">
                <a16:creationId xmlns:a16="http://schemas.microsoft.com/office/drawing/2014/main" id="{E813FCB8-279F-432F-8C72-77354696E101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14" name="$E$290">
            <a:extLst>
              <a:ext uri="{FF2B5EF4-FFF2-40B4-BE49-F238E27FC236}">
                <a16:creationId xmlns:a16="http://schemas.microsoft.com/office/drawing/2014/main" id="{E1E9EA7C-E62A-43B0-8D68-4B3A0A1E636B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15" name="$E$290">
            <a:extLst>
              <a:ext uri="{FF2B5EF4-FFF2-40B4-BE49-F238E27FC236}">
                <a16:creationId xmlns:a16="http://schemas.microsoft.com/office/drawing/2014/main" id="{973EF869-94CA-439C-9627-7FCC54DD01A2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16" name="$E$290">
            <a:extLst>
              <a:ext uri="{FF2B5EF4-FFF2-40B4-BE49-F238E27FC236}">
                <a16:creationId xmlns:a16="http://schemas.microsoft.com/office/drawing/2014/main" id="{76035DCF-D468-4BA1-BC50-490799005B22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17" name="$E$290">
            <a:extLst>
              <a:ext uri="{FF2B5EF4-FFF2-40B4-BE49-F238E27FC236}">
                <a16:creationId xmlns:a16="http://schemas.microsoft.com/office/drawing/2014/main" id="{F508F60D-1EB2-45C7-A315-73AC1C927225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18" name="$E$290">
            <a:extLst>
              <a:ext uri="{FF2B5EF4-FFF2-40B4-BE49-F238E27FC236}">
                <a16:creationId xmlns:a16="http://schemas.microsoft.com/office/drawing/2014/main" id="{C7E7ED89-3218-4789-B50F-F9D08BFECA9D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19" name="$E$290">
            <a:extLst>
              <a:ext uri="{FF2B5EF4-FFF2-40B4-BE49-F238E27FC236}">
                <a16:creationId xmlns:a16="http://schemas.microsoft.com/office/drawing/2014/main" id="{3AA8B137-5236-424B-93CE-03D383A6AA6C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20" name="$E$290">
            <a:extLst>
              <a:ext uri="{FF2B5EF4-FFF2-40B4-BE49-F238E27FC236}">
                <a16:creationId xmlns:a16="http://schemas.microsoft.com/office/drawing/2014/main" id="{1EFC0088-79EB-4816-9408-429352D059CA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21" name="$E$290">
            <a:extLst>
              <a:ext uri="{FF2B5EF4-FFF2-40B4-BE49-F238E27FC236}">
                <a16:creationId xmlns:a16="http://schemas.microsoft.com/office/drawing/2014/main" id="{26F33DF1-B800-4D8F-ACB0-273B8B04FE15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22" name="$E$290">
            <a:extLst>
              <a:ext uri="{FF2B5EF4-FFF2-40B4-BE49-F238E27FC236}">
                <a16:creationId xmlns:a16="http://schemas.microsoft.com/office/drawing/2014/main" id="{76CE1D11-5198-4C27-8167-14D9B6CCDD11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23" name="$E$290">
            <a:extLst>
              <a:ext uri="{FF2B5EF4-FFF2-40B4-BE49-F238E27FC236}">
                <a16:creationId xmlns:a16="http://schemas.microsoft.com/office/drawing/2014/main" id="{B06A6C63-61B2-4D4E-9DCA-C9FF45481D69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24" name="$E$290">
            <a:extLst>
              <a:ext uri="{FF2B5EF4-FFF2-40B4-BE49-F238E27FC236}">
                <a16:creationId xmlns:a16="http://schemas.microsoft.com/office/drawing/2014/main" id="{3170C9D9-5562-4FF5-9730-35923026C30C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25" name="$E$290">
            <a:extLst>
              <a:ext uri="{FF2B5EF4-FFF2-40B4-BE49-F238E27FC236}">
                <a16:creationId xmlns:a16="http://schemas.microsoft.com/office/drawing/2014/main" id="{1C4F6BDC-E139-4A0F-A4CA-7EA067DFEA58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26" name="$E$290">
            <a:extLst>
              <a:ext uri="{FF2B5EF4-FFF2-40B4-BE49-F238E27FC236}">
                <a16:creationId xmlns:a16="http://schemas.microsoft.com/office/drawing/2014/main" id="{CD45092F-CD62-4D04-BE88-9A580CCB27DE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27" name="$E$290">
            <a:extLst>
              <a:ext uri="{FF2B5EF4-FFF2-40B4-BE49-F238E27FC236}">
                <a16:creationId xmlns:a16="http://schemas.microsoft.com/office/drawing/2014/main" id="{FD6150A6-A857-4D98-93CF-5D9C0801E666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28" name="$E$290">
            <a:extLst>
              <a:ext uri="{FF2B5EF4-FFF2-40B4-BE49-F238E27FC236}">
                <a16:creationId xmlns:a16="http://schemas.microsoft.com/office/drawing/2014/main" id="{084F653E-5344-4FF5-AC43-C5213F57DE6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29" name="$E$290">
            <a:extLst>
              <a:ext uri="{FF2B5EF4-FFF2-40B4-BE49-F238E27FC236}">
                <a16:creationId xmlns:a16="http://schemas.microsoft.com/office/drawing/2014/main" id="{C04E526D-C034-4511-BCE8-3D1C85ED5694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30" name="$E$290">
            <a:extLst>
              <a:ext uri="{FF2B5EF4-FFF2-40B4-BE49-F238E27FC236}">
                <a16:creationId xmlns:a16="http://schemas.microsoft.com/office/drawing/2014/main" id="{AABEAD1D-27D7-449E-9737-3521C7EC30C9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31" name="$E$290">
            <a:extLst>
              <a:ext uri="{FF2B5EF4-FFF2-40B4-BE49-F238E27FC236}">
                <a16:creationId xmlns:a16="http://schemas.microsoft.com/office/drawing/2014/main" id="{C5BABC4F-FDD3-4A16-9610-53D171CB55D3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32" name="$E$290">
            <a:extLst>
              <a:ext uri="{FF2B5EF4-FFF2-40B4-BE49-F238E27FC236}">
                <a16:creationId xmlns:a16="http://schemas.microsoft.com/office/drawing/2014/main" id="{F90143A7-5B4E-42A0-8B68-11EB6546FB5B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33" name="$E$290">
            <a:extLst>
              <a:ext uri="{FF2B5EF4-FFF2-40B4-BE49-F238E27FC236}">
                <a16:creationId xmlns:a16="http://schemas.microsoft.com/office/drawing/2014/main" id="{B6FBFD87-5567-4B47-86BA-A5D73785E352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34" name="$E$290">
            <a:extLst>
              <a:ext uri="{FF2B5EF4-FFF2-40B4-BE49-F238E27FC236}">
                <a16:creationId xmlns:a16="http://schemas.microsoft.com/office/drawing/2014/main" id="{76A531C8-9369-4B52-8D4B-C7AF47FA136E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35" name="$E$290">
            <a:extLst>
              <a:ext uri="{FF2B5EF4-FFF2-40B4-BE49-F238E27FC236}">
                <a16:creationId xmlns:a16="http://schemas.microsoft.com/office/drawing/2014/main" id="{ADB3F73E-8E6E-4149-9A40-F6454D2EFB57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36" name="$E$290">
            <a:extLst>
              <a:ext uri="{FF2B5EF4-FFF2-40B4-BE49-F238E27FC236}">
                <a16:creationId xmlns:a16="http://schemas.microsoft.com/office/drawing/2014/main" id="{4F42383D-2591-4FC4-9F41-A3B4DC5BE532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37" name="$E$290">
            <a:extLst>
              <a:ext uri="{FF2B5EF4-FFF2-40B4-BE49-F238E27FC236}">
                <a16:creationId xmlns:a16="http://schemas.microsoft.com/office/drawing/2014/main" id="{CDE45BC4-2EEC-4D35-85F2-FCDE96BDA783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38" name="$E$290">
            <a:extLst>
              <a:ext uri="{FF2B5EF4-FFF2-40B4-BE49-F238E27FC236}">
                <a16:creationId xmlns:a16="http://schemas.microsoft.com/office/drawing/2014/main" id="{B14F1912-1066-480F-AC3D-DD0D7A1C2016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39" name="$E$290">
            <a:extLst>
              <a:ext uri="{FF2B5EF4-FFF2-40B4-BE49-F238E27FC236}">
                <a16:creationId xmlns:a16="http://schemas.microsoft.com/office/drawing/2014/main" id="{D4AFDB56-37A6-4C13-95C1-8B9E67D14754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40" name="$E$290">
            <a:extLst>
              <a:ext uri="{FF2B5EF4-FFF2-40B4-BE49-F238E27FC236}">
                <a16:creationId xmlns:a16="http://schemas.microsoft.com/office/drawing/2014/main" id="{0F80939C-3BB5-4539-BB3B-BF6475236A62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41" name="$E$290">
            <a:extLst>
              <a:ext uri="{FF2B5EF4-FFF2-40B4-BE49-F238E27FC236}">
                <a16:creationId xmlns:a16="http://schemas.microsoft.com/office/drawing/2014/main" id="{998F80E1-1753-4076-85ED-47D3BA08CC68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42" name="$E$290">
            <a:extLst>
              <a:ext uri="{FF2B5EF4-FFF2-40B4-BE49-F238E27FC236}">
                <a16:creationId xmlns:a16="http://schemas.microsoft.com/office/drawing/2014/main" id="{DBBFE6E0-EEF7-45EB-9A08-CD48F175790C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43" name="$E$290">
            <a:extLst>
              <a:ext uri="{FF2B5EF4-FFF2-40B4-BE49-F238E27FC236}">
                <a16:creationId xmlns:a16="http://schemas.microsoft.com/office/drawing/2014/main" id="{9CF0BFE1-A691-4CBC-970F-971A7A556985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44" name="$E$290">
            <a:extLst>
              <a:ext uri="{FF2B5EF4-FFF2-40B4-BE49-F238E27FC236}">
                <a16:creationId xmlns:a16="http://schemas.microsoft.com/office/drawing/2014/main" id="{18BC2442-B14E-48EF-9538-200F60CE5AFC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45" name="$E$290">
            <a:extLst>
              <a:ext uri="{FF2B5EF4-FFF2-40B4-BE49-F238E27FC236}">
                <a16:creationId xmlns:a16="http://schemas.microsoft.com/office/drawing/2014/main" id="{E9F4781A-A72D-4725-B44F-4D9F92EB5B0B}"/>
              </a:ext>
            </a:extLst>
          </xdr:cNvPr>
          <xdr:cNvSpPr/>
        </xdr:nvSpPr>
        <xdr:spPr>
          <a:xfrm>
            <a:off x="88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46" name="$E$290">
            <a:extLst>
              <a:ext uri="{FF2B5EF4-FFF2-40B4-BE49-F238E27FC236}">
                <a16:creationId xmlns:a16="http://schemas.microsoft.com/office/drawing/2014/main" id="{9ACD9A9E-9AFE-4D76-B691-717F7D7DA79A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47" name="$E$290">
            <a:extLst>
              <a:ext uri="{FF2B5EF4-FFF2-40B4-BE49-F238E27FC236}">
                <a16:creationId xmlns:a16="http://schemas.microsoft.com/office/drawing/2014/main" id="{21641E50-381F-4995-B345-442C293E7D7C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48" name="$E$290">
            <a:extLst>
              <a:ext uri="{FF2B5EF4-FFF2-40B4-BE49-F238E27FC236}">
                <a16:creationId xmlns:a16="http://schemas.microsoft.com/office/drawing/2014/main" id="{164F694C-D9D2-488A-A50C-BAB8AE716BD7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49" name="$E$290">
            <a:extLst>
              <a:ext uri="{FF2B5EF4-FFF2-40B4-BE49-F238E27FC236}">
                <a16:creationId xmlns:a16="http://schemas.microsoft.com/office/drawing/2014/main" id="{DBA283A4-4DFF-41A7-B57E-7B371717F519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50" name="$E$290">
            <a:extLst>
              <a:ext uri="{FF2B5EF4-FFF2-40B4-BE49-F238E27FC236}">
                <a16:creationId xmlns:a16="http://schemas.microsoft.com/office/drawing/2014/main" id="{8ABA46B0-0E25-4701-B3E1-5FBCBFB0BB6B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51" name="$E$290">
            <a:extLst>
              <a:ext uri="{FF2B5EF4-FFF2-40B4-BE49-F238E27FC236}">
                <a16:creationId xmlns:a16="http://schemas.microsoft.com/office/drawing/2014/main" id="{08C13722-1C6A-4A67-BC69-CBE5817BEB8D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52" name="$E$290">
            <a:extLst>
              <a:ext uri="{FF2B5EF4-FFF2-40B4-BE49-F238E27FC236}">
                <a16:creationId xmlns:a16="http://schemas.microsoft.com/office/drawing/2014/main" id="{9F2FF209-7431-4A59-BB54-E0DBA03E2DF2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53" name="$E$290">
            <a:extLst>
              <a:ext uri="{FF2B5EF4-FFF2-40B4-BE49-F238E27FC236}">
                <a16:creationId xmlns:a16="http://schemas.microsoft.com/office/drawing/2014/main" id="{95429251-B27B-4EA4-BE04-21F1D3CBCEB2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54" name="$E$290">
            <a:extLst>
              <a:ext uri="{FF2B5EF4-FFF2-40B4-BE49-F238E27FC236}">
                <a16:creationId xmlns:a16="http://schemas.microsoft.com/office/drawing/2014/main" id="{A00C229D-C4CF-4042-AB14-FC5C809DA195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55" name="$E$290">
            <a:extLst>
              <a:ext uri="{FF2B5EF4-FFF2-40B4-BE49-F238E27FC236}">
                <a16:creationId xmlns:a16="http://schemas.microsoft.com/office/drawing/2014/main" id="{3680B0DC-FEE2-49CD-88E4-C4C82F09288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56" name="$E$290">
            <a:extLst>
              <a:ext uri="{FF2B5EF4-FFF2-40B4-BE49-F238E27FC236}">
                <a16:creationId xmlns:a16="http://schemas.microsoft.com/office/drawing/2014/main" id="{36A4B5A7-6ABB-4006-A201-2D41AC1C8F72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57" name="$E$290">
            <a:extLst>
              <a:ext uri="{FF2B5EF4-FFF2-40B4-BE49-F238E27FC236}">
                <a16:creationId xmlns:a16="http://schemas.microsoft.com/office/drawing/2014/main" id="{F97A480D-06FB-43EE-A395-9D556CF5B68C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58" name="$E$290">
            <a:extLst>
              <a:ext uri="{FF2B5EF4-FFF2-40B4-BE49-F238E27FC236}">
                <a16:creationId xmlns:a16="http://schemas.microsoft.com/office/drawing/2014/main" id="{2D2CCD58-127A-420F-9A8F-8C2A7B6BEA3D}"/>
              </a:ext>
            </a:extLst>
          </xdr:cNvPr>
          <xdr:cNvSpPr/>
        </xdr:nvSpPr>
        <xdr:spPr>
          <a:xfrm>
            <a:off x="12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59" name="$E$290">
            <a:extLst>
              <a:ext uri="{FF2B5EF4-FFF2-40B4-BE49-F238E27FC236}">
                <a16:creationId xmlns:a16="http://schemas.microsoft.com/office/drawing/2014/main" id="{DD531D9C-AB91-4EA2-B5E7-F41AB13ED92C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60" name="$E$290">
            <a:extLst>
              <a:ext uri="{FF2B5EF4-FFF2-40B4-BE49-F238E27FC236}">
                <a16:creationId xmlns:a16="http://schemas.microsoft.com/office/drawing/2014/main" id="{116E37F0-F76D-48B9-BE62-08691224111E}"/>
              </a:ext>
            </a:extLst>
          </xdr:cNvPr>
          <xdr:cNvSpPr/>
        </xdr:nvSpPr>
        <xdr:spPr>
          <a:xfrm>
            <a:off x="114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61" name="$E$290">
            <a:extLst>
              <a:ext uri="{FF2B5EF4-FFF2-40B4-BE49-F238E27FC236}">
                <a16:creationId xmlns:a16="http://schemas.microsoft.com/office/drawing/2014/main" id="{BB52FD5A-94C6-46C6-8412-C199535C2644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62" name="$E$290">
            <a:extLst>
              <a:ext uri="{FF2B5EF4-FFF2-40B4-BE49-F238E27FC236}">
                <a16:creationId xmlns:a16="http://schemas.microsoft.com/office/drawing/2014/main" id="{59465821-C83D-4226-B5A6-D2D45BC9EEFA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63" name="$E$290">
            <a:extLst>
              <a:ext uri="{FF2B5EF4-FFF2-40B4-BE49-F238E27FC236}">
                <a16:creationId xmlns:a16="http://schemas.microsoft.com/office/drawing/2014/main" id="{66D0A775-3DDA-46E4-96E0-76AB68AD5084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64" name="$E$290">
            <a:extLst>
              <a:ext uri="{FF2B5EF4-FFF2-40B4-BE49-F238E27FC236}">
                <a16:creationId xmlns:a16="http://schemas.microsoft.com/office/drawing/2014/main" id="{A0DFBA93-0042-4429-93B9-7F4A935BAF57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65" name="$E$290">
            <a:extLst>
              <a:ext uri="{FF2B5EF4-FFF2-40B4-BE49-F238E27FC236}">
                <a16:creationId xmlns:a16="http://schemas.microsoft.com/office/drawing/2014/main" id="{E70B7271-D677-48AA-8F25-F05D208318D3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66" name="$E$290">
            <a:extLst>
              <a:ext uri="{FF2B5EF4-FFF2-40B4-BE49-F238E27FC236}">
                <a16:creationId xmlns:a16="http://schemas.microsoft.com/office/drawing/2014/main" id="{4FBBC089-6030-4695-891F-2E74418DDCED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67" name="$E$290">
            <a:extLst>
              <a:ext uri="{FF2B5EF4-FFF2-40B4-BE49-F238E27FC236}">
                <a16:creationId xmlns:a16="http://schemas.microsoft.com/office/drawing/2014/main" id="{FBBDDA30-AE09-4051-8958-561346B63048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68" name="$E$290">
            <a:extLst>
              <a:ext uri="{FF2B5EF4-FFF2-40B4-BE49-F238E27FC236}">
                <a16:creationId xmlns:a16="http://schemas.microsoft.com/office/drawing/2014/main" id="{3CAA32B8-8374-46DE-9E36-C85077A2491F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69" name="$E$290">
            <a:extLst>
              <a:ext uri="{FF2B5EF4-FFF2-40B4-BE49-F238E27FC236}">
                <a16:creationId xmlns:a16="http://schemas.microsoft.com/office/drawing/2014/main" id="{22D8D6AB-1BD9-4B86-8BEB-7BD5E65B918D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70" name="$E$290">
            <a:extLst>
              <a:ext uri="{FF2B5EF4-FFF2-40B4-BE49-F238E27FC236}">
                <a16:creationId xmlns:a16="http://schemas.microsoft.com/office/drawing/2014/main" id="{03B48565-33B7-4664-AB28-1FF9B1A809DC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71" name="$E$290">
            <a:extLst>
              <a:ext uri="{FF2B5EF4-FFF2-40B4-BE49-F238E27FC236}">
                <a16:creationId xmlns:a16="http://schemas.microsoft.com/office/drawing/2014/main" id="{E2DAC1C7-B1A2-43E3-A9BC-A955377852D7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72" name="$E$290">
            <a:extLst>
              <a:ext uri="{FF2B5EF4-FFF2-40B4-BE49-F238E27FC236}">
                <a16:creationId xmlns:a16="http://schemas.microsoft.com/office/drawing/2014/main" id="{F959D96B-E6C6-4C02-B0CE-6C4E799930BC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73" name="$E$290">
            <a:extLst>
              <a:ext uri="{FF2B5EF4-FFF2-40B4-BE49-F238E27FC236}">
                <a16:creationId xmlns:a16="http://schemas.microsoft.com/office/drawing/2014/main" id="{4B153EAB-E8F5-4E88-ACBB-2395B8786705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74" name="$E$290">
            <a:extLst>
              <a:ext uri="{FF2B5EF4-FFF2-40B4-BE49-F238E27FC236}">
                <a16:creationId xmlns:a16="http://schemas.microsoft.com/office/drawing/2014/main" id="{89A3CBB5-05AB-44E1-83BE-8CFF86AED45F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75" name="$E$290">
            <a:extLst>
              <a:ext uri="{FF2B5EF4-FFF2-40B4-BE49-F238E27FC236}">
                <a16:creationId xmlns:a16="http://schemas.microsoft.com/office/drawing/2014/main" id="{DCC9D3F5-C635-4764-8946-E545FA9AB745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76" name="$E$290">
            <a:extLst>
              <a:ext uri="{FF2B5EF4-FFF2-40B4-BE49-F238E27FC236}">
                <a16:creationId xmlns:a16="http://schemas.microsoft.com/office/drawing/2014/main" id="{F01D6CAE-473A-49DB-A248-D9B1637A4B4E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77" name="$E$290">
            <a:extLst>
              <a:ext uri="{FF2B5EF4-FFF2-40B4-BE49-F238E27FC236}">
                <a16:creationId xmlns:a16="http://schemas.microsoft.com/office/drawing/2014/main" id="{75EC4393-9334-4703-B145-C719DB4B7DA7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78" name="$E$290">
            <a:extLst>
              <a:ext uri="{FF2B5EF4-FFF2-40B4-BE49-F238E27FC236}">
                <a16:creationId xmlns:a16="http://schemas.microsoft.com/office/drawing/2014/main" id="{17850397-B44F-4539-8680-535FB8F0D162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79" name="$E$290">
            <a:extLst>
              <a:ext uri="{FF2B5EF4-FFF2-40B4-BE49-F238E27FC236}">
                <a16:creationId xmlns:a16="http://schemas.microsoft.com/office/drawing/2014/main" id="{7C2F1F45-5682-49D6-A67A-93747AA500FC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80" name="$E$290">
            <a:extLst>
              <a:ext uri="{FF2B5EF4-FFF2-40B4-BE49-F238E27FC236}">
                <a16:creationId xmlns:a16="http://schemas.microsoft.com/office/drawing/2014/main" id="{B9BF71DB-C59F-4D2D-A3CA-B0A59D4C92E6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81" name="$E$290">
            <a:extLst>
              <a:ext uri="{FF2B5EF4-FFF2-40B4-BE49-F238E27FC236}">
                <a16:creationId xmlns:a16="http://schemas.microsoft.com/office/drawing/2014/main" id="{54D84083-A0BE-4F37-9947-E3227BF7BDD3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82" name="$E$290">
            <a:extLst>
              <a:ext uri="{FF2B5EF4-FFF2-40B4-BE49-F238E27FC236}">
                <a16:creationId xmlns:a16="http://schemas.microsoft.com/office/drawing/2014/main" id="{FC212EEE-EE71-4B8C-8ECC-FA83D9087263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83" name="$E$290">
            <a:extLst>
              <a:ext uri="{FF2B5EF4-FFF2-40B4-BE49-F238E27FC236}">
                <a16:creationId xmlns:a16="http://schemas.microsoft.com/office/drawing/2014/main" id="{B0E70E08-2CFF-4F06-8E61-BD1B301EC41F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84" name="$E$290">
            <a:extLst>
              <a:ext uri="{FF2B5EF4-FFF2-40B4-BE49-F238E27FC236}">
                <a16:creationId xmlns:a16="http://schemas.microsoft.com/office/drawing/2014/main" id="{236C7C1E-BC85-43F3-A6E9-F48AF1C3A4BE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85" name="$E$290">
            <a:extLst>
              <a:ext uri="{FF2B5EF4-FFF2-40B4-BE49-F238E27FC236}">
                <a16:creationId xmlns:a16="http://schemas.microsoft.com/office/drawing/2014/main" id="{14A3DCA0-31F7-4551-B3A2-7A1B33E73EC1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86" name="$E$290">
            <a:extLst>
              <a:ext uri="{FF2B5EF4-FFF2-40B4-BE49-F238E27FC236}">
                <a16:creationId xmlns:a16="http://schemas.microsoft.com/office/drawing/2014/main" id="{C4EDFA1F-60E4-43CB-A9DD-2B12DAE0CDCB}"/>
              </a:ext>
            </a:extLst>
          </xdr:cNvPr>
          <xdr:cNvSpPr/>
        </xdr:nvSpPr>
        <xdr:spPr>
          <a:xfrm>
            <a:off x="12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87" name="$E$290">
            <a:extLst>
              <a:ext uri="{FF2B5EF4-FFF2-40B4-BE49-F238E27FC236}">
                <a16:creationId xmlns:a16="http://schemas.microsoft.com/office/drawing/2014/main" id="{394FA2B7-8EDC-4E2D-BA7D-9CFC09FB498F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88" name="$E$290">
            <a:extLst>
              <a:ext uri="{FF2B5EF4-FFF2-40B4-BE49-F238E27FC236}">
                <a16:creationId xmlns:a16="http://schemas.microsoft.com/office/drawing/2014/main" id="{F43FD726-80A3-4E0B-9CF7-B197C16A56B7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89" name="$E$290">
            <a:extLst>
              <a:ext uri="{FF2B5EF4-FFF2-40B4-BE49-F238E27FC236}">
                <a16:creationId xmlns:a16="http://schemas.microsoft.com/office/drawing/2014/main" id="{C5A5CAF8-59CC-4D59-B22D-D249EEBE3C57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90" name="$E$290">
            <a:extLst>
              <a:ext uri="{FF2B5EF4-FFF2-40B4-BE49-F238E27FC236}">
                <a16:creationId xmlns:a16="http://schemas.microsoft.com/office/drawing/2014/main" id="{06EF3201-1064-450E-9D9F-5C69156B867B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91" name="$E$290">
            <a:extLst>
              <a:ext uri="{FF2B5EF4-FFF2-40B4-BE49-F238E27FC236}">
                <a16:creationId xmlns:a16="http://schemas.microsoft.com/office/drawing/2014/main" id="{E607C882-0ED0-487A-9865-E6536F3B2CEB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92" name="$E$290">
            <a:extLst>
              <a:ext uri="{FF2B5EF4-FFF2-40B4-BE49-F238E27FC236}">
                <a16:creationId xmlns:a16="http://schemas.microsoft.com/office/drawing/2014/main" id="{8F1CA9D5-C570-49EE-927E-24F9161A3AF3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93" name="$E$290">
            <a:extLst>
              <a:ext uri="{FF2B5EF4-FFF2-40B4-BE49-F238E27FC236}">
                <a16:creationId xmlns:a16="http://schemas.microsoft.com/office/drawing/2014/main" id="{81550F18-F5F6-4963-807F-626D842650E0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94" name="$E$290">
            <a:extLst>
              <a:ext uri="{FF2B5EF4-FFF2-40B4-BE49-F238E27FC236}">
                <a16:creationId xmlns:a16="http://schemas.microsoft.com/office/drawing/2014/main" id="{79998E8E-1114-4858-9A54-0850059567B4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95" name="$E$290">
            <a:extLst>
              <a:ext uri="{FF2B5EF4-FFF2-40B4-BE49-F238E27FC236}">
                <a16:creationId xmlns:a16="http://schemas.microsoft.com/office/drawing/2014/main" id="{20556522-024C-4EF9-AF97-0A78301B7880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96" name="$E$290">
            <a:extLst>
              <a:ext uri="{FF2B5EF4-FFF2-40B4-BE49-F238E27FC236}">
                <a16:creationId xmlns:a16="http://schemas.microsoft.com/office/drawing/2014/main" id="{EE9555C2-6339-48EA-826D-990E2880CE94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97" name="$E$290">
            <a:extLst>
              <a:ext uri="{FF2B5EF4-FFF2-40B4-BE49-F238E27FC236}">
                <a16:creationId xmlns:a16="http://schemas.microsoft.com/office/drawing/2014/main" id="{10A8003D-C935-49A5-8313-5E986F1E057A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98" name="$E$290">
            <a:extLst>
              <a:ext uri="{FF2B5EF4-FFF2-40B4-BE49-F238E27FC236}">
                <a16:creationId xmlns:a16="http://schemas.microsoft.com/office/drawing/2014/main" id="{20754B3A-7658-4764-897B-4A34E9A6C4AF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599" name="$E$290">
            <a:extLst>
              <a:ext uri="{FF2B5EF4-FFF2-40B4-BE49-F238E27FC236}">
                <a16:creationId xmlns:a16="http://schemas.microsoft.com/office/drawing/2014/main" id="{044FE4FE-5808-43D6-A824-D331D7A6B776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00" name="$E$290">
            <a:extLst>
              <a:ext uri="{FF2B5EF4-FFF2-40B4-BE49-F238E27FC236}">
                <a16:creationId xmlns:a16="http://schemas.microsoft.com/office/drawing/2014/main" id="{B5AB1875-8C2F-4B3F-95EB-0AE03ABA8A45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01" name="$E$290">
            <a:extLst>
              <a:ext uri="{FF2B5EF4-FFF2-40B4-BE49-F238E27FC236}">
                <a16:creationId xmlns:a16="http://schemas.microsoft.com/office/drawing/2014/main" id="{C3277521-5FF7-45B3-8C77-CB43A793E389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02" name="$E$290">
            <a:extLst>
              <a:ext uri="{FF2B5EF4-FFF2-40B4-BE49-F238E27FC236}">
                <a16:creationId xmlns:a16="http://schemas.microsoft.com/office/drawing/2014/main" id="{E1DF3237-E345-41D6-B8EB-42617DFD80EC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03" name="$E$290">
            <a:extLst>
              <a:ext uri="{FF2B5EF4-FFF2-40B4-BE49-F238E27FC236}">
                <a16:creationId xmlns:a16="http://schemas.microsoft.com/office/drawing/2014/main" id="{417AD8CE-4146-4E49-84FC-6FFBC5A2F4F9}"/>
              </a:ext>
            </a:extLst>
          </xdr:cNvPr>
          <xdr:cNvSpPr/>
        </xdr:nvSpPr>
        <xdr:spPr>
          <a:xfrm>
            <a:off x="88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04" name="$E$290">
            <a:extLst>
              <a:ext uri="{FF2B5EF4-FFF2-40B4-BE49-F238E27FC236}">
                <a16:creationId xmlns:a16="http://schemas.microsoft.com/office/drawing/2014/main" id="{4A6ED0AF-EE2F-4AF5-92ED-16EDC590304D}"/>
              </a:ext>
            </a:extLst>
          </xdr:cNvPr>
          <xdr:cNvSpPr/>
        </xdr:nvSpPr>
        <xdr:spPr>
          <a:xfrm>
            <a:off x="101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05" name="$E$290">
            <a:extLst>
              <a:ext uri="{FF2B5EF4-FFF2-40B4-BE49-F238E27FC236}">
                <a16:creationId xmlns:a16="http://schemas.microsoft.com/office/drawing/2014/main" id="{B0A4E0F1-4737-45C9-9189-CFEAF0149419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06" name="$E$290">
            <a:extLst>
              <a:ext uri="{FF2B5EF4-FFF2-40B4-BE49-F238E27FC236}">
                <a16:creationId xmlns:a16="http://schemas.microsoft.com/office/drawing/2014/main" id="{E44C4F50-45AE-49A0-89B0-3B3AC98D52E1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07" name="$E$290">
            <a:extLst>
              <a:ext uri="{FF2B5EF4-FFF2-40B4-BE49-F238E27FC236}">
                <a16:creationId xmlns:a16="http://schemas.microsoft.com/office/drawing/2014/main" id="{5B5E76F9-626D-44A0-9822-0E172DBA69C9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08" name="$E$290">
            <a:extLst>
              <a:ext uri="{FF2B5EF4-FFF2-40B4-BE49-F238E27FC236}">
                <a16:creationId xmlns:a16="http://schemas.microsoft.com/office/drawing/2014/main" id="{E333BCD6-1447-483B-89AB-7E6F0E81BB1A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09" name="$E$290">
            <a:extLst>
              <a:ext uri="{FF2B5EF4-FFF2-40B4-BE49-F238E27FC236}">
                <a16:creationId xmlns:a16="http://schemas.microsoft.com/office/drawing/2014/main" id="{B1F3AAB8-A8E5-43F7-A39F-E6BB561956C5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10" name="$E$290">
            <a:extLst>
              <a:ext uri="{FF2B5EF4-FFF2-40B4-BE49-F238E27FC236}">
                <a16:creationId xmlns:a16="http://schemas.microsoft.com/office/drawing/2014/main" id="{32148B45-43B6-4D65-AF52-813BDA54CDB7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11" name="$E$290">
            <a:extLst>
              <a:ext uri="{FF2B5EF4-FFF2-40B4-BE49-F238E27FC236}">
                <a16:creationId xmlns:a16="http://schemas.microsoft.com/office/drawing/2014/main" id="{90F07148-EF32-4448-851A-66B285C8689A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12" name="$E$290">
            <a:extLst>
              <a:ext uri="{FF2B5EF4-FFF2-40B4-BE49-F238E27FC236}">
                <a16:creationId xmlns:a16="http://schemas.microsoft.com/office/drawing/2014/main" id="{1AB7D673-3AC3-42B1-A0B0-6F9900E1272F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13" name="$E$290">
            <a:extLst>
              <a:ext uri="{FF2B5EF4-FFF2-40B4-BE49-F238E27FC236}">
                <a16:creationId xmlns:a16="http://schemas.microsoft.com/office/drawing/2014/main" id="{F6AD47AD-4AD2-4FCE-ADD2-CD540252A28E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14" name="$E$290">
            <a:extLst>
              <a:ext uri="{FF2B5EF4-FFF2-40B4-BE49-F238E27FC236}">
                <a16:creationId xmlns:a16="http://schemas.microsoft.com/office/drawing/2014/main" id="{801F0AD5-4B2C-4F19-89A4-365679B52535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15" name="$E$290">
            <a:extLst>
              <a:ext uri="{FF2B5EF4-FFF2-40B4-BE49-F238E27FC236}">
                <a16:creationId xmlns:a16="http://schemas.microsoft.com/office/drawing/2014/main" id="{70CAD00C-B5E7-46BD-8DA1-6874F0967E71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16" name="$E$290">
            <a:extLst>
              <a:ext uri="{FF2B5EF4-FFF2-40B4-BE49-F238E27FC236}">
                <a16:creationId xmlns:a16="http://schemas.microsoft.com/office/drawing/2014/main" id="{3AA4CC1C-176C-4B1B-A59F-7A4FFC460BE9}"/>
              </a:ext>
            </a:extLst>
          </xdr:cNvPr>
          <xdr:cNvSpPr/>
        </xdr:nvSpPr>
        <xdr:spPr>
          <a:xfrm>
            <a:off x="12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17" name="$E$290">
            <a:extLst>
              <a:ext uri="{FF2B5EF4-FFF2-40B4-BE49-F238E27FC236}">
                <a16:creationId xmlns:a16="http://schemas.microsoft.com/office/drawing/2014/main" id="{A1B3BD47-6446-427E-A90E-B7C0F0DBDD91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18" name="$E$290">
            <a:extLst>
              <a:ext uri="{FF2B5EF4-FFF2-40B4-BE49-F238E27FC236}">
                <a16:creationId xmlns:a16="http://schemas.microsoft.com/office/drawing/2014/main" id="{CD9E4580-AFA8-4934-89D1-1260F8CDFB8F}"/>
              </a:ext>
            </a:extLst>
          </xdr:cNvPr>
          <xdr:cNvSpPr/>
        </xdr:nvSpPr>
        <xdr:spPr>
          <a:xfrm>
            <a:off x="63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19" name="$E$290">
            <a:extLst>
              <a:ext uri="{FF2B5EF4-FFF2-40B4-BE49-F238E27FC236}">
                <a16:creationId xmlns:a16="http://schemas.microsoft.com/office/drawing/2014/main" id="{C3C346B9-AD28-4ACE-ADE8-6649343253AD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20" name="$E$290">
            <a:extLst>
              <a:ext uri="{FF2B5EF4-FFF2-40B4-BE49-F238E27FC236}">
                <a16:creationId xmlns:a16="http://schemas.microsoft.com/office/drawing/2014/main" id="{01130E07-F60B-439F-891C-20EE7CAA9483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21" name="$E$290">
            <a:extLst>
              <a:ext uri="{FF2B5EF4-FFF2-40B4-BE49-F238E27FC236}">
                <a16:creationId xmlns:a16="http://schemas.microsoft.com/office/drawing/2014/main" id="{54FF0553-2664-4061-A78F-96F742993D00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22" name="$E$290">
            <a:extLst>
              <a:ext uri="{FF2B5EF4-FFF2-40B4-BE49-F238E27FC236}">
                <a16:creationId xmlns:a16="http://schemas.microsoft.com/office/drawing/2014/main" id="{FCD0DE80-1743-431B-B92A-0AF710DC7A03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23" name="$E$290">
            <a:extLst>
              <a:ext uri="{FF2B5EF4-FFF2-40B4-BE49-F238E27FC236}">
                <a16:creationId xmlns:a16="http://schemas.microsoft.com/office/drawing/2014/main" id="{17B59274-8014-40CB-AA9E-9CD1389D3379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24" name="$E$290">
            <a:extLst>
              <a:ext uri="{FF2B5EF4-FFF2-40B4-BE49-F238E27FC236}">
                <a16:creationId xmlns:a16="http://schemas.microsoft.com/office/drawing/2014/main" id="{CC075B26-DD5C-4081-92DC-A81A284C5EB6}"/>
              </a:ext>
            </a:extLst>
          </xdr:cNvPr>
          <xdr:cNvSpPr/>
        </xdr:nvSpPr>
        <xdr:spPr>
          <a:xfrm>
            <a:off x="215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25" name="$E$290">
            <a:extLst>
              <a:ext uri="{FF2B5EF4-FFF2-40B4-BE49-F238E27FC236}">
                <a16:creationId xmlns:a16="http://schemas.microsoft.com/office/drawing/2014/main" id="{8A01AB7B-76E2-485D-8F1D-A299DA06ED31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26" name="$E$290">
            <a:extLst>
              <a:ext uri="{FF2B5EF4-FFF2-40B4-BE49-F238E27FC236}">
                <a16:creationId xmlns:a16="http://schemas.microsoft.com/office/drawing/2014/main" id="{DD8FB93D-F126-41D8-A71D-3487EBEC4759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27" name="$E$290">
            <a:extLst>
              <a:ext uri="{FF2B5EF4-FFF2-40B4-BE49-F238E27FC236}">
                <a16:creationId xmlns:a16="http://schemas.microsoft.com/office/drawing/2014/main" id="{5271A205-FF86-4190-9B6D-E33A98D7D909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28" name="$E$290">
            <a:extLst>
              <a:ext uri="{FF2B5EF4-FFF2-40B4-BE49-F238E27FC236}">
                <a16:creationId xmlns:a16="http://schemas.microsoft.com/office/drawing/2014/main" id="{AA25AFA9-48CA-4A62-8A99-B28D9DA972BF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29" name="$E$290">
            <a:extLst>
              <a:ext uri="{FF2B5EF4-FFF2-40B4-BE49-F238E27FC236}">
                <a16:creationId xmlns:a16="http://schemas.microsoft.com/office/drawing/2014/main" id="{3F10443C-15E3-4E3A-B6A5-2A143F5436E2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30" name="$E$290">
            <a:extLst>
              <a:ext uri="{FF2B5EF4-FFF2-40B4-BE49-F238E27FC236}">
                <a16:creationId xmlns:a16="http://schemas.microsoft.com/office/drawing/2014/main" id="{39207639-C675-4A9C-9370-67ADDE562561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31" name="$E$290">
            <a:extLst>
              <a:ext uri="{FF2B5EF4-FFF2-40B4-BE49-F238E27FC236}">
                <a16:creationId xmlns:a16="http://schemas.microsoft.com/office/drawing/2014/main" id="{4A9D3BA2-D422-49B1-82AA-CDE29ED90843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32" name="$E$290">
            <a:extLst>
              <a:ext uri="{FF2B5EF4-FFF2-40B4-BE49-F238E27FC236}">
                <a16:creationId xmlns:a16="http://schemas.microsoft.com/office/drawing/2014/main" id="{498D7B5D-0809-4165-9616-95BB5DB17F48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33" name="$E$290">
            <a:extLst>
              <a:ext uri="{FF2B5EF4-FFF2-40B4-BE49-F238E27FC236}">
                <a16:creationId xmlns:a16="http://schemas.microsoft.com/office/drawing/2014/main" id="{73C462ED-28AA-4162-8345-85C5F21B425D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34" name="$E$290">
            <a:extLst>
              <a:ext uri="{FF2B5EF4-FFF2-40B4-BE49-F238E27FC236}">
                <a16:creationId xmlns:a16="http://schemas.microsoft.com/office/drawing/2014/main" id="{26223ECD-9647-45B6-9301-DAF93BF2854C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35" name="$E$290">
            <a:extLst>
              <a:ext uri="{FF2B5EF4-FFF2-40B4-BE49-F238E27FC236}">
                <a16:creationId xmlns:a16="http://schemas.microsoft.com/office/drawing/2014/main" id="{887C9BDE-A006-451D-9BF6-C9DF49946C87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36" name="$E$290">
            <a:extLst>
              <a:ext uri="{FF2B5EF4-FFF2-40B4-BE49-F238E27FC236}">
                <a16:creationId xmlns:a16="http://schemas.microsoft.com/office/drawing/2014/main" id="{75A0A922-4957-4BFA-8FD2-DC763B9FB2FB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37" name="$E$290">
            <a:extLst>
              <a:ext uri="{FF2B5EF4-FFF2-40B4-BE49-F238E27FC236}">
                <a16:creationId xmlns:a16="http://schemas.microsoft.com/office/drawing/2014/main" id="{B5D52B98-2A45-490F-A228-BB17575ADF3A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38" name="$E$290">
            <a:extLst>
              <a:ext uri="{FF2B5EF4-FFF2-40B4-BE49-F238E27FC236}">
                <a16:creationId xmlns:a16="http://schemas.microsoft.com/office/drawing/2014/main" id="{7132403C-6330-46E9-8A7D-B29B250629FC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39" name="$E$290">
            <a:extLst>
              <a:ext uri="{FF2B5EF4-FFF2-40B4-BE49-F238E27FC236}">
                <a16:creationId xmlns:a16="http://schemas.microsoft.com/office/drawing/2014/main" id="{61EB8891-88B8-4751-815C-6A3EF66B71C9}"/>
              </a:ext>
            </a:extLst>
          </xdr:cNvPr>
          <xdr:cNvSpPr/>
        </xdr:nvSpPr>
        <xdr:spPr>
          <a:xfrm>
            <a:off x="139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40" name="$E$290">
            <a:extLst>
              <a:ext uri="{FF2B5EF4-FFF2-40B4-BE49-F238E27FC236}">
                <a16:creationId xmlns:a16="http://schemas.microsoft.com/office/drawing/2014/main" id="{2295F970-401B-420B-BB62-A37DD4C3E624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41" name="$E$290">
            <a:extLst>
              <a:ext uri="{FF2B5EF4-FFF2-40B4-BE49-F238E27FC236}">
                <a16:creationId xmlns:a16="http://schemas.microsoft.com/office/drawing/2014/main" id="{CB3B5F83-B08F-4747-AA49-A6D1EE4D1ED3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42" name="$E$290">
            <a:extLst>
              <a:ext uri="{FF2B5EF4-FFF2-40B4-BE49-F238E27FC236}">
                <a16:creationId xmlns:a16="http://schemas.microsoft.com/office/drawing/2014/main" id="{B0D65E3D-C3E2-4B30-A648-445648F09E93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43" name="$E$290">
            <a:extLst>
              <a:ext uri="{FF2B5EF4-FFF2-40B4-BE49-F238E27FC236}">
                <a16:creationId xmlns:a16="http://schemas.microsoft.com/office/drawing/2014/main" id="{95EFD25B-EBCD-405D-A34C-0A6458AF9D76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44" name="$E$290">
            <a:extLst>
              <a:ext uri="{FF2B5EF4-FFF2-40B4-BE49-F238E27FC236}">
                <a16:creationId xmlns:a16="http://schemas.microsoft.com/office/drawing/2014/main" id="{825F90FE-BE64-4B02-8353-88697175D381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45" name="$E$290">
            <a:extLst>
              <a:ext uri="{FF2B5EF4-FFF2-40B4-BE49-F238E27FC236}">
                <a16:creationId xmlns:a16="http://schemas.microsoft.com/office/drawing/2014/main" id="{6056960C-4DC7-4A02-AD7C-53555840159C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46" name="$E$290">
            <a:extLst>
              <a:ext uri="{FF2B5EF4-FFF2-40B4-BE49-F238E27FC236}">
                <a16:creationId xmlns:a16="http://schemas.microsoft.com/office/drawing/2014/main" id="{0724BA84-91D0-4A5F-AD81-DFDF5FE85E6A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47" name="$E$290">
            <a:extLst>
              <a:ext uri="{FF2B5EF4-FFF2-40B4-BE49-F238E27FC236}">
                <a16:creationId xmlns:a16="http://schemas.microsoft.com/office/drawing/2014/main" id="{128AF22C-4C83-459B-834E-3BDC82E4FF5F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48" name="$E$290">
            <a:extLst>
              <a:ext uri="{FF2B5EF4-FFF2-40B4-BE49-F238E27FC236}">
                <a16:creationId xmlns:a16="http://schemas.microsoft.com/office/drawing/2014/main" id="{F7B4F4D6-3623-4C25-AF54-B2553D8DF3A7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49" name="$E$290">
            <a:extLst>
              <a:ext uri="{FF2B5EF4-FFF2-40B4-BE49-F238E27FC236}">
                <a16:creationId xmlns:a16="http://schemas.microsoft.com/office/drawing/2014/main" id="{C819F47D-841D-4122-B2C4-7C9007977E14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50" name="$E$290">
            <a:extLst>
              <a:ext uri="{FF2B5EF4-FFF2-40B4-BE49-F238E27FC236}">
                <a16:creationId xmlns:a16="http://schemas.microsoft.com/office/drawing/2014/main" id="{454F2BFD-5466-41E7-8EA0-89E7373377E8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51" name="$E$290">
            <a:extLst>
              <a:ext uri="{FF2B5EF4-FFF2-40B4-BE49-F238E27FC236}">
                <a16:creationId xmlns:a16="http://schemas.microsoft.com/office/drawing/2014/main" id="{BF7737C9-E7AC-4267-9D15-767DA38A41F4}"/>
              </a:ext>
            </a:extLst>
          </xdr:cNvPr>
          <xdr:cNvSpPr/>
        </xdr:nvSpPr>
        <xdr:spPr>
          <a:xfrm>
            <a:off x="88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52" name="$E$290">
            <a:extLst>
              <a:ext uri="{FF2B5EF4-FFF2-40B4-BE49-F238E27FC236}">
                <a16:creationId xmlns:a16="http://schemas.microsoft.com/office/drawing/2014/main" id="{50EC3ACD-EE69-4AD7-8370-AD8D7115C55B}"/>
              </a:ext>
            </a:extLst>
          </xdr:cNvPr>
          <xdr:cNvSpPr/>
        </xdr:nvSpPr>
        <xdr:spPr>
          <a:xfrm>
            <a:off x="114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53" name="$E$290">
            <a:extLst>
              <a:ext uri="{FF2B5EF4-FFF2-40B4-BE49-F238E27FC236}">
                <a16:creationId xmlns:a16="http://schemas.microsoft.com/office/drawing/2014/main" id="{2A712DC8-EC07-4C2F-AECD-1C59BD3A5128}"/>
              </a:ext>
            </a:extLst>
          </xdr:cNvPr>
          <xdr:cNvSpPr/>
        </xdr:nvSpPr>
        <xdr:spPr>
          <a:xfrm>
            <a:off x="139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54" name="$E$290">
            <a:extLst>
              <a:ext uri="{FF2B5EF4-FFF2-40B4-BE49-F238E27FC236}">
                <a16:creationId xmlns:a16="http://schemas.microsoft.com/office/drawing/2014/main" id="{10326E76-F148-4621-B9F1-5F5D2A55ACDB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55" name="$E$290">
            <a:extLst>
              <a:ext uri="{FF2B5EF4-FFF2-40B4-BE49-F238E27FC236}">
                <a16:creationId xmlns:a16="http://schemas.microsoft.com/office/drawing/2014/main" id="{C4405356-4693-4890-8FA7-9077FD3C4199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56" name="$E$290">
            <a:extLst>
              <a:ext uri="{FF2B5EF4-FFF2-40B4-BE49-F238E27FC236}">
                <a16:creationId xmlns:a16="http://schemas.microsoft.com/office/drawing/2014/main" id="{DFBEAFD8-4BFE-4EF4-8EF0-FECB11896E81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57" name="$E$290">
            <a:extLst>
              <a:ext uri="{FF2B5EF4-FFF2-40B4-BE49-F238E27FC236}">
                <a16:creationId xmlns:a16="http://schemas.microsoft.com/office/drawing/2014/main" id="{2BF96611-84D2-4E38-8A73-84A39089178B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58" name="$E$290">
            <a:extLst>
              <a:ext uri="{FF2B5EF4-FFF2-40B4-BE49-F238E27FC236}">
                <a16:creationId xmlns:a16="http://schemas.microsoft.com/office/drawing/2014/main" id="{5A7F65AA-9F5E-4979-98E5-0D4EA154F6AD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59" name="$E$290">
            <a:extLst>
              <a:ext uri="{FF2B5EF4-FFF2-40B4-BE49-F238E27FC236}">
                <a16:creationId xmlns:a16="http://schemas.microsoft.com/office/drawing/2014/main" id="{FCD0DEF4-7829-41D8-BB78-6993F2AB635C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60" name="$E$290">
            <a:extLst>
              <a:ext uri="{FF2B5EF4-FFF2-40B4-BE49-F238E27FC236}">
                <a16:creationId xmlns:a16="http://schemas.microsoft.com/office/drawing/2014/main" id="{F6C33753-F49B-49C6-AF98-808EB34CF87A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61" name="$E$290">
            <a:extLst>
              <a:ext uri="{FF2B5EF4-FFF2-40B4-BE49-F238E27FC236}">
                <a16:creationId xmlns:a16="http://schemas.microsoft.com/office/drawing/2014/main" id="{FBE6C919-8783-4C85-BAE7-F367BC58A125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62" name="$E$290">
            <a:extLst>
              <a:ext uri="{FF2B5EF4-FFF2-40B4-BE49-F238E27FC236}">
                <a16:creationId xmlns:a16="http://schemas.microsoft.com/office/drawing/2014/main" id="{2219DA22-D61A-4A20-8EFC-AA0B33C4F9EB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63" name="$E$290">
            <a:extLst>
              <a:ext uri="{FF2B5EF4-FFF2-40B4-BE49-F238E27FC236}">
                <a16:creationId xmlns:a16="http://schemas.microsoft.com/office/drawing/2014/main" id="{40BCDC71-7E4A-4BD8-8A5C-B49F19CAD6CB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64" name="$E$290">
            <a:extLst>
              <a:ext uri="{FF2B5EF4-FFF2-40B4-BE49-F238E27FC236}">
                <a16:creationId xmlns:a16="http://schemas.microsoft.com/office/drawing/2014/main" id="{CDA723DA-C17F-4DB2-AC37-9E29480E3833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65" name="$E$290">
            <a:extLst>
              <a:ext uri="{FF2B5EF4-FFF2-40B4-BE49-F238E27FC236}">
                <a16:creationId xmlns:a16="http://schemas.microsoft.com/office/drawing/2014/main" id="{D4A9D43A-CE7C-4C4B-B844-1F3F27F96793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66" name="$E$290">
            <a:extLst>
              <a:ext uri="{FF2B5EF4-FFF2-40B4-BE49-F238E27FC236}">
                <a16:creationId xmlns:a16="http://schemas.microsoft.com/office/drawing/2014/main" id="{DF6A311D-CE2B-413C-8584-CC589C6D24DD}"/>
              </a:ext>
            </a:extLst>
          </xdr:cNvPr>
          <xdr:cNvSpPr/>
        </xdr:nvSpPr>
        <xdr:spPr>
          <a:xfrm>
            <a:off x="101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67" name="$E$290">
            <a:extLst>
              <a:ext uri="{FF2B5EF4-FFF2-40B4-BE49-F238E27FC236}">
                <a16:creationId xmlns:a16="http://schemas.microsoft.com/office/drawing/2014/main" id="{BD499790-01E6-4786-9A41-DB02E872A1AF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68" name="$E$290">
            <a:extLst>
              <a:ext uri="{FF2B5EF4-FFF2-40B4-BE49-F238E27FC236}">
                <a16:creationId xmlns:a16="http://schemas.microsoft.com/office/drawing/2014/main" id="{D8029DB1-01B6-479F-B91E-8DAEF4CCEA04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69" name="$E$290">
            <a:extLst>
              <a:ext uri="{FF2B5EF4-FFF2-40B4-BE49-F238E27FC236}">
                <a16:creationId xmlns:a16="http://schemas.microsoft.com/office/drawing/2014/main" id="{A5585BD3-A8A0-4C30-9D4A-5270D4CD8B5B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70" name="$E$290">
            <a:extLst>
              <a:ext uri="{FF2B5EF4-FFF2-40B4-BE49-F238E27FC236}">
                <a16:creationId xmlns:a16="http://schemas.microsoft.com/office/drawing/2014/main" id="{A80433B0-A3D7-4630-B4BD-C28B0136ACC0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71" name="$E$290">
            <a:extLst>
              <a:ext uri="{FF2B5EF4-FFF2-40B4-BE49-F238E27FC236}">
                <a16:creationId xmlns:a16="http://schemas.microsoft.com/office/drawing/2014/main" id="{B87C2C00-2B87-4F63-8E30-A4C18B6F06E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72" name="$E$290">
            <a:extLst>
              <a:ext uri="{FF2B5EF4-FFF2-40B4-BE49-F238E27FC236}">
                <a16:creationId xmlns:a16="http://schemas.microsoft.com/office/drawing/2014/main" id="{30438B9A-B945-46D7-9934-E4FBF239AB2B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73" name="$E$290">
            <a:extLst>
              <a:ext uri="{FF2B5EF4-FFF2-40B4-BE49-F238E27FC236}">
                <a16:creationId xmlns:a16="http://schemas.microsoft.com/office/drawing/2014/main" id="{CE78B79A-FACC-4BD0-A718-9CF18B421679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74" name="$E$290">
            <a:extLst>
              <a:ext uri="{FF2B5EF4-FFF2-40B4-BE49-F238E27FC236}">
                <a16:creationId xmlns:a16="http://schemas.microsoft.com/office/drawing/2014/main" id="{9BAC4C1D-4101-4C31-9B93-8A86A89486EA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75" name="$E$290">
            <a:extLst>
              <a:ext uri="{FF2B5EF4-FFF2-40B4-BE49-F238E27FC236}">
                <a16:creationId xmlns:a16="http://schemas.microsoft.com/office/drawing/2014/main" id="{0707EA4F-55B9-4212-9F61-78AF84683A5A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76" name="$E$290">
            <a:extLst>
              <a:ext uri="{FF2B5EF4-FFF2-40B4-BE49-F238E27FC236}">
                <a16:creationId xmlns:a16="http://schemas.microsoft.com/office/drawing/2014/main" id="{6F5A9E2C-D169-427E-93C9-02CCA7562991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77" name="$E$290">
            <a:extLst>
              <a:ext uri="{FF2B5EF4-FFF2-40B4-BE49-F238E27FC236}">
                <a16:creationId xmlns:a16="http://schemas.microsoft.com/office/drawing/2014/main" id="{0C9791F1-F66F-4426-9141-5189CAB9FA54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78" name="$E$290">
            <a:extLst>
              <a:ext uri="{FF2B5EF4-FFF2-40B4-BE49-F238E27FC236}">
                <a16:creationId xmlns:a16="http://schemas.microsoft.com/office/drawing/2014/main" id="{AB96FD58-6EF8-4C3C-B4E8-4663895BEE9D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79" name="$E$290">
            <a:extLst>
              <a:ext uri="{FF2B5EF4-FFF2-40B4-BE49-F238E27FC236}">
                <a16:creationId xmlns:a16="http://schemas.microsoft.com/office/drawing/2014/main" id="{6600D9C4-D86E-4BC2-8F7E-B1D0760805F1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80" name="$E$290">
            <a:extLst>
              <a:ext uri="{FF2B5EF4-FFF2-40B4-BE49-F238E27FC236}">
                <a16:creationId xmlns:a16="http://schemas.microsoft.com/office/drawing/2014/main" id="{062A6620-E8EE-4DF6-893A-0D1BCFB83902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81" name="$E$290">
            <a:extLst>
              <a:ext uri="{FF2B5EF4-FFF2-40B4-BE49-F238E27FC236}">
                <a16:creationId xmlns:a16="http://schemas.microsoft.com/office/drawing/2014/main" id="{63646035-1473-4F23-9B3A-118E7C6AD6D4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82" name="$E$290">
            <a:extLst>
              <a:ext uri="{FF2B5EF4-FFF2-40B4-BE49-F238E27FC236}">
                <a16:creationId xmlns:a16="http://schemas.microsoft.com/office/drawing/2014/main" id="{AD4E04F1-5BD0-48FA-8675-313A5B8CB7A8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83" name="$E$290">
            <a:extLst>
              <a:ext uri="{FF2B5EF4-FFF2-40B4-BE49-F238E27FC236}">
                <a16:creationId xmlns:a16="http://schemas.microsoft.com/office/drawing/2014/main" id="{8ED311FF-CA8E-4A8A-A27C-E77C333EDD23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84" name="$E$290">
            <a:extLst>
              <a:ext uri="{FF2B5EF4-FFF2-40B4-BE49-F238E27FC236}">
                <a16:creationId xmlns:a16="http://schemas.microsoft.com/office/drawing/2014/main" id="{25A93143-75D5-4A1A-B052-EF38C741DD24}"/>
              </a:ext>
            </a:extLst>
          </xdr:cNvPr>
          <xdr:cNvSpPr/>
        </xdr:nvSpPr>
        <xdr:spPr>
          <a:xfrm>
            <a:off x="127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85" name="$E$290">
            <a:extLst>
              <a:ext uri="{FF2B5EF4-FFF2-40B4-BE49-F238E27FC236}">
                <a16:creationId xmlns:a16="http://schemas.microsoft.com/office/drawing/2014/main" id="{BE6E47D2-4C8C-4089-A34C-E75950327A5A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86" name="$E$290">
            <a:extLst>
              <a:ext uri="{FF2B5EF4-FFF2-40B4-BE49-F238E27FC236}">
                <a16:creationId xmlns:a16="http://schemas.microsoft.com/office/drawing/2014/main" id="{991118D9-9564-41BD-A782-410E4E178FFA}"/>
              </a:ext>
            </a:extLst>
          </xdr:cNvPr>
          <xdr:cNvSpPr/>
        </xdr:nvSpPr>
        <xdr:spPr>
          <a:xfrm>
            <a:off x="177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87" name="$E$290">
            <a:extLst>
              <a:ext uri="{FF2B5EF4-FFF2-40B4-BE49-F238E27FC236}">
                <a16:creationId xmlns:a16="http://schemas.microsoft.com/office/drawing/2014/main" id="{A70EE301-589A-4236-94E4-2C953A9969EC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88" name="$E$290">
            <a:extLst>
              <a:ext uri="{FF2B5EF4-FFF2-40B4-BE49-F238E27FC236}">
                <a16:creationId xmlns:a16="http://schemas.microsoft.com/office/drawing/2014/main" id="{B857A11A-370C-447D-86D2-08777DB1ED5A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89" name="$E$290">
            <a:extLst>
              <a:ext uri="{FF2B5EF4-FFF2-40B4-BE49-F238E27FC236}">
                <a16:creationId xmlns:a16="http://schemas.microsoft.com/office/drawing/2014/main" id="{B1B75203-B4D4-48DC-9A7B-DE38F23BB8B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90" name="$E$290">
            <a:extLst>
              <a:ext uri="{FF2B5EF4-FFF2-40B4-BE49-F238E27FC236}">
                <a16:creationId xmlns:a16="http://schemas.microsoft.com/office/drawing/2014/main" id="{9B890FB0-9FD8-4F7C-902E-20D66F371CF2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91" name="$E$290">
            <a:extLst>
              <a:ext uri="{FF2B5EF4-FFF2-40B4-BE49-F238E27FC236}">
                <a16:creationId xmlns:a16="http://schemas.microsoft.com/office/drawing/2014/main" id="{5DF4DC56-1FB8-449B-96F4-CC2931356E79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92" name="$E$290">
            <a:extLst>
              <a:ext uri="{FF2B5EF4-FFF2-40B4-BE49-F238E27FC236}">
                <a16:creationId xmlns:a16="http://schemas.microsoft.com/office/drawing/2014/main" id="{83FE3896-19AC-469F-B204-FAB2A474E847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93" name="$E$290">
            <a:extLst>
              <a:ext uri="{FF2B5EF4-FFF2-40B4-BE49-F238E27FC236}">
                <a16:creationId xmlns:a16="http://schemas.microsoft.com/office/drawing/2014/main" id="{F8DD9892-323A-4A62-AA9B-C8397366A681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94" name="$E$290">
            <a:extLst>
              <a:ext uri="{FF2B5EF4-FFF2-40B4-BE49-F238E27FC236}">
                <a16:creationId xmlns:a16="http://schemas.microsoft.com/office/drawing/2014/main" id="{8937EE36-79A6-4D35-84FA-66F947E58BDD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95" name="$E$290">
            <a:extLst>
              <a:ext uri="{FF2B5EF4-FFF2-40B4-BE49-F238E27FC236}">
                <a16:creationId xmlns:a16="http://schemas.microsoft.com/office/drawing/2014/main" id="{B4ED66FB-B351-449C-B819-E9538466770A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96" name="$E$290">
            <a:extLst>
              <a:ext uri="{FF2B5EF4-FFF2-40B4-BE49-F238E27FC236}">
                <a16:creationId xmlns:a16="http://schemas.microsoft.com/office/drawing/2014/main" id="{4D060C91-542D-41D8-8D8E-A780CDB73C6B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97" name="$E$290">
            <a:extLst>
              <a:ext uri="{FF2B5EF4-FFF2-40B4-BE49-F238E27FC236}">
                <a16:creationId xmlns:a16="http://schemas.microsoft.com/office/drawing/2014/main" id="{13BF6C8A-5F8F-44CE-AE49-B57AFDF44692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98" name="$E$290">
            <a:extLst>
              <a:ext uri="{FF2B5EF4-FFF2-40B4-BE49-F238E27FC236}">
                <a16:creationId xmlns:a16="http://schemas.microsoft.com/office/drawing/2014/main" id="{AE97ECF0-7F23-46E3-B5E8-8ABCB594A9FA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699" name="$E$290">
            <a:extLst>
              <a:ext uri="{FF2B5EF4-FFF2-40B4-BE49-F238E27FC236}">
                <a16:creationId xmlns:a16="http://schemas.microsoft.com/office/drawing/2014/main" id="{FE041733-004B-462F-9D18-DA7F7C61DB55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00" name="$E$290">
            <a:extLst>
              <a:ext uri="{FF2B5EF4-FFF2-40B4-BE49-F238E27FC236}">
                <a16:creationId xmlns:a16="http://schemas.microsoft.com/office/drawing/2014/main" id="{5A771559-CF3E-4929-A289-FA6777E49E05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01" name="$E$290">
            <a:extLst>
              <a:ext uri="{FF2B5EF4-FFF2-40B4-BE49-F238E27FC236}">
                <a16:creationId xmlns:a16="http://schemas.microsoft.com/office/drawing/2014/main" id="{8C41E3D4-656A-4078-8F4C-2B1D07FFB5AA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02" name="$E$290">
            <a:extLst>
              <a:ext uri="{FF2B5EF4-FFF2-40B4-BE49-F238E27FC236}">
                <a16:creationId xmlns:a16="http://schemas.microsoft.com/office/drawing/2014/main" id="{16C2ECEA-0AAC-4C12-9A1D-AC73D2AA067B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03" name="$E$290">
            <a:extLst>
              <a:ext uri="{FF2B5EF4-FFF2-40B4-BE49-F238E27FC236}">
                <a16:creationId xmlns:a16="http://schemas.microsoft.com/office/drawing/2014/main" id="{B210383E-D4F1-499E-89F9-A1DFE34DB76B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04" name="$E$290">
            <a:extLst>
              <a:ext uri="{FF2B5EF4-FFF2-40B4-BE49-F238E27FC236}">
                <a16:creationId xmlns:a16="http://schemas.microsoft.com/office/drawing/2014/main" id="{69820B55-DB9C-4542-A049-CFE272ACE70E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05" name="$E$290">
            <a:extLst>
              <a:ext uri="{FF2B5EF4-FFF2-40B4-BE49-F238E27FC236}">
                <a16:creationId xmlns:a16="http://schemas.microsoft.com/office/drawing/2014/main" id="{E7B0E530-E68E-48F5-A345-3ECEE20E8B9E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06" name="$E$290">
            <a:extLst>
              <a:ext uri="{FF2B5EF4-FFF2-40B4-BE49-F238E27FC236}">
                <a16:creationId xmlns:a16="http://schemas.microsoft.com/office/drawing/2014/main" id="{FE08FADB-6551-4DCC-AFDC-CBB362A75D4F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07" name="$E$290">
            <a:extLst>
              <a:ext uri="{FF2B5EF4-FFF2-40B4-BE49-F238E27FC236}">
                <a16:creationId xmlns:a16="http://schemas.microsoft.com/office/drawing/2014/main" id="{3A7DEF9C-86FD-4DF8-90B4-899165BA367C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08" name="$E$290">
            <a:extLst>
              <a:ext uri="{FF2B5EF4-FFF2-40B4-BE49-F238E27FC236}">
                <a16:creationId xmlns:a16="http://schemas.microsoft.com/office/drawing/2014/main" id="{FEC9416C-6857-47CD-AED0-6E19209AD496}"/>
              </a:ext>
            </a:extLst>
          </xdr:cNvPr>
          <xdr:cNvSpPr/>
        </xdr:nvSpPr>
        <xdr:spPr>
          <a:xfrm>
            <a:off x="228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09" name="$E$290">
            <a:extLst>
              <a:ext uri="{FF2B5EF4-FFF2-40B4-BE49-F238E27FC236}">
                <a16:creationId xmlns:a16="http://schemas.microsoft.com/office/drawing/2014/main" id="{1C996BEA-7460-4D1A-ACE2-0D9998455FA8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10" name="$E$290">
            <a:extLst>
              <a:ext uri="{FF2B5EF4-FFF2-40B4-BE49-F238E27FC236}">
                <a16:creationId xmlns:a16="http://schemas.microsoft.com/office/drawing/2014/main" id="{C4573CAD-F99F-4219-8516-80995C4486F1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11" name="$E$290">
            <a:extLst>
              <a:ext uri="{FF2B5EF4-FFF2-40B4-BE49-F238E27FC236}">
                <a16:creationId xmlns:a16="http://schemas.microsoft.com/office/drawing/2014/main" id="{2CDE9C16-7928-4111-A704-EDF7FA8386A1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12" name="$E$290">
            <a:extLst>
              <a:ext uri="{FF2B5EF4-FFF2-40B4-BE49-F238E27FC236}">
                <a16:creationId xmlns:a16="http://schemas.microsoft.com/office/drawing/2014/main" id="{7E4E4EBD-02E8-48D5-BEC4-6C058687EC5E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13" name="$E$290">
            <a:extLst>
              <a:ext uri="{FF2B5EF4-FFF2-40B4-BE49-F238E27FC236}">
                <a16:creationId xmlns:a16="http://schemas.microsoft.com/office/drawing/2014/main" id="{1BE34B34-4F79-438A-80E8-9F0D8DCB1E5D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14" name="$E$290">
            <a:extLst>
              <a:ext uri="{FF2B5EF4-FFF2-40B4-BE49-F238E27FC236}">
                <a16:creationId xmlns:a16="http://schemas.microsoft.com/office/drawing/2014/main" id="{DA50A756-6CC5-4067-9313-172386C57EE9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15" name="$E$290">
            <a:extLst>
              <a:ext uri="{FF2B5EF4-FFF2-40B4-BE49-F238E27FC236}">
                <a16:creationId xmlns:a16="http://schemas.microsoft.com/office/drawing/2014/main" id="{AC1FB9C4-6ED7-4D68-A0D6-FD5737A185AC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16" name="$E$290">
            <a:extLst>
              <a:ext uri="{FF2B5EF4-FFF2-40B4-BE49-F238E27FC236}">
                <a16:creationId xmlns:a16="http://schemas.microsoft.com/office/drawing/2014/main" id="{D4D4898B-833D-42D4-9963-8909254CEBA9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17" name="$E$290">
            <a:extLst>
              <a:ext uri="{FF2B5EF4-FFF2-40B4-BE49-F238E27FC236}">
                <a16:creationId xmlns:a16="http://schemas.microsoft.com/office/drawing/2014/main" id="{CF98580A-E24F-4C49-912D-5A89F0EF083A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18" name="$E$290">
            <a:extLst>
              <a:ext uri="{FF2B5EF4-FFF2-40B4-BE49-F238E27FC236}">
                <a16:creationId xmlns:a16="http://schemas.microsoft.com/office/drawing/2014/main" id="{E99F125A-9A80-4513-9AB8-5B9B25BE3B8E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19" name="$E$290">
            <a:extLst>
              <a:ext uri="{FF2B5EF4-FFF2-40B4-BE49-F238E27FC236}">
                <a16:creationId xmlns:a16="http://schemas.microsoft.com/office/drawing/2014/main" id="{9213107E-5F6C-472F-A360-B2BCB608F59E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20" name="$E$290">
            <a:extLst>
              <a:ext uri="{FF2B5EF4-FFF2-40B4-BE49-F238E27FC236}">
                <a16:creationId xmlns:a16="http://schemas.microsoft.com/office/drawing/2014/main" id="{776EB51E-2606-48A2-9E87-EA5000469AE4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21" name="$E$290">
            <a:extLst>
              <a:ext uri="{FF2B5EF4-FFF2-40B4-BE49-F238E27FC236}">
                <a16:creationId xmlns:a16="http://schemas.microsoft.com/office/drawing/2014/main" id="{BE5BEF75-BDBC-4B6A-A904-E9181F683ABE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22" name="$E$290">
            <a:extLst>
              <a:ext uri="{FF2B5EF4-FFF2-40B4-BE49-F238E27FC236}">
                <a16:creationId xmlns:a16="http://schemas.microsoft.com/office/drawing/2014/main" id="{1291B5AF-E4F8-4376-AD43-66694EA8AE98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23" name="$E$290">
            <a:extLst>
              <a:ext uri="{FF2B5EF4-FFF2-40B4-BE49-F238E27FC236}">
                <a16:creationId xmlns:a16="http://schemas.microsoft.com/office/drawing/2014/main" id="{6E61A15C-3562-40C8-BFBD-4133A3373F1E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24" name="$E$290">
            <a:extLst>
              <a:ext uri="{FF2B5EF4-FFF2-40B4-BE49-F238E27FC236}">
                <a16:creationId xmlns:a16="http://schemas.microsoft.com/office/drawing/2014/main" id="{5FD14530-10B2-42A7-AD8D-471259B789EE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25" name="$E$290">
            <a:extLst>
              <a:ext uri="{FF2B5EF4-FFF2-40B4-BE49-F238E27FC236}">
                <a16:creationId xmlns:a16="http://schemas.microsoft.com/office/drawing/2014/main" id="{A0F48A10-FA16-41FD-8EE3-148B1286159E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26" name="$E$290">
            <a:extLst>
              <a:ext uri="{FF2B5EF4-FFF2-40B4-BE49-F238E27FC236}">
                <a16:creationId xmlns:a16="http://schemas.microsoft.com/office/drawing/2014/main" id="{B8797A6A-1521-44C5-8063-61A12B4D56B2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27" name="$E$290">
            <a:extLst>
              <a:ext uri="{FF2B5EF4-FFF2-40B4-BE49-F238E27FC236}">
                <a16:creationId xmlns:a16="http://schemas.microsoft.com/office/drawing/2014/main" id="{D3B94B84-10F1-472F-B06B-A1F12871FB00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28" name="$E$290">
            <a:extLst>
              <a:ext uri="{FF2B5EF4-FFF2-40B4-BE49-F238E27FC236}">
                <a16:creationId xmlns:a16="http://schemas.microsoft.com/office/drawing/2014/main" id="{2369FA9D-1534-4B53-B779-A87444EA0405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29" name="$E$290">
            <a:extLst>
              <a:ext uri="{FF2B5EF4-FFF2-40B4-BE49-F238E27FC236}">
                <a16:creationId xmlns:a16="http://schemas.microsoft.com/office/drawing/2014/main" id="{CAE5DB6D-8152-479A-8AED-6117A55E5721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30" name="$E$290">
            <a:extLst>
              <a:ext uri="{FF2B5EF4-FFF2-40B4-BE49-F238E27FC236}">
                <a16:creationId xmlns:a16="http://schemas.microsoft.com/office/drawing/2014/main" id="{DABB94DE-1C37-4607-AEF9-AA41EE3D71E8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31" name="$E$290">
            <a:extLst>
              <a:ext uri="{FF2B5EF4-FFF2-40B4-BE49-F238E27FC236}">
                <a16:creationId xmlns:a16="http://schemas.microsoft.com/office/drawing/2014/main" id="{AB630399-99D6-4BED-992A-D6297B807B7A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32" name="$E$290">
            <a:extLst>
              <a:ext uri="{FF2B5EF4-FFF2-40B4-BE49-F238E27FC236}">
                <a16:creationId xmlns:a16="http://schemas.microsoft.com/office/drawing/2014/main" id="{9D1DC686-9953-46FD-AF6F-3B6FE9BD6BBD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33" name="$E$290">
            <a:extLst>
              <a:ext uri="{FF2B5EF4-FFF2-40B4-BE49-F238E27FC236}">
                <a16:creationId xmlns:a16="http://schemas.microsoft.com/office/drawing/2014/main" id="{D8C736F4-26C9-4526-B633-D05F173900FF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34" name="$E$290">
            <a:extLst>
              <a:ext uri="{FF2B5EF4-FFF2-40B4-BE49-F238E27FC236}">
                <a16:creationId xmlns:a16="http://schemas.microsoft.com/office/drawing/2014/main" id="{66DE286F-21EC-421B-8448-8BFC7A5E5814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35" name="$E$290">
            <a:extLst>
              <a:ext uri="{FF2B5EF4-FFF2-40B4-BE49-F238E27FC236}">
                <a16:creationId xmlns:a16="http://schemas.microsoft.com/office/drawing/2014/main" id="{D5FB7273-991A-4411-AB0C-B9FDC6F698B5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36" name="$E$290">
            <a:extLst>
              <a:ext uri="{FF2B5EF4-FFF2-40B4-BE49-F238E27FC236}">
                <a16:creationId xmlns:a16="http://schemas.microsoft.com/office/drawing/2014/main" id="{62705E40-0706-48B5-83D8-961A6D1C22F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37" name="$E$290">
            <a:extLst>
              <a:ext uri="{FF2B5EF4-FFF2-40B4-BE49-F238E27FC236}">
                <a16:creationId xmlns:a16="http://schemas.microsoft.com/office/drawing/2014/main" id="{1F4BCB75-343E-4285-9037-4B77E5EF70DF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38" name="$E$290">
            <a:extLst>
              <a:ext uri="{FF2B5EF4-FFF2-40B4-BE49-F238E27FC236}">
                <a16:creationId xmlns:a16="http://schemas.microsoft.com/office/drawing/2014/main" id="{6490C0FD-20B0-4BB2-980B-FE18BB727B11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39" name="$E$290">
            <a:extLst>
              <a:ext uri="{FF2B5EF4-FFF2-40B4-BE49-F238E27FC236}">
                <a16:creationId xmlns:a16="http://schemas.microsoft.com/office/drawing/2014/main" id="{2BEC8248-86A6-4717-ABBF-F4F87C63228A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40" name="$E$290">
            <a:extLst>
              <a:ext uri="{FF2B5EF4-FFF2-40B4-BE49-F238E27FC236}">
                <a16:creationId xmlns:a16="http://schemas.microsoft.com/office/drawing/2014/main" id="{C4FD5BA0-5EAC-4C87-90B6-AB61162532FD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41" name="$E$290">
            <a:extLst>
              <a:ext uri="{FF2B5EF4-FFF2-40B4-BE49-F238E27FC236}">
                <a16:creationId xmlns:a16="http://schemas.microsoft.com/office/drawing/2014/main" id="{FD26C57E-EC50-431F-A0B0-DB9F4D2F90B5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42" name="$E$290">
            <a:extLst>
              <a:ext uri="{FF2B5EF4-FFF2-40B4-BE49-F238E27FC236}">
                <a16:creationId xmlns:a16="http://schemas.microsoft.com/office/drawing/2014/main" id="{172B18D8-2BB0-4DA4-9E74-7510F6722DF6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43" name="$E$290">
            <a:extLst>
              <a:ext uri="{FF2B5EF4-FFF2-40B4-BE49-F238E27FC236}">
                <a16:creationId xmlns:a16="http://schemas.microsoft.com/office/drawing/2014/main" id="{869C4E6A-77F3-4D2E-AFC5-0422A82E80CA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44" name="$E$290">
            <a:extLst>
              <a:ext uri="{FF2B5EF4-FFF2-40B4-BE49-F238E27FC236}">
                <a16:creationId xmlns:a16="http://schemas.microsoft.com/office/drawing/2014/main" id="{23D19B1D-C862-4F30-A37D-8EC2A04528A9}"/>
              </a:ext>
            </a:extLst>
          </xdr:cNvPr>
          <xdr:cNvSpPr/>
        </xdr:nvSpPr>
        <xdr:spPr>
          <a:xfrm>
            <a:off x="203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45" name="$E$290">
            <a:extLst>
              <a:ext uri="{FF2B5EF4-FFF2-40B4-BE49-F238E27FC236}">
                <a16:creationId xmlns:a16="http://schemas.microsoft.com/office/drawing/2014/main" id="{D401F428-BC2F-4B9E-87FB-8AE64D76D32C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46" name="$E$290">
            <a:extLst>
              <a:ext uri="{FF2B5EF4-FFF2-40B4-BE49-F238E27FC236}">
                <a16:creationId xmlns:a16="http://schemas.microsoft.com/office/drawing/2014/main" id="{2BC4DC43-43C5-4F1B-AF39-CF3D6E1ED6BE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47" name="$E$290">
            <a:extLst>
              <a:ext uri="{FF2B5EF4-FFF2-40B4-BE49-F238E27FC236}">
                <a16:creationId xmlns:a16="http://schemas.microsoft.com/office/drawing/2014/main" id="{12E564E5-FDEA-4053-800B-BD3F5A35F2AF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48" name="$E$290">
            <a:extLst>
              <a:ext uri="{FF2B5EF4-FFF2-40B4-BE49-F238E27FC236}">
                <a16:creationId xmlns:a16="http://schemas.microsoft.com/office/drawing/2014/main" id="{594084D5-F485-4632-A356-BE46144B198B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49" name="$E$290">
            <a:extLst>
              <a:ext uri="{FF2B5EF4-FFF2-40B4-BE49-F238E27FC236}">
                <a16:creationId xmlns:a16="http://schemas.microsoft.com/office/drawing/2014/main" id="{D59781C4-9C85-43AB-8185-9A8FC3F702A6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50" name="$E$290">
            <a:extLst>
              <a:ext uri="{FF2B5EF4-FFF2-40B4-BE49-F238E27FC236}">
                <a16:creationId xmlns:a16="http://schemas.microsoft.com/office/drawing/2014/main" id="{57B47D1E-E336-4ED4-A9E5-854684C62A0D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51" name="$E$290">
            <a:extLst>
              <a:ext uri="{FF2B5EF4-FFF2-40B4-BE49-F238E27FC236}">
                <a16:creationId xmlns:a16="http://schemas.microsoft.com/office/drawing/2014/main" id="{CDA3548B-7371-4B40-92D8-AA6DA2625B6A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52" name="$E$290">
            <a:extLst>
              <a:ext uri="{FF2B5EF4-FFF2-40B4-BE49-F238E27FC236}">
                <a16:creationId xmlns:a16="http://schemas.microsoft.com/office/drawing/2014/main" id="{E6A31968-35E8-4481-A0EA-155614D535C0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53" name="$E$290">
            <a:extLst>
              <a:ext uri="{FF2B5EF4-FFF2-40B4-BE49-F238E27FC236}">
                <a16:creationId xmlns:a16="http://schemas.microsoft.com/office/drawing/2014/main" id="{09511B02-6C13-4C0F-8FB8-1A87FBA6F368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54" name="$E$290">
            <a:extLst>
              <a:ext uri="{FF2B5EF4-FFF2-40B4-BE49-F238E27FC236}">
                <a16:creationId xmlns:a16="http://schemas.microsoft.com/office/drawing/2014/main" id="{860B90D3-9123-4B14-BD65-D8D805D0922E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55" name="$E$290">
            <a:extLst>
              <a:ext uri="{FF2B5EF4-FFF2-40B4-BE49-F238E27FC236}">
                <a16:creationId xmlns:a16="http://schemas.microsoft.com/office/drawing/2014/main" id="{BF71691F-42A3-41B2-9FD3-392EF94B2C90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56" name="$E$290">
            <a:extLst>
              <a:ext uri="{FF2B5EF4-FFF2-40B4-BE49-F238E27FC236}">
                <a16:creationId xmlns:a16="http://schemas.microsoft.com/office/drawing/2014/main" id="{A9644F0E-9FC3-47E5-9B17-E2917F3A6363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57" name="$E$290">
            <a:extLst>
              <a:ext uri="{FF2B5EF4-FFF2-40B4-BE49-F238E27FC236}">
                <a16:creationId xmlns:a16="http://schemas.microsoft.com/office/drawing/2014/main" id="{E1949A20-6805-4E8D-98A0-B003AB1CDE0C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58" name="$E$290">
            <a:extLst>
              <a:ext uri="{FF2B5EF4-FFF2-40B4-BE49-F238E27FC236}">
                <a16:creationId xmlns:a16="http://schemas.microsoft.com/office/drawing/2014/main" id="{B8D777F6-7C62-4D48-9190-981A70699296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59" name="$E$290">
            <a:extLst>
              <a:ext uri="{FF2B5EF4-FFF2-40B4-BE49-F238E27FC236}">
                <a16:creationId xmlns:a16="http://schemas.microsoft.com/office/drawing/2014/main" id="{C4DEE559-8DCA-4637-B314-84F5C75CCD8C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60" name="$E$290">
            <a:extLst>
              <a:ext uri="{FF2B5EF4-FFF2-40B4-BE49-F238E27FC236}">
                <a16:creationId xmlns:a16="http://schemas.microsoft.com/office/drawing/2014/main" id="{BDA03944-48AF-411C-A115-304CE256B598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61" name="$E$290">
            <a:extLst>
              <a:ext uri="{FF2B5EF4-FFF2-40B4-BE49-F238E27FC236}">
                <a16:creationId xmlns:a16="http://schemas.microsoft.com/office/drawing/2014/main" id="{24237670-0D7E-46FE-A7EA-7BC4E5F912D9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62" name="$E$290">
            <a:extLst>
              <a:ext uri="{FF2B5EF4-FFF2-40B4-BE49-F238E27FC236}">
                <a16:creationId xmlns:a16="http://schemas.microsoft.com/office/drawing/2014/main" id="{B706BE5C-494A-48B0-B38E-3551AA6063DA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63" name="$E$290">
            <a:extLst>
              <a:ext uri="{FF2B5EF4-FFF2-40B4-BE49-F238E27FC236}">
                <a16:creationId xmlns:a16="http://schemas.microsoft.com/office/drawing/2014/main" id="{3DDB5FB8-3319-4883-9473-5837E584458B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64" name="$E$290">
            <a:extLst>
              <a:ext uri="{FF2B5EF4-FFF2-40B4-BE49-F238E27FC236}">
                <a16:creationId xmlns:a16="http://schemas.microsoft.com/office/drawing/2014/main" id="{1BDFACF0-90AD-477C-9C34-168595D4BC53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65" name="$E$290">
            <a:extLst>
              <a:ext uri="{FF2B5EF4-FFF2-40B4-BE49-F238E27FC236}">
                <a16:creationId xmlns:a16="http://schemas.microsoft.com/office/drawing/2014/main" id="{6B8B36B9-4DDC-4AC6-A7F6-B330B2D149B4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66" name="$E$290">
            <a:extLst>
              <a:ext uri="{FF2B5EF4-FFF2-40B4-BE49-F238E27FC236}">
                <a16:creationId xmlns:a16="http://schemas.microsoft.com/office/drawing/2014/main" id="{57FD1774-AA79-438F-B7AE-99DD5BA0E8C5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67" name="$E$290">
            <a:extLst>
              <a:ext uri="{FF2B5EF4-FFF2-40B4-BE49-F238E27FC236}">
                <a16:creationId xmlns:a16="http://schemas.microsoft.com/office/drawing/2014/main" id="{A3D234CB-EDF1-4C9E-811D-C5092641A9F9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68" name="$E$290">
            <a:extLst>
              <a:ext uri="{FF2B5EF4-FFF2-40B4-BE49-F238E27FC236}">
                <a16:creationId xmlns:a16="http://schemas.microsoft.com/office/drawing/2014/main" id="{4D1798E7-2D56-47DB-A11A-598DC4A33FEB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69" name="$E$290">
            <a:extLst>
              <a:ext uri="{FF2B5EF4-FFF2-40B4-BE49-F238E27FC236}">
                <a16:creationId xmlns:a16="http://schemas.microsoft.com/office/drawing/2014/main" id="{EB0E1AF5-3AC2-4542-87B3-D89B8F8F1903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70" name="$E$290">
            <a:extLst>
              <a:ext uri="{FF2B5EF4-FFF2-40B4-BE49-F238E27FC236}">
                <a16:creationId xmlns:a16="http://schemas.microsoft.com/office/drawing/2014/main" id="{5DD5EF8B-CBCC-42CC-867D-A2F92637E662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71" name="$E$290">
            <a:extLst>
              <a:ext uri="{FF2B5EF4-FFF2-40B4-BE49-F238E27FC236}">
                <a16:creationId xmlns:a16="http://schemas.microsoft.com/office/drawing/2014/main" id="{EBCD8C81-E9AA-4FA9-989B-57E95D8C8DE3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72" name="$E$290">
            <a:extLst>
              <a:ext uri="{FF2B5EF4-FFF2-40B4-BE49-F238E27FC236}">
                <a16:creationId xmlns:a16="http://schemas.microsoft.com/office/drawing/2014/main" id="{7AB52118-D54E-4AFA-A425-E71D9EA2A11B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73" name="$E$290">
            <a:extLst>
              <a:ext uri="{FF2B5EF4-FFF2-40B4-BE49-F238E27FC236}">
                <a16:creationId xmlns:a16="http://schemas.microsoft.com/office/drawing/2014/main" id="{A94DF66A-815D-4DD0-8651-B51869C539EF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74" name="$E$290">
            <a:extLst>
              <a:ext uri="{FF2B5EF4-FFF2-40B4-BE49-F238E27FC236}">
                <a16:creationId xmlns:a16="http://schemas.microsoft.com/office/drawing/2014/main" id="{7A90A48C-EFDE-4C63-996F-8AE92D2FFCAC}"/>
              </a:ext>
            </a:extLst>
          </xdr:cNvPr>
          <xdr:cNvSpPr/>
        </xdr:nvSpPr>
        <xdr:spPr>
          <a:xfrm>
            <a:off x="127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75" name="$E$290">
            <a:extLst>
              <a:ext uri="{FF2B5EF4-FFF2-40B4-BE49-F238E27FC236}">
                <a16:creationId xmlns:a16="http://schemas.microsoft.com/office/drawing/2014/main" id="{DB80758C-305A-442D-8E7B-DB54334853E0}"/>
              </a:ext>
            </a:extLst>
          </xdr:cNvPr>
          <xdr:cNvSpPr/>
        </xdr:nvSpPr>
        <xdr:spPr>
          <a:xfrm>
            <a:off x="139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76" name="$E$290">
            <a:extLst>
              <a:ext uri="{FF2B5EF4-FFF2-40B4-BE49-F238E27FC236}">
                <a16:creationId xmlns:a16="http://schemas.microsoft.com/office/drawing/2014/main" id="{8943E04C-AEE0-459B-BB8A-B46B88529220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77" name="$E$290">
            <a:extLst>
              <a:ext uri="{FF2B5EF4-FFF2-40B4-BE49-F238E27FC236}">
                <a16:creationId xmlns:a16="http://schemas.microsoft.com/office/drawing/2014/main" id="{30EDC5AF-882F-4A97-A784-2764B1894DEE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78" name="$E$290">
            <a:extLst>
              <a:ext uri="{FF2B5EF4-FFF2-40B4-BE49-F238E27FC236}">
                <a16:creationId xmlns:a16="http://schemas.microsoft.com/office/drawing/2014/main" id="{D9DD5E23-264F-4A9B-B937-C1D3B1C4AE55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79" name="$E$290">
            <a:extLst>
              <a:ext uri="{FF2B5EF4-FFF2-40B4-BE49-F238E27FC236}">
                <a16:creationId xmlns:a16="http://schemas.microsoft.com/office/drawing/2014/main" id="{45B6A916-2487-46C0-81EF-5B324FA0FF0A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80" name="$E$290">
            <a:extLst>
              <a:ext uri="{FF2B5EF4-FFF2-40B4-BE49-F238E27FC236}">
                <a16:creationId xmlns:a16="http://schemas.microsoft.com/office/drawing/2014/main" id="{E3FF4DA4-99F2-47CF-B3C7-C93EAEFD655F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81" name="$E$290">
            <a:extLst>
              <a:ext uri="{FF2B5EF4-FFF2-40B4-BE49-F238E27FC236}">
                <a16:creationId xmlns:a16="http://schemas.microsoft.com/office/drawing/2014/main" id="{EC009915-46FF-4B8D-84C3-F6DDB60D275E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82" name="$E$290">
            <a:extLst>
              <a:ext uri="{FF2B5EF4-FFF2-40B4-BE49-F238E27FC236}">
                <a16:creationId xmlns:a16="http://schemas.microsoft.com/office/drawing/2014/main" id="{E8BC4684-9B33-4CF9-A4AD-E5A68CD44316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83" name="$E$290">
            <a:extLst>
              <a:ext uri="{FF2B5EF4-FFF2-40B4-BE49-F238E27FC236}">
                <a16:creationId xmlns:a16="http://schemas.microsoft.com/office/drawing/2014/main" id="{96DE13CC-AFB1-486F-A4BD-3906EB9B612F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84" name="$E$290">
            <a:extLst>
              <a:ext uri="{FF2B5EF4-FFF2-40B4-BE49-F238E27FC236}">
                <a16:creationId xmlns:a16="http://schemas.microsoft.com/office/drawing/2014/main" id="{358988D9-CA71-415D-A4DD-93EB7D762113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85" name="$E$290">
            <a:extLst>
              <a:ext uri="{FF2B5EF4-FFF2-40B4-BE49-F238E27FC236}">
                <a16:creationId xmlns:a16="http://schemas.microsoft.com/office/drawing/2014/main" id="{E81B17C8-4777-472F-8AFE-1934D1E6E539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86" name="$E$290">
            <a:extLst>
              <a:ext uri="{FF2B5EF4-FFF2-40B4-BE49-F238E27FC236}">
                <a16:creationId xmlns:a16="http://schemas.microsoft.com/office/drawing/2014/main" id="{1016A515-1486-4C6E-9518-FB76D0A25667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87" name="$E$290">
            <a:extLst>
              <a:ext uri="{FF2B5EF4-FFF2-40B4-BE49-F238E27FC236}">
                <a16:creationId xmlns:a16="http://schemas.microsoft.com/office/drawing/2014/main" id="{F1AE9D6D-A078-4713-9882-7F25C677D070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88" name="$E$290">
            <a:extLst>
              <a:ext uri="{FF2B5EF4-FFF2-40B4-BE49-F238E27FC236}">
                <a16:creationId xmlns:a16="http://schemas.microsoft.com/office/drawing/2014/main" id="{08624A81-59E8-4119-B98F-8AD675D4F852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89" name="$E$290">
            <a:extLst>
              <a:ext uri="{FF2B5EF4-FFF2-40B4-BE49-F238E27FC236}">
                <a16:creationId xmlns:a16="http://schemas.microsoft.com/office/drawing/2014/main" id="{8215D35D-F094-40A3-82FF-270433670981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90" name="$E$290">
            <a:extLst>
              <a:ext uri="{FF2B5EF4-FFF2-40B4-BE49-F238E27FC236}">
                <a16:creationId xmlns:a16="http://schemas.microsoft.com/office/drawing/2014/main" id="{41A7E58E-A313-4B0E-A607-D57424E5B7B8}"/>
              </a:ext>
            </a:extLst>
          </xdr:cNvPr>
          <xdr:cNvSpPr/>
        </xdr:nvSpPr>
        <xdr:spPr>
          <a:xfrm>
            <a:off x="114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91" name="$E$290">
            <a:extLst>
              <a:ext uri="{FF2B5EF4-FFF2-40B4-BE49-F238E27FC236}">
                <a16:creationId xmlns:a16="http://schemas.microsoft.com/office/drawing/2014/main" id="{F182F28B-94AD-4B57-890D-36C707F4F0AC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92" name="$E$290">
            <a:extLst>
              <a:ext uri="{FF2B5EF4-FFF2-40B4-BE49-F238E27FC236}">
                <a16:creationId xmlns:a16="http://schemas.microsoft.com/office/drawing/2014/main" id="{F691E3B9-C489-4744-A549-5FF303104B63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93" name="$E$290">
            <a:extLst>
              <a:ext uri="{FF2B5EF4-FFF2-40B4-BE49-F238E27FC236}">
                <a16:creationId xmlns:a16="http://schemas.microsoft.com/office/drawing/2014/main" id="{558726D7-ADE0-4E9B-8B04-FE4E22A33600}"/>
              </a:ext>
            </a:extLst>
          </xdr:cNvPr>
          <xdr:cNvSpPr/>
        </xdr:nvSpPr>
        <xdr:spPr>
          <a:xfrm>
            <a:off x="190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94" name="$E$290">
            <a:extLst>
              <a:ext uri="{FF2B5EF4-FFF2-40B4-BE49-F238E27FC236}">
                <a16:creationId xmlns:a16="http://schemas.microsoft.com/office/drawing/2014/main" id="{174D5DF9-538C-4DF2-8523-800151A5E51B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95" name="$E$290">
            <a:extLst>
              <a:ext uri="{FF2B5EF4-FFF2-40B4-BE49-F238E27FC236}">
                <a16:creationId xmlns:a16="http://schemas.microsoft.com/office/drawing/2014/main" id="{F1FCCB39-E0AE-435F-B5A8-68786D3C2EA0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96" name="$E$290">
            <a:extLst>
              <a:ext uri="{FF2B5EF4-FFF2-40B4-BE49-F238E27FC236}">
                <a16:creationId xmlns:a16="http://schemas.microsoft.com/office/drawing/2014/main" id="{AF6C1B9F-1812-46FF-8DEC-E2EC9B4FC67A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97" name="$E$290">
            <a:extLst>
              <a:ext uri="{FF2B5EF4-FFF2-40B4-BE49-F238E27FC236}">
                <a16:creationId xmlns:a16="http://schemas.microsoft.com/office/drawing/2014/main" id="{10E60596-3B30-4D06-A3A7-0D7FCA45E840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98" name="$E$290">
            <a:extLst>
              <a:ext uri="{FF2B5EF4-FFF2-40B4-BE49-F238E27FC236}">
                <a16:creationId xmlns:a16="http://schemas.microsoft.com/office/drawing/2014/main" id="{9C76FB96-1772-4507-8883-E71DD869515A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799" name="$E$290">
            <a:extLst>
              <a:ext uri="{FF2B5EF4-FFF2-40B4-BE49-F238E27FC236}">
                <a16:creationId xmlns:a16="http://schemas.microsoft.com/office/drawing/2014/main" id="{1ABE9BAE-0B54-4B4B-9826-096A4A98A2E6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00" name="$E$290">
            <a:extLst>
              <a:ext uri="{FF2B5EF4-FFF2-40B4-BE49-F238E27FC236}">
                <a16:creationId xmlns:a16="http://schemas.microsoft.com/office/drawing/2014/main" id="{FF4C2123-468E-462C-B5C7-ED013B8A7196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01" name="$E$290">
            <a:extLst>
              <a:ext uri="{FF2B5EF4-FFF2-40B4-BE49-F238E27FC236}">
                <a16:creationId xmlns:a16="http://schemas.microsoft.com/office/drawing/2014/main" id="{F60B855C-430C-47BD-B931-13FE6E43318F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02" name="$E$290">
            <a:extLst>
              <a:ext uri="{FF2B5EF4-FFF2-40B4-BE49-F238E27FC236}">
                <a16:creationId xmlns:a16="http://schemas.microsoft.com/office/drawing/2014/main" id="{7F587CAB-7981-4143-91BC-FC30BB50CE87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03" name="$E$290">
            <a:extLst>
              <a:ext uri="{FF2B5EF4-FFF2-40B4-BE49-F238E27FC236}">
                <a16:creationId xmlns:a16="http://schemas.microsoft.com/office/drawing/2014/main" id="{6BCA180F-DC17-4895-8F45-E19841414967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04" name="$E$290">
            <a:extLst>
              <a:ext uri="{FF2B5EF4-FFF2-40B4-BE49-F238E27FC236}">
                <a16:creationId xmlns:a16="http://schemas.microsoft.com/office/drawing/2014/main" id="{B741AE35-C348-490D-9B59-6076BDC174F4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05" name="$E$290">
            <a:extLst>
              <a:ext uri="{FF2B5EF4-FFF2-40B4-BE49-F238E27FC236}">
                <a16:creationId xmlns:a16="http://schemas.microsoft.com/office/drawing/2014/main" id="{F89114F3-556E-442B-81CC-AD6E912917EA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06" name="$E$290">
            <a:extLst>
              <a:ext uri="{FF2B5EF4-FFF2-40B4-BE49-F238E27FC236}">
                <a16:creationId xmlns:a16="http://schemas.microsoft.com/office/drawing/2014/main" id="{AAAE767C-2E68-494D-8923-BAABEDA2EFF7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07" name="$E$290">
            <a:extLst>
              <a:ext uri="{FF2B5EF4-FFF2-40B4-BE49-F238E27FC236}">
                <a16:creationId xmlns:a16="http://schemas.microsoft.com/office/drawing/2014/main" id="{96975F3C-5E5A-4651-8608-BC38788109F1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08" name="$E$290">
            <a:extLst>
              <a:ext uri="{FF2B5EF4-FFF2-40B4-BE49-F238E27FC236}">
                <a16:creationId xmlns:a16="http://schemas.microsoft.com/office/drawing/2014/main" id="{04087864-B0A8-42A8-8CE4-0CBE46343CD4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09" name="$E$290">
            <a:extLst>
              <a:ext uri="{FF2B5EF4-FFF2-40B4-BE49-F238E27FC236}">
                <a16:creationId xmlns:a16="http://schemas.microsoft.com/office/drawing/2014/main" id="{26C420E5-69E3-41CD-A3DA-82AD8FF9DB7A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10" name="$E$290">
            <a:extLst>
              <a:ext uri="{FF2B5EF4-FFF2-40B4-BE49-F238E27FC236}">
                <a16:creationId xmlns:a16="http://schemas.microsoft.com/office/drawing/2014/main" id="{144C865E-5C2F-47C2-A4DF-DB3BCF183D92}"/>
              </a:ext>
            </a:extLst>
          </xdr:cNvPr>
          <xdr:cNvSpPr/>
        </xdr:nvSpPr>
        <xdr:spPr>
          <a:xfrm>
            <a:off x="152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11" name="$E$290">
            <a:extLst>
              <a:ext uri="{FF2B5EF4-FFF2-40B4-BE49-F238E27FC236}">
                <a16:creationId xmlns:a16="http://schemas.microsoft.com/office/drawing/2014/main" id="{5B415000-E767-48B8-A5C6-9EE6634526E4}"/>
              </a:ext>
            </a:extLst>
          </xdr:cNvPr>
          <xdr:cNvSpPr/>
        </xdr:nvSpPr>
        <xdr:spPr>
          <a:xfrm>
            <a:off x="203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12" name="$E$290">
            <a:extLst>
              <a:ext uri="{FF2B5EF4-FFF2-40B4-BE49-F238E27FC236}">
                <a16:creationId xmlns:a16="http://schemas.microsoft.com/office/drawing/2014/main" id="{5CC0C5E5-40E4-44C7-BAAA-D8BD4599ADAF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13" name="$E$290">
            <a:extLst>
              <a:ext uri="{FF2B5EF4-FFF2-40B4-BE49-F238E27FC236}">
                <a16:creationId xmlns:a16="http://schemas.microsoft.com/office/drawing/2014/main" id="{8334AE49-27C6-42AA-A86D-F5045FF3695A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14" name="$E$290">
            <a:extLst>
              <a:ext uri="{FF2B5EF4-FFF2-40B4-BE49-F238E27FC236}">
                <a16:creationId xmlns:a16="http://schemas.microsoft.com/office/drawing/2014/main" id="{5BBA9410-88F8-421B-9E2A-5B5C8284F5C4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15" name="$E$290">
            <a:extLst>
              <a:ext uri="{FF2B5EF4-FFF2-40B4-BE49-F238E27FC236}">
                <a16:creationId xmlns:a16="http://schemas.microsoft.com/office/drawing/2014/main" id="{ED900F94-1C4F-4BD8-9E87-932E4B695B72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16" name="$E$290">
            <a:extLst>
              <a:ext uri="{FF2B5EF4-FFF2-40B4-BE49-F238E27FC236}">
                <a16:creationId xmlns:a16="http://schemas.microsoft.com/office/drawing/2014/main" id="{4236B6D1-5266-4A7E-A32E-62947F7A7F57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17" name="$E$290">
            <a:extLst>
              <a:ext uri="{FF2B5EF4-FFF2-40B4-BE49-F238E27FC236}">
                <a16:creationId xmlns:a16="http://schemas.microsoft.com/office/drawing/2014/main" id="{6662F610-95BE-4F91-BB0E-8963DC3BE5E8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18" name="$E$290">
            <a:extLst>
              <a:ext uri="{FF2B5EF4-FFF2-40B4-BE49-F238E27FC236}">
                <a16:creationId xmlns:a16="http://schemas.microsoft.com/office/drawing/2014/main" id="{F61DB4B6-6F71-4A46-8C7E-06D953901380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93703</xdr:colOff>
      <xdr:row>288</xdr:row>
      <xdr:rowOff>41325</xdr:rowOff>
    </xdr:from>
    <xdr:to>
      <xdr:col>4</xdr:col>
      <xdr:colOff>1563647</xdr:colOff>
      <xdr:row>288</xdr:row>
      <xdr:rowOff>1511269</xdr:rowOff>
    </xdr:to>
    <xdr:grpSp>
      <xdr:nvGrpSpPr>
        <xdr:cNvPr id="15429" name="$E$289" descr="QuickResponse barcode, level M, version 5, mode binary, 37x37 cells" title="https://centrodecapacitaciondelsur.com/victimas-por-agentes-quimicos-1088734431/">
          <a:extLst>
            <a:ext uri="{FF2B5EF4-FFF2-40B4-BE49-F238E27FC236}">
              <a16:creationId xmlns:a16="http://schemas.microsoft.com/office/drawing/2014/main" id="{610BFD3F-0609-4346-AC7E-1623CC7E4BA2}"/>
            </a:ext>
          </a:extLst>
        </xdr:cNvPr>
        <xdr:cNvGrpSpPr>
          <a:grpSpLocks noChangeAspect="1"/>
        </xdr:cNvGrpSpPr>
      </xdr:nvGrpSpPr>
      <xdr:grpSpPr>
        <a:xfrm>
          <a:off x="20667703" y="396090825"/>
          <a:ext cx="1469944" cy="1469944"/>
          <a:chOff x="0" y="0"/>
          <a:chExt cx="469900" cy="469900"/>
        </a:xfrm>
      </xdr:grpSpPr>
      <xdr:sp macro="" textlink="">
        <xdr:nvSpPr>
          <xdr:cNvPr id="11704" name="$E$289">
            <a:extLst>
              <a:ext uri="{FF2B5EF4-FFF2-40B4-BE49-F238E27FC236}">
                <a16:creationId xmlns:a16="http://schemas.microsoft.com/office/drawing/2014/main" id="{D3D77AE4-4A4B-42CE-9AF4-0CFAA3F2D0DE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705" name="$E$289">
            <a:extLst>
              <a:ext uri="{FF2B5EF4-FFF2-40B4-BE49-F238E27FC236}">
                <a16:creationId xmlns:a16="http://schemas.microsoft.com/office/drawing/2014/main" id="{2299868E-E007-4372-B947-BDE8B932C8C6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706" name="$E$289">
            <a:extLst>
              <a:ext uri="{FF2B5EF4-FFF2-40B4-BE49-F238E27FC236}">
                <a16:creationId xmlns:a16="http://schemas.microsoft.com/office/drawing/2014/main" id="{B6BEB03D-DA68-445F-89C5-9999D52B2E63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707" name="$E$289">
            <a:extLst>
              <a:ext uri="{FF2B5EF4-FFF2-40B4-BE49-F238E27FC236}">
                <a16:creationId xmlns:a16="http://schemas.microsoft.com/office/drawing/2014/main" id="{929A1D53-E0FA-4272-95A2-C42520366236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708" name="$E$289">
            <a:extLst>
              <a:ext uri="{FF2B5EF4-FFF2-40B4-BE49-F238E27FC236}">
                <a16:creationId xmlns:a16="http://schemas.microsoft.com/office/drawing/2014/main" id="{A73C1D92-148D-4688-8A60-0DD641039C18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709" name="$E$289">
            <a:extLst>
              <a:ext uri="{FF2B5EF4-FFF2-40B4-BE49-F238E27FC236}">
                <a16:creationId xmlns:a16="http://schemas.microsoft.com/office/drawing/2014/main" id="{06C0B271-EFDE-4CBF-B93B-D805F4100071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710" name="$E$289">
            <a:extLst>
              <a:ext uri="{FF2B5EF4-FFF2-40B4-BE49-F238E27FC236}">
                <a16:creationId xmlns:a16="http://schemas.microsoft.com/office/drawing/2014/main" id="{22A5B76C-C15D-4E23-86E3-10297996FE4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1711" name="$E$289">
            <a:extLst>
              <a:ext uri="{FF2B5EF4-FFF2-40B4-BE49-F238E27FC236}">
                <a16:creationId xmlns:a16="http://schemas.microsoft.com/office/drawing/2014/main" id="{CC5333C1-2AFA-4170-B389-EC487B3BD0DB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032" name="$E$289">
            <a:extLst>
              <a:ext uri="{FF2B5EF4-FFF2-40B4-BE49-F238E27FC236}">
                <a16:creationId xmlns:a16="http://schemas.microsoft.com/office/drawing/2014/main" id="{E11E831A-DE1E-41B5-AC46-15544B2CAD17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2" name="$E$289">
            <a:extLst>
              <a:ext uri="{FF2B5EF4-FFF2-40B4-BE49-F238E27FC236}">
                <a16:creationId xmlns:a16="http://schemas.microsoft.com/office/drawing/2014/main" id="{420BF5D7-AD27-446A-A870-3F30E3BED8FA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3" name="$E$289">
            <a:extLst>
              <a:ext uri="{FF2B5EF4-FFF2-40B4-BE49-F238E27FC236}">
                <a16:creationId xmlns:a16="http://schemas.microsoft.com/office/drawing/2014/main" id="{3F258A1F-F947-4402-90EC-75098319E7CF}"/>
              </a:ext>
            </a:extLst>
          </xdr:cNvPr>
          <xdr:cNvSpPr/>
        </xdr:nvSpPr>
        <xdr:spPr>
          <a:xfrm>
            <a:off x="165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4" name="$E$289">
            <a:extLst>
              <a:ext uri="{FF2B5EF4-FFF2-40B4-BE49-F238E27FC236}">
                <a16:creationId xmlns:a16="http://schemas.microsoft.com/office/drawing/2014/main" id="{4AE84A41-9CF5-47ED-9F8A-D558C19EC32F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5" name="$E$289">
            <a:extLst>
              <a:ext uri="{FF2B5EF4-FFF2-40B4-BE49-F238E27FC236}">
                <a16:creationId xmlns:a16="http://schemas.microsoft.com/office/drawing/2014/main" id="{A3E409BA-9B53-4A6C-AB39-471B623B6F8B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6" name="$E$289">
            <a:extLst>
              <a:ext uri="{FF2B5EF4-FFF2-40B4-BE49-F238E27FC236}">
                <a16:creationId xmlns:a16="http://schemas.microsoft.com/office/drawing/2014/main" id="{B2236DEA-BBCD-4558-8567-7B2C0273EC4C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7" name="$E$289">
            <a:extLst>
              <a:ext uri="{FF2B5EF4-FFF2-40B4-BE49-F238E27FC236}">
                <a16:creationId xmlns:a16="http://schemas.microsoft.com/office/drawing/2014/main" id="{80024BEF-306C-4D86-B89A-90D33829DF29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8" name="$E$289">
            <a:extLst>
              <a:ext uri="{FF2B5EF4-FFF2-40B4-BE49-F238E27FC236}">
                <a16:creationId xmlns:a16="http://schemas.microsoft.com/office/drawing/2014/main" id="{FA9F2F73-0F0A-4ADC-B760-4BB6D42D494A}"/>
              </a:ext>
            </a:extLst>
          </xdr:cNvPr>
          <xdr:cNvSpPr/>
        </xdr:nvSpPr>
        <xdr:spPr>
          <a:xfrm>
            <a:off x="266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9" name="$E$289">
            <a:extLst>
              <a:ext uri="{FF2B5EF4-FFF2-40B4-BE49-F238E27FC236}">
                <a16:creationId xmlns:a16="http://schemas.microsoft.com/office/drawing/2014/main" id="{8D69954D-A80F-4426-AE0F-0DF6106E393A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0" name="$E$289">
            <a:extLst>
              <a:ext uri="{FF2B5EF4-FFF2-40B4-BE49-F238E27FC236}">
                <a16:creationId xmlns:a16="http://schemas.microsoft.com/office/drawing/2014/main" id="{0CF0F434-1021-4E25-93F2-85DC8CFCD2E8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1" name="$E$289">
            <a:extLst>
              <a:ext uri="{FF2B5EF4-FFF2-40B4-BE49-F238E27FC236}">
                <a16:creationId xmlns:a16="http://schemas.microsoft.com/office/drawing/2014/main" id="{C8A9989E-40EB-47A6-B976-92EC0E7A370D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2" name="$E$289">
            <a:extLst>
              <a:ext uri="{FF2B5EF4-FFF2-40B4-BE49-F238E27FC236}">
                <a16:creationId xmlns:a16="http://schemas.microsoft.com/office/drawing/2014/main" id="{5FDD49D5-7051-4592-94D8-9B9E659937AD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3" name="$E$289">
            <a:extLst>
              <a:ext uri="{FF2B5EF4-FFF2-40B4-BE49-F238E27FC236}">
                <a16:creationId xmlns:a16="http://schemas.microsoft.com/office/drawing/2014/main" id="{04743DBD-926E-4BDE-A13D-787FE6F3E2C8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4" name="$E$289">
            <a:extLst>
              <a:ext uri="{FF2B5EF4-FFF2-40B4-BE49-F238E27FC236}">
                <a16:creationId xmlns:a16="http://schemas.microsoft.com/office/drawing/2014/main" id="{76594410-83FF-49A8-93C3-298D61695947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5" name="$E$289">
            <a:extLst>
              <a:ext uri="{FF2B5EF4-FFF2-40B4-BE49-F238E27FC236}">
                <a16:creationId xmlns:a16="http://schemas.microsoft.com/office/drawing/2014/main" id="{5C4AB591-AD40-476B-BE29-35671F887D28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6" name="$E$289">
            <a:extLst>
              <a:ext uri="{FF2B5EF4-FFF2-40B4-BE49-F238E27FC236}">
                <a16:creationId xmlns:a16="http://schemas.microsoft.com/office/drawing/2014/main" id="{AD51AF56-2523-42EA-BC85-902990ECFEE9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7" name="$E$289">
            <a:extLst>
              <a:ext uri="{FF2B5EF4-FFF2-40B4-BE49-F238E27FC236}">
                <a16:creationId xmlns:a16="http://schemas.microsoft.com/office/drawing/2014/main" id="{E28B27BD-DC3C-4A94-B186-DAC91DD0CF21}"/>
              </a:ext>
            </a:extLst>
          </xdr:cNvPr>
          <xdr:cNvSpPr/>
        </xdr:nvSpPr>
        <xdr:spPr>
          <a:xfrm>
            <a:off x="431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8" name="$E$289">
            <a:extLst>
              <a:ext uri="{FF2B5EF4-FFF2-40B4-BE49-F238E27FC236}">
                <a16:creationId xmlns:a16="http://schemas.microsoft.com/office/drawing/2014/main" id="{8AAE16A6-220E-4796-AC58-CA252FF8A5AC}"/>
              </a:ext>
            </a:extLst>
          </xdr:cNvPr>
          <xdr:cNvSpPr/>
        </xdr:nvSpPr>
        <xdr:spPr>
          <a:xfrm>
            <a:off x="444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9" name="$E$289">
            <a:extLst>
              <a:ext uri="{FF2B5EF4-FFF2-40B4-BE49-F238E27FC236}">
                <a16:creationId xmlns:a16="http://schemas.microsoft.com/office/drawing/2014/main" id="{01D570E7-A03B-486F-8F36-0BC086978AED}"/>
              </a:ext>
            </a:extLst>
          </xdr:cNvPr>
          <xdr:cNvSpPr/>
        </xdr:nvSpPr>
        <xdr:spPr>
          <a:xfrm>
            <a:off x="457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0" name="$E$289">
            <a:extLst>
              <a:ext uri="{FF2B5EF4-FFF2-40B4-BE49-F238E27FC236}">
                <a16:creationId xmlns:a16="http://schemas.microsoft.com/office/drawing/2014/main" id="{5D72C8CF-32DE-4918-85CD-2144702A92FE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1" name="$E$289">
            <a:extLst>
              <a:ext uri="{FF2B5EF4-FFF2-40B4-BE49-F238E27FC236}">
                <a16:creationId xmlns:a16="http://schemas.microsoft.com/office/drawing/2014/main" id="{7B72B6C4-6622-4AAE-9FEE-714B0103B4F7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2" name="$E$289">
            <a:extLst>
              <a:ext uri="{FF2B5EF4-FFF2-40B4-BE49-F238E27FC236}">
                <a16:creationId xmlns:a16="http://schemas.microsoft.com/office/drawing/2014/main" id="{B75A3777-DE5A-4805-BAF8-08F79353597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3" name="$E$289">
            <a:extLst>
              <a:ext uri="{FF2B5EF4-FFF2-40B4-BE49-F238E27FC236}">
                <a16:creationId xmlns:a16="http://schemas.microsoft.com/office/drawing/2014/main" id="{94CDBD52-8EF6-4B48-B64F-8D9A4C6A6A3A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4" name="$E$289">
            <a:extLst>
              <a:ext uri="{FF2B5EF4-FFF2-40B4-BE49-F238E27FC236}">
                <a16:creationId xmlns:a16="http://schemas.microsoft.com/office/drawing/2014/main" id="{8014DEFC-AE70-48D9-B08D-926A91CC235A}"/>
              </a:ext>
            </a:extLst>
          </xdr:cNvPr>
          <xdr:cNvSpPr/>
        </xdr:nvSpPr>
        <xdr:spPr>
          <a:xfrm>
            <a:off x="165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5" name="$E$289">
            <a:extLst>
              <a:ext uri="{FF2B5EF4-FFF2-40B4-BE49-F238E27FC236}">
                <a16:creationId xmlns:a16="http://schemas.microsoft.com/office/drawing/2014/main" id="{DAEEAFF9-75DB-4D13-B5DA-142A8081A010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6" name="$E$289">
            <a:extLst>
              <a:ext uri="{FF2B5EF4-FFF2-40B4-BE49-F238E27FC236}">
                <a16:creationId xmlns:a16="http://schemas.microsoft.com/office/drawing/2014/main" id="{5A5B3C3F-E41A-4D7F-94D1-62DF5FAEB3F7}"/>
              </a:ext>
            </a:extLst>
          </xdr:cNvPr>
          <xdr:cNvSpPr/>
        </xdr:nvSpPr>
        <xdr:spPr>
          <a:xfrm>
            <a:off x="215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7" name="$E$289">
            <a:extLst>
              <a:ext uri="{FF2B5EF4-FFF2-40B4-BE49-F238E27FC236}">
                <a16:creationId xmlns:a16="http://schemas.microsoft.com/office/drawing/2014/main" id="{A7178C4F-E0AC-45AF-BC94-CEF00DECAAA4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8" name="$E$289">
            <a:extLst>
              <a:ext uri="{FF2B5EF4-FFF2-40B4-BE49-F238E27FC236}">
                <a16:creationId xmlns:a16="http://schemas.microsoft.com/office/drawing/2014/main" id="{51256365-0421-4493-AA11-2B82972F825A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9" name="$E$289">
            <a:extLst>
              <a:ext uri="{FF2B5EF4-FFF2-40B4-BE49-F238E27FC236}">
                <a16:creationId xmlns:a16="http://schemas.microsoft.com/office/drawing/2014/main" id="{BADF9878-CF9A-4E97-9B7D-D164ACC381B8}"/>
              </a:ext>
            </a:extLst>
          </xdr:cNvPr>
          <xdr:cNvSpPr/>
        </xdr:nvSpPr>
        <xdr:spPr>
          <a:xfrm>
            <a:off x="342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0" name="$E$289">
            <a:extLst>
              <a:ext uri="{FF2B5EF4-FFF2-40B4-BE49-F238E27FC236}">
                <a16:creationId xmlns:a16="http://schemas.microsoft.com/office/drawing/2014/main" id="{121734AD-4F5C-4BD1-9128-0178DE7FC034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1" name="$E$289">
            <a:extLst>
              <a:ext uri="{FF2B5EF4-FFF2-40B4-BE49-F238E27FC236}">
                <a16:creationId xmlns:a16="http://schemas.microsoft.com/office/drawing/2014/main" id="{1F9FD79E-AC78-4EA7-80FF-FC7BF1F02655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2" name="$E$289">
            <a:extLst>
              <a:ext uri="{FF2B5EF4-FFF2-40B4-BE49-F238E27FC236}">
                <a16:creationId xmlns:a16="http://schemas.microsoft.com/office/drawing/2014/main" id="{06EF5F12-4539-43AA-AA3C-2BE816B6E03B}"/>
              </a:ext>
            </a:extLst>
          </xdr:cNvPr>
          <xdr:cNvSpPr/>
        </xdr:nvSpPr>
        <xdr:spPr>
          <a:xfrm>
            <a:off x="457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3" name="$E$289">
            <a:extLst>
              <a:ext uri="{FF2B5EF4-FFF2-40B4-BE49-F238E27FC236}">
                <a16:creationId xmlns:a16="http://schemas.microsoft.com/office/drawing/2014/main" id="{1AF046B0-E240-44C3-B989-661796EDDC81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4" name="$E$289">
            <a:extLst>
              <a:ext uri="{FF2B5EF4-FFF2-40B4-BE49-F238E27FC236}">
                <a16:creationId xmlns:a16="http://schemas.microsoft.com/office/drawing/2014/main" id="{30B15F83-7EDF-480A-A5CC-0F47FED87AC7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5" name="$E$289">
            <a:extLst>
              <a:ext uri="{FF2B5EF4-FFF2-40B4-BE49-F238E27FC236}">
                <a16:creationId xmlns:a16="http://schemas.microsoft.com/office/drawing/2014/main" id="{AC163C7C-8675-4A56-AE38-A19D0F0349A9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6" name="$E$289">
            <a:extLst>
              <a:ext uri="{FF2B5EF4-FFF2-40B4-BE49-F238E27FC236}">
                <a16:creationId xmlns:a16="http://schemas.microsoft.com/office/drawing/2014/main" id="{C38E7BCA-A27A-4C20-B957-462706059F09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7" name="$E$289">
            <a:extLst>
              <a:ext uri="{FF2B5EF4-FFF2-40B4-BE49-F238E27FC236}">
                <a16:creationId xmlns:a16="http://schemas.microsoft.com/office/drawing/2014/main" id="{99F59108-CBE3-4B5C-B51F-50CB8A4034BF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8" name="$E$289">
            <a:extLst>
              <a:ext uri="{FF2B5EF4-FFF2-40B4-BE49-F238E27FC236}">
                <a16:creationId xmlns:a16="http://schemas.microsoft.com/office/drawing/2014/main" id="{9C0D613A-49E9-49A7-BA13-43A7322A6466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9" name="$E$289">
            <a:extLst>
              <a:ext uri="{FF2B5EF4-FFF2-40B4-BE49-F238E27FC236}">
                <a16:creationId xmlns:a16="http://schemas.microsoft.com/office/drawing/2014/main" id="{F0CD21EB-7465-47B1-B469-1070A95B814C}"/>
              </a:ext>
            </a:extLst>
          </xdr:cNvPr>
          <xdr:cNvSpPr/>
        </xdr:nvSpPr>
        <xdr:spPr>
          <a:xfrm>
            <a:off x="165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0" name="$E$289">
            <a:extLst>
              <a:ext uri="{FF2B5EF4-FFF2-40B4-BE49-F238E27FC236}">
                <a16:creationId xmlns:a16="http://schemas.microsoft.com/office/drawing/2014/main" id="{61A47DA2-4818-454A-9C4D-DAE09B43BD29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1" name="$E$289">
            <a:extLst>
              <a:ext uri="{FF2B5EF4-FFF2-40B4-BE49-F238E27FC236}">
                <a16:creationId xmlns:a16="http://schemas.microsoft.com/office/drawing/2014/main" id="{17784321-0ECF-4CD4-B662-FA88C8191381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2" name="$E$289">
            <a:extLst>
              <a:ext uri="{FF2B5EF4-FFF2-40B4-BE49-F238E27FC236}">
                <a16:creationId xmlns:a16="http://schemas.microsoft.com/office/drawing/2014/main" id="{6BF6C7E4-D9FF-4FB7-A734-86F9CC379C84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3" name="$E$289">
            <a:extLst>
              <a:ext uri="{FF2B5EF4-FFF2-40B4-BE49-F238E27FC236}">
                <a16:creationId xmlns:a16="http://schemas.microsoft.com/office/drawing/2014/main" id="{7EA283B4-DF6B-4007-B3BF-A14B278A0992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4" name="$E$289">
            <a:extLst>
              <a:ext uri="{FF2B5EF4-FFF2-40B4-BE49-F238E27FC236}">
                <a16:creationId xmlns:a16="http://schemas.microsoft.com/office/drawing/2014/main" id="{93CCA527-A56F-43C0-8B9E-2BF7122D98D6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5" name="$E$289">
            <a:extLst>
              <a:ext uri="{FF2B5EF4-FFF2-40B4-BE49-F238E27FC236}">
                <a16:creationId xmlns:a16="http://schemas.microsoft.com/office/drawing/2014/main" id="{50686D86-6FE0-4457-9193-FB24636CCBD7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6" name="$E$289">
            <a:extLst>
              <a:ext uri="{FF2B5EF4-FFF2-40B4-BE49-F238E27FC236}">
                <a16:creationId xmlns:a16="http://schemas.microsoft.com/office/drawing/2014/main" id="{31689006-2277-4408-A137-B54E092E6FF4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7" name="$E$289">
            <a:extLst>
              <a:ext uri="{FF2B5EF4-FFF2-40B4-BE49-F238E27FC236}">
                <a16:creationId xmlns:a16="http://schemas.microsoft.com/office/drawing/2014/main" id="{418094CE-B6E5-4124-85AF-41B0C9C9C53C}"/>
              </a:ext>
            </a:extLst>
          </xdr:cNvPr>
          <xdr:cNvSpPr/>
        </xdr:nvSpPr>
        <xdr:spPr>
          <a:xfrm>
            <a:off x="342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8" name="$E$289">
            <a:extLst>
              <a:ext uri="{FF2B5EF4-FFF2-40B4-BE49-F238E27FC236}">
                <a16:creationId xmlns:a16="http://schemas.microsoft.com/office/drawing/2014/main" id="{B237EE88-4803-4EFC-89D9-CA47644EDAD3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9" name="$E$289">
            <a:extLst>
              <a:ext uri="{FF2B5EF4-FFF2-40B4-BE49-F238E27FC236}">
                <a16:creationId xmlns:a16="http://schemas.microsoft.com/office/drawing/2014/main" id="{98B3A619-9369-4068-8538-E2A13E8719EA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0" name="$E$289">
            <a:extLst>
              <a:ext uri="{FF2B5EF4-FFF2-40B4-BE49-F238E27FC236}">
                <a16:creationId xmlns:a16="http://schemas.microsoft.com/office/drawing/2014/main" id="{12340067-265F-458C-99AD-3B13E1BBEA4A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1" name="$E$289">
            <a:extLst>
              <a:ext uri="{FF2B5EF4-FFF2-40B4-BE49-F238E27FC236}">
                <a16:creationId xmlns:a16="http://schemas.microsoft.com/office/drawing/2014/main" id="{3789CC62-E539-42F4-86D2-03C39AE89195}"/>
              </a:ext>
            </a:extLst>
          </xdr:cNvPr>
          <xdr:cNvSpPr/>
        </xdr:nvSpPr>
        <xdr:spPr>
          <a:xfrm>
            <a:off x="419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2" name="$E$289">
            <a:extLst>
              <a:ext uri="{FF2B5EF4-FFF2-40B4-BE49-F238E27FC236}">
                <a16:creationId xmlns:a16="http://schemas.microsoft.com/office/drawing/2014/main" id="{6048516C-9771-42A9-A556-FFCB9A4CC8BF}"/>
              </a:ext>
            </a:extLst>
          </xdr:cNvPr>
          <xdr:cNvSpPr/>
        </xdr:nvSpPr>
        <xdr:spPr>
          <a:xfrm>
            <a:off x="431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3" name="$E$289">
            <a:extLst>
              <a:ext uri="{FF2B5EF4-FFF2-40B4-BE49-F238E27FC236}">
                <a16:creationId xmlns:a16="http://schemas.microsoft.com/office/drawing/2014/main" id="{B118B788-B7D8-43A4-8E5D-DE8100AA69AC}"/>
              </a:ext>
            </a:extLst>
          </xdr:cNvPr>
          <xdr:cNvSpPr/>
        </xdr:nvSpPr>
        <xdr:spPr>
          <a:xfrm>
            <a:off x="457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4" name="$E$289">
            <a:extLst>
              <a:ext uri="{FF2B5EF4-FFF2-40B4-BE49-F238E27FC236}">
                <a16:creationId xmlns:a16="http://schemas.microsoft.com/office/drawing/2014/main" id="{53F6580F-1CBE-4A4E-8933-2746A6842654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5" name="$E$289">
            <a:extLst>
              <a:ext uri="{FF2B5EF4-FFF2-40B4-BE49-F238E27FC236}">
                <a16:creationId xmlns:a16="http://schemas.microsoft.com/office/drawing/2014/main" id="{A93FF30E-3327-4669-A615-67FBFB59CBC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6" name="$E$289">
            <a:extLst>
              <a:ext uri="{FF2B5EF4-FFF2-40B4-BE49-F238E27FC236}">
                <a16:creationId xmlns:a16="http://schemas.microsoft.com/office/drawing/2014/main" id="{357B6D7D-B13D-4201-9F63-D8B777268B1C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7" name="$E$289">
            <a:extLst>
              <a:ext uri="{FF2B5EF4-FFF2-40B4-BE49-F238E27FC236}">
                <a16:creationId xmlns:a16="http://schemas.microsoft.com/office/drawing/2014/main" id="{46A67A7A-A890-46A9-AC79-8CC5F67EAC14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8" name="$E$289">
            <a:extLst>
              <a:ext uri="{FF2B5EF4-FFF2-40B4-BE49-F238E27FC236}">
                <a16:creationId xmlns:a16="http://schemas.microsoft.com/office/drawing/2014/main" id="{7EDF8C23-51FB-4754-8228-ED1A8A19A457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9" name="$E$289">
            <a:extLst>
              <a:ext uri="{FF2B5EF4-FFF2-40B4-BE49-F238E27FC236}">
                <a16:creationId xmlns:a16="http://schemas.microsoft.com/office/drawing/2014/main" id="{59636986-2130-445D-9E2A-57CC68F7D10B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30" name="$E$289">
            <a:extLst>
              <a:ext uri="{FF2B5EF4-FFF2-40B4-BE49-F238E27FC236}">
                <a16:creationId xmlns:a16="http://schemas.microsoft.com/office/drawing/2014/main" id="{195F5A0F-B007-48A6-9C51-A8C732793742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31" name="$E$289">
            <a:extLst>
              <a:ext uri="{FF2B5EF4-FFF2-40B4-BE49-F238E27FC236}">
                <a16:creationId xmlns:a16="http://schemas.microsoft.com/office/drawing/2014/main" id="{151C4B86-4859-440F-9A9C-3752174ABE0C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42" name="$E$289">
            <a:extLst>
              <a:ext uri="{FF2B5EF4-FFF2-40B4-BE49-F238E27FC236}">
                <a16:creationId xmlns:a16="http://schemas.microsoft.com/office/drawing/2014/main" id="{2E054E3C-CC4C-4566-8AE6-C10E145125AF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43" name="$E$289">
            <a:extLst>
              <a:ext uri="{FF2B5EF4-FFF2-40B4-BE49-F238E27FC236}">
                <a16:creationId xmlns:a16="http://schemas.microsoft.com/office/drawing/2014/main" id="{F1FC0109-2DC9-4C79-915C-C1734D6056D6}"/>
              </a:ext>
            </a:extLst>
          </xdr:cNvPr>
          <xdr:cNvSpPr/>
        </xdr:nvSpPr>
        <xdr:spPr>
          <a:xfrm>
            <a:off x="190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44" name="$E$289">
            <a:extLst>
              <a:ext uri="{FF2B5EF4-FFF2-40B4-BE49-F238E27FC236}">
                <a16:creationId xmlns:a16="http://schemas.microsoft.com/office/drawing/2014/main" id="{FC1F9319-1FAD-4EE3-8DF7-353B45C8F1B8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45" name="$E$289">
            <a:extLst>
              <a:ext uri="{FF2B5EF4-FFF2-40B4-BE49-F238E27FC236}">
                <a16:creationId xmlns:a16="http://schemas.microsoft.com/office/drawing/2014/main" id="{BC15DD38-8011-4364-A690-47AFA0A6A952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46" name="$E$289">
            <a:extLst>
              <a:ext uri="{FF2B5EF4-FFF2-40B4-BE49-F238E27FC236}">
                <a16:creationId xmlns:a16="http://schemas.microsoft.com/office/drawing/2014/main" id="{03147700-07A1-4AFB-B49E-5196655762E3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47" name="$E$289">
            <a:extLst>
              <a:ext uri="{FF2B5EF4-FFF2-40B4-BE49-F238E27FC236}">
                <a16:creationId xmlns:a16="http://schemas.microsoft.com/office/drawing/2014/main" id="{9946A5A3-BBC4-4E9A-A051-8DD75989C259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48" name="$E$289">
            <a:extLst>
              <a:ext uri="{FF2B5EF4-FFF2-40B4-BE49-F238E27FC236}">
                <a16:creationId xmlns:a16="http://schemas.microsoft.com/office/drawing/2014/main" id="{97FE2F36-B71C-4FCE-B745-78A784B1A972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49" name="$E$289">
            <a:extLst>
              <a:ext uri="{FF2B5EF4-FFF2-40B4-BE49-F238E27FC236}">
                <a16:creationId xmlns:a16="http://schemas.microsoft.com/office/drawing/2014/main" id="{B6F56718-3B99-4732-AE04-FCC0D1F7FA56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50" name="$E$289">
            <a:extLst>
              <a:ext uri="{FF2B5EF4-FFF2-40B4-BE49-F238E27FC236}">
                <a16:creationId xmlns:a16="http://schemas.microsoft.com/office/drawing/2014/main" id="{0D8A71C7-80FC-4C5B-A08F-3A38E32DC80E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51" name="$E$289">
            <a:extLst>
              <a:ext uri="{FF2B5EF4-FFF2-40B4-BE49-F238E27FC236}">
                <a16:creationId xmlns:a16="http://schemas.microsoft.com/office/drawing/2014/main" id="{5A1A1344-9F10-49AD-8F47-09C3B3E10FF9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52" name="$E$289">
            <a:extLst>
              <a:ext uri="{FF2B5EF4-FFF2-40B4-BE49-F238E27FC236}">
                <a16:creationId xmlns:a16="http://schemas.microsoft.com/office/drawing/2014/main" id="{C515683F-A41F-4132-AE9F-9B259D4473FE}"/>
              </a:ext>
            </a:extLst>
          </xdr:cNvPr>
          <xdr:cNvSpPr/>
        </xdr:nvSpPr>
        <xdr:spPr>
          <a:xfrm>
            <a:off x="342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53" name="$E$289">
            <a:extLst>
              <a:ext uri="{FF2B5EF4-FFF2-40B4-BE49-F238E27FC236}">
                <a16:creationId xmlns:a16="http://schemas.microsoft.com/office/drawing/2014/main" id="{901DD258-83A7-4BEA-95FB-149081406BC4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54" name="$E$289">
            <a:extLst>
              <a:ext uri="{FF2B5EF4-FFF2-40B4-BE49-F238E27FC236}">
                <a16:creationId xmlns:a16="http://schemas.microsoft.com/office/drawing/2014/main" id="{409C9241-C75C-4213-8E01-CD65F1F4CCD0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55" name="$E$289">
            <a:extLst>
              <a:ext uri="{FF2B5EF4-FFF2-40B4-BE49-F238E27FC236}">
                <a16:creationId xmlns:a16="http://schemas.microsoft.com/office/drawing/2014/main" id="{FB5C7C78-EA8D-44E5-8765-023C91B8C028}"/>
              </a:ext>
            </a:extLst>
          </xdr:cNvPr>
          <xdr:cNvSpPr/>
        </xdr:nvSpPr>
        <xdr:spPr>
          <a:xfrm>
            <a:off x="419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56" name="$E$289">
            <a:extLst>
              <a:ext uri="{FF2B5EF4-FFF2-40B4-BE49-F238E27FC236}">
                <a16:creationId xmlns:a16="http://schemas.microsoft.com/office/drawing/2014/main" id="{46746683-12CA-4D67-B441-98B4C0717089}"/>
              </a:ext>
            </a:extLst>
          </xdr:cNvPr>
          <xdr:cNvSpPr/>
        </xdr:nvSpPr>
        <xdr:spPr>
          <a:xfrm>
            <a:off x="431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57" name="$E$289">
            <a:extLst>
              <a:ext uri="{FF2B5EF4-FFF2-40B4-BE49-F238E27FC236}">
                <a16:creationId xmlns:a16="http://schemas.microsoft.com/office/drawing/2014/main" id="{F92EB07D-5F4A-4F54-8C8F-6ADCCDF84AFD}"/>
              </a:ext>
            </a:extLst>
          </xdr:cNvPr>
          <xdr:cNvSpPr/>
        </xdr:nvSpPr>
        <xdr:spPr>
          <a:xfrm>
            <a:off x="457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58" name="$E$289">
            <a:extLst>
              <a:ext uri="{FF2B5EF4-FFF2-40B4-BE49-F238E27FC236}">
                <a16:creationId xmlns:a16="http://schemas.microsoft.com/office/drawing/2014/main" id="{64AD4528-61D8-4F97-B48F-4D4919A446F6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59" name="$E$289">
            <a:extLst>
              <a:ext uri="{FF2B5EF4-FFF2-40B4-BE49-F238E27FC236}">
                <a16:creationId xmlns:a16="http://schemas.microsoft.com/office/drawing/2014/main" id="{F77A5AFB-641E-4F7B-8013-AF3AC5A15E9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60" name="$E$289">
            <a:extLst>
              <a:ext uri="{FF2B5EF4-FFF2-40B4-BE49-F238E27FC236}">
                <a16:creationId xmlns:a16="http://schemas.microsoft.com/office/drawing/2014/main" id="{5B85FF21-6991-4E50-B72E-0A694A92B689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61" name="$E$289">
            <a:extLst>
              <a:ext uri="{FF2B5EF4-FFF2-40B4-BE49-F238E27FC236}">
                <a16:creationId xmlns:a16="http://schemas.microsoft.com/office/drawing/2014/main" id="{5888EBE7-CEED-434C-B430-7DC90C66D17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62" name="$E$289">
            <a:extLst>
              <a:ext uri="{FF2B5EF4-FFF2-40B4-BE49-F238E27FC236}">
                <a16:creationId xmlns:a16="http://schemas.microsoft.com/office/drawing/2014/main" id="{EE3CA0E4-B931-4CC9-B20D-46845AC57186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63" name="$E$289">
            <a:extLst>
              <a:ext uri="{FF2B5EF4-FFF2-40B4-BE49-F238E27FC236}">
                <a16:creationId xmlns:a16="http://schemas.microsoft.com/office/drawing/2014/main" id="{9C7777F2-5F73-4935-9FE0-DE4280FFDA96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64" name="$E$289">
            <a:extLst>
              <a:ext uri="{FF2B5EF4-FFF2-40B4-BE49-F238E27FC236}">
                <a16:creationId xmlns:a16="http://schemas.microsoft.com/office/drawing/2014/main" id="{ABD6BE19-1692-45F7-B255-C7A510F9D3B3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65" name="$E$289">
            <a:extLst>
              <a:ext uri="{FF2B5EF4-FFF2-40B4-BE49-F238E27FC236}">
                <a16:creationId xmlns:a16="http://schemas.microsoft.com/office/drawing/2014/main" id="{5C9F5EF8-B138-41F9-99AA-A6FFF3A623C5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66" name="$E$289">
            <a:extLst>
              <a:ext uri="{FF2B5EF4-FFF2-40B4-BE49-F238E27FC236}">
                <a16:creationId xmlns:a16="http://schemas.microsoft.com/office/drawing/2014/main" id="{0B91E6EF-AE3E-49D8-98C9-3D2D40AB357C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67" name="$E$289">
            <a:extLst>
              <a:ext uri="{FF2B5EF4-FFF2-40B4-BE49-F238E27FC236}">
                <a16:creationId xmlns:a16="http://schemas.microsoft.com/office/drawing/2014/main" id="{AE4C1167-1FB0-4208-8F3E-68D00BEBE113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68" name="$E$289">
            <a:extLst>
              <a:ext uri="{FF2B5EF4-FFF2-40B4-BE49-F238E27FC236}">
                <a16:creationId xmlns:a16="http://schemas.microsoft.com/office/drawing/2014/main" id="{CEFB83E5-5CB2-4BD7-9A6B-9864716DDE11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69" name="$E$289">
            <a:extLst>
              <a:ext uri="{FF2B5EF4-FFF2-40B4-BE49-F238E27FC236}">
                <a16:creationId xmlns:a16="http://schemas.microsoft.com/office/drawing/2014/main" id="{28981FFF-78EA-4CA3-B545-43C07605411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70" name="$E$289">
            <a:extLst>
              <a:ext uri="{FF2B5EF4-FFF2-40B4-BE49-F238E27FC236}">
                <a16:creationId xmlns:a16="http://schemas.microsoft.com/office/drawing/2014/main" id="{714FE3D8-BBE5-44F2-8A12-47F7F709F46E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71" name="$E$289">
            <a:extLst>
              <a:ext uri="{FF2B5EF4-FFF2-40B4-BE49-F238E27FC236}">
                <a16:creationId xmlns:a16="http://schemas.microsoft.com/office/drawing/2014/main" id="{6D0135EF-649A-46D5-967C-B79445BABC60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72" name="$E$289">
            <a:extLst>
              <a:ext uri="{FF2B5EF4-FFF2-40B4-BE49-F238E27FC236}">
                <a16:creationId xmlns:a16="http://schemas.microsoft.com/office/drawing/2014/main" id="{13284D47-664E-4967-885D-E90483EA15CF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73" name="$E$289">
            <a:extLst>
              <a:ext uri="{FF2B5EF4-FFF2-40B4-BE49-F238E27FC236}">
                <a16:creationId xmlns:a16="http://schemas.microsoft.com/office/drawing/2014/main" id="{0318001E-4283-4152-9201-123DE2FBF2B0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74" name="$E$289">
            <a:extLst>
              <a:ext uri="{FF2B5EF4-FFF2-40B4-BE49-F238E27FC236}">
                <a16:creationId xmlns:a16="http://schemas.microsoft.com/office/drawing/2014/main" id="{376DA9D7-2312-46AC-BA1D-788A0B12BD88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75" name="$E$289">
            <a:extLst>
              <a:ext uri="{FF2B5EF4-FFF2-40B4-BE49-F238E27FC236}">
                <a16:creationId xmlns:a16="http://schemas.microsoft.com/office/drawing/2014/main" id="{F32AC1D5-F0B8-4930-A680-8E2412784CFD}"/>
              </a:ext>
            </a:extLst>
          </xdr:cNvPr>
          <xdr:cNvSpPr/>
        </xdr:nvSpPr>
        <xdr:spPr>
          <a:xfrm>
            <a:off x="419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76" name="$E$289">
            <a:extLst>
              <a:ext uri="{FF2B5EF4-FFF2-40B4-BE49-F238E27FC236}">
                <a16:creationId xmlns:a16="http://schemas.microsoft.com/office/drawing/2014/main" id="{FAFAEF48-E11B-4585-BFD8-2CB35EF85A81}"/>
              </a:ext>
            </a:extLst>
          </xdr:cNvPr>
          <xdr:cNvSpPr/>
        </xdr:nvSpPr>
        <xdr:spPr>
          <a:xfrm>
            <a:off x="431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77" name="$E$289">
            <a:extLst>
              <a:ext uri="{FF2B5EF4-FFF2-40B4-BE49-F238E27FC236}">
                <a16:creationId xmlns:a16="http://schemas.microsoft.com/office/drawing/2014/main" id="{C9B46479-5DC2-4A27-AFE9-04D17007F63B}"/>
              </a:ext>
            </a:extLst>
          </xdr:cNvPr>
          <xdr:cNvSpPr/>
        </xdr:nvSpPr>
        <xdr:spPr>
          <a:xfrm>
            <a:off x="457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78" name="$E$289">
            <a:extLst>
              <a:ext uri="{FF2B5EF4-FFF2-40B4-BE49-F238E27FC236}">
                <a16:creationId xmlns:a16="http://schemas.microsoft.com/office/drawing/2014/main" id="{C9D9821A-8D9A-4801-9512-03FE935BED61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79" name="$E$289">
            <a:extLst>
              <a:ext uri="{FF2B5EF4-FFF2-40B4-BE49-F238E27FC236}">
                <a16:creationId xmlns:a16="http://schemas.microsoft.com/office/drawing/2014/main" id="{DD3FF263-9C76-4FDC-A4D8-F9BA34BF604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80" name="$E$289">
            <a:extLst>
              <a:ext uri="{FF2B5EF4-FFF2-40B4-BE49-F238E27FC236}">
                <a16:creationId xmlns:a16="http://schemas.microsoft.com/office/drawing/2014/main" id="{7BF79FE8-3AE1-453F-9D86-9F36E39FF767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81" name="$E$289">
            <a:extLst>
              <a:ext uri="{FF2B5EF4-FFF2-40B4-BE49-F238E27FC236}">
                <a16:creationId xmlns:a16="http://schemas.microsoft.com/office/drawing/2014/main" id="{C25362B6-559D-46AA-AA27-825EDC96402F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82" name="$E$289">
            <a:extLst>
              <a:ext uri="{FF2B5EF4-FFF2-40B4-BE49-F238E27FC236}">
                <a16:creationId xmlns:a16="http://schemas.microsoft.com/office/drawing/2014/main" id="{513CF300-867C-45CF-8158-2B7451F3B1A5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83" name="$E$289">
            <a:extLst>
              <a:ext uri="{FF2B5EF4-FFF2-40B4-BE49-F238E27FC236}">
                <a16:creationId xmlns:a16="http://schemas.microsoft.com/office/drawing/2014/main" id="{B3C7DCE8-8F74-4FC8-9975-4B4B9D4B0364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84" name="$E$289">
            <a:extLst>
              <a:ext uri="{FF2B5EF4-FFF2-40B4-BE49-F238E27FC236}">
                <a16:creationId xmlns:a16="http://schemas.microsoft.com/office/drawing/2014/main" id="{04430894-91A9-4A69-AC5D-0FB7C1B2647F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85" name="$E$289">
            <a:extLst>
              <a:ext uri="{FF2B5EF4-FFF2-40B4-BE49-F238E27FC236}">
                <a16:creationId xmlns:a16="http://schemas.microsoft.com/office/drawing/2014/main" id="{444228A4-81A4-47C0-8E3C-D84C8A76C544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86" name="$E$289">
            <a:extLst>
              <a:ext uri="{FF2B5EF4-FFF2-40B4-BE49-F238E27FC236}">
                <a16:creationId xmlns:a16="http://schemas.microsoft.com/office/drawing/2014/main" id="{C06F972E-AB77-4BE2-8091-2AC48E71EB18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87" name="$E$289">
            <a:extLst>
              <a:ext uri="{FF2B5EF4-FFF2-40B4-BE49-F238E27FC236}">
                <a16:creationId xmlns:a16="http://schemas.microsoft.com/office/drawing/2014/main" id="{CB239254-9E5E-4AB6-8B68-7D60F278B793}"/>
              </a:ext>
            </a:extLst>
          </xdr:cNvPr>
          <xdr:cNvSpPr/>
        </xdr:nvSpPr>
        <xdr:spPr>
          <a:xfrm>
            <a:off x="317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88" name="$E$289">
            <a:extLst>
              <a:ext uri="{FF2B5EF4-FFF2-40B4-BE49-F238E27FC236}">
                <a16:creationId xmlns:a16="http://schemas.microsoft.com/office/drawing/2014/main" id="{85809D58-6EDC-4370-A4AD-B2C70E089679}"/>
              </a:ext>
            </a:extLst>
          </xdr:cNvPr>
          <xdr:cNvSpPr/>
        </xdr:nvSpPr>
        <xdr:spPr>
          <a:xfrm>
            <a:off x="342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89" name="$E$289">
            <a:extLst>
              <a:ext uri="{FF2B5EF4-FFF2-40B4-BE49-F238E27FC236}">
                <a16:creationId xmlns:a16="http://schemas.microsoft.com/office/drawing/2014/main" id="{3A510276-F143-4615-97F2-5E0EEEC149E0}"/>
              </a:ext>
            </a:extLst>
          </xdr:cNvPr>
          <xdr:cNvSpPr/>
        </xdr:nvSpPr>
        <xdr:spPr>
          <a:xfrm>
            <a:off x="381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90" name="$E$289">
            <a:extLst>
              <a:ext uri="{FF2B5EF4-FFF2-40B4-BE49-F238E27FC236}">
                <a16:creationId xmlns:a16="http://schemas.microsoft.com/office/drawing/2014/main" id="{21B2E397-F312-428A-AEE0-E3C58B72CF78}"/>
              </a:ext>
            </a:extLst>
          </xdr:cNvPr>
          <xdr:cNvSpPr/>
        </xdr:nvSpPr>
        <xdr:spPr>
          <a:xfrm>
            <a:off x="457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91" name="$E$289">
            <a:extLst>
              <a:ext uri="{FF2B5EF4-FFF2-40B4-BE49-F238E27FC236}">
                <a16:creationId xmlns:a16="http://schemas.microsoft.com/office/drawing/2014/main" id="{D3F501CD-97AD-44A2-A15E-22CD6E5B0F3F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92" name="$E$289">
            <a:extLst>
              <a:ext uri="{FF2B5EF4-FFF2-40B4-BE49-F238E27FC236}">
                <a16:creationId xmlns:a16="http://schemas.microsoft.com/office/drawing/2014/main" id="{F242ED25-9D39-4348-9B2F-63E7E073E559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93" name="$E$289">
            <a:extLst>
              <a:ext uri="{FF2B5EF4-FFF2-40B4-BE49-F238E27FC236}">
                <a16:creationId xmlns:a16="http://schemas.microsoft.com/office/drawing/2014/main" id="{E2B49ABC-8DAA-417E-9026-1055A4548CBD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94" name="$E$289">
            <a:extLst>
              <a:ext uri="{FF2B5EF4-FFF2-40B4-BE49-F238E27FC236}">
                <a16:creationId xmlns:a16="http://schemas.microsoft.com/office/drawing/2014/main" id="{882B6C92-2A33-4C50-B328-EBA2E68534F8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95" name="$E$289">
            <a:extLst>
              <a:ext uri="{FF2B5EF4-FFF2-40B4-BE49-F238E27FC236}">
                <a16:creationId xmlns:a16="http://schemas.microsoft.com/office/drawing/2014/main" id="{546E0C27-9C1B-40A4-BF45-0701F4AB17FD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96" name="$E$289">
            <a:extLst>
              <a:ext uri="{FF2B5EF4-FFF2-40B4-BE49-F238E27FC236}">
                <a16:creationId xmlns:a16="http://schemas.microsoft.com/office/drawing/2014/main" id="{91BCC889-52E3-41E1-B101-075DE5870C45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97" name="$E$289">
            <a:extLst>
              <a:ext uri="{FF2B5EF4-FFF2-40B4-BE49-F238E27FC236}">
                <a16:creationId xmlns:a16="http://schemas.microsoft.com/office/drawing/2014/main" id="{12EC4D88-3D0C-4224-A6A2-D0051C4804D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98" name="$E$289">
            <a:extLst>
              <a:ext uri="{FF2B5EF4-FFF2-40B4-BE49-F238E27FC236}">
                <a16:creationId xmlns:a16="http://schemas.microsoft.com/office/drawing/2014/main" id="{35E33778-9B99-4533-85ED-7F6121E4AEFE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2799" name="$E$289">
            <a:extLst>
              <a:ext uri="{FF2B5EF4-FFF2-40B4-BE49-F238E27FC236}">
                <a16:creationId xmlns:a16="http://schemas.microsoft.com/office/drawing/2014/main" id="{4437A83E-F6EA-43E9-9899-762835BB5AA4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48" name="$E$289">
            <a:extLst>
              <a:ext uri="{FF2B5EF4-FFF2-40B4-BE49-F238E27FC236}">
                <a16:creationId xmlns:a16="http://schemas.microsoft.com/office/drawing/2014/main" id="{D16F667A-889F-43C5-8F52-F20D3D1655F9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49" name="$E$289">
            <a:extLst>
              <a:ext uri="{FF2B5EF4-FFF2-40B4-BE49-F238E27FC236}">
                <a16:creationId xmlns:a16="http://schemas.microsoft.com/office/drawing/2014/main" id="{5263DC71-0032-4AC3-86A2-8EBAB9BB5C3F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50" name="$E$289">
            <a:extLst>
              <a:ext uri="{FF2B5EF4-FFF2-40B4-BE49-F238E27FC236}">
                <a16:creationId xmlns:a16="http://schemas.microsoft.com/office/drawing/2014/main" id="{43A691DC-BDAF-4E18-91F4-9F0C5FC4A08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51" name="$E$289">
            <a:extLst>
              <a:ext uri="{FF2B5EF4-FFF2-40B4-BE49-F238E27FC236}">
                <a16:creationId xmlns:a16="http://schemas.microsoft.com/office/drawing/2014/main" id="{1CDEB4BC-4DD3-4AA2-8800-D46B3C2A7DDD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52" name="$E$289">
            <a:extLst>
              <a:ext uri="{FF2B5EF4-FFF2-40B4-BE49-F238E27FC236}">
                <a16:creationId xmlns:a16="http://schemas.microsoft.com/office/drawing/2014/main" id="{6BA0BA9F-324B-447E-862E-DA7918D1EDEF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53" name="$E$289">
            <a:extLst>
              <a:ext uri="{FF2B5EF4-FFF2-40B4-BE49-F238E27FC236}">
                <a16:creationId xmlns:a16="http://schemas.microsoft.com/office/drawing/2014/main" id="{3CD7BC27-AEE6-4A90-B237-09B2433C63E5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54" name="$E$289">
            <a:extLst>
              <a:ext uri="{FF2B5EF4-FFF2-40B4-BE49-F238E27FC236}">
                <a16:creationId xmlns:a16="http://schemas.microsoft.com/office/drawing/2014/main" id="{A8E368F3-0D4F-4B3B-A61F-DE00104B7941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55" name="$E$289">
            <a:extLst>
              <a:ext uri="{FF2B5EF4-FFF2-40B4-BE49-F238E27FC236}">
                <a16:creationId xmlns:a16="http://schemas.microsoft.com/office/drawing/2014/main" id="{10C2AD16-A5F8-4415-B2DC-E41B482ABACA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56" name="$E$289">
            <a:extLst>
              <a:ext uri="{FF2B5EF4-FFF2-40B4-BE49-F238E27FC236}">
                <a16:creationId xmlns:a16="http://schemas.microsoft.com/office/drawing/2014/main" id="{23DECDBD-C9BA-4DC8-BED5-BD6B8836AFD3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57" name="$E$289">
            <a:extLst>
              <a:ext uri="{FF2B5EF4-FFF2-40B4-BE49-F238E27FC236}">
                <a16:creationId xmlns:a16="http://schemas.microsoft.com/office/drawing/2014/main" id="{88C6A128-8C6D-47BC-9B68-306CEC1607F8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58" name="$E$289">
            <a:extLst>
              <a:ext uri="{FF2B5EF4-FFF2-40B4-BE49-F238E27FC236}">
                <a16:creationId xmlns:a16="http://schemas.microsoft.com/office/drawing/2014/main" id="{19957E77-578A-45EB-A81F-E7F90A682066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59" name="$E$289">
            <a:extLst>
              <a:ext uri="{FF2B5EF4-FFF2-40B4-BE49-F238E27FC236}">
                <a16:creationId xmlns:a16="http://schemas.microsoft.com/office/drawing/2014/main" id="{640F38AE-2507-4DC8-A2F7-C2153092D95E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60" name="$E$289">
            <a:extLst>
              <a:ext uri="{FF2B5EF4-FFF2-40B4-BE49-F238E27FC236}">
                <a16:creationId xmlns:a16="http://schemas.microsoft.com/office/drawing/2014/main" id="{3595D1F9-0DFB-48B1-BC76-2AE388CBF70C}"/>
              </a:ext>
            </a:extLst>
          </xdr:cNvPr>
          <xdr:cNvSpPr/>
        </xdr:nvSpPr>
        <xdr:spPr>
          <a:xfrm>
            <a:off x="419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61" name="$E$289">
            <a:extLst>
              <a:ext uri="{FF2B5EF4-FFF2-40B4-BE49-F238E27FC236}">
                <a16:creationId xmlns:a16="http://schemas.microsoft.com/office/drawing/2014/main" id="{4EDCBCF4-81AB-4FFF-9BF6-289EC9F6C858}"/>
              </a:ext>
            </a:extLst>
          </xdr:cNvPr>
          <xdr:cNvSpPr/>
        </xdr:nvSpPr>
        <xdr:spPr>
          <a:xfrm>
            <a:off x="431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62" name="$E$289">
            <a:extLst>
              <a:ext uri="{FF2B5EF4-FFF2-40B4-BE49-F238E27FC236}">
                <a16:creationId xmlns:a16="http://schemas.microsoft.com/office/drawing/2014/main" id="{5CA7BA65-AD71-4CC7-8E07-04C714776000}"/>
              </a:ext>
            </a:extLst>
          </xdr:cNvPr>
          <xdr:cNvSpPr/>
        </xdr:nvSpPr>
        <xdr:spPr>
          <a:xfrm>
            <a:off x="444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63" name="$E$289">
            <a:extLst>
              <a:ext uri="{FF2B5EF4-FFF2-40B4-BE49-F238E27FC236}">
                <a16:creationId xmlns:a16="http://schemas.microsoft.com/office/drawing/2014/main" id="{DB0B1262-50D1-48C7-8A1A-57951746BE07}"/>
              </a:ext>
            </a:extLst>
          </xdr:cNvPr>
          <xdr:cNvSpPr/>
        </xdr:nvSpPr>
        <xdr:spPr>
          <a:xfrm>
            <a:off x="457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64" name="$E$289">
            <a:extLst>
              <a:ext uri="{FF2B5EF4-FFF2-40B4-BE49-F238E27FC236}">
                <a16:creationId xmlns:a16="http://schemas.microsoft.com/office/drawing/2014/main" id="{FD153BE4-5A7E-40BA-8D67-4B9F11D99325}"/>
              </a:ext>
            </a:extLst>
          </xdr:cNvPr>
          <xdr:cNvSpPr/>
        </xdr:nvSpPr>
        <xdr:spPr>
          <a:xfrm>
            <a:off x="101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65" name="$E$289">
            <a:extLst>
              <a:ext uri="{FF2B5EF4-FFF2-40B4-BE49-F238E27FC236}">
                <a16:creationId xmlns:a16="http://schemas.microsoft.com/office/drawing/2014/main" id="{122C6153-8574-4984-BD36-A043AD592DDD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66" name="$E$289">
            <a:extLst>
              <a:ext uri="{FF2B5EF4-FFF2-40B4-BE49-F238E27FC236}">
                <a16:creationId xmlns:a16="http://schemas.microsoft.com/office/drawing/2014/main" id="{5D07EF61-79FE-4B2E-8C1F-83A62DA58BF1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67" name="$E$289">
            <a:extLst>
              <a:ext uri="{FF2B5EF4-FFF2-40B4-BE49-F238E27FC236}">
                <a16:creationId xmlns:a16="http://schemas.microsoft.com/office/drawing/2014/main" id="{9084514B-B3AF-4381-9433-1ADC4CFE35C1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68" name="$E$289">
            <a:extLst>
              <a:ext uri="{FF2B5EF4-FFF2-40B4-BE49-F238E27FC236}">
                <a16:creationId xmlns:a16="http://schemas.microsoft.com/office/drawing/2014/main" id="{0BEB67E2-0994-42E0-9663-AC00CFF1392D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69" name="$E$289">
            <a:extLst>
              <a:ext uri="{FF2B5EF4-FFF2-40B4-BE49-F238E27FC236}">
                <a16:creationId xmlns:a16="http://schemas.microsoft.com/office/drawing/2014/main" id="{B01E60D9-32ED-4284-AE2D-FA91DDC17FAC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70" name="$E$289">
            <a:extLst>
              <a:ext uri="{FF2B5EF4-FFF2-40B4-BE49-F238E27FC236}">
                <a16:creationId xmlns:a16="http://schemas.microsoft.com/office/drawing/2014/main" id="{D042FE23-E5DA-452F-A2D3-122FC6719C90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71" name="$E$289">
            <a:extLst>
              <a:ext uri="{FF2B5EF4-FFF2-40B4-BE49-F238E27FC236}">
                <a16:creationId xmlns:a16="http://schemas.microsoft.com/office/drawing/2014/main" id="{68BF91FD-E186-44A8-8B74-A60C394BE8A7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72" name="$E$289">
            <a:extLst>
              <a:ext uri="{FF2B5EF4-FFF2-40B4-BE49-F238E27FC236}">
                <a16:creationId xmlns:a16="http://schemas.microsoft.com/office/drawing/2014/main" id="{1C44C4E9-CFFA-49D6-9F74-F129F71F4A55}"/>
              </a:ext>
            </a:extLst>
          </xdr:cNvPr>
          <xdr:cNvSpPr/>
        </xdr:nvSpPr>
        <xdr:spPr>
          <a:xfrm>
            <a:off x="279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73" name="$E$289">
            <a:extLst>
              <a:ext uri="{FF2B5EF4-FFF2-40B4-BE49-F238E27FC236}">
                <a16:creationId xmlns:a16="http://schemas.microsoft.com/office/drawing/2014/main" id="{529D7B89-B6B7-459F-9750-BE003798E1F6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74" name="$E$289">
            <a:extLst>
              <a:ext uri="{FF2B5EF4-FFF2-40B4-BE49-F238E27FC236}">
                <a16:creationId xmlns:a16="http://schemas.microsoft.com/office/drawing/2014/main" id="{70A347BC-C041-4FFF-A537-0DD9C5257229}"/>
              </a:ext>
            </a:extLst>
          </xdr:cNvPr>
          <xdr:cNvSpPr/>
        </xdr:nvSpPr>
        <xdr:spPr>
          <a:xfrm>
            <a:off x="3302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75" name="$E$289">
            <a:extLst>
              <a:ext uri="{FF2B5EF4-FFF2-40B4-BE49-F238E27FC236}">
                <a16:creationId xmlns:a16="http://schemas.microsoft.com/office/drawing/2014/main" id="{834D887E-F07F-4539-85E8-FF04DD43BCBB}"/>
              </a:ext>
            </a:extLst>
          </xdr:cNvPr>
          <xdr:cNvSpPr/>
        </xdr:nvSpPr>
        <xdr:spPr>
          <a:xfrm>
            <a:off x="342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76" name="$E$289">
            <a:extLst>
              <a:ext uri="{FF2B5EF4-FFF2-40B4-BE49-F238E27FC236}">
                <a16:creationId xmlns:a16="http://schemas.microsoft.com/office/drawing/2014/main" id="{2AA5819E-A222-46D4-9959-FB5F8F578D74}"/>
              </a:ext>
            </a:extLst>
          </xdr:cNvPr>
          <xdr:cNvSpPr/>
        </xdr:nvSpPr>
        <xdr:spPr>
          <a:xfrm>
            <a:off x="355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77" name="$E$289">
            <a:extLst>
              <a:ext uri="{FF2B5EF4-FFF2-40B4-BE49-F238E27FC236}">
                <a16:creationId xmlns:a16="http://schemas.microsoft.com/office/drawing/2014/main" id="{56502084-E887-4912-9019-983428E62F02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78" name="$E$289">
            <a:extLst>
              <a:ext uri="{FF2B5EF4-FFF2-40B4-BE49-F238E27FC236}">
                <a16:creationId xmlns:a16="http://schemas.microsoft.com/office/drawing/2014/main" id="{959049C9-BC05-4E3C-8F50-463D365789CD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79" name="$E$289">
            <a:extLst>
              <a:ext uri="{FF2B5EF4-FFF2-40B4-BE49-F238E27FC236}">
                <a16:creationId xmlns:a16="http://schemas.microsoft.com/office/drawing/2014/main" id="{EC7AA0F2-F2F8-43A9-9ECE-FBDE35FEB871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80" name="$E$289">
            <a:extLst>
              <a:ext uri="{FF2B5EF4-FFF2-40B4-BE49-F238E27FC236}">
                <a16:creationId xmlns:a16="http://schemas.microsoft.com/office/drawing/2014/main" id="{139155EE-A71B-4CDE-9821-28F081860AF5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81" name="$E$289">
            <a:extLst>
              <a:ext uri="{FF2B5EF4-FFF2-40B4-BE49-F238E27FC236}">
                <a16:creationId xmlns:a16="http://schemas.microsoft.com/office/drawing/2014/main" id="{3E2C6EBE-A174-4E2C-B39E-BAFD23EA152D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82" name="$E$289">
            <a:extLst>
              <a:ext uri="{FF2B5EF4-FFF2-40B4-BE49-F238E27FC236}">
                <a16:creationId xmlns:a16="http://schemas.microsoft.com/office/drawing/2014/main" id="{AD3CC479-37EC-4683-AA0C-88501F2C92D6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83" name="$E$289">
            <a:extLst>
              <a:ext uri="{FF2B5EF4-FFF2-40B4-BE49-F238E27FC236}">
                <a16:creationId xmlns:a16="http://schemas.microsoft.com/office/drawing/2014/main" id="{29116E40-1CFE-4E2E-A769-A17D2B7E83A2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84" name="$E$289">
            <a:extLst>
              <a:ext uri="{FF2B5EF4-FFF2-40B4-BE49-F238E27FC236}">
                <a16:creationId xmlns:a16="http://schemas.microsoft.com/office/drawing/2014/main" id="{760BAF88-2DA8-4B84-AFD9-A86CBC767F96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85" name="$E$289">
            <a:extLst>
              <a:ext uri="{FF2B5EF4-FFF2-40B4-BE49-F238E27FC236}">
                <a16:creationId xmlns:a16="http://schemas.microsoft.com/office/drawing/2014/main" id="{6C4461D9-4064-49D3-9C62-55B96311CF69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86" name="$E$289">
            <a:extLst>
              <a:ext uri="{FF2B5EF4-FFF2-40B4-BE49-F238E27FC236}">
                <a16:creationId xmlns:a16="http://schemas.microsoft.com/office/drawing/2014/main" id="{CE17E03C-B152-41AA-AB85-A0550D44315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87" name="$E$289">
            <a:extLst>
              <a:ext uri="{FF2B5EF4-FFF2-40B4-BE49-F238E27FC236}">
                <a16:creationId xmlns:a16="http://schemas.microsoft.com/office/drawing/2014/main" id="{65A5D530-4C46-46F6-A1C3-78DA2002A569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88" name="$E$289">
            <a:extLst>
              <a:ext uri="{FF2B5EF4-FFF2-40B4-BE49-F238E27FC236}">
                <a16:creationId xmlns:a16="http://schemas.microsoft.com/office/drawing/2014/main" id="{0B3B6EA0-A308-417E-96F4-9D967D250B88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89" name="$E$289">
            <a:extLst>
              <a:ext uri="{FF2B5EF4-FFF2-40B4-BE49-F238E27FC236}">
                <a16:creationId xmlns:a16="http://schemas.microsoft.com/office/drawing/2014/main" id="{A5E6DE37-A5D5-4AD0-8E03-6CB65E1F03CB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90" name="$E$289">
            <a:extLst>
              <a:ext uri="{FF2B5EF4-FFF2-40B4-BE49-F238E27FC236}">
                <a16:creationId xmlns:a16="http://schemas.microsoft.com/office/drawing/2014/main" id="{A942080D-F481-420F-9C49-DF792E5F3439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91" name="$E$289">
            <a:extLst>
              <a:ext uri="{FF2B5EF4-FFF2-40B4-BE49-F238E27FC236}">
                <a16:creationId xmlns:a16="http://schemas.microsoft.com/office/drawing/2014/main" id="{79673D73-EC0A-4EBC-AF4B-772C09619898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92" name="$E$289">
            <a:extLst>
              <a:ext uri="{FF2B5EF4-FFF2-40B4-BE49-F238E27FC236}">
                <a16:creationId xmlns:a16="http://schemas.microsoft.com/office/drawing/2014/main" id="{8CEB1E17-8047-4AEE-BFD8-B320D645FC52}"/>
              </a:ext>
            </a:extLst>
          </xdr:cNvPr>
          <xdr:cNvSpPr/>
        </xdr:nvSpPr>
        <xdr:spPr>
          <a:xfrm>
            <a:off x="381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93" name="$E$289">
            <a:extLst>
              <a:ext uri="{FF2B5EF4-FFF2-40B4-BE49-F238E27FC236}">
                <a16:creationId xmlns:a16="http://schemas.microsoft.com/office/drawing/2014/main" id="{A8452794-6A6E-4364-93A9-91AE0016831B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94" name="$E$289">
            <a:extLst>
              <a:ext uri="{FF2B5EF4-FFF2-40B4-BE49-F238E27FC236}">
                <a16:creationId xmlns:a16="http://schemas.microsoft.com/office/drawing/2014/main" id="{3EE57C42-316F-487C-904B-3CD815012F58}"/>
              </a:ext>
            </a:extLst>
          </xdr:cNvPr>
          <xdr:cNvSpPr/>
        </xdr:nvSpPr>
        <xdr:spPr>
          <a:xfrm>
            <a:off x="406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95" name="$E$289">
            <a:extLst>
              <a:ext uri="{FF2B5EF4-FFF2-40B4-BE49-F238E27FC236}">
                <a16:creationId xmlns:a16="http://schemas.microsoft.com/office/drawing/2014/main" id="{2DD628C7-7033-41C3-B8AC-6DB773711F7F}"/>
              </a:ext>
            </a:extLst>
          </xdr:cNvPr>
          <xdr:cNvSpPr/>
        </xdr:nvSpPr>
        <xdr:spPr>
          <a:xfrm>
            <a:off x="419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96" name="$E$289">
            <a:extLst>
              <a:ext uri="{FF2B5EF4-FFF2-40B4-BE49-F238E27FC236}">
                <a16:creationId xmlns:a16="http://schemas.microsoft.com/office/drawing/2014/main" id="{4D91A00E-E0EF-4AFD-A815-94C5FBC88DDA}"/>
              </a:ext>
            </a:extLst>
          </xdr:cNvPr>
          <xdr:cNvSpPr/>
        </xdr:nvSpPr>
        <xdr:spPr>
          <a:xfrm>
            <a:off x="431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97" name="$E$289">
            <a:extLst>
              <a:ext uri="{FF2B5EF4-FFF2-40B4-BE49-F238E27FC236}">
                <a16:creationId xmlns:a16="http://schemas.microsoft.com/office/drawing/2014/main" id="{E45ECC35-3033-4C5F-865D-7FB12C67A414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98" name="$E$289">
            <a:extLst>
              <a:ext uri="{FF2B5EF4-FFF2-40B4-BE49-F238E27FC236}">
                <a16:creationId xmlns:a16="http://schemas.microsoft.com/office/drawing/2014/main" id="{5FB5F4C8-B278-44A0-94EC-DAE1287E15BB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899" name="$E$289">
            <a:extLst>
              <a:ext uri="{FF2B5EF4-FFF2-40B4-BE49-F238E27FC236}">
                <a16:creationId xmlns:a16="http://schemas.microsoft.com/office/drawing/2014/main" id="{2E946969-FDAD-4FB5-878C-1FBFE4D0EB70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00" name="$E$289">
            <a:extLst>
              <a:ext uri="{FF2B5EF4-FFF2-40B4-BE49-F238E27FC236}">
                <a16:creationId xmlns:a16="http://schemas.microsoft.com/office/drawing/2014/main" id="{35F94DDB-B68B-41A5-943C-068A13F659C6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01" name="$E$289">
            <a:extLst>
              <a:ext uri="{FF2B5EF4-FFF2-40B4-BE49-F238E27FC236}">
                <a16:creationId xmlns:a16="http://schemas.microsoft.com/office/drawing/2014/main" id="{D6B59454-8C0D-4DB9-8EB0-BBCB871A23DD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02" name="$E$289">
            <a:extLst>
              <a:ext uri="{FF2B5EF4-FFF2-40B4-BE49-F238E27FC236}">
                <a16:creationId xmlns:a16="http://schemas.microsoft.com/office/drawing/2014/main" id="{14F7C14D-A83A-42C9-A240-EDD2D0044D15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03" name="$E$289">
            <a:extLst>
              <a:ext uri="{FF2B5EF4-FFF2-40B4-BE49-F238E27FC236}">
                <a16:creationId xmlns:a16="http://schemas.microsoft.com/office/drawing/2014/main" id="{63396C70-775B-4369-B395-DDCFF4C4FCEB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04" name="$E$289">
            <a:extLst>
              <a:ext uri="{FF2B5EF4-FFF2-40B4-BE49-F238E27FC236}">
                <a16:creationId xmlns:a16="http://schemas.microsoft.com/office/drawing/2014/main" id="{00CC4796-36E5-4AD7-A850-A11D1D28048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05" name="$E$289">
            <a:extLst>
              <a:ext uri="{FF2B5EF4-FFF2-40B4-BE49-F238E27FC236}">
                <a16:creationId xmlns:a16="http://schemas.microsoft.com/office/drawing/2014/main" id="{8B0AB19D-BE2A-4569-9D23-25FCC1F04234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06" name="$E$289">
            <a:extLst>
              <a:ext uri="{FF2B5EF4-FFF2-40B4-BE49-F238E27FC236}">
                <a16:creationId xmlns:a16="http://schemas.microsoft.com/office/drawing/2014/main" id="{8739B002-6E63-4168-AE15-66C59CFBA65E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07" name="$E$289">
            <a:extLst>
              <a:ext uri="{FF2B5EF4-FFF2-40B4-BE49-F238E27FC236}">
                <a16:creationId xmlns:a16="http://schemas.microsoft.com/office/drawing/2014/main" id="{091E0B74-AB6F-4BEA-A4CA-CB6175DEDB96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08" name="$E$289">
            <a:extLst>
              <a:ext uri="{FF2B5EF4-FFF2-40B4-BE49-F238E27FC236}">
                <a16:creationId xmlns:a16="http://schemas.microsoft.com/office/drawing/2014/main" id="{25979475-A34F-4BD1-8852-325D26639E5A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09" name="$E$289">
            <a:extLst>
              <a:ext uri="{FF2B5EF4-FFF2-40B4-BE49-F238E27FC236}">
                <a16:creationId xmlns:a16="http://schemas.microsoft.com/office/drawing/2014/main" id="{826AFE13-8A17-4A72-84CE-18878B6B0215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10" name="$E$289">
            <a:extLst>
              <a:ext uri="{FF2B5EF4-FFF2-40B4-BE49-F238E27FC236}">
                <a16:creationId xmlns:a16="http://schemas.microsoft.com/office/drawing/2014/main" id="{F0E1C1F5-7E5B-4384-A8A3-1C40D13B548D}"/>
              </a:ext>
            </a:extLst>
          </xdr:cNvPr>
          <xdr:cNvSpPr/>
        </xdr:nvSpPr>
        <xdr:spPr>
          <a:xfrm>
            <a:off x="355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11" name="$E$289">
            <a:extLst>
              <a:ext uri="{FF2B5EF4-FFF2-40B4-BE49-F238E27FC236}">
                <a16:creationId xmlns:a16="http://schemas.microsoft.com/office/drawing/2014/main" id="{C0EDCF0A-C069-4BD1-9006-46E1C2F63834}"/>
              </a:ext>
            </a:extLst>
          </xdr:cNvPr>
          <xdr:cNvSpPr/>
        </xdr:nvSpPr>
        <xdr:spPr>
          <a:xfrm>
            <a:off x="431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12" name="$E$289">
            <a:extLst>
              <a:ext uri="{FF2B5EF4-FFF2-40B4-BE49-F238E27FC236}">
                <a16:creationId xmlns:a16="http://schemas.microsoft.com/office/drawing/2014/main" id="{107D2EA5-2B12-44D4-9325-FD3E60BD0FB7}"/>
              </a:ext>
            </a:extLst>
          </xdr:cNvPr>
          <xdr:cNvSpPr/>
        </xdr:nvSpPr>
        <xdr:spPr>
          <a:xfrm>
            <a:off x="444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13" name="$E$289">
            <a:extLst>
              <a:ext uri="{FF2B5EF4-FFF2-40B4-BE49-F238E27FC236}">
                <a16:creationId xmlns:a16="http://schemas.microsoft.com/office/drawing/2014/main" id="{D1396351-E118-4EA8-81E8-B4DD8F9DEDBF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14" name="$E$289">
            <a:extLst>
              <a:ext uri="{FF2B5EF4-FFF2-40B4-BE49-F238E27FC236}">
                <a16:creationId xmlns:a16="http://schemas.microsoft.com/office/drawing/2014/main" id="{E2D5D9DF-08A0-4669-8588-621B7475FE96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15" name="$E$289">
            <a:extLst>
              <a:ext uri="{FF2B5EF4-FFF2-40B4-BE49-F238E27FC236}">
                <a16:creationId xmlns:a16="http://schemas.microsoft.com/office/drawing/2014/main" id="{5C3377A3-7A42-4796-8B26-D2B4B65330B6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16" name="$E$289">
            <a:extLst>
              <a:ext uri="{FF2B5EF4-FFF2-40B4-BE49-F238E27FC236}">
                <a16:creationId xmlns:a16="http://schemas.microsoft.com/office/drawing/2014/main" id="{66343882-DED8-4D97-A5DE-ABE2D63AE3EB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17" name="$E$289">
            <a:extLst>
              <a:ext uri="{FF2B5EF4-FFF2-40B4-BE49-F238E27FC236}">
                <a16:creationId xmlns:a16="http://schemas.microsoft.com/office/drawing/2014/main" id="{750DF714-F24A-4574-B3DB-4E6A8916037C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18" name="$E$289">
            <a:extLst>
              <a:ext uri="{FF2B5EF4-FFF2-40B4-BE49-F238E27FC236}">
                <a16:creationId xmlns:a16="http://schemas.microsoft.com/office/drawing/2014/main" id="{82C06D5A-D463-49C6-91E1-D27E220F8E2A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19" name="$E$289">
            <a:extLst>
              <a:ext uri="{FF2B5EF4-FFF2-40B4-BE49-F238E27FC236}">
                <a16:creationId xmlns:a16="http://schemas.microsoft.com/office/drawing/2014/main" id="{D6BA602D-1C18-4D25-8375-417454DF78F1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20" name="$E$289">
            <a:extLst>
              <a:ext uri="{FF2B5EF4-FFF2-40B4-BE49-F238E27FC236}">
                <a16:creationId xmlns:a16="http://schemas.microsoft.com/office/drawing/2014/main" id="{1532ECAB-5413-4FAA-925E-4C52E2D75413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21" name="$E$289">
            <a:extLst>
              <a:ext uri="{FF2B5EF4-FFF2-40B4-BE49-F238E27FC236}">
                <a16:creationId xmlns:a16="http://schemas.microsoft.com/office/drawing/2014/main" id="{AEF25341-3107-4699-8F50-E33FEB284D41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22" name="$E$289">
            <a:extLst>
              <a:ext uri="{FF2B5EF4-FFF2-40B4-BE49-F238E27FC236}">
                <a16:creationId xmlns:a16="http://schemas.microsoft.com/office/drawing/2014/main" id="{427CE8B0-0336-41BE-9FA9-6E7E46A3E3EB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23" name="$E$289">
            <a:extLst>
              <a:ext uri="{FF2B5EF4-FFF2-40B4-BE49-F238E27FC236}">
                <a16:creationId xmlns:a16="http://schemas.microsoft.com/office/drawing/2014/main" id="{D4EAD091-D26F-4C54-922F-29CE69081974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24" name="$E$289">
            <a:extLst>
              <a:ext uri="{FF2B5EF4-FFF2-40B4-BE49-F238E27FC236}">
                <a16:creationId xmlns:a16="http://schemas.microsoft.com/office/drawing/2014/main" id="{C25AE2BF-C8BC-47FC-A880-106802DDD6A9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25" name="$E$289">
            <a:extLst>
              <a:ext uri="{FF2B5EF4-FFF2-40B4-BE49-F238E27FC236}">
                <a16:creationId xmlns:a16="http://schemas.microsoft.com/office/drawing/2014/main" id="{73863BCF-1985-45F5-ACD7-6AEB0AA7633A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26" name="$E$289">
            <a:extLst>
              <a:ext uri="{FF2B5EF4-FFF2-40B4-BE49-F238E27FC236}">
                <a16:creationId xmlns:a16="http://schemas.microsoft.com/office/drawing/2014/main" id="{0A9167BE-D61C-45C9-90B3-DEC31B78EEB9}"/>
              </a:ext>
            </a:extLst>
          </xdr:cNvPr>
          <xdr:cNvSpPr/>
        </xdr:nvSpPr>
        <xdr:spPr>
          <a:xfrm>
            <a:off x="381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27" name="$E$289">
            <a:extLst>
              <a:ext uri="{FF2B5EF4-FFF2-40B4-BE49-F238E27FC236}">
                <a16:creationId xmlns:a16="http://schemas.microsoft.com/office/drawing/2014/main" id="{4559FFD5-756B-462E-8303-2879DE711305}"/>
              </a:ext>
            </a:extLst>
          </xdr:cNvPr>
          <xdr:cNvSpPr/>
        </xdr:nvSpPr>
        <xdr:spPr>
          <a:xfrm>
            <a:off x="406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28" name="$E$289">
            <a:extLst>
              <a:ext uri="{FF2B5EF4-FFF2-40B4-BE49-F238E27FC236}">
                <a16:creationId xmlns:a16="http://schemas.microsoft.com/office/drawing/2014/main" id="{724D7A3B-4862-4FD0-B7CB-093F0F5FCF0E}"/>
              </a:ext>
            </a:extLst>
          </xdr:cNvPr>
          <xdr:cNvSpPr/>
        </xdr:nvSpPr>
        <xdr:spPr>
          <a:xfrm>
            <a:off x="444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29" name="$E$289">
            <a:extLst>
              <a:ext uri="{FF2B5EF4-FFF2-40B4-BE49-F238E27FC236}">
                <a16:creationId xmlns:a16="http://schemas.microsoft.com/office/drawing/2014/main" id="{D59436A5-3C74-44B3-8DBF-8101E95E31BE}"/>
              </a:ext>
            </a:extLst>
          </xdr:cNvPr>
          <xdr:cNvSpPr/>
        </xdr:nvSpPr>
        <xdr:spPr>
          <a:xfrm>
            <a:off x="457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30" name="$E$289">
            <a:extLst>
              <a:ext uri="{FF2B5EF4-FFF2-40B4-BE49-F238E27FC236}">
                <a16:creationId xmlns:a16="http://schemas.microsoft.com/office/drawing/2014/main" id="{FBB55D09-E2DB-4BCF-93CA-564B86D5AFA7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31" name="$E$289">
            <a:extLst>
              <a:ext uri="{FF2B5EF4-FFF2-40B4-BE49-F238E27FC236}">
                <a16:creationId xmlns:a16="http://schemas.microsoft.com/office/drawing/2014/main" id="{881B85CB-450C-452D-A0A7-2587E65ED606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32" name="$E$289">
            <a:extLst>
              <a:ext uri="{FF2B5EF4-FFF2-40B4-BE49-F238E27FC236}">
                <a16:creationId xmlns:a16="http://schemas.microsoft.com/office/drawing/2014/main" id="{85AEE947-94F2-4160-9D43-0E287F23CC31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33" name="$E$289">
            <a:extLst>
              <a:ext uri="{FF2B5EF4-FFF2-40B4-BE49-F238E27FC236}">
                <a16:creationId xmlns:a16="http://schemas.microsoft.com/office/drawing/2014/main" id="{79C0A072-701E-46AA-9FC9-866CB21EE060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34" name="$E$289">
            <a:extLst>
              <a:ext uri="{FF2B5EF4-FFF2-40B4-BE49-F238E27FC236}">
                <a16:creationId xmlns:a16="http://schemas.microsoft.com/office/drawing/2014/main" id="{7C802899-059A-4C25-ADBA-7A4FDDD37C9E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35" name="$E$289">
            <a:extLst>
              <a:ext uri="{FF2B5EF4-FFF2-40B4-BE49-F238E27FC236}">
                <a16:creationId xmlns:a16="http://schemas.microsoft.com/office/drawing/2014/main" id="{F8DBEB5C-AD58-4C10-BB54-691F650933C9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36" name="$E$289">
            <a:extLst>
              <a:ext uri="{FF2B5EF4-FFF2-40B4-BE49-F238E27FC236}">
                <a16:creationId xmlns:a16="http://schemas.microsoft.com/office/drawing/2014/main" id="{672F4D27-8648-44C1-ACD3-D12CF23AF67F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37" name="$E$289">
            <a:extLst>
              <a:ext uri="{FF2B5EF4-FFF2-40B4-BE49-F238E27FC236}">
                <a16:creationId xmlns:a16="http://schemas.microsoft.com/office/drawing/2014/main" id="{C52D61F2-0EAF-4D52-B5C3-1A2ADE726C07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38" name="$E$289">
            <a:extLst>
              <a:ext uri="{FF2B5EF4-FFF2-40B4-BE49-F238E27FC236}">
                <a16:creationId xmlns:a16="http://schemas.microsoft.com/office/drawing/2014/main" id="{CCE280B8-7EA2-431C-B3D5-54A346636FDB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39" name="$E$289">
            <a:extLst>
              <a:ext uri="{FF2B5EF4-FFF2-40B4-BE49-F238E27FC236}">
                <a16:creationId xmlns:a16="http://schemas.microsoft.com/office/drawing/2014/main" id="{36EC1868-7F64-43A1-B925-820F050579C1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40" name="$E$289">
            <a:extLst>
              <a:ext uri="{FF2B5EF4-FFF2-40B4-BE49-F238E27FC236}">
                <a16:creationId xmlns:a16="http://schemas.microsoft.com/office/drawing/2014/main" id="{74D3C4E3-6C6D-4D27-B56E-733CA8FFE1F8}"/>
              </a:ext>
            </a:extLst>
          </xdr:cNvPr>
          <xdr:cNvSpPr/>
        </xdr:nvSpPr>
        <xdr:spPr>
          <a:xfrm>
            <a:off x="241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41" name="$E$289">
            <a:extLst>
              <a:ext uri="{FF2B5EF4-FFF2-40B4-BE49-F238E27FC236}">
                <a16:creationId xmlns:a16="http://schemas.microsoft.com/office/drawing/2014/main" id="{D46BCACA-DE87-4218-A2DE-2C5AB9AE4D5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42" name="$E$289">
            <a:extLst>
              <a:ext uri="{FF2B5EF4-FFF2-40B4-BE49-F238E27FC236}">
                <a16:creationId xmlns:a16="http://schemas.microsoft.com/office/drawing/2014/main" id="{59803BA9-F355-45C2-8EEE-2992B8A41C86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43" name="$E$289">
            <a:extLst>
              <a:ext uri="{FF2B5EF4-FFF2-40B4-BE49-F238E27FC236}">
                <a16:creationId xmlns:a16="http://schemas.microsoft.com/office/drawing/2014/main" id="{76B01F91-D3FB-4114-85F0-B57DFDE983EF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44" name="$E$289">
            <a:extLst>
              <a:ext uri="{FF2B5EF4-FFF2-40B4-BE49-F238E27FC236}">
                <a16:creationId xmlns:a16="http://schemas.microsoft.com/office/drawing/2014/main" id="{4A992D4F-C515-451B-B275-F28A62D153E1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45" name="$E$289">
            <a:extLst>
              <a:ext uri="{FF2B5EF4-FFF2-40B4-BE49-F238E27FC236}">
                <a16:creationId xmlns:a16="http://schemas.microsoft.com/office/drawing/2014/main" id="{4CB6466A-BCDE-4CB4-92BB-3359420537B5}"/>
              </a:ext>
            </a:extLst>
          </xdr:cNvPr>
          <xdr:cNvSpPr/>
        </xdr:nvSpPr>
        <xdr:spPr>
          <a:xfrm>
            <a:off x="330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46" name="$E$289">
            <a:extLst>
              <a:ext uri="{FF2B5EF4-FFF2-40B4-BE49-F238E27FC236}">
                <a16:creationId xmlns:a16="http://schemas.microsoft.com/office/drawing/2014/main" id="{2B112172-977D-4DD0-9DF9-F2D9A9603CB0}"/>
              </a:ext>
            </a:extLst>
          </xdr:cNvPr>
          <xdr:cNvSpPr/>
        </xdr:nvSpPr>
        <xdr:spPr>
          <a:xfrm>
            <a:off x="342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47" name="$E$289">
            <a:extLst>
              <a:ext uri="{FF2B5EF4-FFF2-40B4-BE49-F238E27FC236}">
                <a16:creationId xmlns:a16="http://schemas.microsoft.com/office/drawing/2014/main" id="{2D7477A9-278D-4022-80A2-516879015281}"/>
              </a:ext>
            </a:extLst>
          </xdr:cNvPr>
          <xdr:cNvSpPr/>
        </xdr:nvSpPr>
        <xdr:spPr>
          <a:xfrm>
            <a:off x="355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48" name="$E$289">
            <a:extLst>
              <a:ext uri="{FF2B5EF4-FFF2-40B4-BE49-F238E27FC236}">
                <a16:creationId xmlns:a16="http://schemas.microsoft.com/office/drawing/2014/main" id="{9841B3EF-8F9B-4853-84F6-A59A82EB9489}"/>
              </a:ext>
            </a:extLst>
          </xdr:cNvPr>
          <xdr:cNvSpPr/>
        </xdr:nvSpPr>
        <xdr:spPr>
          <a:xfrm>
            <a:off x="368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49" name="$E$289">
            <a:extLst>
              <a:ext uri="{FF2B5EF4-FFF2-40B4-BE49-F238E27FC236}">
                <a16:creationId xmlns:a16="http://schemas.microsoft.com/office/drawing/2014/main" id="{4ED74EE2-9977-46EB-836A-A209345CB671}"/>
              </a:ext>
            </a:extLst>
          </xdr:cNvPr>
          <xdr:cNvSpPr/>
        </xdr:nvSpPr>
        <xdr:spPr>
          <a:xfrm>
            <a:off x="457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50" name="$E$289">
            <a:extLst>
              <a:ext uri="{FF2B5EF4-FFF2-40B4-BE49-F238E27FC236}">
                <a16:creationId xmlns:a16="http://schemas.microsoft.com/office/drawing/2014/main" id="{60DC537F-8E45-4796-B2C6-495702F7C5B0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51" name="$E$289">
            <a:extLst>
              <a:ext uri="{FF2B5EF4-FFF2-40B4-BE49-F238E27FC236}">
                <a16:creationId xmlns:a16="http://schemas.microsoft.com/office/drawing/2014/main" id="{24B2B30B-53CA-41E7-8DF0-2D381B1CC274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52" name="$E$289">
            <a:extLst>
              <a:ext uri="{FF2B5EF4-FFF2-40B4-BE49-F238E27FC236}">
                <a16:creationId xmlns:a16="http://schemas.microsoft.com/office/drawing/2014/main" id="{A4A65F9F-3DD7-412C-B7AF-CFDB6C818CA8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53" name="$E$289">
            <a:extLst>
              <a:ext uri="{FF2B5EF4-FFF2-40B4-BE49-F238E27FC236}">
                <a16:creationId xmlns:a16="http://schemas.microsoft.com/office/drawing/2014/main" id="{43C863DB-D8CB-4B05-A60E-BC22CAFEF1E5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54" name="$E$289">
            <a:extLst>
              <a:ext uri="{FF2B5EF4-FFF2-40B4-BE49-F238E27FC236}">
                <a16:creationId xmlns:a16="http://schemas.microsoft.com/office/drawing/2014/main" id="{620B595A-6AB9-4A9D-B9F0-16CFFA1EA1B1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55" name="$E$289">
            <a:extLst>
              <a:ext uri="{FF2B5EF4-FFF2-40B4-BE49-F238E27FC236}">
                <a16:creationId xmlns:a16="http://schemas.microsoft.com/office/drawing/2014/main" id="{FDC318A1-FED4-4AE0-9CAF-E36A045749F5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56" name="$E$289">
            <a:extLst>
              <a:ext uri="{FF2B5EF4-FFF2-40B4-BE49-F238E27FC236}">
                <a16:creationId xmlns:a16="http://schemas.microsoft.com/office/drawing/2014/main" id="{9B78BD5B-57AD-48D3-961D-39FFFEB7B093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57" name="$E$289">
            <a:extLst>
              <a:ext uri="{FF2B5EF4-FFF2-40B4-BE49-F238E27FC236}">
                <a16:creationId xmlns:a16="http://schemas.microsoft.com/office/drawing/2014/main" id="{9D4D0011-E6E8-4967-B3FE-D65824173349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58" name="$E$289">
            <a:extLst>
              <a:ext uri="{FF2B5EF4-FFF2-40B4-BE49-F238E27FC236}">
                <a16:creationId xmlns:a16="http://schemas.microsoft.com/office/drawing/2014/main" id="{AD28802B-AF4D-4D05-AF23-E37B2816AE03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59" name="$E$289">
            <a:extLst>
              <a:ext uri="{FF2B5EF4-FFF2-40B4-BE49-F238E27FC236}">
                <a16:creationId xmlns:a16="http://schemas.microsoft.com/office/drawing/2014/main" id="{0515245A-0FC2-444F-A982-FCAB6B8E59E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60" name="$E$289">
            <a:extLst>
              <a:ext uri="{FF2B5EF4-FFF2-40B4-BE49-F238E27FC236}">
                <a16:creationId xmlns:a16="http://schemas.microsoft.com/office/drawing/2014/main" id="{218DFE59-3843-4DDE-9ED0-0055CEA38F90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61" name="$E$289">
            <a:extLst>
              <a:ext uri="{FF2B5EF4-FFF2-40B4-BE49-F238E27FC236}">
                <a16:creationId xmlns:a16="http://schemas.microsoft.com/office/drawing/2014/main" id="{D38ECA2A-EDAE-4749-8A10-6FFF282F8A35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62" name="$E$289">
            <a:extLst>
              <a:ext uri="{FF2B5EF4-FFF2-40B4-BE49-F238E27FC236}">
                <a16:creationId xmlns:a16="http://schemas.microsoft.com/office/drawing/2014/main" id="{D8C19C59-6A97-40CF-B2C1-B94CBD4425B4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63" name="$E$289">
            <a:extLst>
              <a:ext uri="{FF2B5EF4-FFF2-40B4-BE49-F238E27FC236}">
                <a16:creationId xmlns:a16="http://schemas.microsoft.com/office/drawing/2014/main" id="{70CB6958-C40A-450E-8702-1BB2ED3BA8A3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64" name="$E$289">
            <a:extLst>
              <a:ext uri="{FF2B5EF4-FFF2-40B4-BE49-F238E27FC236}">
                <a16:creationId xmlns:a16="http://schemas.microsoft.com/office/drawing/2014/main" id="{26DCD46D-AB84-4AF9-A2FA-8B643F7C512B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65" name="$E$289">
            <a:extLst>
              <a:ext uri="{FF2B5EF4-FFF2-40B4-BE49-F238E27FC236}">
                <a16:creationId xmlns:a16="http://schemas.microsoft.com/office/drawing/2014/main" id="{A1D1BBA8-071F-4E70-9686-7DB55B3DEE46}"/>
              </a:ext>
            </a:extLst>
          </xdr:cNvPr>
          <xdr:cNvSpPr/>
        </xdr:nvSpPr>
        <xdr:spPr>
          <a:xfrm>
            <a:off x="330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66" name="$E$289">
            <a:extLst>
              <a:ext uri="{FF2B5EF4-FFF2-40B4-BE49-F238E27FC236}">
                <a16:creationId xmlns:a16="http://schemas.microsoft.com/office/drawing/2014/main" id="{B278DFAC-5717-4DD5-A8F3-A36D1C9FC21B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67" name="$E$289">
            <a:extLst>
              <a:ext uri="{FF2B5EF4-FFF2-40B4-BE49-F238E27FC236}">
                <a16:creationId xmlns:a16="http://schemas.microsoft.com/office/drawing/2014/main" id="{02A3CA13-243C-4286-9971-54888F1D4FF7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68" name="$E$289">
            <a:extLst>
              <a:ext uri="{FF2B5EF4-FFF2-40B4-BE49-F238E27FC236}">
                <a16:creationId xmlns:a16="http://schemas.microsoft.com/office/drawing/2014/main" id="{BEC70E73-235D-4E8D-838F-24B18DE66F3B}"/>
              </a:ext>
            </a:extLst>
          </xdr:cNvPr>
          <xdr:cNvSpPr/>
        </xdr:nvSpPr>
        <xdr:spPr>
          <a:xfrm>
            <a:off x="381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69" name="$E$289">
            <a:extLst>
              <a:ext uri="{FF2B5EF4-FFF2-40B4-BE49-F238E27FC236}">
                <a16:creationId xmlns:a16="http://schemas.microsoft.com/office/drawing/2014/main" id="{B50CF98D-4D24-469B-BD26-F7137C7721D6}"/>
              </a:ext>
            </a:extLst>
          </xdr:cNvPr>
          <xdr:cNvSpPr/>
        </xdr:nvSpPr>
        <xdr:spPr>
          <a:xfrm>
            <a:off x="406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70" name="$E$289">
            <a:extLst>
              <a:ext uri="{FF2B5EF4-FFF2-40B4-BE49-F238E27FC236}">
                <a16:creationId xmlns:a16="http://schemas.microsoft.com/office/drawing/2014/main" id="{B26D44F5-0C27-4716-9503-52C3CD0D128B}"/>
              </a:ext>
            </a:extLst>
          </xdr:cNvPr>
          <xdr:cNvSpPr/>
        </xdr:nvSpPr>
        <xdr:spPr>
          <a:xfrm>
            <a:off x="419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71" name="$E$289">
            <a:extLst>
              <a:ext uri="{FF2B5EF4-FFF2-40B4-BE49-F238E27FC236}">
                <a16:creationId xmlns:a16="http://schemas.microsoft.com/office/drawing/2014/main" id="{F8A1BD71-0409-4603-AC19-4029C572AE33}"/>
              </a:ext>
            </a:extLst>
          </xdr:cNvPr>
          <xdr:cNvSpPr/>
        </xdr:nvSpPr>
        <xdr:spPr>
          <a:xfrm>
            <a:off x="431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72" name="$E$289">
            <a:extLst>
              <a:ext uri="{FF2B5EF4-FFF2-40B4-BE49-F238E27FC236}">
                <a16:creationId xmlns:a16="http://schemas.microsoft.com/office/drawing/2014/main" id="{45FE9732-299D-4156-B071-2233B2051F5C}"/>
              </a:ext>
            </a:extLst>
          </xdr:cNvPr>
          <xdr:cNvSpPr/>
        </xdr:nvSpPr>
        <xdr:spPr>
          <a:xfrm>
            <a:off x="444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73" name="$E$289">
            <a:extLst>
              <a:ext uri="{FF2B5EF4-FFF2-40B4-BE49-F238E27FC236}">
                <a16:creationId xmlns:a16="http://schemas.microsoft.com/office/drawing/2014/main" id="{C1BD848A-E9CF-4AB8-88C5-8ACF6D5B21D5}"/>
              </a:ext>
            </a:extLst>
          </xdr:cNvPr>
          <xdr:cNvSpPr/>
        </xdr:nvSpPr>
        <xdr:spPr>
          <a:xfrm>
            <a:off x="457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74" name="$E$289">
            <a:extLst>
              <a:ext uri="{FF2B5EF4-FFF2-40B4-BE49-F238E27FC236}">
                <a16:creationId xmlns:a16="http://schemas.microsoft.com/office/drawing/2014/main" id="{14C21416-2D60-4E48-9B33-1F117B81F5FC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75" name="$E$289">
            <a:extLst>
              <a:ext uri="{FF2B5EF4-FFF2-40B4-BE49-F238E27FC236}">
                <a16:creationId xmlns:a16="http://schemas.microsoft.com/office/drawing/2014/main" id="{8EEFC2AA-5320-48D9-BAFB-DC415D7FC743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76" name="$E$289">
            <a:extLst>
              <a:ext uri="{FF2B5EF4-FFF2-40B4-BE49-F238E27FC236}">
                <a16:creationId xmlns:a16="http://schemas.microsoft.com/office/drawing/2014/main" id="{136173C6-87EE-494D-BEC0-611932C6DED5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77" name="$E$289">
            <a:extLst>
              <a:ext uri="{FF2B5EF4-FFF2-40B4-BE49-F238E27FC236}">
                <a16:creationId xmlns:a16="http://schemas.microsoft.com/office/drawing/2014/main" id="{6A9714D8-0BE3-4B96-9082-CD8D914A5CFB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78" name="$E$289">
            <a:extLst>
              <a:ext uri="{FF2B5EF4-FFF2-40B4-BE49-F238E27FC236}">
                <a16:creationId xmlns:a16="http://schemas.microsoft.com/office/drawing/2014/main" id="{554A18F7-365A-43B6-9ABF-937A68F2C2C7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79" name="$E$289">
            <a:extLst>
              <a:ext uri="{FF2B5EF4-FFF2-40B4-BE49-F238E27FC236}">
                <a16:creationId xmlns:a16="http://schemas.microsoft.com/office/drawing/2014/main" id="{3F67E262-8461-40D9-9105-FF6C0C9A331A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80" name="$E$289">
            <a:extLst>
              <a:ext uri="{FF2B5EF4-FFF2-40B4-BE49-F238E27FC236}">
                <a16:creationId xmlns:a16="http://schemas.microsoft.com/office/drawing/2014/main" id="{AB2D098C-45D4-458B-8213-4B68E61E9395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81" name="$E$289">
            <a:extLst>
              <a:ext uri="{FF2B5EF4-FFF2-40B4-BE49-F238E27FC236}">
                <a16:creationId xmlns:a16="http://schemas.microsoft.com/office/drawing/2014/main" id="{0EFFF2CE-011F-409F-B791-0F51E29FD768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82" name="$E$289">
            <a:extLst>
              <a:ext uri="{FF2B5EF4-FFF2-40B4-BE49-F238E27FC236}">
                <a16:creationId xmlns:a16="http://schemas.microsoft.com/office/drawing/2014/main" id="{B925764B-638E-4035-BF07-7F31E99C2D2B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83" name="$E$289">
            <a:extLst>
              <a:ext uri="{FF2B5EF4-FFF2-40B4-BE49-F238E27FC236}">
                <a16:creationId xmlns:a16="http://schemas.microsoft.com/office/drawing/2014/main" id="{5C425DA0-B69B-49F3-BC9B-E3C2EB799F71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84" name="$E$289">
            <a:extLst>
              <a:ext uri="{FF2B5EF4-FFF2-40B4-BE49-F238E27FC236}">
                <a16:creationId xmlns:a16="http://schemas.microsoft.com/office/drawing/2014/main" id="{087C2C77-0A12-428F-A07B-AB725E243A69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85" name="$E$289">
            <a:extLst>
              <a:ext uri="{FF2B5EF4-FFF2-40B4-BE49-F238E27FC236}">
                <a16:creationId xmlns:a16="http://schemas.microsoft.com/office/drawing/2014/main" id="{5DBFE423-6449-4F7E-B065-DCC76F80EB6B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86" name="$E$289">
            <a:extLst>
              <a:ext uri="{FF2B5EF4-FFF2-40B4-BE49-F238E27FC236}">
                <a16:creationId xmlns:a16="http://schemas.microsoft.com/office/drawing/2014/main" id="{A6BDAF29-4B8C-466E-92F5-2B98C09B55EA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87" name="$E$289">
            <a:extLst>
              <a:ext uri="{FF2B5EF4-FFF2-40B4-BE49-F238E27FC236}">
                <a16:creationId xmlns:a16="http://schemas.microsoft.com/office/drawing/2014/main" id="{48096963-A1CB-437A-A371-2DEECBA49DE2}"/>
              </a:ext>
            </a:extLst>
          </xdr:cNvPr>
          <xdr:cNvSpPr/>
        </xdr:nvSpPr>
        <xdr:spPr>
          <a:xfrm>
            <a:off x="317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88" name="$E$289">
            <a:extLst>
              <a:ext uri="{FF2B5EF4-FFF2-40B4-BE49-F238E27FC236}">
                <a16:creationId xmlns:a16="http://schemas.microsoft.com/office/drawing/2014/main" id="{97F2D211-D688-4BDE-9BAA-C659E74E20E9}"/>
              </a:ext>
            </a:extLst>
          </xdr:cNvPr>
          <xdr:cNvSpPr/>
        </xdr:nvSpPr>
        <xdr:spPr>
          <a:xfrm>
            <a:off x="355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89" name="$E$289">
            <a:extLst>
              <a:ext uri="{FF2B5EF4-FFF2-40B4-BE49-F238E27FC236}">
                <a16:creationId xmlns:a16="http://schemas.microsoft.com/office/drawing/2014/main" id="{1E0CF04A-37C7-4F5A-A3A2-E4D8C154B89A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90" name="$E$289">
            <a:extLst>
              <a:ext uri="{FF2B5EF4-FFF2-40B4-BE49-F238E27FC236}">
                <a16:creationId xmlns:a16="http://schemas.microsoft.com/office/drawing/2014/main" id="{74EBDA31-0F80-466D-80A9-490B0E28DA6A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91" name="$E$289">
            <a:extLst>
              <a:ext uri="{FF2B5EF4-FFF2-40B4-BE49-F238E27FC236}">
                <a16:creationId xmlns:a16="http://schemas.microsoft.com/office/drawing/2014/main" id="{67854EE7-481C-4FD7-8391-2389DABFDFA6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92" name="$E$289">
            <a:extLst>
              <a:ext uri="{FF2B5EF4-FFF2-40B4-BE49-F238E27FC236}">
                <a16:creationId xmlns:a16="http://schemas.microsoft.com/office/drawing/2014/main" id="{18DB8DA2-E54E-40AC-84F6-B68DA3B02441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93" name="$E$289">
            <a:extLst>
              <a:ext uri="{FF2B5EF4-FFF2-40B4-BE49-F238E27FC236}">
                <a16:creationId xmlns:a16="http://schemas.microsoft.com/office/drawing/2014/main" id="{CA7C1135-7A7A-4138-9B10-4B07B9488417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94" name="$E$289">
            <a:extLst>
              <a:ext uri="{FF2B5EF4-FFF2-40B4-BE49-F238E27FC236}">
                <a16:creationId xmlns:a16="http://schemas.microsoft.com/office/drawing/2014/main" id="{0C981858-76B1-497D-A668-2436C1C51F01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95" name="$E$289">
            <a:extLst>
              <a:ext uri="{FF2B5EF4-FFF2-40B4-BE49-F238E27FC236}">
                <a16:creationId xmlns:a16="http://schemas.microsoft.com/office/drawing/2014/main" id="{C29B0730-44EF-4661-B890-B8868AF83816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96" name="$E$289">
            <a:extLst>
              <a:ext uri="{FF2B5EF4-FFF2-40B4-BE49-F238E27FC236}">
                <a16:creationId xmlns:a16="http://schemas.microsoft.com/office/drawing/2014/main" id="{CFCECFC8-7466-4E17-B4B1-D8FCA62A0D26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97" name="$E$289">
            <a:extLst>
              <a:ext uri="{FF2B5EF4-FFF2-40B4-BE49-F238E27FC236}">
                <a16:creationId xmlns:a16="http://schemas.microsoft.com/office/drawing/2014/main" id="{51EEEA9E-B0CE-4705-BE5C-B47255D88D9E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98" name="$E$289">
            <a:extLst>
              <a:ext uri="{FF2B5EF4-FFF2-40B4-BE49-F238E27FC236}">
                <a16:creationId xmlns:a16="http://schemas.microsoft.com/office/drawing/2014/main" id="{02292313-10E2-4811-9EB6-419CD430741F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999" name="$E$289">
            <a:extLst>
              <a:ext uri="{FF2B5EF4-FFF2-40B4-BE49-F238E27FC236}">
                <a16:creationId xmlns:a16="http://schemas.microsoft.com/office/drawing/2014/main" id="{91D34608-3519-49FA-B17A-60CEADA47532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00" name="$E$289">
            <a:extLst>
              <a:ext uri="{FF2B5EF4-FFF2-40B4-BE49-F238E27FC236}">
                <a16:creationId xmlns:a16="http://schemas.microsoft.com/office/drawing/2014/main" id="{7F1FD463-D354-44B0-AE7F-3F3F6522C77C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01" name="$E$289">
            <a:extLst>
              <a:ext uri="{FF2B5EF4-FFF2-40B4-BE49-F238E27FC236}">
                <a16:creationId xmlns:a16="http://schemas.microsoft.com/office/drawing/2014/main" id="{E051B78A-441F-49AC-B842-2B9FCAA0345C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02" name="$E$289">
            <a:extLst>
              <a:ext uri="{FF2B5EF4-FFF2-40B4-BE49-F238E27FC236}">
                <a16:creationId xmlns:a16="http://schemas.microsoft.com/office/drawing/2014/main" id="{136EAC30-C3F9-4768-BA9C-FA2D826CD63F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03" name="$E$289">
            <a:extLst>
              <a:ext uri="{FF2B5EF4-FFF2-40B4-BE49-F238E27FC236}">
                <a16:creationId xmlns:a16="http://schemas.microsoft.com/office/drawing/2014/main" id="{943AEF6D-B500-405F-8C80-CCF8D5935496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04" name="$E$289">
            <a:extLst>
              <a:ext uri="{FF2B5EF4-FFF2-40B4-BE49-F238E27FC236}">
                <a16:creationId xmlns:a16="http://schemas.microsoft.com/office/drawing/2014/main" id="{EE525768-8EDA-4A4D-BFCA-777597F52A89}"/>
              </a:ext>
            </a:extLst>
          </xdr:cNvPr>
          <xdr:cNvSpPr/>
        </xdr:nvSpPr>
        <xdr:spPr>
          <a:xfrm>
            <a:off x="304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05" name="$E$289">
            <a:extLst>
              <a:ext uri="{FF2B5EF4-FFF2-40B4-BE49-F238E27FC236}">
                <a16:creationId xmlns:a16="http://schemas.microsoft.com/office/drawing/2014/main" id="{79863008-AC10-4EC1-9F36-C9290FA2A4F8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06" name="$E$289">
            <a:extLst>
              <a:ext uri="{FF2B5EF4-FFF2-40B4-BE49-F238E27FC236}">
                <a16:creationId xmlns:a16="http://schemas.microsoft.com/office/drawing/2014/main" id="{528D2872-7E20-4DFE-8EEC-E21F9CF55EB1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07" name="$E$289">
            <a:extLst>
              <a:ext uri="{FF2B5EF4-FFF2-40B4-BE49-F238E27FC236}">
                <a16:creationId xmlns:a16="http://schemas.microsoft.com/office/drawing/2014/main" id="{193E90A1-8B3A-4EEE-8BDD-030558DE40BC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08" name="$E$289">
            <a:extLst>
              <a:ext uri="{FF2B5EF4-FFF2-40B4-BE49-F238E27FC236}">
                <a16:creationId xmlns:a16="http://schemas.microsoft.com/office/drawing/2014/main" id="{500F9314-9EE7-4C52-B601-573346A669B8}"/>
              </a:ext>
            </a:extLst>
          </xdr:cNvPr>
          <xdr:cNvSpPr/>
        </xdr:nvSpPr>
        <xdr:spPr>
          <a:xfrm>
            <a:off x="368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09" name="$E$289">
            <a:extLst>
              <a:ext uri="{FF2B5EF4-FFF2-40B4-BE49-F238E27FC236}">
                <a16:creationId xmlns:a16="http://schemas.microsoft.com/office/drawing/2014/main" id="{9BAFE527-B257-44B2-8D0D-9F2F909231B0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10" name="$E$289">
            <a:extLst>
              <a:ext uri="{FF2B5EF4-FFF2-40B4-BE49-F238E27FC236}">
                <a16:creationId xmlns:a16="http://schemas.microsoft.com/office/drawing/2014/main" id="{45125B44-46BC-4122-90FC-C0AEDB7B5B58}"/>
              </a:ext>
            </a:extLst>
          </xdr:cNvPr>
          <xdr:cNvSpPr/>
        </xdr:nvSpPr>
        <xdr:spPr>
          <a:xfrm>
            <a:off x="406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11" name="$E$289">
            <a:extLst>
              <a:ext uri="{FF2B5EF4-FFF2-40B4-BE49-F238E27FC236}">
                <a16:creationId xmlns:a16="http://schemas.microsoft.com/office/drawing/2014/main" id="{FDE5ABD0-000A-4104-AA3E-5395C6D0148C}"/>
              </a:ext>
            </a:extLst>
          </xdr:cNvPr>
          <xdr:cNvSpPr/>
        </xdr:nvSpPr>
        <xdr:spPr>
          <a:xfrm>
            <a:off x="419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12" name="$E$289">
            <a:extLst>
              <a:ext uri="{FF2B5EF4-FFF2-40B4-BE49-F238E27FC236}">
                <a16:creationId xmlns:a16="http://schemas.microsoft.com/office/drawing/2014/main" id="{86EF1682-7E97-4CB8-8C2C-65FADEB4700D}"/>
              </a:ext>
            </a:extLst>
          </xdr:cNvPr>
          <xdr:cNvSpPr/>
        </xdr:nvSpPr>
        <xdr:spPr>
          <a:xfrm>
            <a:off x="444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13" name="$E$289">
            <a:extLst>
              <a:ext uri="{FF2B5EF4-FFF2-40B4-BE49-F238E27FC236}">
                <a16:creationId xmlns:a16="http://schemas.microsoft.com/office/drawing/2014/main" id="{FD277B75-6DD2-467D-A101-6EEDFF43B705}"/>
              </a:ext>
            </a:extLst>
          </xdr:cNvPr>
          <xdr:cNvSpPr/>
        </xdr:nvSpPr>
        <xdr:spPr>
          <a:xfrm>
            <a:off x="457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14" name="$E$289">
            <a:extLst>
              <a:ext uri="{FF2B5EF4-FFF2-40B4-BE49-F238E27FC236}">
                <a16:creationId xmlns:a16="http://schemas.microsoft.com/office/drawing/2014/main" id="{9854F932-9092-4B62-A596-61AFC2B7DC61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15" name="$E$289">
            <a:extLst>
              <a:ext uri="{FF2B5EF4-FFF2-40B4-BE49-F238E27FC236}">
                <a16:creationId xmlns:a16="http://schemas.microsoft.com/office/drawing/2014/main" id="{49684692-96C9-4C27-83AC-5964E929D51B}"/>
              </a:ext>
            </a:extLst>
          </xdr:cNvPr>
          <xdr:cNvSpPr/>
        </xdr:nvSpPr>
        <xdr:spPr>
          <a:xfrm>
            <a:off x="12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16" name="$E$289">
            <a:extLst>
              <a:ext uri="{FF2B5EF4-FFF2-40B4-BE49-F238E27FC236}">
                <a16:creationId xmlns:a16="http://schemas.microsoft.com/office/drawing/2014/main" id="{60078967-D1D2-4CB4-9938-1EA870FE49BE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17" name="$E$289">
            <a:extLst>
              <a:ext uri="{FF2B5EF4-FFF2-40B4-BE49-F238E27FC236}">
                <a16:creationId xmlns:a16="http://schemas.microsoft.com/office/drawing/2014/main" id="{738F6068-D2F7-4C7D-9EEE-8E573BF74B8B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18" name="$E$289">
            <a:extLst>
              <a:ext uri="{FF2B5EF4-FFF2-40B4-BE49-F238E27FC236}">
                <a16:creationId xmlns:a16="http://schemas.microsoft.com/office/drawing/2014/main" id="{84C70A14-59E4-4B58-8148-6E2443976C46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19" name="$E$289">
            <a:extLst>
              <a:ext uri="{FF2B5EF4-FFF2-40B4-BE49-F238E27FC236}">
                <a16:creationId xmlns:a16="http://schemas.microsoft.com/office/drawing/2014/main" id="{EC6CF085-79AB-411A-B378-C1379F16663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20" name="$E$289">
            <a:extLst>
              <a:ext uri="{FF2B5EF4-FFF2-40B4-BE49-F238E27FC236}">
                <a16:creationId xmlns:a16="http://schemas.microsoft.com/office/drawing/2014/main" id="{592F5924-C68E-4D28-9CE4-3D6BBC940FCA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21" name="$E$289">
            <a:extLst>
              <a:ext uri="{FF2B5EF4-FFF2-40B4-BE49-F238E27FC236}">
                <a16:creationId xmlns:a16="http://schemas.microsoft.com/office/drawing/2014/main" id="{20EB207D-8D15-468C-99E9-2053D5D698F9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22" name="$E$289">
            <a:extLst>
              <a:ext uri="{FF2B5EF4-FFF2-40B4-BE49-F238E27FC236}">
                <a16:creationId xmlns:a16="http://schemas.microsoft.com/office/drawing/2014/main" id="{B383D3C9-CBA4-4451-A8CC-FAE4D5ED7618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23" name="$E$289">
            <a:extLst>
              <a:ext uri="{FF2B5EF4-FFF2-40B4-BE49-F238E27FC236}">
                <a16:creationId xmlns:a16="http://schemas.microsoft.com/office/drawing/2014/main" id="{D5D9F37F-D8C9-42FF-B70E-A8019C93CED3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24" name="$E$289">
            <a:extLst>
              <a:ext uri="{FF2B5EF4-FFF2-40B4-BE49-F238E27FC236}">
                <a16:creationId xmlns:a16="http://schemas.microsoft.com/office/drawing/2014/main" id="{3B057CF4-EFB0-4498-9274-907F5C25136F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25" name="$E$289">
            <a:extLst>
              <a:ext uri="{FF2B5EF4-FFF2-40B4-BE49-F238E27FC236}">
                <a16:creationId xmlns:a16="http://schemas.microsoft.com/office/drawing/2014/main" id="{203BF1D4-CF52-4E58-82F3-64072C5F49FE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26" name="$E$289">
            <a:extLst>
              <a:ext uri="{FF2B5EF4-FFF2-40B4-BE49-F238E27FC236}">
                <a16:creationId xmlns:a16="http://schemas.microsoft.com/office/drawing/2014/main" id="{D832CB9A-8F1B-4A60-B741-1F6A48EB9CC1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27" name="$E$289">
            <a:extLst>
              <a:ext uri="{FF2B5EF4-FFF2-40B4-BE49-F238E27FC236}">
                <a16:creationId xmlns:a16="http://schemas.microsoft.com/office/drawing/2014/main" id="{2A03D560-435E-4A46-A562-B9E714A43504}"/>
              </a:ext>
            </a:extLst>
          </xdr:cNvPr>
          <xdr:cNvSpPr/>
        </xdr:nvSpPr>
        <xdr:spPr>
          <a:xfrm>
            <a:off x="279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28" name="$E$289">
            <a:extLst>
              <a:ext uri="{FF2B5EF4-FFF2-40B4-BE49-F238E27FC236}">
                <a16:creationId xmlns:a16="http://schemas.microsoft.com/office/drawing/2014/main" id="{A2ED316F-8057-4AEB-B3C7-A6576CD9AF12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29" name="$E$289">
            <a:extLst>
              <a:ext uri="{FF2B5EF4-FFF2-40B4-BE49-F238E27FC236}">
                <a16:creationId xmlns:a16="http://schemas.microsoft.com/office/drawing/2014/main" id="{8A7370C7-D888-4698-A8FB-4239DCB6476D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30" name="$E$289">
            <a:extLst>
              <a:ext uri="{FF2B5EF4-FFF2-40B4-BE49-F238E27FC236}">
                <a16:creationId xmlns:a16="http://schemas.microsoft.com/office/drawing/2014/main" id="{55F2CAE7-32DD-4741-9003-98F87609BB1A}"/>
              </a:ext>
            </a:extLst>
          </xdr:cNvPr>
          <xdr:cNvSpPr/>
        </xdr:nvSpPr>
        <xdr:spPr>
          <a:xfrm>
            <a:off x="368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31" name="$E$289">
            <a:extLst>
              <a:ext uri="{FF2B5EF4-FFF2-40B4-BE49-F238E27FC236}">
                <a16:creationId xmlns:a16="http://schemas.microsoft.com/office/drawing/2014/main" id="{282135F7-D1CB-4D31-8F3F-1B85977B21EC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32" name="$E$289">
            <a:extLst>
              <a:ext uri="{FF2B5EF4-FFF2-40B4-BE49-F238E27FC236}">
                <a16:creationId xmlns:a16="http://schemas.microsoft.com/office/drawing/2014/main" id="{D6E90DA4-994B-4431-99C2-A036783DFB82}"/>
              </a:ext>
            </a:extLst>
          </xdr:cNvPr>
          <xdr:cNvSpPr/>
        </xdr:nvSpPr>
        <xdr:spPr>
          <a:xfrm>
            <a:off x="393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33" name="$E$289">
            <a:extLst>
              <a:ext uri="{FF2B5EF4-FFF2-40B4-BE49-F238E27FC236}">
                <a16:creationId xmlns:a16="http://schemas.microsoft.com/office/drawing/2014/main" id="{91A1047B-AAE4-4C64-B116-DDDAF83F552B}"/>
              </a:ext>
            </a:extLst>
          </xdr:cNvPr>
          <xdr:cNvSpPr/>
        </xdr:nvSpPr>
        <xdr:spPr>
          <a:xfrm>
            <a:off x="406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34" name="$E$289">
            <a:extLst>
              <a:ext uri="{FF2B5EF4-FFF2-40B4-BE49-F238E27FC236}">
                <a16:creationId xmlns:a16="http://schemas.microsoft.com/office/drawing/2014/main" id="{456639BF-8D9C-4741-90A4-815FEE2D3367}"/>
              </a:ext>
            </a:extLst>
          </xdr:cNvPr>
          <xdr:cNvSpPr/>
        </xdr:nvSpPr>
        <xdr:spPr>
          <a:xfrm>
            <a:off x="444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35" name="$E$289">
            <a:extLst>
              <a:ext uri="{FF2B5EF4-FFF2-40B4-BE49-F238E27FC236}">
                <a16:creationId xmlns:a16="http://schemas.microsoft.com/office/drawing/2014/main" id="{513B4AB4-4367-4068-979C-2187794B5A7C}"/>
              </a:ext>
            </a:extLst>
          </xdr:cNvPr>
          <xdr:cNvSpPr/>
        </xdr:nvSpPr>
        <xdr:spPr>
          <a:xfrm>
            <a:off x="457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36" name="$E$289">
            <a:extLst>
              <a:ext uri="{FF2B5EF4-FFF2-40B4-BE49-F238E27FC236}">
                <a16:creationId xmlns:a16="http://schemas.microsoft.com/office/drawing/2014/main" id="{3B92943A-72FF-4351-AF2A-42A2AF2B135E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37" name="$E$289">
            <a:extLst>
              <a:ext uri="{FF2B5EF4-FFF2-40B4-BE49-F238E27FC236}">
                <a16:creationId xmlns:a16="http://schemas.microsoft.com/office/drawing/2014/main" id="{E3BE94AA-4CBD-46EF-B5B5-6F19DAF12323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38" name="$E$289">
            <a:extLst>
              <a:ext uri="{FF2B5EF4-FFF2-40B4-BE49-F238E27FC236}">
                <a16:creationId xmlns:a16="http://schemas.microsoft.com/office/drawing/2014/main" id="{CB1BC860-F89D-4DF4-9CCE-90B86E7F29A3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39" name="$E$289">
            <a:extLst>
              <a:ext uri="{FF2B5EF4-FFF2-40B4-BE49-F238E27FC236}">
                <a16:creationId xmlns:a16="http://schemas.microsoft.com/office/drawing/2014/main" id="{AAB56711-E95E-4359-AD85-C762A05B977A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40" name="$E$289">
            <a:extLst>
              <a:ext uri="{FF2B5EF4-FFF2-40B4-BE49-F238E27FC236}">
                <a16:creationId xmlns:a16="http://schemas.microsoft.com/office/drawing/2014/main" id="{1A4BD085-26F0-4E81-9B96-5DF8C672BBBC}"/>
              </a:ext>
            </a:extLst>
          </xdr:cNvPr>
          <xdr:cNvSpPr/>
        </xdr:nvSpPr>
        <xdr:spPr>
          <a:xfrm>
            <a:off x="88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41" name="$E$289">
            <a:extLst>
              <a:ext uri="{FF2B5EF4-FFF2-40B4-BE49-F238E27FC236}">
                <a16:creationId xmlns:a16="http://schemas.microsoft.com/office/drawing/2014/main" id="{B411B2D8-BA3F-4658-9A9F-A73D24328B28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42" name="$E$289">
            <a:extLst>
              <a:ext uri="{FF2B5EF4-FFF2-40B4-BE49-F238E27FC236}">
                <a16:creationId xmlns:a16="http://schemas.microsoft.com/office/drawing/2014/main" id="{79321EBC-BBCC-46C9-B037-D416ED784F77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43" name="$E$289">
            <a:extLst>
              <a:ext uri="{FF2B5EF4-FFF2-40B4-BE49-F238E27FC236}">
                <a16:creationId xmlns:a16="http://schemas.microsoft.com/office/drawing/2014/main" id="{540AC25F-A9E9-4F20-8759-9BE73773F42E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44" name="$E$289">
            <a:extLst>
              <a:ext uri="{FF2B5EF4-FFF2-40B4-BE49-F238E27FC236}">
                <a16:creationId xmlns:a16="http://schemas.microsoft.com/office/drawing/2014/main" id="{C4EBE13C-1051-4B4D-8BD8-3AB80753B561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45" name="$E$289">
            <a:extLst>
              <a:ext uri="{FF2B5EF4-FFF2-40B4-BE49-F238E27FC236}">
                <a16:creationId xmlns:a16="http://schemas.microsoft.com/office/drawing/2014/main" id="{04D45314-7500-458E-A118-94C9C501A552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46" name="$E$289">
            <a:extLst>
              <a:ext uri="{FF2B5EF4-FFF2-40B4-BE49-F238E27FC236}">
                <a16:creationId xmlns:a16="http://schemas.microsoft.com/office/drawing/2014/main" id="{CC8805EA-A28E-48BC-A9F7-D16C9379E8AB}"/>
              </a:ext>
            </a:extLst>
          </xdr:cNvPr>
          <xdr:cNvSpPr/>
        </xdr:nvSpPr>
        <xdr:spPr>
          <a:xfrm>
            <a:off x="228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47" name="$E$289">
            <a:extLst>
              <a:ext uri="{FF2B5EF4-FFF2-40B4-BE49-F238E27FC236}">
                <a16:creationId xmlns:a16="http://schemas.microsoft.com/office/drawing/2014/main" id="{0EA4FF9C-954F-462A-9ABA-38317C920300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48" name="$E$289">
            <a:extLst>
              <a:ext uri="{FF2B5EF4-FFF2-40B4-BE49-F238E27FC236}">
                <a16:creationId xmlns:a16="http://schemas.microsoft.com/office/drawing/2014/main" id="{2B3052D6-1657-4121-BA60-6E7D976FF593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49" name="$E$289">
            <a:extLst>
              <a:ext uri="{FF2B5EF4-FFF2-40B4-BE49-F238E27FC236}">
                <a16:creationId xmlns:a16="http://schemas.microsoft.com/office/drawing/2014/main" id="{8C459CE9-657F-428A-A8AB-B0E894CCA262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50" name="$E$289">
            <a:extLst>
              <a:ext uri="{FF2B5EF4-FFF2-40B4-BE49-F238E27FC236}">
                <a16:creationId xmlns:a16="http://schemas.microsoft.com/office/drawing/2014/main" id="{1EEE530F-8E3B-42B1-98DE-7399012D0E24}"/>
              </a:ext>
            </a:extLst>
          </xdr:cNvPr>
          <xdr:cNvSpPr/>
        </xdr:nvSpPr>
        <xdr:spPr>
          <a:xfrm>
            <a:off x="330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51" name="$E$289">
            <a:extLst>
              <a:ext uri="{FF2B5EF4-FFF2-40B4-BE49-F238E27FC236}">
                <a16:creationId xmlns:a16="http://schemas.microsoft.com/office/drawing/2014/main" id="{87BE64AC-9B69-48BE-A4CC-410BC3211C09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52" name="$E$289">
            <a:extLst>
              <a:ext uri="{FF2B5EF4-FFF2-40B4-BE49-F238E27FC236}">
                <a16:creationId xmlns:a16="http://schemas.microsoft.com/office/drawing/2014/main" id="{BAB52419-76E5-4896-A925-899906A69055}"/>
              </a:ext>
            </a:extLst>
          </xdr:cNvPr>
          <xdr:cNvSpPr/>
        </xdr:nvSpPr>
        <xdr:spPr>
          <a:xfrm>
            <a:off x="368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53" name="$E$289">
            <a:extLst>
              <a:ext uri="{FF2B5EF4-FFF2-40B4-BE49-F238E27FC236}">
                <a16:creationId xmlns:a16="http://schemas.microsoft.com/office/drawing/2014/main" id="{A34787F0-3F55-4800-A390-FF886CA8C1FF}"/>
              </a:ext>
            </a:extLst>
          </xdr:cNvPr>
          <xdr:cNvSpPr/>
        </xdr:nvSpPr>
        <xdr:spPr>
          <a:xfrm>
            <a:off x="381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54" name="$E$289">
            <a:extLst>
              <a:ext uri="{FF2B5EF4-FFF2-40B4-BE49-F238E27FC236}">
                <a16:creationId xmlns:a16="http://schemas.microsoft.com/office/drawing/2014/main" id="{10DF733B-040A-4491-A740-A68FA1DE85E8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55" name="$E$289">
            <a:extLst>
              <a:ext uri="{FF2B5EF4-FFF2-40B4-BE49-F238E27FC236}">
                <a16:creationId xmlns:a16="http://schemas.microsoft.com/office/drawing/2014/main" id="{89888BE4-1A3D-4AB9-BE77-DA3308990E8E}"/>
              </a:ext>
            </a:extLst>
          </xdr:cNvPr>
          <xdr:cNvSpPr/>
        </xdr:nvSpPr>
        <xdr:spPr>
          <a:xfrm>
            <a:off x="406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56" name="$E$289">
            <a:extLst>
              <a:ext uri="{FF2B5EF4-FFF2-40B4-BE49-F238E27FC236}">
                <a16:creationId xmlns:a16="http://schemas.microsoft.com/office/drawing/2014/main" id="{C82CC5C3-C5D3-4D36-B5D4-524B02BFD2AE}"/>
              </a:ext>
            </a:extLst>
          </xdr:cNvPr>
          <xdr:cNvSpPr/>
        </xdr:nvSpPr>
        <xdr:spPr>
          <a:xfrm>
            <a:off x="431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57" name="$E$289">
            <a:extLst>
              <a:ext uri="{FF2B5EF4-FFF2-40B4-BE49-F238E27FC236}">
                <a16:creationId xmlns:a16="http://schemas.microsoft.com/office/drawing/2014/main" id="{EEF3B101-6154-4BD9-BBC6-B4E7CC03E012}"/>
              </a:ext>
            </a:extLst>
          </xdr:cNvPr>
          <xdr:cNvSpPr/>
        </xdr:nvSpPr>
        <xdr:spPr>
          <a:xfrm>
            <a:off x="12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58" name="$E$289">
            <a:extLst>
              <a:ext uri="{FF2B5EF4-FFF2-40B4-BE49-F238E27FC236}">
                <a16:creationId xmlns:a16="http://schemas.microsoft.com/office/drawing/2014/main" id="{FE35D770-31C9-4A21-95BA-2DEB8AA85F0B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59" name="$E$289">
            <a:extLst>
              <a:ext uri="{FF2B5EF4-FFF2-40B4-BE49-F238E27FC236}">
                <a16:creationId xmlns:a16="http://schemas.microsoft.com/office/drawing/2014/main" id="{2F64B48B-91BB-4254-9943-77AFAD19FD7F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60" name="$E$289">
            <a:extLst>
              <a:ext uri="{FF2B5EF4-FFF2-40B4-BE49-F238E27FC236}">
                <a16:creationId xmlns:a16="http://schemas.microsoft.com/office/drawing/2014/main" id="{285CEB38-3F30-4C49-A124-164D0A76B38B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61" name="$E$289">
            <a:extLst>
              <a:ext uri="{FF2B5EF4-FFF2-40B4-BE49-F238E27FC236}">
                <a16:creationId xmlns:a16="http://schemas.microsoft.com/office/drawing/2014/main" id="{DA37EB9C-0002-448B-9E7A-EA94E90852DF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62" name="$E$289">
            <a:extLst>
              <a:ext uri="{FF2B5EF4-FFF2-40B4-BE49-F238E27FC236}">
                <a16:creationId xmlns:a16="http://schemas.microsoft.com/office/drawing/2014/main" id="{4B7343FA-9CA4-4440-9358-97686DD4255D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63" name="$E$289">
            <a:extLst>
              <a:ext uri="{FF2B5EF4-FFF2-40B4-BE49-F238E27FC236}">
                <a16:creationId xmlns:a16="http://schemas.microsoft.com/office/drawing/2014/main" id="{B37CC5DB-43D5-4509-ACE0-2C08C4DBD20D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64" name="$E$289">
            <a:extLst>
              <a:ext uri="{FF2B5EF4-FFF2-40B4-BE49-F238E27FC236}">
                <a16:creationId xmlns:a16="http://schemas.microsoft.com/office/drawing/2014/main" id="{D15AA151-D8F3-41F8-8951-3EC7B3D7D5CB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65" name="$E$289">
            <a:extLst>
              <a:ext uri="{FF2B5EF4-FFF2-40B4-BE49-F238E27FC236}">
                <a16:creationId xmlns:a16="http://schemas.microsoft.com/office/drawing/2014/main" id="{44B6E7A6-840E-40F9-B2F3-9B42730391B5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66" name="$E$289">
            <a:extLst>
              <a:ext uri="{FF2B5EF4-FFF2-40B4-BE49-F238E27FC236}">
                <a16:creationId xmlns:a16="http://schemas.microsoft.com/office/drawing/2014/main" id="{012A92B3-5EB8-4DB2-A912-12CEC9D41678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67" name="$E$289">
            <a:extLst>
              <a:ext uri="{FF2B5EF4-FFF2-40B4-BE49-F238E27FC236}">
                <a16:creationId xmlns:a16="http://schemas.microsoft.com/office/drawing/2014/main" id="{642A0F8A-5560-4A48-82CD-88ACFE656765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68" name="$E$289">
            <a:extLst>
              <a:ext uri="{FF2B5EF4-FFF2-40B4-BE49-F238E27FC236}">
                <a16:creationId xmlns:a16="http://schemas.microsoft.com/office/drawing/2014/main" id="{B3409314-3B40-48A8-BF5F-DBB5E87EE038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69" name="$E$289">
            <a:extLst>
              <a:ext uri="{FF2B5EF4-FFF2-40B4-BE49-F238E27FC236}">
                <a16:creationId xmlns:a16="http://schemas.microsoft.com/office/drawing/2014/main" id="{71DD9242-6A18-4354-BF36-EC18EFD30A74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70" name="$E$289">
            <a:extLst>
              <a:ext uri="{FF2B5EF4-FFF2-40B4-BE49-F238E27FC236}">
                <a16:creationId xmlns:a16="http://schemas.microsoft.com/office/drawing/2014/main" id="{59FEFBD0-3B21-4A94-8A56-B0A0982E5ABE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71" name="$E$289">
            <a:extLst>
              <a:ext uri="{FF2B5EF4-FFF2-40B4-BE49-F238E27FC236}">
                <a16:creationId xmlns:a16="http://schemas.microsoft.com/office/drawing/2014/main" id="{DBE5135F-E529-4BEC-9C0D-D1A5BD842ABE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72" name="$E$289">
            <a:extLst>
              <a:ext uri="{FF2B5EF4-FFF2-40B4-BE49-F238E27FC236}">
                <a16:creationId xmlns:a16="http://schemas.microsoft.com/office/drawing/2014/main" id="{DB386D16-D5A2-432C-9A26-5041F854A537}"/>
              </a:ext>
            </a:extLst>
          </xdr:cNvPr>
          <xdr:cNvSpPr/>
        </xdr:nvSpPr>
        <xdr:spPr>
          <a:xfrm>
            <a:off x="419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73" name="$E$289">
            <a:extLst>
              <a:ext uri="{FF2B5EF4-FFF2-40B4-BE49-F238E27FC236}">
                <a16:creationId xmlns:a16="http://schemas.microsoft.com/office/drawing/2014/main" id="{BDB58256-6C19-4C4B-8B40-76EE0A26D5BF}"/>
              </a:ext>
            </a:extLst>
          </xdr:cNvPr>
          <xdr:cNvSpPr/>
        </xdr:nvSpPr>
        <xdr:spPr>
          <a:xfrm>
            <a:off x="444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74" name="$E$289">
            <a:extLst>
              <a:ext uri="{FF2B5EF4-FFF2-40B4-BE49-F238E27FC236}">
                <a16:creationId xmlns:a16="http://schemas.microsoft.com/office/drawing/2014/main" id="{1F413893-2B52-41CE-BD46-DBAD9EEA0469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75" name="$E$289">
            <a:extLst>
              <a:ext uri="{FF2B5EF4-FFF2-40B4-BE49-F238E27FC236}">
                <a16:creationId xmlns:a16="http://schemas.microsoft.com/office/drawing/2014/main" id="{74894A02-B905-4FC5-B671-C6695EA3CBAF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76" name="$E$289">
            <a:extLst>
              <a:ext uri="{FF2B5EF4-FFF2-40B4-BE49-F238E27FC236}">
                <a16:creationId xmlns:a16="http://schemas.microsoft.com/office/drawing/2014/main" id="{3D849670-3F6C-4949-A6EC-40A233C0FCBA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77" name="$E$289">
            <a:extLst>
              <a:ext uri="{FF2B5EF4-FFF2-40B4-BE49-F238E27FC236}">
                <a16:creationId xmlns:a16="http://schemas.microsoft.com/office/drawing/2014/main" id="{04D6BBF0-0F39-4529-BD01-B0D1E0E4CB0E}"/>
              </a:ext>
            </a:extLst>
          </xdr:cNvPr>
          <xdr:cNvSpPr/>
        </xdr:nvSpPr>
        <xdr:spPr>
          <a:xfrm>
            <a:off x="63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78" name="$E$289">
            <a:extLst>
              <a:ext uri="{FF2B5EF4-FFF2-40B4-BE49-F238E27FC236}">
                <a16:creationId xmlns:a16="http://schemas.microsoft.com/office/drawing/2014/main" id="{70AC9FD5-3748-4580-B3DD-D1D6826A734F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79" name="$E$289">
            <a:extLst>
              <a:ext uri="{FF2B5EF4-FFF2-40B4-BE49-F238E27FC236}">
                <a16:creationId xmlns:a16="http://schemas.microsoft.com/office/drawing/2014/main" id="{6039D747-352C-45B5-B045-37313B0C5C47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80" name="$E$289">
            <a:extLst>
              <a:ext uri="{FF2B5EF4-FFF2-40B4-BE49-F238E27FC236}">
                <a16:creationId xmlns:a16="http://schemas.microsoft.com/office/drawing/2014/main" id="{8803238C-8F30-4152-8C4F-A073590E1B21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81" name="$E$289">
            <a:extLst>
              <a:ext uri="{FF2B5EF4-FFF2-40B4-BE49-F238E27FC236}">
                <a16:creationId xmlns:a16="http://schemas.microsoft.com/office/drawing/2014/main" id="{2760580E-D6F2-4898-81A2-F8C1B679B5EE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82" name="$E$289">
            <a:extLst>
              <a:ext uri="{FF2B5EF4-FFF2-40B4-BE49-F238E27FC236}">
                <a16:creationId xmlns:a16="http://schemas.microsoft.com/office/drawing/2014/main" id="{F92E0B0E-605A-42D9-8F00-58E299288F0C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83" name="$E$289">
            <a:extLst>
              <a:ext uri="{FF2B5EF4-FFF2-40B4-BE49-F238E27FC236}">
                <a16:creationId xmlns:a16="http://schemas.microsoft.com/office/drawing/2014/main" id="{308EDB39-67DB-464D-9A8F-B1A82590F17D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84" name="$E$289">
            <a:extLst>
              <a:ext uri="{FF2B5EF4-FFF2-40B4-BE49-F238E27FC236}">
                <a16:creationId xmlns:a16="http://schemas.microsoft.com/office/drawing/2014/main" id="{AA8145FB-C4F1-44C6-8E08-B02AEA5E2FC7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85" name="$E$289">
            <a:extLst>
              <a:ext uri="{FF2B5EF4-FFF2-40B4-BE49-F238E27FC236}">
                <a16:creationId xmlns:a16="http://schemas.microsoft.com/office/drawing/2014/main" id="{9043B911-EE5E-4C61-AB05-B0CDFD145E35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86" name="$E$289">
            <a:extLst>
              <a:ext uri="{FF2B5EF4-FFF2-40B4-BE49-F238E27FC236}">
                <a16:creationId xmlns:a16="http://schemas.microsoft.com/office/drawing/2014/main" id="{44E61EB3-5180-439A-8110-21EF14756B68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87" name="$E$289">
            <a:extLst>
              <a:ext uri="{FF2B5EF4-FFF2-40B4-BE49-F238E27FC236}">
                <a16:creationId xmlns:a16="http://schemas.microsoft.com/office/drawing/2014/main" id="{11770112-A0D6-40E1-BB9F-939A716B8698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88" name="$E$289">
            <a:extLst>
              <a:ext uri="{FF2B5EF4-FFF2-40B4-BE49-F238E27FC236}">
                <a16:creationId xmlns:a16="http://schemas.microsoft.com/office/drawing/2014/main" id="{CDA341BE-1BF5-4A02-A6BD-2A9049D6D5A5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89" name="$E$289">
            <a:extLst>
              <a:ext uri="{FF2B5EF4-FFF2-40B4-BE49-F238E27FC236}">
                <a16:creationId xmlns:a16="http://schemas.microsoft.com/office/drawing/2014/main" id="{96D3322B-2583-4A5F-94D3-5C7011DD1EA8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90" name="$E$289">
            <a:extLst>
              <a:ext uri="{FF2B5EF4-FFF2-40B4-BE49-F238E27FC236}">
                <a16:creationId xmlns:a16="http://schemas.microsoft.com/office/drawing/2014/main" id="{4FDDEDA5-5B30-4AE1-939E-C03C94D38380}"/>
              </a:ext>
            </a:extLst>
          </xdr:cNvPr>
          <xdr:cNvSpPr/>
        </xdr:nvSpPr>
        <xdr:spPr>
          <a:xfrm>
            <a:off x="381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91" name="$E$289">
            <a:extLst>
              <a:ext uri="{FF2B5EF4-FFF2-40B4-BE49-F238E27FC236}">
                <a16:creationId xmlns:a16="http://schemas.microsoft.com/office/drawing/2014/main" id="{3675DD8D-EFCA-4E55-8F63-43F940EE3282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92" name="$E$289">
            <a:extLst>
              <a:ext uri="{FF2B5EF4-FFF2-40B4-BE49-F238E27FC236}">
                <a16:creationId xmlns:a16="http://schemas.microsoft.com/office/drawing/2014/main" id="{AC1406D1-4AB6-4F2C-92D1-1E5C3ECD9B28}"/>
              </a:ext>
            </a:extLst>
          </xdr:cNvPr>
          <xdr:cNvSpPr/>
        </xdr:nvSpPr>
        <xdr:spPr>
          <a:xfrm>
            <a:off x="406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93" name="$E$289">
            <a:extLst>
              <a:ext uri="{FF2B5EF4-FFF2-40B4-BE49-F238E27FC236}">
                <a16:creationId xmlns:a16="http://schemas.microsoft.com/office/drawing/2014/main" id="{1488DD5B-B9A0-4D7C-8EA1-A4E7E16C8DD5}"/>
              </a:ext>
            </a:extLst>
          </xdr:cNvPr>
          <xdr:cNvSpPr/>
        </xdr:nvSpPr>
        <xdr:spPr>
          <a:xfrm>
            <a:off x="444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94" name="$E$289">
            <a:extLst>
              <a:ext uri="{FF2B5EF4-FFF2-40B4-BE49-F238E27FC236}">
                <a16:creationId xmlns:a16="http://schemas.microsoft.com/office/drawing/2014/main" id="{843D67A9-7AF5-45A1-BD9D-0429AB0DE232}"/>
              </a:ext>
            </a:extLst>
          </xdr:cNvPr>
          <xdr:cNvSpPr/>
        </xdr:nvSpPr>
        <xdr:spPr>
          <a:xfrm>
            <a:off x="457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95" name="$E$289">
            <a:extLst>
              <a:ext uri="{FF2B5EF4-FFF2-40B4-BE49-F238E27FC236}">
                <a16:creationId xmlns:a16="http://schemas.microsoft.com/office/drawing/2014/main" id="{FA525E08-A8BD-4D6A-84FA-17AA9261AF11}"/>
              </a:ext>
            </a:extLst>
          </xdr:cNvPr>
          <xdr:cNvSpPr/>
        </xdr:nvSpPr>
        <xdr:spPr>
          <a:xfrm>
            <a:off x="12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96" name="$E$289">
            <a:extLst>
              <a:ext uri="{FF2B5EF4-FFF2-40B4-BE49-F238E27FC236}">
                <a16:creationId xmlns:a16="http://schemas.microsoft.com/office/drawing/2014/main" id="{D3DE77A4-49D0-4C7D-9CAB-638A3A126B96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97" name="$E$289">
            <a:extLst>
              <a:ext uri="{FF2B5EF4-FFF2-40B4-BE49-F238E27FC236}">
                <a16:creationId xmlns:a16="http://schemas.microsoft.com/office/drawing/2014/main" id="{AFE99A76-4B52-451D-9E85-C2481BA0242D}"/>
              </a:ext>
            </a:extLst>
          </xdr:cNvPr>
          <xdr:cNvSpPr/>
        </xdr:nvSpPr>
        <xdr:spPr>
          <a:xfrm>
            <a:off x="50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98" name="$E$289">
            <a:extLst>
              <a:ext uri="{FF2B5EF4-FFF2-40B4-BE49-F238E27FC236}">
                <a16:creationId xmlns:a16="http://schemas.microsoft.com/office/drawing/2014/main" id="{3607119B-4547-4793-AC58-5866C160F57F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099" name="$E$289">
            <a:extLst>
              <a:ext uri="{FF2B5EF4-FFF2-40B4-BE49-F238E27FC236}">
                <a16:creationId xmlns:a16="http://schemas.microsoft.com/office/drawing/2014/main" id="{1ABEDF1B-30C3-40D1-8830-5C702EAC7467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00" name="$E$289">
            <a:extLst>
              <a:ext uri="{FF2B5EF4-FFF2-40B4-BE49-F238E27FC236}">
                <a16:creationId xmlns:a16="http://schemas.microsoft.com/office/drawing/2014/main" id="{36F762FF-CD22-42D6-92AD-37B67623D9D9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01" name="$E$289">
            <a:extLst>
              <a:ext uri="{FF2B5EF4-FFF2-40B4-BE49-F238E27FC236}">
                <a16:creationId xmlns:a16="http://schemas.microsoft.com/office/drawing/2014/main" id="{760F270F-723F-4666-AE62-059144AA99C0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02" name="$E$289">
            <a:extLst>
              <a:ext uri="{FF2B5EF4-FFF2-40B4-BE49-F238E27FC236}">
                <a16:creationId xmlns:a16="http://schemas.microsoft.com/office/drawing/2014/main" id="{C9F35969-8DD5-4253-981D-E16087BCFA7E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03" name="$E$289">
            <a:extLst>
              <a:ext uri="{FF2B5EF4-FFF2-40B4-BE49-F238E27FC236}">
                <a16:creationId xmlns:a16="http://schemas.microsoft.com/office/drawing/2014/main" id="{30B229E5-26C2-4187-B42F-03198E959489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04" name="$E$289">
            <a:extLst>
              <a:ext uri="{FF2B5EF4-FFF2-40B4-BE49-F238E27FC236}">
                <a16:creationId xmlns:a16="http://schemas.microsoft.com/office/drawing/2014/main" id="{1872B66B-8613-4714-8BD9-6F15DF101217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05" name="$E$289">
            <a:extLst>
              <a:ext uri="{FF2B5EF4-FFF2-40B4-BE49-F238E27FC236}">
                <a16:creationId xmlns:a16="http://schemas.microsoft.com/office/drawing/2014/main" id="{A9F52494-D2B1-4BB1-ACA3-EF278E9966AA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06" name="$E$289">
            <a:extLst>
              <a:ext uri="{FF2B5EF4-FFF2-40B4-BE49-F238E27FC236}">
                <a16:creationId xmlns:a16="http://schemas.microsoft.com/office/drawing/2014/main" id="{A053BB16-547B-401C-88F2-04BC7E93B186}"/>
              </a:ext>
            </a:extLst>
          </xdr:cNvPr>
          <xdr:cNvSpPr/>
        </xdr:nvSpPr>
        <xdr:spPr>
          <a:xfrm>
            <a:off x="355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07" name="$E$289">
            <a:extLst>
              <a:ext uri="{FF2B5EF4-FFF2-40B4-BE49-F238E27FC236}">
                <a16:creationId xmlns:a16="http://schemas.microsoft.com/office/drawing/2014/main" id="{43AFCEA3-5909-4165-ABC7-BCD0924CCBF9}"/>
              </a:ext>
            </a:extLst>
          </xdr:cNvPr>
          <xdr:cNvSpPr/>
        </xdr:nvSpPr>
        <xdr:spPr>
          <a:xfrm>
            <a:off x="368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08" name="$E$289">
            <a:extLst>
              <a:ext uri="{FF2B5EF4-FFF2-40B4-BE49-F238E27FC236}">
                <a16:creationId xmlns:a16="http://schemas.microsoft.com/office/drawing/2014/main" id="{191C5F36-DF1E-48D5-9AFE-BAE3B8F3D433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09" name="$E$289">
            <a:extLst>
              <a:ext uri="{FF2B5EF4-FFF2-40B4-BE49-F238E27FC236}">
                <a16:creationId xmlns:a16="http://schemas.microsoft.com/office/drawing/2014/main" id="{524F51EF-517D-492A-9EC3-D51FAC245CD8}"/>
              </a:ext>
            </a:extLst>
          </xdr:cNvPr>
          <xdr:cNvSpPr/>
        </xdr:nvSpPr>
        <xdr:spPr>
          <a:xfrm>
            <a:off x="393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10" name="$E$289">
            <a:extLst>
              <a:ext uri="{FF2B5EF4-FFF2-40B4-BE49-F238E27FC236}">
                <a16:creationId xmlns:a16="http://schemas.microsoft.com/office/drawing/2014/main" id="{E8DF8198-3D93-4BE2-AE5F-777A784FB502}"/>
              </a:ext>
            </a:extLst>
          </xdr:cNvPr>
          <xdr:cNvSpPr/>
        </xdr:nvSpPr>
        <xdr:spPr>
          <a:xfrm>
            <a:off x="406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11" name="$E$289">
            <a:extLst>
              <a:ext uri="{FF2B5EF4-FFF2-40B4-BE49-F238E27FC236}">
                <a16:creationId xmlns:a16="http://schemas.microsoft.com/office/drawing/2014/main" id="{C1C12945-D0D2-461D-8E5F-FAE01113D5B2}"/>
              </a:ext>
            </a:extLst>
          </xdr:cNvPr>
          <xdr:cNvSpPr/>
        </xdr:nvSpPr>
        <xdr:spPr>
          <a:xfrm>
            <a:off x="457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12" name="$E$289">
            <a:extLst>
              <a:ext uri="{FF2B5EF4-FFF2-40B4-BE49-F238E27FC236}">
                <a16:creationId xmlns:a16="http://schemas.microsoft.com/office/drawing/2014/main" id="{442FC30D-471A-4975-974D-A2F8D4B8C077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13" name="$E$289">
            <a:extLst>
              <a:ext uri="{FF2B5EF4-FFF2-40B4-BE49-F238E27FC236}">
                <a16:creationId xmlns:a16="http://schemas.microsoft.com/office/drawing/2014/main" id="{B13BD48D-A7C2-472C-B38E-3246BE66B21E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14" name="$E$289">
            <a:extLst>
              <a:ext uri="{FF2B5EF4-FFF2-40B4-BE49-F238E27FC236}">
                <a16:creationId xmlns:a16="http://schemas.microsoft.com/office/drawing/2014/main" id="{73C45030-C94B-4D05-8A94-CA627D86F0AE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15" name="$E$289">
            <a:extLst>
              <a:ext uri="{FF2B5EF4-FFF2-40B4-BE49-F238E27FC236}">
                <a16:creationId xmlns:a16="http://schemas.microsoft.com/office/drawing/2014/main" id="{291E5956-1CB8-4B55-B9BE-050C790777D7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16" name="$E$289">
            <a:extLst>
              <a:ext uri="{FF2B5EF4-FFF2-40B4-BE49-F238E27FC236}">
                <a16:creationId xmlns:a16="http://schemas.microsoft.com/office/drawing/2014/main" id="{5091F090-1FDB-4DB1-B7E0-F3E1666D49D3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17" name="$E$289">
            <a:extLst>
              <a:ext uri="{FF2B5EF4-FFF2-40B4-BE49-F238E27FC236}">
                <a16:creationId xmlns:a16="http://schemas.microsoft.com/office/drawing/2014/main" id="{37DCE8AF-8A04-4564-918D-16E5AA887290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18" name="$E$289">
            <a:extLst>
              <a:ext uri="{FF2B5EF4-FFF2-40B4-BE49-F238E27FC236}">
                <a16:creationId xmlns:a16="http://schemas.microsoft.com/office/drawing/2014/main" id="{44AE2CFA-5427-4300-A59B-6232CA3B0E7B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19" name="$E$289">
            <a:extLst>
              <a:ext uri="{FF2B5EF4-FFF2-40B4-BE49-F238E27FC236}">
                <a16:creationId xmlns:a16="http://schemas.microsoft.com/office/drawing/2014/main" id="{CA5DC0BB-ED0A-4C7C-A1E3-429F4F6C74E4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20" name="$E$289">
            <a:extLst>
              <a:ext uri="{FF2B5EF4-FFF2-40B4-BE49-F238E27FC236}">
                <a16:creationId xmlns:a16="http://schemas.microsoft.com/office/drawing/2014/main" id="{29F1F25C-4C87-40CF-A408-6BA4EBB6534D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21" name="$E$289">
            <a:extLst>
              <a:ext uri="{FF2B5EF4-FFF2-40B4-BE49-F238E27FC236}">
                <a16:creationId xmlns:a16="http://schemas.microsoft.com/office/drawing/2014/main" id="{E98EDCF4-318F-4C39-8B86-507A569C57B9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22" name="$E$289">
            <a:extLst>
              <a:ext uri="{FF2B5EF4-FFF2-40B4-BE49-F238E27FC236}">
                <a16:creationId xmlns:a16="http://schemas.microsoft.com/office/drawing/2014/main" id="{D7D1F956-8915-46E4-8517-8B6BB2680568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23" name="$E$289">
            <a:extLst>
              <a:ext uri="{FF2B5EF4-FFF2-40B4-BE49-F238E27FC236}">
                <a16:creationId xmlns:a16="http://schemas.microsoft.com/office/drawing/2014/main" id="{F1C3BF4A-8FDB-492B-8510-F5DE39A8C9D2}"/>
              </a:ext>
            </a:extLst>
          </xdr:cNvPr>
          <xdr:cNvSpPr/>
        </xdr:nvSpPr>
        <xdr:spPr>
          <a:xfrm>
            <a:off x="330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24" name="$E$289">
            <a:extLst>
              <a:ext uri="{FF2B5EF4-FFF2-40B4-BE49-F238E27FC236}">
                <a16:creationId xmlns:a16="http://schemas.microsoft.com/office/drawing/2014/main" id="{A990FA83-994D-4B71-BF3F-2AD5BC795353}"/>
              </a:ext>
            </a:extLst>
          </xdr:cNvPr>
          <xdr:cNvSpPr/>
        </xdr:nvSpPr>
        <xdr:spPr>
          <a:xfrm>
            <a:off x="368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25" name="$E$289">
            <a:extLst>
              <a:ext uri="{FF2B5EF4-FFF2-40B4-BE49-F238E27FC236}">
                <a16:creationId xmlns:a16="http://schemas.microsoft.com/office/drawing/2014/main" id="{BC496B77-AC8F-40BB-A82A-4B4B01B357BF}"/>
              </a:ext>
            </a:extLst>
          </xdr:cNvPr>
          <xdr:cNvSpPr/>
        </xdr:nvSpPr>
        <xdr:spPr>
          <a:xfrm>
            <a:off x="381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26" name="$E$289">
            <a:extLst>
              <a:ext uri="{FF2B5EF4-FFF2-40B4-BE49-F238E27FC236}">
                <a16:creationId xmlns:a16="http://schemas.microsoft.com/office/drawing/2014/main" id="{D876F6F4-C883-4F58-91DA-818864375AC8}"/>
              </a:ext>
            </a:extLst>
          </xdr:cNvPr>
          <xdr:cNvSpPr/>
        </xdr:nvSpPr>
        <xdr:spPr>
          <a:xfrm>
            <a:off x="406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27" name="$E$289">
            <a:extLst>
              <a:ext uri="{FF2B5EF4-FFF2-40B4-BE49-F238E27FC236}">
                <a16:creationId xmlns:a16="http://schemas.microsoft.com/office/drawing/2014/main" id="{6BFDB1C9-E1AF-4C75-8702-EADF16730D0E}"/>
              </a:ext>
            </a:extLst>
          </xdr:cNvPr>
          <xdr:cNvSpPr/>
        </xdr:nvSpPr>
        <xdr:spPr>
          <a:xfrm>
            <a:off x="431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28" name="$E$289">
            <a:extLst>
              <a:ext uri="{FF2B5EF4-FFF2-40B4-BE49-F238E27FC236}">
                <a16:creationId xmlns:a16="http://schemas.microsoft.com/office/drawing/2014/main" id="{079ADEB9-72B6-44BB-B51C-B37860FF495F}"/>
              </a:ext>
            </a:extLst>
          </xdr:cNvPr>
          <xdr:cNvSpPr/>
        </xdr:nvSpPr>
        <xdr:spPr>
          <a:xfrm>
            <a:off x="38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29" name="$E$289">
            <a:extLst>
              <a:ext uri="{FF2B5EF4-FFF2-40B4-BE49-F238E27FC236}">
                <a16:creationId xmlns:a16="http://schemas.microsoft.com/office/drawing/2014/main" id="{13B04E82-CBF6-460D-B2E0-A0AC84A6E266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30" name="$E$289">
            <a:extLst>
              <a:ext uri="{FF2B5EF4-FFF2-40B4-BE49-F238E27FC236}">
                <a16:creationId xmlns:a16="http://schemas.microsoft.com/office/drawing/2014/main" id="{18C07169-0DAB-47E0-AC30-A106C6B2D09C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31" name="$E$289">
            <a:extLst>
              <a:ext uri="{FF2B5EF4-FFF2-40B4-BE49-F238E27FC236}">
                <a16:creationId xmlns:a16="http://schemas.microsoft.com/office/drawing/2014/main" id="{1CBA361F-CE89-45C3-8C61-693609A21B2B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32" name="$E$289">
            <a:extLst>
              <a:ext uri="{FF2B5EF4-FFF2-40B4-BE49-F238E27FC236}">
                <a16:creationId xmlns:a16="http://schemas.microsoft.com/office/drawing/2014/main" id="{42C142E9-43A8-4797-8C39-65C7BE4DBF1E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33" name="$E$289">
            <a:extLst>
              <a:ext uri="{FF2B5EF4-FFF2-40B4-BE49-F238E27FC236}">
                <a16:creationId xmlns:a16="http://schemas.microsoft.com/office/drawing/2014/main" id="{9582F9D0-5712-45E3-9705-B8D4FC1A0C69}"/>
              </a:ext>
            </a:extLst>
          </xdr:cNvPr>
          <xdr:cNvSpPr/>
        </xdr:nvSpPr>
        <xdr:spPr>
          <a:xfrm>
            <a:off x="165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34" name="$E$289">
            <a:extLst>
              <a:ext uri="{FF2B5EF4-FFF2-40B4-BE49-F238E27FC236}">
                <a16:creationId xmlns:a16="http://schemas.microsoft.com/office/drawing/2014/main" id="{FCB7DEC0-2226-477A-9126-D132E2FF5C25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35" name="$E$289">
            <a:extLst>
              <a:ext uri="{FF2B5EF4-FFF2-40B4-BE49-F238E27FC236}">
                <a16:creationId xmlns:a16="http://schemas.microsoft.com/office/drawing/2014/main" id="{44087B5F-F5B7-4125-8D69-A479D3C743CD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36" name="$E$289">
            <a:extLst>
              <a:ext uri="{FF2B5EF4-FFF2-40B4-BE49-F238E27FC236}">
                <a16:creationId xmlns:a16="http://schemas.microsoft.com/office/drawing/2014/main" id="{D3FD3C3E-5DBA-4ACA-999E-6740333BDCE7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37" name="$E$289">
            <a:extLst>
              <a:ext uri="{FF2B5EF4-FFF2-40B4-BE49-F238E27FC236}">
                <a16:creationId xmlns:a16="http://schemas.microsoft.com/office/drawing/2014/main" id="{80BBD0CB-C254-4800-9CB9-67D982141BBB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38" name="$E$289">
            <a:extLst>
              <a:ext uri="{FF2B5EF4-FFF2-40B4-BE49-F238E27FC236}">
                <a16:creationId xmlns:a16="http://schemas.microsoft.com/office/drawing/2014/main" id="{9C607662-117F-4F57-8D1C-1A4E8D35D13B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39" name="$E$289">
            <a:extLst>
              <a:ext uri="{FF2B5EF4-FFF2-40B4-BE49-F238E27FC236}">
                <a16:creationId xmlns:a16="http://schemas.microsoft.com/office/drawing/2014/main" id="{856CC52A-FE11-4AF3-B50B-95A48610B844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40" name="$E$289">
            <a:extLst>
              <a:ext uri="{FF2B5EF4-FFF2-40B4-BE49-F238E27FC236}">
                <a16:creationId xmlns:a16="http://schemas.microsoft.com/office/drawing/2014/main" id="{08596CAE-ECB2-416C-AD8A-550507E0B128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41" name="$E$289">
            <a:extLst>
              <a:ext uri="{FF2B5EF4-FFF2-40B4-BE49-F238E27FC236}">
                <a16:creationId xmlns:a16="http://schemas.microsoft.com/office/drawing/2014/main" id="{CE6C0C17-C002-4CF0-812E-D580162EF72E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42" name="$E$289">
            <a:extLst>
              <a:ext uri="{FF2B5EF4-FFF2-40B4-BE49-F238E27FC236}">
                <a16:creationId xmlns:a16="http://schemas.microsoft.com/office/drawing/2014/main" id="{25ED7EAC-6A3A-49BE-8F43-605BDA384527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43" name="$E$289">
            <a:extLst>
              <a:ext uri="{FF2B5EF4-FFF2-40B4-BE49-F238E27FC236}">
                <a16:creationId xmlns:a16="http://schemas.microsoft.com/office/drawing/2014/main" id="{E2A0694D-7829-4E10-AA7F-21808C52C77D}"/>
              </a:ext>
            </a:extLst>
          </xdr:cNvPr>
          <xdr:cNvSpPr/>
        </xdr:nvSpPr>
        <xdr:spPr>
          <a:xfrm>
            <a:off x="419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44" name="$E$289">
            <a:extLst>
              <a:ext uri="{FF2B5EF4-FFF2-40B4-BE49-F238E27FC236}">
                <a16:creationId xmlns:a16="http://schemas.microsoft.com/office/drawing/2014/main" id="{C85DBAA6-33B6-4ACF-B579-07624CC92277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45" name="$E$289">
            <a:extLst>
              <a:ext uri="{FF2B5EF4-FFF2-40B4-BE49-F238E27FC236}">
                <a16:creationId xmlns:a16="http://schemas.microsoft.com/office/drawing/2014/main" id="{3575E285-4BF3-476D-961F-C2ACDBD793CF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46" name="$E$289">
            <a:extLst>
              <a:ext uri="{FF2B5EF4-FFF2-40B4-BE49-F238E27FC236}">
                <a16:creationId xmlns:a16="http://schemas.microsoft.com/office/drawing/2014/main" id="{82C74753-A824-4183-B539-79E953DC5107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47" name="$E$289">
            <a:extLst>
              <a:ext uri="{FF2B5EF4-FFF2-40B4-BE49-F238E27FC236}">
                <a16:creationId xmlns:a16="http://schemas.microsoft.com/office/drawing/2014/main" id="{F08F1256-F44E-49EC-B368-1D7F70F8C88A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48" name="$E$289">
            <a:extLst>
              <a:ext uri="{FF2B5EF4-FFF2-40B4-BE49-F238E27FC236}">
                <a16:creationId xmlns:a16="http://schemas.microsoft.com/office/drawing/2014/main" id="{80FC2C1C-100F-4EB1-9E48-356179031929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49" name="$E$289">
            <a:extLst>
              <a:ext uri="{FF2B5EF4-FFF2-40B4-BE49-F238E27FC236}">
                <a16:creationId xmlns:a16="http://schemas.microsoft.com/office/drawing/2014/main" id="{2EAE04E9-88B2-4F4A-AB97-42B9A40537A0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50" name="$E$289">
            <a:extLst>
              <a:ext uri="{FF2B5EF4-FFF2-40B4-BE49-F238E27FC236}">
                <a16:creationId xmlns:a16="http://schemas.microsoft.com/office/drawing/2014/main" id="{5CF38B84-F0F4-4B07-8AEC-CD08B16BD152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51" name="$E$289">
            <a:extLst>
              <a:ext uri="{FF2B5EF4-FFF2-40B4-BE49-F238E27FC236}">
                <a16:creationId xmlns:a16="http://schemas.microsoft.com/office/drawing/2014/main" id="{27C7AAC0-28B8-44DD-8B7B-D6D2BB3FD3AD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52" name="$E$289">
            <a:extLst>
              <a:ext uri="{FF2B5EF4-FFF2-40B4-BE49-F238E27FC236}">
                <a16:creationId xmlns:a16="http://schemas.microsoft.com/office/drawing/2014/main" id="{A0DAB05F-9C71-4B9C-899F-DEB184B629DA}"/>
              </a:ext>
            </a:extLst>
          </xdr:cNvPr>
          <xdr:cNvSpPr/>
        </xdr:nvSpPr>
        <xdr:spPr>
          <a:xfrm>
            <a:off x="381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53" name="$E$289">
            <a:extLst>
              <a:ext uri="{FF2B5EF4-FFF2-40B4-BE49-F238E27FC236}">
                <a16:creationId xmlns:a16="http://schemas.microsoft.com/office/drawing/2014/main" id="{F1D93327-4220-43E7-AF2D-430F345313B0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54" name="$E$289">
            <a:extLst>
              <a:ext uri="{FF2B5EF4-FFF2-40B4-BE49-F238E27FC236}">
                <a16:creationId xmlns:a16="http://schemas.microsoft.com/office/drawing/2014/main" id="{F9663D24-6D4C-4482-A71A-F9F3AD0F48C2}"/>
              </a:ext>
            </a:extLst>
          </xdr:cNvPr>
          <xdr:cNvSpPr/>
        </xdr:nvSpPr>
        <xdr:spPr>
          <a:xfrm>
            <a:off x="406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55" name="$E$289">
            <a:extLst>
              <a:ext uri="{FF2B5EF4-FFF2-40B4-BE49-F238E27FC236}">
                <a16:creationId xmlns:a16="http://schemas.microsoft.com/office/drawing/2014/main" id="{96E84B36-B4B2-446C-91E4-EB82CDA93712}"/>
              </a:ext>
            </a:extLst>
          </xdr:cNvPr>
          <xdr:cNvSpPr/>
        </xdr:nvSpPr>
        <xdr:spPr>
          <a:xfrm>
            <a:off x="419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56" name="$E$289">
            <a:extLst>
              <a:ext uri="{FF2B5EF4-FFF2-40B4-BE49-F238E27FC236}">
                <a16:creationId xmlns:a16="http://schemas.microsoft.com/office/drawing/2014/main" id="{EB6CD559-94C8-47F9-83A5-062E05B3CC31}"/>
              </a:ext>
            </a:extLst>
          </xdr:cNvPr>
          <xdr:cNvSpPr/>
        </xdr:nvSpPr>
        <xdr:spPr>
          <a:xfrm>
            <a:off x="444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57" name="$E$289">
            <a:extLst>
              <a:ext uri="{FF2B5EF4-FFF2-40B4-BE49-F238E27FC236}">
                <a16:creationId xmlns:a16="http://schemas.microsoft.com/office/drawing/2014/main" id="{2C76D64B-AD00-40C0-A9C0-DB0A95A6F8D0}"/>
              </a:ext>
            </a:extLst>
          </xdr:cNvPr>
          <xdr:cNvSpPr/>
        </xdr:nvSpPr>
        <xdr:spPr>
          <a:xfrm>
            <a:off x="457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58" name="$E$289">
            <a:extLst>
              <a:ext uri="{FF2B5EF4-FFF2-40B4-BE49-F238E27FC236}">
                <a16:creationId xmlns:a16="http://schemas.microsoft.com/office/drawing/2014/main" id="{FE3A98CD-5DDF-4551-A9A9-11FB736A8F54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59" name="$E$289">
            <a:extLst>
              <a:ext uri="{FF2B5EF4-FFF2-40B4-BE49-F238E27FC236}">
                <a16:creationId xmlns:a16="http://schemas.microsoft.com/office/drawing/2014/main" id="{E9751448-75D9-43A1-ABD0-C0FC30E82B28}"/>
              </a:ext>
            </a:extLst>
          </xdr:cNvPr>
          <xdr:cNvSpPr/>
        </xdr:nvSpPr>
        <xdr:spPr>
          <a:xfrm>
            <a:off x="38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60" name="$E$289">
            <a:extLst>
              <a:ext uri="{FF2B5EF4-FFF2-40B4-BE49-F238E27FC236}">
                <a16:creationId xmlns:a16="http://schemas.microsoft.com/office/drawing/2014/main" id="{D1502B67-5516-4F17-98AE-44E993EB1B6C}"/>
              </a:ext>
            </a:extLst>
          </xdr:cNvPr>
          <xdr:cNvSpPr/>
        </xdr:nvSpPr>
        <xdr:spPr>
          <a:xfrm>
            <a:off x="50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61" name="$E$289">
            <a:extLst>
              <a:ext uri="{FF2B5EF4-FFF2-40B4-BE49-F238E27FC236}">
                <a16:creationId xmlns:a16="http://schemas.microsoft.com/office/drawing/2014/main" id="{8B1D449D-AD0C-4950-B999-10359A2434EB}"/>
              </a:ext>
            </a:extLst>
          </xdr:cNvPr>
          <xdr:cNvSpPr/>
        </xdr:nvSpPr>
        <xdr:spPr>
          <a:xfrm>
            <a:off x="63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62" name="$E$289">
            <a:extLst>
              <a:ext uri="{FF2B5EF4-FFF2-40B4-BE49-F238E27FC236}">
                <a16:creationId xmlns:a16="http://schemas.microsoft.com/office/drawing/2014/main" id="{5B9EB2E4-071A-4060-849E-63E9A53CF016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63" name="$E$289">
            <a:extLst>
              <a:ext uri="{FF2B5EF4-FFF2-40B4-BE49-F238E27FC236}">
                <a16:creationId xmlns:a16="http://schemas.microsoft.com/office/drawing/2014/main" id="{85E45B28-7C91-48B0-8B91-B8C7E496173B}"/>
              </a:ext>
            </a:extLst>
          </xdr:cNvPr>
          <xdr:cNvSpPr/>
        </xdr:nvSpPr>
        <xdr:spPr>
          <a:xfrm>
            <a:off x="114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64" name="$E$289">
            <a:extLst>
              <a:ext uri="{FF2B5EF4-FFF2-40B4-BE49-F238E27FC236}">
                <a16:creationId xmlns:a16="http://schemas.microsoft.com/office/drawing/2014/main" id="{4A1D6838-D588-4E9F-835B-9F860FF4C325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65" name="$E$289">
            <a:extLst>
              <a:ext uri="{FF2B5EF4-FFF2-40B4-BE49-F238E27FC236}">
                <a16:creationId xmlns:a16="http://schemas.microsoft.com/office/drawing/2014/main" id="{ECCDA69B-86C7-4EEB-A994-ACAA5C421ED6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66" name="$E$289">
            <a:extLst>
              <a:ext uri="{FF2B5EF4-FFF2-40B4-BE49-F238E27FC236}">
                <a16:creationId xmlns:a16="http://schemas.microsoft.com/office/drawing/2014/main" id="{98FBD5A7-51C8-4E13-BC01-1F9A04C6EE11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67" name="$E$289">
            <a:extLst>
              <a:ext uri="{FF2B5EF4-FFF2-40B4-BE49-F238E27FC236}">
                <a16:creationId xmlns:a16="http://schemas.microsoft.com/office/drawing/2014/main" id="{9C1ADC4B-AF3C-41BC-9146-E626829AC10C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68" name="$E$289">
            <a:extLst>
              <a:ext uri="{FF2B5EF4-FFF2-40B4-BE49-F238E27FC236}">
                <a16:creationId xmlns:a16="http://schemas.microsoft.com/office/drawing/2014/main" id="{58A09A86-1994-48AF-8B8B-4F62CD983499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69" name="$E$289">
            <a:extLst>
              <a:ext uri="{FF2B5EF4-FFF2-40B4-BE49-F238E27FC236}">
                <a16:creationId xmlns:a16="http://schemas.microsoft.com/office/drawing/2014/main" id="{740912CD-8CFE-4167-BC57-1CBACE891275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70" name="$E$289">
            <a:extLst>
              <a:ext uri="{FF2B5EF4-FFF2-40B4-BE49-F238E27FC236}">
                <a16:creationId xmlns:a16="http://schemas.microsoft.com/office/drawing/2014/main" id="{56D04FD0-BE89-47B4-BD13-26D5B0CB6CBF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71" name="$E$289">
            <a:extLst>
              <a:ext uri="{FF2B5EF4-FFF2-40B4-BE49-F238E27FC236}">
                <a16:creationId xmlns:a16="http://schemas.microsoft.com/office/drawing/2014/main" id="{1D50B6B3-B203-4F16-A682-D86BF60DBA1B}"/>
              </a:ext>
            </a:extLst>
          </xdr:cNvPr>
          <xdr:cNvSpPr/>
        </xdr:nvSpPr>
        <xdr:spPr>
          <a:xfrm>
            <a:off x="330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72" name="$E$289">
            <a:extLst>
              <a:ext uri="{FF2B5EF4-FFF2-40B4-BE49-F238E27FC236}">
                <a16:creationId xmlns:a16="http://schemas.microsoft.com/office/drawing/2014/main" id="{ACD77B26-9E2F-4FC6-B76B-98A4838ADC42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73" name="$E$289">
            <a:extLst>
              <a:ext uri="{FF2B5EF4-FFF2-40B4-BE49-F238E27FC236}">
                <a16:creationId xmlns:a16="http://schemas.microsoft.com/office/drawing/2014/main" id="{1F3502D8-270F-424E-AC9F-41C7D088B324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74" name="$E$289">
            <a:extLst>
              <a:ext uri="{FF2B5EF4-FFF2-40B4-BE49-F238E27FC236}">
                <a16:creationId xmlns:a16="http://schemas.microsoft.com/office/drawing/2014/main" id="{0E0F7CD9-8A92-43E2-92E8-62D89A137C6B}"/>
              </a:ext>
            </a:extLst>
          </xdr:cNvPr>
          <xdr:cNvSpPr/>
        </xdr:nvSpPr>
        <xdr:spPr>
          <a:xfrm>
            <a:off x="393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75" name="$E$289">
            <a:extLst>
              <a:ext uri="{FF2B5EF4-FFF2-40B4-BE49-F238E27FC236}">
                <a16:creationId xmlns:a16="http://schemas.microsoft.com/office/drawing/2014/main" id="{318D2BB1-1F29-4FDC-91E3-573A7849E649}"/>
              </a:ext>
            </a:extLst>
          </xdr:cNvPr>
          <xdr:cNvSpPr/>
        </xdr:nvSpPr>
        <xdr:spPr>
          <a:xfrm>
            <a:off x="406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76" name="$E$289">
            <a:extLst>
              <a:ext uri="{FF2B5EF4-FFF2-40B4-BE49-F238E27FC236}">
                <a16:creationId xmlns:a16="http://schemas.microsoft.com/office/drawing/2014/main" id="{9A7FFE6C-E18F-4B84-938A-F8C92FC3B4FF}"/>
              </a:ext>
            </a:extLst>
          </xdr:cNvPr>
          <xdr:cNvSpPr/>
        </xdr:nvSpPr>
        <xdr:spPr>
          <a:xfrm>
            <a:off x="457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77" name="$E$289">
            <a:extLst>
              <a:ext uri="{FF2B5EF4-FFF2-40B4-BE49-F238E27FC236}">
                <a16:creationId xmlns:a16="http://schemas.microsoft.com/office/drawing/2014/main" id="{A0BECAD7-53D3-4198-B295-7A17E5CADFC8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78" name="$E$289">
            <a:extLst>
              <a:ext uri="{FF2B5EF4-FFF2-40B4-BE49-F238E27FC236}">
                <a16:creationId xmlns:a16="http://schemas.microsoft.com/office/drawing/2014/main" id="{425F8E23-4B2A-434A-A562-9D472DDA294E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79" name="$E$289">
            <a:extLst>
              <a:ext uri="{FF2B5EF4-FFF2-40B4-BE49-F238E27FC236}">
                <a16:creationId xmlns:a16="http://schemas.microsoft.com/office/drawing/2014/main" id="{B62A6CDD-75C9-49F1-841F-41DDE51BEA83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80" name="$E$289">
            <a:extLst>
              <a:ext uri="{FF2B5EF4-FFF2-40B4-BE49-F238E27FC236}">
                <a16:creationId xmlns:a16="http://schemas.microsoft.com/office/drawing/2014/main" id="{8CEAE9BA-2313-405C-8D08-B41679E495B7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81" name="$E$289">
            <a:extLst>
              <a:ext uri="{FF2B5EF4-FFF2-40B4-BE49-F238E27FC236}">
                <a16:creationId xmlns:a16="http://schemas.microsoft.com/office/drawing/2014/main" id="{8CBAC780-C9BD-4A0D-AD72-1ACD5EC94EFE}"/>
              </a:ext>
            </a:extLst>
          </xdr:cNvPr>
          <xdr:cNvSpPr/>
        </xdr:nvSpPr>
        <xdr:spPr>
          <a:xfrm>
            <a:off x="88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82" name="$E$289">
            <a:extLst>
              <a:ext uri="{FF2B5EF4-FFF2-40B4-BE49-F238E27FC236}">
                <a16:creationId xmlns:a16="http://schemas.microsoft.com/office/drawing/2014/main" id="{63926635-9F46-486D-B551-4F645CB4E738}"/>
              </a:ext>
            </a:extLst>
          </xdr:cNvPr>
          <xdr:cNvSpPr/>
        </xdr:nvSpPr>
        <xdr:spPr>
          <a:xfrm>
            <a:off x="101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83" name="$E$289">
            <a:extLst>
              <a:ext uri="{FF2B5EF4-FFF2-40B4-BE49-F238E27FC236}">
                <a16:creationId xmlns:a16="http://schemas.microsoft.com/office/drawing/2014/main" id="{91B74C5F-F279-4C80-A26C-7E439D80BDC4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84" name="$E$289">
            <a:extLst>
              <a:ext uri="{FF2B5EF4-FFF2-40B4-BE49-F238E27FC236}">
                <a16:creationId xmlns:a16="http://schemas.microsoft.com/office/drawing/2014/main" id="{CCA918EE-7089-4ABD-9F79-7BB4D9EB848C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85" name="$E$289">
            <a:extLst>
              <a:ext uri="{FF2B5EF4-FFF2-40B4-BE49-F238E27FC236}">
                <a16:creationId xmlns:a16="http://schemas.microsoft.com/office/drawing/2014/main" id="{68BE07F1-487D-4D30-841F-4765859B5FA0}"/>
              </a:ext>
            </a:extLst>
          </xdr:cNvPr>
          <xdr:cNvSpPr/>
        </xdr:nvSpPr>
        <xdr:spPr>
          <a:xfrm>
            <a:off x="152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86" name="$E$289">
            <a:extLst>
              <a:ext uri="{FF2B5EF4-FFF2-40B4-BE49-F238E27FC236}">
                <a16:creationId xmlns:a16="http://schemas.microsoft.com/office/drawing/2014/main" id="{066D9F88-B8A3-4BCC-99FE-6A672CE74A49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87" name="$E$289">
            <a:extLst>
              <a:ext uri="{FF2B5EF4-FFF2-40B4-BE49-F238E27FC236}">
                <a16:creationId xmlns:a16="http://schemas.microsoft.com/office/drawing/2014/main" id="{7F7828F3-D805-45B3-9312-FF43F7EE9EE7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88" name="$E$289">
            <a:extLst>
              <a:ext uri="{FF2B5EF4-FFF2-40B4-BE49-F238E27FC236}">
                <a16:creationId xmlns:a16="http://schemas.microsoft.com/office/drawing/2014/main" id="{301240CC-46E7-45B1-8161-6A90A2F5D32C}"/>
              </a:ext>
            </a:extLst>
          </xdr:cNvPr>
          <xdr:cNvSpPr/>
        </xdr:nvSpPr>
        <xdr:spPr>
          <a:xfrm>
            <a:off x="203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89" name="$E$289">
            <a:extLst>
              <a:ext uri="{FF2B5EF4-FFF2-40B4-BE49-F238E27FC236}">
                <a16:creationId xmlns:a16="http://schemas.microsoft.com/office/drawing/2014/main" id="{E3FD25F8-0E5E-4B87-A3C2-9113C1C7A216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90" name="$E$289">
            <a:extLst>
              <a:ext uri="{FF2B5EF4-FFF2-40B4-BE49-F238E27FC236}">
                <a16:creationId xmlns:a16="http://schemas.microsoft.com/office/drawing/2014/main" id="{4B226D59-594A-408A-8420-34D5A0CFF0C2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91" name="$E$289">
            <a:extLst>
              <a:ext uri="{FF2B5EF4-FFF2-40B4-BE49-F238E27FC236}">
                <a16:creationId xmlns:a16="http://schemas.microsoft.com/office/drawing/2014/main" id="{95CBB630-361E-45B4-9DD5-B292F24787D7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92" name="$E$289">
            <a:extLst>
              <a:ext uri="{FF2B5EF4-FFF2-40B4-BE49-F238E27FC236}">
                <a16:creationId xmlns:a16="http://schemas.microsoft.com/office/drawing/2014/main" id="{5E73890F-EFB1-48B3-BFB4-619569BD0BB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93" name="$E$289">
            <a:extLst>
              <a:ext uri="{FF2B5EF4-FFF2-40B4-BE49-F238E27FC236}">
                <a16:creationId xmlns:a16="http://schemas.microsoft.com/office/drawing/2014/main" id="{A3CD2832-B08C-4D2E-911D-9572145B086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94" name="$E$289">
            <a:extLst>
              <a:ext uri="{FF2B5EF4-FFF2-40B4-BE49-F238E27FC236}">
                <a16:creationId xmlns:a16="http://schemas.microsoft.com/office/drawing/2014/main" id="{D3D734F2-7BAF-4D82-84C6-BFD510A24D07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95" name="$E$289">
            <a:extLst>
              <a:ext uri="{FF2B5EF4-FFF2-40B4-BE49-F238E27FC236}">
                <a16:creationId xmlns:a16="http://schemas.microsoft.com/office/drawing/2014/main" id="{D97CD385-1291-446B-B06F-4387FF0F5698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96" name="$E$289">
            <a:extLst>
              <a:ext uri="{FF2B5EF4-FFF2-40B4-BE49-F238E27FC236}">
                <a16:creationId xmlns:a16="http://schemas.microsoft.com/office/drawing/2014/main" id="{48D6ADFB-B280-48A1-8A34-5ADF47EA47EF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97" name="$E$289">
            <a:extLst>
              <a:ext uri="{FF2B5EF4-FFF2-40B4-BE49-F238E27FC236}">
                <a16:creationId xmlns:a16="http://schemas.microsoft.com/office/drawing/2014/main" id="{7B148D75-19F5-43F5-96C7-CF9B03F90EE1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98" name="$E$289">
            <a:extLst>
              <a:ext uri="{FF2B5EF4-FFF2-40B4-BE49-F238E27FC236}">
                <a16:creationId xmlns:a16="http://schemas.microsoft.com/office/drawing/2014/main" id="{D20E43A4-63C8-40AD-BE90-12C521FD5EA9}"/>
              </a:ext>
            </a:extLst>
          </xdr:cNvPr>
          <xdr:cNvSpPr/>
        </xdr:nvSpPr>
        <xdr:spPr>
          <a:xfrm>
            <a:off x="368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199" name="$E$289">
            <a:extLst>
              <a:ext uri="{FF2B5EF4-FFF2-40B4-BE49-F238E27FC236}">
                <a16:creationId xmlns:a16="http://schemas.microsoft.com/office/drawing/2014/main" id="{27A463BB-7252-4106-A993-D03394C9E8C8}"/>
              </a:ext>
            </a:extLst>
          </xdr:cNvPr>
          <xdr:cNvSpPr/>
        </xdr:nvSpPr>
        <xdr:spPr>
          <a:xfrm>
            <a:off x="381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00" name="$E$289">
            <a:extLst>
              <a:ext uri="{FF2B5EF4-FFF2-40B4-BE49-F238E27FC236}">
                <a16:creationId xmlns:a16="http://schemas.microsoft.com/office/drawing/2014/main" id="{5C6C8481-81DB-4987-937B-FC62F7CB25EF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01" name="$E$289">
            <a:extLst>
              <a:ext uri="{FF2B5EF4-FFF2-40B4-BE49-F238E27FC236}">
                <a16:creationId xmlns:a16="http://schemas.microsoft.com/office/drawing/2014/main" id="{495A5378-6989-4160-B07E-F87107A357C4}"/>
              </a:ext>
            </a:extLst>
          </xdr:cNvPr>
          <xdr:cNvSpPr/>
        </xdr:nvSpPr>
        <xdr:spPr>
          <a:xfrm>
            <a:off x="431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02" name="$E$289">
            <a:extLst>
              <a:ext uri="{FF2B5EF4-FFF2-40B4-BE49-F238E27FC236}">
                <a16:creationId xmlns:a16="http://schemas.microsoft.com/office/drawing/2014/main" id="{AA6CB77F-A185-4623-A3B2-21007AEB11C7}"/>
              </a:ext>
            </a:extLst>
          </xdr:cNvPr>
          <xdr:cNvSpPr/>
        </xdr:nvSpPr>
        <xdr:spPr>
          <a:xfrm>
            <a:off x="444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03" name="$E$289">
            <a:extLst>
              <a:ext uri="{FF2B5EF4-FFF2-40B4-BE49-F238E27FC236}">
                <a16:creationId xmlns:a16="http://schemas.microsoft.com/office/drawing/2014/main" id="{3BACC965-A8DA-464F-B7A5-F94A7AB6E804}"/>
              </a:ext>
            </a:extLst>
          </xdr:cNvPr>
          <xdr:cNvSpPr/>
        </xdr:nvSpPr>
        <xdr:spPr>
          <a:xfrm>
            <a:off x="457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04" name="$E$289">
            <a:extLst>
              <a:ext uri="{FF2B5EF4-FFF2-40B4-BE49-F238E27FC236}">
                <a16:creationId xmlns:a16="http://schemas.microsoft.com/office/drawing/2014/main" id="{4E5C033E-895C-44E9-8DCF-5D2284D9D2D3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05" name="$E$289">
            <a:extLst>
              <a:ext uri="{FF2B5EF4-FFF2-40B4-BE49-F238E27FC236}">
                <a16:creationId xmlns:a16="http://schemas.microsoft.com/office/drawing/2014/main" id="{B5310A52-6F8B-4622-B7C1-405E38040169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06" name="$E$289">
            <a:extLst>
              <a:ext uri="{FF2B5EF4-FFF2-40B4-BE49-F238E27FC236}">
                <a16:creationId xmlns:a16="http://schemas.microsoft.com/office/drawing/2014/main" id="{2511FA24-84C0-4477-A0A8-6698D82EFD83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07" name="$E$289">
            <a:extLst>
              <a:ext uri="{FF2B5EF4-FFF2-40B4-BE49-F238E27FC236}">
                <a16:creationId xmlns:a16="http://schemas.microsoft.com/office/drawing/2014/main" id="{16AF05DE-B0BD-4496-BD17-9DB8ABF255CD}"/>
              </a:ext>
            </a:extLst>
          </xdr:cNvPr>
          <xdr:cNvSpPr/>
        </xdr:nvSpPr>
        <xdr:spPr>
          <a:xfrm>
            <a:off x="127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08" name="$E$289">
            <a:extLst>
              <a:ext uri="{FF2B5EF4-FFF2-40B4-BE49-F238E27FC236}">
                <a16:creationId xmlns:a16="http://schemas.microsoft.com/office/drawing/2014/main" id="{50471BC9-2452-4E89-A616-00DD3023A42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09" name="$E$289">
            <a:extLst>
              <a:ext uri="{FF2B5EF4-FFF2-40B4-BE49-F238E27FC236}">
                <a16:creationId xmlns:a16="http://schemas.microsoft.com/office/drawing/2014/main" id="{69E5640E-B9E6-4BB4-AAB7-6A2FE197B847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10" name="$E$289">
            <a:extLst>
              <a:ext uri="{FF2B5EF4-FFF2-40B4-BE49-F238E27FC236}">
                <a16:creationId xmlns:a16="http://schemas.microsoft.com/office/drawing/2014/main" id="{DF2182D5-D0F0-49C3-A27E-5E2DE462A342}"/>
              </a:ext>
            </a:extLst>
          </xdr:cNvPr>
          <xdr:cNvSpPr/>
        </xdr:nvSpPr>
        <xdr:spPr>
          <a:xfrm>
            <a:off x="215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11" name="$E$289">
            <a:extLst>
              <a:ext uri="{FF2B5EF4-FFF2-40B4-BE49-F238E27FC236}">
                <a16:creationId xmlns:a16="http://schemas.microsoft.com/office/drawing/2014/main" id="{C2AD5522-0507-4436-8AF3-430E7F14E37D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12" name="$E$289">
            <a:extLst>
              <a:ext uri="{FF2B5EF4-FFF2-40B4-BE49-F238E27FC236}">
                <a16:creationId xmlns:a16="http://schemas.microsoft.com/office/drawing/2014/main" id="{988191F2-0FD7-45D9-AC26-8BB80BB29AA6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13" name="$E$289">
            <a:extLst>
              <a:ext uri="{FF2B5EF4-FFF2-40B4-BE49-F238E27FC236}">
                <a16:creationId xmlns:a16="http://schemas.microsoft.com/office/drawing/2014/main" id="{3693FF2B-73E4-403B-BBCA-FAD408C92324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14" name="$E$289">
            <a:extLst>
              <a:ext uri="{FF2B5EF4-FFF2-40B4-BE49-F238E27FC236}">
                <a16:creationId xmlns:a16="http://schemas.microsoft.com/office/drawing/2014/main" id="{586CE2F9-6536-4A72-8CB2-AFB157E6A6AC}"/>
              </a:ext>
            </a:extLst>
          </xdr:cNvPr>
          <xdr:cNvSpPr/>
        </xdr:nvSpPr>
        <xdr:spPr>
          <a:xfrm>
            <a:off x="292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15" name="$E$289">
            <a:extLst>
              <a:ext uri="{FF2B5EF4-FFF2-40B4-BE49-F238E27FC236}">
                <a16:creationId xmlns:a16="http://schemas.microsoft.com/office/drawing/2014/main" id="{7BD3E368-FF9B-4123-9BCD-89AC8D43C62D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16" name="$E$289">
            <a:extLst>
              <a:ext uri="{FF2B5EF4-FFF2-40B4-BE49-F238E27FC236}">
                <a16:creationId xmlns:a16="http://schemas.microsoft.com/office/drawing/2014/main" id="{32078214-AF6F-49BA-982A-32543AF55D58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17" name="$E$289">
            <a:extLst>
              <a:ext uri="{FF2B5EF4-FFF2-40B4-BE49-F238E27FC236}">
                <a16:creationId xmlns:a16="http://schemas.microsoft.com/office/drawing/2014/main" id="{E1979106-2745-4923-AFEB-5C5791A41584}"/>
              </a:ext>
            </a:extLst>
          </xdr:cNvPr>
          <xdr:cNvSpPr/>
        </xdr:nvSpPr>
        <xdr:spPr>
          <a:xfrm>
            <a:off x="393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18" name="$E$289">
            <a:extLst>
              <a:ext uri="{FF2B5EF4-FFF2-40B4-BE49-F238E27FC236}">
                <a16:creationId xmlns:a16="http://schemas.microsoft.com/office/drawing/2014/main" id="{87C535EF-195D-4F6D-BE61-D81BF809944E}"/>
              </a:ext>
            </a:extLst>
          </xdr:cNvPr>
          <xdr:cNvSpPr/>
        </xdr:nvSpPr>
        <xdr:spPr>
          <a:xfrm>
            <a:off x="419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19" name="$E$289">
            <a:extLst>
              <a:ext uri="{FF2B5EF4-FFF2-40B4-BE49-F238E27FC236}">
                <a16:creationId xmlns:a16="http://schemas.microsoft.com/office/drawing/2014/main" id="{1EB394DD-2727-41DC-9279-8DD067F14BF6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20" name="$E$289">
            <a:extLst>
              <a:ext uri="{FF2B5EF4-FFF2-40B4-BE49-F238E27FC236}">
                <a16:creationId xmlns:a16="http://schemas.microsoft.com/office/drawing/2014/main" id="{B6D22CE8-10D7-4219-810D-D4AAC21AE60D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21" name="$E$289">
            <a:extLst>
              <a:ext uri="{FF2B5EF4-FFF2-40B4-BE49-F238E27FC236}">
                <a16:creationId xmlns:a16="http://schemas.microsoft.com/office/drawing/2014/main" id="{34AB28B9-57F8-42C4-9255-B66B132C919E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22" name="$E$289">
            <a:extLst>
              <a:ext uri="{FF2B5EF4-FFF2-40B4-BE49-F238E27FC236}">
                <a16:creationId xmlns:a16="http://schemas.microsoft.com/office/drawing/2014/main" id="{56327914-D571-4B2C-AF7D-AC425825E481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23" name="$E$289">
            <a:extLst>
              <a:ext uri="{FF2B5EF4-FFF2-40B4-BE49-F238E27FC236}">
                <a16:creationId xmlns:a16="http://schemas.microsoft.com/office/drawing/2014/main" id="{26B90E01-798D-4ABB-BCE5-86342F91F359}"/>
              </a:ext>
            </a:extLst>
          </xdr:cNvPr>
          <xdr:cNvSpPr/>
        </xdr:nvSpPr>
        <xdr:spPr>
          <a:xfrm>
            <a:off x="114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24" name="$E$289">
            <a:extLst>
              <a:ext uri="{FF2B5EF4-FFF2-40B4-BE49-F238E27FC236}">
                <a16:creationId xmlns:a16="http://schemas.microsoft.com/office/drawing/2014/main" id="{97E8389C-015F-4359-8BA5-87A965A503BF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25" name="$E$289">
            <a:extLst>
              <a:ext uri="{FF2B5EF4-FFF2-40B4-BE49-F238E27FC236}">
                <a16:creationId xmlns:a16="http://schemas.microsoft.com/office/drawing/2014/main" id="{9AA6B547-55DB-4A34-9C3C-A1881EBC78BD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26" name="$E$289">
            <a:extLst>
              <a:ext uri="{FF2B5EF4-FFF2-40B4-BE49-F238E27FC236}">
                <a16:creationId xmlns:a16="http://schemas.microsoft.com/office/drawing/2014/main" id="{8C5387C9-DD5B-45B8-BC37-59E891B42B25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27" name="$E$289">
            <a:extLst>
              <a:ext uri="{FF2B5EF4-FFF2-40B4-BE49-F238E27FC236}">
                <a16:creationId xmlns:a16="http://schemas.microsoft.com/office/drawing/2014/main" id="{4CFA5A0D-992A-41A2-94CF-E948B1D006EA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28" name="$E$289">
            <a:extLst>
              <a:ext uri="{FF2B5EF4-FFF2-40B4-BE49-F238E27FC236}">
                <a16:creationId xmlns:a16="http://schemas.microsoft.com/office/drawing/2014/main" id="{1DA5D6B4-8BED-486A-8187-9C66009BF624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29" name="$E$289">
            <a:extLst>
              <a:ext uri="{FF2B5EF4-FFF2-40B4-BE49-F238E27FC236}">
                <a16:creationId xmlns:a16="http://schemas.microsoft.com/office/drawing/2014/main" id="{432507A7-8453-47DC-9ADB-D1FD357CF417}"/>
              </a:ext>
            </a:extLst>
          </xdr:cNvPr>
          <xdr:cNvSpPr/>
        </xdr:nvSpPr>
        <xdr:spPr>
          <a:xfrm>
            <a:off x="342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30" name="$E$289">
            <a:extLst>
              <a:ext uri="{FF2B5EF4-FFF2-40B4-BE49-F238E27FC236}">
                <a16:creationId xmlns:a16="http://schemas.microsoft.com/office/drawing/2014/main" id="{9C2D2ABB-9790-4D89-9FEE-FEA9928FF742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31" name="$E$289">
            <a:extLst>
              <a:ext uri="{FF2B5EF4-FFF2-40B4-BE49-F238E27FC236}">
                <a16:creationId xmlns:a16="http://schemas.microsoft.com/office/drawing/2014/main" id="{3D5EF1AD-8151-4393-B422-1DA258FC8018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32" name="$E$289">
            <a:extLst>
              <a:ext uri="{FF2B5EF4-FFF2-40B4-BE49-F238E27FC236}">
                <a16:creationId xmlns:a16="http://schemas.microsoft.com/office/drawing/2014/main" id="{2AC84900-1DA0-4FCB-9563-076084E6F3DC}"/>
              </a:ext>
            </a:extLst>
          </xdr:cNvPr>
          <xdr:cNvSpPr/>
        </xdr:nvSpPr>
        <xdr:spPr>
          <a:xfrm>
            <a:off x="431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33" name="$E$289">
            <a:extLst>
              <a:ext uri="{FF2B5EF4-FFF2-40B4-BE49-F238E27FC236}">
                <a16:creationId xmlns:a16="http://schemas.microsoft.com/office/drawing/2014/main" id="{4A4FEE2A-582A-4F76-B997-97CBE3643A5E}"/>
              </a:ext>
            </a:extLst>
          </xdr:cNvPr>
          <xdr:cNvSpPr/>
        </xdr:nvSpPr>
        <xdr:spPr>
          <a:xfrm>
            <a:off x="444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34" name="$E$289">
            <a:extLst>
              <a:ext uri="{FF2B5EF4-FFF2-40B4-BE49-F238E27FC236}">
                <a16:creationId xmlns:a16="http://schemas.microsoft.com/office/drawing/2014/main" id="{14CC1410-80F9-4845-AE0D-89FCD298B18F}"/>
              </a:ext>
            </a:extLst>
          </xdr:cNvPr>
          <xdr:cNvSpPr/>
        </xdr:nvSpPr>
        <xdr:spPr>
          <a:xfrm>
            <a:off x="457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35" name="$E$289">
            <a:extLst>
              <a:ext uri="{FF2B5EF4-FFF2-40B4-BE49-F238E27FC236}">
                <a16:creationId xmlns:a16="http://schemas.microsoft.com/office/drawing/2014/main" id="{0E28F75E-5EA2-4981-8248-5B151B7DE9A1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36" name="$E$289">
            <a:extLst>
              <a:ext uri="{FF2B5EF4-FFF2-40B4-BE49-F238E27FC236}">
                <a16:creationId xmlns:a16="http://schemas.microsoft.com/office/drawing/2014/main" id="{824D65F2-C395-4540-A7D1-9F1CF0255D14}"/>
              </a:ext>
            </a:extLst>
          </xdr:cNvPr>
          <xdr:cNvSpPr/>
        </xdr:nvSpPr>
        <xdr:spPr>
          <a:xfrm>
            <a:off x="88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37" name="$E$289">
            <a:extLst>
              <a:ext uri="{FF2B5EF4-FFF2-40B4-BE49-F238E27FC236}">
                <a16:creationId xmlns:a16="http://schemas.microsoft.com/office/drawing/2014/main" id="{747044C1-C83E-4B60-82CC-AAB7A52E0060}"/>
              </a:ext>
            </a:extLst>
          </xdr:cNvPr>
          <xdr:cNvSpPr/>
        </xdr:nvSpPr>
        <xdr:spPr>
          <a:xfrm>
            <a:off x="101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38" name="$E$289">
            <a:extLst>
              <a:ext uri="{FF2B5EF4-FFF2-40B4-BE49-F238E27FC236}">
                <a16:creationId xmlns:a16="http://schemas.microsoft.com/office/drawing/2014/main" id="{7DCA022B-5F56-4C55-88E4-7C60A039F915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39" name="$E$289">
            <a:extLst>
              <a:ext uri="{FF2B5EF4-FFF2-40B4-BE49-F238E27FC236}">
                <a16:creationId xmlns:a16="http://schemas.microsoft.com/office/drawing/2014/main" id="{A9820DDA-3666-4A41-90B0-D7BB3A1184FC}"/>
              </a:ext>
            </a:extLst>
          </xdr:cNvPr>
          <xdr:cNvSpPr/>
        </xdr:nvSpPr>
        <xdr:spPr>
          <a:xfrm>
            <a:off x="139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40" name="$E$289">
            <a:extLst>
              <a:ext uri="{FF2B5EF4-FFF2-40B4-BE49-F238E27FC236}">
                <a16:creationId xmlns:a16="http://schemas.microsoft.com/office/drawing/2014/main" id="{5726FCC1-0941-4AE8-9171-4888FEAB62AE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41" name="$E$289">
            <a:extLst>
              <a:ext uri="{FF2B5EF4-FFF2-40B4-BE49-F238E27FC236}">
                <a16:creationId xmlns:a16="http://schemas.microsoft.com/office/drawing/2014/main" id="{52940D10-94D9-41A7-ADCC-3973D724E6B9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42" name="$E$289">
            <a:extLst>
              <a:ext uri="{FF2B5EF4-FFF2-40B4-BE49-F238E27FC236}">
                <a16:creationId xmlns:a16="http://schemas.microsoft.com/office/drawing/2014/main" id="{8805312D-C75E-4008-84AE-0AB683678496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43" name="$E$289">
            <a:extLst>
              <a:ext uri="{FF2B5EF4-FFF2-40B4-BE49-F238E27FC236}">
                <a16:creationId xmlns:a16="http://schemas.microsoft.com/office/drawing/2014/main" id="{89A9D8C2-BB82-44FC-BEB7-1A7E40C1AB7F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44" name="$E$289">
            <a:extLst>
              <a:ext uri="{FF2B5EF4-FFF2-40B4-BE49-F238E27FC236}">
                <a16:creationId xmlns:a16="http://schemas.microsoft.com/office/drawing/2014/main" id="{366E6549-ACEB-4DE7-9459-21DF0C26F854}"/>
              </a:ext>
            </a:extLst>
          </xdr:cNvPr>
          <xdr:cNvSpPr/>
        </xdr:nvSpPr>
        <xdr:spPr>
          <a:xfrm>
            <a:off x="419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45" name="$E$289">
            <a:extLst>
              <a:ext uri="{FF2B5EF4-FFF2-40B4-BE49-F238E27FC236}">
                <a16:creationId xmlns:a16="http://schemas.microsoft.com/office/drawing/2014/main" id="{450EA442-5F6B-4EC5-99DB-A4EC95B68D7D}"/>
              </a:ext>
            </a:extLst>
          </xdr:cNvPr>
          <xdr:cNvSpPr/>
        </xdr:nvSpPr>
        <xdr:spPr>
          <a:xfrm>
            <a:off x="457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46" name="$E$289">
            <a:extLst>
              <a:ext uri="{FF2B5EF4-FFF2-40B4-BE49-F238E27FC236}">
                <a16:creationId xmlns:a16="http://schemas.microsoft.com/office/drawing/2014/main" id="{9DC224A4-91A2-47A7-BC1F-DA2AEE5DDC06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47" name="$E$289">
            <a:extLst>
              <a:ext uri="{FF2B5EF4-FFF2-40B4-BE49-F238E27FC236}">
                <a16:creationId xmlns:a16="http://schemas.microsoft.com/office/drawing/2014/main" id="{2BC827FA-D419-4193-9709-2BA722562B96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48" name="$E$289">
            <a:extLst>
              <a:ext uri="{FF2B5EF4-FFF2-40B4-BE49-F238E27FC236}">
                <a16:creationId xmlns:a16="http://schemas.microsoft.com/office/drawing/2014/main" id="{39F74AF0-58ED-44CC-AEE0-A2BAD5F693AB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49" name="$E$289">
            <a:extLst>
              <a:ext uri="{FF2B5EF4-FFF2-40B4-BE49-F238E27FC236}">
                <a16:creationId xmlns:a16="http://schemas.microsoft.com/office/drawing/2014/main" id="{41B64417-5278-4B27-A20C-868CE4AA8957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50" name="$E$289">
            <a:extLst>
              <a:ext uri="{FF2B5EF4-FFF2-40B4-BE49-F238E27FC236}">
                <a16:creationId xmlns:a16="http://schemas.microsoft.com/office/drawing/2014/main" id="{6554A12D-7F72-4701-95F1-390237C93D39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51" name="$E$289">
            <a:extLst>
              <a:ext uri="{FF2B5EF4-FFF2-40B4-BE49-F238E27FC236}">
                <a16:creationId xmlns:a16="http://schemas.microsoft.com/office/drawing/2014/main" id="{A875BF4B-C811-46B0-9AE4-20064B55F079}"/>
              </a:ext>
            </a:extLst>
          </xdr:cNvPr>
          <xdr:cNvSpPr/>
        </xdr:nvSpPr>
        <xdr:spPr>
          <a:xfrm>
            <a:off x="88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52" name="$E$289">
            <a:extLst>
              <a:ext uri="{FF2B5EF4-FFF2-40B4-BE49-F238E27FC236}">
                <a16:creationId xmlns:a16="http://schemas.microsoft.com/office/drawing/2014/main" id="{BBD08F21-C8C5-40DE-ADA7-0937FBF8CFDF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53" name="$E$289">
            <a:extLst>
              <a:ext uri="{FF2B5EF4-FFF2-40B4-BE49-F238E27FC236}">
                <a16:creationId xmlns:a16="http://schemas.microsoft.com/office/drawing/2014/main" id="{9EDD4E92-F7DB-4B13-8AAB-17BAD9DD04F9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54" name="$E$289">
            <a:extLst>
              <a:ext uri="{FF2B5EF4-FFF2-40B4-BE49-F238E27FC236}">
                <a16:creationId xmlns:a16="http://schemas.microsoft.com/office/drawing/2014/main" id="{DE8F260E-8253-4FF0-B3E7-26A44F916C08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55" name="$E$289">
            <a:extLst>
              <a:ext uri="{FF2B5EF4-FFF2-40B4-BE49-F238E27FC236}">
                <a16:creationId xmlns:a16="http://schemas.microsoft.com/office/drawing/2014/main" id="{51DFFCDF-A3B7-4B8B-A599-15A6E53B36F9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56" name="$E$289">
            <a:extLst>
              <a:ext uri="{FF2B5EF4-FFF2-40B4-BE49-F238E27FC236}">
                <a16:creationId xmlns:a16="http://schemas.microsoft.com/office/drawing/2014/main" id="{70F80710-E484-49D5-B0EF-192707B7D26E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57" name="$E$289">
            <a:extLst>
              <a:ext uri="{FF2B5EF4-FFF2-40B4-BE49-F238E27FC236}">
                <a16:creationId xmlns:a16="http://schemas.microsoft.com/office/drawing/2014/main" id="{EEC7A0D7-75C6-468E-9382-8DA662423AA5}"/>
              </a:ext>
            </a:extLst>
          </xdr:cNvPr>
          <xdr:cNvSpPr/>
        </xdr:nvSpPr>
        <xdr:spPr>
          <a:xfrm>
            <a:off x="203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58" name="$E$289">
            <a:extLst>
              <a:ext uri="{FF2B5EF4-FFF2-40B4-BE49-F238E27FC236}">
                <a16:creationId xmlns:a16="http://schemas.microsoft.com/office/drawing/2014/main" id="{B66EE088-4986-41EE-8B85-37E93112159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59" name="$E$289">
            <a:extLst>
              <a:ext uri="{FF2B5EF4-FFF2-40B4-BE49-F238E27FC236}">
                <a16:creationId xmlns:a16="http://schemas.microsoft.com/office/drawing/2014/main" id="{7BA8C37E-EAD7-4E12-82D1-601E3BE8D3C3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60" name="$E$289">
            <a:extLst>
              <a:ext uri="{FF2B5EF4-FFF2-40B4-BE49-F238E27FC236}">
                <a16:creationId xmlns:a16="http://schemas.microsoft.com/office/drawing/2014/main" id="{39AA782F-1FAE-43E5-B973-A5DB59BFE9F9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61" name="$E$289">
            <a:extLst>
              <a:ext uri="{FF2B5EF4-FFF2-40B4-BE49-F238E27FC236}">
                <a16:creationId xmlns:a16="http://schemas.microsoft.com/office/drawing/2014/main" id="{566C5411-94B4-450D-83BB-C9943A1A8688}"/>
              </a:ext>
            </a:extLst>
          </xdr:cNvPr>
          <xdr:cNvSpPr/>
        </xdr:nvSpPr>
        <xdr:spPr>
          <a:xfrm>
            <a:off x="292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62" name="$E$289">
            <a:extLst>
              <a:ext uri="{FF2B5EF4-FFF2-40B4-BE49-F238E27FC236}">
                <a16:creationId xmlns:a16="http://schemas.microsoft.com/office/drawing/2014/main" id="{4ECCD0E7-BACE-42B3-9236-B2F9117C94DF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63" name="$E$289">
            <a:extLst>
              <a:ext uri="{FF2B5EF4-FFF2-40B4-BE49-F238E27FC236}">
                <a16:creationId xmlns:a16="http://schemas.microsoft.com/office/drawing/2014/main" id="{02490D01-7A82-4C46-819E-E08D6AD52954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64" name="$E$289">
            <a:extLst>
              <a:ext uri="{FF2B5EF4-FFF2-40B4-BE49-F238E27FC236}">
                <a16:creationId xmlns:a16="http://schemas.microsoft.com/office/drawing/2014/main" id="{A991A801-E005-4536-96F8-E556E50D8CC1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65" name="$E$289">
            <a:extLst>
              <a:ext uri="{FF2B5EF4-FFF2-40B4-BE49-F238E27FC236}">
                <a16:creationId xmlns:a16="http://schemas.microsoft.com/office/drawing/2014/main" id="{7A70FCF8-CFAF-4C23-B8AC-6D1CA657380B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66" name="$E$289">
            <a:extLst>
              <a:ext uri="{FF2B5EF4-FFF2-40B4-BE49-F238E27FC236}">
                <a16:creationId xmlns:a16="http://schemas.microsoft.com/office/drawing/2014/main" id="{C0F9A4A1-CCD7-4164-8CD9-F1F5C971AB3D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67" name="$E$289">
            <a:extLst>
              <a:ext uri="{FF2B5EF4-FFF2-40B4-BE49-F238E27FC236}">
                <a16:creationId xmlns:a16="http://schemas.microsoft.com/office/drawing/2014/main" id="{C995E47F-DE35-45BA-8FFE-671543ABA7B2}"/>
              </a:ext>
            </a:extLst>
          </xdr:cNvPr>
          <xdr:cNvSpPr/>
        </xdr:nvSpPr>
        <xdr:spPr>
          <a:xfrm>
            <a:off x="368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68" name="$E$289">
            <a:extLst>
              <a:ext uri="{FF2B5EF4-FFF2-40B4-BE49-F238E27FC236}">
                <a16:creationId xmlns:a16="http://schemas.microsoft.com/office/drawing/2014/main" id="{2925B321-426C-4788-A68E-00CEDD2D6221}"/>
              </a:ext>
            </a:extLst>
          </xdr:cNvPr>
          <xdr:cNvSpPr/>
        </xdr:nvSpPr>
        <xdr:spPr>
          <a:xfrm>
            <a:off x="381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69" name="$E$289">
            <a:extLst>
              <a:ext uri="{FF2B5EF4-FFF2-40B4-BE49-F238E27FC236}">
                <a16:creationId xmlns:a16="http://schemas.microsoft.com/office/drawing/2014/main" id="{AB712B7C-5796-4D4E-9DE3-2DC4EB244C3B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70" name="$E$289">
            <a:extLst>
              <a:ext uri="{FF2B5EF4-FFF2-40B4-BE49-F238E27FC236}">
                <a16:creationId xmlns:a16="http://schemas.microsoft.com/office/drawing/2014/main" id="{DC9957D5-C4D7-4458-8257-B92B0942AF14}"/>
              </a:ext>
            </a:extLst>
          </xdr:cNvPr>
          <xdr:cNvSpPr/>
        </xdr:nvSpPr>
        <xdr:spPr>
          <a:xfrm>
            <a:off x="406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71" name="$E$289">
            <a:extLst>
              <a:ext uri="{FF2B5EF4-FFF2-40B4-BE49-F238E27FC236}">
                <a16:creationId xmlns:a16="http://schemas.microsoft.com/office/drawing/2014/main" id="{8680E71A-D86F-4788-B3E8-45BC9FA4149A}"/>
              </a:ext>
            </a:extLst>
          </xdr:cNvPr>
          <xdr:cNvSpPr/>
        </xdr:nvSpPr>
        <xdr:spPr>
          <a:xfrm>
            <a:off x="419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72" name="$E$289">
            <a:extLst>
              <a:ext uri="{FF2B5EF4-FFF2-40B4-BE49-F238E27FC236}">
                <a16:creationId xmlns:a16="http://schemas.microsoft.com/office/drawing/2014/main" id="{496CF69A-41DF-450A-852B-85CDDC5C50CB}"/>
              </a:ext>
            </a:extLst>
          </xdr:cNvPr>
          <xdr:cNvSpPr/>
        </xdr:nvSpPr>
        <xdr:spPr>
          <a:xfrm>
            <a:off x="431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73" name="$E$289">
            <a:extLst>
              <a:ext uri="{FF2B5EF4-FFF2-40B4-BE49-F238E27FC236}">
                <a16:creationId xmlns:a16="http://schemas.microsoft.com/office/drawing/2014/main" id="{D8AD7F45-AC16-49D0-9A79-F8578D9AE83A}"/>
              </a:ext>
            </a:extLst>
          </xdr:cNvPr>
          <xdr:cNvSpPr/>
        </xdr:nvSpPr>
        <xdr:spPr>
          <a:xfrm>
            <a:off x="457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74" name="$E$289">
            <a:extLst>
              <a:ext uri="{FF2B5EF4-FFF2-40B4-BE49-F238E27FC236}">
                <a16:creationId xmlns:a16="http://schemas.microsoft.com/office/drawing/2014/main" id="{86238D80-BA52-4F12-9698-30F6CEC5F7AC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75" name="$E$289">
            <a:extLst>
              <a:ext uri="{FF2B5EF4-FFF2-40B4-BE49-F238E27FC236}">
                <a16:creationId xmlns:a16="http://schemas.microsoft.com/office/drawing/2014/main" id="{C57786EC-80F6-43E4-9E5D-C3F0B982AE15}"/>
              </a:ext>
            </a:extLst>
          </xdr:cNvPr>
          <xdr:cNvSpPr/>
        </xdr:nvSpPr>
        <xdr:spPr>
          <a:xfrm>
            <a:off x="114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76" name="$E$289">
            <a:extLst>
              <a:ext uri="{FF2B5EF4-FFF2-40B4-BE49-F238E27FC236}">
                <a16:creationId xmlns:a16="http://schemas.microsoft.com/office/drawing/2014/main" id="{27D79CA1-7E15-4DF1-ACBC-076D3A9E6509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77" name="$E$289">
            <a:extLst>
              <a:ext uri="{FF2B5EF4-FFF2-40B4-BE49-F238E27FC236}">
                <a16:creationId xmlns:a16="http://schemas.microsoft.com/office/drawing/2014/main" id="{060037BB-F8C6-4F47-A56C-02A51563662A}"/>
              </a:ext>
            </a:extLst>
          </xdr:cNvPr>
          <xdr:cNvSpPr/>
        </xdr:nvSpPr>
        <xdr:spPr>
          <a:xfrm>
            <a:off x="177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78" name="$E$289">
            <a:extLst>
              <a:ext uri="{FF2B5EF4-FFF2-40B4-BE49-F238E27FC236}">
                <a16:creationId xmlns:a16="http://schemas.microsoft.com/office/drawing/2014/main" id="{9A643EE9-574E-4EE5-9A7E-03DB7CCCD98C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79" name="$E$289">
            <a:extLst>
              <a:ext uri="{FF2B5EF4-FFF2-40B4-BE49-F238E27FC236}">
                <a16:creationId xmlns:a16="http://schemas.microsoft.com/office/drawing/2014/main" id="{CBDF91D5-2BE0-4011-A0EA-FD07F65A0C65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80" name="$E$289">
            <a:extLst>
              <a:ext uri="{FF2B5EF4-FFF2-40B4-BE49-F238E27FC236}">
                <a16:creationId xmlns:a16="http://schemas.microsoft.com/office/drawing/2014/main" id="{2CE27A41-5693-4C53-8DEC-E73345735E5D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81" name="$E$289">
            <a:extLst>
              <a:ext uri="{FF2B5EF4-FFF2-40B4-BE49-F238E27FC236}">
                <a16:creationId xmlns:a16="http://schemas.microsoft.com/office/drawing/2014/main" id="{CE71D76F-E89F-422D-8A24-A57832782639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82" name="$E$289">
            <a:extLst>
              <a:ext uri="{FF2B5EF4-FFF2-40B4-BE49-F238E27FC236}">
                <a16:creationId xmlns:a16="http://schemas.microsoft.com/office/drawing/2014/main" id="{28192D87-5708-4C6E-9551-DC01CFFA473A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83" name="$E$289">
            <a:extLst>
              <a:ext uri="{FF2B5EF4-FFF2-40B4-BE49-F238E27FC236}">
                <a16:creationId xmlns:a16="http://schemas.microsoft.com/office/drawing/2014/main" id="{1B5E4769-3847-465B-8537-32623B82132C}"/>
              </a:ext>
            </a:extLst>
          </xdr:cNvPr>
          <xdr:cNvSpPr/>
        </xdr:nvSpPr>
        <xdr:spPr>
          <a:xfrm>
            <a:off x="266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84" name="$E$289">
            <a:extLst>
              <a:ext uri="{FF2B5EF4-FFF2-40B4-BE49-F238E27FC236}">
                <a16:creationId xmlns:a16="http://schemas.microsoft.com/office/drawing/2014/main" id="{051FC403-C5C5-45E8-88F5-4A071B9D8E6C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85" name="$E$289">
            <a:extLst>
              <a:ext uri="{FF2B5EF4-FFF2-40B4-BE49-F238E27FC236}">
                <a16:creationId xmlns:a16="http://schemas.microsoft.com/office/drawing/2014/main" id="{5B5DB6D3-A889-4D1F-9B71-4EA2D05B0FE6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86" name="$E$289">
            <a:extLst>
              <a:ext uri="{FF2B5EF4-FFF2-40B4-BE49-F238E27FC236}">
                <a16:creationId xmlns:a16="http://schemas.microsoft.com/office/drawing/2014/main" id="{9C55F971-8CFB-4AB6-9006-26493A77B34F}"/>
              </a:ext>
            </a:extLst>
          </xdr:cNvPr>
          <xdr:cNvSpPr/>
        </xdr:nvSpPr>
        <xdr:spPr>
          <a:xfrm>
            <a:off x="406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87" name="$E$289">
            <a:extLst>
              <a:ext uri="{FF2B5EF4-FFF2-40B4-BE49-F238E27FC236}">
                <a16:creationId xmlns:a16="http://schemas.microsoft.com/office/drawing/2014/main" id="{EA8B9008-2078-44EF-BC4C-5961B07B1D86}"/>
              </a:ext>
            </a:extLst>
          </xdr:cNvPr>
          <xdr:cNvSpPr/>
        </xdr:nvSpPr>
        <xdr:spPr>
          <a:xfrm>
            <a:off x="419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88" name="$E$289">
            <a:extLst>
              <a:ext uri="{FF2B5EF4-FFF2-40B4-BE49-F238E27FC236}">
                <a16:creationId xmlns:a16="http://schemas.microsoft.com/office/drawing/2014/main" id="{745728A4-5FE5-4567-8D02-050148DAAA84}"/>
              </a:ext>
            </a:extLst>
          </xdr:cNvPr>
          <xdr:cNvSpPr/>
        </xdr:nvSpPr>
        <xdr:spPr>
          <a:xfrm>
            <a:off x="444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89" name="$E$289">
            <a:extLst>
              <a:ext uri="{FF2B5EF4-FFF2-40B4-BE49-F238E27FC236}">
                <a16:creationId xmlns:a16="http://schemas.microsoft.com/office/drawing/2014/main" id="{F7B42C94-70F2-44EF-9E34-325A61374B63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90" name="$E$289">
            <a:extLst>
              <a:ext uri="{FF2B5EF4-FFF2-40B4-BE49-F238E27FC236}">
                <a16:creationId xmlns:a16="http://schemas.microsoft.com/office/drawing/2014/main" id="{14DEC86A-BEE1-4757-BAA7-1E647CD26664}"/>
              </a:ext>
            </a:extLst>
          </xdr:cNvPr>
          <xdr:cNvSpPr/>
        </xdr:nvSpPr>
        <xdr:spPr>
          <a:xfrm>
            <a:off x="12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91" name="$E$289">
            <a:extLst>
              <a:ext uri="{FF2B5EF4-FFF2-40B4-BE49-F238E27FC236}">
                <a16:creationId xmlns:a16="http://schemas.microsoft.com/office/drawing/2014/main" id="{502015AB-F875-424D-932B-706B15696E40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92" name="$E$289">
            <a:extLst>
              <a:ext uri="{FF2B5EF4-FFF2-40B4-BE49-F238E27FC236}">
                <a16:creationId xmlns:a16="http://schemas.microsoft.com/office/drawing/2014/main" id="{5D211105-7929-42A6-B59F-774C827541F5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93" name="$E$289">
            <a:extLst>
              <a:ext uri="{FF2B5EF4-FFF2-40B4-BE49-F238E27FC236}">
                <a16:creationId xmlns:a16="http://schemas.microsoft.com/office/drawing/2014/main" id="{EA1C79CF-E15B-4E14-B3B1-E897A940FD80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94" name="$E$289">
            <a:extLst>
              <a:ext uri="{FF2B5EF4-FFF2-40B4-BE49-F238E27FC236}">
                <a16:creationId xmlns:a16="http://schemas.microsoft.com/office/drawing/2014/main" id="{14469DF4-ED52-4D0E-8D12-986C08A2E92E}"/>
              </a:ext>
            </a:extLst>
          </xdr:cNvPr>
          <xdr:cNvSpPr/>
        </xdr:nvSpPr>
        <xdr:spPr>
          <a:xfrm>
            <a:off x="63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95" name="$E$289">
            <a:extLst>
              <a:ext uri="{FF2B5EF4-FFF2-40B4-BE49-F238E27FC236}">
                <a16:creationId xmlns:a16="http://schemas.microsoft.com/office/drawing/2014/main" id="{A5008C4E-925E-49FA-AA71-351D02D631BE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96" name="$E$289">
            <a:extLst>
              <a:ext uri="{FF2B5EF4-FFF2-40B4-BE49-F238E27FC236}">
                <a16:creationId xmlns:a16="http://schemas.microsoft.com/office/drawing/2014/main" id="{225466DE-CE93-4724-B1B0-9C416551CD77}"/>
              </a:ext>
            </a:extLst>
          </xdr:cNvPr>
          <xdr:cNvSpPr/>
        </xdr:nvSpPr>
        <xdr:spPr>
          <a:xfrm>
            <a:off x="127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97" name="$E$289">
            <a:extLst>
              <a:ext uri="{FF2B5EF4-FFF2-40B4-BE49-F238E27FC236}">
                <a16:creationId xmlns:a16="http://schemas.microsoft.com/office/drawing/2014/main" id="{6081AF6B-5FE0-4A6D-A9AF-00D6615AB550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98" name="$E$289">
            <a:extLst>
              <a:ext uri="{FF2B5EF4-FFF2-40B4-BE49-F238E27FC236}">
                <a16:creationId xmlns:a16="http://schemas.microsoft.com/office/drawing/2014/main" id="{59ED1FC4-ED4E-4EAC-BC8D-EDC2476D2F2A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299" name="$E$289">
            <a:extLst>
              <a:ext uri="{FF2B5EF4-FFF2-40B4-BE49-F238E27FC236}">
                <a16:creationId xmlns:a16="http://schemas.microsoft.com/office/drawing/2014/main" id="{998B193D-290F-4F85-A1FC-51513012149C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00" name="$E$289">
            <a:extLst>
              <a:ext uri="{FF2B5EF4-FFF2-40B4-BE49-F238E27FC236}">
                <a16:creationId xmlns:a16="http://schemas.microsoft.com/office/drawing/2014/main" id="{7322174D-ED26-4BEA-9B69-AF56921C0509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01" name="$E$289">
            <a:extLst>
              <a:ext uri="{FF2B5EF4-FFF2-40B4-BE49-F238E27FC236}">
                <a16:creationId xmlns:a16="http://schemas.microsoft.com/office/drawing/2014/main" id="{CD45C850-0C98-42EE-A090-E04B6EBB2B01}"/>
              </a:ext>
            </a:extLst>
          </xdr:cNvPr>
          <xdr:cNvSpPr/>
        </xdr:nvSpPr>
        <xdr:spPr>
          <a:xfrm>
            <a:off x="2159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02" name="$E$289">
            <a:extLst>
              <a:ext uri="{FF2B5EF4-FFF2-40B4-BE49-F238E27FC236}">
                <a16:creationId xmlns:a16="http://schemas.microsoft.com/office/drawing/2014/main" id="{23A90F36-4EBA-40BE-9136-881538ED74DF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03" name="$E$289">
            <a:extLst>
              <a:ext uri="{FF2B5EF4-FFF2-40B4-BE49-F238E27FC236}">
                <a16:creationId xmlns:a16="http://schemas.microsoft.com/office/drawing/2014/main" id="{E37CE590-81B3-42CA-A585-15B3F8C32F31}"/>
              </a:ext>
            </a:extLst>
          </xdr:cNvPr>
          <xdr:cNvSpPr/>
        </xdr:nvSpPr>
        <xdr:spPr>
          <a:xfrm>
            <a:off x="266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04" name="$E$289">
            <a:extLst>
              <a:ext uri="{FF2B5EF4-FFF2-40B4-BE49-F238E27FC236}">
                <a16:creationId xmlns:a16="http://schemas.microsoft.com/office/drawing/2014/main" id="{55EDAD11-48B7-4778-A7C5-529AEEB87B81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05" name="$E$289">
            <a:extLst>
              <a:ext uri="{FF2B5EF4-FFF2-40B4-BE49-F238E27FC236}">
                <a16:creationId xmlns:a16="http://schemas.microsoft.com/office/drawing/2014/main" id="{1A521AEC-7DAD-4A0E-B2CE-68A54938C661}"/>
              </a:ext>
            </a:extLst>
          </xdr:cNvPr>
          <xdr:cNvSpPr/>
        </xdr:nvSpPr>
        <xdr:spPr>
          <a:xfrm>
            <a:off x="355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06" name="$E$289">
            <a:extLst>
              <a:ext uri="{FF2B5EF4-FFF2-40B4-BE49-F238E27FC236}">
                <a16:creationId xmlns:a16="http://schemas.microsoft.com/office/drawing/2014/main" id="{2AC1B7A8-95A9-47F6-87C1-3FD2E94A638E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07" name="$E$289">
            <a:extLst>
              <a:ext uri="{FF2B5EF4-FFF2-40B4-BE49-F238E27FC236}">
                <a16:creationId xmlns:a16="http://schemas.microsoft.com/office/drawing/2014/main" id="{02BB8B23-DB7A-403C-A36A-B0A4C03F4360}"/>
              </a:ext>
            </a:extLst>
          </xdr:cNvPr>
          <xdr:cNvSpPr/>
        </xdr:nvSpPr>
        <xdr:spPr>
          <a:xfrm>
            <a:off x="406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08" name="$E$289">
            <a:extLst>
              <a:ext uri="{FF2B5EF4-FFF2-40B4-BE49-F238E27FC236}">
                <a16:creationId xmlns:a16="http://schemas.microsoft.com/office/drawing/2014/main" id="{B86A9C41-79C2-4BF6-8D0B-52753BDE9FE4}"/>
              </a:ext>
            </a:extLst>
          </xdr:cNvPr>
          <xdr:cNvSpPr/>
        </xdr:nvSpPr>
        <xdr:spPr>
          <a:xfrm>
            <a:off x="431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09" name="$E$289">
            <a:extLst>
              <a:ext uri="{FF2B5EF4-FFF2-40B4-BE49-F238E27FC236}">
                <a16:creationId xmlns:a16="http://schemas.microsoft.com/office/drawing/2014/main" id="{12FD85B2-9570-4EEE-A08F-06611ED50A4D}"/>
              </a:ext>
            </a:extLst>
          </xdr:cNvPr>
          <xdr:cNvSpPr/>
        </xdr:nvSpPr>
        <xdr:spPr>
          <a:xfrm>
            <a:off x="444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10" name="$E$289">
            <a:extLst>
              <a:ext uri="{FF2B5EF4-FFF2-40B4-BE49-F238E27FC236}">
                <a16:creationId xmlns:a16="http://schemas.microsoft.com/office/drawing/2014/main" id="{B9A65E38-09E3-4FB7-88F7-13A263E57708}"/>
              </a:ext>
            </a:extLst>
          </xdr:cNvPr>
          <xdr:cNvSpPr/>
        </xdr:nvSpPr>
        <xdr:spPr>
          <a:xfrm>
            <a:off x="457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11" name="$E$289">
            <a:extLst>
              <a:ext uri="{FF2B5EF4-FFF2-40B4-BE49-F238E27FC236}">
                <a16:creationId xmlns:a16="http://schemas.microsoft.com/office/drawing/2014/main" id="{F7733BFB-15C9-4630-8A41-26DA7124524A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12" name="$E$289">
            <a:extLst>
              <a:ext uri="{FF2B5EF4-FFF2-40B4-BE49-F238E27FC236}">
                <a16:creationId xmlns:a16="http://schemas.microsoft.com/office/drawing/2014/main" id="{FF557CC4-9E7D-4A35-977C-700DD85133E5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13" name="$E$289">
            <a:extLst>
              <a:ext uri="{FF2B5EF4-FFF2-40B4-BE49-F238E27FC236}">
                <a16:creationId xmlns:a16="http://schemas.microsoft.com/office/drawing/2014/main" id="{B5CBD37B-6996-4B62-815E-5A9E4F6078F2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14" name="$E$289">
            <a:extLst>
              <a:ext uri="{FF2B5EF4-FFF2-40B4-BE49-F238E27FC236}">
                <a16:creationId xmlns:a16="http://schemas.microsoft.com/office/drawing/2014/main" id="{885E0DF6-C7E9-4D4C-A18B-9859444DC620}"/>
              </a:ext>
            </a:extLst>
          </xdr:cNvPr>
          <xdr:cNvSpPr/>
        </xdr:nvSpPr>
        <xdr:spPr>
          <a:xfrm>
            <a:off x="114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15" name="$E$289">
            <a:extLst>
              <a:ext uri="{FF2B5EF4-FFF2-40B4-BE49-F238E27FC236}">
                <a16:creationId xmlns:a16="http://schemas.microsoft.com/office/drawing/2014/main" id="{6188DE00-B622-4915-8401-00D5D169B211}"/>
              </a:ext>
            </a:extLst>
          </xdr:cNvPr>
          <xdr:cNvSpPr/>
        </xdr:nvSpPr>
        <xdr:spPr>
          <a:xfrm>
            <a:off x="127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16" name="$E$289">
            <a:extLst>
              <a:ext uri="{FF2B5EF4-FFF2-40B4-BE49-F238E27FC236}">
                <a16:creationId xmlns:a16="http://schemas.microsoft.com/office/drawing/2014/main" id="{D98D105F-1BC0-41F1-AB59-63505F299F69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17" name="$E$289">
            <a:extLst>
              <a:ext uri="{FF2B5EF4-FFF2-40B4-BE49-F238E27FC236}">
                <a16:creationId xmlns:a16="http://schemas.microsoft.com/office/drawing/2014/main" id="{7C2C7E43-CCF6-4932-A4B9-D7AEC3779E1A}"/>
              </a:ext>
            </a:extLst>
          </xdr:cNvPr>
          <xdr:cNvSpPr/>
        </xdr:nvSpPr>
        <xdr:spPr>
          <a:xfrm>
            <a:off x="152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18" name="$E$289">
            <a:extLst>
              <a:ext uri="{FF2B5EF4-FFF2-40B4-BE49-F238E27FC236}">
                <a16:creationId xmlns:a16="http://schemas.microsoft.com/office/drawing/2014/main" id="{7C68A0CC-9620-4203-BB4F-33B2344599C8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19" name="$E$289">
            <a:extLst>
              <a:ext uri="{FF2B5EF4-FFF2-40B4-BE49-F238E27FC236}">
                <a16:creationId xmlns:a16="http://schemas.microsoft.com/office/drawing/2014/main" id="{DB724C07-DB3B-46BA-B6F7-134C7AAD3CB4}"/>
              </a:ext>
            </a:extLst>
          </xdr:cNvPr>
          <xdr:cNvSpPr/>
        </xdr:nvSpPr>
        <xdr:spPr>
          <a:xfrm>
            <a:off x="203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20" name="$E$289">
            <a:extLst>
              <a:ext uri="{FF2B5EF4-FFF2-40B4-BE49-F238E27FC236}">
                <a16:creationId xmlns:a16="http://schemas.microsoft.com/office/drawing/2014/main" id="{312AB7BD-B564-4217-AA54-752EB160C4C9}"/>
              </a:ext>
            </a:extLst>
          </xdr:cNvPr>
          <xdr:cNvSpPr/>
        </xdr:nvSpPr>
        <xdr:spPr>
          <a:xfrm>
            <a:off x="254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21" name="$E$289">
            <a:extLst>
              <a:ext uri="{FF2B5EF4-FFF2-40B4-BE49-F238E27FC236}">
                <a16:creationId xmlns:a16="http://schemas.microsoft.com/office/drawing/2014/main" id="{98C5E1BB-32E1-4349-A17E-CB208160E96E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22" name="$E$289">
            <a:extLst>
              <a:ext uri="{FF2B5EF4-FFF2-40B4-BE49-F238E27FC236}">
                <a16:creationId xmlns:a16="http://schemas.microsoft.com/office/drawing/2014/main" id="{B44B8C9D-1F8A-4D9B-BC9A-0ABEBF2D2B3C}"/>
              </a:ext>
            </a:extLst>
          </xdr:cNvPr>
          <xdr:cNvSpPr/>
        </xdr:nvSpPr>
        <xdr:spPr>
          <a:xfrm>
            <a:off x="292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23" name="$E$289">
            <a:extLst>
              <a:ext uri="{FF2B5EF4-FFF2-40B4-BE49-F238E27FC236}">
                <a16:creationId xmlns:a16="http://schemas.microsoft.com/office/drawing/2014/main" id="{D53F678B-BE77-44E4-81D9-A5F200E839C3}"/>
              </a:ext>
            </a:extLst>
          </xdr:cNvPr>
          <xdr:cNvSpPr/>
        </xdr:nvSpPr>
        <xdr:spPr>
          <a:xfrm>
            <a:off x="304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24" name="$E$289">
            <a:extLst>
              <a:ext uri="{FF2B5EF4-FFF2-40B4-BE49-F238E27FC236}">
                <a16:creationId xmlns:a16="http://schemas.microsoft.com/office/drawing/2014/main" id="{C5D5E62E-B423-4802-8F13-0BEF53109357}"/>
              </a:ext>
            </a:extLst>
          </xdr:cNvPr>
          <xdr:cNvSpPr/>
        </xdr:nvSpPr>
        <xdr:spPr>
          <a:xfrm>
            <a:off x="330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25" name="$E$289">
            <a:extLst>
              <a:ext uri="{FF2B5EF4-FFF2-40B4-BE49-F238E27FC236}">
                <a16:creationId xmlns:a16="http://schemas.microsoft.com/office/drawing/2014/main" id="{0B8678EC-A649-433C-92D3-07180D525BFE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26" name="$E$289">
            <a:extLst>
              <a:ext uri="{FF2B5EF4-FFF2-40B4-BE49-F238E27FC236}">
                <a16:creationId xmlns:a16="http://schemas.microsoft.com/office/drawing/2014/main" id="{74485A55-8040-45AF-A1E4-BEB162B46D09}"/>
              </a:ext>
            </a:extLst>
          </xdr:cNvPr>
          <xdr:cNvSpPr/>
        </xdr:nvSpPr>
        <xdr:spPr>
          <a:xfrm>
            <a:off x="406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27" name="$E$289">
            <a:extLst>
              <a:ext uri="{FF2B5EF4-FFF2-40B4-BE49-F238E27FC236}">
                <a16:creationId xmlns:a16="http://schemas.microsoft.com/office/drawing/2014/main" id="{4F64E169-EC86-4865-AD16-C1DC962CDEDE}"/>
              </a:ext>
            </a:extLst>
          </xdr:cNvPr>
          <xdr:cNvSpPr/>
        </xdr:nvSpPr>
        <xdr:spPr>
          <a:xfrm>
            <a:off x="419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28" name="$E$289">
            <a:extLst>
              <a:ext uri="{FF2B5EF4-FFF2-40B4-BE49-F238E27FC236}">
                <a16:creationId xmlns:a16="http://schemas.microsoft.com/office/drawing/2014/main" id="{1D90C618-4BBF-4D1B-A94F-4252E1491A34}"/>
              </a:ext>
            </a:extLst>
          </xdr:cNvPr>
          <xdr:cNvSpPr/>
        </xdr:nvSpPr>
        <xdr:spPr>
          <a:xfrm>
            <a:off x="444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29" name="$E$289">
            <a:extLst>
              <a:ext uri="{FF2B5EF4-FFF2-40B4-BE49-F238E27FC236}">
                <a16:creationId xmlns:a16="http://schemas.microsoft.com/office/drawing/2014/main" id="{278267A3-E897-4B97-8D84-5AEA0502B182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30" name="$E$289">
            <a:extLst>
              <a:ext uri="{FF2B5EF4-FFF2-40B4-BE49-F238E27FC236}">
                <a16:creationId xmlns:a16="http://schemas.microsoft.com/office/drawing/2014/main" id="{891A9B54-E711-46E0-AE9D-681046DD79E9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31" name="$E$289">
            <a:extLst>
              <a:ext uri="{FF2B5EF4-FFF2-40B4-BE49-F238E27FC236}">
                <a16:creationId xmlns:a16="http://schemas.microsoft.com/office/drawing/2014/main" id="{5BE6705E-E949-407E-A515-EBC20D695A0C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32" name="$E$289">
            <a:extLst>
              <a:ext uri="{FF2B5EF4-FFF2-40B4-BE49-F238E27FC236}">
                <a16:creationId xmlns:a16="http://schemas.microsoft.com/office/drawing/2014/main" id="{1DF5D2A7-89F8-4338-9322-30DD280ACC6B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33" name="$E$289">
            <a:extLst>
              <a:ext uri="{FF2B5EF4-FFF2-40B4-BE49-F238E27FC236}">
                <a16:creationId xmlns:a16="http://schemas.microsoft.com/office/drawing/2014/main" id="{093D8B19-2CB7-41EE-8DCF-A67D1A37EC25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34" name="$E$289">
            <a:extLst>
              <a:ext uri="{FF2B5EF4-FFF2-40B4-BE49-F238E27FC236}">
                <a16:creationId xmlns:a16="http://schemas.microsoft.com/office/drawing/2014/main" id="{FBC1197E-518E-4F98-BD62-DB5CDAE59BCF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35" name="$E$289">
            <a:extLst>
              <a:ext uri="{FF2B5EF4-FFF2-40B4-BE49-F238E27FC236}">
                <a16:creationId xmlns:a16="http://schemas.microsoft.com/office/drawing/2014/main" id="{D3515F52-4382-475B-A138-A27D06559D73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36" name="$E$289">
            <a:extLst>
              <a:ext uri="{FF2B5EF4-FFF2-40B4-BE49-F238E27FC236}">
                <a16:creationId xmlns:a16="http://schemas.microsoft.com/office/drawing/2014/main" id="{425FFC3F-C124-4C8F-AC4E-7ECEE026C4AA}"/>
              </a:ext>
            </a:extLst>
          </xdr:cNvPr>
          <xdr:cNvSpPr/>
        </xdr:nvSpPr>
        <xdr:spPr>
          <a:xfrm>
            <a:off x="165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37" name="$E$289">
            <a:extLst>
              <a:ext uri="{FF2B5EF4-FFF2-40B4-BE49-F238E27FC236}">
                <a16:creationId xmlns:a16="http://schemas.microsoft.com/office/drawing/2014/main" id="{3CAA5A8E-5B86-40C3-852C-F1AAD7894308}"/>
              </a:ext>
            </a:extLst>
          </xdr:cNvPr>
          <xdr:cNvSpPr/>
        </xdr:nvSpPr>
        <xdr:spPr>
          <a:xfrm>
            <a:off x="228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38" name="$E$289">
            <a:extLst>
              <a:ext uri="{FF2B5EF4-FFF2-40B4-BE49-F238E27FC236}">
                <a16:creationId xmlns:a16="http://schemas.microsoft.com/office/drawing/2014/main" id="{FCE416C0-9FF7-467A-B953-1BFCD791682D}"/>
              </a:ext>
            </a:extLst>
          </xdr:cNvPr>
          <xdr:cNvSpPr/>
        </xdr:nvSpPr>
        <xdr:spPr>
          <a:xfrm>
            <a:off x="254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39" name="$E$289">
            <a:extLst>
              <a:ext uri="{FF2B5EF4-FFF2-40B4-BE49-F238E27FC236}">
                <a16:creationId xmlns:a16="http://schemas.microsoft.com/office/drawing/2014/main" id="{22CB726F-4F85-4287-B337-CAD4061DDE91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40" name="$E$289">
            <a:extLst>
              <a:ext uri="{FF2B5EF4-FFF2-40B4-BE49-F238E27FC236}">
                <a16:creationId xmlns:a16="http://schemas.microsoft.com/office/drawing/2014/main" id="{3AA31DD6-7BFA-4309-A548-CC80B3E52F4C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41" name="$E$289">
            <a:extLst>
              <a:ext uri="{FF2B5EF4-FFF2-40B4-BE49-F238E27FC236}">
                <a16:creationId xmlns:a16="http://schemas.microsoft.com/office/drawing/2014/main" id="{96075DC3-0DDF-4ECA-9275-92EF432700BE}"/>
              </a:ext>
            </a:extLst>
          </xdr:cNvPr>
          <xdr:cNvSpPr/>
        </xdr:nvSpPr>
        <xdr:spPr>
          <a:xfrm>
            <a:off x="330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42" name="$E$289">
            <a:extLst>
              <a:ext uri="{FF2B5EF4-FFF2-40B4-BE49-F238E27FC236}">
                <a16:creationId xmlns:a16="http://schemas.microsoft.com/office/drawing/2014/main" id="{55713342-9237-4C03-A6E6-9A7D065A45F5}"/>
              </a:ext>
            </a:extLst>
          </xdr:cNvPr>
          <xdr:cNvSpPr/>
        </xdr:nvSpPr>
        <xdr:spPr>
          <a:xfrm>
            <a:off x="342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43" name="$E$289">
            <a:extLst>
              <a:ext uri="{FF2B5EF4-FFF2-40B4-BE49-F238E27FC236}">
                <a16:creationId xmlns:a16="http://schemas.microsoft.com/office/drawing/2014/main" id="{6CAE8BEC-1C40-438A-9336-CAA78BE943F2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44" name="$E$289">
            <a:extLst>
              <a:ext uri="{FF2B5EF4-FFF2-40B4-BE49-F238E27FC236}">
                <a16:creationId xmlns:a16="http://schemas.microsoft.com/office/drawing/2014/main" id="{5FD6DA96-7920-4AA9-905B-58A9B5424A67}"/>
              </a:ext>
            </a:extLst>
          </xdr:cNvPr>
          <xdr:cNvSpPr/>
        </xdr:nvSpPr>
        <xdr:spPr>
          <a:xfrm>
            <a:off x="368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45" name="$E$289">
            <a:extLst>
              <a:ext uri="{FF2B5EF4-FFF2-40B4-BE49-F238E27FC236}">
                <a16:creationId xmlns:a16="http://schemas.microsoft.com/office/drawing/2014/main" id="{1B623CB9-49AD-4FF2-B7DD-6439F0F38961}"/>
              </a:ext>
            </a:extLst>
          </xdr:cNvPr>
          <xdr:cNvSpPr/>
        </xdr:nvSpPr>
        <xdr:spPr>
          <a:xfrm>
            <a:off x="381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46" name="$E$289">
            <a:extLst>
              <a:ext uri="{FF2B5EF4-FFF2-40B4-BE49-F238E27FC236}">
                <a16:creationId xmlns:a16="http://schemas.microsoft.com/office/drawing/2014/main" id="{84BBBC9C-4F2D-4749-AC78-A657B60FEA02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47" name="$E$289">
            <a:extLst>
              <a:ext uri="{FF2B5EF4-FFF2-40B4-BE49-F238E27FC236}">
                <a16:creationId xmlns:a16="http://schemas.microsoft.com/office/drawing/2014/main" id="{4BCED322-E3EC-4EB2-9BA4-8B0D184E385A}"/>
              </a:ext>
            </a:extLst>
          </xdr:cNvPr>
          <xdr:cNvSpPr/>
        </xdr:nvSpPr>
        <xdr:spPr>
          <a:xfrm>
            <a:off x="406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48" name="$E$289">
            <a:extLst>
              <a:ext uri="{FF2B5EF4-FFF2-40B4-BE49-F238E27FC236}">
                <a16:creationId xmlns:a16="http://schemas.microsoft.com/office/drawing/2014/main" id="{60B4D744-2281-4A5D-B494-21A6E29BE163}"/>
              </a:ext>
            </a:extLst>
          </xdr:cNvPr>
          <xdr:cNvSpPr/>
        </xdr:nvSpPr>
        <xdr:spPr>
          <a:xfrm>
            <a:off x="431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49" name="$E$289">
            <a:extLst>
              <a:ext uri="{FF2B5EF4-FFF2-40B4-BE49-F238E27FC236}">
                <a16:creationId xmlns:a16="http://schemas.microsoft.com/office/drawing/2014/main" id="{C2CAD528-6552-47EA-9ECF-AAD8BF31140C}"/>
              </a:ext>
            </a:extLst>
          </xdr:cNvPr>
          <xdr:cNvSpPr/>
        </xdr:nvSpPr>
        <xdr:spPr>
          <a:xfrm>
            <a:off x="457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50" name="$E$289">
            <a:extLst>
              <a:ext uri="{FF2B5EF4-FFF2-40B4-BE49-F238E27FC236}">
                <a16:creationId xmlns:a16="http://schemas.microsoft.com/office/drawing/2014/main" id="{FAEE000D-5A22-4D47-B1A1-5B28BEDC3394}"/>
              </a:ext>
            </a:extLst>
          </xdr:cNvPr>
          <xdr:cNvSpPr/>
        </xdr:nvSpPr>
        <xdr:spPr>
          <a:xfrm>
            <a:off x="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51" name="$E$289">
            <a:extLst>
              <a:ext uri="{FF2B5EF4-FFF2-40B4-BE49-F238E27FC236}">
                <a16:creationId xmlns:a16="http://schemas.microsoft.com/office/drawing/2014/main" id="{1C19AF5D-9F01-4561-A332-9AEB167C27F7}"/>
              </a:ext>
            </a:extLst>
          </xdr:cNvPr>
          <xdr:cNvSpPr/>
        </xdr:nvSpPr>
        <xdr:spPr>
          <a:xfrm>
            <a:off x="25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52" name="$E$289">
            <a:extLst>
              <a:ext uri="{FF2B5EF4-FFF2-40B4-BE49-F238E27FC236}">
                <a16:creationId xmlns:a16="http://schemas.microsoft.com/office/drawing/2014/main" id="{AF791B9A-80A2-460F-B13D-708F0146903F}"/>
              </a:ext>
            </a:extLst>
          </xdr:cNvPr>
          <xdr:cNvSpPr/>
        </xdr:nvSpPr>
        <xdr:spPr>
          <a:xfrm>
            <a:off x="38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53" name="$E$289">
            <a:extLst>
              <a:ext uri="{FF2B5EF4-FFF2-40B4-BE49-F238E27FC236}">
                <a16:creationId xmlns:a16="http://schemas.microsoft.com/office/drawing/2014/main" id="{A32FAEBB-A387-42BE-ACB9-B4FD6D182A19}"/>
              </a:ext>
            </a:extLst>
          </xdr:cNvPr>
          <xdr:cNvSpPr/>
        </xdr:nvSpPr>
        <xdr:spPr>
          <a:xfrm>
            <a:off x="50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54" name="$E$289">
            <a:extLst>
              <a:ext uri="{FF2B5EF4-FFF2-40B4-BE49-F238E27FC236}">
                <a16:creationId xmlns:a16="http://schemas.microsoft.com/office/drawing/2014/main" id="{C46B8FC7-AE32-4AF9-BC59-327F49598E00}"/>
              </a:ext>
            </a:extLst>
          </xdr:cNvPr>
          <xdr:cNvSpPr/>
        </xdr:nvSpPr>
        <xdr:spPr>
          <a:xfrm>
            <a:off x="76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55" name="$E$289">
            <a:extLst>
              <a:ext uri="{FF2B5EF4-FFF2-40B4-BE49-F238E27FC236}">
                <a16:creationId xmlns:a16="http://schemas.microsoft.com/office/drawing/2014/main" id="{BF943DC7-C11F-4766-ACC6-0FF2089E4BF4}"/>
              </a:ext>
            </a:extLst>
          </xdr:cNvPr>
          <xdr:cNvSpPr/>
        </xdr:nvSpPr>
        <xdr:spPr>
          <a:xfrm>
            <a:off x="101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56" name="$E$289">
            <a:extLst>
              <a:ext uri="{FF2B5EF4-FFF2-40B4-BE49-F238E27FC236}">
                <a16:creationId xmlns:a16="http://schemas.microsoft.com/office/drawing/2014/main" id="{76989C2B-EFB5-43D7-B9E8-DC00CE4B220A}"/>
              </a:ext>
            </a:extLst>
          </xdr:cNvPr>
          <xdr:cNvSpPr/>
        </xdr:nvSpPr>
        <xdr:spPr>
          <a:xfrm>
            <a:off x="114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57" name="$E$289">
            <a:extLst>
              <a:ext uri="{FF2B5EF4-FFF2-40B4-BE49-F238E27FC236}">
                <a16:creationId xmlns:a16="http://schemas.microsoft.com/office/drawing/2014/main" id="{C3B1C064-6E06-41D5-BB2B-AB62413FE53A}"/>
              </a:ext>
            </a:extLst>
          </xdr:cNvPr>
          <xdr:cNvSpPr/>
        </xdr:nvSpPr>
        <xdr:spPr>
          <a:xfrm>
            <a:off x="152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58" name="$E$289">
            <a:extLst>
              <a:ext uri="{FF2B5EF4-FFF2-40B4-BE49-F238E27FC236}">
                <a16:creationId xmlns:a16="http://schemas.microsoft.com/office/drawing/2014/main" id="{2BCCE43D-131F-43CA-A6D8-3B3A48C6CD06}"/>
              </a:ext>
            </a:extLst>
          </xdr:cNvPr>
          <xdr:cNvSpPr/>
        </xdr:nvSpPr>
        <xdr:spPr>
          <a:xfrm>
            <a:off x="177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59" name="$E$289">
            <a:extLst>
              <a:ext uri="{FF2B5EF4-FFF2-40B4-BE49-F238E27FC236}">
                <a16:creationId xmlns:a16="http://schemas.microsoft.com/office/drawing/2014/main" id="{68ED825E-271F-433D-A06C-805EFEC086C7}"/>
              </a:ext>
            </a:extLst>
          </xdr:cNvPr>
          <xdr:cNvSpPr/>
        </xdr:nvSpPr>
        <xdr:spPr>
          <a:xfrm>
            <a:off x="1905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60" name="$E$289">
            <a:extLst>
              <a:ext uri="{FF2B5EF4-FFF2-40B4-BE49-F238E27FC236}">
                <a16:creationId xmlns:a16="http://schemas.microsoft.com/office/drawing/2014/main" id="{946D1376-19E2-49D3-A0F5-4FCC1915D255}"/>
              </a:ext>
            </a:extLst>
          </xdr:cNvPr>
          <xdr:cNvSpPr/>
        </xdr:nvSpPr>
        <xdr:spPr>
          <a:xfrm>
            <a:off x="203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61" name="$E$289">
            <a:extLst>
              <a:ext uri="{FF2B5EF4-FFF2-40B4-BE49-F238E27FC236}">
                <a16:creationId xmlns:a16="http://schemas.microsoft.com/office/drawing/2014/main" id="{040CBAFD-A7DE-4FC8-92B7-C3BD28A8F2FC}"/>
              </a:ext>
            </a:extLst>
          </xdr:cNvPr>
          <xdr:cNvSpPr/>
        </xdr:nvSpPr>
        <xdr:spPr>
          <a:xfrm>
            <a:off x="2159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62" name="$E$289">
            <a:extLst>
              <a:ext uri="{FF2B5EF4-FFF2-40B4-BE49-F238E27FC236}">
                <a16:creationId xmlns:a16="http://schemas.microsoft.com/office/drawing/2014/main" id="{28D9AE49-DA72-4D6C-84B8-32A2A02C8EF5}"/>
              </a:ext>
            </a:extLst>
          </xdr:cNvPr>
          <xdr:cNvSpPr/>
        </xdr:nvSpPr>
        <xdr:spPr>
          <a:xfrm>
            <a:off x="228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63" name="$E$289">
            <a:extLst>
              <a:ext uri="{FF2B5EF4-FFF2-40B4-BE49-F238E27FC236}">
                <a16:creationId xmlns:a16="http://schemas.microsoft.com/office/drawing/2014/main" id="{CF377C83-4FED-4BC0-A0CF-6D401D98AB8C}"/>
              </a:ext>
            </a:extLst>
          </xdr:cNvPr>
          <xdr:cNvSpPr/>
        </xdr:nvSpPr>
        <xdr:spPr>
          <a:xfrm>
            <a:off x="241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64" name="$E$289">
            <a:extLst>
              <a:ext uri="{FF2B5EF4-FFF2-40B4-BE49-F238E27FC236}">
                <a16:creationId xmlns:a16="http://schemas.microsoft.com/office/drawing/2014/main" id="{3B2B816B-92F1-45AE-B75F-D851F7C66B61}"/>
              </a:ext>
            </a:extLst>
          </xdr:cNvPr>
          <xdr:cNvSpPr/>
        </xdr:nvSpPr>
        <xdr:spPr>
          <a:xfrm>
            <a:off x="2667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65" name="$E$289">
            <a:extLst>
              <a:ext uri="{FF2B5EF4-FFF2-40B4-BE49-F238E27FC236}">
                <a16:creationId xmlns:a16="http://schemas.microsoft.com/office/drawing/2014/main" id="{0824FA71-68B9-4BB2-9E8B-439792E1C83B}"/>
              </a:ext>
            </a:extLst>
          </xdr:cNvPr>
          <xdr:cNvSpPr/>
        </xdr:nvSpPr>
        <xdr:spPr>
          <a:xfrm>
            <a:off x="279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66" name="$E$289">
            <a:extLst>
              <a:ext uri="{FF2B5EF4-FFF2-40B4-BE49-F238E27FC236}">
                <a16:creationId xmlns:a16="http://schemas.microsoft.com/office/drawing/2014/main" id="{C225F5A3-CF5D-4D98-90EA-AC68F6E6AC51}"/>
              </a:ext>
            </a:extLst>
          </xdr:cNvPr>
          <xdr:cNvSpPr/>
        </xdr:nvSpPr>
        <xdr:spPr>
          <a:xfrm>
            <a:off x="292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67" name="$E$289">
            <a:extLst>
              <a:ext uri="{FF2B5EF4-FFF2-40B4-BE49-F238E27FC236}">
                <a16:creationId xmlns:a16="http://schemas.microsoft.com/office/drawing/2014/main" id="{77AE4986-59BF-4F32-9424-44EEDB341B85}"/>
              </a:ext>
            </a:extLst>
          </xdr:cNvPr>
          <xdr:cNvSpPr/>
        </xdr:nvSpPr>
        <xdr:spPr>
          <a:xfrm>
            <a:off x="3429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68" name="$E$289">
            <a:extLst>
              <a:ext uri="{FF2B5EF4-FFF2-40B4-BE49-F238E27FC236}">
                <a16:creationId xmlns:a16="http://schemas.microsoft.com/office/drawing/2014/main" id="{E60F4B75-7218-4598-8268-4F5A37BA9A55}"/>
              </a:ext>
            </a:extLst>
          </xdr:cNvPr>
          <xdr:cNvSpPr/>
        </xdr:nvSpPr>
        <xdr:spPr>
          <a:xfrm>
            <a:off x="368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69" name="$E$289">
            <a:extLst>
              <a:ext uri="{FF2B5EF4-FFF2-40B4-BE49-F238E27FC236}">
                <a16:creationId xmlns:a16="http://schemas.microsoft.com/office/drawing/2014/main" id="{B318841D-1382-4C92-AC9C-D9D44F69EED6}"/>
              </a:ext>
            </a:extLst>
          </xdr:cNvPr>
          <xdr:cNvSpPr/>
        </xdr:nvSpPr>
        <xdr:spPr>
          <a:xfrm>
            <a:off x="381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70" name="$E$289">
            <a:extLst>
              <a:ext uri="{FF2B5EF4-FFF2-40B4-BE49-F238E27FC236}">
                <a16:creationId xmlns:a16="http://schemas.microsoft.com/office/drawing/2014/main" id="{F00919ED-2E01-4604-80FF-47F08868CDBF}"/>
              </a:ext>
            </a:extLst>
          </xdr:cNvPr>
          <xdr:cNvSpPr/>
        </xdr:nvSpPr>
        <xdr:spPr>
          <a:xfrm>
            <a:off x="406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71" name="$E$289">
            <a:extLst>
              <a:ext uri="{FF2B5EF4-FFF2-40B4-BE49-F238E27FC236}">
                <a16:creationId xmlns:a16="http://schemas.microsoft.com/office/drawing/2014/main" id="{E8A11907-F8CE-4E79-8841-9B778A0506F3}"/>
              </a:ext>
            </a:extLst>
          </xdr:cNvPr>
          <xdr:cNvSpPr/>
        </xdr:nvSpPr>
        <xdr:spPr>
          <a:xfrm>
            <a:off x="431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72" name="$E$289">
            <a:extLst>
              <a:ext uri="{FF2B5EF4-FFF2-40B4-BE49-F238E27FC236}">
                <a16:creationId xmlns:a16="http://schemas.microsoft.com/office/drawing/2014/main" id="{0D81D3DA-920F-4C95-B52E-A21E60A3EF4C}"/>
              </a:ext>
            </a:extLst>
          </xdr:cNvPr>
          <xdr:cNvSpPr/>
        </xdr:nvSpPr>
        <xdr:spPr>
          <a:xfrm>
            <a:off x="4445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73" name="$E$289">
            <a:extLst>
              <a:ext uri="{FF2B5EF4-FFF2-40B4-BE49-F238E27FC236}">
                <a16:creationId xmlns:a16="http://schemas.microsoft.com/office/drawing/2014/main" id="{1632FB50-210E-4E65-916E-2FE96EEC8FB5}"/>
              </a:ext>
            </a:extLst>
          </xdr:cNvPr>
          <xdr:cNvSpPr/>
        </xdr:nvSpPr>
        <xdr:spPr>
          <a:xfrm>
            <a:off x="457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74" name="$E$289">
            <a:extLst>
              <a:ext uri="{FF2B5EF4-FFF2-40B4-BE49-F238E27FC236}">
                <a16:creationId xmlns:a16="http://schemas.microsoft.com/office/drawing/2014/main" id="{C5EB8ABF-B7D7-443D-974F-6F2B7DA9E776}"/>
              </a:ext>
            </a:extLst>
          </xdr:cNvPr>
          <xdr:cNvSpPr/>
        </xdr:nvSpPr>
        <xdr:spPr>
          <a:xfrm>
            <a:off x="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75" name="$E$289">
            <a:extLst>
              <a:ext uri="{FF2B5EF4-FFF2-40B4-BE49-F238E27FC236}">
                <a16:creationId xmlns:a16="http://schemas.microsoft.com/office/drawing/2014/main" id="{F329303B-0DA2-447D-A9C1-5B0348B6EBA0}"/>
              </a:ext>
            </a:extLst>
          </xdr:cNvPr>
          <xdr:cNvSpPr/>
        </xdr:nvSpPr>
        <xdr:spPr>
          <a:xfrm>
            <a:off x="25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76" name="$E$289">
            <a:extLst>
              <a:ext uri="{FF2B5EF4-FFF2-40B4-BE49-F238E27FC236}">
                <a16:creationId xmlns:a16="http://schemas.microsoft.com/office/drawing/2014/main" id="{1B68F77A-C2BB-4FD4-9317-0CEBCB166DC2}"/>
              </a:ext>
            </a:extLst>
          </xdr:cNvPr>
          <xdr:cNvSpPr/>
        </xdr:nvSpPr>
        <xdr:spPr>
          <a:xfrm>
            <a:off x="38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77" name="$E$289">
            <a:extLst>
              <a:ext uri="{FF2B5EF4-FFF2-40B4-BE49-F238E27FC236}">
                <a16:creationId xmlns:a16="http://schemas.microsoft.com/office/drawing/2014/main" id="{7652FFE0-2E26-43B5-996D-158A40F7C66A}"/>
              </a:ext>
            </a:extLst>
          </xdr:cNvPr>
          <xdr:cNvSpPr/>
        </xdr:nvSpPr>
        <xdr:spPr>
          <a:xfrm>
            <a:off x="50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78" name="$E$289">
            <a:extLst>
              <a:ext uri="{FF2B5EF4-FFF2-40B4-BE49-F238E27FC236}">
                <a16:creationId xmlns:a16="http://schemas.microsoft.com/office/drawing/2014/main" id="{19A37F43-CCF0-41D5-957C-63C0CCBFED85}"/>
              </a:ext>
            </a:extLst>
          </xdr:cNvPr>
          <xdr:cNvSpPr/>
        </xdr:nvSpPr>
        <xdr:spPr>
          <a:xfrm>
            <a:off x="76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79" name="$E$289">
            <a:extLst>
              <a:ext uri="{FF2B5EF4-FFF2-40B4-BE49-F238E27FC236}">
                <a16:creationId xmlns:a16="http://schemas.microsoft.com/office/drawing/2014/main" id="{D5590E48-365E-4AD3-8EF6-3997D756FCC2}"/>
              </a:ext>
            </a:extLst>
          </xdr:cNvPr>
          <xdr:cNvSpPr/>
        </xdr:nvSpPr>
        <xdr:spPr>
          <a:xfrm>
            <a:off x="1016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80" name="$E$289">
            <a:extLst>
              <a:ext uri="{FF2B5EF4-FFF2-40B4-BE49-F238E27FC236}">
                <a16:creationId xmlns:a16="http://schemas.microsoft.com/office/drawing/2014/main" id="{7225191B-ADFD-4BE7-90BE-8F39821F9720}"/>
              </a:ext>
            </a:extLst>
          </xdr:cNvPr>
          <xdr:cNvSpPr/>
        </xdr:nvSpPr>
        <xdr:spPr>
          <a:xfrm>
            <a:off x="1143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81" name="$E$289">
            <a:extLst>
              <a:ext uri="{FF2B5EF4-FFF2-40B4-BE49-F238E27FC236}">
                <a16:creationId xmlns:a16="http://schemas.microsoft.com/office/drawing/2014/main" id="{B5B9631E-3E1D-4035-928E-97F12A0F8777}"/>
              </a:ext>
            </a:extLst>
          </xdr:cNvPr>
          <xdr:cNvSpPr/>
        </xdr:nvSpPr>
        <xdr:spPr>
          <a:xfrm>
            <a:off x="127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82" name="$E$289">
            <a:extLst>
              <a:ext uri="{FF2B5EF4-FFF2-40B4-BE49-F238E27FC236}">
                <a16:creationId xmlns:a16="http://schemas.microsoft.com/office/drawing/2014/main" id="{155C5676-26B8-46CD-A12C-0909388A4E3F}"/>
              </a:ext>
            </a:extLst>
          </xdr:cNvPr>
          <xdr:cNvSpPr/>
        </xdr:nvSpPr>
        <xdr:spPr>
          <a:xfrm>
            <a:off x="139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83" name="$E$289">
            <a:extLst>
              <a:ext uri="{FF2B5EF4-FFF2-40B4-BE49-F238E27FC236}">
                <a16:creationId xmlns:a16="http://schemas.microsoft.com/office/drawing/2014/main" id="{08B1959D-97F4-4AD0-8100-4746F5B1BB1F}"/>
              </a:ext>
            </a:extLst>
          </xdr:cNvPr>
          <xdr:cNvSpPr/>
        </xdr:nvSpPr>
        <xdr:spPr>
          <a:xfrm>
            <a:off x="177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84" name="$E$289">
            <a:extLst>
              <a:ext uri="{FF2B5EF4-FFF2-40B4-BE49-F238E27FC236}">
                <a16:creationId xmlns:a16="http://schemas.microsoft.com/office/drawing/2014/main" id="{04063FF4-745C-42E2-BAB5-36549BC0526B}"/>
              </a:ext>
            </a:extLst>
          </xdr:cNvPr>
          <xdr:cNvSpPr/>
        </xdr:nvSpPr>
        <xdr:spPr>
          <a:xfrm>
            <a:off x="266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85" name="$E$289">
            <a:extLst>
              <a:ext uri="{FF2B5EF4-FFF2-40B4-BE49-F238E27FC236}">
                <a16:creationId xmlns:a16="http://schemas.microsoft.com/office/drawing/2014/main" id="{8AE4BEB6-9667-45B0-93F6-4BF81671F164}"/>
              </a:ext>
            </a:extLst>
          </xdr:cNvPr>
          <xdr:cNvSpPr/>
        </xdr:nvSpPr>
        <xdr:spPr>
          <a:xfrm>
            <a:off x="279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86" name="$E$289">
            <a:extLst>
              <a:ext uri="{FF2B5EF4-FFF2-40B4-BE49-F238E27FC236}">
                <a16:creationId xmlns:a16="http://schemas.microsoft.com/office/drawing/2014/main" id="{9EB619BF-4712-4E15-97EA-7F347B40BAF4}"/>
              </a:ext>
            </a:extLst>
          </xdr:cNvPr>
          <xdr:cNvSpPr/>
        </xdr:nvSpPr>
        <xdr:spPr>
          <a:xfrm>
            <a:off x="3683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87" name="$E$289">
            <a:extLst>
              <a:ext uri="{FF2B5EF4-FFF2-40B4-BE49-F238E27FC236}">
                <a16:creationId xmlns:a16="http://schemas.microsoft.com/office/drawing/2014/main" id="{794C3D49-2AF0-416A-B573-39285BD00FE1}"/>
              </a:ext>
            </a:extLst>
          </xdr:cNvPr>
          <xdr:cNvSpPr/>
        </xdr:nvSpPr>
        <xdr:spPr>
          <a:xfrm>
            <a:off x="444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88" name="$E$289">
            <a:extLst>
              <a:ext uri="{FF2B5EF4-FFF2-40B4-BE49-F238E27FC236}">
                <a16:creationId xmlns:a16="http://schemas.microsoft.com/office/drawing/2014/main" id="{EE568050-5A21-431A-B18B-28470B671EED}"/>
              </a:ext>
            </a:extLst>
          </xdr:cNvPr>
          <xdr:cNvSpPr/>
        </xdr:nvSpPr>
        <xdr:spPr>
          <a:xfrm>
            <a:off x="457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89" name="$E$289">
            <a:extLst>
              <a:ext uri="{FF2B5EF4-FFF2-40B4-BE49-F238E27FC236}">
                <a16:creationId xmlns:a16="http://schemas.microsoft.com/office/drawing/2014/main" id="{999D0158-C627-44DF-A05C-E7817C4A7E87}"/>
              </a:ext>
            </a:extLst>
          </xdr:cNvPr>
          <xdr:cNvSpPr/>
        </xdr:nvSpPr>
        <xdr:spPr>
          <a:xfrm>
            <a:off x="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90" name="$E$289">
            <a:extLst>
              <a:ext uri="{FF2B5EF4-FFF2-40B4-BE49-F238E27FC236}">
                <a16:creationId xmlns:a16="http://schemas.microsoft.com/office/drawing/2014/main" id="{231E67D3-BFB3-48F9-BFE4-7A151BB07870}"/>
              </a:ext>
            </a:extLst>
          </xdr:cNvPr>
          <xdr:cNvSpPr/>
        </xdr:nvSpPr>
        <xdr:spPr>
          <a:xfrm>
            <a:off x="76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91" name="$E$289">
            <a:extLst>
              <a:ext uri="{FF2B5EF4-FFF2-40B4-BE49-F238E27FC236}">
                <a16:creationId xmlns:a16="http://schemas.microsoft.com/office/drawing/2014/main" id="{8EAFD68D-06E3-4E8E-924A-D60738B433D6}"/>
              </a:ext>
            </a:extLst>
          </xdr:cNvPr>
          <xdr:cNvSpPr/>
        </xdr:nvSpPr>
        <xdr:spPr>
          <a:xfrm>
            <a:off x="127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92" name="$E$289">
            <a:extLst>
              <a:ext uri="{FF2B5EF4-FFF2-40B4-BE49-F238E27FC236}">
                <a16:creationId xmlns:a16="http://schemas.microsoft.com/office/drawing/2014/main" id="{86396A58-685C-4BDA-AD13-5271D95D1B1F}"/>
              </a:ext>
            </a:extLst>
          </xdr:cNvPr>
          <xdr:cNvSpPr/>
        </xdr:nvSpPr>
        <xdr:spPr>
          <a:xfrm>
            <a:off x="139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93" name="$E$289">
            <a:extLst>
              <a:ext uri="{FF2B5EF4-FFF2-40B4-BE49-F238E27FC236}">
                <a16:creationId xmlns:a16="http://schemas.microsoft.com/office/drawing/2014/main" id="{9CDED593-BC6A-42FA-B582-02E58CA7DED8}"/>
              </a:ext>
            </a:extLst>
          </xdr:cNvPr>
          <xdr:cNvSpPr/>
        </xdr:nvSpPr>
        <xdr:spPr>
          <a:xfrm>
            <a:off x="152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94" name="$E$289">
            <a:extLst>
              <a:ext uri="{FF2B5EF4-FFF2-40B4-BE49-F238E27FC236}">
                <a16:creationId xmlns:a16="http://schemas.microsoft.com/office/drawing/2014/main" id="{861D1D60-DA4C-45FB-BDFC-8C0BB23949C1}"/>
              </a:ext>
            </a:extLst>
          </xdr:cNvPr>
          <xdr:cNvSpPr/>
        </xdr:nvSpPr>
        <xdr:spPr>
          <a:xfrm>
            <a:off x="1651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95" name="$E$289">
            <a:extLst>
              <a:ext uri="{FF2B5EF4-FFF2-40B4-BE49-F238E27FC236}">
                <a16:creationId xmlns:a16="http://schemas.microsoft.com/office/drawing/2014/main" id="{F0612F9C-8A0B-401E-8F69-D9A1AB11A057}"/>
              </a:ext>
            </a:extLst>
          </xdr:cNvPr>
          <xdr:cNvSpPr/>
        </xdr:nvSpPr>
        <xdr:spPr>
          <a:xfrm>
            <a:off x="1778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96" name="$E$289">
            <a:extLst>
              <a:ext uri="{FF2B5EF4-FFF2-40B4-BE49-F238E27FC236}">
                <a16:creationId xmlns:a16="http://schemas.microsoft.com/office/drawing/2014/main" id="{3425DF6F-14B7-4388-92DC-2D342E2B879B}"/>
              </a:ext>
            </a:extLst>
          </xdr:cNvPr>
          <xdr:cNvSpPr/>
        </xdr:nvSpPr>
        <xdr:spPr>
          <a:xfrm>
            <a:off x="203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97" name="$E$289">
            <a:extLst>
              <a:ext uri="{FF2B5EF4-FFF2-40B4-BE49-F238E27FC236}">
                <a16:creationId xmlns:a16="http://schemas.microsoft.com/office/drawing/2014/main" id="{D4CE2AD3-0200-468D-B12E-F024F2039F55}"/>
              </a:ext>
            </a:extLst>
          </xdr:cNvPr>
          <xdr:cNvSpPr/>
        </xdr:nvSpPr>
        <xdr:spPr>
          <a:xfrm>
            <a:off x="266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98" name="$E$289">
            <a:extLst>
              <a:ext uri="{FF2B5EF4-FFF2-40B4-BE49-F238E27FC236}">
                <a16:creationId xmlns:a16="http://schemas.microsoft.com/office/drawing/2014/main" id="{961ADB43-CECC-4B94-ADD6-60B0AC879F7F}"/>
              </a:ext>
            </a:extLst>
          </xdr:cNvPr>
          <xdr:cNvSpPr/>
        </xdr:nvSpPr>
        <xdr:spPr>
          <a:xfrm>
            <a:off x="3048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399" name="$E$289">
            <a:extLst>
              <a:ext uri="{FF2B5EF4-FFF2-40B4-BE49-F238E27FC236}">
                <a16:creationId xmlns:a16="http://schemas.microsoft.com/office/drawing/2014/main" id="{2A48F171-1EE5-415C-9598-1B053D9D21A6}"/>
              </a:ext>
            </a:extLst>
          </xdr:cNvPr>
          <xdr:cNvSpPr/>
        </xdr:nvSpPr>
        <xdr:spPr>
          <a:xfrm>
            <a:off x="330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00" name="$E$289">
            <a:extLst>
              <a:ext uri="{FF2B5EF4-FFF2-40B4-BE49-F238E27FC236}">
                <a16:creationId xmlns:a16="http://schemas.microsoft.com/office/drawing/2014/main" id="{BABFD7CC-239C-4873-8A1A-A64FF78D0165}"/>
              </a:ext>
            </a:extLst>
          </xdr:cNvPr>
          <xdr:cNvSpPr/>
        </xdr:nvSpPr>
        <xdr:spPr>
          <a:xfrm>
            <a:off x="3429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01" name="$E$289">
            <a:extLst>
              <a:ext uri="{FF2B5EF4-FFF2-40B4-BE49-F238E27FC236}">
                <a16:creationId xmlns:a16="http://schemas.microsoft.com/office/drawing/2014/main" id="{E7595B03-6837-4D4B-B52C-3F36407D4F6F}"/>
              </a:ext>
            </a:extLst>
          </xdr:cNvPr>
          <xdr:cNvSpPr/>
        </xdr:nvSpPr>
        <xdr:spPr>
          <a:xfrm>
            <a:off x="355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02" name="$E$289">
            <a:extLst>
              <a:ext uri="{FF2B5EF4-FFF2-40B4-BE49-F238E27FC236}">
                <a16:creationId xmlns:a16="http://schemas.microsoft.com/office/drawing/2014/main" id="{7B33EFF4-1F3C-4E96-9804-82C7F17DA835}"/>
              </a:ext>
            </a:extLst>
          </xdr:cNvPr>
          <xdr:cNvSpPr/>
        </xdr:nvSpPr>
        <xdr:spPr>
          <a:xfrm>
            <a:off x="3683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03" name="$E$289">
            <a:extLst>
              <a:ext uri="{FF2B5EF4-FFF2-40B4-BE49-F238E27FC236}">
                <a16:creationId xmlns:a16="http://schemas.microsoft.com/office/drawing/2014/main" id="{1D1538BC-8A75-4588-9EF5-07B683EBEF60}"/>
              </a:ext>
            </a:extLst>
          </xdr:cNvPr>
          <xdr:cNvSpPr/>
        </xdr:nvSpPr>
        <xdr:spPr>
          <a:xfrm>
            <a:off x="381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04" name="$E$289">
            <a:extLst>
              <a:ext uri="{FF2B5EF4-FFF2-40B4-BE49-F238E27FC236}">
                <a16:creationId xmlns:a16="http://schemas.microsoft.com/office/drawing/2014/main" id="{C173EBD1-1187-4630-8B76-783190ACAA7A}"/>
              </a:ext>
            </a:extLst>
          </xdr:cNvPr>
          <xdr:cNvSpPr/>
        </xdr:nvSpPr>
        <xdr:spPr>
          <a:xfrm>
            <a:off x="406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05" name="$E$289">
            <a:extLst>
              <a:ext uri="{FF2B5EF4-FFF2-40B4-BE49-F238E27FC236}">
                <a16:creationId xmlns:a16="http://schemas.microsoft.com/office/drawing/2014/main" id="{F3BE95BC-6708-4FB8-8460-370D4245719D}"/>
              </a:ext>
            </a:extLst>
          </xdr:cNvPr>
          <xdr:cNvSpPr/>
        </xdr:nvSpPr>
        <xdr:spPr>
          <a:xfrm>
            <a:off x="457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06" name="$E$289">
            <a:extLst>
              <a:ext uri="{FF2B5EF4-FFF2-40B4-BE49-F238E27FC236}">
                <a16:creationId xmlns:a16="http://schemas.microsoft.com/office/drawing/2014/main" id="{F4433EAC-3361-4C9D-AD45-8C7EED4C60FE}"/>
              </a:ext>
            </a:extLst>
          </xdr:cNvPr>
          <xdr:cNvSpPr/>
        </xdr:nvSpPr>
        <xdr:spPr>
          <a:xfrm>
            <a:off x="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07" name="$E$289">
            <a:extLst>
              <a:ext uri="{FF2B5EF4-FFF2-40B4-BE49-F238E27FC236}">
                <a16:creationId xmlns:a16="http://schemas.microsoft.com/office/drawing/2014/main" id="{45FB8405-D465-404D-B0F1-4DD5F384A965}"/>
              </a:ext>
            </a:extLst>
          </xdr:cNvPr>
          <xdr:cNvSpPr/>
        </xdr:nvSpPr>
        <xdr:spPr>
          <a:xfrm>
            <a:off x="12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08" name="$E$289">
            <a:extLst>
              <a:ext uri="{FF2B5EF4-FFF2-40B4-BE49-F238E27FC236}">
                <a16:creationId xmlns:a16="http://schemas.microsoft.com/office/drawing/2014/main" id="{65B25D06-9866-445A-8A4D-EEBA24F13A30}"/>
              </a:ext>
            </a:extLst>
          </xdr:cNvPr>
          <xdr:cNvSpPr/>
        </xdr:nvSpPr>
        <xdr:spPr>
          <a:xfrm>
            <a:off x="25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09" name="$E$289">
            <a:extLst>
              <a:ext uri="{FF2B5EF4-FFF2-40B4-BE49-F238E27FC236}">
                <a16:creationId xmlns:a16="http://schemas.microsoft.com/office/drawing/2014/main" id="{AB52360C-03E2-4DF9-8CE7-178C3408816C}"/>
              </a:ext>
            </a:extLst>
          </xdr:cNvPr>
          <xdr:cNvSpPr/>
        </xdr:nvSpPr>
        <xdr:spPr>
          <a:xfrm>
            <a:off x="38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10" name="$E$289">
            <a:extLst>
              <a:ext uri="{FF2B5EF4-FFF2-40B4-BE49-F238E27FC236}">
                <a16:creationId xmlns:a16="http://schemas.microsoft.com/office/drawing/2014/main" id="{D98C0693-9CE7-4590-A615-E08DE183591B}"/>
              </a:ext>
            </a:extLst>
          </xdr:cNvPr>
          <xdr:cNvSpPr/>
        </xdr:nvSpPr>
        <xdr:spPr>
          <a:xfrm>
            <a:off x="50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11" name="$E$289">
            <a:extLst>
              <a:ext uri="{FF2B5EF4-FFF2-40B4-BE49-F238E27FC236}">
                <a16:creationId xmlns:a16="http://schemas.microsoft.com/office/drawing/2014/main" id="{1AB408F9-A69F-40F5-BAAF-4FBAA988B9A9}"/>
              </a:ext>
            </a:extLst>
          </xdr:cNvPr>
          <xdr:cNvSpPr/>
        </xdr:nvSpPr>
        <xdr:spPr>
          <a:xfrm>
            <a:off x="63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12" name="$E$289">
            <a:extLst>
              <a:ext uri="{FF2B5EF4-FFF2-40B4-BE49-F238E27FC236}">
                <a16:creationId xmlns:a16="http://schemas.microsoft.com/office/drawing/2014/main" id="{3565301D-FFD9-482D-B390-A2B51A3A2153}"/>
              </a:ext>
            </a:extLst>
          </xdr:cNvPr>
          <xdr:cNvSpPr/>
        </xdr:nvSpPr>
        <xdr:spPr>
          <a:xfrm>
            <a:off x="76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13" name="$E$289">
            <a:extLst>
              <a:ext uri="{FF2B5EF4-FFF2-40B4-BE49-F238E27FC236}">
                <a16:creationId xmlns:a16="http://schemas.microsoft.com/office/drawing/2014/main" id="{51A86864-8D50-4BEB-808D-445F8ADBF2B2}"/>
              </a:ext>
            </a:extLst>
          </xdr:cNvPr>
          <xdr:cNvSpPr/>
        </xdr:nvSpPr>
        <xdr:spPr>
          <a:xfrm>
            <a:off x="101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14" name="$E$289">
            <a:extLst>
              <a:ext uri="{FF2B5EF4-FFF2-40B4-BE49-F238E27FC236}">
                <a16:creationId xmlns:a16="http://schemas.microsoft.com/office/drawing/2014/main" id="{99BAD900-222A-4CA2-ABD0-0BC6A289CB42}"/>
              </a:ext>
            </a:extLst>
          </xdr:cNvPr>
          <xdr:cNvSpPr/>
        </xdr:nvSpPr>
        <xdr:spPr>
          <a:xfrm>
            <a:off x="114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15" name="$E$289">
            <a:extLst>
              <a:ext uri="{FF2B5EF4-FFF2-40B4-BE49-F238E27FC236}">
                <a16:creationId xmlns:a16="http://schemas.microsoft.com/office/drawing/2014/main" id="{754B10A3-EA9C-4A3D-8B0C-509C990B0BE7}"/>
              </a:ext>
            </a:extLst>
          </xdr:cNvPr>
          <xdr:cNvSpPr/>
        </xdr:nvSpPr>
        <xdr:spPr>
          <a:xfrm>
            <a:off x="127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16" name="$E$289">
            <a:extLst>
              <a:ext uri="{FF2B5EF4-FFF2-40B4-BE49-F238E27FC236}">
                <a16:creationId xmlns:a16="http://schemas.microsoft.com/office/drawing/2014/main" id="{C2BF8A75-F410-48FC-AA2B-D96ED9D8FF9C}"/>
              </a:ext>
            </a:extLst>
          </xdr:cNvPr>
          <xdr:cNvSpPr/>
        </xdr:nvSpPr>
        <xdr:spPr>
          <a:xfrm>
            <a:off x="2159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17" name="$E$289">
            <a:extLst>
              <a:ext uri="{FF2B5EF4-FFF2-40B4-BE49-F238E27FC236}">
                <a16:creationId xmlns:a16="http://schemas.microsoft.com/office/drawing/2014/main" id="{D7FA94CC-A68B-4771-90B1-FD2FE6D97970}"/>
              </a:ext>
            </a:extLst>
          </xdr:cNvPr>
          <xdr:cNvSpPr/>
        </xdr:nvSpPr>
        <xdr:spPr>
          <a:xfrm>
            <a:off x="228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18" name="$E$289">
            <a:extLst>
              <a:ext uri="{FF2B5EF4-FFF2-40B4-BE49-F238E27FC236}">
                <a16:creationId xmlns:a16="http://schemas.microsoft.com/office/drawing/2014/main" id="{8C9F58FF-0278-4584-9210-F6073953E966}"/>
              </a:ext>
            </a:extLst>
          </xdr:cNvPr>
          <xdr:cNvSpPr/>
        </xdr:nvSpPr>
        <xdr:spPr>
          <a:xfrm>
            <a:off x="241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19" name="$E$289">
            <a:extLst>
              <a:ext uri="{FF2B5EF4-FFF2-40B4-BE49-F238E27FC236}">
                <a16:creationId xmlns:a16="http://schemas.microsoft.com/office/drawing/2014/main" id="{F4D7788F-DFD8-417F-A431-BE490F20BE45}"/>
              </a:ext>
            </a:extLst>
          </xdr:cNvPr>
          <xdr:cNvSpPr/>
        </xdr:nvSpPr>
        <xdr:spPr>
          <a:xfrm>
            <a:off x="279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20" name="$E$289">
            <a:extLst>
              <a:ext uri="{FF2B5EF4-FFF2-40B4-BE49-F238E27FC236}">
                <a16:creationId xmlns:a16="http://schemas.microsoft.com/office/drawing/2014/main" id="{C9222599-5B65-4877-AAC4-D4F1FF0CD84C}"/>
              </a:ext>
            </a:extLst>
          </xdr:cNvPr>
          <xdr:cNvSpPr/>
        </xdr:nvSpPr>
        <xdr:spPr>
          <a:xfrm>
            <a:off x="292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21" name="$E$289">
            <a:extLst>
              <a:ext uri="{FF2B5EF4-FFF2-40B4-BE49-F238E27FC236}">
                <a16:creationId xmlns:a16="http://schemas.microsoft.com/office/drawing/2014/main" id="{E00550D2-069F-4B2E-B271-3523F4628309}"/>
              </a:ext>
            </a:extLst>
          </xdr:cNvPr>
          <xdr:cNvSpPr/>
        </xdr:nvSpPr>
        <xdr:spPr>
          <a:xfrm>
            <a:off x="304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22" name="$E$289">
            <a:extLst>
              <a:ext uri="{FF2B5EF4-FFF2-40B4-BE49-F238E27FC236}">
                <a16:creationId xmlns:a16="http://schemas.microsoft.com/office/drawing/2014/main" id="{5702E8E5-0FB8-4224-AEB5-8BB55952FA52}"/>
              </a:ext>
            </a:extLst>
          </xdr:cNvPr>
          <xdr:cNvSpPr/>
        </xdr:nvSpPr>
        <xdr:spPr>
          <a:xfrm>
            <a:off x="317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23" name="$E$289">
            <a:extLst>
              <a:ext uri="{FF2B5EF4-FFF2-40B4-BE49-F238E27FC236}">
                <a16:creationId xmlns:a16="http://schemas.microsoft.com/office/drawing/2014/main" id="{C64207ED-D599-454D-B3E6-114BB02815C7}"/>
              </a:ext>
            </a:extLst>
          </xdr:cNvPr>
          <xdr:cNvSpPr/>
        </xdr:nvSpPr>
        <xdr:spPr>
          <a:xfrm>
            <a:off x="330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24" name="$E$289">
            <a:extLst>
              <a:ext uri="{FF2B5EF4-FFF2-40B4-BE49-F238E27FC236}">
                <a16:creationId xmlns:a16="http://schemas.microsoft.com/office/drawing/2014/main" id="{49CD4F32-4DC3-48B2-8ACA-A787432560C0}"/>
              </a:ext>
            </a:extLst>
          </xdr:cNvPr>
          <xdr:cNvSpPr/>
        </xdr:nvSpPr>
        <xdr:spPr>
          <a:xfrm>
            <a:off x="368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25" name="$E$289">
            <a:extLst>
              <a:ext uri="{FF2B5EF4-FFF2-40B4-BE49-F238E27FC236}">
                <a16:creationId xmlns:a16="http://schemas.microsoft.com/office/drawing/2014/main" id="{8325888F-7309-4E88-AD6E-7B9745CEFDB4}"/>
              </a:ext>
            </a:extLst>
          </xdr:cNvPr>
          <xdr:cNvSpPr/>
        </xdr:nvSpPr>
        <xdr:spPr>
          <a:xfrm>
            <a:off x="406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26" name="$E$289">
            <a:extLst>
              <a:ext uri="{FF2B5EF4-FFF2-40B4-BE49-F238E27FC236}">
                <a16:creationId xmlns:a16="http://schemas.microsoft.com/office/drawing/2014/main" id="{0F455114-3D66-4BBC-B6E9-091A009E1D98}"/>
              </a:ext>
            </a:extLst>
          </xdr:cNvPr>
          <xdr:cNvSpPr/>
        </xdr:nvSpPr>
        <xdr:spPr>
          <a:xfrm>
            <a:off x="431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27" name="$E$289">
            <a:extLst>
              <a:ext uri="{FF2B5EF4-FFF2-40B4-BE49-F238E27FC236}">
                <a16:creationId xmlns:a16="http://schemas.microsoft.com/office/drawing/2014/main" id="{BA589CE1-F478-4878-9E67-720B0214737B}"/>
              </a:ext>
            </a:extLst>
          </xdr:cNvPr>
          <xdr:cNvSpPr/>
        </xdr:nvSpPr>
        <xdr:spPr>
          <a:xfrm>
            <a:off x="444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28" name="$E$289">
            <a:extLst>
              <a:ext uri="{FF2B5EF4-FFF2-40B4-BE49-F238E27FC236}">
                <a16:creationId xmlns:a16="http://schemas.microsoft.com/office/drawing/2014/main" id="{CE133AAE-58E6-4080-A857-E2D99817B2B3}"/>
              </a:ext>
            </a:extLst>
          </xdr:cNvPr>
          <xdr:cNvSpPr/>
        </xdr:nvSpPr>
        <xdr:spPr>
          <a:xfrm>
            <a:off x="457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6B886E-5378-4525-9F18-895B0B50D33F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SICOLOG@" TargetMode="External"/><Relationship Id="rId21" Type="http://schemas.openxmlformats.org/officeDocument/2006/relationships/hyperlink" Target="mailto:PSICOLOG@" TargetMode="External"/><Relationship Id="rId42" Type="http://schemas.openxmlformats.org/officeDocument/2006/relationships/hyperlink" Target="mailto:MEDIC@" TargetMode="External"/><Relationship Id="rId47" Type="http://schemas.openxmlformats.org/officeDocument/2006/relationships/hyperlink" Target="mailto:caipeana841@gmail.com" TargetMode="External"/><Relationship Id="rId63" Type="http://schemas.openxmlformats.org/officeDocument/2006/relationships/hyperlink" Target="mailto:PSICOLOG@" TargetMode="External"/><Relationship Id="rId68" Type="http://schemas.openxmlformats.org/officeDocument/2006/relationships/hyperlink" Target="mailto:dianabc97@hotmail.com" TargetMode="External"/><Relationship Id="rId84" Type="http://schemas.openxmlformats.org/officeDocument/2006/relationships/hyperlink" Target="mailto:ENFERMER@" TargetMode="External"/><Relationship Id="rId16" Type="http://schemas.openxmlformats.org/officeDocument/2006/relationships/hyperlink" Target="mailto:PSICOLOG@" TargetMode="External"/><Relationship Id="rId11" Type="http://schemas.openxmlformats.org/officeDocument/2006/relationships/hyperlink" Target="mailto:PSICOLOG@" TargetMode="External"/><Relationship Id="rId32" Type="http://schemas.openxmlformats.org/officeDocument/2006/relationships/hyperlink" Target="mailto:ENFERMER@" TargetMode="External"/><Relationship Id="rId37" Type="http://schemas.openxmlformats.org/officeDocument/2006/relationships/hyperlink" Target="mailto:MEDIC@" TargetMode="External"/><Relationship Id="rId53" Type="http://schemas.openxmlformats.org/officeDocument/2006/relationships/hyperlink" Target="mailto:ENFERMER@" TargetMode="External"/><Relationship Id="rId58" Type="http://schemas.openxmlformats.org/officeDocument/2006/relationships/hyperlink" Target="mailto:PSICOLOG@" TargetMode="External"/><Relationship Id="rId74" Type="http://schemas.openxmlformats.org/officeDocument/2006/relationships/hyperlink" Target="mailto:MEDIC@" TargetMode="External"/><Relationship Id="rId79" Type="http://schemas.openxmlformats.org/officeDocument/2006/relationships/hyperlink" Target="mailto:PSICOLOG@" TargetMode="External"/><Relationship Id="rId5" Type="http://schemas.openxmlformats.org/officeDocument/2006/relationships/hyperlink" Target="mailto:PSICOLOG@" TargetMode="External"/><Relationship Id="rId19" Type="http://schemas.openxmlformats.org/officeDocument/2006/relationships/hyperlink" Target="mailto:PSICOLOG@" TargetMode="External"/><Relationship Id="rId14" Type="http://schemas.openxmlformats.org/officeDocument/2006/relationships/hyperlink" Target="mailto:PSICOLOG@" TargetMode="External"/><Relationship Id="rId22" Type="http://schemas.openxmlformats.org/officeDocument/2006/relationships/hyperlink" Target="mailto:PSICOLOG@" TargetMode="External"/><Relationship Id="rId27" Type="http://schemas.openxmlformats.org/officeDocument/2006/relationships/hyperlink" Target="mailto:PSICOLOG@" TargetMode="External"/><Relationship Id="rId30" Type="http://schemas.openxmlformats.org/officeDocument/2006/relationships/hyperlink" Target="mailto:PSICOLOG@" TargetMode="External"/><Relationship Id="rId35" Type="http://schemas.openxmlformats.org/officeDocument/2006/relationships/hyperlink" Target="mailto:MEDIC@" TargetMode="External"/><Relationship Id="rId43" Type="http://schemas.openxmlformats.org/officeDocument/2006/relationships/hyperlink" Target="mailto:MEDIC@" TargetMode="External"/><Relationship Id="rId48" Type="http://schemas.openxmlformats.org/officeDocument/2006/relationships/hyperlink" Target="mailto:MEDIC@" TargetMode="External"/><Relationship Id="rId56" Type="http://schemas.openxmlformats.org/officeDocument/2006/relationships/hyperlink" Target="mailto:ENFERMER@" TargetMode="External"/><Relationship Id="rId64" Type="http://schemas.openxmlformats.org/officeDocument/2006/relationships/hyperlink" Target="mailto:PSICOLOG@" TargetMode="External"/><Relationship Id="rId69" Type="http://schemas.openxmlformats.org/officeDocument/2006/relationships/hyperlink" Target="mailto:MEDIC@" TargetMode="External"/><Relationship Id="rId77" Type="http://schemas.openxmlformats.org/officeDocument/2006/relationships/hyperlink" Target="mailto:MEDIC@" TargetMode="External"/><Relationship Id="rId8" Type="http://schemas.openxmlformats.org/officeDocument/2006/relationships/hyperlink" Target="mailto:PSICOLOG@" TargetMode="External"/><Relationship Id="rId51" Type="http://schemas.openxmlformats.org/officeDocument/2006/relationships/hyperlink" Target="mailto:ENFERMER@" TargetMode="External"/><Relationship Id="rId72" Type="http://schemas.openxmlformats.org/officeDocument/2006/relationships/hyperlink" Target="mailto:maflaleydi34@gmail.com" TargetMode="External"/><Relationship Id="rId80" Type="http://schemas.openxmlformats.org/officeDocument/2006/relationships/hyperlink" Target="mailto:PSICOLOG@" TargetMode="External"/><Relationship Id="rId85" Type="http://schemas.openxmlformats.org/officeDocument/2006/relationships/hyperlink" Target="mailto:PSICOLOG@" TargetMode="External"/><Relationship Id="rId3" Type="http://schemas.openxmlformats.org/officeDocument/2006/relationships/hyperlink" Target="mailto:PSICOLOG@" TargetMode="External"/><Relationship Id="rId12" Type="http://schemas.openxmlformats.org/officeDocument/2006/relationships/hyperlink" Target="mailto:PSICOLOG@" TargetMode="External"/><Relationship Id="rId17" Type="http://schemas.openxmlformats.org/officeDocument/2006/relationships/hyperlink" Target="mailto:PSICOLOG@" TargetMode="External"/><Relationship Id="rId25" Type="http://schemas.openxmlformats.org/officeDocument/2006/relationships/hyperlink" Target="mailto:PSICOLOG@" TargetMode="External"/><Relationship Id="rId33" Type="http://schemas.openxmlformats.org/officeDocument/2006/relationships/hyperlink" Target="mailto:PSICOLOG@" TargetMode="External"/><Relationship Id="rId38" Type="http://schemas.openxmlformats.org/officeDocument/2006/relationships/hyperlink" Target="mailto:lesgec.0310@gmail.com" TargetMode="External"/><Relationship Id="rId46" Type="http://schemas.openxmlformats.org/officeDocument/2006/relationships/hyperlink" Target="mailto:oyuli3132@gmail.com" TargetMode="External"/><Relationship Id="rId59" Type="http://schemas.openxmlformats.org/officeDocument/2006/relationships/hyperlink" Target="mailto:PSICOLOG@" TargetMode="External"/><Relationship Id="rId67" Type="http://schemas.openxmlformats.org/officeDocument/2006/relationships/hyperlink" Target="mailto:MEDIC@" TargetMode="External"/><Relationship Id="rId20" Type="http://schemas.openxmlformats.org/officeDocument/2006/relationships/hyperlink" Target="mailto:PSICOLOG@" TargetMode="External"/><Relationship Id="rId41" Type="http://schemas.openxmlformats.org/officeDocument/2006/relationships/hyperlink" Target="mailto:oyuli3132@gmail.com" TargetMode="External"/><Relationship Id="rId54" Type="http://schemas.openxmlformats.org/officeDocument/2006/relationships/hyperlink" Target="mailto:ENFERMER@" TargetMode="External"/><Relationship Id="rId62" Type="http://schemas.openxmlformats.org/officeDocument/2006/relationships/hyperlink" Target="mailto:PSICOLOG@" TargetMode="External"/><Relationship Id="rId70" Type="http://schemas.openxmlformats.org/officeDocument/2006/relationships/hyperlink" Target="mailto:MEDIC@" TargetMode="External"/><Relationship Id="rId75" Type="http://schemas.openxmlformats.org/officeDocument/2006/relationships/hyperlink" Target="mailto:MEDIC@" TargetMode="External"/><Relationship Id="rId83" Type="http://schemas.openxmlformats.org/officeDocument/2006/relationships/hyperlink" Target="mailto:yuliethdiaz017@gmail.com" TargetMode="External"/><Relationship Id="rId1" Type="http://schemas.openxmlformats.org/officeDocument/2006/relationships/hyperlink" Target="mailto:fenix1494@hotmail.com" TargetMode="External"/><Relationship Id="rId6" Type="http://schemas.openxmlformats.org/officeDocument/2006/relationships/hyperlink" Target="mailto:PSICOLOG@" TargetMode="External"/><Relationship Id="rId15" Type="http://schemas.openxmlformats.org/officeDocument/2006/relationships/hyperlink" Target="mailto:PSICOLOG@" TargetMode="External"/><Relationship Id="rId23" Type="http://schemas.openxmlformats.org/officeDocument/2006/relationships/hyperlink" Target="mailto:PSICOLOG@" TargetMode="External"/><Relationship Id="rId28" Type="http://schemas.openxmlformats.org/officeDocument/2006/relationships/hyperlink" Target="mailto:PSICOLOG@" TargetMode="External"/><Relationship Id="rId36" Type="http://schemas.openxmlformats.org/officeDocument/2006/relationships/hyperlink" Target="mailto:lesgec.0310@gmail.com" TargetMode="External"/><Relationship Id="rId49" Type="http://schemas.openxmlformats.org/officeDocument/2006/relationships/hyperlink" Target="mailto:lorenha0607@hotmail.com" TargetMode="External"/><Relationship Id="rId57" Type="http://schemas.openxmlformats.org/officeDocument/2006/relationships/hyperlink" Target="mailto:ENFERMER@" TargetMode="External"/><Relationship Id="rId10" Type="http://schemas.openxmlformats.org/officeDocument/2006/relationships/hyperlink" Target="mailto:PSICOLOG@" TargetMode="External"/><Relationship Id="rId31" Type="http://schemas.openxmlformats.org/officeDocument/2006/relationships/hyperlink" Target="mailto:ENFERMER@" TargetMode="External"/><Relationship Id="rId44" Type="http://schemas.openxmlformats.org/officeDocument/2006/relationships/hyperlink" Target="mailto:MEDIC@" TargetMode="External"/><Relationship Id="rId52" Type="http://schemas.openxmlformats.org/officeDocument/2006/relationships/hyperlink" Target="mailto:ENFERMER@" TargetMode="External"/><Relationship Id="rId60" Type="http://schemas.openxmlformats.org/officeDocument/2006/relationships/hyperlink" Target="mailto:PSICOLOG@" TargetMode="External"/><Relationship Id="rId65" Type="http://schemas.openxmlformats.org/officeDocument/2006/relationships/hyperlink" Target="mailto:PSICOLOG@" TargetMode="External"/><Relationship Id="rId73" Type="http://schemas.openxmlformats.org/officeDocument/2006/relationships/hyperlink" Target="mailto:Dane06pantoja@gmail.com" TargetMode="External"/><Relationship Id="rId78" Type="http://schemas.openxmlformats.org/officeDocument/2006/relationships/hyperlink" Target="mailto:MEDIC@" TargetMode="External"/><Relationship Id="rId81" Type="http://schemas.openxmlformats.org/officeDocument/2006/relationships/hyperlink" Target="mailto:PSICOLOG@" TargetMode="External"/><Relationship Id="rId86" Type="http://schemas.openxmlformats.org/officeDocument/2006/relationships/hyperlink" Target="mailto:PSICOLOG@" TargetMode="External"/><Relationship Id="rId4" Type="http://schemas.openxmlformats.org/officeDocument/2006/relationships/hyperlink" Target="mailto:PSICOLOG@" TargetMode="External"/><Relationship Id="rId9" Type="http://schemas.openxmlformats.org/officeDocument/2006/relationships/hyperlink" Target="mailto:PSICOLOG@" TargetMode="External"/><Relationship Id="rId13" Type="http://schemas.openxmlformats.org/officeDocument/2006/relationships/hyperlink" Target="mailto:PSICOLOG@" TargetMode="External"/><Relationship Id="rId18" Type="http://schemas.openxmlformats.org/officeDocument/2006/relationships/hyperlink" Target="mailto:PSICOLOG@" TargetMode="External"/><Relationship Id="rId39" Type="http://schemas.openxmlformats.org/officeDocument/2006/relationships/hyperlink" Target="mailto:MEDIC@" TargetMode="External"/><Relationship Id="rId34" Type="http://schemas.openxmlformats.org/officeDocument/2006/relationships/hyperlink" Target="mailto:PSICOLOG@" TargetMode="External"/><Relationship Id="rId50" Type="http://schemas.openxmlformats.org/officeDocument/2006/relationships/hyperlink" Target="mailto:lorenha0607@hotmail.com" TargetMode="External"/><Relationship Id="rId55" Type="http://schemas.openxmlformats.org/officeDocument/2006/relationships/hyperlink" Target="mailto:ENFERMER@" TargetMode="External"/><Relationship Id="rId76" Type="http://schemas.openxmlformats.org/officeDocument/2006/relationships/hyperlink" Target="mailto:MEDIC@" TargetMode="External"/><Relationship Id="rId7" Type="http://schemas.openxmlformats.org/officeDocument/2006/relationships/hyperlink" Target="mailto:PSICOLOG@" TargetMode="External"/><Relationship Id="rId71" Type="http://schemas.openxmlformats.org/officeDocument/2006/relationships/hyperlink" Target="mailto:MEDIC@" TargetMode="External"/><Relationship Id="rId2" Type="http://schemas.openxmlformats.org/officeDocument/2006/relationships/hyperlink" Target="mailto:PSICOLOG@" TargetMode="External"/><Relationship Id="rId29" Type="http://schemas.openxmlformats.org/officeDocument/2006/relationships/hyperlink" Target="mailto:PSICOLOG@" TargetMode="External"/><Relationship Id="rId24" Type="http://schemas.openxmlformats.org/officeDocument/2006/relationships/hyperlink" Target="mailto:PSICOLOG@" TargetMode="External"/><Relationship Id="rId40" Type="http://schemas.openxmlformats.org/officeDocument/2006/relationships/hyperlink" Target="mailto:lesgec.0310@gmail.com" TargetMode="External"/><Relationship Id="rId45" Type="http://schemas.openxmlformats.org/officeDocument/2006/relationships/hyperlink" Target="mailto:MEDIC@" TargetMode="External"/><Relationship Id="rId66" Type="http://schemas.openxmlformats.org/officeDocument/2006/relationships/hyperlink" Target="mailto:PSICOLOG@" TargetMode="External"/><Relationship Id="rId87" Type="http://schemas.openxmlformats.org/officeDocument/2006/relationships/printerSettings" Target="../printerSettings/printerSettings1.bin"/><Relationship Id="rId61" Type="http://schemas.openxmlformats.org/officeDocument/2006/relationships/hyperlink" Target="mailto:PSICOLOG@" TargetMode="External"/><Relationship Id="rId82" Type="http://schemas.openxmlformats.org/officeDocument/2006/relationships/hyperlink" Target="mailto:yuliethdiaz017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centrodecapacitaciondelsur.com/soporte-basico-de-vida-" TargetMode="External"/><Relationship Id="rId21" Type="http://schemas.openxmlformats.org/officeDocument/2006/relationships/hyperlink" Target="https://centrodecapacitaciondelsur.com/soporte-basico-de-vida-" TargetMode="External"/><Relationship Id="rId42" Type="http://schemas.openxmlformats.org/officeDocument/2006/relationships/hyperlink" Target="https://centrodecapacitaciondelsur.com/soporte-basico-de-vida-" TargetMode="External"/><Relationship Id="rId63" Type="http://schemas.openxmlformats.org/officeDocument/2006/relationships/hyperlink" Target="https://centrodecapacitaciondelsur.com/soporte-basico-de-vida-" TargetMode="External"/><Relationship Id="rId84" Type="http://schemas.openxmlformats.org/officeDocument/2006/relationships/hyperlink" Target="https://centrodecapacitaciondelsur.com/soporte-basico-de-vida-" TargetMode="External"/><Relationship Id="rId138" Type="http://schemas.openxmlformats.org/officeDocument/2006/relationships/hyperlink" Target="https://centrodecapacitaciondelsur.com/soporte-basico-de-vida-" TargetMode="External"/><Relationship Id="rId107" Type="http://schemas.openxmlformats.org/officeDocument/2006/relationships/hyperlink" Target="https://centrodecapacitaciondelsur.com/soporte-basico-de-vida-" TargetMode="External"/><Relationship Id="rId11" Type="http://schemas.openxmlformats.org/officeDocument/2006/relationships/hyperlink" Target="https://centrodecapacitaciondelsur.com/soporte-basico-de-vida-" TargetMode="External"/><Relationship Id="rId32" Type="http://schemas.openxmlformats.org/officeDocument/2006/relationships/hyperlink" Target="https://centrodecapacitaciondelsur.com/soporte-basico-de-vida-" TargetMode="External"/><Relationship Id="rId53" Type="http://schemas.openxmlformats.org/officeDocument/2006/relationships/hyperlink" Target="https://centrodecapacitaciondelsur.com/soporte-basico-de-vida-" TargetMode="External"/><Relationship Id="rId74" Type="http://schemas.openxmlformats.org/officeDocument/2006/relationships/hyperlink" Target="https://centrodecapacitaciondelsur.com/soporte-basico-de-vida-" TargetMode="External"/><Relationship Id="rId128" Type="http://schemas.openxmlformats.org/officeDocument/2006/relationships/hyperlink" Target="https://centrodecapacitaciondelsur.com/soporte-basico-de-vida-" TargetMode="External"/><Relationship Id="rId149" Type="http://schemas.openxmlformats.org/officeDocument/2006/relationships/printerSettings" Target="../printerSettings/printerSettings3.bin"/><Relationship Id="rId5" Type="http://schemas.openxmlformats.org/officeDocument/2006/relationships/hyperlink" Target="https://centrodecapacitaciondelsur.com/soporte-basico-de-vida-" TargetMode="External"/><Relationship Id="rId95" Type="http://schemas.openxmlformats.org/officeDocument/2006/relationships/hyperlink" Target="https://centrodecapacitaciondelsur.com/soporte-basico-de-vida-" TargetMode="External"/><Relationship Id="rId22" Type="http://schemas.openxmlformats.org/officeDocument/2006/relationships/hyperlink" Target="https://centrodecapacitaciondelsur.com/soporte-basico-de-vida-" TargetMode="External"/><Relationship Id="rId27" Type="http://schemas.openxmlformats.org/officeDocument/2006/relationships/hyperlink" Target="https://centrodecapacitaciondelsur.com/soporte-basico-de-vida-" TargetMode="External"/><Relationship Id="rId43" Type="http://schemas.openxmlformats.org/officeDocument/2006/relationships/hyperlink" Target="https://centrodecapacitaciondelsur.com/soporte-basico-de-vida-" TargetMode="External"/><Relationship Id="rId48" Type="http://schemas.openxmlformats.org/officeDocument/2006/relationships/hyperlink" Target="https://centrodecapacitaciondelsur.com/soporte-basico-de-vida-" TargetMode="External"/><Relationship Id="rId64" Type="http://schemas.openxmlformats.org/officeDocument/2006/relationships/hyperlink" Target="https://centrodecapacitaciondelsur.com/soporte-basico-de-vida-" TargetMode="External"/><Relationship Id="rId69" Type="http://schemas.openxmlformats.org/officeDocument/2006/relationships/hyperlink" Target="https://centrodecapacitaciondelsur.com/soporte-basico-de-vida-" TargetMode="External"/><Relationship Id="rId113" Type="http://schemas.openxmlformats.org/officeDocument/2006/relationships/hyperlink" Target="https://centrodecapacitaciondelsur.com/soporte-basico-de-vida-" TargetMode="External"/><Relationship Id="rId118" Type="http://schemas.openxmlformats.org/officeDocument/2006/relationships/hyperlink" Target="https://centrodecapacitaciondelsur.com/soporte-basico-de-vida-" TargetMode="External"/><Relationship Id="rId134" Type="http://schemas.openxmlformats.org/officeDocument/2006/relationships/hyperlink" Target="https://centrodecapacitaciondelsur.com/soporte-basico-de-vida-" TargetMode="External"/><Relationship Id="rId139" Type="http://schemas.openxmlformats.org/officeDocument/2006/relationships/hyperlink" Target="https://centrodecapacitaciondelsur.com/soporte-basico-de-vida-" TargetMode="External"/><Relationship Id="rId80" Type="http://schemas.openxmlformats.org/officeDocument/2006/relationships/hyperlink" Target="https://centrodecapacitaciondelsur.com/soporte-basico-de-vida-" TargetMode="External"/><Relationship Id="rId85" Type="http://schemas.openxmlformats.org/officeDocument/2006/relationships/hyperlink" Target="https://centrodecapacitaciondelsur.com/soporte-basico-de-vida-" TargetMode="External"/><Relationship Id="rId150" Type="http://schemas.openxmlformats.org/officeDocument/2006/relationships/drawing" Target="../drawings/drawing1.xml"/><Relationship Id="rId12" Type="http://schemas.openxmlformats.org/officeDocument/2006/relationships/hyperlink" Target="https://centrodecapacitaciondelsur.com/soporte-basico-de-vida-" TargetMode="External"/><Relationship Id="rId17" Type="http://schemas.openxmlformats.org/officeDocument/2006/relationships/hyperlink" Target="https://centrodecapacitaciondelsur.com/soporte-basico-de-vida-" TargetMode="External"/><Relationship Id="rId33" Type="http://schemas.openxmlformats.org/officeDocument/2006/relationships/hyperlink" Target="https://centrodecapacitaciondelsur.com/soporte-basico-de-vida-" TargetMode="External"/><Relationship Id="rId38" Type="http://schemas.openxmlformats.org/officeDocument/2006/relationships/hyperlink" Target="https://centrodecapacitaciondelsur.com/soporte-basico-de-vida-" TargetMode="External"/><Relationship Id="rId59" Type="http://schemas.openxmlformats.org/officeDocument/2006/relationships/hyperlink" Target="https://centrodecapacitaciondelsur.com/soporte-basico-de-vida-" TargetMode="External"/><Relationship Id="rId103" Type="http://schemas.openxmlformats.org/officeDocument/2006/relationships/hyperlink" Target="https://centrodecapacitaciondelsur.com/soporte-basico-de-vida-" TargetMode="External"/><Relationship Id="rId108" Type="http://schemas.openxmlformats.org/officeDocument/2006/relationships/hyperlink" Target="https://centrodecapacitaciondelsur.com/soporte-basico-de-vida-" TargetMode="External"/><Relationship Id="rId124" Type="http://schemas.openxmlformats.org/officeDocument/2006/relationships/hyperlink" Target="https://centrodecapacitaciondelsur.com/soporte-basico-de-vida-" TargetMode="External"/><Relationship Id="rId129" Type="http://schemas.openxmlformats.org/officeDocument/2006/relationships/hyperlink" Target="https://centrodecapacitaciondelsur.com/soporte-basico-de-vida-" TargetMode="External"/><Relationship Id="rId54" Type="http://schemas.openxmlformats.org/officeDocument/2006/relationships/hyperlink" Target="https://centrodecapacitaciondelsur.com/soporte-basico-de-vida-" TargetMode="External"/><Relationship Id="rId70" Type="http://schemas.openxmlformats.org/officeDocument/2006/relationships/hyperlink" Target="https://centrodecapacitaciondelsur.com/soporte-basico-de-vida-" TargetMode="External"/><Relationship Id="rId75" Type="http://schemas.openxmlformats.org/officeDocument/2006/relationships/hyperlink" Target="https://centrodecapacitaciondelsur.com/soporte-basico-de-vida-" TargetMode="External"/><Relationship Id="rId91" Type="http://schemas.openxmlformats.org/officeDocument/2006/relationships/hyperlink" Target="https://centrodecapacitaciondelsur.com/soporte-basico-de-vida-" TargetMode="External"/><Relationship Id="rId96" Type="http://schemas.openxmlformats.org/officeDocument/2006/relationships/hyperlink" Target="https://centrodecapacitaciondelsur.com/soporte-basico-de-vida-" TargetMode="External"/><Relationship Id="rId140" Type="http://schemas.openxmlformats.org/officeDocument/2006/relationships/hyperlink" Target="https://centrodecapacitaciondelsur.com/soporte-basico-de-vida-" TargetMode="External"/><Relationship Id="rId145" Type="http://schemas.openxmlformats.org/officeDocument/2006/relationships/hyperlink" Target="https://centrodecapacitaciondelsur.com/soporte-basico-de-vida-" TargetMode="External"/><Relationship Id="rId1" Type="http://schemas.openxmlformats.org/officeDocument/2006/relationships/hyperlink" Target="https://centrodecapacitaciondelsur.com/soporte-basico-de-vida-" TargetMode="External"/><Relationship Id="rId6" Type="http://schemas.openxmlformats.org/officeDocument/2006/relationships/hyperlink" Target="https://centrodecapacitaciondelsur.com/soporte-basico-de-vida-" TargetMode="External"/><Relationship Id="rId23" Type="http://schemas.openxmlformats.org/officeDocument/2006/relationships/hyperlink" Target="https://centrodecapacitaciondelsur.com/soporte-basico-de-vida-" TargetMode="External"/><Relationship Id="rId28" Type="http://schemas.openxmlformats.org/officeDocument/2006/relationships/hyperlink" Target="https://centrodecapacitaciondelsur.com/soporte-basico-de-vida-" TargetMode="External"/><Relationship Id="rId49" Type="http://schemas.openxmlformats.org/officeDocument/2006/relationships/hyperlink" Target="https://centrodecapacitaciondelsur.com/soporte-basico-de-vida-" TargetMode="External"/><Relationship Id="rId114" Type="http://schemas.openxmlformats.org/officeDocument/2006/relationships/hyperlink" Target="https://centrodecapacitaciondelsur.com/soporte-basico-de-vida-" TargetMode="External"/><Relationship Id="rId119" Type="http://schemas.openxmlformats.org/officeDocument/2006/relationships/hyperlink" Target="https://centrodecapacitaciondelsur.com/soporte-basico-de-vida-" TargetMode="External"/><Relationship Id="rId44" Type="http://schemas.openxmlformats.org/officeDocument/2006/relationships/hyperlink" Target="https://centrodecapacitaciondelsur.com/soporte-basico-de-vida-" TargetMode="External"/><Relationship Id="rId60" Type="http://schemas.openxmlformats.org/officeDocument/2006/relationships/hyperlink" Target="https://centrodecapacitaciondelsur.com/soporte-basico-de-vida-" TargetMode="External"/><Relationship Id="rId65" Type="http://schemas.openxmlformats.org/officeDocument/2006/relationships/hyperlink" Target="https://centrodecapacitaciondelsur.com/soporte-basico-de-vida-" TargetMode="External"/><Relationship Id="rId81" Type="http://schemas.openxmlformats.org/officeDocument/2006/relationships/hyperlink" Target="https://centrodecapacitaciondelsur.com/soporte-basico-de-vida-" TargetMode="External"/><Relationship Id="rId86" Type="http://schemas.openxmlformats.org/officeDocument/2006/relationships/hyperlink" Target="https://centrodecapacitaciondelsur.com/soporte-basico-de-vida-" TargetMode="External"/><Relationship Id="rId130" Type="http://schemas.openxmlformats.org/officeDocument/2006/relationships/hyperlink" Target="https://centrodecapacitaciondelsur.com/soporte-basico-de-vida-" TargetMode="External"/><Relationship Id="rId135" Type="http://schemas.openxmlformats.org/officeDocument/2006/relationships/hyperlink" Target="https://centrodecapacitaciondelsur.com/soporte-basico-de-vida-" TargetMode="External"/><Relationship Id="rId13" Type="http://schemas.openxmlformats.org/officeDocument/2006/relationships/hyperlink" Target="https://centrodecapacitaciondelsur.com/soporte-basico-de-vida-" TargetMode="External"/><Relationship Id="rId18" Type="http://schemas.openxmlformats.org/officeDocument/2006/relationships/hyperlink" Target="https://centrodecapacitaciondelsur.com/soporte-basico-de-vida-" TargetMode="External"/><Relationship Id="rId39" Type="http://schemas.openxmlformats.org/officeDocument/2006/relationships/hyperlink" Target="https://centrodecapacitaciondelsur.com/soporte-basico-de-vida-" TargetMode="External"/><Relationship Id="rId109" Type="http://schemas.openxmlformats.org/officeDocument/2006/relationships/hyperlink" Target="https://centrodecapacitaciondelsur.com/soporte-basico-de-vida-" TargetMode="External"/><Relationship Id="rId34" Type="http://schemas.openxmlformats.org/officeDocument/2006/relationships/hyperlink" Target="https://centrodecapacitaciondelsur.com/soporte-basico-de-vida-" TargetMode="External"/><Relationship Id="rId50" Type="http://schemas.openxmlformats.org/officeDocument/2006/relationships/hyperlink" Target="https://centrodecapacitaciondelsur.com/soporte-basico-de-vida-" TargetMode="External"/><Relationship Id="rId55" Type="http://schemas.openxmlformats.org/officeDocument/2006/relationships/hyperlink" Target="https://centrodecapacitaciondelsur.com/soporte-basico-de-vida-" TargetMode="External"/><Relationship Id="rId76" Type="http://schemas.openxmlformats.org/officeDocument/2006/relationships/hyperlink" Target="https://centrodecapacitaciondelsur.com/soporte-basico-de-vida-" TargetMode="External"/><Relationship Id="rId97" Type="http://schemas.openxmlformats.org/officeDocument/2006/relationships/hyperlink" Target="https://centrodecapacitaciondelsur.com/soporte-basico-de-vida-" TargetMode="External"/><Relationship Id="rId104" Type="http://schemas.openxmlformats.org/officeDocument/2006/relationships/hyperlink" Target="https://centrodecapacitaciondelsur.com/soporte-basico-de-vida-" TargetMode="External"/><Relationship Id="rId120" Type="http://schemas.openxmlformats.org/officeDocument/2006/relationships/hyperlink" Target="https://centrodecapacitaciondelsur.com/soporte-basico-de-vida-" TargetMode="External"/><Relationship Id="rId125" Type="http://schemas.openxmlformats.org/officeDocument/2006/relationships/hyperlink" Target="https://centrodecapacitaciondelsur.com/soporte-basico-de-vida-" TargetMode="External"/><Relationship Id="rId141" Type="http://schemas.openxmlformats.org/officeDocument/2006/relationships/hyperlink" Target="https://centrodecapacitaciondelsur.com/soporte-basico-de-vida-" TargetMode="External"/><Relationship Id="rId146" Type="http://schemas.openxmlformats.org/officeDocument/2006/relationships/hyperlink" Target="https://centrodecapacitaciondelsur.com/soporte-basico-de-vida-" TargetMode="External"/><Relationship Id="rId7" Type="http://schemas.openxmlformats.org/officeDocument/2006/relationships/hyperlink" Target="https://centrodecapacitaciondelsur.com/soporte-basico-de-vida-" TargetMode="External"/><Relationship Id="rId71" Type="http://schemas.openxmlformats.org/officeDocument/2006/relationships/hyperlink" Target="https://centrodecapacitaciondelsur.com/soporte-basico-de-vida-" TargetMode="External"/><Relationship Id="rId92" Type="http://schemas.openxmlformats.org/officeDocument/2006/relationships/hyperlink" Target="https://centrodecapacitaciondelsur.com/soporte-basico-de-vida-" TargetMode="External"/><Relationship Id="rId2" Type="http://schemas.openxmlformats.org/officeDocument/2006/relationships/hyperlink" Target="https://centrodecapacitaciondelsur.com/manejo-de-residuos-hospitalarios-" TargetMode="External"/><Relationship Id="rId29" Type="http://schemas.openxmlformats.org/officeDocument/2006/relationships/hyperlink" Target="https://centrodecapacitaciondelsur.com/soporte-basico-de-vida-" TargetMode="External"/><Relationship Id="rId24" Type="http://schemas.openxmlformats.org/officeDocument/2006/relationships/hyperlink" Target="https://centrodecapacitaciondelsur.com/soporte-basico-de-vida-" TargetMode="External"/><Relationship Id="rId40" Type="http://schemas.openxmlformats.org/officeDocument/2006/relationships/hyperlink" Target="https://centrodecapacitaciondelsur.com/soporte-basico-de-vida-" TargetMode="External"/><Relationship Id="rId45" Type="http://schemas.openxmlformats.org/officeDocument/2006/relationships/hyperlink" Target="https://centrodecapacitaciondelsur.com/soporte-basico-de-vida-" TargetMode="External"/><Relationship Id="rId66" Type="http://schemas.openxmlformats.org/officeDocument/2006/relationships/hyperlink" Target="https://centrodecapacitaciondelsur.com/soporte-basico-de-vida-" TargetMode="External"/><Relationship Id="rId87" Type="http://schemas.openxmlformats.org/officeDocument/2006/relationships/hyperlink" Target="https://centrodecapacitaciondelsur.com/soporte-basico-de-vida-" TargetMode="External"/><Relationship Id="rId110" Type="http://schemas.openxmlformats.org/officeDocument/2006/relationships/hyperlink" Target="https://centrodecapacitaciondelsur.com/soporte-basico-de-vida-" TargetMode="External"/><Relationship Id="rId115" Type="http://schemas.openxmlformats.org/officeDocument/2006/relationships/hyperlink" Target="https://centrodecapacitaciondelsur.com/soporte-basico-de-vida-" TargetMode="External"/><Relationship Id="rId131" Type="http://schemas.openxmlformats.org/officeDocument/2006/relationships/hyperlink" Target="https://centrodecapacitaciondelsur.com/soporte-basico-de-vida-" TargetMode="External"/><Relationship Id="rId136" Type="http://schemas.openxmlformats.org/officeDocument/2006/relationships/hyperlink" Target="https://centrodecapacitaciondelsur.com/soporte-basico-de-vida-" TargetMode="External"/><Relationship Id="rId61" Type="http://schemas.openxmlformats.org/officeDocument/2006/relationships/hyperlink" Target="https://centrodecapacitaciondelsur.com/soporte-basico-de-vida-" TargetMode="External"/><Relationship Id="rId82" Type="http://schemas.openxmlformats.org/officeDocument/2006/relationships/hyperlink" Target="https://centrodecapacitaciondelsur.com/soporte-basico-de-vida-" TargetMode="External"/><Relationship Id="rId19" Type="http://schemas.openxmlformats.org/officeDocument/2006/relationships/hyperlink" Target="https://centrodecapacitaciondelsur.com/soporte-basico-de-vida-" TargetMode="External"/><Relationship Id="rId14" Type="http://schemas.openxmlformats.org/officeDocument/2006/relationships/hyperlink" Target="https://centrodecapacitaciondelsur.com/soporte-basico-de-vida-" TargetMode="External"/><Relationship Id="rId30" Type="http://schemas.openxmlformats.org/officeDocument/2006/relationships/hyperlink" Target="https://centrodecapacitaciondelsur.com/soporte-basico-de-vida-" TargetMode="External"/><Relationship Id="rId35" Type="http://schemas.openxmlformats.org/officeDocument/2006/relationships/hyperlink" Target="https://centrodecapacitaciondelsur.com/soporte-basico-de-vida-" TargetMode="External"/><Relationship Id="rId56" Type="http://schemas.openxmlformats.org/officeDocument/2006/relationships/hyperlink" Target="https://centrodecapacitaciondelsur.com/soporte-basico-de-vida-" TargetMode="External"/><Relationship Id="rId77" Type="http://schemas.openxmlformats.org/officeDocument/2006/relationships/hyperlink" Target="https://centrodecapacitaciondelsur.com/soporte-basico-de-vida-" TargetMode="External"/><Relationship Id="rId100" Type="http://schemas.openxmlformats.org/officeDocument/2006/relationships/hyperlink" Target="https://centrodecapacitaciondelsur.com/soporte-basico-de-vida-" TargetMode="External"/><Relationship Id="rId105" Type="http://schemas.openxmlformats.org/officeDocument/2006/relationships/hyperlink" Target="https://centrodecapacitaciondelsur.com/soporte-basico-de-vida-" TargetMode="External"/><Relationship Id="rId126" Type="http://schemas.openxmlformats.org/officeDocument/2006/relationships/hyperlink" Target="https://centrodecapacitaciondelsur.com/soporte-basico-de-vida-" TargetMode="External"/><Relationship Id="rId147" Type="http://schemas.openxmlformats.org/officeDocument/2006/relationships/hyperlink" Target="https://centrodecapacitaciondelsur.com/soporte-basico-de-vida-" TargetMode="External"/><Relationship Id="rId8" Type="http://schemas.openxmlformats.org/officeDocument/2006/relationships/hyperlink" Target="https://centrodecapacitaciondelsur.com/soporte-basico-de-vida-" TargetMode="External"/><Relationship Id="rId51" Type="http://schemas.openxmlformats.org/officeDocument/2006/relationships/hyperlink" Target="https://centrodecapacitaciondelsur.com/soporte-basico-de-vida-" TargetMode="External"/><Relationship Id="rId72" Type="http://schemas.openxmlformats.org/officeDocument/2006/relationships/hyperlink" Target="https://centrodecapacitaciondelsur.com/soporte-basico-de-vida-" TargetMode="External"/><Relationship Id="rId93" Type="http://schemas.openxmlformats.org/officeDocument/2006/relationships/hyperlink" Target="https://centrodecapacitaciondelsur.com/soporte-basico-de-vida-" TargetMode="External"/><Relationship Id="rId98" Type="http://schemas.openxmlformats.org/officeDocument/2006/relationships/hyperlink" Target="https://centrodecapacitaciondelsur.com/soporte-basico-de-vida-" TargetMode="External"/><Relationship Id="rId121" Type="http://schemas.openxmlformats.org/officeDocument/2006/relationships/hyperlink" Target="https://centrodecapacitaciondelsur.com/soporte-basico-de-vida-" TargetMode="External"/><Relationship Id="rId142" Type="http://schemas.openxmlformats.org/officeDocument/2006/relationships/hyperlink" Target="https://centrodecapacitaciondelsur.com/soporte-basico-de-vida-" TargetMode="External"/><Relationship Id="rId3" Type="http://schemas.openxmlformats.org/officeDocument/2006/relationships/hyperlink" Target="https://centrodecapacitaciondelsur.com/triage-1087122975/" TargetMode="External"/><Relationship Id="rId25" Type="http://schemas.openxmlformats.org/officeDocument/2006/relationships/hyperlink" Target="https://centrodecapacitaciondelsur.com/soporte-basico-de-vida-" TargetMode="External"/><Relationship Id="rId46" Type="http://schemas.openxmlformats.org/officeDocument/2006/relationships/hyperlink" Target="https://centrodecapacitaciondelsur.com/soporte-basico-de-vida-" TargetMode="External"/><Relationship Id="rId67" Type="http://schemas.openxmlformats.org/officeDocument/2006/relationships/hyperlink" Target="https://centrodecapacitaciondelsur.com/soporte-basico-de-vida-" TargetMode="External"/><Relationship Id="rId116" Type="http://schemas.openxmlformats.org/officeDocument/2006/relationships/hyperlink" Target="https://centrodecapacitaciondelsur.com/soporte-basico-de-vida-" TargetMode="External"/><Relationship Id="rId137" Type="http://schemas.openxmlformats.org/officeDocument/2006/relationships/hyperlink" Target="https://centrodecapacitaciondelsur.com/soporte-basico-de-vida-" TargetMode="External"/><Relationship Id="rId20" Type="http://schemas.openxmlformats.org/officeDocument/2006/relationships/hyperlink" Target="https://centrodecapacitaciondelsur.com/soporte-basico-de-vida-" TargetMode="External"/><Relationship Id="rId41" Type="http://schemas.openxmlformats.org/officeDocument/2006/relationships/hyperlink" Target="https://centrodecapacitaciondelsur.com/soporte-basico-de-vida-" TargetMode="External"/><Relationship Id="rId62" Type="http://schemas.openxmlformats.org/officeDocument/2006/relationships/hyperlink" Target="https://centrodecapacitaciondelsur.com/soporte-basico-de-vida-" TargetMode="External"/><Relationship Id="rId83" Type="http://schemas.openxmlformats.org/officeDocument/2006/relationships/hyperlink" Target="https://centrodecapacitaciondelsur.com/soporte-basico-de-vida-" TargetMode="External"/><Relationship Id="rId88" Type="http://schemas.openxmlformats.org/officeDocument/2006/relationships/hyperlink" Target="https://centrodecapacitaciondelsur.com/soporte-basico-de-vida-" TargetMode="External"/><Relationship Id="rId111" Type="http://schemas.openxmlformats.org/officeDocument/2006/relationships/hyperlink" Target="https://centrodecapacitaciondelsur.com/soporte-basico-de-vida-" TargetMode="External"/><Relationship Id="rId132" Type="http://schemas.openxmlformats.org/officeDocument/2006/relationships/hyperlink" Target="https://centrodecapacitaciondelsur.com/soporte-basico-de-vida-" TargetMode="External"/><Relationship Id="rId15" Type="http://schemas.openxmlformats.org/officeDocument/2006/relationships/hyperlink" Target="https://centrodecapacitaciondelsur.com/soporte-basico-de-vida-" TargetMode="External"/><Relationship Id="rId36" Type="http://schemas.openxmlformats.org/officeDocument/2006/relationships/hyperlink" Target="https://centrodecapacitaciondelsur.com/soporte-basico-de-vida-" TargetMode="External"/><Relationship Id="rId57" Type="http://schemas.openxmlformats.org/officeDocument/2006/relationships/hyperlink" Target="https://centrodecapacitaciondelsur.com/soporte-basico-de-vida-" TargetMode="External"/><Relationship Id="rId106" Type="http://schemas.openxmlformats.org/officeDocument/2006/relationships/hyperlink" Target="https://centrodecapacitaciondelsur.com/soporte-basico-de-vida-" TargetMode="External"/><Relationship Id="rId127" Type="http://schemas.openxmlformats.org/officeDocument/2006/relationships/hyperlink" Target="https://centrodecapacitaciondelsur.com/soporte-basico-de-vida-" TargetMode="External"/><Relationship Id="rId10" Type="http://schemas.openxmlformats.org/officeDocument/2006/relationships/hyperlink" Target="https://centrodecapacitaciondelsur.com/soporte-basico-de-vida-" TargetMode="External"/><Relationship Id="rId31" Type="http://schemas.openxmlformats.org/officeDocument/2006/relationships/hyperlink" Target="https://centrodecapacitaciondelsur.com/soporte-basico-de-vida-" TargetMode="External"/><Relationship Id="rId52" Type="http://schemas.openxmlformats.org/officeDocument/2006/relationships/hyperlink" Target="https://centrodecapacitaciondelsur.com/soporte-basico-de-vida-" TargetMode="External"/><Relationship Id="rId73" Type="http://schemas.openxmlformats.org/officeDocument/2006/relationships/hyperlink" Target="https://centrodecapacitaciondelsur.com/soporte-basico-de-vida-" TargetMode="External"/><Relationship Id="rId78" Type="http://schemas.openxmlformats.org/officeDocument/2006/relationships/hyperlink" Target="https://centrodecapacitaciondelsur.com/soporte-basico-de-vida-" TargetMode="External"/><Relationship Id="rId94" Type="http://schemas.openxmlformats.org/officeDocument/2006/relationships/hyperlink" Target="https://centrodecapacitaciondelsur.com/soporte-basico-de-vida-" TargetMode="External"/><Relationship Id="rId99" Type="http://schemas.openxmlformats.org/officeDocument/2006/relationships/hyperlink" Target="https://centrodecapacitaciondelsur.com/soporte-basico-de-vida-" TargetMode="External"/><Relationship Id="rId101" Type="http://schemas.openxmlformats.org/officeDocument/2006/relationships/hyperlink" Target="https://centrodecapacitaciondelsur.com/soporte-basico-de-vida-" TargetMode="External"/><Relationship Id="rId122" Type="http://schemas.openxmlformats.org/officeDocument/2006/relationships/hyperlink" Target="https://centrodecapacitaciondelsur.com/soporte-basico-de-vida-" TargetMode="External"/><Relationship Id="rId143" Type="http://schemas.openxmlformats.org/officeDocument/2006/relationships/hyperlink" Target="https://centrodecapacitaciondelsur.com/soporte-basico-de-vida-" TargetMode="External"/><Relationship Id="rId148" Type="http://schemas.openxmlformats.org/officeDocument/2006/relationships/hyperlink" Target="https://centrodecapacitaciondelsur.com/soporte-basico-de-vida-" TargetMode="External"/><Relationship Id="rId4" Type="http://schemas.openxmlformats.org/officeDocument/2006/relationships/hyperlink" Target="https://centrodecapacitaciondelsur.com/soporte-basico-de-vida-" TargetMode="External"/><Relationship Id="rId9" Type="http://schemas.openxmlformats.org/officeDocument/2006/relationships/hyperlink" Target="https://centrodecapacitaciondelsur.com/soporte-basico-de-vida-" TargetMode="External"/><Relationship Id="rId26" Type="http://schemas.openxmlformats.org/officeDocument/2006/relationships/hyperlink" Target="https://centrodecapacitaciondelsur.com/soporte-basico-de-vida-" TargetMode="External"/><Relationship Id="rId47" Type="http://schemas.openxmlformats.org/officeDocument/2006/relationships/hyperlink" Target="https://centrodecapacitaciondelsur.com/soporte-basico-de-vida-" TargetMode="External"/><Relationship Id="rId68" Type="http://schemas.openxmlformats.org/officeDocument/2006/relationships/hyperlink" Target="https://centrodecapacitaciondelsur.com/soporte-basico-de-vida-" TargetMode="External"/><Relationship Id="rId89" Type="http://schemas.openxmlformats.org/officeDocument/2006/relationships/hyperlink" Target="https://centrodecapacitaciondelsur.com/soporte-basico-de-vida-" TargetMode="External"/><Relationship Id="rId112" Type="http://schemas.openxmlformats.org/officeDocument/2006/relationships/hyperlink" Target="https://centrodecapacitaciondelsur.com/soporte-basico-de-vida-" TargetMode="External"/><Relationship Id="rId133" Type="http://schemas.openxmlformats.org/officeDocument/2006/relationships/hyperlink" Target="https://centrodecapacitaciondelsur.com/soporte-basico-de-vida-" TargetMode="External"/><Relationship Id="rId16" Type="http://schemas.openxmlformats.org/officeDocument/2006/relationships/hyperlink" Target="https://centrodecapacitaciondelsur.com/soporte-basico-de-vida-" TargetMode="External"/><Relationship Id="rId37" Type="http://schemas.openxmlformats.org/officeDocument/2006/relationships/hyperlink" Target="https://centrodecapacitaciondelsur.com/soporte-basico-de-vida-" TargetMode="External"/><Relationship Id="rId58" Type="http://schemas.openxmlformats.org/officeDocument/2006/relationships/hyperlink" Target="https://centrodecapacitaciondelsur.com/soporte-basico-de-vida-" TargetMode="External"/><Relationship Id="rId79" Type="http://schemas.openxmlformats.org/officeDocument/2006/relationships/hyperlink" Target="https://centrodecapacitaciondelsur.com/soporte-basico-de-vida-" TargetMode="External"/><Relationship Id="rId102" Type="http://schemas.openxmlformats.org/officeDocument/2006/relationships/hyperlink" Target="https://centrodecapacitaciondelsur.com/soporte-basico-de-vida-" TargetMode="External"/><Relationship Id="rId123" Type="http://schemas.openxmlformats.org/officeDocument/2006/relationships/hyperlink" Target="https://centrodecapacitaciondelsur.com/soporte-basico-de-vida-" TargetMode="External"/><Relationship Id="rId144" Type="http://schemas.openxmlformats.org/officeDocument/2006/relationships/hyperlink" Target="https://centrodecapacitaciondelsur.com/soporte-basico-de-vida-" TargetMode="External"/><Relationship Id="rId90" Type="http://schemas.openxmlformats.org/officeDocument/2006/relationships/hyperlink" Target="https://centrodecapacitaciondelsur.com/soporte-basico-de-vida-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1048557"/>
  <sheetViews>
    <sheetView tabSelected="1" zoomScale="90" zoomScaleNormal="90" workbookViewId="0">
      <pane xSplit="1" ySplit="1" topLeftCell="B2" activePane="bottomRight" state="frozen"/>
      <selection pane="topRight"/>
      <selection pane="bottomLeft"/>
      <selection pane="bottomRight" activeCell="G12" sqref="G12"/>
    </sheetView>
  </sheetViews>
  <sheetFormatPr baseColWidth="10" defaultRowHeight="15" x14ac:dyDescent="0.2"/>
  <cols>
    <col min="1" max="1" width="4.77734375" style="43" customWidth="1"/>
    <col min="2" max="2" width="19" style="45" customWidth="1"/>
    <col min="3" max="3" width="21.44140625" style="45" bestFit="1" customWidth="1"/>
    <col min="4" max="6" width="16" style="45" customWidth="1"/>
    <col min="7" max="7" width="5.6640625" style="45" bestFit="1" customWidth="1"/>
    <col min="8" max="8" width="10.5546875" style="45" bestFit="1" customWidth="1"/>
    <col min="9" max="9" width="15.21875" style="45" bestFit="1" customWidth="1"/>
    <col min="10" max="10" width="19.44140625" style="49" bestFit="1" customWidth="1"/>
    <col min="11" max="11" width="22.33203125" style="112" bestFit="1" customWidth="1"/>
    <col min="12" max="12" width="19.44140625" style="45" bestFit="1" customWidth="1"/>
    <col min="13" max="13" width="12.109375" style="45" bestFit="1" customWidth="1"/>
    <col min="14" max="14" width="17.44140625" style="45" bestFit="1" customWidth="1"/>
    <col min="15" max="15" width="29.44140625" style="45" bestFit="1" customWidth="1"/>
    <col min="16" max="16" width="27.44140625" style="45" bestFit="1" customWidth="1"/>
    <col min="17" max="17" width="10.77734375" style="45" bestFit="1" customWidth="1"/>
    <col min="18" max="18" width="39.44140625" style="45" bestFit="1" customWidth="1"/>
    <col min="19" max="19" width="13.6640625" style="45" bestFit="1" customWidth="1"/>
    <col min="20" max="20" width="32.5546875" style="51" bestFit="1" customWidth="1"/>
    <col min="21" max="21" width="81.44140625" style="51" bestFit="1" customWidth="1"/>
    <col min="22" max="23" width="33.21875" style="51" bestFit="1" customWidth="1"/>
    <col min="24" max="24" width="65.6640625" style="48" bestFit="1" customWidth="1"/>
    <col min="25" max="16384" width="11.5546875" style="48"/>
  </cols>
  <sheetData>
    <row r="1" spans="1:24" s="119" customFormat="1" ht="46.5" customHeight="1" x14ac:dyDescent="0.2">
      <c r="A1" s="52" t="s">
        <v>67</v>
      </c>
      <c r="B1" s="113" t="s">
        <v>0</v>
      </c>
      <c r="C1" s="52" t="s">
        <v>1</v>
      </c>
      <c r="D1" s="52" t="s">
        <v>2</v>
      </c>
      <c r="E1" s="52" t="s">
        <v>3</v>
      </c>
      <c r="F1" s="52" t="s">
        <v>4</v>
      </c>
      <c r="G1" s="53" t="s">
        <v>5</v>
      </c>
      <c r="H1" s="53" t="s">
        <v>6</v>
      </c>
      <c r="I1" s="53" t="s">
        <v>91</v>
      </c>
      <c r="J1" s="114" t="s">
        <v>7</v>
      </c>
      <c r="K1" s="115" t="s">
        <v>8</v>
      </c>
      <c r="L1" s="52" t="s">
        <v>9</v>
      </c>
      <c r="M1" s="52" t="s">
        <v>68</v>
      </c>
      <c r="N1" s="52" t="s">
        <v>10</v>
      </c>
      <c r="O1" s="116" t="s">
        <v>11</v>
      </c>
      <c r="P1" s="117" t="s">
        <v>66</v>
      </c>
      <c r="Q1" s="52" t="s">
        <v>12</v>
      </c>
      <c r="R1" s="52" t="s">
        <v>13</v>
      </c>
      <c r="S1" s="52" t="s">
        <v>14</v>
      </c>
      <c r="T1" s="52" t="s">
        <v>69</v>
      </c>
      <c r="U1" s="118" t="s">
        <v>15</v>
      </c>
      <c r="V1" s="118" t="s">
        <v>16</v>
      </c>
      <c r="W1" s="118" t="s">
        <v>17</v>
      </c>
      <c r="X1" s="118" t="s">
        <v>18</v>
      </c>
    </row>
    <row r="2" spans="1:24" s="58" customFormat="1" x14ac:dyDescent="0.2">
      <c r="A2" s="46">
        <v>1</v>
      </c>
      <c r="B2" s="54">
        <v>1089485138</v>
      </c>
      <c r="C2" s="54" t="s">
        <v>94</v>
      </c>
      <c r="D2" s="54" t="s">
        <v>99</v>
      </c>
      <c r="E2" s="54" t="s">
        <v>103</v>
      </c>
      <c r="F2" s="54" t="s">
        <v>96</v>
      </c>
      <c r="G2" s="54">
        <v>1</v>
      </c>
      <c r="H2" s="54" t="s">
        <v>100</v>
      </c>
      <c r="I2" s="55" t="s">
        <v>92</v>
      </c>
      <c r="J2" s="56">
        <v>45597</v>
      </c>
      <c r="K2" s="108">
        <v>80000</v>
      </c>
      <c r="L2" s="54" t="s">
        <v>139</v>
      </c>
      <c r="M2" s="54" t="s">
        <v>80</v>
      </c>
      <c r="N2" s="54" t="s">
        <v>90</v>
      </c>
      <c r="O2" s="43" t="s">
        <v>45</v>
      </c>
      <c r="P2" s="55">
        <v>34560</v>
      </c>
      <c r="Q2" s="54" t="s">
        <v>89</v>
      </c>
      <c r="R2" s="54" t="s">
        <v>101</v>
      </c>
      <c r="S2" s="57">
        <v>3148519765</v>
      </c>
      <c r="T2" s="73" t="s">
        <v>102</v>
      </c>
      <c r="U2" s="47" t="str">
        <f>IF(O2=CURSOS!$D$3,"DIPLOMADO EN ATENCION PRE-HOSPITALARIA",IF(O2=CURSOS!$D$4,"ACOMPAÑAMIENTO Y MANEJO DEL DUELO",IF(O2=CURSOS!$D$5,"ATENCION A VICTIMAS DE ATAQUE CON AGENTES QUIMICOS ",IF(O2=CURSOS!$D$6,"PRIMEROS AUXILIOS ",IF(O2=CURSOS!$D$7,"DIPLOMADO DE UNIDAD DE CUIDADOS INTENSIVOS (UCI)",IF(O2=CURSOS!$D$8,"MODELO DE ATENCION PARA EVENTOS EMERGENTES EN SALUD MENTAL (CODIGO VERDE)",IF(O2=CURSOS!$D$9,"HUMANIZACION EN EL SERVICIO DE LA SALUD Y BUENAS PRACTICAS EN PACIENTE ",IF(O2=CURSOS!$D$10,"CLINICA DE HERIDAS ",IF(O2=CURSOS!$D$11,"TOMA DE CITOLOGIA CERVICO VAGINAL ",IF(O2=CURSOS!$D$12,"SOPORTE CARDIOVASCULAR AVANZADO (ACLS) ",IF(O2=CURSOS!$D$13,"CAMILLERO ",IF(O2=CURSOS!$D$14,"TOMA DE MUESTRAS Y LABORATORIO ",IF(O2=CURSOS!$D$15,"SOPORTE VITAL BASICO (BLS)",IF(O2=CURSOS!$D$16,"ATENCION A VICTIMAS DE VIOLENCIA SEXUAL ",IF(O2=CURSOS!$D$17,"PROGRAMADO AMPLIADO DE INMUNIZACION (PAI - COVID 19)",IF(O2=CURSOS!$D$18,"ATENCION INTEGRAL EN ENFERMEDADES PREVALENTES EN PRIMERA INFANCIA (AIEPI)",IF(O2=CURSOS!$D$19,"ADMINISTRACION DE MEDICAMENTOS, INYECTOLOGIA  Y CANALIZACION ",IF(O2=CURSOS!$D$20,"OPERADOR DE VEHICULOS DE EMERGENCIA (OVE)",IF(O2=CURSOS!$D$21,"INSTITUCIONES AMIGAS DE LA MUJER Y LA INFANCIA (IAMI)",IF(O2=CURSOS!$D$22,"CUIDADO DEL DONANTE DE ORGANOS",IF(O2=CURSOS!$D$23,"ATENCION A VICTIMAS POR VIOLENCIA DE GENERO",IF(O2=CURSOS!$D$24,"IGUALDAD DE GENERO EN LA SALUD",IF(O2=CURSOS!$D$25,"BRIGADA DE EMERGENCIA",IF(O2=CURSOS!$D$26,"MANEJO DEL DOLOR Y CUIDADOS PALIATIVOS",IF(O2=CURSOS!$D$27,"TOMA DE MUESTRAS Y LABORATORIO POCT",IF(O2=CURSOS!$D$28,"IMPLANTE SUBDERMICO DE DISPOSITIVO INTRAUTERINO",IF(O2=CURSOS!$D$29,"SALUD MENTAL",IF(O2=CURSOS!$D$30,"PRIMEROS AUXILIOS PSICOLOGICOS",IF(O2=CURSOS!$D$31,"ATENCION A VICTIMAS POR CONFLICTO ARMADO",IF(O2=CURSOS!$D$32,"MANIPULACION DE ALIMENTOS Y BPM",IF(O2=CURSOS!$D$33,"ATENCION A PERSONAS CON DISCAPACIDAD",IF(O2=CURSOS!$D$34,"CUIDADO INTEGRAL DEL PACIENTE ADULTO",IF(O2=CURSOS!$D$35,"MANEJO DEFENSIVO",IF(O2=CURSOS!$D$36,"SOPORTE CARDIOVASCULAR AVANZADO NEONATAL",IF(O2=CURSOS!$D$37,"SEGURIDAD DEL PACIENTE",IF(O2=CURSOS!$D$38,"MANEJO DE RESIDUOS HOSPITALARIOS"))))))))))))))))))))))))))))))))))))</f>
        <v xml:space="preserve">ADMINISTRACION DE MEDICAMENTOS, INYECTOLOGIA  Y CANALIZACION </v>
      </c>
      <c r="V2" s="47" t="str">
        <f>CONCATENATE(E2," ",F2," ",C2," ",D2)</f>
        <v>Yudy Alejandra Cordoba Arteaga</v>
      </c>
      <c r="W2" s="47" t="str">
        <f>PROPER(V2)</f>
        <v>Yudy Alejandra Cordoba Arteaga</v>
      </c>
      <c r="X2" s="47" t="str">
        <f>CONCATENATE(V2,"-",B2,"-",O2)</f>
        <v>Yudy Alejandra Cordoba Arteaga-1089485138-ADMON DE MEDICAMENTOS</v>
      </c>
    </row>
    <row r="3" spans="1:24" s="58" customFormat="1" x14ac:dyDescent="0.2">
      <c r="A3" s="46">
        <v>2</v>
      </c>
      <c r="B3" s="43">
        <v>1085298006</v>
      </c>
      <c r="C3" s="54" t="s">
        <v>104</v>
      </c>
      <c r="D3" s="54" t="s">
        <v>105</v>
      </c>
      <c r="E3" s="54" t="s">
        <v>106</v>
      </c>
      <c r="F3" s="54" t="s">
        <v>107</v>
      </c>
      <c r="G3" s="54">
        <v>1</v>
      </c>
      <c r="H3" s="54" t="s">
        <v>100</v>
      </c>
      <c r="I3" s="55" t="s">
        <v>92</v>
      </c>
      <c r="J3" s="56">
        <v>45597</v>
      </c>
      <c r="K3" s="108">
        <v>50000</v>
      </c>
      <c r="L3" s="54" t="s">
        <v>147</v>
      </c>
      <c r="M3" s="54" t="s">
        <v>141</v>
      </c>
      <c r="N3" s="54" t="s">
        <v>140</v>
      </c>
      <c r="O3" s="43" t="s">
        <v>26</v>
      </c>
      <c r="P3" s="55"/>
      <c r="Q3" s="54" t="s">
        <v>148</v>
      </c>
      <c r="R3" s="54" t="s">
        <v>286</v>
      </c>
      <c r="S3" s="57">
        <v>3147017907</v>
      </c>
      <c r="T3" s="54"/>
      <c r="U3" s="47" t="str">
        <f>IF(O3=CURSOS!$D$3,"DIPLOMADO EN ATENCION PRE-HOSPITALARIA",IF(O3=CURSOS!$D$4,"ACOMPAÑAMIENTO Y MANEJO DEL DUELO",IF(O3=CURSOS!$D$5,"ATENCION A VICTIMAS DE ATAQUE CON AGENTES QUIMICOS ",IF(O3=CURSOS!$D$6,"PRIMEROS AUXILIOS ",IF(O3=CURSOS!$D$7,"DIPLOMADO DE UNIDAD DE CUIDADOS INTENSIVOS (UCI)",IF(O3=CURSOS!$D$8,"MODELO DE ATENCION PARA EVENTOS EMERGENTES EN SALUD MENTAL (CODIGO VERDE)",IF(O3=CURSOS!$D$9,"HUMANIZACION EN EL SERVICIO DE LA SALUD Y BUENAS PRACTICAS EN PACIENTE ",IF(O3=CURSOS!$D$10,"CLINICA DE HERIDAS ",IF(O3=CURSOS!$D$11,"TOMA DE CITOLOGIA CERVICO VAGINAL ",IF(O3=CURSOS!$D$12,"SOPORTE CARDIOVASCULAR AVANZADO (ACLS) ",IF(O3=CURSOS!$D$13,"CAMILLERO ",IF(O3=CURSOS!$D$14,"TOMA DE MUESTRAS Y LABORATORIO ",IF(O3=CURSOS!$D$15,"SOPORTE VITAL BASICO (BLS)",IF(O3=CURSOS!$D$16,"ATENCION A VICTIMAS DE VIOLENCIA SEXUAL ",IF(O3=CURSOS!$D$17,"PROGRAMADO AMPLIADO DE INMUNIZACION (PAI - COVID 19)",IF(O3=CURSOS!$D$18,"ATENCION INTEGRAL EN ENFERMEDADES PREVALENTES EN PRIMERA INFANCIA (AIEPI)",IF(O3=CURSOS!$D$19,"ADMINISTRACION DE MEDICAMENTOS, INYECTOLOGIA  Y CANALIZACION ",IF(O3=CURSOS!$D$20,"OPERADOR DE VEHICULOS DE EMERGENCIA (OVE)",IF(O3=CURSOS!$D$21,"INSTITUCIONES AMIGAS DE LA MUJER Y LA INFANCIA (IAMI)",IF(O3=CURSOS!$D$22,"CUIDADO DEL DONANTE DE ORGANOS",IF(O3=CURSOS!$D$23,"ATENCION A VICTIMAS POR VIOLENCIA DE GENERO",IF(O3=CURSOS!$D$24,"IGUALDAD DE GENERO EN LA SALUD",IF(O3=CURSOS!$D$25,"BRIGADA DE EMERGENCIA",IF(O3=CURSOS!$D$26,"MANEJO DEL DOLOR Y CUIDADOS PALIATIVOS",IF(O3=CURSOS!$D$27,"TOMA DE MUESTRAS Y LABORATORIO POCT",IF(O3=CURSOS!$D$28,"IMPLANTE SUBDERMICO DE DISPOSITIVO INTRAUTERINO",IF(O3=CURSOS!$D$29,"SALUD MENTAL",IF(O3=CURSOS!$D$30,"PRIMEROS AUXILIOS PSICOLOGICOS",IF(O3=CURSOS!$D$31,"ATENCION A VICTIMAS POR CONFLICTO ARMADO",IF(O3=CURSOS!$D$32,"MANIPULACION DE ALIMENTOS Y BPM",IF(O3=CURSOS!$D$33,"ATENCION A PERSONAS CON DISCAPACIDAD",IF(O3=CURSOS!$D$34,"CUIDADO INTEGRAL DEL PACIENTE ADULTO",IF(O3=CURSOS!$D$35,"MANEJO DEFENSIVO",IF(O3=CURSOS!$D$36,"SOPORTE CARDIOVASCULAR AVANZADO NEONATAL",IF(O3=CURSOS!$D$37,"SEGURIDAD DEL PACIENTE",IF(O3=CURSOS!$D$38,"MANEJO DE RESIDUOS HOSPITALARIOS"))))))))))))))))))))))))))))))))))))</f>
        <v xml:space="preserve">PRIMEROS AUXILIOS </v>
      </c>
      <c r="V3" s="47" t="str">
        <f t="shared" ref="V3:V54" si="0">CONCATENATE(E3," ",F3," ",C3," ",D3)</f>
        <v>Cesar David Moran Guio</v>
      </c>
      <c r="W3" s="47" t="str">
        <f t="shared" ref="W3:W54" si="1">PROPER(V3)</f>
        <v>Cesar David Moran Guio</v>
      </c>
      <c r="X3" s="47" t="str">
        <f t="shared" ref="X3:X54" si="2">CONCATENATE(V3,"-",B3,"-",O3)</f>
        <v>Cesar David Moran Guio-1085298006-PRIMEROS AUXILIOS</v>
      </c>
    </row>
    <row r="4" spans="1:24" s="58" customFormat="1" x14ac:dyDescent="0.2">
      <c r="A4" s="46">
        <v>3</v>
      </c>
      <c r="B4" s="43">
        <v>27199385</v>
      </c>
      <c r="C4" s="54" t="s">
        <v>108</v>
      </c>
      <c r="D4" s="54" t="s">
        <v>109</v>
      </c>
      <c r="E4" s="54" t="s">
        <v>110</v>
      </c>
      <c r="F4" s="54" t="s">
        <v>111</v>
      </c>
      <c r="G4" s="54">
        <v>1</v>
      </c>
      <c r="H4" s="54" t="s">
        <v>100</v>
      </c>
      <c r="I4" s="55" t="s">
        <v>92</v>
      </c>
      <c r="J4" s="56">
        <v>45597</v>
      </c>
      <c r="K4" s="108">
        <v>50000</v>
      </c>
      <c r="L4" s="54" t="s">
        <v>147</v>
      </c>
      <c r="M4" s="54" t="s">
        <v>141</v>
      </c>
      <c r="N4" s="54" t="s">
        <v>140</v>
      </c>
      <c r="O4" s="43" t="s">
        <v>26</v>
      </c>
      <c r="P4" s="55"/>
      <c r="Q4" s="54" t="s">
        <v>89</v>
      </c>
      <c r="R4" s="54" t="s">
        <v>285</v>
      </c>
      <c r="S4" s="57">
        <v>3232852991</v>
      </c>
      <c r="T4" s="57"/>
      <c r="U4" s="47" t="str">
        <f>IF(O4=CURSOS!$D$3,"DIPLOMADO EN ATENCION PRE-HOSPITALARIA",IF(O4=CURSOS!$D$4,"ACOMPAÑAMIENTO Y MANEJO DEL DUELO",IF(O4=CURSOS!$D$5,"ATENCION A VICTIMAS DE ATAQUE CON AGENTES QUIMICOS ",IF(O4=CURSOS!$D$6,"PRIMEROS AUXILIOS ",IF(O4=CURSOS!$D$7,"DIPLOMADO DE UNIDAD DE CUIDADOS INTENSIVOS (UCI)",IF(O4=CURSOS!$D$8,"MODELO DE ATENCION PARA EVENTOS EMERGENTES EN SALUD MENTAL (CODIGO VERDE)",IF(O4=CURSOS!$D$9,"HUMANIZACION EN EL SERVICIO DE LA SALUD Y BUENAS PRACTICAS EN PACIENTE ",IF(O4=CURSOS!$D$10,"CLINICA DE HERIDAS ",IF(O4=CURSOS!$D$11,"TOMA DE CITOLOGIA CERVICO VAGINAL ",IF(O4=CURSOS!$D$12,"SOPORTE CARDIOVASCULAR AVANZADO (ACLS) ",IF(O4=CURSOS!$D$13,"CAMILLERO ",IF(O4=CURSOS!$D$14,"TOMA DE MUESTRAS Y LABORATORIO ",IF(O4=CURSOS!$D$15,"SOPORTE VITAL BASICO (BLS)",IF(O4=CURSOS!$D$16,"ATENCION A VICTIMAS DE VIOLENCIA SEXUAL ",IF(O4=CURSOS!$D$17,"PROGRAMADO AMPLIADO DE INMUNIZACION (PAI - COVID 19)",IF(O4=CURSOS!$D$18,"ATENCION INTEGRAL EN ENFERMEDADES PREVALENTES EN PRIMERA INFANCIA (AIEPI)",IF(O4=CURSOS!$D$19,"ADMINISTRACION DE MEDICAMENTOS, INYECTOLOGIA  Y CANALIZACION ",IF(O4=CURSOS!$D$20,"OPERADOR DE VEHICULOS DE EMERGENCIA (OVE)",IF(O4=CURSOS!$D$21,"INSTITUCIONES AMIGAS DE LA MUJER Y LA INFANCIA (IAMI)",IF(O4=CURSOS!$D$22,"CUIDADO DEL DONANTE DE ORGANOS",IF(O4=CURSOS!$D$23,"ATENCION A VICTIMAS POR VIOLENCIA DE GENERO",IF(O4=CURSOS!$D$24,"IGUALDAD DE GENERO EN LA SALUD",IF(O4=CURSOS!$D$25,"BRIGADA DE EMERGENCIA",IF(O4=CURSOS!$D$26,"MANEJO DEL DOLOR Y CUIDADOS PALIATIVOS",IF(O4=CURSOS!$D$27,"TOMA DE MUESTRAS Y LABORATORIO POCT",IF(O4=CURSOS!$D$28,"IMPLANTE SUBDERMICO DE DISPOSITIVO INTRAUTERINO",IF(O4=CURSOS!$D$29,"SALUD MENTAL",IF(O4=CURSOS!$D$30,"PRIMEROS AUXILIOS PSICOLOGICOS",IF(O4=CURSOS!$D$31,"ATENCION A VICTIMAS POR CONFLICTO ARMADO",IF(O4=CURSOS!$D$32,"MANIPULACION DE ALIMENTOS Y BPM",IF(O4=CURSOS!$D$33,"ATENCION A PERSONAS CON DISCAPACIDAD",IF(O4=CURSOS!$D$34,"CUIDADO INTEGRAL DEL PACIENTE ADULTO",IF(O4=CURSOS!$D$35,"MANEJO DEFENSIVO",IF(O4=CURSOS!$D$36,"SOPORTE CARDIOVASCULAR AVANZADO NEONATAL",IF(O4=CURSOS!$D$37,"SEGURIDAD DEL PACIENTE",IF(O4=CURSOS!$D$38,"MANEJO DE RESIDUOS HOSPITALARIOS"))))))))))))))))))))))))))))))))))))</f>
        <v xml:space="preserve">PRIMEROS AUXILIOS </v>
      </c>
      <c r="V4" s="47" t="str">
        <f t="shared" si="0"/>
        <v>Rovira Del Carmen  Apraez Acosta</v>
      </c>
      <c r="W4" s="47" t="str">
        <f t="shared" si="1"/>
        <v>Rovira Del Carmen  Apraez Acosta</v>
      </c>
      <c r="X4" s="47" t="str">
        <f t="shared" si="2"/>
        <v>Rovira Del Carmen  Apraez Acosta-27199385-PRIMEROS AUXILIOS</v>
      </c>
    </row>
    <row r="5" spans="1:24" s="58" customFormat="1" x14ac:dyDescent="0.2">
      <c r="A5" s="46">
        <v>4</v>
      </c>
      <c r="B5" s="43">
        <v>1089459181</v>
      </c>
      <c r="C5" s="54" t="s">
        <v>112</v>
      </c>
      <c r="D5" s="54" t="s">
        <v>113</v>
      </c>
      <c r="E5" s="54" t="s">
        <v>114</v>
      </c>
      <c r="F5" s="54" t="s">
        <v>96</v>
      </c>
      <c r="G5" s="54">
        <v>1</v>
      </c>
      <c r="H5" s="54" t="s">
        <v>100</v>
      </c>
      <c r="I5" s="55" t="s">
        <v>92</v>
      </c>
      <c r="J5" s="56">
        <v>45597</v>
      </c>
      <c r="K5" s="108">
        <v>50000</v>
      </c>
      <c r="L5" s="54" t="s">
        <v>147</v>
      </c>
      <c r="M5" s="54" t="s">
        <v>141</v>
      </c>
      <c r="N5" s="54" t="s">
        <v>140</v>
      </c>
      <c r="O5" s="43" t="s">
        <v>26</v>
      </c>
      <c r="P5" s="55"/>
      <c r="Q5" s="54" t="s">
        <v>89</v>
      </c>
      <c r="R5" s="54" t="s">
        <v>189</v>
      </c>
      <c r="S5" s="57">
        <v>3128771751</v>
      </c>
      <c r="T5" s="57"/>
      <c r="U5" s="47" t="str">
        <f>IF(O5=CURSOS!$D$3,"DIPLOMADO EN ATENCION PRE-HOSPITALARIA",IF(O5=CURSOS!$D$4,"ACOMPAÑAMIENTO Y MANEJO DEL DUELO",IF(O5=CURSOS!$D$5,"ATENCION A VICTIMAS DE ATAQUE CON AGENTES QUIMICOS ",IF(O5=CURSOS!$D$6,"PRIMEROS AUXILIOS ",IF(O5=CURSOS!$D$7,"DIPLOMADO DE UNIDAD DE CUIDADOS INTENSIVOS (UCI)",IF(O5=CURSOS!$D$8,"MODELO DE ATENCION PARA EVENTOS EMERGENTES EN SALUD MENTAL (CODIGO VERDE)",IF(O5=CURSOS!$D$9,"HUMANIZACION EN EL SERVICIO DE LA SALUD Y BUENAS PRACTICAS EN PACIENTE ",IF(O5=CURSOS!$D$10,"CLINICA DE HERIDAS ",IF(O5=CURSOS!$D$11,"TOMA DE CITOLOGIA CERVICO VAGINAL ",IF(O5=CURSOS!$D$12,"SOPORTE CARDIOVASCULAR AVANZADO (ACLS) ",IF(O5=CURSOS!$D$13,"CAMILLERO ",IF(O5=CURSOS!$D$14,"TOMA DE MUESTRAS Y LABORATORIO ",IF(O5=CURSOS!$D$15,"SOPORTE VITAL BASICO (BLS)",IF(O5=CURSOS!$D$16,"ATENCION A VICTIMAS DE VIOLENCIA SEXUAL ",IF(O5=CURSOS!$D$17,"PROGRAMADO AMPLIADO DE INMUNIZACION (PAI - COVID 19)",IF(O5=CURSOS!$D$18,"ATENCION INTEGRAL EN ENFERMEDADES PREVALENTES EN PRIMERA INFANCIA (AIEPI)",IF(O5=CURSOS!$D$19,"ADMINISTRACION DE MEDICAMENTOS, INYECTOLOGIA  Y CANALIZACION ",IF(O5=CURSOS!$D$20,"OPERADOR DE VEHICULOS DE EMERGENCIA (OVE)",IF(O5=CURSOS!$D$21,"INSTITUCIONES AMIGAS DE LA MUJER Y LA INFANCIA (IAMI)",IF(O5=CURSOS!$D$22,"CUIDADO DEL DONANTE DE ORGANOS",IF(O5=CURSOS!$D$23,"ATENCION A VICTIMAS POR VIOLENCIA DE GENERO",IF(O5=CURSOS!$D$24,"IGUALDAD DE GENERO EN LA SALUD",IF(O5=CURSOS!$D$25,"BRIGADA DE EMERGENCIA",IF(O5=CURSOS!$D$26,"MANEJO DEL DOLOR Y CUIDADOS PALIATIVOS",IF(O5=CURSOS!$D$27,"TOMA DE MUESTRAS Y LABORATORIO POCT",IF(O5=CURSOS!$D$28,"IMPLANTE SUBDERMICO DE DISPOSITIVO INTRAUTERINO",IF(O5=CURSOS!$D$29,"SALUD MENTAL",IF(O5=CURSOS!$D$30,"PRIMEROS AUXILIOS PSICOLOGICOS",IF(O5=CURSOS!$D$31,"ATENCION A VICTIMAS POR CONFLICTO ARMADO",IF(O5=CURSOS!$D$32,"MANIPULACION DE ALIMENTOS Y BPM",IF(O5=CURSOS!$D$33,"ATENCION A PERSONAS CON DISCAPACIDAD",IF(O5=CURSOS!$D$34,"CUIDADO INTEGRAL DEL PACIENTE ADULTO",IF(O5=CURSOS!$D$35,"MANEJO DEFENSIVO",IF(O5=CURSOS!$D$36,"SOPORTE CARDIOVASCULAR AVANZADO NEONATAL",IF(O5=CURSOS!$D$37,"SEGURIDAD DEL PACIENTE",IF(O5=CURSOS!$D$38,"MANEJO DE RESIDUOS HOSPITALARIOS"))))))))))))))))))))))))))))))))))))</f>
        <v xml:space="preserve">PRIMEROS AUXILIOS </v>
      </c>
      <c r="V5" s="47" t="str">
        <f t="shared" si="0"/>
        <v>Bibiana Alejandra Rodriguez Calvache</v>
      </c>
      <c r="W5" s="47" t="str">
        <f t="shared" si="1"/>
        <v>Bibiana Alejandra Rodriguez Calvache</v>
      </c>
      <c r="X5" s="47" t="str">
        <f t="shared" si="2"/>
        <v>Bibiana Alejandra Rodriguez Calvache-1089459181-PRIMEROS AUXILIOS</v>
      </c>
    </row>
    <row r="6" spans="1:24" s="58" customFormat="1" x14ac:dyDescent="0.2">
      <c r="A6" s="46">
        <v>5</v>
      </c>
      <c r="B6" s="43">
        <v>1086364066</v>
      </c>
      <c r="C6" s="54" t="s">
        <v>115</v>
      </c>
      <c r="D6" s="54" t="s">
        <v>116</v>
      </c>
      <c r="E6" s="54" t="s">
        <v>117</v>
      </c>
      <c r="F6" s="54" t="s">
        <v>118</v>
      </c>
      <c r="G6" s="54">
        <v>1</v>
      </c>
      <c r="H6" s="54" t="s">
        <v>100</v>
      </c>
      <c r="I6" s="55" t="s">
        <v>92</v>
      </c>
      <c r="J6" s="56">
        <v>45597</v>
      </c>
      <c r="K6" s="108">
        <v>50000</v>
      </c>
      <c r="L6" s="54" t="s">
        <v>147</v>
      </c>
      <c r="M6" s="54" t="s">
        <v>141</v>
      </c>
      <c r="N6" s="54" t="s">
        <v>140</v>
      </c>
      <c r="O6" s="43" t="s">
        <v>26</v>
      </c>
      <c r="P6" s="55"/>
      <c r="Q6" s="54" t="s">
        <v>148</v>
      </c>
      <c r="R6" s="54" t="s">
        <v>286</v>
      </c>
      <c r="S6" s="57">
        <v>3216918093</v>
      </c>
      <c r="T6" s="57"/>
      <c r="U6" s="47" t="str">
        <f>IF(O6=CURSOS!$D$3,"DIPLOMADO EN ATENCION PRE-HOSPITALARIA",IF(O6=CURSOS!$D$4,"ACOMPAÑAMIENTO Y MANEJO DEL DUELO",IF(O6=CURSOS!$D$5,"ATENCION A VICTIMAS DE ATAQUE CON AGENTES QUIMICOS ",IF(O6=CURSOS!$D$6,"PRIMEROS AUXILIOS ",IF(O6=CURSOS!$D$7,"DIPLOMADO DE UNIDAD DE CUIDADOS INTENSIVOS (UCI)",IF(O6=CURSOS!$D$8,"MODELO DE ATENCION PARA EVENTOS EMERGENTES EN SALUD MENTAL (CODIGO VERDE)",IF(O6=CURSOS!$D$9,"HUMANIZACION EN EL SERVICIO DE LA SALUD Y BUENAS PRACTICAS EN PACIENTE ",IF(O6=CURSOS!$D$10,"CLINICA DE HERIDAS ",IF(O6=CURSOS!$D$11,"TOMA DE CITOLOGIA CERVICO VAGINAL ",IF(O6=CURSOS!$D$12,"SOPORTE CARDIOVASCULAR AVANZADO (ACLS) ",IF(O6=CURSOS!$D$13,"CAMILLERO ",IF(O6=CURSOS!$D$14,"TOMA DE MUESTRAS Y LABORATORIO ",IF(O6=CURSOS!$D$15,"SOPORTE VITAL BASICO (BLS)",IF(O6=CURSOS!$D$16,"ATENCION A VICTIMAS DE VIOLENCIA SEXUAL ",IF(O6=CURSOS!$D$17,"PROGRAMADO AMPLIADO DE INMUNIZACION (PAI - COVID 19)",IF(O6=CURSOS!$D$18,"ATENCION INTEGRAL EN ENFERMEDADES PREVALENTES EN PRIMERA INFANCIA (AIEPI)",IF(O6=CURSOS!$D$19,"ADMINISTRACION DE MEDICAMENTOS, INYECTOLOGIA  Y CANALIZACION ",IF(O6=CURSOS!$D$20,"OPERADOR DE VEHICULOS DE EMERGENCIA (OVE)",IF(O6=CURSOS!$D$21,"INSTITUCIONES AMIGAS DE LA MUJER Y LA INFANCIA (IAMI)",IF(O6=CURSOS!$D$22,"CUIDADO DEL DONANTE DE ORGANOS",IF(O6=CURSOS!$D$23,"ATENCION A VICTIMAS POR VIOLENCIA DE GENERO",IF(O6=CURSOS!$D$24,"IGUALDAD DE GENERO EN LA SALUD",IF(O6=CURSOS!$D$25,"BRIGADA DE EMERGENCIA",IF(O6=CURSOS!$D$26,"MANEJO DEL DOLOR Y CUIDADOS PALIATIVOS",IF(O6=CURSOS!$D$27,"TOMA DE MUESTRAS Y LABORATORIO POCT",IF(O6=CURSOS!$D$28,"IMPLANTE SUBDERMICO DE DISPOSITIVO INTRAUTERINO",IF(O6=CURSOS!$D$29,"SALUD MENTAL",IF(O6=CURSOS!$D$30,"PRIMEROS AUXILIOS PSICOLOGICOS",IF(O6=CURSOS!$D$31,"ATENCION A VICTIMAS POR CONFLICTO ARMADO",IF(O6=CURSOS!$D$32,"MANIPULACION DE ALIMENTOS Y BPM",IF(O6=CURSOS!$D$33,"ATENCION A PERSONAS CON DISCAPACIDAD",IF(O6=CURSOS!$D$34,"CUIDADO INTEGRAL DEL PACIENTE ADULTO",IF(O6=CURSOS!$D$35,"MANEJO DEFENSIVO",IF(O6=CURSOS!$D$36,"SOPORTE CARDIOVASCULAR AVANZADO NEONATAL",IF(O6=CURSOS!$D$37,"SEGURIDAD DEL PACIENTE",IF(O6=CURSOS!$D$38,"MANEJO DE RESIDUOS HOSPITALARIOS"))))))))))))))))))))))))))))))))))))</f>
        <v xml:space="preserve">PRIMEROS AUXILIOS </v>
      </c>
      <c r="V6" s="47" t="str">
        <f t="shared" si="0"/>
        <v>Juan Jose Martinez Narvaez</v>
      </c>
      <c r="W6" s="47" t="str">
        <f t="shared" si="1"/>
        <v>Juan Jose Martinez Narvaez</v>
      </c>
      <c r="X6" s="47" t="str">
        <f t="shared" si="2"/>
        <v>Juan Jose Martinez Narvaez-1086364066-PRIMEROS AUXILIOS</v>
      </c>
    </row>
    <row r="7" spans="1:24" s="58" customFormat="1" x14ac:dyDescent="0.2">
      <c r="A7" s="46">
        <v>6</v>
      </c>
      <c r="B7" s="43">
        <v>59124114</v>
      </c>
      <c r="C7" s="54" t="s">
        <v>119</v>
      </c>
      <c r="D7" s="54" t="s">
        <v>120</v>
      </c>
      <c r="E7" s="54" t="s">
        <v>121</v>
      </c>
      <c r="F7" s="54" t="s">
        <v>122</v>
      </c>
      <c r="G7" s="54">
        <v>1</v>
      </c>
      <c r="H7" s="54" t="s">
        <v>100</v>
      </c>
      <c r="I7" s="55" t="s">
        <v>92</v>
      </c>
      <c r="J7" s="56">
        <v>45597</v>
      </c>
      <c r="K7" s="108">
        <v>50000</v>
      </c>
      <c r="L7" s="54" t="s">
        <v>147</v>
      </c>
      <c r="M7" s="54" t="s">
        <v>141</v>
      </c>
      <c r="N7" s="54" t="s">
        <v>140</v>
      </c>
      <c r="O7" s="43" t="s">
        <v>26</v>
      </c>
      <c r="P7" s="55"/>
      <c r="Q7" s="54" t="s">
        <v>89</v>
      </c>
      <c r="R7" s="54" t="s">
        <v>189</v>
      </c>
      <c r="S7" s="57">
        <v>3128272448</v>
      </c>
      <c r="T7" s="57"/>
      <c r="U7" s="47" t="str">
        <f>IF(O7=CURSOS!$D$3,"DIPLOMADO EN ATENCION PRE-HOSPITALARIA",IF(O7=CURSOS!$D$4,"ACOMPAÑAMIENTO Y MANEJO DEL DUELO",IF(O7=CURSOS!$D$5,"ATENCION A VICTIMAS DE ATAQUE CON AGENTES QUIMICOS ",IF(O7=CURSOS!$D$6,"PRIMEROS AUXILIOS ",IF(O7=CURSOS!$D$7,"DIPLOMADO DE UNIDAD DE CUIDADOS INTENSIVOS (UCI)",IF(O7=CURSOS!$D$8,"MODELO DE ATENCION PARA EVENTOS EMERGENTES EN SALUD MENTAL (CODIGO VERDE)",IF(O7=CURSOS!$D$9,"HUMANIZACION EN EL SERVICIO DE LA SALUD Y BUENAS PRACTICAS EN PACIENTE ",IF(O7=CURSOS!$D$10,"CLINICA DE HERIDAS ",IF(O7=CURSOS!$D$11,"TOMA DE CITOLOGIA CERVICO VAGINAL ",IF(O7=CURSOS!$D$12,"SOPORTE CARDIOVASCULAR AVANZADO (ACLS) ",IF(O7=CURSOS!$D$13,"CAMILLERO ",IF(O7=CURSOS!$D$14,"TOMA DE MUESTRAS Y LABORATORIO ",IF(O7=CURSOS!$D$15,"SOPORTE VITAL BASICO (BLS)",IF(O7=CURSOS!$D$16,"ATENCION A VICTIMAS DE VIOLENCIA SEXUAL ",IF(O7=CURSOS!$D$17,"PROGRAMADO AMPLIADO DE INMUNIZACION (PAI - COVID 19)",IF(O7=CURSOS!$D$18,"ATENCION INTEGRAL EN ENFERMEDADES PREVALENTES EN PRIMERA INFANCIA (AIEPI)",IF(O7=CURSOS!$D$19,"ADMINISTRACION DE MEDICAMENTOS, INYECTOLOGIA  Y CANALIZACION ",IF(O7=CURSOS!$D$20,"OPERADOR DE VEHICULOS DE EMERGENCIA (OVE)",IF(O7=CURSOS!$D$21,"INSTITUCIONES AMIGAS DE LA MUJER Y LA INFANCIA (IAMI)",IF(O7=CURSOS!$D$22,"CUIDADO DEL DONANTE DE ORGANOS",IF(O7=CURSOS!$D$23,"ATENCION A VICTIMAS POR VIOLENCIA DE GENERO",IF(O7=CURSOS!$D$24,"IGUALDAD DE GENERO EN LA SALUD",IF(O7=CURSOS!$D$25,"BRIGADA DE EMERGENCIA",IF(O7=CURSOS!$D$26,"MANEJO DEL DOLOR Y CUIDADOS PALIATIVOS",IF(O7=CURSOS!$D$27,"TOMA DE MUESTRAS Y LABORATORIO POCT",IF(O7=CURSOS!$D$28,"IMPLANTE SUBDERMICO DE DISPOSITIVO INTRAUTERINO",IF(O7=CURSOS!$D$29,"SALUD MENTAL",IF(O7=CURSOS!$D$30,"PRIMEROS AUXILIOS PSICOLOGICOS",IF(O7=CURSOS!$D$31,"ATENCION A VICTIMAS POR CONFLICTO ARMADO",IF(O7=CURSOS!$D$32,"MANIPULACION DE ALIMENTOS Y BPM",IF(O7=CURSOS!$D$33,"ATENCION A PERSONAS CON DISCAPACIDAD",IF(O7=CURSOS!$D$34,"CUIDADO INTEGRAL DEL PACIENTE ADULTO",IF(O7=CURSOS!$D$35,"MANEJO DEFENSIVO",IF(O7=CURSOS!$D$36,"SOPORTE CARDIOVASCULAR AVANZADO NEONATAL",IF(O7=CURSOS!$D$37,"SEGURIDAD DEL PACIENTE",IF(O7=CURSOS!$D$38,"MANEJO DE RESIDUOS HOSPITALARIOS"))))))))))))))))))))))))))))))))))))</f>
        <v xml:space="preserve">PRIMEROS AUXILIOS </v>
      </c>
      <c r="V7" s="47" t="str">
        <f t="shared" si="0"/>
        <v>Paola Carolina Noguera Ordoñez</v>
      </c>
      <c r="W7" s="47" t="str">
        <f t="shared" si="1"/>
        <v>Paola Carolina Noguera Ordoñez</v>
      </c>
      <c r="X7" s="47" t="str">
        <f t="shared" si="2"/>
        <v>Paola Carolina Noguera Ordoñez-59124114-PRIMEROS AUXILIOS</v>
      </c>
    </row>
    <row r="8" spans="1:24" s="58" customFormat="1" x14ac:dyDescent="0.2">
      <c r="A8" s="46">
        <v>7</v>
      </c>
      <c r="B8" s="43">
        <v>1004742996</v>
      </c>
      <c r="C8" s="54" t="s">
        <v>123</v>
      </c>
      <c r="D8" s="54" t="s">
        <v>120</v>
      </c>
      <c r="E8" s="54" t="s">
        <v>124</v>
      </c>
      <c r="F8" s="54" t="s">
        <v>125</v>
      </c>
      <c r="G8" s="54">
        <v>1</v>
      </c>
      <c r="H8" s="54" t="s">
        <v>100</v>
      </c>
      <c r="I8" s="55" t="s">
        <v>92</v>
      </c>
      <c r="J8" s="56">
        <v>45597</v>
      </c>
      <c r="K8" s="108">
        <v>50000</v>
      </c>
      <c r="L8" s="54" t="s">
        <v>147</v>
      </c>
      <c r="M8" s="54" t="s">
        <v>141</v>
      </c>
      <c r="N8" s="54" t="s">
        <v>140</v>
      </c>
      <c r="O8" s="43" t="s">
        <v>26</v>
      </c>
      <c r="P8" s="55"/>
      <c r="Q8" s="54" t="s">
        <v>89</v>
      </c>
      <c r="R8" s="54" t="s">
        <v>189</v>
      </c>
      <c r="S8" s="57">
        <v>3184110265</v>
      </c>
      <c r="T8" s="43"/>
      <c r="U8" s="47" t="str">
        <f>IF(O8=CURSOS!$D$3,"DIPLOMADO EN ATENCION PRE-HOSPITALARIA",IF(O8=CURSOS!$D$4,"ACOMPAÑAMIENTO Y MANEJO DEL DUELO",IF(O8=CURSOS!$D$5,"ATENCION A VICTIMAS DE ATAQUE CON AGENTES QUIMICOS ",IF(O8=CURSOS!$D$6,"PRIMEROS AUXILIOS ",IF(O8=CURSOS!$D$7,"DIPLOMADO DE UNIDAD DE CUIDADOS INTENSIVOS (UCI)",IF(O8=CURSOS!$D$8,"MODELO DE ATENCION PARA EVENTOS EMERGENTES EN SALUD MENTAL (CODIGO VERDE)",IF(O8=CURSOS!$D$9,"HUMANIZACION EN EL SERVICIO DE LA SALUD Y BUENAS PRACTICAS EN PACIENTE ",IF(O8=CURSOS!$D$10,"CLINICA DE HERIDAS ",IF(O8=CURSOS!$D$11,"TOMA DE CITOLOGIA CERVICO VAGINAL ",IF(O8=CURSOS!$D$12,"SOPORTE CARDIOVASCULAR AVANZADO (ACLS) ",IF(O8=CURSOS!$D$13,"CAMILLERO ",IF(O8=CURSOS!$D$14,"TOMA DE MUESTRAS Y LABORATORIO ",IF(O8=CURSOS!$D$15,"SOPORTE VITAL BASICO (BLS)",IF(O8=CURSOS!$D$16,"ATENCION A VICTIMAS DE VIOLENCIA SEXUAL ",IF(O8=CURSOS!$D$17,"PROGRAMADO AMPLIADO DE INMUNIZACION (PAI - COVID 19)",IF(O8=CURSOS!$D$18,"ATENCION INTEGRAL EN ENFERMEDADES PREVALENTES EN PRIMERA INFANCIA (AIEPI)",IF(O8=CURSOS!$D$19,"ADMINISTRACION DE MEDICAMENTOS, INYECTOLOGIA  Y CANALIZACION ",IF(O8=CURSOS!$D$20,"OPERADOR DE VEHICULOS DE EMERGENCIA (OVE)",IF(O8=CURSOS!$D$21,"INSTITUCIONES AMIGAS DE LA MUJER Y LA INFANCIA (IAMI)",IF(O8=CURSOS!$D$22,"CUIDADO DEL DONANTE DE ORGANOS",IF(O8=CURSOS!$D$23,"ATENCION A VICTIMAS POR VIOLENCIA DE GENERO",IF(O8=CURSOS!$D$24,"IGUALDAD DE GENERO EN LA SALUD",IF(O8=CURSOS!$D$25,"BRIGADA DE EMERGENCIA",IF(O8=CURSOS!$D$26,"MANEJO DEL DOLOR Y CUIDADOS PALIATIVOS",IF(O8=CURSOS!$D$27,"TOMA DE MUESTRAS Y LABORATORIO POCT",IF(O8=CURSOS!$D$28,"IMPLANTE SUBDERMICO DE DISPOSITIVO INTRAUTERINO",IF(O8=CURSOS!$D$29,"SALUD MENTAL",IF(O8=CURSOS!$D$30,"PRIMEROS AUXILIOS PSICOLOGICOS",IF(O8=CURSOS!$D$31,"ATENCION A VICTIMAS POR CONFLICTO ARMADO",IF(O8=CURSOS!$D$32,"MANIPULACION DE ALIMENTOS Y BPM",IF(O8=CURSOS!$D$33,"ATENCION A PERSONAS CON DISCAPACIDAD",IF(O8=CURSOS!$D$34,"CUIDADO INTEGRAL DEL PACIENTE ADULTO",IF(O8=CURSOS!$D$35,"MANEJO DEFENSIVO",IF(O8=CURSOS!$D$36,"SOPORTE CARDIOVASCULAR AVANZADO NEONATAL",IF(O8=CURSOS!$D$37,"SEGURIDAD DEL PACIENTE",IF(O8=CURSOS!$D$38,"MANEJO DE RESIDUOS HOSPITALARIOS"))))))))))))))))))))))))))))))))))))</f>
        <v xml:space="preserve">PRIMEROS AUXILIOS </v>
      </c>
      <c r="V8" s="47" t="str">
        <f t="shared" si="0"/>
        <v>Daniela  Fernanda Benavides Ordoñez</v>
      </c>
      <c r="W8" s="47" t="str">
        <f t="shared" si="1"/>
        <v>Daniela  Fernanda Benavides Ordoñez</v>
      </c>
      <c r="X8" s="47" t="str">
        <f t="shared" si="2"/>
        <v>Daniela  Fernanda Benavides Ordoñez-1004742996-PRIMEROS AUXILIOS</v>
      </c>
    </row>
    <row r="9" spans="1:24" s="58" customFormat="1" x14ac:dyDescent="0.2">
      <c r="A9" s="46">
        <v>8</v>
      </c>
      <c r="B9" s="54">
        <v>1107529316</v>
      </c>
      <c r="C9" s="54" t="s">
        <v>126</v>
      </c>
      <c r="D9" s="54" t="s">
        <v>127</v>
      </c>
      <c r="E9" s="54" t="s">
        <v>128</v>
      </c>
      <c r="F9" s="54"/>
      <c r="G9" s="54">
        <v>1</v>
      </c>
      <c r="H9" s="54" t="s">
        <v>100</v>
      </c>
      <c r="I9" s="55" t="s">
        <v>92</v>
      </c>
      <c r="J9" s="56">
        <v>45597</v>
      </c>
      <c r="K9" s="108">
        <v>50000</v>
      </c>
      <c r="L9" s="54" t="s">
        <v>147</v>
      </c>
      <c r="M9" s="54" t="s">
        <v>141</v>
      </c>
      <c r="N9" s="54" t="s">
        <v>140</v>
      </c>
      <c r="O9" s="43" t="s">
        <v>26</v>
      </c>
      <c r="P9" s="55"/>
      <c r="Q9" s="54" t="s">
        <v>89</v>
      </c>
      <c r="R9" s="57" t="s">
        <v>285</v>
      </c>
      <c r="S9" s="57">
        <v>3145512054</v>
      </c>
      <c r="T9" s="54"/>
      <c r="U9" s="47" t="str">
        <f>IF(O9=CURSOS!$D$3,"DIPLOMADO EN ATENCION PRE-HOSPITALARIA",IF(O9=CURSOS!$D$4,"ACOMPAÑAMIENTO Y MANEJO DEL DUELO",IF(O9=CURSOS!$D$5,"ATENCION A VICTIMAS DE ATAQUE CON AGENTES QUIMICOS ",IF(O9=CURSOS!$D$6,"PRIMEROS AUXILIOS ",IF(O9=CURSOS!$D$7,"DIPLOMADO DE UNIDAD DE CUIDADOS INTENSIVOS (UCI)",IF(O9=CURSOS!$D$8,"MODELO DE ATENCION PARA EVENTOS EMERGENTES EN SALUD MENTAL (CODIGO VERDE)",IF(O9=CURSOS!$D$9,"HUMANIZACION EN EL SERVICIO DE LA SALUD Y BUENAS PRACTICAS EN PACIENTE ",IF(O9=CURSOS!$D$10,"CLINICA DE HERIDAS ",IF(O9=CURSOS!$D$11,"TOMA DE CITOLOGIA CERVICO VAGINAL ",IF(O9=CURSOS!$D$12,"SOPORTE CARDIOVASCULAR AVANZADO (ACLS) ",IF(O9=CURSOS!$D$13,"CAMILLERO ",IF(O9=CURSOS!$D$14,"TOMA DE MUESTRAS Y LABORATORIO ",IF(O9=CURSOS!$D$15,"SOPORTE VITAL BASICO (BLS)",IF(O9=CURSOS!$D$16,"ATENCION A VICTIMAS DE VIOLENCIA SEXUAL ",IF(O9=CURSOS!$D$17,"PROGRAMADO AMPLIADO DE INMUNIZACION (PAI - COVID 19)",IF(O9=CURSOS!$D$18,"ATENCION INTEGRAL EN ENFERMEDADES PREVALENTES EN PRIMERA INFANCIA (AIEPI)",IF(O9=CURSOS!$D$19,"ADMINISTRACION DE MEDICAMENTOS, INYECTOLOGIA  Y CANALIZACION ",IF(O9=CURSOS!$D$20,"OPERADOR DE VEHICULOS DE EMERGENCIA (OVE)",IF(O9=CURSOS!$D$21,"INSTITUCIONES AMIGAS DE LA MUJER Y LA INFANCIA (IAMI)",IF(O9=CURSOS!$D$22,"CUIDADO DEL DONANTE DE ORGANOS",IF(O9=CURSOS!$D$23,"ATENCION A VICTIMAS POR VIOLENCIA DE GENERO",IF(O9=CURSOS!$D$24,"IGUALDAD DE GENERO EN LA SALUD",IF(O9=CURSOS!$D$25,"BRIGADA DE EMERGENCIA",IF(O9=CURSOS!$D$26,"MANEJO DEL DOLOR Y CUIDADOS PALIATIVOS",IF(O9=CURSOS!$D$27,"TOMA DE MUESTRAS Y LABORATORIO POCT",IF(O9=CURSOS!$D$28,"IMPLANTE SUBDERMICO DE DISPOSITIVO INTRAUTERINO",IF(O9=CURSOS!$D$29,"SALUD MENTAL",IF(O9=CURSOS!$D$30,"PRIMEROS AUXILIOS PSICOLOGICOS",IF(O9=CURSOS!$D$31,"ATENCION A VICTIMAS POR CONFLICTO ARMADO",IF(O9=CURSOS!$D$32,"MANIPULACION DE ALIMENTOS Y BPM",IF(O9=CURSOS!$D$33,"ATENCION A PERSONAS CON DISCAPACIDAD",IF(O9=CURSOS!$D$34,"CUIDADO INTEGRAL DEL PACIENTE ADULTO",IF(O9=CURSOS!$D$35,"MANEJO DEFENSIVO",IF(O9=CURSOS!$D$36,"SOPORTE CARDIOVASCULAR AVANZADO NEONATAL",IF(O9=CURSOS!$D$37,"SEGURIDAD DEL PACIENTE",IF(O9=CURSOS!$D$38,"MANEJO DE RESIDUOS HOSPITALARIOS"))))))))))))))))))))))))))))))))))))</f>
        <v xml:space="preserve">PRIMEROS AUXILIOS </v>
      </c>
      <c r="V9" s="47" t="str">
        <f t="shared" si="0"/>
        <v>Yolenis  Vergara Galindes</v>
      </c>
      <c r="W9" s="47" t="str">
        <f t="shared" si="1"/>
        <v>Yolenis  Vergara Galindes</v>
      </c>
      <c r="X9" s="47" t="str">
        <f t="shared" si="2"/>
        <v>Yolenis  Vergara Galindes-1107529316-PRIMEROS AUXILIOS</v>
      </c>
    </row>
    <row r="10" spans="1:24" s="58" customFormat="1" x14ac:dyDescent="0.2">
      <c r="A10" s="46">
        <v>9</v>
      </c>
      <c r="B10" s="54">
        <v>1088599756</v>
      </c>
      <c r="C10" s="54" t="s">
        <v>129</v>
      </c>
      <c r="D10" s="54" t="s">
        <v>130</v>
      </c>
      <c r="E10" s="54" t="s">
        <v>131</v>
      </c>
      <c r="F10" s="54" t="s">
        <v>132</v>
      </c>
      <c r="G10" s="54">
        <v>1</v>
      </c>
      <c r="H10" s="54" t="s">
        <v>100</v>
      </c>
      <c r="I10" s="55" t="s">
        <v>92</v>
      </c>
      <c r="J10" s="56">
        <v>45597</v>
      </c>
      <c r="K10" s="108">
        <v>50000</v>
      </c>
      <c r="L10" s="54" t="s">
        <v>147</v>
      </c>
      <c r="M10" s="54" t="s">
        <v>141</v>
      </c>
      <c r="N10" s="54" t="s">
        <v>140</v>
      </c>
      <c r="O10" s="43" t="s">
        <v>26</v>
      </c>
      <c r="P10" s="55"/>
      <c r="Q10" s="54" t="s">
        <v>89</v>
      </c>
      <c r="R10" s="54" t="s">
        <v>285</v>
      </c>
      <c r="S10" s="57">
        <v>3102522571</v>
      </c>
      <c r="T10" s="54"/>
      <c r="U10" s="47" t="str">
        <f>IF(O10=CURSOS!$D$3,"DIPLOMADO EN ATENCION PRE-HOSPITALARIA",IF(O10=CURSOS!$D$4,"ACOMPAÑAMIENTO Y MANEJO DEL DUELO",IF(O10=CURSOS!$D$5,"ATENCION A VICTIMAS DE ATAQUE CON AGENTES QUIMICOS ",IF(O10=CURSOS!$D$6,"PRIMEROS AUXILIOS ",IF(O10=CURSOS!$D$7,"DIPLOMADO DE UNIDAD DE CUIDADOS INTENSIVOS (UCI)",IF(O10=CURSOS!$D$8,"MODELO DE ATENCION PARA EVENTOS EMERGENTES EN SALUD MENTAL (CODIGO VERDE)",IF(O10=CURSOS!$D$9,"HUMANIZACION EN EL SERVICIO DE LA SALUD Y BUENAS PRACTICAS EN PACIENTE ",IF(O10=CURSOS!$D$10,"CLINICA DE HERIDAS ",IF(O10=CURSOS!$D$11,"TOMA DE CITOLOGIA CERVICO VAGINAL ",IF(O10=CURSOS!$D$12,"SOPORTE CARDIOVASCULAR AVANZADO (ACLS) ",IF(O10=CURSOS!$D$13,"CAMILLERO ",IF(O10=CURSOS!$D$14,"TOMA DE MUESTRAS Y LABORATORIO ",IF(O10=CURSOS!$D$15,"SOPORTE VITAL BASICO (BLS)",IF(O10=CURSOS!$D$16,"ATENCION A VICTIMAS DE VIOLENCIA SEXUAL ",IF(O10=CURSOS!$D$17,"PROGRAMADO AMPLIADO DE INMUNIZACION (PAI - COVID 19)",IF(O10=CURSOS!$D$18,"ATENCION INTEGRAL EN ENFERMEDADES PREVALENTES EN PRIMERA INFANCIA (AIEPI)",IF(O10=CURSOS!$D$19,"ADMINISTRACION DE MEDICAMENTOS, INYECTOLOGIA  Y CANALIZACION ",IF(O10=CURSOS!$D$20,"OPERADOR DE VEHICULOS DE EMERGENCIA (OVE)",IF(O10=CURSOS!$D$21,"INSTITUCIONES AMIGAS DE LA MUJER Y LA INFANCIA (IAMI)",IF(O10=CURSOS!$D$22,"CUIDADO DEL DONANTE DE ORGANOS",IF(O10=CURSOS!$D$23,"ATENCION A VICTIMAS POR VIOLENCIA DE GENERO",IF(O10=CURSOS!$D$24,"IGUALDAD DE GENERO EN LA SALUD",IF(O10=CURSOS!$D$25,"BRIGADA DE EMERGENCIA",IF(O10=CURSOS!$D$26,"MANEJO DEL DOLOR Y CUIDADOS PALIATIVOS",IF(O10=CURSOS!$D$27,"TOMA DE MUESTRAS Y LABORATORIO POCT",IF(O10=CURSOS!$D$28,"IMPLANTE SUBDERMICO DE DISPOSITIVO INTRAUTERINO",IF(O10=CURSOS!$D$29,"SALUD MENTAL",IF(O10=CURSOS!$D$30,"PRIMEROS AUXILIOS PSICOLOGICOS",IF(O10=CURSOS!$D$31,"ATENCION A VICTIMAS POR CONFLICTO ARMADO",IF(O10=CURSOS!$D$32,"MANIPULACION DE ALIMENTOS Y BPM",IF(O10=CURSOS!$D$33,"ATENCION A PERSONAS CON DISCAPACIDAD",IF(O10=CURSOS!$D$34,"CUIDADO INTEGRAL DEL PACIENTE ADULTO",IF(O10=CURSOS!$D$35,"MANEJO DEFENSIVO",IF(O10=CURSOS!$D$36,"SOPORTE CARDIOVASCULAR AVANZADO NEONATAL",IF(O10=CURSOS!$D$37,"SEGURIDAD DEL PACIENTE",IF(O10=CURSOS!$D$38,"MANEJO DE RESIDUOS HOSPITALARIOS"))))))))))))))))))))))))))))))))))))</f>
        <v xml:space="preserve">PRIMEROS AUXILIOS </v>
      </c>
      <c r="V10" s="47" t="str">
        <f t="shared" si="0"/>
        <v>Karol Dayana Erazo Rosero</v>
      </c>
      <c r="W10" s="47" t="str">
        <f t="shared" si="1"/>
        <v>Karol Dayana Erazo Rosero</v>
      </c>
      <c r="X10" s="47" t="str">
        <f t="shared" si="2"/>
        <v>Karol Dayana Erazo Rosero-1088599756-PRIMEROS AUXILIOS</v>
      </c>
    </row>
    <row r="11" spans="1:24" s="58" customFormat="1" x14ac:dyDescent="0.2">
      <c r="A11" s="46">
        <v>10</v>
      </c>
      <c r="B11" s="54">
        <v>98333387</v>
      </c>
      <c r="C11" s="54" t="s">
        <v>112</v>
      </c>
      <c r="D11" s="54" t="s">
        <v>133</v>
      </c>
      <c r="E11" s="54" t="s">
        <v>134</v>
      </c>
      <c r="F11" s="54" t="s">
        <v>135</v>
      </c>
      <c r="G11" s="54">
        <v>1</v>
      </c>
      <c r="H11" s="54" t="s">
        <v>100</v>
      </c>
      <c r="I11" s="55" t="s">
        <v>92</v>
      </c>
      <c r="J11" s="56">
        <v>45597</v>
      </c>
      <c r="K11" s="108">
        <v>50000</v>
      </c>
      <c r="L11" s="54" t="s">
        <v>147</v>
      </c>
      <c r="M11" s="54" t="s">
        <v>141</v>
      </c>
      <c r="N11" s="54" t="s">
        <v>140</v>
      </c>
      <c r="O11" s="43" t="s">
        <v>26</v>
      </c>
      <c r="P11" s="55"/>
      <c r="Q11" s="54" t="s">
        <v>148</v>
      </c>
      <c r="R11" s="54" t="s">
        <v>208</v>
      </c>
      <c r="S11" s="57">
        <v>3146362362</v>
      </c>
      <c r="T11" s="54"/>
      <c r="U11" s="47" t="str">
        <f>IF(O11=CURSOS!$D$3,"DIPLOMADO EN ATENCION PRE-HOSPITALARIA",IF(O11=CURSOS!$D$4,"ACOMPAÑAMIENTO Y MANEJO DEL DUELO",IF(O11=CURSOS!$D$5,"ATENCION A VICTIMAS DE ATAQUE CON AGENTES QUIMICOS ",IF(O11=CURSOS!$D$6,"PRIMEROS AUXILIOS ",IF(O11=CURSOS!$D$7,"DIPLOMADO DE UNIDAD DE CUIDADOS INTENSIVOS (UCI)",IF(O11=CURSOS!$D$8,"MODELO DE ATENCION PARA EVENTOS EMERGENTES EN SALUD MENTAL (CODIGO VERDE)",IF(O11=CURSOS!$D$9,"HUMANIZACION EN EL SERVICIO DE LA SALUD Y BUENAS PRACTICAS EN PACIENTE ",IF(O11=CURSOS!$D$10,"CLINICA DE HERIDAS ",IF(O11=CURSOS!$D$11,"TOMA DE CITOLOGIA CERVICO VAGINAL ",IF(O11=CURSOS!$D$12,"SOPORTE CARDIOVASCULAR AVANZADO (ACLS) ",IF(O11=CURSOS!$D$13,"CAMILLERO ",IF(O11=CURSOS!$D$14,"TOMA DE MUESTRAS Y LABORATORIO ",IF(O11=CURSOS!$D$15,"SOPORTE VITAL BASICO (BLS)",IF(O11=CURSOS!$D$16,"ATENCION A VICTIMAS DE VIOLENCIA SEXUAL ",IF(O11=CURSOS!$D$17,"PROGRAMADO AMPLIADO DE INMUNIZACION (PAI - COVID 19)",IF(O11=CURSOS!$D$18,"ATENCION INTEGRAL EN ENFERMEDADES PREVALENTES EN PRIMERA INFANCIA (AIEPI)",IF(O11=CURSOS!$D$19,"ADMINISTRACION DE MEDICAMENTOS, INYECTOLOGIA  Y CANALIZACION ",IF(O11=CURSOS!$D$20,"OPERADOR DE VEHICULOS DE EMERGENCIA (OVE)",IF(O11=CURSOS!$D$21,"INSTITUCIONES AMIGAS DE LA MUJER Y LA INFANCIA (IAMI)",IF(O11=CURSOS!$D$22,"CUIDADO DEL DONANTE DE ORGANOS",IF(O11=CURSOS!$D$23,"ATENCION A VICTIMAS POR VIOLENCIA DE GENERO",IF(O11=CURSOS!$D$24,"IGUALDAD DE GENERO EN LA SALUD",IF(O11=CURSOS!$D$25,"BRIGADA DE EMERGENCIA",IF(O11=CURSOS!$D$26,"MANEJO DEL DOLOR Y CUIDADOS PALIATIVOS",IF(O11=CURSOS!$D$27,"TOMA DE MUESTRAS Y LABORATORIO POCT",IF(O11=CURSOS!$D$28,"IMPLANTE SUBDERMICO DE DISPOSITIVO INTRAUTERINO",IF(O11=CURSOS!$D$29,"SALUD MENTAL",IF(O11=CURSOS!$D$30,"PRIMEROS AUXILIOS PSICOLOGICOS",IF(O11=CURSOS!$D$31,"ATENCION A VICTIMAS POR CONFLICTO ARMADO",IF(O11=CURSOS!$D$32,"MANIPULACION DE ALIMENTOS Y BPM",IF(O11=CURSOS!$D$33,"ATENCION A PERSONAS CON DISCAPACIDAD",IF(O11=CURSOS!$D$34,"CUIDADO INTEGRAL DEL PACIENTE ADULTO",IF(O11=CURSOS!$D$35,"MANEJO DEFENSIVO",IF(O11=CURSOS!$D$36,"SOPORTE CARDIOVASCULAR AVANZADO NEONATAL",IF(O11=CURSOS!$D$37,"SEGURIDAD DEL PACIENTE",IF(O11=CURSOS!$D$38,"MANEJO DE RESIDUOS HOSPITALARIOS"))))))))))))))))))))))))))))))))))))</f>
        <v xml:space="preserve">PRIMEROS AUXILIOS </v>
      </c>
      <c r="V11" s="47" t="str">
        <f t="shared" si="0"/>
        <v>Oscar Nicandro Rodriguez Jaramillo</v>
      </c>
      <c r="W11" s="47" t="str">
        <f t="shared" si="1"/>
        <v>Oscar Nicandro Rodriguez Jaramillo</v>
      </c>
      <c r="X11" s="47" t="str">
        <f t="shared" si="2"/>
        <v>Oscar Nicandro Rodriguez Jaramillo-98333387-PRIMEROS AUXILIOS</v>
      </c>
    </row>
    <row r="12" spans="1:24" s="58" customFormat="1" x14ac:dyDescent="0.2">
      <c r="A12" s="46">
        <v>11</v>
      </c>
      <c r="B12" s="54">
        <v>1007268022</v>
      </c>
      <c r="C12" s="54" t="s">
        <v>120</v>
      </c>
      <c r="D12" s="54" t="s">
        <v>136</v>
      </c>
      <c r="E12" s="54" t="s">
        <v>137</v>
      </c>
      <c r="F12" s="54" t="s">
        <v>138</v>
      </c>
      <c r="G12" s="54">
        <v>1</v>
      </c>
      <c r="H12" s="54" t="s">
        <v>100</v>
      </c>
      <c r="I12" s="55" t="s">
        <v>92</v>
      </c>
      <c r="J12" s="56">
        <v>45597</v>
      </c>
      <c r="K12" s="108">
        <v>50000</v>
      </c>
      <c r="L12" s="54" t="s">
        <v>147</v>
      </c>
      <c r="M12" s="54" t="s">
        <v>141</v>
      </c>
      <c r="N12" s="54" t="s">
        <v>140</v>
      </c>
      <c r="O12" s="43" t="s">
        <v>26</v>
      </c>
      <c r="P12" s="55"/>
      <c r="Q12" s="54" t="s">
        <v>89</v>
      </c>
      <c r="R12" s="54" t="s">
        <v>208</v>
      </c>
      <c r="S12" s="57">
        <v>3135611295</v>
      </c>
      <c r="T12" s="54"/>
      <c r="U12" s="47" t="str">
        <f>IF(O12=CURSOS!$D$3,"DIPLOMADO EN ATENCION PRE-HOSPITALARIA",IF(O12=CURSOS!$D$4,"ACOMPAÑAMIENTO Y MANEJO DEL DUELO",IF(O12=CURSOS!$D$5,"ATENCION A VICTIMAS DE ATAQUE CON AGENTES QUIMICOS ",IF(O12=CURSOS!$D$6,"PRIMEROS AUXILIOS ",IF(O12=CURSOS!$D$7,"DIPLOMADO DE UNIDAD DE CUIDADOS INTENSIVOS (UCI)",IF(O12=CURSOS!$D$8,"MODELO DE ATENCION PARA EVENTOS EMERGENTES EN SALUD MENTAL (CODIGO VERDE)",IF(O12=CURSOS!$D$9,"HUMANIZACION EN EL SERVICIO DE LA SALUD Y BUENAS PRACTICAS EN PACIENTE ",IF(O12=CURSOS!$D$10,"CLINICA DE HERIDAS ",IF(O12=CURSOS!$D$11,"TOMA DE CITOLOGIA CERVICO VAGINAL ",IF(O12=CURSOS!$D$12,"SOPORTE CARDIOVASCULAR AVANZADO (ACLS) ",IF(O12=CURSOS!$D$13,"CAMILLERO ",IF(O12=CURSOS!$D$14,"TOMA DE MUESTRAS Y LABORATORIO ",IF(O12=CURSOS!$D$15,"SOPORTE VITAL BASICO (BLS)",IF(O12=CURSOS!$D$16,"ATENCION A VICTIMAS DE VIOLENCIA SEXUAL ",IF(O12=CURSOS!$D$17,"PROGRAMADO AMPLIADO DE INMUNIZACION (PAI - COVID 19)",IF(O12=CURSOS!$D$18,"ATENCION INTEGRAL EN ENFERMEDADES PREVALENTES EN PRIMERA INFANCIA (AIEPI)",IF(O12=CURSOS!$D$19,"ADMINISTRACION DE MEDICAMENTOS, INYECTOLOGIA  Y CANALIZACION ",IF(O12=CURSOS!$D$20,"OPERADOR DE VEHICULOS DE EMERGENCIA (OVE)",IF(O12=CURSOS!$D$21,"INSTITUCIONES AMIGAS DE LA MUJER Y LA INFANCIA (IAMI)",IF(O12=CURSOS!$D$22,"CUIDADO DEL DONANTE DE ORGANOS",IF(O12=CURSOS!$D$23,"ATENCION A VICTIMAS POR VIOLENCIA DE GENERO",IF(O12=CURSOS!$D$24,"IGUALDAD DE GENERO EN LA SALUD",IF(O12=CURSOS!$D$25,"BRIGADA DE EMERGENCIA",IF(O12=CURSOS!$D$26,"MANEJO DEL DOLOR Y CUIDADOS PALIATIVOS",IF(O12=CURSOS!$D$27,"TOMA DE MUESTRAS Y LABORATORIO POCT",IF(O12=CURSOS!$D$28,"IMPLANTE SUBDERMICO DE DISPOSITIVO INTRAUTERINO",IF(O12=CURSOS!$D$29,"SALUD MENTAL",IF(O12=CURSOS!$D$30,"PRIMEROS AUXILIOS PSICOLOGICOS",IF(O12=CURSOS!$D$31,"ATENCION A VICTIMAS POR CONFLICTO ARMADO",IF(O12=CURSOS!$D$32,"MANIPULACION DE ALIMENTOS Y BPM",IF(O12=CURSOS!$D$33,"ATENCION A PERSONAS CON DISCAPACIDAD",IF(O12=CURSOS!$D$34,"CUIDADO INTEGRAL DEL PACIENTE ADULTO",IF(O12=CURSOS!$D$35,"MANEJO DEFENSIVO",IF(O12=CURSOS!$D$36,"SOPORTE CARDIOVASCULAR AVANZADO NEONATAL",IF(O12=CURSOS!$D$37,"SEGURIDAD DEL PACIENTE",IF(O12=CURSOS!$D$38,"MANEJO DE RESIDUOS HOSPITALARIOS"))))))))))))))))))))))))))))))))))))</f>
        <v xml:space="preserve">PRIMEROS AUXILIOS </v>
      </c>
      <c r="V12" s="47" t="str">
        <f t="shared" si="0"/>
        <v>Angela Maria Ordoñez Adarme</v>
      </c>
      <c r="W12" s="47" t="str">
        <f t="shared" si="1"/>
        <v>Angela Maria Ordoñez Adarme</v>
      </c>
      <c r="X12" s="47" t="str">
        <f t="shared" si="2"/>
        <v>Angela Maria Ordoñez Adarme-1007268022-PRIMEROS AUXILIOS</v>
      </c>
    </row>
    <row r="13" spans="1:24" s="58" customFormat="1" x14ac:dyDescent="0.2">
      <c r="A13" s="46">
        <v>12</v>
      </c>
      <c r="B13" s="54">
        <v>1085289481</v>
      </c>
      <c r="C13" s="54" t="s">
        <v>142</v>
      </c>
      <c r="D13" s="54" t="s">
        <v>143</v>
      </c>
      <c r="E13" s="54" t="s">
        <v>144</v>
      </c>
      <c r="F13" s="54" t="s">
        <v>145</v>
      </c>
      <c r="G13" s="54">
        <v>1</v>
      </c>
      <c r="H13" s="54" t="s">
        <v>100</v>
      </c>
      <c r="I13" s="55" t="s">
        <v>146</v>
      </c>
      <c r="J13" s="56">
        <v>45597</v>
      </c>
      <c r="K13" s="108">
        <v>40000</v>
      </c>
      <c r="L13" s="54" t="s">
        <v>139</v>
      </c>
      <c r="M13" s="54" t="s">
        <v>141</v>
      </c>
      <c r="N13" s="54" t="s">
        <v>90</v>
      </c>
      <c r="O13" s="43" t="s">
        <v>42</v>
      </c>
      <c r="P13" s="55">
        <v>33396</v>
      </c>
      <c r="Q13" s="54" t="s">
        <v>89</v>
      </c>
      <c r="R13" s="54" t="s">
        <v>255</v>
      </c>
      <c r="S13" s="57">
        <v>3188013022</v>
      </c>
      <c r="T13" s="54" t="s">
        <v>155</v>
      </c>
      <c r="U13" s="47" t="str">
        <f>IF(O13=CURSOS!$D$3,"DIPLOMADO EN ATENCION PRE-HOSPITALARIA",IF(O13=CURSOS!$D$4,"ACOMPAÑAMIENTO Y MANEJO DEL DUELO",IF(O13=CURSOS!$D$5,"ATENCION A VICTIMAS DE ATAQUE CON AGENTES QUIMICOS ",IF(O13=CURSOS!$D$6,"PRIMEROS AUXILIOS ",IF(O13=CURSOS!$D$7,"DIPLOMADO DE UNIDAD DE CUIDADOS INTENSIVOS (UCI)",IF(O13=CURSOS!$D$8,"MODELO DE ATENCION PARA EVENTOS EMERGENTES EN SALUD MENTAL (CODIGO VERDE)",IF(O13=CURSOS!$D$9,"HUMANIZACION EN EL SERVICIO DE LA SALUD Y BUENAS PRACTICAS EN PACIENTE ",IF(O13=CURSOS!$D$10,"CLINICA DE HERIDAS ",IF(O13=CURSOS!$D$11,"TOMA DE CITOLOGIA CERVICO VAGINAL ",IF(O13=CURSOS!$D$12,"SOPORTE CARDIOVASCULAR AVANZADO (ACLS) ",IF(O13=CURSOS!$D$13,"CAMILLERO ",IF(O13=CURSOS!$D$14,"TOMA DE MUESTRAS Y LABORATORIO ",IF(O13=CURSOS!$D$15,"SOPORTE VITAL BASICO (BLS)",IF(O13=CURSOS!$D$16,"ATENCION A VICTIMAS DE VIOLENCIA SEXUAL ",IF(O13=CURSOS!$D$17,"PROGRAMADO AMPLIADO DE INMUNIZACION (PAI - COVID 19)",IF(O13=CURSOS!$D$18,"ATENCION INTEGRAL EN ENFERMEDADES PREVALENTES EN PRIMERA INFANCIA (AIEPI)",IF(O13=CURSOS!$D$19,"ADMINISTRACION DE MEDICAMENTOS, INYECTOLOGIA  Y CANALIZACION ",IF(O13=CURSOS!$D$20,"OPERADOR DE VEHICULOS DE EMERGENCIA (OVE)",IF(O13=CURSOS!$D$21,"INSTITUCIONES AMIGAS DE LA MUJER Y LA INFANCIA (IAMI)",IF(O13=CURSOS!$D$22,"CUIDADO DEL DONANTE DE ORGANOS",IF(O13=CURSOS!$D$23,"ATENCION A VICTIMAS POR VIOLENCIA DE GENERO",IF(O13=CURSOS!$D$24,"IGUALDAD DE GENERO EN LA SALUD",IF(O13=CURSOS!$D$25,"BRIGADA DE EMERGENCIA",IF(O13=CURSOS!$D$26,"MANEJO DEL DOLOR Y CUIDADOS PALIATIVOS",IF(O13=CURSOS!$D$27,"TOMA DE MUESTRAS Y LABORATORIO POCT",IF(O13=CURSOS!$D$28,"IMPLANTE SUBDERMICO DE DISPOSITIVO INTRAUTERINO",IF(O13=CURSOS!$D$29,"SALUD MENTAL",IF(O13=CURSOS!$D$30,"PRIMEROS AUXILIOS PSICOLOGICOS",IF(O13=CURSOS!$D$31,"ATENCION A VICTIMAS POR CONFLICTO ARMADO",IF(O13=CURSOS!$D$32,"MANIPULACION DE ALIMENTOS Y BPM",IF(O13=CURSOS!$D$33,"ATENCION A PERSONAS CON DISCAPACIDAD",IF(O13=CURSOS!$D$34,"CUIDADO INTEGRAL DEL PACIENTE ADULTO",IF(O13=CURSOS!$D$35,"MANEJO DEFENSIVO",IF(O13=CURSOS!$D$36,"SOPORTE CARDIOVASCULAR AVANZADO NEONATAL",IF(O13=CURSOS!$D$37,"SEGURIDAD DEL PACIENTE",IF(O13=CURSOS!$D$38,"MANEJO DE RESIDUOS HOSPITALARIOS"))))))))))))))))))))))))))))))))))))</f>
        <v xml:space="preserve">ATENCION A VICTIMAS DE VIOLENCIA SEXUAL </v>
      </c>
      <c r="V13" s="47" t="str">
        <f t="shared" si="0"/>
        <v>Naudy Jhoana Lopez  Jurado</v>
      </c>
      <c r="W13" s="47" t="str">
        <f t="shared" si="1"/>
        <v>Naudy Jhoana Lopez  Jurado</v>
      </c>
      <c r="X13" s="47" t="str">
        <f t="shared" si="2"/>
        <v>Naudy Jhoana Lopez  Jurado-1085289481-VIOLENCIA SEXUAL</v>
      </c>
    </row>
    <row r="14" spans="1:24" s="58" customFormat="1" x14ac:dyDescent="0.2">
      <c r="A14" s="46">
        <v>13</v>
      </c>
      <c r="B14" s="54">
        <v>1233189736</v>
      </c>
      <c r="C14" s="54" t="s">
        <v>149</v>
      </c>
      <c r="D14" s="54" t="s">
        <v>150</v>
      </c>
      <c r="E14" s="54" t="s">
        <v>151</v>
      </c>
      <c r="F14" s="54" t="s">
        <v>152</v>
      </c>
      <c r="G14" s="54"/>
      <c r="H14" s="54" t="s">
        <v>100</v>
      </c>
      <c r="I14" s="55" t="s">
        <v>146</v>
      </c>
      <c r="J14" s="56">
        <v>45597</v>
      </c>
      <c r="K14" s="108">
        <v>100000</v>
      </c>
      <c r="L14" s="54" t="s">
        <v>139</v>
      </c>
      <c r="M14" s="54" t="s">
        <v>141</v>
      </c>
      <c r="N14" s="54" t="s">
        <v>90</v>
      </c>
      <c r="O14" s="43" t="s">
        <v>37</v>
      </c>
      <c r="P14" s="55" t="s">
        <v>153</v>
      </c>
      <c r="Q14" s="54" t="s">
        <v>89</v>
      </c>
      <c r="R14" s="54" t="s">
        <v>255</v>
      </c>
      <c r="S14" s="57"/>
      <c r="T14" s="54" t="s">
        <v>154</v>
      </c>
      <c r="U14" s="47" t="str">
        <f>IF(O14=CURSOS!$D$3,"DIPLOMADO EN ATENCION PRE-HOSPITALARIA",IF(O14=CURSOS!$D$4,"ACOMPAÑAMIENTO Y MANEJO DEL DUELO",IF(O14=CURSOS!$D$5,"ATENCION A VICTIMAS DE ATAQUE CON AGENTES QUIMICOS ",IF(O14=CURSOS!$D$6,"PRIMEROS AUXILIOS ",IF(O14=CURSOS!$D$7,"DIPLOMADO DE UNIDAD DE CUIDADOS INTENSIVOS (UCI)",IF(O14=CURSOS!$D$8,"MODELO DE ATENCION PARA EVENTOS EMERGENTES EN SALUD MENTAL (CODIGO VERDE)",IF(O14=CURSOS!$D$9,"HUMANIZACION EN EL SERVICIO DE LA SALUD Y BUENAS PRACTICAS EN PACIENTE ",IF(O14=CURSOS!$D$10,"CLINICA DE HERIDAS ",IF(O14=CURSOS!$D$11,"TOMA DE CITOLOGIA CERVICO VAGINAL ",IF(O14=CURSOS!$D$12,"SOPORTE CARDIOVASCULAR AVANZADO (ACLS) ",IF(O14=CURSOS!$D$13,"CAMILLERO ",IF(O14=CURSOS!$D$14,"TOMA DE MUESTRAS Y LABORATORIO ",IF(O14=CURSOS!$D$15,"SOPORTE VITAL BASICO (BLS)",IF(O14=CURSOS!$D$16,"ATENCION A VICTIMAS DE VIOLENCIA SEXUAL ",IF(O14=CURSOS!$D$17,"PROGRAMADO AMPLIADO DE INMUNIZACION (PAI - COVID 19)",IF(O14=CURSOS!$D$18,"ATENCION INTEGRAL EN ENFERMEDADES PREVALENTES EN PRIMERA INFANCIA (AIEPI)",IF(O14=CURSOS!$D$19,"ADMINISTRACION DE MEDICAMENTOS, INYECTOLOGIA  Y CANALIZACION ",IF(O14=CURSOS!$D$20,"OPERADOR DE VEHICULOS DE EMERGENCIA (OVE)",IF(O14=CURSOS!$D$21,"INSTITUCIONES AMIGAS DE LA MUJER Y LA INFANCIA (IAMI)",IF(O14=CURSOS!$D$22,"CUIDADO DEL DONANTE DE ORGANOS",IF(O14=CURSOS!$D$23,"ATENCION A VICTIMAS POR VIOLENCIA DE GENERO",IF(O14=CURSOS!$D$24,"IGUALDAD DE GENERO EN LA SALUD",IF(O14=CURSOS!$D$25,"BRIGADA DE EMERGENCIA",IF(O14=CURSOS!$D$26,"MANEJO DEL DOLOR Y CUIDADOS PALIATIVOS",IF(O14=CURSOS!$D$27,"TOMA DE MUESTRAS Y LABORATORIO POCT",IF(O14=CURSOS!$D$28,"IMPLANTE SUBDERMICO DE DISPOSITIVO INTRAUTERINO",IF(O14=CURSOS!$D$29,"SALUD MENTAL",IF(O14=CURSOS!$D$30,"PRIMEROS AUXILIOS PSICOLOGICOS",IF(O14=CURSOS!$D$31,"ATENCION A VICTIMAS POR CONFLICTO ARMADO",IF(O14=CURSOS!$D$32,"MANIPULACION DE ALIMENTOS Y BPM",IF(O14=CURSOS!$D$33,"ATENCION A PERSONAS CON DISCAPACIDAD",IF(O14=CURSOS!$D$34,"CUIDADO INTEGRAL DEL PACIENTE ADULTO",IF(O14=CURSOS!$D$35,"MANEJO DEFENSIVO",IF(O14=CURSOS!$D$36,"SOPORTE CARDIOVASCULAR AVANZADO NEONATAL",IF(O14=CURSOS!$D$37,"SEGURIDAD DEL PACIENTE",IF(O14=CURSOS!$D$38,"MANEJO DE RESIDUOS HOSPITALARIOS"))))))))))))))))))))))))))))))))))))</f>
        <v xml:space="preserve">SOPORTE CARDIOVASCULAR AVANZADO (ACLS) </v>
      </c>
      <c r="V14" s="47" t="str">
        <f t="shared" si="0"/>
        <v>Silvana Marcela Montenegro Caicedo</v>
      </c>
      <c r="W14" s="47" t="str">
        <f t="shared" si="1"/>
        <v>Silvana Marcela Montenegro Caicedo</v>
      </c>
      <c r="X14" s="47" t="str">
        <f t="shared" si="2"/>
        <v>Silvana Marcela Montenegro Caicedo-1233189736-ACLS</v>
      </c>
    </row>
    <row r="15" spans="1:24" s="58" customFormat="1" x14ac:dyDescent="0.2">
      <c r="A15" s="46">
        <v>14</v>
      </c>
      <c r="B15" s="54">
        <v>1233189736</v>
      </c>
      <c r="C15" s="54" t="s">
        <v>149</v>
      </c>
      <c r="D15" s="54" t="s">
        <v>150</v>
      </c>
      <c r="E15" s="54" t="s">
        <v>151</v>
      </c>
      <c r="F15" s="54" t="s">
        <v>152</v>
      </c>
      <c r="G15" s="54"/>
      <c r="H15" s="54" t="s">
        <v>100</v>
      </c>
      <c r="I15" s="55" t="s">
        <v>146</v>
      </c>
      <c r="J15" s="56">
        <v>45597</v>
      </c>
      <c r="K15" s="108">
        <v>20000</v>
      </c>
      <c r="L15" s="54" t="s">
        <v>139</v>
      </c>
      <c r="M15" s="54" t="s">
        <v>141</v>
      </c>
      <c r="N15" s="54" t="s">
        <v>90</v>
      </c>
      <c r="O15" s="43" t="s">
        <v>19</v>
      </c>
      <c r="P15" s="55" t="s">
        <v>153</v>
      </c>
      <c r="Q15" s="54" t="s">
        <v>89</v>
      </c>
      <c r="R15" s="54" t="s">
        <v>255</v>
      </c>
      <c r="S15" s="57"/>
      <c r="T15" s="54" t="s">
        <v>154</v>
      </c>
      <c r="U15" s="47" t="str">
        <f>IF(O15=CURSOS!$D$3,"DIPLOMADO EN ATENCION PRE-HOSPITALARIA",IF(O15=CURSOS!$D$4,"ACOMPAÑAMIENTO Y MANEJO DEL DUELO",IF(O15=CURSOS!$D$5,"ATENCION A VICTIMAS DE ATAQUE CON AGENTES QUIMICOS ",IF(O15=CURSOS!$D$6,"PRIMEROS AUXILIOS ",IF(O15=CURSOS!$D$7,"DIPLOMADO DE UNIDAD DE CUIDADOS INTENSIVOS (UCI)",IF(O15=CURSOS!$D$8,"MODELO DE ATENCION PARA EVENTOS EMERGENTES EN SALUD MENTAL (CODIGO VERDE)",IF(O15=CURSOS!$D$9,"HUMANIZACION EN EL SERVICIO DE LA SALUD Y BUENAS PRACTICAS EN PACIENTE ",IF(O15=CURSOS!$D$10,"CLINICA DE HERIDAS ",IF(O15=CURSOS!$D$11,"TOMA DE CITOLOGIA CERVICO VAGINAL ",IF(O15=CURSOS!$D$12,"SOPORTE CARDIOVASCULAR AVANZADO (ACLS) ",IF(O15=CURSOS!$D$13,"CAMILLERO ",IF(O15=CURSOS!$D$14,"TOMA DE MUESTRAS Y LABORATORIO ",IF(O15=CURSOS!$D$15,"SOPORTE VITAL BASICO (BLS)",IF(O15=CURSOS!$D$16,"ATENCION A VICTIMAS DE VIOLENCIA SEXUAL ",IF(O15=CURSOS!$D$17,"PROGRAMADO AMPLIADO DE INMUNIZACION (PAI - COVID 19)",IF(O15=CURSOS!$D$18,"ATENCION INTEGRAL EN ENFERMEDADES PREVALENTES EN PRIMERA INFANCIA (AIEPI)",IF(O15=CURSOS!$D$19,"ADMINISTRACION DE MEDICAMENTOS, INYECTOLOGIA  Y CANALIZACION ",IF(O15=CURSOS!$D$20,"OPERADOR DE VEHICULOS DE EMERGENCIA (OVE)",IF(O15=CURSOS!$D$21,"INSTITUCIONES AMIGAS DE LA MUJER Y LA INFANCIA (IAMI)",IF(O15=CURSOS!$D$22,"CUIDADO DEL DONANTE DE ORGANOS",IF(O15=CURSOS!$D$23,"ATENCION A VICTIMAS POR VIOLENCIA DE GENERO",IF(O15=CURSOS!$D$24,"IGUALDAD DE GENERO EN LA SALUD",IF(O15=CURSOS!$D$25,"BRIGADA DE EMERGENCIA",IF(O15=CURSOS!$D$26,"MANEJO DEL DOLOR Y CUIDADOS PALIATIVOS",IF(O15=CURSOS!$D$27,"TOMA DE MUESTRAS Y LABORATORIO POCT",IF(O15=CURSOS!$D$28,"IMPLANTE SUBDERMICO DE DISPOSITIVO INTRAUTERINO",IF(O15=CURSOS!$D$29,"SALUD MENTAL",IF(O15=CURSOS!$D$30,"PRIMEROS AUXILIOS PSICOLOGICOS",IF(O15=CURSOS!$D$31,"ATENCION A VICTIMAS POR CONFLICTO ARMADO",IF(O15=CURSOS!$D$32,"MANIPULACION DE ALIMENTOS Y BPM",IF(O15=CURSOS!$D$33,"ATENCION A PERSONAS CON DISCAPACIDAD",IF(O15=CURSOS!$D$34,"CUIDADO INTEGRAL DEL PACIENTE ADULTO",IF(O15=CURSOS!$D$35,"MANEJO DEFENSIVO",IF(O15=CURSOS!$D$36,"SOPORTE CARDIOVASCULAR AVANZADO NEONATAL",IF(O15=CURSOS!$D$37,"SEGURIDAD DEL PACIENTE",IF(O15=CURSOS!$D$38,"MANEJO DE RESIDUOS HOSPITALARIOS"))))))))))))))))))))))))))))))))))))</f>
        <v>SOPORTE VITAL BASICO (BLS)</v>
      </c>
      <c r="V15" s="47" t="str">
        <f t="shared" si="0"/>
        <v>Silvana Marcela Montenegro Caicedo</v>
      </c>
      <c r="W15" s="47" t="str">
        <f t="shared" si="1"/>
        <v>Silvana Marcela Montenegro Caicedo</v>
      </c>
      <c r="X15" s="47" t="str">
        <f t="shared" si="2"/>
        <v>Silvana Marcela Montenegro Caicedo-1233189736-BLS</v>
      </c>
    </row>
    <row r="16" spans="1:24" x14ac:dyDescent="0.2">
      <c r="A16" s="46">
        <v>15</v>
      </c>
      <c r="B16" s="54">
        <v>1006842356</v>
      </c>
      <c r="C16" s="54" t="s">
        <v>156</v>
      </c>
      <c r="D16" s="54" t="s">
        <v>157</v>
      </c>
      <c r="E16" s="54" t="s">
        <v>132</v>
      </c>
      <c r="F16" s="54" t="s">
        <v>158</v>
      </c>
      <c r="G16" s="54">
        <v>1</v>
      </c>
      <c r="H16" s="54" t="s">
        <v>100</v>
      </c>
      <c r="I16" s="55" t="s">
        <v>146</v>
      </c>
      <c r="J16" s="56">
        <v>45603</v>
      </c>
      <c r="K16" s="108">
        <v>28000</v>
      </c>
      <c r="L16" s="54" t="s">
        <v>235</v>
      </c>
      <c r="M16" s="54" t="s">
        <v>80</v>
      </c>
      <c r="N16" s="54" t="s">
        <v>159</v>
      </c>
      <c r="O16" s="43" t="s">
        <v>42</v>
      </c>
      <c r="P16" s="55">
        <v>36800</v>
      </c>
      <c r="Q16" s="54" t="s">
        <v>89</v>
      </c>
      <c r="R16" s="54" t="s">
        <v>189</v>
      </c>
      <c r="S16" s="57">
        <v>3173308042</v>
      </c>
      <c r="T16" s="57" t="s">
        <v>160</v>
      </c>
      <c r="U16" s="47" t="str">
        <f>IF(O16=CURSOS!$D$3,"DIPLOMADO EN ATENCION PRE-HOSPITALARIA",IF(O16=CURSOS!$D$4,"ACOMPAÑAMIENTO Y MANEJO DEL DUELO",IF(O16=CURSOS!$D$5,"ATENCION A VICTIMAS DE ATAQUE CON AGENTES QUIMICOS ",IF(O16=CURSOS!$D$6,"PRIMEROS AUXILIOS ",IF(O16=CURSOS!$D$7,"DIPLOMADO DE UNIDAD DE CUIDADOS INTENSIVOS (UCI)",IF(O16=CURSOS!$D$8,"MODELO DE ATENCION PARA EVENTOS EMERGENTES EN SALUD MENTAL (CODIGO VERDE)",IF(O16=CURSOS!$D$9,"HUMANIZACION EN EL SERVICIO DE LA SALUD Y BUENAS PRACTICAS EN PACIENTE ",IF(O16=CURSOS!$D$10,"CLINICA DE HERIDAS ",IF(O16=CURSOS!$D$11,"TOMA DE CITOLOGIA CERVICO VAGINAL ",IF(O16=CURSOS!$D$12,"SOPORTE CARDIOVASCULAR AVANZADO (ACLS) ",IF(O16=CURSOS!$D$13,"CAMILLERO ",IF(O16=CURSOS!$D$14,"TOMA DE MUESTRAS Y LABORATORIO ",IF(O16=CURSOS!$D$15,"SOPORTE VITAL BASICO (BLS)",IF(O16=CURSOS!$D$16,"ATENCION A VICTIMAS DE VIOLENCIA SEXUAL ",IF(O16=CURSOS!$D$17,"PROGRAMADO AMPLIADO DE INMUNIZACION (PAI - COVID 19)",IF(O16=CURSOS!$D$18,"ATENCION INTEGRAL EN ENFERMEDADES PREVALENTES EN PRIMERA INFANCIA (AIEPI)",IF(O16=CURSOS!$D$19,"ADMINISTRACION DE MEDICAMENTOS, INYECTOLOGIA  Y CANALIZACION ",IF(O16=CURSOS!$D$20,"OPERADOR DE VEHICULOS DE EMERGENCIA (OVE)",IF(O16=CURSOS!$D$21,"INSTITUCIONES AMIGAS DE LA MUJER Y LA INFANCIA (IAMI)",IF(O16=CURSOS!$D$22,"CUIDADO DEL DONANTE DE ORGANOS",IF(O16=CURSOS!$D$23,"ATENCION A VICTIMAS POR VIOLENCIA DE GENERO",IF(O16=CURSOS!$D$24,"IGUALDAD DE GENERO EN LA SALUD",IF(O16=CURSOS!$D$25,"BRIGADA DE EMERGENCIA",IF(O16=CURSOS!$D$26,"MANEJO DEL DOLOR Y CUIDADOS PALIATIVOS",IF(O16=CURSOS!$D$27,"TOMA DE MUESTRAS Y LABORATORIO POCT",IF(O16=CURSOS!$D$28,"IMPLANTE SUBDERMICO DE DISPOSITIVO INTRAUTERINO",IF(O16=CURSOS!$D$29,"SALUD MENTAL",IF(O16=CURSOS!$D$30,"PRIMEROS AUXILIOS PSICOLOGICOS",IF(O16=CURSOS!$D$31,"ATENCION A VICTIMAS POR CONFLICTO ARMADO",IF(O16=CURSOS!$D$32,"MANIPULACION DE ALIMENTOS Y BPM",IF(O16=CURSOS!$D$33,"ATENCION A PERSONAS CON DISCAPACIDAD",IF(O16=CURSOS!$D$34,"CUIDADO INTEGRAL DEL PACIENTE ADULTO",IF(O16=CURSOS!$D$35,"MANEJO DEFENSIVO",IF(O16=CURSOS!$D$36,"SOPORTE CARDIOVASCULAR AVANZADO NEONATAL",IF(O16=CURSOS!$D$37,"SEGURIDAD DEL PACIENTE",IF(O16=CURSOS!$D$38,"MANEJO DE RESIDUOS HOSPITALARIOS"))))))))))))))))))))))))))))))))))))</f>
        <v xml:space="preserve">ATENCION A VICTIMAS DE VIOLENCIA SEXUAL </v>
      </c>
      <c r="V16" s="47" t="str">
        <f t="shared" si="0"/>
        <v>Dayana Lisley Cuadrado Zambrano</v>
      </c>
      <c r="W16" s="47" t="str">
        <f t="shared" si="1"/>
        <v>Dayana Lisley Cuadrado Zambrano</v>
      </c>
      <c r="X16" s="47" t="str">
        <f t="shared" si="2"/>
        <v>Dayana Lisley Cuadrado Zambrano-1006842356-VIOLENCIA SEXUAL</v>
      </c>
    </row>
    <row r="17" spans="1:24" x14ac:dyDescent="0.2">
      <c r="A17" s="46">
        <v>16</v>
      </c>
      <c r="B17" s="54">
        <v>1006842356</v>
      </c>
      <c r="C17" s="54" t="s">
        <v>156</v>
      </c>
      <c r="D17" s="54" t="s">
        <v>157</v>
      </c>
      <c r="E17" s="54" t="s">
        <v>132</v>
      </c>
      <c r="F17" s="54" t="s">
        <v>158</v>
      </c>
      <c r="G17" s="54">
        <v>2</v>
      </c>
      <c r="H17" s="54" t="s">
        <v>100</v>
      </c>
      <c r="I17" s="55" t="s">
        <v>146</v>
      </c>
      <c r="J17" s="56">
        <v>45603</v>
      </c>
      <c r="K17" s="108">
        <v>28000</v>
      </c>
      <c r="L17" s="54" t="s">
        <v>235</v>
      </c>
      <c r="M17" s="54" t="s">
        <v>80</v>
      </c>
      <c r="N17" s="54" t="s">
        <v>159</v>
      </c>
      <c r="O17" s="43" t="s">
        <v>19</v>
      </c>
      <c r="P17" s="55">
        <v>36800</v>
      </c>
      <c r="Q17" s="54" t="s">
        <v>89</v>
      </c>
      <c r="R17" s="54" t="s">
        <v>189</v>
      </c>
      <c r="S17" s="57">
        <v>3173308042</v>
      </c>
      <c r="T17" s="57" t="s">
        <v>160</v>
      </c>
      <c r="U17" s="47" t="str">
        <f>IF(O17=CURSOS!$D$3,"DIPLOMADO EN ATENCION PRE-HOSPITALARIA",IF(O17=CURSOS!$D$4,"ACOMPAÑAMIENTO Y MANEJO DEL DUELO",IF(O17=CURSOS!$D$5,"ATENCION A VICTIMAS DE ATAQUE CON AGENTES QUIMICOS ",IF(O17=CURSOS!$D$6,"PRIMEROS AUXILIOS ",IF(O17=CURSOS!$D$7,"DIPLOMADO DE UNIDAD DE CUIDADOS INTENSIVOS (UCI)",IF(O17=CURSOS!$D$8,"MODELO DE ATENCION PARA EVENTOS EMERGENTES EN SALUD MENTAL (CODIGO VERDE)",IF(O17=CURSOS!$D$9,"HUMANIZACION EN EL SERVICIO DE LA SALUD Y BUENAS PRACTICAS EN PACIENTE ",IF(O17=CURSOS!$D$10,"CLINICA DE HERIDAS ",IF(O17=CURSOS!$D$11,"TOMA DE CITOLOGIA CERVICO VAGINAL ",IF(O17=CURSOS!$D$12,"SOPORTE CARDIOVASCULAR AVANZADO (ACLS) ",IF(O17=CURSOS!$D$13,"CAMILLERO ",IF(O17=CURSOS!$D$14,"TOMA DE MUESTRAS Y LABORATORIO ",IF(O17=CURSOS!$D$15,"SOPORTE VITAL BASICO (BLS)",IF(O17=CURSOS!$D$16,"ATENCION A VICTIMAS DE VIOLENCIA SEXUAL ",IF(O17=CURSOS!$D$17,"PROGRAMADO AMPLIADO DE INMUNIZACION (PAI - COVID 19)",IF(O17=CURSOS!$D$18,"ATENCION INTEGRAL EN ENFERMEDADES PREVALENTES EN PRIMERA INFANCIA (AIEPI)",IF(O17=CURSOS!$D$19,"ADMINISTRACION DE MEDICAMENTOS, INYECTOLOGIA  Y CANALIZACION ",IF(O17=CURSOS!$D$20,"OPERADOR DE VEHICULOS DE EMERGENCIA (OVE)",IF(O17=CURSOS!$D$21,"INSTITUCIONES AMIGAS DE LA MUJER Y LA INFANCIA (IAMI)",IF(O17=CURSOS!$D$22,"CUIDADO DEL DONANTE DE ORGANOS",IF(O17=CURSOS!$D$23,"ATENCION A VICTIMAS POR VIOLENCIA DE GENERO",IF(O17=CURSOS!$D$24,"IGUALDAD DE GENERO EN LA SALUD",IF(O17=CURSOS!$D$25,"BRIGADA DE EMERGENCIA",IF(O17=CURSOS!$D$26,"MANEJO DEL DOLOR Y CUIDADOS PALIATIVOS",IF(O17=CURSOS!$D$27,"TOMA DE MUESTRAS Y LABORATORIO POCT",IF(O17=CURSOS!$D$28,"IMPLANTE SUBDERMICO DE DISPOSITIVO INTRAUTERINO",IF(O17=CURSOS!$D$29,"SALUD MENTAL",IF(O17=CURSOS!$D$30,"PRIMEROS AUXILIOS PSICOLOGICOS",IF(O17=CURSOS!$D$31,"ATENCION A VICTIMAS POR CONFLICTO ARMADO",IF(O17=CURSOS!$D$32,"MANIPULACION DE ALIMENTOS Y BPM",IF(O17=CURSOS!$D$33,"ATENCION A PERSONAS CON DISCAPACIDAD",IF(O17=CURSOS!$D$34,"CUIDADO INTEGRAL DEL PACIENTE ADULTO",IF(O17=CURSOS!$D$35,"MANEJO DEFENSIVO",IF(O17=CURSOS!$D$36,"SOPORTE CARDIOVASCULAR AVANZADO NEONATAL",IF(O17=CURSOS!$D$37,"SEGURIDAD DEL PACIENTE",IF(O17=CURSOS!$D$38,"MANEJO DE RESIDUOS HOSPITALARIOS"))))))))))))))))))))))))))))))))))))</f>
        <v>SOPORTE VITAL BASICO (BLS)</v>
      </c>
      <c r="V17" s="47" t="str">
        <f t="shared" si="0"/>
        <v>Dayana Lisley Cuadrado Zambrano</v>
      </c>
      <c r="W17" s="47" t="str">
        <f t="shared" si="1"/>
        <v>Dayana Lisley Cuadrado Zambrano</v>
      </c>
      <c r="X17" s="47" t="str">
        <f t="shared" si="2"/>
        <v>Dayana Lisley Cuadrado Zambrano-1006842356-BLS</v>
      </c>
    </row>
    <row r="18" spans="1:24" x14ac:dyDescent="0.2">
      <c r="A18" s="46">
        <v>17</v>
      </c>
      <c r="B18" s="54">
        <v>1006842356</v>
      </c>
      <c r="C18" s="54" t="s">
        <v>156</v>
      </c>
      <c r="D18" s="54" t="s">
        <v>157</v>
      </c>
      <c r="E18" s="54" t="s">
        <v>132</v>
      </c>
      <c r="F18" s="54" t="s">
        <v>158</v>
      </c>
      <c r="G18" s="54">
        <v>5</v>
      </c>
      <c r="H18" s="54" t="s">
        <v>100</v>
      </c>
      <c r="I18" s="55" t="s">
        <v>146</v>
      </c>
      <c r="J18" s="56">
        <v>45603</v>
      </c>
      <c r="K18" s="108">
        <v>28000</v>
      </c>
      <c r="L18" s="54" t="s">
        <v>235</v>
      </c>
      <c r="M18" s="54" t="s">
        <v>80</v>
      </c>
      <c r="N18" s="54" t="s">
        <v>159</v>
      </c>
      <c r="O18" s="43" t="s">
        <v>23</v>
      </c>
      <c r="P18" s="55">
        <v>36800</v>
      </c>
      <c r="Q18" s="54" t="s">
        <v>89</v>
      </c>
      <c r="R18" s="54" t="s">
        <v>189</v>
      </c>
      <c r="S18" s="57">
        <v>3173308042</v>
      </c>
      <c r="T18" s="57" t="s">
        <v>160</v>
      </c>
      <c r="U18" s="47" t="str">
        <f>IF(O18=CURSOS!$D$3,"DIPLOMADO EN ATENCION PRE-HOSPITALARIA",IF(O18=CURSOS!$D$4,"ACOMPAÑAMIENTO Y MANEJO DEL DUELO",IF(O18=CURSOS!$D$5,"ATENCION A VICTIMAS DE ATAQUE CON AGENTES QUIMICOS ",IF(O18=CURSOS!$D$6,"PRIMEROS AUXILIOS ",IF(O18=CURSOS!$D$7,"DIPLOMADO DE UNIDAD DE CUIDADOS INTENSIVOS (UCI)",IF(O18=CURSOS!$D$8,"MODELO DE ATENCION PARA EVENTOS EMERGENTES EN SALUD MENTAL (CODIGO VERDE)",IF(O18=CURSOS!$D$9,"HUMANIZACION EN EL SERVICIO DE LA SALUD Y BUENAS PRACTICAS EN PACIENTE ",IF(O18=CURSOS!$D$10,"CLINICA DE HERIDAS ",IF(O18=CURSOS!$D$11,"TOMA DE CITOLOGIA CERVICO VAGINAL ",IF(O18=CURSOS!$D$12,"SOPORTE CARDIOVASCULAR AVANZADO (ACLS) ",IF(O18=CURSOS!$D$13,"CAMILLERO ",IF(O18=CURSOS!$D$14,"TOMA DE MUESTRAS Y LABORATORIO ",IF(O18=CURSOS!$D$15,"SOPORTE VITAL BASICO (BLS)",IF(O18=CURSOS!$D$16,"ATENCION A VICTIMAS DE VIOLENCIA SEXUAL ",IF(O18=CURSOS!$D$17,"PROGRAMADO AMPLIADO DE INMUNIZACION (PAI - COVID 19)",IF(O18=CURSOS!$D$18,"ATENCION INTEGRAL EN ENFERMEDADES PREVALENTES EN PRIMERA INFANCIA (AIEPI)",IF(O18=CURSOS!$D$19,"ADMINISTRACION DE MEDICAMENTOS, INYECTOLOGIA  Y CANALIZACION ",IF(O18=CURSOS!$D$20,"OPERADOR DE VEHICULOS DE EMERGENCIA (OVE)",IF(O18=CURSOS!$D$21,"INSTITUCIONES AMIGAS DE LA MUJER Y LA INFANCIA (IAMI)",IF(O18=CURSOS!$D$22,"CUIDADO DEL DONANTE DE ORGANOS",IF(O18=CURSOS!$D$23,"ATENCION A VICTIMAS POR VIOLENCIA DE GENERO",IF(O18=CURSOS!$D$24,"IGUALDAD DE GENERO EN LA SALUD",IF(O18=CURSOS!$D$25,"BRIGADA DE EMERGENCIA",IF(O18=CURSOS!$D$26,"MANEJO DEL DOLOR Y CUIDADOS PALIATIVOS",IF(O18=CURSOS!$D$27,"TOMA DE MUESTRAS Y LABORATORIO POCT",IF(O18=CURSOS!$D$28,"IMPLANTE SUBDERMICO DE DISPOSITIVO INTRAUTERINO",IF(O18=CURSOS!$D$29,"SALUD MENTAL",IF(O18=CURSOS!$D$30,"PRIMEROS AUXILIOS PSICOLOGICOS",IF(O18=CURSOS!$D$31,"ATENCION A VICTIMAS POR CONFLICTO ARMADO",IF(O18=CURSOS!$D$32,"MANIPULACION DE ALIMENTOS Y BPM",IF(O18=CURSOS!$D$33,"ATENCION A PERSONAS CON DISCAPACIDAD",IF(O18=CURSOS!$D$34,"CUIDADO INTEGRAL DEL PACIENTE ADULTO",IF(O18=CURSOS!$D$35,"MANEJO DEFENSIVO",IF(O18=CURSOS!$D$36,"SOPORTE CARDIOVASCULAR AVANZADO NEONATAL",IF(O18=CURSOS!$D$37,"SEGURIDAD DEL PACIENTE",IF(O18=CURSOS!$D$38,"MANEJO DE RESIDUOS HOSPITALARIOS"))))))))))))))))))))))))))))))))))))</f>
        <v>ACOMPAÑAMIENTO Y MANEJO DEL DUELO</v>
      </c>
      <c r="V18" s="47" t="str">
        <f t="shared" si="0"/>
        <v>Dayana Lisley Cuadrado Zambrano</v>
      </c>
      <c r="W18" s="47" t="str">
        <f t="shared" si="1"/>
        <v>Dayana Lisley Cuadrado Zambrano</v>
      </c>
      <c r="X18" s="47" t="str">
        <f t="shared" si="2"/>
        <v>Dayana Lisley Cuadrado Zambrano-1006842356-DUELO</v>
      </c>
    </row>
    <row r="19" spans="1:24" x14ac:dyDescent="0.2">
      <c r="A19" s="46">
        <v>18</v>
      </c>
      <c r="B19" s="54">
        <v>1006842356</v>
      </c>
      <c r="C19" s="54" t="s">
        <v>156</v>
      </c>
      <c r="D19" s="54" t="s">
        <v>157</v>
      </c>
      <c r="E19" s="54" t="s">
        <v>132</v>
      </c>
      <c r="F19" s="54" t="s">
        <v>158</v>
      </c>
      <c r="G19" s="54">
        <v>1</v>
      </c>
      <c r="H19" s="54" t="s">
        <v>100</v>
      </c>
      <c r="I19" s="55" t="s">
        <v>146</v>
      </c>
      <c r="J19" s="56">
        <v>45603</v>
      </c>
      <c r="K19" s="108">
        <v>28000</v>
      </c>
      <c r="L19" s="54" t="s">
        <v>235</v>
      </c>
      <c r="M19" s="54" t="s">
        <v>80</v>
      </c>
      <c r="N19" s="54" t="s">
        <v>159</v>
      </c>
      <c r="O19" s="43" t="s">
        <v>25</v>
      </c>
      <c r="P19" s="55">
        <v>36800</v>
      </c>
      <c r="Q19" s="54" t="s">
        <v>89</v>
      </c>
      <c r="R19" s="54" t="s">
        <v>189</v>
      </c>
      <c r="S19" s="57">
        <v>3173308042</v>
      </c>
      <c r="T19" s="57" t="s">
        <v>160</v>
      </c>
      <c r="U19" s="47" t="str">
        <f>IF(O19=CURSOS!$D$3,"DIPLOMADO EN ATENCION PRE-HOSPITALARIA",IF(O19=CURSOS!$D$4,"ACOMPAÑAMIENTO Y MANEJO DEL DUELO",IF(O19=CURSOS!$D$5,"ATENCION A VICTIMAS DE ATAQUE CON AGENTES QUIMICOS ",IF(O19=CURSOS!$D$6,"PRIMEROS AUXILIOS ",IF(O19=CURSOS!$D$7,"DIPLOMADO DE UNIDAD DE CUIDADOS INTENSIVOS (UCI)",IF(O19=CURSOS!$D$8,"MODELO DE ATENCION PARA EVENTOS EMERGENTES EN SALUD MENTAL (CODIGO VERDE)",IF(O19=CURSOS!$D$9,"HUMANIZACION EN EL SERVICIO DE LA SALUD Y BUENAS PRACTICAS EN PACIENTE ",IF(O19=CURSOS!$D$10,"CLINICA DE HERIDAS ",IF(O19=CURSOS!$D$11,"TOMA DE CITOLOGIA CERVICO VAGINAL ",IF(O19=CURSOS!$D$12,"SOPORTE CARDIOVASCULAR AVANZADO (ACLS) ",IF(O19=CURSOS!$D$13,"CAMILLERO ",IF(O19=CURSOS!$D$14,"TOMA DE MUESTRAS Y LABORATORIO ",IF(O19=CURSOS!$D$15,"SOPORTE VITAL BASICO (BLS)",IF(O19=CURSOS!$D$16,"ATENCION A VICTIMAS DE VIOLENCIA SEXUAL ",IF(O19=CURSOS!$D$17,"PROGRAMADO AMPLIADO DE INMUNIZACION (PAI - COVID 19)",IF(O19=CURSOS!$D$18,"ATENCION INTEGRAL EN ENFERMEDADES PREVALENTES EN PRIMERA INFANCIA (AIEPI)",IF(O19=CURSOS!$D$19,"ADMINISTRACION DE MEDICAMENTOS, INYECTOLOGIA  Y CANALIZACION ",IF(O19=CURSOS!$D$20,"OPERADOR DE VEHICULOS DE EMERGENCIA (OVE)",IF(O19=CURSOS!$D$21,"INSTITUCIONES AMIGAS DE LA MUJER Y LA INFANCIA (IAMI)",IF(O19=CURSOS!$D$22,"CUIDADO DEL DONANTE DE ORGANOS",IF(O19=CURSOS!$D$23,"ATENCION A VICTIMAS POR VIOLENCIA DE GENERO",IF(O19=CURSOS!$D$24,"IGUALDAD DE GENERO EN LA SALUD",IF(O19=CURSOS!$D$25,"BRIGADA DE EMERGENCIA",IF(O19=CURSOS!$D$26,"MANEJO DEL DOLOR Y CUIDADOS PALIATIVOS",IF(O19=CURSOS!$D$27,"TOMA DE MUESTRAS Y LABORATORIO POCT",IF(O19=CURSOS!$D$28,"IMPLANTE SUBDERMICO DE DISPOSITIVO INTRAUTERINO",IF(O19=CURSOS!$D$29,"SALUD MENTAL",IF(O19=CURSOS!$D$30,"PRIMEROS AUXILIOS PSICOLOGICOS",IF(O19=CURSOS!$D$31,"ATENCION A VICTIMAS POR CONFLICTO ARMADO",IF(O19=CURSOS!$D$32,"MANIPULACION DE ALIMENTOS Y BPM",IF(O19=CURSOS!$D$33,"ATENCION A PERSONAS CON DISCAPACIDAD",IF(O19=CURSOS!$D$34,"CUIDADO INTEGRAL DEL PACIENTE ADULTO",IF(O19=CURSOS!$D$35,"MANEJO DEFENSIVO",IF(O19=CURSOS!$D$36,"SOPORTE CARDIOVASCULAR AVANZADO NEONATAL",IF(O19=CURSOS!$D$37,"SEGURIDAD DEL PACIENTE",IF(O19=CURSOS!$D$38,"MANEJO DE RESIDUOS HOSPITALARIOS"))))))))))))))))))))))))))))))))))))</f>
        <v xml:space="preserve">ATENCION A VICTIMAS DE ATAQUE CON AGENTES QUIMICOS </v>
      </c>
      <c r="V19" s="47" t="str">
        <f t="shared" si="0"/>
        <v>Dayana Lisley Cuadrado Zambrano</v>
      </c>
      <c r="W19" s="47" t="str">
        <f t="shared" si="1"/>
        <v>Dayana Lisley Cuadrado Zambrano</v>
      </c>
      <c r="X19" s="47" t="str">
        <f t="shared" si="2"/>
        <v>Dayana Lisley Cuadrado Zambrano-1006842356-QUIMICOS</v>
      </c>
    </row>
    <row r="20" spans="1:24" x14ac:dyDescent="0.2">
      <c r="A20" s="46">
        <v>19</v>
      </c>
      <c r="B20" s="43">
        <v>1006789113</v>
      </c>
      <c r="C20" s="54" t="s">
        <v>161</v>
      </c>
      <c r="D20" s="54" t="s">
        <v>162</v>
      </c>
      <c r="E20" s="54" t="s">
        <v>163</v>
      </c>
      <c r="F20" s="54" t="s">
        <v>132</v>
      </c>
      <c r="G20" s="54">
        <v>5</v>
      </c>
      <c r="H20" s="54" t="s">
        <v>100</v>
      </c>
      <c r="I20" s="55" t="s">
        <v>146</v>
      </c>
      <c r="J20" s="56">
        <v>45603</v>
      </c>
      <c r="K20" s="108">
        <v>28000</v>
      </c>
      <c r="L20" s="54" t="s">
        <v>235</v>
      </c>
      <c r="M20" s="54" t="s">
        <v>80</v>
      </c>
      <c r="N20" s="54" t="s">
        <v>159</v>
      </c>
      <c r="O20" s="43" t="s">
        <v>42</v>
      </c>
      <c r="P20" s="55">
        <v>37325</v>
      </c>
      <c r="Q20" s="54" t="s">
        <v>89</v>
      </c>
      <c r="R20" s="57" t="s">
        <v>189</v>
      </c>
      <c r="S20" s="57">
        <v>3115477353</v>
      </c>
      <c r="T20" s="54" t="s">
        <v>164</v>
      </c>
      <c r="U20" s="47" t="str">
        <f>IF(O20=CURSOS!$D$3,"DIPLOMADO EN ATENCION PRE-HOSPITALARIA",IF(O20=CURSOS!$D$4,"ACOMPAÑAMIENTO Y MANEJO DEL DUELO",IF(O20=CURSOS!$D$5,"ATENCION A VICTIMAS DE ATAQUE CON AGENTES QUIMICOS ",IF(O20=CURSOS!$D$6,"PRIMEROS AUXILIOS ",IF(O20=CURSOS!$D$7,"DIPLOMADO DE UNIDAD DE CUIDADOS INTENSIVOS (UCI)",IF(O20=CURSOS!$D$8,"MODELO DE ATENCION PARA EVENTOS EMERGENTES EN SALUD MENTAL (CODIGO VERDE)",IF(O20=CURSOS!$D$9,"HUMANIZACION EN EL SERVICIO DE LA SALUD Y BUENAS PRACTICAS EN PACIENTE ",IF(O20=CURSOS!$D$10,"CLINICA DE HERIDAS ",IF(O20=CURSOS!$D$11,"TOMA DE CITOLOGIA CERVICO VAGINAL ",IF(O20=CURSOS!$D$12,"SOPORTE CARDIOVASCULAR AVANZADO (ACLS) ",IF(O20=CURSOS!$D$13,"CAMILLERO ",IF(O20=CURSOS!$D$14,"TOMA DE MUESTRAS Y LABORATORIO ",IF(O20=CURSOS!$D$15,"SOPORTE VITAL BASICO (BLS)",IF(O20=CURSOS!$D$16,"ATENCION A VICTIMAS DE VIOLENCIA SEXUAL ",IF(O20=CURSOS!$D$17,"PROGRAMADO AMPLIADO DE INMUNIZACION (PAI - COVID 19)",IF(O20=CURSOS!$D$18,"ATENCION INTEGRAL EN ENFERMEDADES PREVALENTES EN PRIMERA INFANCIA (AIEPI)",IF(O20=CURSOS!$D$19,"ADMINISTRACION DE MEDICAMENTOS, INYECTOLOGIA  Y CANALIZACION ",IF(O20=CURSOS!$D$20,"OPERADOR DE VEHICULOS DE EMERGENCIA (OVE)",IF(O20=CURSOS!$D$21,"INSTITUCIONES AMIGAS DE LA MUJER Y LA INFANCIA (IAMI)",IF(O20=CURSOS!$D$22,"CUIDADO DEL DONANTE DE ORGANOS",IF(O20=CURSOS!$D$23,"ATENCION A VICTIMAS POR VIOLENCIA DE GENERO",IF(O20=CURSOS!$D$24,"IGUALDAD DE GENERO EN LA SALUD",IF(O20=CURSOS!$D$25,"BRIGADA DE EMERGENCIA",IF(O20=CURSOS!$D$26,"MANEJO DEL DOLOR Y CUIDADOS PALIATIVOS",IF(O20=CURSOS!$D$27,"TOMA DE MUESTRAS Y LABORATORIO POCT",IF(O20=CURSOS!$D$28,"IMPLANTE SUBDERMICO DE DISPOSITIVO INTRAUTERINO",IF(O20=CURSOS!$D$29,"SALUD MENTAL",IF(O20=CURSOS!$D$30,"PRIMEROS AUXILIOS PSICOLOGICOS",IF(O20=CURSOS!$D$31,"ATENCION A VICTIMAS POR CONFLICTO ARMADO",IF(O20=CURSOS!$D$32,"MANIPULACION DE ALIMENTOS Y BPM",IF(O20=CURSOS!$D$33,"ATENCION A PERSONAS CON DISCAPACIDAD",IF(O20=CURSOS!$D$34,"CUIDADO INTEGRAL DEL PACIENTE ADULTO",IF(O20=CURSOS!$D$35,"MANEJO DEFENSIVO",IF(O20=CURSOS!$D$36,"SOPORTE CARDIOVASCULAR AVANZADO NEONATAL",IF(O20=CURSOS!$D$37,"SEGURIDAD DEL PACIENTE",IF(O20=CURSOS!$D$38,"MANEJO DE RESIDUOS HOSPITALARIOS"))))))))))))))))))))))))))))))))))))</f>
        <v xml:space="preserve">ATENCION A VICTIMAS DE VIOLENCIA SEXUAL </v>
      </c>
      <c r="V20" s="47" t="str">
        <f t="shared" si="0"/>
        <v>Shakira Dayana Portillo Villota</v>
      </c>
      <c r="W20" s="47" t="str">
        <f t="shared" si="1"/>
        <v>Shakira Dayana Portillo Villota</v>
      </c>
      <c r="X20" s="47" t="str">
        <f t="shared" si="2"/>
        <v>Shakira Dayana Portillo Villota-1006789113-VIOLENCIA SEXUAL</v>
      </c>
    </row>
    <row r="21" spans="1:24" x14ac:dyDescent="0.2">
      <c r="A21" s="46">
        <v>20</v>
      </c>
      <c r="B21" s="43">
        <v>1006789113</v>
      </c>
      <c r="C21" s="54" t="s">
        <v>161</v>
      </c>
      <c r="D21" s="54" t="s">
        <v>162</v>
      </c>
      <c r="E21" s="54" t="s">
        <v>163</v>
      </c>
      <c r="F21" s="54" t="s">
        <v>132</v>
      </c>
      <c r="G21" s="54">
        <v>2</v>
      </c>
      <c r="H21" s="54" t="s">
        <v>100</v>
      </c>
      <c r="I21" s="55" t="s">
        <v>146</v>
      </c>
      <c r="J21" s="56">
        <v>45603</v>
      </c>
      <c r="K21" s="108">
        <v>28000</v>
      </c>
      <c r="L21" s="54" t="s">
        <v>235</v>
      </c>
      <c r="M21" s="54" t="s">
        <v>80</v>
      </c>
      <c r="N21" s="54" t="s">
        <v>159</v>
      </c>
      <c r="O21" s="43" t="s">
        <v>25</v>
      </c>
      <c r="P21" s="55">
        <v>37325</v>
      </c>
      <c r="Q21" s="54" t="s">
        <v>89</v>
      </c>
      <c r="R21" s="57" t="s">
        <v>189</v>
      </c>
      <c r="S21" s="57">
        <v>3115477353</v>
      </c>
      <c r="T21" s="54" t="s">
        <v>164</v>
      </c>
      <c r="U21" s="47" t="str">
        <f>IF(O21=CURSOS!$D$3,"DIPLOMADO EN ATENCION PRE-HOSPITALARIA",IF(O21=CURSOS!$D$4,"ACOMPAÑAMIENTO Y MANEJO DEL DUELO",IF(O21=CURSOS!$D$5,"ATENCION A VICTIMAS DE ATAQUE CON AGENTES QUIMICOS ",IF(O21=CURSOS!$D$6,"PRIMEROS AUXILIOS ",IF(O21=CURSOS!$D$7,"DIPLOMADO DE UNIDAD DE CUIDADOS INTENSIVOS (UCI)",IF(O21=CURSOS!$D$8,"MODELO DE ATENCION PARA EVENTOS EMERGENTES EN SALUD MENTAL (CODIGO VERDE)",IF(O21=CURSOS!$D$9,"HUMANIZACION EN EL SERVICIO DE LA SALUD Y BUENAS PRACTICAS EN PACIENTE ",IF(O21=CURSOS!$D$10,"CLINICA DE HERIDAS ",IF(O21=CURSOS!$D$11,"TOMA DE CITOLOGIA CERVICO VAGINAL ",IF(O21=CURSOS!$D$12,"SOPORTE CARDIOVASCULAR AVANZADO (ACLS) ",IF(O21=CURSOS!$D$13,"CAMILLERO ",IF(O21=CURSOS!$D$14,"TOMA DE MUESTRAS Y LABORATORIO ",IF(O21=CURSOS!$D$15,"SOPORTE VITAL BASICO (BLS)",IF(O21=CURSOS!$D$16,"ATENCION A VICTIMAS DE VIOLENCIA SEXUAL ",IF(O21=CURSOS!$D$17,"PROGRAMADO AMPLIADO DE INMUNIZACION (PAI - COVID 19)",IF(O21=CURSOS!$D$18,"ATENCION INTEGRAL EN ENFERMEDADES PREVALENTES EN PRIMERA INFANCIA (AIEPI)",IF(O21=CURSOS!$D$19,"ADMINISTRACION DE MEDICAMENTOS, INYECTOLOGIA  Y CANALIZACION ",IF(O21=CURSOS!$D$20,"OPERADOR DE VEHICULOS DE EMERGENCIA (OVE)",IF(O21=CURSOS!$D$21,"INSTITUCIONES AMIGAS DE LA MUJER Y LA INFANCIA (IAMI)",IF(O21=CURSOS!$D$22,"CUIDADO DEL DONANTE DE ORGANOS",IF(O21=CURSOS!$D$23,"ATENCION A VICTIMAS POR VIOLENCIA DE GENERO",IF(O21=CURSOS!$D$24,"IGUALDAD DE GENERO EN LA SALUD",IF(O21=CURSOS!$D$25,"BRIGADA DE EMERGENCIA",IF(O21=CURSOS!$D$26,"MANEJO DEL DOLOR Y CUIDADOS PALIATIVOS",IF(O21=CURSOS!$D$27,"TOMA DE MUESTRAS Y LABORATORIO POCT",IF(O21=CURSOS!$D$28,"IMPLANTE SUBDERMICO DE DISPOSITIVO INTRAUTERINO",IF(O21=CURSOS!$D$29,"SALUD MENTAL",IF(O21=CURSOS!$D$30,"PRIMEROS AUXILIOS PSICOLOGICOS",IF(O21=CURSOS!$D$31,"ATENCION A VICTIMAS POR CONFLICTO ARMADO",IF(O21=CURSOS!$D$32,"MANIPULACION DE ALIMENTOS Y BPM",IF(O21=CURSOS!$D$33,"ATENCION A PERSONAS CON DISCAPACIDAD",IF(O21=CURSOS!$D$34,"CUIDADO INTEGRAL DEL PACIENTE ADULTO",IF(O21=CURSOS!$D$35,"MANEJO DEFENSIVO",IF(O21=CURSOS!$D$36,"SOPORTE CARDIOVASCULAR AVANZADO NEONATAL",IF(O21=CURSOS!$D$37,"SEGURIDAD DEL PACIENTE",IF(O21=CURSOS!$D$38,"MANEJO DE RESIDUOS HOSPITALARIOS"))))))))))))))))))))))))))))))))))))</f>
        <v xml:space="preserve">ATENCION A VICTIMAS DE ATAQUE CON AGENTES QUIMICOS </v>
      </c>
      <c r="V21" s="47" t="str">
        <f t="shared" si="0"/>
        <v>Shakira Dayana Portillo Villota</v>
      </c>
      <c r="W21" s="47" t="str">
        <f t="shared" si="1"/>
        <v>Shakira Dayana Portillo Villota</v>
      </c>
      <c r="X21" s="47" t="str">
        <f t="shared" si="2"/>
        <v>Shakira Dayana Portillo Villota-1006789113-QUIMICOS</v>
      </c>
    </row>
    <row r="22" spans="1:24" x14ac:dyDescent="0.2">
      <c r="A22" s="46">
        <v>21</v>
      </c>
      <c r="B22" s="43">
        <v>1006789113</v>
      </c>
      <c r="C22" s="54" t="s">
        <v>161</v>
      </c>
      <c r="D22" s="54" t="s">
        <v>162</v>
      </c>
      <c r="E22" s="54" t="s">
        <v>163</v>
      </c>
      <c r="F22" s="54" t="s">
        <v>132</v>
      </c>
      <c r="G22" s="54">
        <v>2</v>
      </c>
      <c r="H22" s="54" t="s">
        <v>100</v>
      </c>
      <c r="I22" s="55" t="s">
        <v>146</v>
      </c>
      <c r="J22" s="56">
        <v>45603</v>
      </c>
      <c r="K22" s="108">
        <v>28000</v>
      </c>
      <c r="L22" s="54" t="s">
        <v>235</v>
      </c>
      <c r="M22" s="54" t="s">
        <v>80</v>
      </c>
      <c r="N22" s="54" t="s">
        <v>159</v>
      </c>
      <c r="O22" s="43" t="s">
        <v>32</v>
      </c>
      <c r="P22" s="55">
        <v>37325</v>
      </c>
      <c r="Q22" s="54" t="s">
        <v>89</v>
      </c>
      <c r="R22" s="57" t="s">
        <v>189</v>
      </c>
      <c r="S22" s="57">
        <v>3115477353</v>
      </c>
      <c r="T22" s="54" t="s">
        <v>164</v>
      </c>
      <c r="U22" s="47" t="str">
        <f>IF(O22=CURSOS!$D$3,"DIPLOMADO EN ATENCION PRE-HOSPITALARIA",IF(O22=CURSOS!$D$4,"ACOMPAÑAMIENTO Y MANEJO DEL DUELO",IF(O22=CURSOS!$D$5,"ATENCION A VICTIMAS DE ATAQUE CON AGENTES QUIMICOS ",IF(O22=CURSOS!$D$6,"PRIMEROS AUXILIOS ",IF(O22=CURSOS!$D$7,"DIPLOMADO DE UNIDAD DE CUIDADOS INTENSIVOS (UCI)",IF(O22=CURSOS!$D$8,"MODELO DE ATENCION PARA EVENTOS EMERGENTES EN SALUD MENTAL (CODIGO VERDE)",IF(O22=CURSOS!$D$9,"HUMANIZACION EN EL SERVICIO DE LA SALUD Y BUENAS PRACTICAS EN PACIENTE ",IF(O22=CURSOS!$D$10,"CLINICA DE HERIDAS ",IF(O22=CURSOS!$D$11,"TOMA DE CITOLOGIA CERVICO VAGINAL ",IF(O22=CURSOS!$D$12,"SOPORTE CARDIOVASCULAR AVANZADO (ACLS) ",IF(O22=CURSOS!$D$13,"CAMILLERO ",IF(O22=CURSOS!$D$14,"TOMA DE MUESTRAS Y LABORATORIO ",IF(O22=CURSOS!$D$15,"SOPORTE VITAL BASICO (BLS)",IF(O22=CURSOS!$D$16,"ATENCION A VICTIMAS DE VIOLENCIA SEXUAL ",IF(O22=CURSOS!$D$17,"PROGRAMADO AMPLIADO DE INMUNIZACION (PAI - COVID 19)",IF(O22=CURSOS!$D$18,"ATENCION INTEGRAL EN ENFERMEDADES PREVALENTES EN PRIMERA INFANCIA (AIEPI)",IF(O22=CURSOS!$D$19,"ADMINISTRACION DE MEDICAMENTOS, INYECTOLOGIA  Y CANALIZACION ",IF(O22=CURSOS!$D$20,"OPERADOR DE VEHICULOS DE EMERGENCIA (OVE)",IF(O22=CURSOS!$D$21,"INSTITUCIONES AMIGAS DE LA MUJER Y LA INFANCIA (IAMI)",IF(O22=CURSOS!$D$22,"CUIDADO DEL DONANTE DE ORGANOS",IF(O22=CURSOS!$D$23,"ATENCION A VICTIMAS POR VIOLENCIA DE GENERO",IF(O22=CURSOS!$D$24,"IGUALDAD DE GENERO EN LA SALUD",IF(O22=CURSOS!$D$25,"BRIGADA DE EMERGENCIA",IF(O22=CURSOS!$D$26,"MANEJO DEL DOLOR Y CUIDADOS PALIATIVOS",IF(O22=CURSOS!$D$27,"TOMA DE MUESTRAS Y LABORATORIO POCT",IF(O22=CURSOS!$D$28,"IMPLANTE SUBDERMICO DE DISPOSITIVO INTRAUTERINO",IF(O22=CURSOS!$D$29,"SALUD MENTAL",IF(O22=CURSOS!$D$30,"PRIMEROS AUXILIOS PSICOLOGICOS",IF(O22=CURSOS!$D$31,"ATENCION A VICTIMAS POR CONFLICTO ARMADO",IF(O22=CURSOS!$D$32,"MANIPULACION DE ALIMENTOS Y BPM",IF(O22=CURSOS!$D$33,"ATENCION A PERSONAS CON DISCAPACIDAD",IF(O22=CURSOS!$D$34,"CUIDADO INTEGRAL DEL PACIENTE ADULTO",IF(O22=CURSOS!$D$35,"MANEJO DEFENSIVO",IF(O22=CURSOS!$D$36,"SOPORTE CARDIOVASCULAR AVANZADO NEONATAL",IF(O22=CURSOS!$D$37,"SEGURIDAD DEL PACIENTE",IF(O22=CURSOS!$D$38,"MANEJO DE RESIDUOS HOSPITALARIOS"))))))))))))))))))))))))))))))))))))</f>
        <v xml:space="preserve">HUMANIZACION EN EL SERVICIO DE LA SALUD Y BUENAS PRACTICAS EN PACIENTE </v>
      </c>
      <c r="V22" s="47" t="str">
        <f t="shared" si="0"/>
        <v>Shakira Dayana Portillo Villota</v>
      </c>
      <c r="W22" s="47" t="str">
        <f t="shared" si="1"/>
        <v>Shakira Dayana Portillo Villota</v>
      </c>
      <c r="X22" s="47" t="str">
        <f t="shared" si="2"/>
        <v>Shakira Dayana Portillo Villota-1006789113-HUMANIZACION</v>
      </c>
    </row>
    <row r="23" spans="1:24" x14ac:dyDescent="0.2">
      <c r="A23" s="46">
        <v>22</v>
      </c>
      <c r="B23" s="43">
        <v>1004694958</v>
      </c>
      <c r="C23" s="54" t="s">
        <v>165</v>
      </c>
      <c r="D23" s="54" t="s">
        <v>166</v>
      </c>
      <c r="E23" s="54" t="s">
        <v>167</v>
      </c>
      <c r="F23" s="54" t="s">
        <v>168</v>
      </c>
      <c r="G23" s="54">
        <v>5</v>
      </c>
      <c r="H23" s="54" t="s">
        <v>100</v>
      </c>
      <c r="I23" s="55" t="s">
        <v>146</v>
      </c>
      <c r="J23" s="56">
        <v>45603</v>
      </c>
      <c r="K23" s="108">
        <v>28000</v>
      </c>
      <c r="L23" s="54" t="s">
        <v>235</v>
      </c>
      <c r="M23" s="54" t="s">
        <v>80</v>
      </c>
      <c r="N23" s="54" t="s">
        <v>159</v>
      </c>
      <c r="O23" s="43" t="s">
        <v>42</v>
      </c>
      <c r="P23" s="55">
        <v>36813</v>
      </c>
      <c r="Q23" s="54" t="s">
        <v>148</v>
      </c>
      <c r="R23" s="57" t="s">
        <v>189</v>
      </c>
      <c r="S23" s="43">
        <v>3233710110</v>
      </c>
      <c r="T23" s="54" t="s">
        <v>169</v>
      </c>
      <c r="U23" s="47" t="str">
        <f>IF(O23=CURSOS!$D$3,"DIPLOMADO EN ATENCION PRE-HOSPITALARIA",IF(O23=CURSOS!$D$4,"ACOMPAÑAMIENTO Y MANEJO DEL DUELO",IF(O23=CURSOS!$D$5,"ATENCION A VICTIMAS DE ATAQUE CON AGENTES QUIMICOS ",IF(O23=CURSOS!$D$6,"PRIMEROS AUXILIOS ",IF(O23=CURSOS!$D$7,"DIPLOMADO DE UNIDAD DE CUIDADOS INTENSIVOS (UCI)",IF(O23=CURSOS!$D$8,"MODELO DE ATENCION PARA EVENTOS EMERGENTES EN SALUD MENTAL (CODIGO VERDE)",IF(O23=CURSOS!$D$9,"HUMANIZACION EN EL SERVICIO DE LA SALUD Y BUENAS PRACTICAS EN PACIENTE ",IF(O23=CURSOS!$D$10,"CLINICA DE HERIDAS ",IF(O23=CURSOS!$D$11,"TOMA DE CITOLOGIA CERVICO VAGINAL ",IF(O23=CURSOS!$D$12,"SOPORTE CARDIOVASCULAR AVANZADO (ACLS) ",IF(O23=CURSOS!$D$13,"CAMILLERO ",IF(O23=CURSOS!$D$14,"TOMA DE MUESTRAS Y LABORATORIO ",IF(O23=CURSOS!$D$15,"SOPORTE VITAL BASICO (BLS)",IF(O23=CURSOS!$D$16,"ATENCION A VICTIMAS DE VIOLENCIA SEXUAL ",IF(O23=CURSOS!$D$17,"PROGRAMADO AMPLIADO DE INMUNIZACION (PAI - COVID 19)",IF(O23=CURSOS!$D$18,"ATENCION INTEGRAL EN ENFERMEDADES PREVALENTES EN PRIMERA INFANCIA (AIEPI)",IF(O23=CURSOS!$D$19,"ADMINISTRACION DE MEDICAMENTOS, INYECTOLOGIA  Y CANALIZACION ",IF(O23=CURSOS!$D$20,"OPERADOR DE VEHICULOS DE EMERGENCIA (OVE)",IF(O23=CURSOS!$D$21,"INSTITUCIONES AMIGAS DE LA MUJER Y LA INFANCIA (IAMI)",IF(O23=CURSOS!$D$22,"CUIDADO DEL DONANTE DE ORGANOS",IF(O23=CURSOS!$D$23,"ATENCION A VICTIMAS POR VIOLENCIA DE GENERO",IF(O23=CURSOS!$D$24,"IGUALDAD DE GENERO EN LA SALUD",IF(O23=CURSOS!$D$25,"BRIGADA DE EMERGENCIA",IF(O23=CURSOS!$D$26,"MANEJO DEL DOLOR Y CUIDADOS PALIATIVOS",IF(O23=CURSOS!$D$27,"TOMA DE MUESTRAS Y LABORATORIO POCT",IF(O23=CURSOS!$D$28,"IMPLANTE SUBDERMICO DE DISPOSITIVO INTRAUTERINO",IF(O23=CURSOS!$D$29,"SALUD MENTAL",IF(O23=CURSOS!$D$30,"PRIMEROS AUXILIOS PSICOLOGICOS",IF(O23=CURSOS!$D$31,"ATENCION A VICTIMAS POR CONFLICTO ARMADO",IF(O23=CURSOS!$D$32,"MANIPULACION DE ALIMENTOS Y BPM",IF(O23=CURSOS!$D$33,"ATENCION A PERSONAS CON DISCAPACIDAD",IF(O23=CURSOS!$D$34,"CUIDADO INTEGRAL DEL PACIENTE ADULTO",IF(O23=CURSOS!$D$35,"MANEJO DEFENSIVO",IF(O23=CURSOS!$D$36,"SOPORTE CARDIOVASCULAR AVANZADO NEONATAL",IF(O23=CURSOS!$D$37,"SEGURIDAD DEL PACIENTE",IF(O23=CURSOS!$D$38,"MANEJO DE RESIDUOS HOSPITALARIOS"))))))))))))))))))))))))))))))))))))</f>
        <v xml:space="preserve">ATENCION A VICTIMAS DE VIOLENCIA SEXUAL </v>
      </c>
      <c r="V23" s="47" t="str">
        <f t="shared" si="0"/>
        <v>Kevin Vidal Ibañez López</v>
      </c>
      <c r="W23" s="47" t="str">
        <f t="shared" si="1"/>
        <v>Kevin Vidal Ibañez López</v>
      </c>
      <c r="X23" s="47" t="str">
        <f t="shared" si="2"/>
        <v>Kevin Vidal Ibañez López-1004694958-VIOLENCIA SEXUAL</v>
      </c>
    </row>
    <row r="24" spans="1:24" x14ac:dyDescent="0.2">
      <c r="A24" s="46">
        <v>23</v>
      </c>
      <c r="B24" s="43">
        <v>1004694958</v>
      </c>
      <c r="C24" s="54" t="s">
        <v>165</v>
      </c>
      <c r="D24" s="54" t="s">
        <v>166</v>
      </c>
      <c r="E24" s="54" t="s">
        <v>167</v>
      </c>
      <c r="F24" s="54" t="s">
        <v>168</v>
      </c>
      <c r="G24" s="54">
        <v>2</v>
      </c>
      <c r="H24" s="54" t="s">
        <v>100</v>
      </c>
      <c r="I24" s="55" t="s">
        <v>146</v>
      </c>
      <c r="J24" s="56">
        <v>45603</v>
      </c>
      <c r="K24" s="108">
        <v>28000</v>
      </c>
      <c r="L24" s="54" t="s">
        <v>235</v>
      </c>
      <c r="M24" s="54" t="s">
        <v>80</v>
      </c>
      <c r="N24" s="54" t="s">
        <v>159</v>
      </c>
      <c r="O24" s="43" t="s">
        <v>25</v>
      </c>
      <c r="P24" s="55">
        <v>36813</v>
      </c>
      <c r="Q24" s="54" t="s">
        <v>148</v>
      </c>
      <c r="R24" s="57" t="s">
        <v>189</v>
      </c>
      <c r="S24" s="43">
        <v>3233710110</v>
      </c>
      <c r="T24" s="54" t="s">
        <v>169</v>
      </c>
      <c r="U24" s="47" t="str">
        <f>IF(O24=CURSOS!$D$3,"DIPLOMADO EN ATENCION PRE-HOSPITALARIA",IF(O24=CURSOS!$D$4,"ACOMPAÑAMIENTO Y MANEJO DEL DUELO",IF(O24=CURSOS!$D$5,"ATENCION A VICTIMAS DE ATAQUE CON AGENTES QUIMICOS ",IF(O24=CURSOS!$D$6,"PRIMEROS AUXILIOS ",IF(O24=CURSOS!$D$7,"DIPLOMADO DE UNIDAD DE CUIDADOS INTENSIVOS (UCI)",IF(O24=CURSOS!$D$8,"MODELO DE ATENCION PARA EVENTOS EMERGENTES EN SALUD MENTAL (CODIGO VERDE)",IF(O24=CURSOS!$D$9,"HUMANIZACION EN EL SERVICIO DE LA SALUD Y BUENAS PRACTICAS EN PACIENTE ",IF(O24=CURSOS!$D$10,"CLINICA DE HERIDAS ",IF(O24=CURSOS!$D$11,"TOMA DE CITOLOGIA CERVICO VAGINAL ",IF(O24=CURSOS!$D$12,"SOPORTE CARDIOVASCULAR AVANZADO (ACLS) ",IF(O24=CURSOS!$D$13,"CAMILLERO ",IF(O24=CURSOS!$D$14,"TOMA DE MUESTRAS Y LABORATORIO ",IF(O24=CURSOS!$D$15,"SOPORTE VITAL BASICO (BLS)",IF(O24=CURSOS!$D$16,"ATENCION A VICTIMAS DE VIOLENCIA SEXUAL ",IF(O24=CURSOS!$D$17,"PROGRAMADO AMPLIADO DE INMUNIZACION (PAI - COVID 19)",IF(O24=CURSOS!$D$18,"ATENCION INTEGRAL EN ENFERMEDADES PREVALENTES EN PRIMERA INFANCIA (AIEPI)",IF(O24=CURSOS!$D$19,"ADMINISTRACION DE MEDICAMENTOS, INYECTOLOGIA  Y CANALIZACION ",IF(O24=CURSOS!$D$20,"OPERADOR DE VEHICULOS DE EMERGENCIA (OVE)",IF(O24=CURSOS!$D$21,"INSTITUCIONES AMIGAS DE LA MUJER Y LA INFANCIA (IAMI)",IF(O24=CURSOS!$D$22,"CUIDADO DEL DONANTE DE ORGANOS",IF(O24=CURSOS!$D$23,"ATENCION A VICTIMAS POR VIOLENCIA DE GENERO",IF(O24=CURSOS!$D$24,"IGUALDAD DE GENERO EN LA SALUD",IF(O24=CURSOS!$D$25,"BRIGADA DE EMERGENCIA",IF(O24=CURSOS!$D$26,"MANEJO DEL DOLOR Y CUIDADOS PALIATIVOS",IF(O24=CURSOS!$D$27,"TOMA DE MUESTRAS Y LABORATORIO POCT",IF(O24=CURSOS!$D$28,"IMPLANTE SUBDERMICO DE DISPOSITIVO INTRAUTERINO",IF(O24=CURSOS!$D$29,"SALUD MENTAL",IF(O24=CURSOS!$D$30,"PRIMEROS AUXILIOS PSICOLOGICOS",IF(O24=CURSOS!$D$31,"ATENCION A VICTIMAS POR CONFLICTO ARMADO",IF(O24=CURSOS!$D$32,"MANIPULACION DE ALIMENTOS Y BPM",IF(O24=CURSOS!$D$33,"ATENCION A PERSONAS CON DISCAPACIDAD",IF(O24=CURSOS!$D$34,"CUIDADO INTEGRAL DEL PACIENTE ADULTO",IF(O24=CURSOS!$D$35,"MANEJO DEFENSIVO",IF(O24=CURSOS!$D$36,"SOPORTE CARDIOVASCULAR AVANZADO NEONATAL",IF(O24=CURSOS!$D$37,"SEGURIDAD DEL PACIENTE",IF(O24=CURSOS!$D$38,"MANEJO DE RESIDUOS HOSPITALARIOS"))))))))))))))))))))))))))))))))))))</f>
        <v xml:space="preserve">ATENCION A VICTIMAS DE ATAQUE CON AGENTES QUIMICOS </v>
      </c>
      <c r="V24" s="47" t="str">
        <f t="shared" si="0"/>
        <v>Kevin Vidal Ibañez López</v>
      </c>
      <c r="W24" s="47" t="str">
        <f t="shared" si="1"/>
        <v>Kevin Vidal Ibañez López</v>
      </c>
      <c r="X24" s="47" t="str">
        <f t="shared" si="2"/>
        <v>Kevin Vidal Ibañez López-1004694958-QUIMICOS</v>
      </c>
    </row>
    <row r="25" spans="1:24" x14ac:dyDescent="0.2">
      <c r="A25" s="46">
        <v>24</v>
      </c>
      <c r="B25" s="43">
        <v>1004694958</v>
      </c>
      <c r="C25" s="54" t="s">
        <v>165</v>
      </c>
      <c r="D25" s="54" t="s">
        <v>166</v>
      </c>
      <c r="E25" s="54" t="s">
        <v>167</v>
      </c>
      <c r="F25" s="54" t="s">
        <v>168</v>
      </c>
      <c r="G25" s="54">
        <v>2</v>
      </c>
      <c r="H25" s="54" t="s">
        <v>100</v>
      </c>
      <c r="I25" s="55" t="s">
        <v>146</v>
      </c>
      <c r="J25" s="56">
        <v>45603</v>
      </c>
      <c r="K25" s="108">
        <v>28000</v>
      </c>
      <c r="L25" s="54" t="s">
        <v>235</v>
      </c>
      <c r="M25" s="54" t="s">
        <v>80</v>
      </c>
      <c r="N25" s="54" t="s">
        <v>159</v>
      </c>
      <c r="O25" s="43" t="s">
        <v>32</v>
      </c>
      <c r="P25" s="55">
        <v>36813</v>
      </c>
      <c r="Q25" s="54" t="s">
        <v>148</v>
      </c>
      <c r="R25" s="57" t="s">
        <v>189</v>
      </c>
      <c r="S25" s="43">
        <v>3233710110</v>
      </c>
      <c r="T25" s="54" t="s">
        <v>169</v>
      </c>
      <c r="U25" s="47" t="str">
        <f>IF(O25=CURSOS!$D$3,"DIPLOMADO EN ATENCION PRE-HOSPITALARIA",IF(O25=CURSOS!$D$4,"ACOMPAÑAMIENTO Y MANEJO DEL DUELO",IF(O25=CURSOS!$D$5,"ATENCION A VICTIMAS DE ATAQUE CON AGENTES QUIMICOS ",IF(O25=CURSOS!$D$6,"PRIMEROS AUXILIOS ",IF(O25=CURSOS!$D$7,"DIPLOMADO DE UNIDAD DE CUIDADOS INTENSIVOS (UCI)",IF(O25=CURSOS!$D$8,"MODELO DE ATENCION PARA EVENTOS EMERGENTES EN SALUD MENTAL (CODIGO VERDE)",IF(O25=CURSOS!$D$9,"HUMANIZACION EN EL SERVICIO DE LA SALUD Y BUENAS PRACTICAS EN PACIENTE ",IF(O25=CURSOS!$D$10,"CLINICA DE HERIDAS ",IF(O25=CURSOS!$D$11,"TOMA DE CITOLOGIA CERVICO VAGINAL ",IF(O25=CURSOS!$D$12,"SOPORTE CARDIOVASCULAR AVANZADO (ACLS) ",IF(O25=CURSOS!$D$13,"CAMILLERO ",IF(O25=CURSOS!$D$14,"TOMA DE MUESTRAS Y LABORATORIO ",IF(O25=CURSOS!$D$15,"SOPORTE VITAL BASICO (BLS)",IF(O25=CURSOS!$D$16,"ATENCION A VICTIMAS DE VIOLENCIA SEXUAL ",IF(O25=CURSOS!$D$17,"PROGRAMADO AMPLIADO DE INMUNIZACION (PAI - COVID 19)",IF(O25=CURSOS!$D$18,"ATENCION INTEGRAL EN ENFERMEDADES PREVALENTES EN PRIMERA INFANCIA (AIEPI)",IF(O25=CURSOS!$D$19,"ADMINISTRACION DE MEDICAMENTOS, INYECTOLOGIA  Y CANALIZACION ",IF(O25=CURSOS!$D$20,"OPERADOR DE VEHICULOS DE EMERGENCIA (OVE)",IF(O25=CURSOS!$D$21,"INSTITUCIONES AMIGAS DE LA MUJER Y LA INFANCIA (IAMI)",IF(O25=CURSOS!$D$22,"CUIDADO DEL DONANTE DE ORGANOS",IF(O25=CURSOS!$D$23,"ATENCION A VICTIMAS POR VIOLENCIA DE GENERO",IF(O25=CURSOS!$D$24,"IGUALDAD DE GENERO EN LA SALUD",IF(O25=CURSOS!$D$25,"BRIGADA DE EMERGENCIA",IF(O25=CURSOS!$D$26,"MANEJO DEL DOLOR Y CUIDADOS PALIATIVOS",IF(O25=CURSOS!$D$27,"TOMA DE MUESTRAS Y LABORATORIO POCT",IF(O25=CURSOS!$D$28,"IMPLANTE SUBDERMICO DE DISPOSITIVO INTRAUTERINO",IF(O25=CURSOS!$D$29,"SALUD MENTAL",IF(O25=CURSOS!$D$30,"PRIMEROS AUXILIOS PSICOLOGICOS",IF(O25=CURSOS!$D$31,"ATENCION A VICTIMAS POR CONFLICTO ARMADO",IF(O25=CURSOS!$D$32,"MANIPULACION DE ALIMENTOS Y BPM",IF(O25=CURSOS!$D$33,"ATENCION A PERSONAS CON DISCAPACIDAD",IF(O25=CURSOS!$D$34,"CUIDADO INTEGRAL DEL PACIENTE ADULTO",IF(O25=CURSOS!$D$35,"MANEJO DEFENSIVO",IF(O25=CURSOS!$D$36,"SOPORTE CARDIOVASCULAR AVANZADO NEONATAL",IF(O25=CURSOS!$D$37,"SEGURIDAD DEL PACIENTE",IF(O25=CURSOS!$D$38,"MANEJO DE RESIDUOS HOSPITALARIOS"))))))))))))))))))))))))))))))))))))</f>
        <v xml:space="preserve">HUMANIZACION EN EL SERVICIO DE LA SALUD Y BUENAS PRACTICAS EN PACIENTE </v>
      </c>
      <c r="V25" s="47" t="str">
        <f t="shared" si="0"/>
        <v>Kevin Vidal Ibañez López</v>
      </c>
      <c r="W25" s="47" t="str">
        <f t="shared" si="1"/>
        <v>Kevin Vidal Ibañez López</v>
      </c>
      <c r="X25" s="47" t="str">
        <f t="shared" si="2"/>
        <v>Kevin Vidal Ibañez López-1004694958-HUMANIZACION</v>
      </c>
    </row>
    <row r="26" spans="1:24" x14ac:dyDescent="0.2">
      <c r="A26" s="46">
        <v>25</v>
      </c>
      <c r="B26" s="43">
        <v>1193405960</v>
      </c>
      <c r="C26" s="54" t="s">
        <v>170</v>
      </c>
      <c r="D26" s="54" t="s">
        <v>171</v>
      </c>
      <c r="E26" s="54" t="s">
        <v>172</v>
      </c>
      <c r="F26" s="54" t="s">
        <v>173</v>
      </c>
      <c r="G26" s="54">
        <v>1</v>
      </c>
      <c r="H26" s="54" t="s">
        <v>100</v>
      </c>
      <c r="I26" s="55" t="s">
        <v>146</v>
      </c>
      <c r="J26" s="56">
        <v>45597</v>
      </c>
      <c r="K26" s="108">
        <v>35000</v>
      </c>
      <c r="L26" s="54" t="s">
        <v>139</v>
      </c>
      <c r="M26" s="54" t="s">
        <v>80</v>
      </c>
      <c r="N26" s="54" t="s">
        <v>140</v>
      </c>
      <c r="O26" s="43" t="s">
        <v>26</v>
      </c>
      <c r="P26" s="56"/>
      <c r="Q26" s="54" t="s">
        <v>89</v>
      </c>
      <c r="R26" s="54" t="s">
        <v>180</v>
      </c>
      <c r="S26" s="54"/>
      <c r="T26" s="54"/>
      <c r="U26" s="47" t="str">
        <f>IF(O26=CURSOS!$D$3,"DIPLOMADO EN ATENCION PRE-HOSPITALARIA",IF(O26=CURSOS!$D$4,"ACOMPAÑAMIENTO Y MANEJO DEL DUELO",IF(O26=CURSOS!$D$5,"ATENCION A VICTIMAS DE ATAQUE CON AGENTES QUIMICOS ",IF(O26=CURSOS!$D$6,"PRIMEROS AUXILIOS ",IF(O26=CURSOS!$D$7,"DIPLOMADO DE UNIDAD DE CUIDADOS INTENSIVOS (UCI)",IF(O26=CURSOS!$D$8,"MODELO DE ATENCION PARA EVENTOS EMERGENTES EN SALUD MENTAL (CODIGO VERDE)",IF(O26=CURSOS!$D$9,"HUMANIZACION EN EL SERVICIO DE LA SALUD Y BUENAS PRACTICAS EN PACIENTE ",IF(O26=CURSOS!$D$10,"CLINICA DE HERIDAS ",IF(O26=CURSOS!$D$11,"TOMA DE CITOLOGIA CERVICO VAGINAL ",IF(O26=CURSOS!$D$12,"SOPORTE CARDIOVASCULAR AVANZADO (ACLS) ",IF(O26=CURSOS!$D$13,"CAMILLERO ",IF(O26=CURSOS!$D$14,"TOMA DE MUESTRAS Y LABORATORIO ",IF(O26=CURSOS!$D$15,"SOPORTE VITAL BASICO (BLS)",IF(O26=CURSOS!$D$16,"ATENCION A VICTIMAS DE VIOLENCIA SEXUAL ",IF(O26=CURSOS!$D$17,"PROGRAMADO AMPLIADO DE INMUNIZACION (PAI - COVID 19)",IF(O26=CURSOS!$D$18,"ATENCION INTEGRAL EN ENFERMEDADES PREVALENTES EN PRIMERA INFANCIA (AIEPI)",IF(O26=CURSOS!$D$19,"ADMINISTRACION DE MEDICAMENTOS, INYECTOLOGIA  Y CANALIZACION ",IF(O26=CURSOS!$D$20,"OPERADOR DE VEHICULOS DE EMERGENCIA (OVE)",IF(O26=CURSOS!$D$21,"INSTITUCIONES AMIGAS DE LA MUJER Y LA INFANCIA (IAMI)",IF(O26=CURSOS!$D$22,"CUIDADO DEL DONANTE DE ORGANOS",IF(O26=CURSOS!$D$23,"ATENCION A VICTIMAS POR VIOLENCIA DE GENERO",IF(O26=CURSOS!$D$24,"IGUALDAD DE GENERO EN LA SALUD",IF(O26=CURSOS!$D$25,"BRIGADA DE EMERGENCIA",IF(O26=CURSOS!$D$26,"MANEJO DEL DOLOR Y CUIDADOS PALIATIVOS",IF(O26=CURSOS!$D$27,"TOMA DE MUESTRAS Y LABORATORIO POCT",IF(O26=CURSOS!$D$28,"IMPLANTE SUBDERMICO DE DISPOSITIVO INTRAUTERINO",IF(O26=CURSOS!$D$29,"SALUD MENTAL",IF(O26=CURSOS!$D$30,"PRIMEROS AUXILIOS PSICOLOGICOS",IF(O26=CURSOS!$D$31,"ATENCION A VICTIMAS POR CONFLICTO ARMADO",IF(O26=CURSOS!$D$32,"MANIPULACION DE ALIMENTOS Y BPM",IF(O26=CURSOS!$D$33,"ATENCION A PERSONAS CON DISCAPACIDAD",IF(O26=CURSOS!$D$34,"CUIDADO INTEGRAL DEL PACIENTE ADULTO",IF(O26=CURSOS!$D$35,"MANEJO DEFENSIVO",IF(O26=CURSOS!$D$36,"SOPORTE CARDIOVASCULAR AVANZADO NEONATAL",IF(O26=CURSOS!$D$37,"SEGURIDAD DEL PACIENTE",IF(O26=CURSOS!$D$38,"MANEJO DE RESIDUOS HOSPITALARIOS"))))))))))))))))))))))))))))))))))))</f>
        <v xml:space="preserve">PRIMEROS AUXILIOS </v>
      </c>
      <c r="V26" s="47" t="str">
        <f t="shared" si="0"/>
        <v>Angie Ximena Cadena Burbano</v>
      </c>
      <c r="W26" s="47" t="str">
        <f t="shared" si="1"/>
        <v>Angie Ximena Cadena Burbano</v>
      </c>
      <c r="X26" s="47" t="str">
        <f t="shared" si="2"/>
        <v>Angie Ximena Cadena Burbano-1193405960-PRIMEROS AUXILIOS</v>
      </c>
    </row>
    <row r="27" spans="1:24" x14ac:dyDescent="0.2">
      <c r="A27" s="46">
        <v>26</v>
      </c>
      <c r="B27" s="43">
        <v>1089459756</v>
      </c>
      <c r="C27" s="54" t="s">
        <v>174</v>
      </c>
      <c r="D27" s="54" t="s">
        <v>133</v>
      </c>
      <c r="E27" s="54" t="s">
        <v>121</v>
      </c>
      <c r="F27" s="54" t="s">
        <v>175</v>
      </c>
      <c r="G27" s="54">
        <v>1</v>
      </c>
      <c r="H27" s="54" t="s">
        <v>100</v>
      </c>
      <c r="I27" s="55" t="s">
        <v>146</v>
      </c>
      <c r="J27" s="56">
        <v>45597</v>
      </c>
      <c r="K27" s="108">
        <v>35000</v>
      </c>
      <c r="L27" s="54" t="s">
        <v>139</v>
      </c>
      <c r="M27" s="54" t="s">
        <v>80</v>
      </c>
      <c r="N27" s="54" t="s">
        <v>140</v>
      </c>
      <c r="O27" s="43" t="s">
        <v>26</v>
      </c>
      <c r="P27" s="55"/>
      <c r="Q27" s="54" t="s">
        <v>89</v>
      </c>
      <c r="R27" s="54" t="s">
        <v>189</v>
      </c>
      <c r="S27" s="57"/>
      <c r="T27" s="54"/>
      <c r="U27" s="47" t="str">
        <f>IF(O27=CURSOS!$D$3,"DIPLOMADO EN ATENCION PRE-HOSPITALARIA",IF(O27=CURSOS!$D$4,"ACOMPAÑAMIENTO Y MANEJO DEL DUELO",IF(O27=CURSOS!$D$5,"ATENCION A VICTIMAS DE ATAQUE CON AGENTES QUIMICOS ",IF(O27=CURSOS!$D$6,"PRIMEROS AUXILIOS ",IF(O27=CURSOS!$D$7,"DIPLOMADO DE UNIDAD DE CUIDADOS INTENSIVOS (UCI)",IF(O27=CURSOS!$D$8,"MODELO DE ATENCION PARA EVENTOS EMERGENTES EN SALUD MENTAL (CODIGO VERDE)",IF(O27=CURSOS!$D$9,"HUMANIZACION EN EL SERVICIO DE LA SALUD Y BUENAS PRACTICAS EN PACIENTE ",IF(O27=CURSOS!$D$10,"CLINICA DE HERIDAS ",IF(O27=CURSOS!$D$11,"TOMA DE CITOLOGIA CERVICO VAGINAL ",IF(O27=CURSOS!$D$12,"SOPORTE CARDIOVASCULAR AVANZADO (ACLS) ",IF(O27=CURSOS!$D$13,"CAMILLERO ",IF(O27=CURSOS!$D$14,"TOMA DE MUESTRAS Y LABORATORIO ",IF(O27=CURSOS!$D$15,"SOPORTE VITAL BASICO (BLS)",IF(O27=CURSOS!$D$16,"ATENCION A VICTIMAS DE VIOLENCIA SEXUAL ",IF(O27=CURSOS!$D$17,"PROGRAMADO AMPLIADO DE INMUNIZACION (PAI - COVID 19)",IF(O27=CURSOS!$D$18,"ATENCION INTEGRAL EN ENFERMEDADES PREVALENTES EN PRIMERA INFANCIA (AIEPI)",IF(O27=CURSOS!$D$19,"ADMINISTRACION DE MEDICAMENTOS, INYECTOLOGIA  Y CANALIZACION ",IF(O27=CURSOS!$D$20,"OPERADOR DE VEHICULOS DE EMERGENCIA (OVE)",IF(O27=CURSOS!$D$21,"INSTITUCIONES AMIGAS DE LA MUJER Y LA INFANCIA (IAMI)",IF(O27=CURSOS!$D$22,"CUIDADO DEL DONANTE DE ORGANOS",IF(O27=CURSOS!$D$23,"ATENCION A VICTIMAS POR VIOLENCIA DE GENERO",IF(O27=CURSOS!$D$24,"IGUALDAD DE GENERO EN LA SALUD",IF(O27=CURSOS!$D$25,"BRIGADA DE EMERGENCIA",IF(O27=CURSOS!$D$26,"MANEJO DEL DOLOR Y CUIDADOS PALIATIVOS",IF(O27=CURSOS!$D$27,"TOMA DE MUESTRAS Y LABORATORIO POCT",IF(O27=CURSOS!$D$28,"IMPLANTE SUBDERMICO DE DISPOSITIVO INTRAUTERINO",IF(O27=CURSOS!$D$29,"SALUD MENTAL",IF(O27=CURSOS!$D$30,"PRIMEROS AUXILIOS PSICOLOGICOS",IF(O27=CURSOS!$D$31,"ATENCION A VICTIMAS POR CONFLICTO ARMADO",IF(O27=CURSOS!$D$32,"MANIPULACION DE ALIMENTOS Y BPM",IF(O27=CURSOS!$D$33,"ATENCION A PERSONAS CON DISCAPACIDAD",IF(O27=CURSOS!$D$34,"CUIDADO INTEGRAL DEL PACIENTE ADULTO",IF(O27=CURSOS!$D$35,"MANEJO DEFENSIVO",IF(O27=CURSOS!$D$36,"SOPORTE CARDIOVASCULAR AVANZADO NEONATAL",IF(O27=CURSOS!$D$37,"SEGURIDAD DEL PACIENTE",IF(O27=CURSOS!$D$38,"MANEJO DE RESIDUOS HOSPITALARIOS"))))))))))))))))))))))))))))))))))))</f>
        <v xml:space="preserve">PRIMEROS AUXILIOS </v>
      </c>
      <c r="V27" s="47" t="str">
        <f t="shared" si="0"/>
        <v>Paola Jazmin Ramos Jaramillo</v>
      </c>
      <c r="W27" s="47" t="str">
        <f t="shared" si="1"/>
        <v>Paola Jazmin Ramos Jaramillo</v>
      </c>
      <c r="X27" s="47" t="str">
        <f t="shared" si="2"/>
        <v>Paola Jazmin Ramos Jaramillo-1089459756-PRIMEROS AUXILIOS</v>
      </c>
    </row>
    <row r="28" spans="1:24" x14ac:dyDescent="0.2">
      <c r="A28" s="46">
        <v>27</v>
      </c>
      <c r="B28" s="43">
        <v>1004548184</v>
      </c>
      <c r="C28" s="54" t="s">
        <v>166</v>
      </c>
      <c r="D28" s="54" t="s">
        <v>176</v>
      </c>
      <c r="E28" s="54" t="s">
        <v>177</v>
      </c>
      <c r="F28" s="54" t="s">
        <v>178</v>
      </c>
      <c r="G28" s="54">
        <v>1</v>
      </c>
      <c r="H28" s="54" t="s">
        <v>100</v>
      </c>
      <c r="I28" s="55" t="s">
        <v>146</v>
      </c>
      <c r="J28" s="56">
        <v>45597</v>
      </c>
      <c r="K28" s="108">
        <v>35000</v>
      </c>
      <c r="L28" s="54" t="s">
        <v>139</v>
      </c>
      <c r="M28" s="54" t="s">
        <v>80</v>
      </c>
      <c r="N28" s="54" t="s">
        <v>140</v>
      </c>
      <c r="O28" s="43" t="s">
        <v>26</v>
      </c>
      <c r="P28" s="55"/>
      <c r="Q28" s="54" t="s">
        <v>89</v>
      </c>
      <c r="R28" s="54" t="s">
        <v>189</v>
      </c>
      <c r="S28" s="57"/>
      <c r="T28" s="54"/>
      <c r="U28" s="47" t="str">
        <f>IF(O28=CURSOS!$D$3,"DIPLOMADO EN ATENCION PRE-HOSPITALARIA",IF(O28=CURSOS!$D$4,"ACOMPAÑAMIENTO Y MANEJO DEL DUELO",IF(O28=CURSOS!$D$5,"ATENCION A VICTIMAS DE ATAQUE CON AGENTES QUIMICOS ",IF(O28=CURSOS!$D$6,"PRIMEROS AUXILIOS ",IF(O28=CURSOS!$D$7,"DIPLOMADO DE UNIDAD DE CUIDADOS INTENSIVOS (UCI)",IF(O28=CURSOS!$D$8,"MODELO DE ATENCION PARA EVENTOS EMERGENTES EN SALUD MENTAL (CODIGO VERDE)",IF(O28=CURSOS!$D$9,"HUMANIZACION EN EL SERVICIO DE LA SALUD Y BUENAS PRACTICAS EN PACIENTE ",IF(O28=CURSOS!$D$10,"CLINICA DE HERIDAS ",IF(O28=CURSOS!$D$11,"TOMA DE CITOLOGIA CERVICO VAGINAL ",IF(O28=CURSOS!$D$12,"SOPORTE CARDIOVASCULAR AVANZADO (ACLS) ",IF(O28=CURSOS!$D$13,"CAMILLERO ",IF(O28=CURSOS!$D$14,"TOMA DE MUESTRAS Y LABORATORIO ",IF(O28=CURSOS!$D$15,"SOPORTE VITAL BASICO (BLS)",IF(O28=CURSOS!$D$16,"ATENCION A VICTIMAS DE VIOLENCIA SEXUAL ",IF(O28=CURSOS!$D$17,"PROGRAMADO AMPLIADO DE INMUNIZACION (PAI - COVID 19)",IF(O28=CURSOS!$D$18,"ATENCION INTEGRAL EN ENFERMEDADES PREVALENTES EN PRIMERA INFANCIA (AIEPI)",IF(O28=CURSOS!$D$19,"ADMINISTRACION DE MEDICAMENTOS, INYECTOLOGIA  Y CANALIZACION ",IF(O28=CURSOS!$D$20,"OPERADOR DE VEHICULOS DE EMERGENCIA (OVE)",IF(O28=CURSOS!$D$21,"INSTITUCIONES AMIGAS DE LA MUJER Y LA INFANCIA (IAMI)",IF(O28=CURSOS!$D$22,"CUIDADO DEL DONANTE DE ORGANOS",IF(O28=CURSOS!$D$23,"ATENCION A VICTIMAS POR VIOLENCIA DE GENERO",IF(O28=CURSOS!$D$24,"IGUALDAD DE GENERO EN LA SALUD",IF(O28=CURSOS!$D$25,"BRIGADA DE EMERGENCIA",IF(O28=CURSOS!$D$26,"MANEJO DEL DOLOR Y CUIDADOS PALIATIVOS",IF(O28=CURSOS!$D$27,"TOMA DE MUESTRAS Y LABORATORIO POCT",IF(O28=CURSOS!$D$28,"IMPLANTE SUBDERMICO DE DISPOSITIVO INTRAUTERINO",IF(O28=CURSOS!$D$29,"SALUD MENTAL",IF(O28=CURSOS!$D$30,"PRIMEROS AUXILIOS PSICOLOGICOS",IF(O28=CURSOS!$D$31,"ATENCION A VICTIMAS POR CONFLICTO ARMADO",IF(O28=CURSOS!$D$32,"MANIPULACION DE ALIMENTOS Y BPM",IF(O28=CURSOS!$D$33,"ATENCION A PERSONAS CON DISCAPACIDAD",IF(O28=CURSOS!$D$34,"CUIDADO INTEGRAL DEL PACIENTE ADULTO",IF(O28=CURSOS!$D$35,"MANEJO DEFENSIVO",IF(O28=CURSOS!$D$36,"SOPORTE CARDIOVASCULAR AVANZADO NEONATAL",IF(O28=CURSOS!$D$37,"SEGURIDAD DEL PACIENTE",IF(O28=CURSOS!$D$38,"MANEJO DE RESIDUOS HOSPITALARIOS"))))))))))))))))))))))))))))))))))))</f>
        <v xml:space="preserve">PRIMEROS AUXILIOS </v>
      </c>
      <c r="V28" s="47" t="str">
        <f t="shared" si="0"/>
        <v>Liseth Estefanía López Villareal</v>
      </c>
      <c r="W28" s="47" t="str">
        <f t="shared" si="1"/>
        <v>Liseth Estefanía López Villareal</v>
      </c>
      <c r="X28" s="47" t="str">
        <f t="shared" si="2"/>
        <v>Liseth Estefanía López Villareal-1004548184-PRIMEROS AUXILIOS</v>
      </c>
    </row>
    <row r="29" spans="1:24" x14ac:dyDescent="0.2">
      <c r="A29" s="46">
        <v>28</v>
      </c>
      <c r="B29" s="43">
        <v>1089459350</v>
      </c>
      <c r="C29" s="54" t="s">
        <v>94</v>
      </c>
      <c r="D29" s="54" t="s">
        <v>171</v>
      </c>
      <c r="E29" s="54" t="s">
        <v>121</v>
      </c>
      <c r="F29" s="54" t="s">
        <v>179</v>
      </c>
      <c r="G29" s="54">
        <v>1</v>
      </c>
      <c r="H29" s="54" t="s">
        <v>100</v>
      </c>
      <c r="I29" s="55" t="s">
        <v>146</v>
      </c>
      <c r="J29" s="56">
        <v>45597</v>
      </c>
      <c r="K29" s="108">
        <v>35000</v>
      </c>
      <c r="L29" s="54" t="s">
        <v>139</v>
      </c>
      <c r="M29" s="54" t="s">
        <v>80</v>
      </c>
      <c r="N29" s="54" t="s">
        <v>140</v>
      </c>
      <c r="O29" s="43" t="s">
        <v>26</v>
      </c>
      <c r="P29" s="55"/>
      <c r="Q29" s="54" t="s">
        <v>89</v>
      </c>
      <c r="R29" s="54" t="s">
        <v>189</v>
      </c>
      <c r="S29" s="57"/>
      <c r="T29" s="54"/>
      <c r="U29" s="47" t="str">
        <f>IF(O29=CURSOS!$D$3,"DIPLOMADO EN ATENCION PRE-HOSPITALARIA",IF(O29=CURSOS!$D$4,"ACOMPAÑAMIENTO Y MANEJO DEL DUELO",IF(O29=CURSOS!$D$5,"ATENCION A VICTIMAS DE ATAQUE CON AGENTES QUIMICOS ",IF(O29=CURSOS!$D$6,"PRIMEROS AUXILIOS ",IF(O29=CURSOS!$D$7,"DIPLOMADO DE UNIDAD DE CUIDADOS INTENSIVOS (UCI)",IF(O29=CURSOS!$D$8,"MODELO DE ATENCION PARA EVENTOS EMERGENTES EN SALUD MENTAL (CODIGO VERDE)",IF(O29=CURSOS!$D$9,"HUMANIZACION EN EL SERVICIO DE LA SALUD Y BUENAS PRACTICAS EN PACIENTE ",IF(O29=CURSOS!$D$10,"CLINICA DE HERIDAS ",IF(O29=CURSOS!$D$11,"TOMA DE CITOLOGIA CERVICO VAGINAL ",IF(O29=CURSOS!$D$12,"SOPORTE CARDIOVASCULAR AVANZADO (ACLS) ",IF(O29=CURSOS!$D$13,"CAMILLERO ",IF(O29=CURSOS!$D$14,"TOMA DE MUESTRAS Y LABORATORIO ",IF(O29=CURSOS!$D$15,"SOPORTE VITAL BASICO (BLS)",IF(O29=CURSOS!$D$16,"ATENCION A VICTIMAS DE VIOLENCIA SEXUAL ",IF(O29=CURSOS!$D$17,"PROGRAMADO AMPLIADO DE INMUNIZACION (PAI - COVID 19)",IF(O29=CURSOS!$D$18,"ATENCION INTEGRAL EN ENFERMEDADES PREVALENTES EN PRIMERA INFANCIA (AIEPI)",IF(O29=CURSOS!$D$19,"ADMINISTRACION DE MEDICAMENTOS, INYECTOLOGIA  Y CANALIZACION ",IF(O29=CURSOS!$D$20,"OPERADOR DE VEHICULOS DE EMERGENCIA (OVE)",IF(O29=CURSOS!$D$21,"INSTITUCIONES AMIGAS DE LA MUJER Y LA INFANCIA (IAMI)",IF(O29=CURSOS!$D$22,"CUIDADO DEL DONANTE DE ORGANOS",IF(O29=CURSOS!$D$23,"ATENCION A VICTIMAS POR VIOLENCIA DE GENERO",IF(O29=CURSOS!$D$24,"IGUALDAD DE GENERO EN LA SALUD",IF(O29=CURSOS!$D$25,"BRIGADA DE EMERGENCIA",IF(O29=CURSOS!$D$26,"MANEJO DEL DOLOR Y CUIDADOS PALIATIVOS",IF(O29=CURSOS!$D$27,"TOMA DE MUESTRAS Y LABORATORIO POCT",IF(O29=CURSOS!$D$28,"IMPLANTE SUBDERMICO DE DISPOSITIVO INTRAUTERINO",IF(O29=CURSOS!$D$29,"SALUD MENTAL",IF(O29=CURSOS!$D$30,"PRIMEROS AUXILIOS PSICOLOGICOS",IF(O29=CURSOS!$D$31,"ATENCION A VICTIMAS POR CONFLICTO ARMADO",IF(O29=CURSOS!$D$32,"MANIPULACION DE ALIMENTOS Y BPM",IF(O29=CURSOS!$D$33,"ATENCION A PERSONAS CON DISCAPACIDAD",IF(O29=CURSOS!$D$34,"CUIDADO INTEGRAL DEL PACIENTE ADULTO",IF(O29=CURSOS!$D$35,"MANEJO DEFENSIVO",IF(O29=CURSOS!$D$36,"SOPORTE CARDIOVASCULAR AVANZADO NEONATAL",IF(O29=CURSOS!$D$37,"SEGURIDAD DEL PACIENTE",IF(O29=CURSOS!$D$38,"MANEJO DE RESIDUOS HOSPITALARIOS"))))))))))))))))))))))))))))))))))))</f>
        <v xml:space="preserve">PRIMEROS AUXILIOS </v>
      </c>
      <c r="V29" s="47" t="str">
        <f t="shared" si="0"/>
        <v>Paola Vanessa Cordoba Burbano</v>
      </c>
      <c r="W29" s="47" t="str">
        <f t="shared" si="1"/>
        <v>Paola Vanessa Cordoba Burbano</v>
      </c>
      <c r="X29" s="47" t="str">
        <f t="shared" si="2"/>
        <v>Paola Vanessa Cordoba Burbano-1089459350-PRIMEROS AUXILIOS</v>
      </c>
    </row>
    <row r="30" spans="1:24" x14ac:dyDescent="0.2">
      <c r="A30" s="46">
        <v>29</v>
      </c>
      <c r="B30" s="54">
        <v>1089030278</v>
      </c>
      <c r="C30" s="54" t="s">
        <v>181</v>
      </c>
      <c r="D30" s="54" t="s">
        <v>182</v>
      </c>
      <c r="E30" s="54" t="s">
        <v>183</v>
      </c>
      <c r="F30" s="54" t="s">
        <v>184</v>
      </c>
      <c r="G30" s="54">
        <v>5</v>
      </c>
      <c r="H30" s="54" t="s">
        <v>100</v>
      </c>
      <c r="I30" s="55" t="s">
        <v>146</v>
      </c>
      <c r="J30" s="56">
        <v>45603</v>
      </c>
      <c r="K30" s="108">
        <v>28000</v>
      </c>
      <c r="L30" s="54" t="s">
        <v>235</v>
      </c>
      <c r="M30" s="54" t="s">
        <v>80</v>
      </c>
      <c r="N30" s="54" t="s">
        <v>159</v>
      </c>
      <c r="O30" s="43" t="s">
        <v>32</v>
      </c>
      <c r="P30" s="55">
        <v>28687</v>
      </c>
      <c r="Q30" s="54" t="s">
        <v>89</v>
      </c>
      <c r="R30" s="54" t="s">
        <v>189</v>
      </c>
      <c r="S30" s="57"/>
      <c r="T30" s="54" t="s">
        <v>185</v>
      </c>
      <c r="U30" s="47" t="str">
        <f>IF(O30=CURSOS!$D$3,"DIPLOMADO EN ATENCION PRE-HOSPITALARIA",IF(O30=CURSOS!$D$4,"ACOMPAÑAMIENTO Y MANEJO DEL DUELO",IF(O30=CURSOS!$D$5,"ATENCION A VICTIMAS DE ATAQUE CON AGENTES QUIMICOS ",IF(O30=CURSOS!$D$6,"PRIMEROS AUXILIOS ",IF(O30=CURSOS!$D$7,"DIPLOMADO DE UNIDAD DE CUIDADOS INTENSIVOS (UCI)",IF(O30=CURSOS!$D$8,"MODELO DE ATENCION PARA EVENTOS EMERGENTES EN SALUD MENTAL (CODIGO VERDE)",IF(O30=CURSOS!$D$9,"HUMANIZACION EN EL SERVICIO DE LA SALUD Y BUENAS PRACTICAS EN PACIENTE ",IF(O30=CURSOS!$D$10,"CLINICA DE HERIDAS ",IF(O30=CURSOS!$D$11,"TOMA DE CITOLOGIA CERVICO VAGINAL ",IF(O30=CURSOS!$D$12,"SOPORTE CARDIOVASCULAR AVANZADO (ACLS) ",IF(O30=CURSOS!$D$13,"CAMILLERO ",IF(O30=CURSOS!$D$14,"TOMA DE MUESTRAS Y LABORATORIO ",IF(O30=CURSOS!$D$15,"SOPORTE VITAL BASICO (BLS)",IF(O30=CURSOS!$D$16,"ATENCION A VICTIMAS DE VIOLENCIA SEXUAL ",IF(O30=CURSOS!$D$17,"PROGRAMADO AMPLIADO DE INMUNIZACION (PAI - COVID 19)",IF(O30=CURSOS!$D$18,"ATENCION INTEGRAL EN ENFERMEDADES PREVALENTES EN PRIMERA INFANCIA (AIEPI)",IF(O30=CURSOS!$D$19,"ADMINISTRACION DE MEDICAMENTOS, INYECTOLOGIA  Y CANALIZACION ",IF(O30=CURSOS!$D$20,"OPERADOR DE VEHICULOS DE EMERGENCIA (OVE)",IF(O30=CURSOS!$D$21,"INSTITUCIONES AMIGAS DE LA MUJER Y LA INFANCIA (IAMI)",IF(O30=CURSOS!$D$22,"CUIDADO DEL DONANTE DE ORGANOS",IF(O30=CURSOS!$D$23,"ATENCION A VICTIMAS POR VIOLENCIA DE GENERO",IF(O30=CURSOS!$D$24,"IGUALDAD DE GENERO EN LA SALUD",IF(O30=CURSOS!$D$25,"BRIGADA DE EMERGENCIA",IF(O30=CURSOS!$D$26,"MANEJO DEL DOLOR Y CUIDADOS PALIATIVOS",IF(O30=CURSOS!$D$27,"TOMA DE MUESTRAS Y LABORATORIO POCT",IF(O30=CURSOS!$D$28,"IMPLANTE SUBDERMICO DE DISPOSITIVO INTRAUTERINO",IF(O30=CURSOS!$D$29,"SALUD MENTAL",IF(O30=CURSOS!$D$30,"PRIMEROS AUXILIOS PSICOLOGICOS",IF(O30=CURSOS!$D$31,"ATENCION A VICTIMAS POR CONFLICTO ARMADO",IF(O30=CURSOS!$D$32,"MANIPULACION DE ALIMENTOS Y BPM",IF(O30=CURSOS!$D$33,"ATENCION A PERSONAS CON DISCAPACIDAD",IF(O30=CURSOS!$D$34,"CUIDADO INTEGRAL DEL PACIENTE ADULTO",IF(O30=CURSOS!$D$35,"MANEJO DEFENSIVO",IF(O30=CURSOS!$D$36,"SOPORTE CARDIOVASCULAR AVANZADO NEONATAL",IF(O30=CURSOS!$D$37,"SEGURIDAD DEL PACIENTE",IF(O30=CURSOS!$D$38,"MANEJO DE RESIDUOS HOSPITALARIOS"))))))))))))))))))))))))))))))))))))</f>
        <v xml:space="preserve">HUMANIZACION EN EL SERVICIO DE LA SALUD Y BUENAS PRACTICAS EN PACIENTE </v>
      </c>
      <c r="V30" s="47" t="str">
        <f t="shared" si="0"/>
        <v>Milvia Ceneida Vallejos Morales</v>
      </c>
      <c r="W30" s="47" t="str">
        <f t="shared" si="1"/>
        <v>Milvia Ceneida Vallejos Morales</v>
      </c>
      <c r="X30" s="47" t="str">
        <f t="shared" si="2"/>
        <v>Milvia Ceneida Vallejos Morales-1089030278-HUMANIZACION</v>
      </c>
    </row>
    <row r="31" spans="1:24" x14ac:dyDescent="0.2">
      <c r="A31" s="46">
        <v>30</v>
      </c>
      <c r="B31" s="43">
        <v>1061757423</v>
      </c>
      <c r="C31" s="54" t="s">
        <v>150</v>
      </c>
      <c r="D31" s="54" t="s">
        <v>187</v>
      </c>
      <c r="E31" s="54" t="s">
        <v>188</v>
      </c>
      <c r="F31" s="54" t="s">
        <v>107</v>
      </c>
      <c r="G31" s="54">
        <v>5</v>
      </c>
      <c r="H31" s="54" t="s">
        <v>100</v>
      </c>
      <c r="I31" s="55" t="s">
        <v>146</v>
      </c>
      <c r="J31" s="56">
        <v>45601</v>
      </c>
      <c r="K31" s="108">
        <v>33333</v>
      </c>
      <c r="L31" s="54" t="s">
        <v>139</v>
      </c>
      <c r="M31" s="54" t="s">
        <v>80</v>
      </c>
      <c r="N31" s="54" t="s">
        <v>186</v>
      </c>
      <c r="O31" s="43" t="s">
        <v>25</v>
      </c>
      <c r="P31" s="55"/>
      <c r="Q31" s="54" t="s">
        <v>148</v>
      </c>
      <c r="R31" s="54" t="s">
        <v>189</v>
      </c>
      <c r="S31" s="54"/>
      <c r="T31" s="54"/>
      <c r="U31" s="47" t="str">
        <f>IF(O31=CURSOS!$D$3,"DIPLOMADO EN ATENCION PRE-HOSPITALARIA",IF(O31=CURSOS!$D$4,"ACOMPAÑAMIENTO Y MANEJO DEL DUELO",IF(O31=CURSOS!$D$5,"ATENCION A VICTIMAS DE ATAQUE CON AGENTES QUIMICOS ",IF(O31=CURSOS!$D$6,"PRIMEROS AUXILIOS ",IF(O31=CURSOS!$D$7,"DIPLOMADO DE UNIDAD DE CUIDADOS INTENSIVOS (UCI)",IF(O31=CURSOS!$D$8,"MODELO DE ATENCION PARA EVENTOS EMERGENTES EN SALUD MENTAL (CODIGO VERDE)",IF(O31=CURSOS!$D$9,"HUMANIZACION EN EL SERVICIO DE LA SALUD Y BUENAS PRACTICAS EN PACIENTE ",IF(O31=CURSOS!$D$10,"CLINICA DE HERIDAS ",IF(O31=CURSOS!$D$11,"TOMA DE CITOLOGIA CERVICO VAGINAL ",IF(O31=CURSOS!$D$12,"SOPORTE CARDIOVASCULAR AVANZADO (ACLS) ",IF(O31=CURSOS!$D$13,"CAMILLERO ",IF(O31=CURSOS!$D$14,"TOMA DE MUESTRAS Y LABORATORIO ",IF(O31=CURSOS!$D$15,"SOPORTE VITAL BASICO (BLS)",IF(O31=CURSOS!$D$16,"ATENCION A VICTIMAS DE VIOLENCIA SEXUAL ",IF(O31=CURSOS!$D$17,"PROGRAMADO AMPLIADO DE INMUNIZACION (PAI - COVID 19)",IF(O31=CURSOS!$D$18,"ATENCION INTEGRAL EN ENFERMEDADES PREVALENTES EN PRIMERA INFANCIA (AIEPI)",IF(O31=CURSOS!$D$19,"ADMINISTRACION DE MEDICAMENTOS, INYECTOLOGIA  Y CANALIZACION ",IF(O31=CURSOS!$D$20,"OPERADOR DE VEHICULOS DE EMERGENCIA (OVE)",IF(O31=CURSOS!$D$21,"INSTITUCIONES AMIGAS DE LA MUJER Y LA INFANCIA (IAMI)",IF(O31=CURSOS!$D$22,"CUIDADO DEL DONANTE DE ORGANOS",IF(O31=CURSOS!$D$23,"ATENCION A VICTIMAS POR VIOLENCIA DE GENERO",IF(O31=CURSOS!$D$24,"IGUALDAD DE GENERO EN LA SALUD",IF(O31=CURSOS!$D$25,"BRIGADA DE EMERGENCIA",IF(O31=CURSOS!$D$26,"MANEJO DEL DOLOR Y CUIDADOS PALIATIVOS",IF(O31=CURSOS!$D$27,"TOMA DE MUESTRAS Y LABORATORIO POCT",IF(O31=CURSOS!$D$28,"IMPLANTE SUBDERMICO DE DISPOSITIVO INTRAUTERINO",IF(O31=CURSOS!$D$29,"SALUD MENTAL",IF(O31=CURSOS!$D$30,"PRIMEROS AUXILIOS PSICOLOGICOS",IF(O31=CURSOS!$D$31,"ATENCION A VICTIMAS POR CONFLICTO ARMADO",IF(O31=CURSOS!$D$32,"MANIPULACION DE ALIMENTOS Y BPM",IF(O31=CURSOS!$D$33,"ATENCION A PERSONAS CON DISCAPACIDAD",IF(O31=CURSOS!$D$34,"CUIDADO INTEGRAL DEL PACIENTE ADULTO",IF(O31=CURSOS!$D$35,"MANEJO DEFENSIVO",IF(O31=CURSOS!$D$36,"SOPORTE CARDIOVASCULAR AVANZADO NEONATAL",IF(O31=CURSOS!$D$37,"SEGURIDAD DEL PACIENTE",IF(O31=CURSOS!$D$38,"MANEJO DE RESIDUOS HOSPITALARIOS"))))))))))))))))))))))))))))))))))))</f>
        <v xml:space="preserve">ATENCION A VICTIMAS DE ATAQUE CON AGENTES QUIMICOS </v>
      </c>
      <c r="V31" s="47" t="str">
        <f t="shared" si="0"/>
        <v>Nelson David Caicedo Rosales</v>
      </c>
      <c r="W31" s="47" t="str">
        <f t="shared" si="1"/>
        <v>Nelson David Caicedo Rosales</v>
      </c>
      <c r="X31" s="47" t="str">
        <f t="shared" si="2"/>
        <v>Nelson David Caicedo Rosales-1061757423-QUIMICOS</v>
      </c>
    </row>
    <row r="32" spans="1:24" x14ac:dyDescent="0.2">
      <c r="A32" s="46">
        <v>31</v>
      </c>
      <c r="B32" s="43">
        <v>1061757423</v>
      </c>
      <c r="C32" s="54" t="s">
        <v>150</v>
      </c>
      <c r="D32" s="54" t="s">
        <v>187</v>
      </c>
      <c r="E32" s="54" t="s">
        <v>188</v>
      </c>
      <c r="F32" s="54" t="s">
        <v>107</v>
      </c>
      <c r="G32" s="54">
        <v>1</v>
      </c>
      <c r="H32" s="54" t="s">
        <v>100</v>
      </c>
      <c r="I32" s="55" t="s">
        <v>146</v>
      </c>
      <c r="J32" s="56">
        <v>45601</v>
      </c>
      <c r="K32" s="108">
        <v>33333</v>
      </c>
      <c r="L32" s="54" t="s">
        <v>139</v>
      </c>
      <c r="M32" s="54" t="s">
        <v>80</v>
      </c>
      <c r="N32" s="54" t="s">
        <v>186</v>
      </c>
      <c r="O32" s="43" t="s">
        <v>57</v>
      </c>
      <c r="P32" s="55"/>
      <c r="Q32" s="54" t="s">
        <v>148</v>
      </c>
      <c r="R32" s="54" t="s">
        <v>189</v>
      </c>
      <c r="S32" s="59"/>
      <c r="T32" s="54"/>
      <c r="U32" s="47" t="str">
        <f>IF(O32=CURSOS!$D$3,"DIPLOMADO EN ATENCION PRE-HOSPITALARIA",IF(O32=CURSOS!$D$4,"ACOMPAÑAMIENTO Y MANEJO DEL DUELO",IF(O32=CURSOS!$D$5,"ATENCION A VICTIMAS DE ATAQUE CON AGENTES QUIMICOS ",IF(O32=CURSOS!$D$6,"PRIMEROS AUXILIOS ",IF(O32=CURSOS!$D$7,"DIPLOMADO DE UNIDAD DE CUIDADOS INTENSIVOS (UCI)",IF(O32=CURSOS!$D$8,"MODELO DE ATENCION PARA EVENTOS EMERGENTES EN SALUD MENTAL (CODIGO VERDE)",IF(O32=CURSOS!$D$9,"HUMANIZACION EN EL SERVICIO DE LA SALUD Y BUENAS PRACTICAS EN PACIENTE ",IF(O32=CURSOS!$D$10,"CLINICA DE HERIDAS ",IF(O32=CURSOS!$D$11,"TOMA DE CITOLOGIA CERVICO VAGINAL ",IF(O32=CURSOS!$D$12,"SOPORTE CARDIOVASCULAR AVANZADO (ACLS) ",IF(O32=CURSOS!$D$13,"CAMILLERO ",IF(O32=CURSOS!$D$14,"TOMA DE MUESTRAS Y LABORATORIO ",IF(O32=CURSOS!$D$15,"SOPORTE VITAL BASICO (BLS)",IF(O32=CURSOS!$D$16,"ATENCION A VICTIMAS DE VIOLENCIA SEXUAL ",IF(O32=CURSOS!$D$17,"PROGRAMADO AMPLIADO DE INMUNIZACION (PAI - COVID 19)",IF(O32=CURSOS!$D$18,"ATENCION INTEGRAL EN ENFERMEDADES PREVALENTES EN PRIMERA INFANCIA (AIEPI)",IF(O32=CURSOS!$D$19,"ADMINISTRACION DE MEDICAMENTOS, INYECTOLOGIA  Y CANALIZACION ",IF(O32=CURSOS!$D$20,"OPERADOR DE VEHICULOS DE EMERGENCIA (OVE)",IF(O32=CURSOS!$D$21,"INSTITUCIONES AMIGAS DE LA MUJER Y LA INFANCIA (IAMI)",IF(O32=CURSOS!$D$22,"CUIDADO DEL DONANTE DE ORGANOS",IF(O32=CURSOS!$D$23,"ATENCION A VICTIMAS POR VIOLENCIA DE GENERO",IF(O32=CURSOS!$D$24,"IGUALDAD DE GENERO EN LA SALUD",IF(O32=CURSOS!$D$25,"BRIGADA DE EMERGENCIA",IF(O32=CURSOS!$D$26,"MANEJO DEL DOLOR Y CUIDADOS PALIATIVOS",IF(O32=CURSOS!$D$27,"TOMA DE MUESTRAS Y LABORATORIO POCT",IF(O32=CURSOS!$D$28,"IMPLANTE SUBDERMICO DE DISPOSITIVO INTRAUTERINO",IF(O32=CURSOS!$D$29,"SALUD MENTAL",IF(O32=CURSOS!$D$30,"PRIMEROS AUXILIOS PSICOLOGICOS",IF(O32=CURSOS!$D$31,"ATENCION A VICTIMAS POR CONFLICTO ARMADO",IF(O32=CURSOS!$D$32,"MANIPULACION DE ALIMENTOS Y BPM",IF(O32=CURSOS!$D$33,"ATENCION A PERSONAS CON DISCAPACIDAD",IF(O32=CURSOS!$D$34,"CUIDADO INTEGRAL DEL PACIENTE ADULTO",IF(O32=CURSOS!$D$35,"MANEJO DEFENSIVO",IF(O32=CURSOS!$D$36,"SOPORTE CARDIOVASCULAR AVANZADO NEONATAL",IF(O32=CURSOS!$D$37,"SEGURIDAD DEL PACIENTE",IF(O32=CURSOS!$D$38,"MANEJO DE RESIDUOS HOSPITALARIOS"))))))))))))))))))))))))))))))))))))</f>
        <v>MANEJO DEL DOLOR Y CUIDADOS PALIATIVOS</v>
      </c>
      <c r="V32" s="47" t="str">
        <f t="shared" si="0"/>
        <v>Nelson David Caicedo Rosales</v>
      </c>
      <c r="W32" s="47" t="str">
        <f t="shared" si="1"/>
        <v>Nelson David Caicedo Rosales</v>
      </c>
      <c r="X32" s="47" t="str">
        <f t="shared" si="2"/>
        <v>Nelson David Caicedo Rosales-1061757423-PALIATIVOS</v>
      </c>
    </row>
    <row r="33" spans="1:24" x14ac:dyDescent="0.2">
      <c r="A33" s="46">
        <v>32</v>
      </c>
      <c r="B33" s="43">
        <v>1061757423</v>
      </c>
      <c r="C33" s="54" t="s">
        <v>150</v>
      </c>
      <c r="D33" s="54" t="s">
        <v>187</v>
      </c>
      <c r="E33" s="54" t="s">
        <v>188</v>
      </c>
      <c r="F33" s="54" t="s">
        <v>107</v>
      </c>
      <c r="G33" s="54">
        <v>2</v>
      </c>
      <c r="H33" s="54" t="s">
        <v>100</v>
      </c>
      <c r="I33" s="55" t="s">
        <v>146</v>
      </c>
      <c r="J33" s="56">
        <v>45601</v>
      </c>
      <c r="K33" s="108">
        <v>33333</v>
      </c>
      <c r="L33" s="54" t="s">
        <v>139</v>
      </c>
      <c r="M33" s="54" t="s">
        <v>80</v>
      </c>
      <c r="N33" s="54" t="s">
        <v>186</v>
      </c>
      <c r="O33" s="43" t="s">
        <v>23</v>
      </c>
      <c r="P33" s="55"/>
      <c r="Q33" s="54" t="s">
        <v>148</v>
      </c>
      <c r="R33" s="54" t="s">
        <v>189</v>
      </c>
      <c r="S33" s="54"/>
      <c r="T33" s="54"/>
      <c r="U33" s="47" t="str">
        <f>IF(O33=CURSOS!$D$3,"DIPLOMADO EN ATENCION PRE-HOSPITALARIA",IF(O33=CURSOS!$D$4,"ACOMPAÑAMIENTO Y MANEJO DEL DUELO",IF(O33=CURSOS!$D$5,"ATENCION A VICTIMAS DE ATAQUE CON AGENTES QUIMICOS ",IF(O33=CURSOS!$D$6,"PRIMEROS AUXILIOS ",IF(O33=CURSOS!$D$7,"DIPLOMADO DE UNIDAD DE CUIDADOS INTENSIVOS (UCI)",IF(O33=CURSOS!$D$8,"MODELO DE ATENCION PARA EVENTOS EMERGENTES EN SALUD MENTAL (CODIGO VERDE)",IF(O33=CURSOS!$D$9,"HUMANIZACION EN EL SERVICIO DE LA SALUD Y BUENAS PRACTICAS EN PACIENTE ",IF(O33=CURSOS!$D$10,"CLINICA DE HERIDAS ",IF(O33=CURSOS!$D$11,"TOMA DE CITOLOGIA CERVICO VAGINAL ",IF(O33=CURSOS!$D$12,"SOPORTE CARDIOVASCULAR AVANZADO (ACLS) ",IF(O33=CURSOS!$D$13,"CAMILLERO ",IF(O33=CURSOS!$D$14,"TOMA DE MUESTRAS Y LABORATORIO ",IF(O33=CURSOS!$D$15,"SOPORTE VITAL BASICO (BLS)",IF(O33=CURSOS!$D$16,"ATENCION A VICTIMAS DE VIOLENCIA SEXUAL ",IF(O33=CURSOS!$D$17,"PROGRAMADO AMPLIADO DE INMUNIZACION (PAI - COVID 19)",IF(O33=CURSOS!$D$18,"ATENCION INTEGRAL EN ENFERMEDADES PREVALENTES EN PRIMERA INFANCIA (AIEPI)",IF(O33=CURSOS!$D$19,"ADMINISTRACION DE MEDICAMENTOS, INYECTOLOGIA  Y CANALIZACION ",IF(O33=CURSOS!$D$20,"OPERADOR DE VEHICULOS DE EMERGENCIA (OVE)",IF(O33=CURSOS!$D$21,"INSTITUCIONES AMIGAS DE LA MUJER Y LA INFANCIA (IAMI)",IF(O33=CURSOS!$D$22,"CUIDADO DEL DONANTE DE ORGANOS",IF(O33=CURSOS!$D$23,"ATENCION A VICTIMAS POR VIOLENCIA DE GENERO",IF(O33=CURSOS!$D$24,"IGUALDAD DE GENERO EN LA SALUD",IF(O33=CURSOS!$D$25,"BRIGADA DE EMERGENCIA",IF(O33=CURSOS!$D$26,"MANEJO DEL DOLOR Y CUIDADOS PALIATIVOS",IF(O33=CURSOS!$D$27,"TOMA DE MUESTRAS Y LABORATORIO POCT",IF(O33=CURSOS!$D$28,"IMPLANTE SUBDERMICO DE DISPOSITIVO INTRAUTERINO",IF(O33=CURSOS!$D$29,"SALUD MENTAL",IF(O33=CURSOS!$D$30,"PRIMEROS AUXILIOS PSICOLOGICOS",IF(O33=CURSOS!$D$31,"ATENCION A VICTIMAS POR CONFLICTO ARMADO",IF(O33=CURSOS!$D$32,"MANIPULACION DE ALIMENTOS Y BPM",IF(O33=CURSOS!$D$33,"ATENCION A PERSONAS CON DISCAPACIDAD",IF(O33=CURSOS!$D$34,"CUIDADO INTEGRAL DEL PACIENTE ADULTO",IF(O33=CURSOS!$D$35,"MANEJO DEFENSIVO",IF(O33=CURSOS!$D$36,"SOPORTE CARDIOVASCULAR AVANZADO NEONATAL",IF(O33=CURSOS!$D$37,"SEGURIDAD DEL PACIENTE",IF(O33=CURSOS!$D$38,"MANEJO DE RESIDUOS HOSPITALARIOS"))))))))))))))))))))))))))))))))))))</f>
        <v>ACOMPAÑAMIENTO Y MANEJO DEL DUELO</v>
      </c>
      <c r="V33" s="47" t="str">
        <f t="shared" si="0"/>
        <v>Nelson David Caicedo Rosales</v>
      </c>
      <c r="W33" s="47" t="str">
        <f t="shared" si="1"/>
        <v>Nelson David Caicedo Rosales</v>
      </c>
      <c r="X33" s="47" t="str">
        <f t="shared" si="2"/>
        <v>Nelson David Caicedo Rosales-1061757423-DUELO</v>
      </c>
    </row>
    <row r="34" spans="1:24" x14ac:dyDescent="0.2">
      <c r="A34" s="46">
        <v>33</v>
      </c>
      <c r="B34" s="54">
        <v>1087122975</v>
      </c>
      <c r="C34" s="54" t="s">
        <v>190</v>
      </c>
      <c r="D34" s="54" t="s">
        <v>191</v>
      </c>
      <c r="E34" s="54" t="s">
        <v>192</v>
      </c>
      <c r="F34" s="54" t="s">
        <v>193</v>
      </c>
      <c r="G34" s="54">
        <v>6</v>
      </c>
      <c r="H34" s="54" t="s">
        <v>100</v>
      </c>
      <c r="I34" s="55" t="s">
        <v>146</v>
      </c>
      <c r="J34" s="56">
        <v>45597</v>
      </c>
      <c r="K34" s="108">
        <v>33000</v>
      </c>
      <c r="L34" s="54" t="s">
        <v>235</v>
      </c>
      <c r="M34" s="54" t="s">
        <v>141</v>
      </c>
      <c r="N34" s="54" t="s">
        <v>186</v>
      </c>
      <c r="O34" s="43" t="s">
        <v>194</v>
      </c>
      <c r="P34" s="55"/>
      <c r="Q34" s="54" t="s">
        <v>148</v>
      </c>
      <c r="R34" s="54"/>
      <c r="S34" s="54"/>
      <c r="T34" s="54"/>
      <c r="U34" s="47" t="s">
        <v>195</v>
      </c>
      <c r="V34" s="47" t="str">
        <f t="shared" si="0"/>
        <v>Didier Eleiter Cortes Castillo</v>
      </c>
      <c r="W34" s="47" t="str">
        <f t="shared" si="1"/>
        <v>Didier Eleiter Cortes Castillo</v>
      </c>
      <c r="X34" s="47" t="str">
        <f t="shared" si="2"/>
        <v>Didier Eleiter Cortes Castillo-1087122975-Triage</v>
      </c>
    </row>
    <row r="35" spans="1:24" x14ac:dyDescent="0.2">
      <c r="A35" s="46">
        <v>34</v>
      </c>
      <c r="B35" s="54">
        <v>1087122975</v>
      </c>
      <c r="C35" s="54" t="s">
        <v>190</v>
      </c>
      <c r="D35" s="54" t="s">
        <v>191</v>
      </c>
      <c r="E35" s="54" t="s">
        <v>192</v>
      </c>
      <c r="F35" s="54" t="s">
        <v>193</v>
      </c>
      <c r="G35" s="54">
        <v>6</v>
      </c>
      <c r="H35" s="54" t="s">
        <v>100</v>
      </c>
      <c r="I35" s="55" t="s">
        <v>146</v>
      </c>
      <c r="J35" s="56">
        <v>45597</v>
      </c>
      <c r="K35" s="108">
        <v>33000</v>
      </c>
      <c r="L35" s="54" t="s">
        <v>235</v>
      </c>
      <c r="M35" s="54" t="s">
        <v>141</v>
      </c>
      <c r="N35" s="54" t="s">
        <v>186</v>
      </c>
      <c r="O35" s="43" t="s">
        <v>48</v>
      </c>
      <c r="P35" s="55"/>
      <c r="Q35" s="54"/>
      <c r="R35" s="54"/>
      <c r="S35" s="54"/>
      <c r="T35" s="54"/>
      <c r="U35" s="47" t="str">
        <f>IF(O35=CURSOS!$D$3,"DIPLOMADO EN ATENCION PRE-HOSPITALARIA",IF(O35=CURSOS!$D$4,"ACOMPAÑAMIENTO Y MANEJO DEL DUELO",IF(O35=CURSOS!$D$5,"ATENCION A VICTIMAS DE ATAQUE CON AGENTES QUIMICOS ",IF(O35=CURSOS!$D$6,"PRIMEROS AUXILIOS ",IF(O35=CURSOS!$D$7,"DIPLOMADO DE UNIDAD DE CUIDADOS INTENSIVOS (UCI)",IF(O35=CURSOS!$D$8,"MODELO DE ATENCION PARA EVENTOS EMERGENTES EN SALUD MENTAL (CODIGO VERDE)",IF(O35=CURSOS!$D$9,"HUMANIZACION EN EL SERVICIO DE LA SALUD Y BUENAS PRACTICAS EN PACIENTE ",IF(O35=CURSOS!$D$10,"CLINICA DE HERIDAS ",IF(O35=CURSOS!$D$11,"TOMA DE CITOLOGIA CERVICO VAGINAL ",IF(O35=CURSOS!$D$12,"SOPORTE CARDIOVASCULAR AVANZADO (ACLS) ",IF(O35=CURSOS!$D$13,"CAMILLERO ",IF(O35=CURSOS!$D$14,"TOMA DE MUESTRAS Y LABORATORIO ",IF(O35=CURSOS!$D$15,"SOPORTE VITAL BASICO (BLS)",IF(O35=CURSOS!$D$16,"ATENCION A VICTIMAS DE VIOLENCIA SEXUAL ",IF(O35=CURSOS!$D$17,"PROGRAMADO AMPLIADO DE INMUNIZACION (PAI - COVID 19)",IF(O35=CURSOS!$D$18,"ATENCION INTEGRAL EN ENFERMEDADES PREVALENTES EN PRIMERA INFANCIA (AIEPI)",IF(O35=CURSOS!$D$19,"ADMINISTRACION DE MEDICAMENTOS, INYECTOLOGIA  Y CANALIZACION ",IF(O35=CURSOS!$D$20,"OPERADOR DE VEHICULOS DE EMERGENCIA (OVE)",IF(O35=CURSOS!$D$21,"INSTITUCIONES AMIGAS DE LA MUJER Y LA INFANCIA (IAMI)",IF(O35=CURSOS!$D$22,"CUIDADO DEL DONANTE DE ORGANOS",IF(O35=CURSOS!$D$23,"ATENCION A VICTIMAS POR VIOLENCIA DE GENERO",IF(O35=CURSOS!$D$24,"IGUALDAD DE GENERO EN LA SALUD",IF(O35=CURSOS!$D$25,"BRIGADA DE EMERGENCIA",IF(O35=CURSOS!$D$26,"MANEJO DEL DOLOR Y CUIDADOS PALIATIVOS",IF(O35=CURSOS!$D$27,"TOMA DE MUESTRAS Y LABORATORIO POCT",IF(O35=CURSOS!$D$28,"IMPLANTE SUBDERMICO DE DISPOSITIVO INTRAUTERINO",IF(O35=CURSOS!$D$29,"SALUD MENTAL",IF(O35=CURSOS!$D$30,"PRIMEROS AUXILIOS PSICOLOGICOS",IF(O35=CURSOS!$D$31,"ATENCION A VICTIMAS POR CONFLICTO ARMADO",IF(O35=CURSOS!$D$32,"MANIPULACION DE ALIMENTOS Y BPM",IF(O35=CURSOS!$D$33,"ATENCION A PERSONAS CON DISCAPACIDAD",IF(O35=CURSOS!$D$34,"CUIDADO INTEGRAL DEL PACIENTE ADULTO",IF(O35=CURSOS!$D$35,"MANEJO DEFENSIVO",IF(O35=CURSOS!$D$36,"SOPORTE CARDIOVASCULAR AVANZADO NEONATAL",IF(O35=CURSOS!$D$37,"SEGURIDAD DEL PACIENTE",IF(O35=CURSOS!$D$38,"MANEJO DE RESIDUOS HOSPITALARIOS"))))))))))))))))))))))))))))))))))))</f>
        <v>INSTITUCIONES AMIGAS DE LA MUJER Y LA INFANCIA (IAMI)</v>
      </c>
      <c r="V35" s="47" t="str">
        <f t="shared" si="0"/>
        <v>Didier Eleiter Cortes Castillo</v>
      </c>
      <c r="W35" s="47" t="str">
        <f t="shared" si="1"/>
        <v>Didier Eleiter Cortes Castillo</v>
      </c>
      <c r="X35" s="47" t="str">
        <f t="shared" si="2"/>
        <v>Didier Eleiter Cortes Castillo-1087122975-IAMI</v>
      </c>
    </row>
    <row r="36" spans="1:24" x14ac:dyDescent="0.2">
      <c r="A36" s="46">
        <v>35</v>
      </c>
      <c r="B36" s="54">
        <v>1087122975</v>
      </c>
      <c r="C36" s="54" t="s">
        <v>190</v>
      </c>
      <c r="D36" s="54" t="s">
        <v>191</v>
      </c>
      <c r="E36" s="54" t="s">
        <v>192</v>
      </c>
      <c r="F36" s="54" t="s">
        <v>193</v>
      </c>
      <c r="G36" s="54">
        <v>6</v>
      </c>
      <c r="H36" s="54" t="s">
        <v>100</v>
      </c>
      <c r="I36" s="55" t="s">
        <v>146</v>
      </c>
      <c r="J36" s="56">
        <v>45597</v>
      </c>
      <c r="K36" s="108">
        <v>33000</v>
      </c>
      <c r="L36" s="54" t="s">
        <v>235</v>
      </c>
      <c r="M36" s="54" t="s">
        <v>141</v>
      </c>
      <c r="N36" s="54" t="s">
        <v>186</v>
      </c>
      <c r="O36" s="43" t="s">
        <v>44</v>
      </c>
      <c r="P36" s="55"/>
      <c r="Q36" s="54"/>
      <c r="R36" s="54"/>
      <c r="S36" s="54"/>
      <c r="T36" s="54"/>
      <c r="U36" s="47" t="str">
        <f>IF(O36=CURSOS!$D$3,"DIPLOMADO EN ATENCION PRE-HOSPITALARIA",IF(O36=CURSOS!$D$4,"ACOMPAÑAMIENTO Y MANEJO DEL DUELO",IF(O36=CURSOS!$D$5,"ATENCION A VICTIMAS DE ATAQUE CON AGENTES QUIMICOS ",IF(O36=CURSOS!$D$6,"PRIMEROS AUXILIOS ",IF(O36=CURSOS!$D$7,"DIPLOMADO DE UNIDAD DE CUIDADOS INTENSIVOS (UCI)",IF(O36=CURSOS!$D$8,"MODELO DE ATENCION PARA EVENTOS EMERGENTES EN SALUD MENTAL (CODIGO VERDE)",IF(O36=CURSOS!$D$9,"HUMANIZACION EN EL SERVICIO DE LA SALUD Y BUENAS PRACTICAS EN PACIENTE ",IF(O36=CURSOS!$D$10,"CLINICA DE HERIDAS ",IF(O36=CURSOS!$D$11,"TOMA DE CITOLOGIA CERVICO VAGINAL ",IF(O36=CURSOS!$D$12,"SOPORTE CARDIOVASCULAR AVANZADO (ACLS) ",IF(O36=CURSOS!$D$13,"CAMILLERO ",IF(O36=CURSOS!$D$14,"TOMA DE MUESTRAS Y LABORATORIO ",IF(O36=CURSOS!$D$15,"SOPORTE VITAL BASICO (BLS)",IF(O36=CURSOS!$D$16,"ATENCION A VICTIMAS DE VIOLENCIA SEXUAL ",IF(O36=CURSOS!$D$17,"PROGRAMADO AMPLIADO DE INMUNIZACION (PAI - COVID 19)",IF(O36=CURSOS!$D$18,"ATENCION INTEGRAL EN ENFERMEDADES PREVALENTES EN PRIMERA INFANCIA (AIEPI)",IF(O36=CURSOS!$D$19,"ADMINISTRACION DE MEDICAMENTOS, INYECTOLOGIA  Y CANALIZACION ",IF(O36=CURSOS!$D$20,"OPERADOR DE VEHICULOS DE EMERGENCIA (OVE)",IF(O36=CURSOS!$D$21,"INSTITUCIONES AMIGAS DE LA MUJER Y LA INFANCIA (IAMI)",IF(O36=CURSOS!$D$22,"CUIDADO DEL DONANTE DE ORGANOS",IF(O36=CURSOS!$D$23,"ATENCION A VICTIMAS POR VIOLENCIA DE GENERO",IF(O36=CURSOS!$D$24,"IGUALDAD DE GENERO EN LA SALUD",IF(O36=CURSOS!$D$25,"BRIGADA DE EMERGENCIA",IF(O36=CURSOS!$D$26,"MANEJO DEL DOLOR Y CUIDADOS PALIATIVOS",IF(O36=CURSOS!$D$27,"TOMA DE MUESTRAS Y LABORATORIO POCT",IF(O36=CURSOS!$D$28,"IMPLANTE SUBDERMICO DE DISPOSITIVO INTRAUTERINO",IF(O36=CURSOS!$D$29,"SALUD MENTAL",IF(O36=CURSOS!$D$30,"PRIMEROS AUXILIOS PSICOLOGICOS",IF(O36=CURSOS!$D$31,"ATENCION A VICTIMAS POR CONFLICTO ARMADO",IF(O36=CURSOS!$D$32,"MANIPULACION DE ALIMENTOS Y BPM",IF(O36=CURSOS!$D$33,"ATENCION A PERSONAS CON DISCAPACIDAD",IF(O36=CURSOS!$D$34,"CUIDADO INTEGRAL DEL PACIENTE ADULTO",IF(O36=CURSOS!$D$35,"MANEJO DEFENSIVO",IF(O36=CURSOS!$D$36,"SOPORTE CARDIOVASCULAR AVANZADO NEONATAL",IF(O36=CURSOS!$D$37,"SEGURIDAD DEL PACIENTE",IF(O36=CURSOS!$D$38,"MANEJO DE RESIDUOS HOSPITALARIOS"))))))))))))))))))))))))))))))))))))</f>
        <v>ATENCION INTEGRAL EN ENFERMEDADES PREVALENTES EN PRIMERA INFANCIA (AIEPI)</v>
      </c>
      <c r="V36" s="47" t="str">
        <f t="shared" si="0"/>
        <v>Didier Eleiter Cortes Castillo</v>
      </c>
      <c r="W36" s="47" t="str">
        <f t="shared" si="1"/>
        <v>Didier Eleiter Cortes Castillo</v>
      </c>
      <c r="X36" s="47" t="str">
        <f t="shared" si="2"/>
        <v>Didier Eleiter Cortes Castillo-1087122975-AIEPI</v>
      </c>
    </row>
    <row r="37" spans="1:24" x14ac:dyDescent="0.2">
      <c r="A37" s="46">
        <v>36</v>
      </c>
      <c r="B37" s="54">
        <v>16502526</v>
      </c>
      <c r="C37" s="54" t="s">
        <v>197</v>
      </c>
      <c r="D37" s="54" t="s">
        <v>198</v>
      </c>
      <c r="E37" s="54" t="s">
        <v>199</v>
      </c>
      <c r="F37" s="54"/>
      <c r="G37" s="54">
        <v>6</v>
      </c>
      <c r="H37" s="54" t="s">
        <v>100</v>
      </c>
      <c r="I37" s="55" t="s">
        <v>92</v>
      </c>
      <c r="J37" s="56">
        <v>45602</v>
      </c>
      <c r="K37" s="108">
        <v>70000</v>
      </c>
      <c r="L37" s="54" t="s">
        <v>139</v>
      </c>
      <c r="M37" s="54" t="s">
        <v>80</v>
      </c>
      <c r="N37" s="54" t="s">
        <v>186</v>
      </c>
      <c r="O37" s="43" t="s">
        <v>19</v>
      </c>
      <c r="P37" s="55">
        <v>26699</v>
      </c>
      <c r="Q37" s="54" t="s">
        <v>148</v>
      </c>
      <c r="R37" s="54" t="s">
        <v>189</v>
      </c>
      <c r="S37" s="54"/>
      <c r="T37" s="54"/>
      <c r="U37" s="47" t="str">
        <f>IF(O37=CURSOS!$D$3,"DIPLOMADO EN ATENCION PRE-HOSPITALARIA",IF(O37=CURSOS!$D$4,"ACOMPAÑAMIENTO Y MANEJO DEL DUELO",IF(O37=CURSOS!$D$5,"ATENCION A VICTIMAS DE ATAQUE CON AGENTES QUIMICOS ",IF(O37=CURSOS!$D$6,"PRIMEROS AUXILIOS ",IF(O37=CURSOS!$D$7,"DIPLOMADO DE UNIDAD DE CUIDADOS INTENSIVOS (UCI)",IF(O37=CURSOS!$D$8,"MODELO DE ATENCION PARA EVENTOS EMERGENTES EN SALUD MENTAL (CODIGO VERDE)",IF(O37=CURSOS!$D$9,"HUMANIZACION EN EL SERVICIO DE LA SALUD Y BUENAS PRACTICAS EN PACIENTE ",IF(O37=CURSOS!$D$10,"CLINICA DE HERIDAS ",IF(O37=CURSOS!$D$11,"TOMA DE CITOLOGIA CERVICO VAGINAL ",IF(O37=CURSOS!$D$12,"SOPORTE CARDIOVASCULAR AVANZADO (ACLS) ",IF(O37=CURSOS!$D$13,"CAMILLERO ",IF(O37=CURSOS!$D$14,"TOMA DE MUESTRAS Y LABORATORIO ",IF(O37=CURSOS!$D$15,"SOPORTE VITAL BASICO (BLS)",IF(O37=CURSOS!$D$16,"ATENCION A VICTIMAS DE VIOLENCIA SEXUAL ",IF(O37=CURSOS!$D$17,"PROGRAMADO AMPLIADO DE INMUNIZACION (PAI - COVID 19)",IF(O37=CURSOS!$D$18,"ATENCION INTEGRAL EN ENFERMEDADES PREVALENTES EN PRIMERA INFANCIA (AIEPI)",IF(O37=CURSOS!$D$19,"ADMINISTRACION DE MEDICAMENTOS, INYECTOLOGIA  Y CANALIZACION ",IF(O37=CURSOS!$D$20,"OPERADOR DE VEHICULOS DE EMERGENCIA (OVE)",IF(O37=CURSOS!$D$21,"INSTITUCIONES AMIGAS DE LA MUJER Y LA INFANCIA (IAMI)",IF(O37=CURSOS!$D$22,"CUIDADO DEL DONANTE DE ORGANOS",IF(O37=CURSOS!$D$23,"ATENCION A VICTIMAS POR VIOLENCIA DE GENERO",IF(O37=CURSOS!$D$24,"IGUALDAD DE GENERO EN LA SALUD",IF(O37=CURSOS!$D$25,"BRIGADA DE EMERGENCIA",IF(O37=CURSOS!$D$26,"MANEJO DEL DOLOR Y CUIDADOS PALIATIVOS",IF(O37=CURSOS!$D$27,"TOMA DE MUESTRAS Y LABORATORIO POCT",IF(O37=CURSOS!$D$28,"IMPLANTE SUBDERMICO DE DISPOSITIVO INTRAUTERINO",IF(O37=CURSOS!$D$29,"SALUD MENTAL",IF(O37=CURSOS!$D$30,"PRIMEROS AUXILIOS PSICOLOGICOS",IF(O37=CURSOS!$D$31,"ATENCION A VICTIMAS POR CONFLICTO ARMADO",IF(O37=CURSOS!$D$32,"MANIPULACION DE ALIMENTOS Y BPM",IF(O37=CURSOS!$D$33,"ATENCION A PERSONAS CON DISCAPACIDAD",IF(O37=CURSOS!$D$34,"CUIDADO INTEGRAL DEL PACIENTE ADULTO",IF(O37=CURSOS!$D$35,"MANEJO DEFENSIVO",IF(O37=CURSOS!$D$36,"SOPORTE CARDIOVASCULAR AVANZADO NEONATAL",IF(O37=CURSOS!$D$37,"SEGURIDAD DEL PACIENTE",IF(O37=CURSOS!$D$38,"MANEJO DE RESIDUOS HOSPITALARIOS"))))))))))))))))))))))))))))))))))))</f>
        <v>SOPORTE VITAL BASICO (BLS)</v>
      </c>
      <c r="V37" s="47" t="str">
        <f t="shared" si="0"/>
        <v>Arnulfo  Quiñones Murillo</v>
      </c>
      <c r="W37" s="47" t="str">
        <f t="shared" si="1"/>
        <v>Arnulfo  Quiñones Murillo</v>
      </c>
      <c r="X37" s="47" t="str">
        <f t="shared" si="2"/>
        <v>Arnulfo  Quiñones Murillo-16502526-BLS</v>
      </c>
    </row>
    <row r="38" spans="1:24" x14ac:dyDescent="0.2">
      <c r="A38" s="46">
        <v>37</v>
      </c>
      <c r="B38" s="54">
        <v>1088737462</v>
      </c>
      <c r="C38" s="54" t="s">
        <v>200</v>
      </c>
      <c r="D38" s="54" t="s">
        <v>201</v>
      </c>
      <c r="E38" s="54" t="s">
        <v>202</v>
      </c>
      <c r="F38" s="54" t="s">
        <v>203</v>
      </c>
      <c r="G38" s="54">
        <v>6</v>
      </c>
      <c r="H38" s="54" t="s">
        <v>100</v>
      </c>
      <c r="I38" s="55" t="s">
        <v>146</v>
      </c>
      <c r="J38" s="56">
        <v>45603</v>
      </c>
      <c r="K38" s="108">
        <v>28000</v>
      </c>
      <c r="L38" s="54" t="s">
        <v>235</v>
      </c>
      <c r="M38" s="54" t="s">
        <v>80</v>
      </c>
      <c r="N38" s="54" t="s">
        <v>159</v>
      </c>
      <c r="O38" s="43" t="s">
        <v>19</v>
      </c>
      <c r="P38" s="55"/>
      <c r="Q38" s="54" t="s">
        <v>89</v>
      </c>
      <c r="R38" s="54" t="s">
        <v>189</v>
      </c>
      <c r="S38" s="54">
        <v>3225460268</v>
      </c>
      <c r="T38" s="57" t="s">
        <v>204</v>
      </c>
      <c r="U38" s="47" t="str">
        <f>IF(O38=CURSOS!$D$3,"DIPLOMADO EN ATENCION PRE-HOSPITALARIA",IF(O38=CURSOS!$D$4,"ACOMPAÑAMIENTO Y MANEJO DEL DUELO",IF(O38=CURSOS!$D$5,"ATENCION A VICTIMAS DE ATAQUE CON AGENTES QUIMICOS ",IF(O38=CURSOS!$D$6,"PRIMEROS AUXILIOS ",IF(O38=CURSOS!$D$7,"DIPLOMADO DE UNIDAD DE CUIDADOS INTENSIVOS (UCI)",IF(O38=CURSOS!$D$8,"MODELO DE ATENCION PARA EVENTOS EMERGENTES EN SALUD MENTAL (CODIGO VERDE)",IF(O38=CURSOS!$D$9,"HUMANIZACION EN EL SERVICIO DE LA SALUD Y BUENAS PRACTICAS EN PACIENTE ",IF(O38=CURSOS!$D$10,"CLINICA DE HERIDAS ",IF(O38=CURSOS!$D$11,"TOMA DE CITOLOGIA CERVICO VAGINAL ",IF(O38=CURSOS!$D$12,"SOPORTE CARDIOVASCULAR AVANZADO (ACLS) ",IF(O38=CURSOS!$D$13,"CAMILLERO ",IF(O38=CURSOS!$D$14,"TOMA DE MUESTRAS Y LABORATORIO ",IF(O38=CURSOS!$D$15,"SOPORTE VITAL BASICO (BLS)",IF(O38=CURSOS!$D$16,"ATENCION A VICTIMAS DE VIOLENCIA SEXUAL ",IF(O38=CURSOS!$D$17,"PROGRAMADO AMPLIADO DE INMUNIZACION (PAI - COVID 19)",IF(O38=CURSOS!$D$18,"ATENCION INTEGRAL EN ENFERMEDADES PREVALENTES EN PRIMERA INFANCIA (AIEPI)",IF(O38=CURSOS!$D$19,"ADMINISTRACION DE MEDICAMENTOS, INYECTOLOGIA  Y CANALIZACION ",IF(O38=CURSOS!$D$20,"OPERADOR DE VEHICULOS DE EMERGENCIA (OVE)",IF(O38=CURSOS!$D$21,"INSTITUCIONES AMIGAS DE LA MUJER Y LA INFANCIA (IAMI)",IF(O38=CURSOS!$D$22,"CUIDADO DEL DONANTE DE ORGANOS",IF(O38=CURSOS!$D$23,"ATENCION A VICTIMAS POR VIOLENCIA DE GENERO",IF(O38=CURSOS!$D$24,"IGUALDAD DE GENERO EN LA SALUD",IF(O38=CURSOS!$D$25,"BRIGADA DE EMERGENCIA",IF(O38=CURSOS!$D$26,"MANEJO DEL DOLOR Y CUIDADOS PALIATIVOS",IF(O38=CURSOS!$D$27,"TOMA DE MUESTRAS Y LABORATORIO POCT",IF(O38=CURSOS!$D$28,"IMPLANTE SUBDERMICO DE DISPOSITIVO INTRAUTERINO",IF(O38=CURSOS!$D$29,"SALUD MENTAL",IF(O38=CURSOS!$D$30,"PRIMEROS AUXILIOS PSICOLOGICOS",IF(O38=CURSOS!$D$31,"ATENCION A VICTIMAS POR CONFLICTO ARMADO",IF(O38=CURSOS!$D$32,"MANIPULACION DE ALIMENTOS Y BPM",IF(O38=CURSOS!$D$33,"ATENCION A PERSONAS CON DISCAPACIDAD",IF(O38=CURSOS!$D$34,"CUIDADO INTEGRAL DEL PACIENTE ADULTO",IF(O38=CURSOS!$D$35,"MANEJO DEFENSIVO",IF(O38=CURSOS!$D$36,"SOPORTE CARDIOVASCULAR AVANZADO NEONATAL",IF(O38=CURSOS!$D$37,"SEGURIDAD DEL PACIENTE",IF(O38=CURSOS!$D$38,"MANEJO DE RESIDUOS HOSPITALARIOS"))))))))))))))))))))))))))))))))))))</f>
        <v>SOPORTE VITAL BASICO (BLS)</v>
      </c>
      <c r="V38" s="47" t="str">
        <f t="shared" si="0"/>
        <v>Johana Madeleiner Toro Córdoba</v>
      </c>
      <c r="W38" s="47" t="str">
        <f t="shared" si="1"/>
        <v>Johana Madeleiner Toro Córdoba</v>
      </c>
      <c r="X38" s="47" t="str">
        <f t="shared" si="2"/>
        <v>Johana Madeleiner Toro Córdoba-1088737462-BLS</v>
      </c>
    </row>
    <row r="39" spans="1:24" x14ac:dyDescent="0.2">
      <c r="A39" s="46">
        <v>38</v>
      </c>
      <c r="B39" s="54">
        <v>1088737462</v>
      </c>
      <c r="C39" s="54" t="s">
        <v>200</v>
      </c>
      <c r="D39" s="54" t="s">
        <v>201</v>
      </c>
      <c r="E39" s="54" t="s">
        <v>202</v>
      </c>
      <c r="F39" s="54" t="s">
        <v>203</v>
      </c>
      <c r="G39" s="54">
        <v>5</v>
      </c>
      <c r="H39" s="54" t="s">
        <v>100</v>
      </c>
      <c r="I39" s="55" t="s">
        <v>146</v>
      </c>
      <c r="J39" s="56">
        <v>45603</v>
      </c>
      <c r="K39" s="108">
        <v>28000</v>
      </c>
      <c r="L39" s="54" t="s">
        <v>235</v>
      </c>
      <c r="M39" s="54" t="s">
        <v>80</v>
      </c>
      <c r="N39" s="54" t="s">
        <v>159</v>
      </c>
      <c r="O39" s="43" t="s">
        <v>42</v>
      </c>
      <c r="P39" s="55"/>
      <c r="Q39" s="54" t="s">
        <v>89</v>
      </c>
      <c r="R39" s="54" t="s">
        <v>189</v>
      </c>
      <c r="S39" s="57">
        <v>3225460268</v>
      </c>
      <c r="T39" s="54" t="s">
        <v>204</v>
      </c>
      <c r="U39" s="47" t="str">
        <f>IF(O39=CURSOS!$D$3,"DIPLOMADO EN ATENCION PRE-HOSPITALARIA",IF(O39=CURSOS!$D$4,"ACOMPAÑAMIENTO Y MANEJO DEL DUELO",IF(O39=CURSOS!$D$5,"ATENCION A VICTIMAS DE ATAQUE CON AGENTES QUIMICOS ",IF(O39=CURSOS!$D$6,"PRIMEROS AUXILIOS ",IF(O39=CURSOS!$D$7,"DIPLOMADO DE UNIDAD DE CUIDADOS INTENSIVOS (UCI)",IF(O39=CURSOS!$D$8,"MODELO DE ATENCION PARA EVENTOS EMERGENTES EN SALUD MENTAL (CODIGO VERDE)",IF(O39=CURSOS!$D$9,"HUMANIZACION EN EL SERVICIO DE LA SALUD Y BUENAS PRACTICAS EN PACIENTE ",IF(O39=CURSOS!$D$10,"CLINICA DE HERIDAS ",IF(O39=CURSOS!$D$11,"TOMA DE CITOLOGIA CERVICO VAGINAL ",IF(O39=CURSOS!$D$12,"SOPORTE CARDIOVASCULAR AVANZADO (ACLS) ",IF(O39=CURSOS!$D$13,"CAMILLERO ",IF(O39=CURSOS!$D$14,"TOMA DE MUESTRAS Y LABORATORIO ",IF(O39=CURSOS!$D$15,"SOPORTE VITAL BASICO (BLS)",IF(O39=CURSOS!$D$16,"ATENCION A VICTIMAS DE VIOLENCIA SEXUAL ",IF(O39=CURSOS!$D$17,"PROGRAMADO AMPLIADO DE INMUNIZACION (PAI - COVID 19)",IF(O39=CURSOS!$D$18,"ATENCION INTEGRAL EN ENFERMEDADES PREVALENTES EN PRIMERA INFANCIA (AIEPI)",IF(O39=CURSOS!$D$19,"ADMINISTRACION DE MEDICAMENTOS, INYECTOLOGIA  Y CANALIZACION ",IF(O39=CURSOS!$D$20,"OPERADOR DE VEHICULOS DE EMERGENCIA (OVE)",IF(O39=CURSOS!$D$21,"INSTITUCIONES AMIGAS DE LA MUJER Y LA INFANCIA (IAMI)",IF(O39=CURSOS!$D$22,"CUIDADO DEL DONANTE DE ORGANOS",IF(O39=CURSOS!$D$23,"ATENCION A VICTIMAS POR VIOLENCIA DE GENERO",IF(O39=CURSOS!$D$24,"IGUALDAD DE GENERO EN LA SALUD",IF(O39=CURSOS!$D$25,"BRIGADA DE EMERGENCIA",IF(O39=CURSOS!$D$26,"MANEJO DEL DOLOR Y CUIDADOS PALIATIVOS",IF(O39=CURSOS!$D$27,"TOMA DE MUESTRAS Y LABORATORIO POCT",IF(O39=CURSOS!$D$28,"IMPLANTE SUBDERMICO DE DISPOSITIVO INTRAUTERINO",IF(O39=CURSOS!$D$29,"SALUD MENTAL",IF(O39=CURSOS!$D$30,"PRIMEROS AUXILIOS PSICOLOGICOS",IF(O39=CURSOS!$D$31,"ATENCION A VICTIMAS POR CONFLICTO ARMADO",IF(O39=CURSOS!$D$32,"MANIPULACION DE ALIMENTOS Y BPM",IF(O39=CURSOS!$D$33,"ATENCION A PERSONAS CON DISCAPACIDAD",IF(O39=CURSOS!$D$34,"CUIDADO INTEGRAL DEL PACIENTE ADULTO",IF(O39=CURSOS!$D$35,"MANEJO DEFENSIVO",IF(O39=CURSOS!$D$36,"SOPORTE CARDIOVASCULAR AVANZADO NEONATAL",IF(O39=CURSOS!$D$37,"SEGURIDAD DEL PACIENTE",IF(O39=CURSOS!$D$38,"MANEJO DE RESIDUOS HOSPITALARIOS"))))))))))))))))))))))))))))))))))))</f>
        <v xml:space="preserve">ATENCION A VICTIMAS DE VIOLENCIA SEXUAL </v>
      </c>
      <c r="V39" s="47" t="str">
        <f t="shared" si="0"/>
        <v>Johana Madeleiner Toro Córdoba</v>
      </c>
      <c r="W39" s="47" t="str">
        <f t="shared" si="1"/>
        <v>Johana Madeleiner Toro Córdoba</v>
      </c>
      <c r="X39" s="47" t="str">
        <f t="shared" si="2"/>
        <v>Johana Madeleiner Toro Córdoba-1088737462-VIOLENCIA SEXUAL</v>
      </c>
    </row>
    <row r="40" spans="1:24" x14ac:dyDescent="0.2">
      <c r="A40" s="46">
        <v>39</v>
      </c>
      <c r="B40" s="54">
        <v>1088737462</v>
      </c>
      <c r="C40" s="54" t="s">
        <v>200</v>
      </c>
      <c r="D40" s="54" t="s">
        <v>201</v>
      </c>
      <c r="E40" s="54" t="s">
        <v>202</v>
      </c>
      <c r="F40" s="54" t="s">
        <v>203</v>
      </c>
      <c r="G40" s="54">
        <v>2</v>
      </c>
      <c r="H40" s="54" t="s">
        <v>100</v>
      </c>
      <c r="I40" s="55" t="s">
        <v>146</v>
      </c>
      <c r="J40" s="56">
        <v>45603</v>
      </c>
      <c r="K40" s="108">
        <v>28000</v>
      </c>
      <c r="L40" s="54" t="s">
        <v>235</v>
      </c>
      <c r="M40" s="54" t="s">
        <v>80</v>
      </c>
      <c r="N40" s="54" t="s">
        <v>159</v>
      </c>
      <c r="O40" s="43" t="s">
        <v>25</v>
      </c>
      <c r="P40" s="55"/>
      <c r="Q40" s="54" t="s">
        <v>89</v>
      </c>
      <c r="R40" s="54" t="s">
        <v>189</v>
      </c>
      <c r="S40" s="57">
        <v>3225460268</v>
      </c>
      <c r="T40" s="57" t="s">
        <v>204</v>
      </c>
      <c r="U40" s="47" t="str">
        <f>IF(O40=CURSOS!$D$3,"DIPLOMADO EN ATENCION PRE-HOSPITALARIA",IF(O40=CURSOS!$D$4,"ACOMPAÑAMIENTO Y MANEJO DEL DUELO",IF(O40=CURSOS!$D$5,"ATENCION A VICTIMAS DE ATAQUE CON AGENTES QUIMICOS ",IF(O40=CURSOS!$D$6,"PRIMEROS AUXILIOS ",IF(O40=CURSOS!$D$7,"DIPLOMADO DE UNIDAD DE CUIDADOS INTENSIVOS (UCI)",IF(O40=CURSOS!$D$8,"MODELO DE ATENCION PARA EVENTOS EMERGENTES EN SALUD MENTAL (CODIGO VERDE)",IF(O40=CURSOS!$D$9,"HUMANIZACION EN EL SERVICIO DE LA SALUD Y BUENAS PRACTICAS EN PACIENTE ",IF(O40=CURSOS!$D$10,"CLINICA DE HERIDAS ",IF(O40=CURSOS!$D$11,"TOMA DE CITOLOGIA CERVICO VAGINAL ",IF(O40=CURSOS!$D$12,"SOPORTE CARDIOVASCULAR AVANZADO (ACLS) ",IF(O40=CURSOS!$D$13,"CAMILLERO ",IF(O40=CURSOS!$D$14,"TOMA DE MUESTRAS Y LABORATORIO ",IF(O40=CURSOS!$D$15,"SOPORTE VITAL BASICO (BLS)",IF(O40=CURSOS!$D$16,"ATENCION A VICTIMAS DE VIOLENCIA SEXUAL ",IF(O40=CURSOS!$D$17,"PROGRAMADO AMPLIADO DE INMUNIZACION (PAI - COVID 19)",IF(O40=CURSOS!$D$18,"ATENCION INTEGRAL EN ENFERMEDADES PREVALENTES EN PRIMERA INFANCIA (AIEPI)",IF(O40=CURSOS!$D$19,"ADMINISTRACION DE MEDICAMENTOS, INYECTOLOGIA  Y CANALIZACION ",IF(O40=CURSOS!$D$20,"OPERADOR DE VEHICULOS DE EMERGENCIA (OVE)",IF(O40=CURSOS!$D$21,"INSTITUCIONES AMIGAS DE LA MUJER Y LA INFANCIA (IAMI)",IF(O40=CURSOS!$D$22,"CUIDADO DEL DONANTE DE ORGANOS",IF(O40=CURSOS!$D$23,"ATENCION A VICTIMAS POR VIOLENCIA DE GENERO",IF(O40=CURSOS!$D$24,"IGUALDAD DE GENERO EN LA SALUD",IF(O40=CURSOS!$D$25,"BRIGADA DE EMERGENCIA",IF(O40=CURSOS!$D$26,"MANEJO DEL DOLOR Y CUIDADOS PALIATIVOS",IF(O40=CURSOS!$D$27,"TOMA DE MUESTRAS Y LABORATORIO POCT",IF(O40=CURSOS!$D$28,"IMPLANTE SUBDERMICO DE DISPOSITIVO INTRAUTERINO",IF(O40=CURSOS!$D$29,"SALUD MENTAL",IF(O40=CURSOS!$D$30,"PRIMEROS AUXILIOS PSICOLOGICOS",IF(O40=CURSOS!$D$31,"ATENCION A VICTIMAS POR CONFLICTO ARMADO",IF(O40=CURSOS!$D$32,"MANIPULACION DE ALIMENTOS Y BPM",IF(O40=CURSOS!$D$33,"ATENCION A PERSONAS CON DISCAPACIDAD",IF(O40=CURSOS!$D$34,"CUIDADO INTEGRAL DEL PACIENTE ADULTO",IF(O40=CURSOS!$D$35,"MANEJO DEFENSIVO",IF(O40=CURSOS!$D$36,"SOPORTE CARDIOVASCULAR AVANZADO NEONATAL",IF(O40=CURSOS!$D$37,"SEGURIDAD DEL PACIENTE",IF(O40=CURSOS!$D$38,"MANEJO DE RESIDUOS HOSPITALARIOS"))))))))))))))))))))))))))))))))))))</f>
        <v xml:space="preserve">ATENCION A VICTIMAS DE ATAQUE CON AGENTES QUIMICOS </v>
      </c>
      <c r="V40" s="47" t="str">
        <f t="shared" si="0"/>
        <v>Johana Madeleiner Toro Córdoba</v>
      </c>
      <c r="W40" s="47" t="str">
        <f t="shared" si="1"/>
        <v>Johana Madeleiner Toro Córdoba</v>
      </c>
      <c r="X40" s="47" t="str">
        <f t="shared" si="2"/>
        <v>Johana Madeleiner Toro Córdoba-1088737462-QUIMICOS</v>
      </c>
    </row>
    <row r="41" spans="1:24" x14ac:dyDescent="0.2">
      <c r="A41" s="46">
        <v>40</v>
      </c>
      <c r="B41" s="54">
        <v>1004696103</v>
      </c>
      <c r="C41" s="54" t="s">
        <v>205</v>
      </c>
      <c r="D41" s="54" t="s">
        <v>206</v>
      </c>
      <c r="E41" s="54" t="s">
        <v>131</v>
      </c>
      <c r="F41" s="54" t="s">
        <v>207</v>
      </c>
      <c r="G41" s="54">
        <v>6</v>
      </c>
      <c r="H41" s="54" t="s">
        <v>100</v>
      </c>
      <c r="I41" s="55" t="s">
        <v>146</v>
      </c>
      <c r="J41" s="56">
        <v>45603</v>
      </c>
      <c r="K41" s="108">
        <v>28000</v>
      </c>
      <c r="L41" s="54" t="s">
        <v>235</v>
      </c>
      <c r="M41" s="54" t="s">
        <v>80</v>
      </c>
      <c r="N41" s="54" t="s">
        <v>159</v>
      </c>
      <c r="O41" s="43" t="s">
        <v>44</v>
      </c>
      <c r="P41" s="55">
        <v>37095</v>
      </c>
      <c r="Q41" s="54" t="s">
        <v>89</v>
      </c>
      <c r="R41" s="57" t="s">
        <v>208</v>
      </c>
      <c r="S41" s="54">
        <v>3205368493</v>
      </c>
      <c r="T41" s="54" t="s">
        <v>209</v>
      </c>
      <c r="U41" s="47" t="str">
        <f>IF(O41=CURSOS!$D$3,"DIPLOMADO EN ATENCION PRE-HOSPITALARIA",IF(O41=CURSOS!$D$4,"ACOMPAÑAMIENTO Y MANEJO DEL DUELO",IF(O41=CURSOS!$D$5,"ATENCION A VICTIMAS DE ATAQUE CON AGENTES QUIMICOS ",IF(O41=CURSOS!$D$6,"PRIMEROS AUXILIOS ",IF(O41=CURSOS!$D$7,"DIPLOMADO DE UNIDAD DE CUIDADOS INTENSIVOS (UCI)",IF(O41=CURSOS!$D$8,"MODELO DE ATENCION PARA EVENTOS EMERGENTES EN SALUD MENTAL (CODIGO VERDE)",IF(O41=CURSOS!$D$9,"HUMANIZACION EN EL SERVICIO DE LA SALUD Y BUENAS PRACTICAS EN PACIENTE ",IF(O41=CURSOS!$D$10,"CLINICA DE HERIDAS ",IF(O41=CURSOS!$D$11,"TOMA DE CITOLOGIA CERVICO VAGINAL ",IF(O41=CURSOS!$D$12,"SOPORTE CARDIOVASCULAR AVANZADO (ACLS) ",IF(O41=CURSOS!$D$13,"CAMILLERO ",IF(O41=CURSOS!$D$14,"TOMA DE MUESTRAS Y LABORATORIO ",IF(O41=CURSOS!$D$15,"SOPORTE VITAL BASICO (BLS)",IF(O41=CURSOS!$D$16,"ATENCION A VICTIMAS DE VIOLENCIA SEXUAL ",IF(O41=CURSOS!$D$17,"PROGRAMADO AMPLIADO DE INMUNIZACION (PAI - COVID 19)",IF(O41=CURSOS!$D$18,"ATENCION INTEGRAL EN ENFERMEDADES PREVALENTES EN PRIMERA INFANCIA (AIEPI)",IF(O41=CURSOS!$D$19,"ADMINISTRACION DE MEDICAMENTOS, INYECTOLOGIA  Y CANALIZACION ",IF(O41=CURSOS!$D$20,"OPERADOR DE VEHICULOS DE EMERGENCIA (OVE)",IF(O41=CURSOS!$D$21,"INSTITUCIONES AMIGAS DE LA MUJER Y LA INFANCIA (IAMI)",IF(O41=CURSOS!$D$22,"CUIDADO DEL DONANTE DE ORGANOS",IF(O41=CURSOS!$D$23,"ATENCION A VICTIMAS POR VIOLENCIA DE GENERO",IF(O41=CURSOS!$D$24,"IGUALDAD DE GENERO EN LA SALUD",IF(O41=CURSOS!$D$25,"BRIGADA DE EMERGENCIA",IF(O41=CURSOS!$D$26,"MANEJO DEL DOLOR Y CUIDADOS PALIATIVOS",IF(O41=CURSOS!$D$27,"TOMA DE MUESTRAS Y LABORATORIO POCT",IF(O41=CURSOS!$D$28,"IMPLANTE SUBDERMICO DE DISPOSITIVO INTRAUTERINO",IF(O41=CURSOS!$D$29,"SALUD MENTAL",IF(O41=CURSOS!$D$30,"PRIMEROS AUXILIOS PSICOLOGICOS",IF(O41=CURSOS!$D$31,"ATENCION A VICTIMAS POR CONFLICTO ARMADO",IF(O41=CURSOS!$D$32,"MANIPULACION DE ALIMENTOS Y BPM",IF(O41=CURSOS!$D$33,"ATENCION A PERSONAS CON DISCAPACIDAD",IF(O41=CURSOS!$D$34,"CUIDADO INTEGRAL DEL PACIENTE ADULTO",IF(O41=CURSOS!$D$35,"MANEJO DEFENSIVO",IF(O41=CURSOS!$D$36,"SOPORTE CARDIOVASCULAR AVANZADO NEONATAL",IF(O41=CURSOS!$D$37,"SEGURIDAD DEL PACIENTE",IF(O41=CURSOS!$D$38,"MANEJO DE RESIDUOS HOSPITALARIOS"))))))))))))))))))))))))))))))))))))</f>
        <v>ATENCION INTEGRAL EN ENFERMEDADES PREVALENTES EN PRIMERA INFANCIA (AIEPI)</v>
      </c>
      <c r="V41" s="47" t="str">
        <f t="shared" si="0"/>
        <v>Karol Yuliana Andrade Hernández</v>
      </c>
      <c r="W41" s="47" t="str">
        <f t="shared" si="1"/>
        <v>Karol Yuliana Andrade Hernández</v>
      </c>
      <c r="X41" s="47" t="str">
        <f t="shared" si="2"/>
        <v>Karol Yuliana Andrade Hernández-1004696103-AIEPI</v>
      </c>
    </row>
    <row r="42" spans="1:24" x14ac:dyDescent="0.2">
      <c r="A42" s="46">
        <v>41</v>
      </c>
      <c r="B42" s="54">
        <v>1004696103</v>
      </c>
      <c r="C42" s="54" t="s">
        <v>205</v>
      </c>
      <c r="D42" s="54" t="s">
        <v>206</v>
      </c>
      <c r="E42" s="54" t="s">
        <v>131</v>
      </c>
      <c r="F42" s="54" t="s">
        <v>207</v>
      </c>
      <c r="G42" s="54">
        <v>5</v>
      </c>
      <c r="H42" s="54" t="s">
        <v>100</v>
      </c>
      <c r="I42" s="55" t="s">
        <v>146</v>
      </c>
      <c r="J42" s="56">
        <v>45603</v>
      </c>
      <c r="K42" s="108">
        <v>28000</v>
      </c>
      <c r="L42" s="54" t="s">
        <v>235</v>
      </c>
      <c r="M42" s="54" t="s">
        <v>80</v>
      </c>
      <c r="N42" s="54" t="s">
        <v>159</v>
      </c>
      <c r="O42" s="43" t="s">
        <v>32</v>
      </c>
      <c r="P42" s="55">
        <v>37095</v>
      </c>
      <c r="Q42" s="54" t="s">
        <v>89</v>
      </c>
      <c r="R42" s="57" t="s">
        <v>208</v>
      </c>
      <c r="S42" s="54">
        <v>3205368493</v>
      </c>
      <c r="T42" s="54" t="s">
        <v>209</v>
      </c>
      <c r="U42" s="47" t="str">
        <f>IF(O42=CURSOS!$D$3,"DIPLOMADO EN ATENCION PRE-HOSPITALARIA",IF(O42=CURSOS!$D$4,"ACOMPAÑAMIENTO Y MANEJO DEL DUELO",IF(O42=CURSOS!$D$5,"ATENCION A VICTIMAS DE ATAQUE CON AGENTES QUIMICOS ",IF(O42=CURSOS!$D$6,"PRIMEROS AUXILIOS ",IF(O42=CURSOS!$D$7,"DIPLOMADO DE UNIDAD DE CUIDADOS INTENSIVOS (UCI)",IF(O42=CURSOS!$D$8,"MODELO DE ATENCION PARA EVENTOS EMERGENTES EN SALUD MENTAL (CODIGO VERDE)",IF(O42=CURSOS!$D$9,"HUMANIZACION EN EL SERVICIO DE LA SALUD Y BUENAS PRACTICAS EN PACIENTE ",IF(O42=CURSOS!$D$10,"CLINICA DE HERIDAS ",IF(O42=CURSOS!$D$11,"TOMA DE CITOLOGIA CERVICO VAGINAL ",IF(O42=CURSOS!$D$12,"SOPORTE CARDIOVASCULAR AVANZADO (ACLS) ",IF(O42=CURSOS!$D$13,"CAMILLERO ",IF(O42=CURSOS!$D$14,"TOMA DE MUESTRAS Y LABORATORIO ",IF(O42=CURSOS!$D$15,"SOPORTE VITAL BASICO (BLS)",IF(O42=CURSOS!$D$16,"ATENCION A VICTIMAS DE VIOLENCIA SEXUAL ",IF(O42=CURSOS!$D$17,"PROGRAMADO AMPLIADO DE INMUNIZACION (PAI - COVID 19)",IF(O42=CURSOS!$D$18,"ATENCION INTEGRAL EN ENFERMEDADES PREVALENTES EN PRIMERA INFANCIA (AIEPI)",IF(O42=CURSOS!$D$19,"ADMINISTRACION DE MEDICAMENTOS, INYECTOLOGIA  Y CANALIZACION ",IF(O42=CURSOS!$D$20,"OPERADOR DE VEHICULOS DE EMERGENCIA (OVE)",IF(O42=CURSOS!$D$21,"INSTITUCIONES AMIGAS DE LA MUJER Y LA INFANCIA (IAMI)",IF(O42=CURSOS!$D$22,"CUIDADO DEL DONANTE DE ORGANOS",IF(O42=CURSOS!$D$23,"ATENCION A VICTIMAS POR VIOLENCIA DE GENERO",IF(O42=CURSOS!$D$24,"IGUALDAD DE GENERO EN LA SALUD",IF(O42=CURSOS!$D$25,"BRIGADA DE EMERGENCIA",IF(O42=CURSOS!$D$26,"MANEJO DEL DOLOR Y CUIDADOS PALIATIVOS",IF(O42=CURSOS!$D$27,"TOMA DE MUESTRAS Y LABORATORIO POCT",IF(O42=CURSOS!$D$28,"IMPLANTE SUBDERMICO DE DISPOSITIVO INTRAUTERINO",IF(O42=CURSOS!$D$29,"SALUD MENTAL",IF(O42=CURSOS!$D$30,"PRIMEROS AUXILIOS PSICOLOGICOS",IF(O42=CURSOS!$D$31,"ATENCION A VICTIMAS POR CONFLICTO ARMADO",IF(O42=CURSOS!$D$32,"MANIPULACION DE ALIMENTOS Y BPM",IF(O42=CURSOS!$D$33,"ATENCION A PERSONAS CON DISCAPACIDAD",IF(O42=CURSOS!$D$34,"CUIDADO INTEGRAL DEL PACIENTE ADULTO",IF(O42=CURSOS!$D$35,"MANEJO DEFENSIVO",IF(O42=CURSOS!$D$36,"SOPORTE CARDIOVASCULAR AVANZADO NEONATAL",IF(O42=CURSOS!$D$37,"SEGURIDAD DEL PACIENTE",IF(O42=CURSOS!$D$38,"MANEJO DE RESIDUOS HOSPITALARIOS"))))))))))))))))))))))))))))))))))))</f>
        <v xml:space="preserve">HUMANIZACION EN EL SERVICIO DE LA SALUD Y BUENAS PRACTICAS EN PACIENTE </v>
      </c>
      <c r="V42" s="47" t="str">
        <f t="shared" si="0"/>
        <v>Karol Yuliana Andrade Hernández</v>
      </c>
      <c r="W42" s="47" t="str">
        <f t="shared" si="1"/>
        <v>Karol Yuliana Andrade Hernández</v>
      </c>
      <c r="X42" s="47" t="str">
        <f t="shared" si="2"/>
        <v>Karol Yuliana Andrade Hernández-1004696103-HUMANIZACION</v>
      </c>
    </row>
    <row r="43" spans="1:24" x14ac:dyDescent="0.2">
      <c r="A43" s="46">
        <v>42</v>
      </c>
      <c r="B43" s="54">
        <v>1004696103</v>
      </c>
      <c r="C43" s="54" t="s">
        <v>205</v>
      </c>
      <c r="D43" s="54" t="s">
        <v>206</v>
      </c>
      <c r="E43" s="54" t="s">
        <v>131</v>
      </c>
      <c r="F43" s="54" t="s">
        <v>207</v>
      </c>
      <c r="G43" s="54">
        <v>2</v>
      </c>
      <c r="H43" s="54" t="s">
        <v>100</v>
      </c>
      <c r="I43" s="55" t="s">
        <v>146</v>
      </c>
      <c r="J43" s="56">
        <v>45603</v>
      </c>
      <c r="K43" s="108">
        <v>100000</v>
      </c>
      <c r="L43" s="54" t="s">
        <v>235</v>
      </c>
      <c r="M43" s="54" t="s">
        <v>80</v>
      </c>
      <c r="N43" s="54" t="s">
        <v>159</v>
      </c>
      <c r="O43" s="43" t="s">
        <v>37</v>
      </c>
      <c r="P43" s="55">
        <v>37095</v>
      </c>
      <c r="Q43" s="54" t="s">
        <v>89</v>
      </c>
      <c r="R43" s="57" t="s">
        <v>208</v>
      </c>
      <c r="S43" s="54">
        <v>3205368493</v>
      </c>
      <c r="T43" s="54" t="s">
        <v>209</v>
      </c>
      <c r="U43" s="47" t="str">
        <f>IF(O43=CURSOS!$D$3,"DIPLOMADO EN ATENCION PRE-HOSPITALARIA",IF(O43=CURSOS!$D$4,"ACOMPAÑAMIENTO Y MANEJO DEL DUELO",IF(O43=CURSOS!$D$5,"ATENCION A VICTIMAS DE ATAQUE CON AGENTES QUIMICOS ",IF(O43=CURSOS!$D$6,"PRIMEROS AUXILIOS ",IF(O43=CURSOS!$D$7,"DIPLOMADO DE UNIDAD DE CUIDADOS INTENSIVOS (UCI)",IF(O43=CURSOS!$D$8,"MODELO DE ATENCION PARA EVENTOS EMERGENTES EN SALUD MENTAL (CODIGO VERDE)",IF(O43=CURSOS!$D$9,"HUMANIZACION EN EL SERVICIO DE LA SALUD Y BUENAS PRACTICAS EN PACIENTE ",IF(O43=CURSOS!$D$10,"CLINICA DE HERIDAS ",IF(O43=CURSOS!$D$11,"TOMA DE CITOLOGIA CERVICO VAGINAL ",IF(O43=CURSOS!$D$12,"SOPORTE CARDIOVASCULAR AVANZADO (ACLS) ",IF(O43=CURSOS!$D$13,"CAMILLERO ",IF(O43=CURSOS!$D$14,"TOMA DE MUESTRAS Y LABORATORIO ",IF(O43=CURSOS!$D$15,"SOPORTE VITAL BASICO (BLS)",IF(O43=CURSOS!$D$16,"ATENCION A VICTIMAS DE VIOLENCIA SEXUAL ",IF(O43=CURSOS!$D$17,"PROGRAMADO AMPLIADO DE INMUNIZACION (PAI - COVID 19)",IF(O43=CURSOS!$D$18,"ATENCION INTEGRAL EN ENFERMEDADES PREVALENTES EN PRIMERA INFANCIA (AIEPI)",IF(O43=CURSOS!$D$19,"ADMINISTRACION DE MEDICAMENTOS, INYECTOLOGIA  Y CANALIZACION ",IF(O43=CURSOS!$D$20,"OPERADOR DE VEHICULOS DE EMERGENCIA (OVE)",IF(O43=CURSOS!$D$21,"INSTITUCIONES AMIGAS DE LA MUJER Y LA INFANCIA (IAMI)",IF(O43=CURSOS!$D$22,"CUIDADO DEL DONANTE DE ORGANOS",IF(O43=CURSOS!$D$23,"ATENCION A VICTIMAS POR VIOLENCIA DE GENERO",IF(O43=CURSOS!$D$24,"IGUALDAD DE GENERO EN LA SALUD",IF(O43=CURSOS!$D$25,"BRIGADA DE EMERGENCIA",IF(O43=CURSOS!$D$26,"MANEJO DEL DOLOR Y CUIDADOS PALIATIVOS",IF(O43=CURSOS!$D$27,"TOMA DE MUESTRAS Y LABORATORIO POCT",IF(O43=CURSOS!$D$28,"IMPLANTE SUBDERMICO DE DISPOSITIVO INTRAUTERINO",IF(O43=CURSOS!$D$29,"SALUD MENTAL",IF(O43=CURSOS!$D$30,"PRIMEROS AUXILIOS PSICOLOGICOS",IF(O43=CURSOS!$D$31,"ATENCION A VICTIMAS POR CONFLICTO ARMADO",IF(O43=CURSOS!$D$32,"MANIPULACION DE ALIMENTOS Y BPM",IF(O43=CURSOS!$D$33,"ATENCION A PERSONAS CON DISCAPACIDAD",IF(O43=CURSOS!$D$34,"CUIDADO INTEGRAL DEL PACIENTE ADULTO",IF(O43=CURSOS!$D$35,"MANEJO DEFENSIVO",IF(O43=CURSOS!$D$36,"SOPORTE CARDIOVASCULAR AVANZADO NEONATAL",IF(O43=CURSOS!$D$37,"SEGURIDAD DEL PACIENTE",IF(O43=CURSOS!$D$38,"MANEJO DE RESIDUOS HOSPITALARIOS"))))))))))))))))))))))))))))))))))))</f>
        <v xml:space="preserve">SOPORTE CARDIOVASCULAR AVANZADO (ACLS) </v>
      </c>
      <c r="V43" s="47" t="str">
        <f t="shared" si="0"/>
        <v>Karol Yuliana Andrade Hernández</v>
      </c>
      <c r="W43" s="47" t="str">
        <f t="shared" si="1"/>
        <v>Karol Yuliana Andrade Hernández</v>
      </c>
      <c r="X43" s="47" t="str">
        <f t="shared" si="2"/>
        <v>Karol Yuliana Andrade Hernández-1004696103-ACLS</v>
      </c>
    </row>
    <row r="44" spans="1:24" x14ac:dyDescent="0.2">
      <c r="A44" s="46">
        <v>43</v>
      </c>
      <c r="B44" s="54">
        <v>1004696103</v>
      </c>
      <c r="C44" s="54" t="s">
        <v>205</v>
      </c>
      <c r="D44" s="54" t="s">
        <v>206</v>
      </c>
      <c r="E44" s="54" t="s">
        <v>131</v>
      </c>
      <c r="F44" s="54" t="s">
        <v>207</v>
      </c>
      <c r="G44" s="54">
        <v>6</v>
      </c>
      <c r="H44" s="54" t="s">
        <v>100</v>
      </c>
      <c r="I44" s="55" t="s">
        <v>146</v>
      </c>
      <c r="J44" s="56">
        <v>45603</v>
      </c>
      <c r="K44" s="108">
        <v>28000</v>
      </c>
      <c r="L44" s="54" t="s">
        <v>235</v>
      </c>
      <c r="M44" s="54" t="s">
        <v>80</v>
      </c>
      <c r="N44" s="54" t="s">
        <v>159</v>
      </c>
      <c r="O44" s="43" t="s">
        <v>25</v>
      </c>
      <c r="P44" s="55">
        <v>37095</v>
      </c>
      <c r="Q44" s="54" t="s">
        <v>89</v>
      </c>
      <c r="R44" s="57" t="s">
        <v>208</v>
      </c>
      <c r="S44" s="54">
        <v>3205368493</v>
      </c>
      <c r="T44" s="54" t="s">
        <v>209</v>
      </c>
      <c r="U44" s="47" t="str">
        <f>IF(O44=CURSOS!$D$3,"DIPLOMADO EN ATENCION PRE-HOSPITALARIA",IF(O44=CURSOS!$D$4,"ACOMPAÑAMIENTO Y MANEJO DEL DUELO",IF(O44=CURSOS!$D$5,"ATENCION A VICTIMAS DE ATAQUE CON AGENTES QUIMICOS ",IF(O44=CURSOS!$D$6,"PRIMEROS AUXILIOS ",IF(O44=CURSOS!$D$7,"DIPLOMADO DE UNIDAD DE CUIDADOS INTENSIVOS (UCI)",IF(O44=CURSOS!$D$8,"MODELO DE ATENCION PARA EVENTOS EMERGENTES EN SALUD MENTAL (CODIGO VERDE)",IF(O44=CURSOS!$D$9,"HUMANIZACION EN EL SERVICIO DE LA SALUD Y BUENAS PRACTICAS EN PACIENTE ",IF(O44=CURSOS!$D$10,"CLINICA DE HERIDAS ",IF(O44=CURSOS!$D$11,"TOMA DE CITOLOGIA CERVICO VAGINAL ",IF(O44=CURSOS!$D$12,"SOPORTE CARDIOVASCULAR AVANZADO (ACLS) ",IF(O44=CURSOS!$D$13,"CAMILLERO ",IF(O44=CURSOS!$D$14,"TOMA DE MUESTRAS Y LABORATORIO ",IF(O44=CURSOS!$D$15,"SOPORTE VITAL BASICO (BLS)",IF(O44=CURSOS!$D$16,"ATENCION A VICTIMAS DE VIOLENCIA SEXUAL ",IF(O44=CURSOS!$D$17,"PROGRAMADO AMPLIADO DE INMUNIZACION (PAI - COVID 19)",IF(O44=CURSOS!$D$18,"ATENCION INTEGRAL EN ENFERMEDADES PREVALENTES EN PRIMERA INFANCIA (AIEPI)",IF(O44=CURSOS!$D$19,"ADMINISTRACION DE MEDICAMENTOS, INYECTOLOGIA  Y CANALIZACION ",IF(O44=CURSOS!$D$20,"OPERADOR DE VEHICULOS DE EMERGENCIA (OVE)",IF(O44=CURSOS!$D$21,"INSTITUCIONES AMIGAS DE LA MUJER Y LA INFANCIA (IAMI)",IF(O44=CURSOS!$D$22,"CUIDADO DEL DONANTE DE ORGANOS",IF(O44=CURSOS!$D$23,"ATENCION A VICTIMAS POR VIOLENCIA DE GENERO",IF(O44=CURSOS!$D$24,"IGUALDAD DE GENERO EN LA SALUD",IF(O44=CURSOS!$D$25,"BRIGADA DE EMERGENCIA",IF(O44=CURSOS!$D$26,"MANEJO DEL DOLOR Y CUIDADOS PALIATIVOS",IF(O44=CURSOS!$D$27,"TOMA DE MUESTRAS Y LABORATORIO POCT",IF(O44=CURSOS!$D$28,"IMPLANTE SUBDERMICO DE DISPOSITIVO INTRAUTERINO",IF(O44=CURSOS!$D$29,"SALUD MENTAL",IF(O44=CURSOS!$D$30,"PRIMEROS AUXILIOS PSICOLOGICOS",IF(O44=CURSOS!$D$31,"ATENCION A VICTIMAS POR CONFLICTO ARMADO",IF(O44=CURSOS!$D$32,"MANIPULACION DE ALIMENTOS Y BPM",IF(O44=CURSOS!$D$33,"ATENCION A PERSONAS CON DISCAPACIDAD",IF(O44=CURSOS!$D$34,"CUIDADO INTEGRAL DEL PACIENTE ADULTO",IF(O44=CURSOS!$D$35,"MANEJO DEFENSIVO",IF(O44=CURSOS!$D$36,"SOPORTE CARDIOVASCULAR AVANZADO NEONATAL",IF(O44=CURSOS!$D$37,"SEGURIDAD DEL PACIENTE",IF(O44=CURSOS!$D$38,"MANEJO DE RESIDUOS HOSPITALARIOS"))))))))))))))))))))))))))))))))))))</f>
        <v xml:space="preserve">ATENCION A VICTIMAS DE ATAQUE CON AGENTES QUIMICOS </v>
      </c>
      <c r="V44" s="47" t="str">
        <f t="shared" si="0"/>
        <v>Karol Yuliana Andrade Hernández</v>
      </c>
      <c r="W44" s="47" t="str">
        <f t="shared" si="1"/>
        <v>Karol Yuliana Andrade Hernández</v>
      </c>
      <c r="X44" s="47" t="str">
        <f t="shared" si="2"/>
        <v>Karol Yuliana Andrade Hernández-1004696103-QUIMICOS</v>
      </c>
    </row>
    <row r="45" spans="1:24" x14ac:dyDescent="0.2">
      <c r="A45" s="46">
        <v>44</v>
      </c>
      <c r="B45" s="54">
        <v>1004696103</v>
      </c>
      <c r="C45" s="54" t="s">
        <v>205</v>
      </c>
      <c r="D45" s="54" t="s">
        <v>206</v>
      </c>
      <c r="E45" s="54" t="s">
        <v>131</v>
      </c>
      <c r="F45" s="54" t="s">
        <v>207</v>
      </c>
      <c r="G45" s="54">
        <v>2</v>
      </c>
      <c r="H45" s="54" t="s">
        <v>100</v>
      </c>
      <c r="I45" s="55" t="s">
        <v>146</v>
      </c>
      <c r="J45" s="56">
        <v>45603</v>
      </c>
      <c r="K45" s="108">
        <v>28000</v>
      </c>
      <c r="L45" s="54" t="s">
        <v>235</v>
      </c>
      <c r="M45" s="54" t="s">
        <v>80</v>
      </c>
      <c r="N45" s="54" t="s">
        <v>159</v>
      </c>
      <c r="O45" s="43" t="s">
        <v>42</v>
      </c>
      <c r="P45" s="55">
        <v>37095</v>
      </c>
      <c r="Q45" s="54" t="s">
        <v>89</v>
      </c>
      <c r="R45" s="57" t="s">
        <v>208</v>
      </c>
      <c r="S45" s="54">
        <v>3205368493</v>
      </c>
      <c r="T45" s="54" t="s">
        <v>209</v>
      </c>
      <c r="U45" s="47" t="str">
        <f>IF(O45=CURSOS!$D$3,"DIPLOMADO EN ATENCION PRE-HOSPITALARIA",IF(O45=CURSOS!$D$4,"ACOMPAÑAMIENTO Y MANEJO DEL DUELO",IF(O45=CURSOS!$D$5,"ATENCION A VICTIMAS DE ATAQUE CON AGENTES QUIMICOS ",IF(O45=CURSOS!$D$6,"PRIMEROS AUXILIOS ",IF(O45=CURSOS!$D$7,"DIPLOMADO DE UNIDAD DE CUIDADOS INTENSIVOS (UCI)",IF(O45=CURSOS!$D$8,"MODELO DE ATENCION PARA EVENTOS EMERGENTES EN SALUD MENTAL (CODIGO VERDE)",IF(O45=CURSOS!$D$9,"HUMANIZACION EN EL SERVICIO DE LA SALUD Y BUENAS PRACTICAS EN PACIENTE ",IF(O45=CURSOS!$D$10,"CLINICA DE HERIDAS ",IF(O45=CURSOS!$D$11,"TOMA DE CITOLOGIA CERVICO VAGINAL ",IF(O45=CURSOS!$D$12,"SOPORTE CARDIOVASCULAR AVANZADO (ACLS) ",IF(O45=CURSOS!$D$13,"CAMILLERO ",IF(O45=CURSOS!$D$14,"TOMA DE MUESTRAS Y LABORATORIO ",IF(O45=CURSOS!$D$15,"SOPORTE VITAL BASICO (BLS)",IF(O45=CURSOS!$D$16,"ATENCION A VICTIMAS DE VIOLENCIA SEXUAL ",IF(O45=CURSOS!$D$17,"PROGRAMADO AMPLIADO DE INMUNIZACION (PAI - COVID 19)",IF(O45=CURSOS!$D$18,"ATENCION INTEGRAL EN ENFERMEDADES PREVALENTES EN PRIMERA INFANCIA (AIEPI)",IF(O45=CURSOS!$D$19,"ADMINISTRACION DE MEDICAMENTOS, INYECTOLOGIA  Y CANALIZACION ",IF(O45=CURSOS!$D$20,"OPERADOR DE VEHICULOS DE EMERGENCIA (OVE)",IF(O45=CURSOS!$D$21,"INSTITUCIONES AMIGAS DE LA MUJER Y LA INFANCIA (IAMI)",IF(O45=CURSOS!$D$22,"CUIDADO DEL DONANTE DE ORGANOS",IF(O45=CURSOS!$D$23,"ATENCION A VICTIMAS POR VIOLENCIA DE GENERO",IF(O45=CURSOS!$D$24,"IGUALDAD DE GENERO EN LA SALUD",IF(O45=CURSOS!$D$25,"BRIGADA DE EMERGENCIA",IF(O45=CURSOS!$D$26,"MANEJO DEL DOLOR Y CUIDADOS PALIATIVOS",IF(O45=CURSOS!$D$27,"TOMA DE MUESTRAS Y LABORATORIO POCT",IF(O45=CURSOS!$D$28,"IMPLANTE SUBDERMICO DE DISPOSITIVO INTRAUTERINO",IF(O45=CURSOS!$D$29,"SALUD MENTAL",IF(O45=CURSOS!$D$30,"PRIMEROS AUXILIOS PSICOLOGICOS",IF(O45=CURSOS!$D$31,"ATENCION A VICTIMAS POR CONFLICTO ARMADO",IF(O45=CURSOS!$D$32,"MANIPULACION DE ALIMENTOS Y BPM",IF(O45=CURSOS!$D$33,"ATENCION A PERSONAS CON DISCAPACIDAD",IF(O45=CURSOS!$D$34,"CUIDADO INTEGRAL DEL PACIENTE ADULTO",IF(O45=CURSOS!$D$35,"MANEJO DEFENSIVO",IF(O45=CURSOS!$D$36,"SOPORTE CARDIOVASCULAR AVANZADO NEONATAL",IF(O45=CURSOS!$D$37,"SEGURIDAD DEL PACIENTE",IF(O45=CURSOS!$D$38,"MANEJO DE RESIDUOS HOSPITALARIOS"))))))))))))))))))))))))))))))))))))</f>
        <v xml:space="preserve">ATENCION A VICTIMAS DE VIOLENCIA SEXUAL </v>
      </c>
      <c r="V45" s="47" t="str">
        <f t="shared" si="0"/>
        <v>Karol Yuliana Andrade Hernández</v>
      </c>
      <c r="W45" s="47" t="str">
        <f t="shared" si="1"/>
        <v>Karol Yuliana Andrade Hernández</v>
      </c>
      <c r="X45" s="47" t="str">
        <f t="shared" si="2"/>
        <v>Karol Yuliana Andrade Hernández-1004696103-VIOLENCIA SEXUAL</v>
      </c>
    </row>
    <row r="46" spans="1:24" x14ac:dyDescent="0.2">
      <c r="A46" s="46">
        <v>45</v>
      </c>
      <c r="B46" s="43">
        <v>59395859</v>
      </c>
      <c r="C46" s="54" t="s">
        <v>210</v>
      </c>
      <c r="D46" s="54" t="s">
        <v>129</v>
      </c>
      <c r="E46" s="54" t="s">
        <v>211</v>
      </c>
      <c r="F46" s="54" t="s">
        <v>212</v>
      </c>
      <c r="G46" s="54">
        <v>5</v>
      </c>
      <c r="H46" s="54" t="s">
        <v>100</v>
      </c>
      <c r="I46" s="55" t="s">
        <v>146</v>
      </c>
      <c r="J46" s="56">
        <v>45603</v>
      </c>
      <c r="K46" s="108">
        <v>28000</v>
      </c>
      <c r="L46" s="54" t="s">
        <v>235</v>
      </c>
      <c r="M46" s="54" t="s">
        <v>80</v>
      </c>
      <c r="N46" s="54" t="s">
        <v>159</v>
      </c>
      <c r="O46" s="43" t="s">
        <v>32</v>
      </c>
      <c r="P46" s="55">
        <v>30312</v>
      </c>
      <c r="Q46" s="54" t="s">
        <v>89</v>
      </c>
      <c r="R46" s="59" t="s">
        <v>213</v>
      </c>
      <c r="S46" s="54">
        <v>3205453600</v>
      </c>
      <c r="T46" s="54"/>
      <c r="U46" s="47" t="str">
        <f>IF(O46=CURSOS!$D$3,"DIPLOMADO EN ATENCION PRE-HOSPITALARIA",IF(O46=CURSOS!$D$4,"ACOMPAÑAMIENTO Y MANEJO DEL DUELO",IF(O46=CURSOS!$D$5,"ATENCION A VICTIMAS DE ATAQUE CON AGENTES QUIMICOS ",IF(O46=CURSOS!$D$6,"PRIMEROS AUXILIOS ",IF(O46=CURSOS!$D$7,"DIPLOMADO DE UNIDAD DE CUIDADOS INTENSIVOS (UCI)",IF(O46=CURSOS!$D$8,"MODELO DE ATENCION PARA EVENTOS EMERGENTES EN SALUD MENTAL (CODIGO VERDE)",IF(O46=CURSOS!$D$9,"HUMANIZACION EN EL SERVICIO DE LA SALUD Y BUENAS PRACTICAS EN PACIENTE ",IF(O46=CURSOS!$D$10,"CLINICA DE HERIDAS ",IF(O46=CURSOS!$D$11,"TOMA DE CITOLOGIA CERVICO VAGINAL ",IF(O46=CURSOS!$D$12,"SOPORTE CARDIOVASCULAR AVANZADO (ACLS) ",IF(O46=CURSOS!$D$13,"CAMILLERO ",IF(O46=CURSOS!$D$14,"TOMA DE MUESTRAS Y LABORATORIO ",IF(O46=CURSOS!$D$15,"SOPORTE VITAL BASICO (BLS)",IF(O46=CURSOS!$D$16,"ATENCION A VICTIMAS DE VIOLENCIA SEXUAL ",IF(O46=CURSOS!$D$17,"PROGRAMADO AMPLIADO DE INMUNIZACION (PAI - COVID 19)",IF(O46=CURSOS!$D$18,"ATENCION INTEGRAL EN ENFERMEDADES PREVALENTES EN PRIMERA INFANCIA (AIEPI)",IF(O46=CURSOS!$D$19,"ADMINISTRACION DE MEDICAMENTOS, INYECTOLOGIA  Y CANALIZACION ",IF(O46=CURSOS!$D$20,"OPERADOR DE VEHICULOS DE EMERGENCIA (OVE)",IF(O46=CURSOS!$D$21,"INSTITUCIONES AMIGAS DE LA MUJER Y LA INFANCIA (IAMI)",IF(O46=CURSOS!$D$22,"CUIDADO DEL DONANTE DE ORGANOS",IF(O46=CURSOS!$D$23,"ATENCION A VICTIMAS POR VIOLENCIA DE GENERO",IF(O46=CURSOS!$D$24,"IGUALDAD DE GENERO EN LA SALUD",IF(O46=CURSOS!$D$25,"BRIGADA DE EMERGENCIA",IF(O46=CURSOS!$D$26,"MANEJO DEL DOLOR Y CUIDADOS PALIATIVOS",IF(O46=CURSOS!$D$27,"TOMA DE MUESTRAS Y LABORATORIO POCT",IF(O46=CURSOS!$D$28,"IMPLANTE SUBDERMICO DE DISPOSITIVO INTRAUTERINO",IF(O46=CURSOS!$D$29,"SALUD MENTAL",IF(O46=CURSOS!$D$30,"PRIMEROS AUXILIOS PSICOLOGICOS",IF(O46=CURSOS!$D$31,"ATENCION A VICTIMAS POR CONFLICTO ARMADO",IF(O46=CURSOS!$D$32,"MANIPULACION DE ALIMENTOS Y BPM",IF(O46=CURSOS!$D$33,"ATENCION A PERSONAS CON DISCAPACIDAD",IF(O46=CURSOS!$D$34,"CUIDADO INTEGRAL DEL PACIENTE ADULTO",IF(O46=CURSOS!$D$35,"MANEJO DEFENSIVO",IF(O46=CURSOS!$D$36,"SOPORTE CARDIOVASCULAR AVANZADO NEONATAL",IF(O46=CURSOS!$D$37,"SEGURIDAD DEL PACIENTE",IF(O46=CURSOS!$D$38,"MANEJO DE RESIDUOS HOSPITALARIOS"))))))))))))))))))))))))))))))))))))</f>
        <v xml:space="preserve">HUMANIZACION EN EL SERVICIO DE LA SALUD Y BUENAS PRACTICAS EN PACIENTE </v>
      </c>
      <c r="V46" s="47" t="str">
        <f t="shared" si="0"/>
        <v>Doris Yurany Rodríguez Erazo</v>
      </c>
      <c r="W46" s="47" t="str">
        <f t="shared" si="1"/>
        <v>Doris Yurany Rodríguez Erazo</v>
      </c>
      <c r="X46" s="47" t="str">
        <f t="shared" si="2"/>
        <v>Doris Yurany Rodríguez Erazo-59395859-HUMANIZACION</v>
      </c>
    </row>
    <row r="47" spans="1:24" x14ac:dyDescent="0.2">
      <c r="A47" s="46">
        <v>46</v>
      </c>
      <c r="B47" s="43">
        <v>1085269667</v>
      </c>
      <c r="C47" s="54" t="s">
        <v>214</v>
      </c>
      <c r="D47" s="54" t="s">
        <v>112</v>
      </c>
      <c r="E47" s="54" t="s">
        <v>117</v>
      </c>
      <c r="F47" s="54" t="s">
        <v>215</v>
      </c>
      <c r="G47" s="54">
        <v>6</v>
      </c>
      <c r="H47" s="54" t="s">
        <v>100</v>
      </c>
      <c r="I47" s="55" t="s">
        <v>146</v>
      </c>
      <c r="J47" s="56">
        <v>45603</v>
      </c>
      <c r="K47" s="108">
        <v>28000</v>
      </c>
      <c r="L47" s="54" t="s">
        <v>235</v>
      </c>
      <c r="M47" s="54" t="s">
        <v>80</v>
      </c>
      <c r="N47" s="54" t="s">
        <v>159</v>
      </c>
      <c r="O47" s="43" t="s">
        <v>42</v>
      </c>
      <c r="P47" s="55">
        <v>32418</v>
      </c>
      <c r="Q47" s="54" t="s">
        <v>148</v>
      </c>
      <c r="R47" s="59" t="s">
        <v>208</v>
      </c>
      <c r="S47" s="54">
        <v>3005746321</v>
      </c>
      <c r="T47" s="54" t="s">
        <v>216</v>
      </c>
      <c r="U47" s="47" t="str">
        <f>IF(O47=CURSOS!$D$3,"DIPLOMADO EN ATENCION PRE-HOSPITALARIA",IF(O47=CURSOS!$D$4,"ACOMPAÑAMIENTO Y MANEJO DEL DUELO",IF(O47=CURSOS!$D$5,"ATENCION A VICTIMAS DE ATAQUE CON AGENTES QUIMICOS ",IF(O47=CURSOS!$D$6,"PRIMEROS AUXILIOS ",IF(O47=CURSOS!$D$7,"DIPLOMADO DE UNIDAD DE CUIDADOS INTENSIVOS (UCI)",IF(O47=CURSOS!$D$8,"MODELO DE ATENCION PARA EVENTOS EMERGENTES EN SALUD MENTAL (CODIGO VERDE)",IF(O47=CURSOS!$D$9,"HUMANIZACION EN EL SERVICIO DE LA SALUD Y BUENAS PRACTICAS EN PACIENTE ",IF(O47=CURSOS!$D$10,"CLINICA DE HERIDAS ",IF(O47=CURSOS!$D$11,"TOMA DE CITOLOGIA CERVICO VAGINAL ",IF(O47=CURSOS!$D$12,"SOPORTE CARDIOVASCULAR AVANZADO (ACLS) ",IF(O47=CURSOS!$D$13,"CAMILLERO ",IF(O47=CURSOS!$D$14,"TOMA DE MUESTRAS Y LABORATORIO ",IF(O47=CURSOS!$D$15,"SOPORTE VITAL BASICO (BLS)",IF(O47=CURSOS!$D$16,"ATENCION A VICTIMAS DE VIOLENCIA SEXUAL ",IF(O47=CURSOS!$D$17,"PROGRAMADO AMPLIADO DE INMUNIZACION (PAI - COVID 19)",IF(O47=CURSOS!$D$18,"ATENCION INTEGRAL EN ENFERMEDADES PREVALENTES EN PRIMERA INFANCIA (AIEPI)",IF(O47=CURSOS!$D$19,"ADMINISTRACION DE MEDICAMENTOS, INYECTOLOGIA  Y CANALIZACION ",IF(O47=CURSOS!$D$20,"OPERADOR DE VEHICULOS DE EMERGENCIA (OVE)",IF(O47=CURSOS!$D$21,"INSTITUCIONES AMIGAS DE LA MUJER Y LA INFANCIA (IAMI)",IF(O47=CURSOS!$D$22,"CUIDADO DEL DONANTE DE ORGANOS",IF(O47=CURSOS!$D$23,"ATENCION A VICTIMAS POR VIOLENCIA DE GENERO",IF(O47=CURSOS!$D$24,"IGUALDAD DE GENERO EN LA SALUD",IF(O47=CURSOS!$D$25,"BRIGADA DE EMERGENCIA",IF(O47=CURSOS!$D$26,"MANEJO DEL DOLOR Y CUIDADOS PALIATIVOS",IF(O47=CURSOS!$D$27,"TOMA DE MUESTRAS Y LABORATORIO POCT",IF(O47=CURSOS!$D$28,"IMPLANTE SUBDERMICO DE DISPOSITIVO INTRAUTERINO",IF(O47=CURSOS!$D$29,"SALUD MENTAL",IF(O47=CURSOS!$D$30,"PRIMEROS AUXILIOS PSICOLOGICOS",IF(O47=CURSOS!$D$31,"ATENCION A VICTIMAS POR CONFLICTO ARMADO",IF(O47=CURSOS!$D$32,"MANIPULACION DE ALIMENTOS Y BPM",IF(O47=CURSOS!$D$33,"ATENCION A PERSONAS CON DISCAPACIDAD",IF(O47=CURSOS!$D$34,"CUIDADO INTEGRAL DEL PACIENTE ADULTO",IF(O47=CURSOS!$D$35,"MANEJO DEFENSIVO",IF(O47=CURSOS!$D$36,"SOPORTE CARDIOVASCULAR AVANZADO NEONATAL",IF(O47=CURSOS!$D$37,"SEGURIDAD DEL PACIENTE",IF(O47=CURSOS!$D$38,"MANEJO DE RESIDUOS HOSPITALARIOS"))))))))))))))))))))))))))))))))))))</f>
        <v xml:space="preserve">ATENCION A VICTIMAS DE VIOLENCIA SEXUAL </v>
      </c>
      <c r="V47" s="47" t="str">
        <f t="shared" si="0"/>
        <v>Juan Camilo Moreno Rodriguez</v>
      </c>
      <c r="W47" s="47" t="str">
        <f t="shared" si="1"/>
        <v>Juan Camilo Moreno Rodriguez</v>
      </c>
      <c r="X47" s="47" t="str">
        <f t="shared" si="2"/>
        <v>Juan Camilo Moreno Rodriguez-1085269667-VIOLENCIA SEXUAL</v>
      </c>
    </row>
    <row r="48" spans="1:24" x14ac:dyDescent="0.2">
      <c r="A48" s="46">
        <v>47</v>
      </c>
      <c r="B48" s="43">
        <v>1085269667</v>
      </c>
      <c r="C48" s="54" t="s">
        <v>214</v>
      </c>
      <c r="D48" s="54" t="s">
        <v>112</v>
      </c>
      <c r="E48" s="54" t="s">
        <v>117</v>
      </c>
      <c r="F48" s="54" t="s">
        <v>215</v>
      </c>
      <c r="G48" s="54">
        <v>5</v>
      </c>
      <c r="H48" s="54" t="s">
        <v>100</v>
      </c>
      <c r="I48" s="55" t="s">
        <v>146</v>
      </c>
      <c r="J48" s="56">
        <v>45603</v>
      </c>
      <c r="K48" s="108">
        <v>28000</v>
      </c>
      <c r="L48" s="54" t="s">
        <v>235</v>
      </c>
      <c r="M48" s="54" t="s">
        <v>80</v>
      </c>
      <c r="N48" s="54" t="s">
        <v>159</v>
      </c>
      <c r="O48" s="43" t="s">
        <v>25</v>
      </c>
      <c r="P48" s="55">
        <v>32418</v>
      </c>
      <c r="Q48" s="54" t="s">
        <v>148</v>
      </c>
      <c r="R48" s="59" t="s">
        <v>208</v>
      </c>
      <c r="S48" s="54">
        <v>3005746321</v>
      </c>
      <c r="T48" s="54" t="s">
        <v>216</v>
      </c>
      <c r="U48" s="47" t="str">
        <f>IF(O48=CURSOS!$D$3,"DIPLOMADO EN ATENCION PRE-HOSPITALARIA",IF(O48=CURSOS!$D$4,"ACOMPAÑAMIENTO Y MANEJO DEL DUELO",IF(O48=CURSOS!$D$5,"ATENCION A VICTIMAS DE ATAQUE CON AGENTES QUIMICOS ",IF(O48=CURSOS!$D$6,"PRIMEROS AUXILIOS ",IF(O48=CURSOS!$D$7,"DIPLOMADO DE UNIDAD DE CUIDADOS INTENSIVOS (UCI)",IF(O48=CURSOS!$D$8,"MODELO DE ATENCION PARA EVENTOS EMERGENTES EN SALUD MENTAL (CODIGO VERDE)",IF(O48=CURSOS!$D$9,"HUMANIZACION EN EL SERVICIO DE LA SALUD Y BUENAS PRACTICAS EN PACIENTE ",IF(O48=CURSOS!$D$10,"CLINICA DE HERIDAS ",IF(O48=CURSOS!$D$11,"TOMA DE CITOLOGIA CERVICO VAGINAL ",IF(O48=CURSOS!$D$12,"SOPORTE CARDIOVASCULAR AVANZADO (ACLS) ",IF(O48=CURSOS!$D$13,"CAMILLERO ",IF(O48=CURSOS!$D$14,"TOMA DE MUESTRAS Y LABORATORIO ",IF(O48=CURSOS!$D$15,"SOPORTE VITAL BASICO (BLS)",IF(O48=CURSOS!$D$16,"ATENCION A VICTIMAS DE VIOLENCIA SEXUAL ",IF(O48=CURSOS!$D$17,"PROGRAMADO AMPLIADO DE INMUNIZACION (PAI - COVID 19)",IF(O48=CURSOS!$D$18,"ATENCION INTEGRAL EN ENFERMEDADES PREVALENTES EN PRIMERA INFANCIA (AIEPI)",IF(O48=CURSOS!$D$19,"ADMINISTRACION DE MEDICAMENTOS, INYECTOLOGIA  Y CANALIZACION ",IF(O48=CURSOS!$D$20,"OPERADOR DE VEHICULOS DE EMERGENCIA (OVE)",IF(O48=CURSOS!$D$21,"INSTITUCIONES AMIGAS DE LA MUJER Y LA INFANCIA (IAMI)",IF(O48=CURSOS!$D$22,"CUIDADO DEL DONANTE DE ORGANOS",IF(O48=CURSOS!$D$23,"ATENCION A VICTIMAS POR VIOLENCIA DE GENERO",IF(O48=CURSOS!$D$24,"IGUALDAD DE GENERO EN LA SALUD",IF(O48=CURSOS!$D$25,"BRIGADA DE EMERGENCIA",IF(O48=CURSOS!$D$26,"MANEJO DEL DOLOR Y CUIDADOS PALIATIVOS",IF(O48=CURSOS!$D$27,"TOMA DE MUESTRAS Y LABORATORIO POCT",IF(O48=CURSOS!$D$28,"IMPLANTE SUBDERMICO DE DISPOSITIVO INTRAUTERINO",IF(O48=CURSOS!$D$29,"SALUD MENTAL",IF(O48=CURSOS!$D$30,"PRIMEROS AUXILIOS PSICOLOGICOS",IF(O48=CURSOS!$D$31,"ATENCION A VICTIMAS POR CONFLICTO ARMADO",IF(O48=CURSOS!$D$32,"MANIPULACION DE ALIMENTOS Y BPM",IF(O48=CURSOS!$D$33,"ATENCION A PERSONAS CON DISCAPACIDAD",IF(O48=CURSOS!$D$34,"CUIDADO INTEGRAL DEL PACIENTE ADULTO",IF(O48=CURSOS!$D$35,"MANEJO DEFENSIVO",IF(O48=CURSOS!$D$36,"SOPORTE CARDIOVASCULAR AVANZADO NEONATAL",IF(O48=CURSOS!$D$37,"SEGURIDAD DEL PACIENTE",IF(O48=CURSOS!$D$38,"MANEJO DE RESIDUOS HOSPITALARIOS"))))))))))))))))))))))))))))))))))))</f>
        <v xml:space="preserve">ATENCION A VICTIMAS DE ATAQUE CON AGENTES QUIMICOS </v>
      </c>
      <c r="V48" s="47" t="str">
        <f t="shared" si="0"/>
        <v>Juan Camilo Moreno Rodriguez</v>
      </c>
      <c r="W48" s="47" t="str">
        <f t="shared" si="1"/>
        <v>Juan Camilo Moreno Rodriguez</v>
      </c>
      <c r="X48" s="47" t="str">
        <f t="shared" si="2"/>
        <v>Juan Camilo Moreno Rodriguez-1085269667-QUIMICOS</v>
      </c>
    </row>
    <row r="49" spans="1:25" x14ac:dyDescent="0.2">
      <c r="A49" s="46">
        <v>48</v>
      </c>
      <c r="B49" s="43">
        <v>1085269667</v>
      </c>
      <c r="C49" s="54" t="s">
        <v>214</v>
      </c>
      <c r="D49" s="54" t="s">
        <v>112</v>
      </c>
      <c r="E49" s="54" t="s">
        <v>117</v>
      </c>
      <c r="F49" s="54" t="s">
        <v>215</v>
      </c>
      <c r="G49" s="54">
        <v>2</v>
      </c>
      <c r="H49" s="54" t="s">
        <v>100</v>
      </c>
      <c r="I49" s="55" t="s">
        <v>146</v>
      </c>
      <c r="J49" s="56">
        <v>45603</v>
      </c>
      <c r="K49" s="108">
        <v>28000</v>
      </c>
      <c r="L49" s="54" t="s">
        <v>235</v>
      </c>
      <c r="M49" s="54" t="s">
        <v>80</v>
      </c>
      <c r="N49" s="54" t="s">
        <v>159</v>
      </c>
      <c r="O49" s="43" t="s">
        <v>32</v>
      </c>
      <c r="P49" s="55">
        <v>32418</v>
      </c>
      <c r="Q49" s="54" t="s">
        <v>148</v>
      </c>
      <c r="R49" s="59" t="s">
        <v>208</v>
      </c>
      <c r="S49" s="54">
        <v>3005746321</v>
      </c>
      <c r="T49" s="54" t="s">
        <v>216</v>
      </c>
      <c r="U49" s="47" t="str">
        <f>IF(O49=CURSOS!$D$3,"DIPLOMADO EN ATENCION PRE-HOSPITALARIA",IF(O49=CURSOS!$D$4,"ACOMPAÑAMIENTO Y MANEJO DEL DUELO",IF(O49=CURSOS!$D$5,"ATENCION A VICTIMAS DE ATAQUE CON AGENTES QUIMICOS ",IF(O49=CURSOS!$D$6,"PRIMEROS AUXILIOS ",IF(O49=CURSOS!$D$7,"DIPLOMADO DE UNIDAD DE CUIDADOS INTENSIVOS (UCI)",IF(O49=CURSOS!$D$8,"MODELO DE ATENCION PARA EVENTOS EMERGENTES EN SALUD MENTAL (CODIGO VERDE)",IF(O49=CURSOS!$D$9,"HUMANIZACION EN EL SERVICIO DE LA SALUD Y BUENAS PRACTICAS EN PACIENTE ",IF(O49=CURSOS!$D$10,"CLINICA DE HERIDAS ",IF(O49=CURSOS!$D$11,"TOMA DE CITOLOGIA CERVICO VAGINAL ",IF(O49=CURSOS!$D$12,"SOPORTE CARDIOVASCULAR AVANZADO (ACLS) ",IF(O49=CURSOS!$D$13,"CAMILLERO ",IF(O49=CURSOS!$D$14,"TOMA DE MUESTRAS Y LABORATORIO ",IF(O49=CURSOS!$D$15,"SOPORTE VITAL BASICO (BLS)",IF(O49=CURSOS!$D$16,"ATENCION A VICTIMAS DE VIOLENCIA SEXUAL ",IF(O49=CURSOS!$D$17,"PROGRAMADO AMPLIADO DE INMUNIZACION (PAI - COVID 19)",IF(O49=CURSOS!$D$18,"ATENCION INTEGRAL EN ENFERMEDADES PREVALENTES EN PRIMERA INFANCIA (AIEPI)",IF(O49=CURSOS!$D$19,"ADMINISTRACION DE MEDICAMENTOS, INYECTOLOGIA  Y CANALIZACION ",IF(O49=CURSOS!$D$20,"OPERADOR DE VEHICULOS DE EMERGENCIA (OVE)",IF(O49=CURSOS!$D$21,"INSTITUCIONES AMIGAS DE LA MUJER Y LA INFANCIA (IAMI)",IF(O49=CURSOS!$D$22,"CUIDADO DEL DONANTE DE ORGANOS",IF(O49=CURSOS!$D$23,"ATENCION A VICTIMAS POR VIOLENCIA DE GENERO",IF(O49=CURSOS!$D$24,"IGUALDAD DE GENERO EN LA SALUD",IF(O49=CURSOS!$D$25,"BRIGADA DE EMERGENCIA",IF(O49=CURSOS!$D$26,"MANEJO DEL DOLOR Y CUIDADOS PALIATIVOS",IF(O49=CURSOS!$D$27,"TOMA DE MUESTRAS Y LABORATORIO POCT",IF(O49=CURSOS!$D$28,"IMPLANTE SUBDERMICO DE DISPOSITIVO INTRAUTERINO",IF(O49=CURSOS!$D$29,"SALUD MENTAL",IF(O49=CURSOS!$D$30,"PRIMEROS AUXILIOS PSICOLOGICOS",IF(O49=CURSOS!$D$31,"ATENCION A VICTIMAS POR CONFLICTO ARMADO",IF(O49=CURSOS!$D$32,"MANIPULACION DE ALIMENTOS Y BPM",IF(O49=CURSOS!$D$33,"ATENCION A PERSONAS CON DISCAPACIDAD",IF(O49=CURSOS!$D$34,"CUIDADO INTEGRAL DEL PACIENTE ADULTO",IF(O49=CURSOS!$D$35,"MANEJO DEFENSIVO",IF(O49=CURSOS!$D$36,"SOPORTE CARDIOVASCULAR AVANZADO NEONATAL",IF(O49=CURSOS!$D$37,"SEGURIDAD DEL PACIENTE",IF(O49=CURSOS!$D$38,"MANEJO DE RESIDUOS HOSPITALARIOS"))))))))))))))))))))))))))))))))))))</f>
        <v xml:space="preserve">HUMANIZACION EN EL SERVICIO DE LA SALUD Y BUENAS PRACTICAS EN PACIENTE </v>
      </c>
      <c r="V49" s="47" t="str">
        <f t="shared" si="0"/>
        <v>Juan Camilo Moreno Rodriguez</v>
      </c>
      <c r="W49" s="47" t="str">
        <f t="shared" si="1"/>
        <v>Juan Camilo Moreno Rodriguez</v>
      </c>
      <c r="X49" s="47" t="str">
        <f t="shared" si="2"/>
        <v>Juan Camilo Moreno Rodriguez-1085269667-HUMANIZACION</v>
      </c>
    </row>
    <row r="50" spans="1:25" x14ac:dyDescent="0.2">
      <c r="A50" s="46">
        <v>49</v>
      </c>
      <c r="B50" s="43">
        <v>1085269667</v>
      </c>
      <c r="C50" s="54" t="s">
        <v>214</v>
      </c>
      <c r="D50" s="54" t="s">
        <v>112</v>
      </c>
      <c r="E50" s="54" t="s">
        <v>117</v>
      </c>
      <c r="F50" s="54" t="s">
        <v>215</v>
      </c>
      <c r="G50" s="54">
        <v>1</v>
      </c>
      <c r="H50" s="54" t="s">
        <v>100</v>
      </c>
      <c r="I50" s="55" t="s">
        <v>146</v>
      </c>
      <c r="J50" s="56">
        <v>45603</v>
      </c>
      <c r="K50" s="108">
        <v>28000</v>
      </c>
      <c r="L50" s="54" t="s">
        <v>235</v>
      </c>
      <c r="M50" s="54" t="s">
        <v>80</v>
      </c>
      <c r="N50" s="54" t="s">
        <v>159</v>
      </c>
      <c r="O50" s="43" t="s">
        <v>62</v>
      </c>
      <c r="P50" s="55">
        <v>32418</v>
      </c>
      <c r="Q50" s="54" t="s">
        <v>148</v>
      </c>
      <c r="R50" s="59" t="s">
        <v>208</v>
      </c>
      <c r="S50" s="54">
        <v>3005746321</v>
      </c>
      <c r="T50" s="54" t="s">
        <v>216</v>
      </c>
      <c r="U50" s="47" t="str">
        <f>IF(O50=CURSOS!$D$3,"DIPLOMADO EN ATENCION PRE-HOSPITALARIA",IF(O50=CURSOS!$D$4,"ACOMPAÑAMIENTO Y MANEJO DEL DUELO",IF(O50=CURSOS!$D$5,"ATENCION A VICTIMAS DE ATAQUE CON AGENTES QUIMICOS ",IF(O50=CURSOS!$D$6,"PRIMEROS AUXILIOS ",IF(O50=CURSOS!$D$7,"DIPLOMADO DE UNIDAD DE CUIDADOS INTENSIVOS (UCI)",IF(O50=CURSOS!$D$8,"MODELO DE ATENCION PARA EVENTOS EMERGENTES EN SALUD MENTAL (CODIGO VERDE)",IF(O50=CURSOS!$D$9,"HUMANIZACION EN EL SERVICIO DE LA SALUD Y BUENAS PRACTICAS EN PACIENTE ",IF(O50=CURSOS!$D$10,"CLINICA DE HERIDAS ",IF(O50=CURSOS!$D$11,"TOMA DE CITOLOGIA CERVICO VAGINAL ",IF(O50=CURSOS!$D$12,"SOPORTE CARDIOVASCULAR AVANZADO (ACLS) ",IF(O50=CURSOS!$D$13,"CAMILLERO ",IF(O50=CURSOS!$D$14,"TOMA DE MUESTRAS Y LABORATORIO ",IF(O50=CURSOS!$D$15,"SOPORTE VITAL BASICO (BLS)",IF(O50=CURSOS!$D$16,"ATENCION A VICTIMAS DE VIOLENCIA SEXUAL ",IF(O50=CURSOS!$D$17,"PROGRAMADO AMPLIADO DE INMUNIZACION (PAI - COVID 19)",IF(O50=CURSOS!$D$18,"ATENCION INTEGRAL EN ENFERMEDADES PREVALENTES EN PRIMERA INFANCIA (AIEPI)",IF(O50=CURSOS!$D$19,"ADMINISTRACION DE MEDICAMENTOS, INYECTOLOGIA  Y CANALIZACION ",IF(O50=CURSOS!$D$20,"OPERADOR DE VEHICULOS DE EMERGENCIA (OVE)",IF(O50=CURSOS!$D$21,"INSTITUCIONES AMIGAS DE LA MUJER Y LA INFANCIA (IAMI)",IF(O50=CURSOS!$D$22,"CUIDADO DEL DONANTE DE ORGANOS",IF(O50=CURSOS!$D$23,"ATENCION A VICTIMAS POR VIOLENCIA DE GENERO",IF(O50=CURSOS!$D$24,"IGUALDAD DE GENERO EN LA SALUD",IF(O50=CURSOS!$D$25,"BRIGADA DE EMERGENCIA",IF(O50=CURSOS!$D$26,"MANEJO DEL DOLOR Y CUIDADOS PALIATIVOS",IF(O50=CURSOS!$D$27,"TOMA DE MUESTRAS Y LABORATORIO POCT",IF(O50=CURSOS!$D$28,"IMPLANTE SUBDERMICO DE DISPOSITIVO INTRAUTERINO",IF(O50=CURSOS!$D$29,"SALUD MENTAL",IF(O50=CURSOS!$D$30,"PRIMEROS AUXILIOS PSICOLOGICOS",IF(O50=CURSOS!$D$31,"ATENCION A VICTIMAS POR CONFLICTO ARMADO",IF(O50=CURSOS!$D$32,"MANIPULACION DE ALIMENTOS Y BPM",IF(O50=CURSOS!$D$33,"ATENCION A PERSONAS CON DISCAPACIDAD",IF(O50=CURSOS!$D$34,"CUIDADO INTEGRAL DEL PACIENTE ADULTO",IF(O50=CURSOS!$D$35,"MANEJO DEFENSIVO",IF(O50=CURSOS!$D$36,"SOPORTE CARDIOVASCULAR AVANZADO NEONATAL",IF(O50=CURSOS!$D$37,"SEGURIDAD DEL PACIENTE",IF(O50=CURSOS!$D$38,"MANEJO DE RESIDUOS HOSPITALARIOS"))))))))))))))))))))))))))))))))))))</f>
        <v>PRIMEROS AUXILIOS PSICOLOGICOS</v>
      </c>
      <c r="V50" s="47" t="str">
        <f t="shared" si="0"/>
        <v>Juan Camilo Moreno Rodriguez</v>
      </c>
      <c r="W50" s="47" t="str">
        <f t="shared" si="1"/>
        <v>Juan Camilo Moreno Rodriguez</v>
      </c>
      <c r="X50" s="47" t="str">
        <f t="shared" si="2"/>
        <v>Juan Camilo Moreno Rodriguez-1085269667-PRIMEROS AUXILIOS P</v>
      </c>
    </row>
    <row r="51" spans="1:25" x14ac:dyDescent="0.2">
      <c r="A51" s="46">
        <v>50</v>
      </c>
      <c r="B51" s="43">
        <v>1085269667</v>
      </c>
      <c r="C51" s="54" t="s">
        <v>214</v>
      </c>
      <c r="D51" s="54" t="s">
        <v>112</v>
      </c>
      <c r="E51" s="54" t="s">
        <v>117</v>
      </c>
      <c r="F51" s="54" t="s">
        <v>215</v>
      </c>
      <c r="G51" s="54">
        <v>1</v>
      </c>
      <c r="H51" s="54" t="s">
        <v>100</v>
      </c>
      <c r="I51" s="55" t="s">
        <v>146</v>
      </c>
      <c r="J51" s="56">
        <v>45603</v>
      </c>
      <c r="K51" s="108">
        <v>28000</v>
      </c>
      <c r="L51" s="54" t="s">
        <v>235</v>
      </c>
      <c r="M51" s="54" t="s">
        <v>80</v>
      </c>
      <c r="N51" s="54" t="s">
        <v>159</v>
      </c>
      <c r="O51" s="43" t="s">
        <v>23</v>
      </c>
      <c r="P51" s="55">
        <v>32418</v>
      </c>
      <c r="Q51" s="54" t="s">
        <v>148</v>
      </c>
      <c r="R51" s="59" t="s">
        <v>208</v>
      </c>
      <c r="S51" s="54">
        <v>3005746321</v>
      </c>
      <c r="T51" s="54" t="s">
        <v>216</v>
      </c>
      <c r="U51" s="47" t="str">
        <f>IF(O51=CURSOS!$D$3,"DIPLOMADO EN ATENCION PRE-HOSPITALARIA",IF(O51=CURSOS!$D$4,"ACOMPAÑAMIENTO Y MANEJO DEL DUELO",IF(O51=CURSOS!$D$5,"ATENCION A VICTIMAS DE ATAQUE CON AGENTES QUIMICOS ",IF(O51=CURSOS!$D$6,"PRIMEROS AUXILIOS ",IF(O51=CURSOS!$D$7,"DIPLOMADO DE UNIDAD DE CUIDADOS INTENSIVOS (UCI)",IF(O51=CURSOS!$D$8,"MODELO DE ATENCION PARA EVENTOS EMERGENTES EN SALUD MENTAL (CODIGO VERDE)",IF(O51=CURSOS!$D$9,"HUMANIZACION EN EL SERVICIO DE LA SALUD Y BUENAS PRACTICAS EN PACIENTE ",IF(O51=CURSOS!$D$10,"CLINICA DE HERIDAS ",IF(O51=CURSOS!$D$11,"TOMA DE CITOLOGIA CERVICO VAGINAL ",IF(O51=CURSOS!$D$12,"SOPORTE CARDIOVASCULAR AVANZADO (ACLS) ",IF(O51=CURSOS!$D$13,"CAMILLERO ",IF(O51=CURSOS!$D$14,"TOMA DE MUESTRAS Y LABORATORIO ",IF(O51=CURSOS!$D$15,"SOPORTE VITAL BASICO (BLS)",IF(O51=CURSOS!$D$16,"ATENCION A VICTIMAS DE VIOLENCIA SEXUAL ",IF(O51=CURSOS!$D$17,"PROGRAMADO AMPLIADO DE INMUNIZACION (PAI - COVID 19)",IF(O51=CURSOS!$D$18,"ATENCION INTEGRAL EN ENFERMEDADES PREVALENTES EN PRIMERA INFANCIA (AIEPI)",IF(O51=CURSOS!$D$19,"ADMINISTRACION DE MEDICAMENTOS, INYECTOLOGIA  Y CANALIZACION ",IF(O51=CURSOS!$D$20,"OPERADOR DE VEHICULOS DE EMERGENCIA (OVE)",IF(O51=CURSOS!$D$21,"INSTITUCIONES AMIGAS DE LA MUJER Y LA INFANCIA (IAMI)",IF(O51=CURSOS!$D$22,"CUIDADO DEL DONANTE DE ORGANOS",IF(O51=CURSOS!$D$23,"ATENCION A VICTIMAS POR VIOLENCIA DE GENERO",IF(O51=CURSOS!$D$24,"IGUALDAD DE GENERO EN LA SALUD",IF(O51=CURSOS!$D$25,"BRIGADA DE EMERGENCIA",IF(O51=CURSOS!$D$26,"MANEJO DEL DOLOR Y CUIDADOS PALIATIVOS",IF(O51=CURSOS!$D$27,"TOMA DE MUESTRAS Y LABORATORIO POCT",IF(O51=CURSOS!$D$28,"IMPLANTE SUBDERMICO DE DISPOSITIVO INTRAUTERINO",IF(O51=CURSOS!$D$29,"SALUD MENTAL",IF(O51=CURSOS!$D$30,"PRIMEROS AUXILIOS PSICOLOGICOS",IF(O51=CURSOS!$D$31,"ATENCION A VICTIMAS POR CONFLICTO ARMADO",IF(O51=CURSOS!$D$32,"MANIPULACION DE ALIMENTOS Y BPM",IF(O51=CURSOS!$D$33,"ATENCION A PERSONAS CON DISCAPACIDAD",IF(O51=CURSOS!$D$34,"CUIDADO INTEGRAL DEL PACIENTE ADULTO",IF(O51=CURSOS!$D$35,"MANEJO DEFENSIVO",IF(O51=CURSOS!$D$36,"SOPORTE CARDIOVASCULAR AVANZADO NEONATAL",IF(O51=CURSOS!$D$37,"SEGURIDAD DEL PACIENTE",IF(O51=CURSOS!$D$38,"MANEJO DE RESIDUOS HOSPITALARIOS"))))))))))))))))))))))))))))))))))))</f>
        <v>ACOMPAÑAMIENTO Y MANEJO DEL DUELO</v>
      </c>
      <c r="V51" s="47" t="str">
        <f t="shared" si="0"/>
        <v>Juan Camilo Moreno Rodriguez</v>
      </c>
      <c r="W51" s="47" t="str">
        <f t="shared" si="1"/>
        <v>Juan Camilo Moreno Rodriguez</v>
      </c>
      <c r="X51" s="47" t="str">
        <f t="shared" si="2"/>
        <v>Juan Camilo Moreno Rodriguez-1085269667-DUELO</v>
      </c>
    </row>
    <row r="52" spans="1:25" x14ac:dyDescent="0.2">
      <c r="A52" s="46">
        <v>51</v>
      </c>
      <c r="B52" s="54">
        <v>59795680</v>
      </c>
      <c r="C52" s="54" t="s">
        <v>217</v>
      </c>
      <c r="D52" s="54" t="s">
        <v>218</v>
      </c>
      <c r="E52" s="54" t="s">
        <v>219</v>
      </c>
      <c r="F52" s="54" t="s">
        <v>220</v>
      </c>
      <c r="G52" s="54">
        <v>6</v>
      </c>
      <c r="H52" s="54" t="s">
        <v>100</v>
      </c>
      <c r="I52" s="55" t="s">
        <v>146</v>
      </c>
      <c r="J52" s="56">
        <v>45603</v>
      </c>
      <c r="K52" s="108">
        <v>100000</v>
      </c>
      <c r="L52" s="54" t="s">
        <v>235</v>
      </c>
      <c r="M52" s="54" t="s">
        <v>80</v>
      </c>
      <c r="N52" s="54" t="s">
        <v>159</v>
      </c>
      <c r="O52" s="43" t="s">
        <v>37</v>
      </c>
      <c r="P52" s="55">
        <v>28119</v>
      </c>
      <c r="Q52" s="54" t="s">
        <v>89</v>
      </c>
      <c r="R52" s="54" t="s">
        <v>221</v>
      </c>
      <c r="S52" s="54">
        <v>3203345751</v>
      </c>
      <c r="T52" s="54" t="s">
        <v>222</v>
      </c>
      <c r="U52" s="47" t="str">
        <f>IF(O52=CURSOS!$D$3,"DIPLOMADO EN ATENCION PRE-HOSPITALARIA",IF(O52=CURSOS!$D$4,"ACOMPAÑAMIENTO Y MANEJO DEL DUELO",IF(O52=CURSOS!$D$5,"ATENCION A VICTIMAS DE ATAQUE CON AGENTES QUIMICOS ",IF(O52=CURSOS!$D$6,"PRIMEROS AUXILIOS ",IF(O52=CURSOS!$D$7,"DIPLOMADO DE UNIDAD DE CUIDADOS INTENSIVOS (UCI)",IF(O52=CURSOS!$D$8,"MODELO DE ATENCION PARA EVENTOS EMERGENTES EN SALUD MENTAL (CODIGO VERDE)",IF(O52=CURSOS!$D$9,"HUMANIZACION EN EL SERVICIO DE LA SALUD Y BUENAS PRACTICAS EN PACIENTE ",IF(O52=CURSOS!$D$10,"CLINICA DE HERIDAS ",IF(O52=CURSOS!$D$11,"TOMA DE CITOLOGIA CERVICO VAGINAL ",IF(O52=CURSOS!$D$12,"SOPORTE CARDIOVASCULAR AVANZADO (ACLS) ",IF(O52=CURSOS!$D$13,"CAMILLERO ",IF(O52=CURSOS!$D$14,"TOMA DE MUESTRAS Y LABORATORIO ",IF(O52=CURSOS!$D$15,"SOPORTE VITAL BASICO (BLS)",IF(O52=CURSOS!$D$16,"ATENCION A VICTIMAS DE VIOLENCIA SEXUAL ",IF(O52=CURSOS!$D$17,"PROGRAMADO AMPLIADO DE INMUNIZACION (PAI - COVID 19)",IF(O52=CURSOS!$D$18,"ATENCION INTEGRAL EN ENFERMEDADES PREVALENTES EN PRIMERA INFANCIA (AIEPI)",IF(O52=CURSOS!$D$19,"ADMINISTRACION DE MEDICAMENTOS, INYECTOLOGIA  Y CANALIZACION ",IF(O52=CURSOS!$D$20,"OPERADOR DE VEHICULOS DE EMERGENCIA (OVE)",IF(O52=CURSOS!$D$21,"INSTITUCIONES AMIGAS DE LA MUJER Y LA INFANCIA (IAMI)",IF(O52=CURSOS!$D$22,"CUIDADO DEL DONANTE DE ORGANOS",IF(O52=CURSOS!$D$23,"ATENCION A VICTIMAS POR VIOLENCIA DE GENERO",IF(O52=CURSOS!$D$24,"IGUALDAD DE GENERO EN LA SALUD",IF(O52=CURSOS!$D$25,"BRIGADA DE EMERGENCIA",IF(O52=CURSOS!$D$26,"MANEJO DEL DOLOR Y CUIDADOS PALIATIVOS",IF(O52=CURSOS!$D$27,"TOMA DE MUESTRAS Y LABORATORIO POCT",IF(O52=CURSOS!$D$28,"IMPLANTE SUBDERMICO DE DISPOSITIVO INTRAUTERINO",IF(O52=CURSOS!$D$29,"SALUD MENTAL",IF(O52=CURSOS!$D$30,"PRIMEROS AUXILIOS PSICOLOGICOS",IF(O52=CURSOS!$D$31,"ATENCION A VICTIMAS POR CONFLICTO ARMADO",IF(O52=CURSOS!$D$32,"MANIPULACION DE ALIMENTOS Y BPM",IF(O52=CURSOS!$D$33,"ATENCION A PERSONAS CON DISCAPACIDAD",IF(O52=CURSOS!$D$34,"CUIDADO INTEGRAL DEL PACIENTE ADULTO",IF(O52=CURSOS!$D$35,"MANEJO DEFENSIVO",IF(O52=CURSOS!$D$36,"SOPORTE CARDIOVASCULAR AVANZADO NEONATAL",IF(O52=CURSOS!$D$37,"SEGURIDAD DEL PACIENTE",IF(O52=CURSOS!$D$38,"MANEJO DE RESIDUOS HOSPITALARIOS"))))))))))))))))))))))))))))))))))))</f>
        <v xml:space="preserve">SOPORTE CARDIOVASCULAR AVANZADO (ACLS) </v>
      </c>
      <c r="V52" s="47" t="str">
        <f t="shared" si="0"/>
        <v>Adriana Patricia Ibarra Obando</v>
      </c>
      <c r="W52" s="47" t="str">
        <f t="shared" si="1"/>
        <v>Adriana Patricia Ibarra Obando</v>
      </c>
      <c r="X52" s="47" t="str">
        <f t="shared" si="2"/>
        <v>Adriana Patricia Ibarra Obando-59795680-ACLS</v>
      </c>
    </row>
    <row r="53" spans="1:25" x14ac:dyDescent="0.2">
      <c r="A53" s="46">
        <v>52</v>
      </c>
      <c r="B53" s="54">
        <v>59795680</v>
      </c>
      <c r="C53" s="54" t="s">
        <v>217</v>
      </c>
      <c r="D53" s="54" t="s">
        <v>218</v>
      </c>
      <c r="E53" s="54" t="s">
        <v>219</v>
      </c>
      <c r="F53" s="54" t="s">
        <v>220</v>
      </c>
      <c r="G53" s="54">
        <v>5</v>
      </c>
      <c r="H53" s="54" t="s">
        <v>100</v>
      </c>
      <c r="I53" s="55" t="s">
        <v>146</v>
      </c>
      <c r="J53" s="56">
        <v>45603</v>
      </c>
      <c r="K53" s="108">
        <v>28000</v>
      </c>
      <c r="L53" s="54" t="s">
        <v>235</v>
      </c>
      <c r="M53" s="54" t="s">
        <v>80</v>
      </c>
      <c r="N53" s="54" t="s">
        <v>159</v>
      </c>
      <c r="O53" s="43" t="s">
        <v>25</v>
      </c>
      <c r="P53" s="55">
        <v>28119</v>
      </c>
      <c r="Q53" s="54" t="s">
        <v>89</v>
      </c>
      <c r="R53" s="54" t="s">
        <v>221</v>
      </c>
      <c r="S53" s="54">
        <v>3203345751</v>
      </c>
      <c r="T53" s="54" t="s">
        <v>222</v>
      </c>
      <c r="U53" s="47" t="str">
        <f>IF(O53=CURSOS!$D$3,"DIPLOMADO EN ATENCION PRE-HOSPITALARIA",IF(O53=CURSOS!$D$4,"ACOMPAÑAMIENTO Y MANEJO DEL DUELO",IF(O53=CURSOS!$D$5,"ATENCION A VICTIMAS DE ATAQUE CON AGENTES QUIMICOS ",IF(O53=CURSOS!$D$6,"PRIMEROS AUXILIOS ",IF(O53=CURSOS!$D$7,"DIPLOMADO DE UNIDAD DE CUIDADOS INTENSIVOS (UCI)",IF(O53=CURSOS!$D$8,"MODELO DE ATENCION PARA EVENTOS EMERGENTES EN SALUD MENTAL (CODIGO VERDE)",IF(O53=CURSOS!$D$9,"HUMANIZACION EN EL SERVICIO DE LA SALUD Y BUENAS PRACTICAS EN PACIENTE ",IF(O53=CURSOS!$D$10,"CLINICA DE HERIDAS ",IF(O53=CURSOS!$D$11,"TOMA DE CITOLOGIA CERVICO VAGINAL ",IF(O53=CURSOS!$D$12,"SOPORTE CARDIOVASCULAR AVANZADO (ACLS) ",IF(O53=CURSOS!$D$13,"CAMILLERO ",IF(O53=CURSOS!$D$14,"TOMA DE MUESTRAS Y LABORATORIO ",IF(O53=CURSOS!$D$15,"SOPORTE VITAL BASICO (BLS)",IF(O53=CURSOS!$D$16,"ATENCION A VICTIMAS DE VIOLENCIA SEXUAL ",IF(O53=CURSOS!$D$17,"PROGRAMADO AMPLIADO DE INMUNIZACION (PAI - COVID 19)",IF(O53=CURSOS!$D$18,"ATENCION INTEGRAL EN ENFERMEDADES PREVALENTES EN PRIMERA INFANCIA (AIEPI)",IF(O53=CURSOS!$D$19,"ADMINISTRACION DE MEDICAMENTOS, INYECTOLOGIA  Y CANALIZACION ",IF(O53=CURSOS!$D$20,"OPERADOR DE VEHICULOS DE EMERGENCIA (OVE)",IF(O53=CURSOS!$D$21,"INSTITUCIONES AMIGAS DE LA MUJER Y LA INFANCIA (IAMI)",IF(O53=CURSOS!$D$22,"CUIDADO DEL DONANTE DE ORGANOS",IF(O53=CURSOS!$D$23,"ATENCION A VICTIMAS POR VIOLENCIA DE GENERO",IF(O53=CURSOS!$D$24,"IGUALDAD DE GENERO EN LA SALUD",IF(O53=CURSOS!$D$25,"BRIGADA DE EMERGENCIA",IF(O53=CURSOS!$D$26,"MANEJO DEL DOLOR Y CUIDADOS PALIATIVOS",IF(O53=CURSOS!$D$27,"TOMA DE MUESTRAS Y LABORATORIO POCT",IF(O53=CURSOS!$D$28,"IMPLANTE SUBDERMICO DE DISPOSITIVO INTRAUTERINO",IF(O53=CURSOS!$D$29,"SALUD MENTAL",IF(O53=CURSOS!$D$30,"PRIMEROS AUXILIOS PSICOLOGICOS",IF(O53=CURSOS!$D$31,"ATENCION A VICTIMAS POR CONFLICTO ARMADO",IF(O53=CURSOS!$D$32,"MANIPULACION DE ALIMENTOS Y BPM",IF(O53=CURSOS!$D$33,"ATENCION A PERSONAS CON DISCAPACIDAD",IF(O53=CURSOS!$D$34,"CUIDADO INTEGRAL DEL PACIENTE ADULTO",IF(O53=CURSOS!$D$35,"MANEJO DEFENSIVO",IF(O53=CURSOS!$D$36,"SOPORTE CARDIOVASCULAR AVANZADO NEONATAL",IF(O53=CURSOS!$D$37,"SEGURIDAD DEL PACIENTE",IF(O53=CURSOS!$D$38,"MANEJO DE RESIDUOS HOSPITALARIOS"))))))))))))))))))))))))))))))))))))</f>
        <v xml:space="preserve">ATENCION A VICTIMAS DE ATAQUE CON AGENTES QUIMICOS </v>
      </c>
      <c r="V53" s="47" t="str">
        <f t="shared" si="0"/>
        <v>Adriana Patricia Ibarra Obando</v>
      </c>
      <c r="W53" s="47" t="str">
        <f t="shared" si="1"/>
        <v>Adriana Patricia Ibarra Obando</v>
      </c>
      <c r="X53" s="47" t="str">
        <f t="shared" si="2"/>
        <v>Adriana Patricia Ibarra Obando-59795680-QUIMICOS</v>
      </c>
    </row>
    <row r="54" spans="1:25" x14ac:dyDescent="0.2">
      <c r="A54" s="46">
        <v>53</v>
      </c>
      <c r="B54" s="54">
        <v>59795680</v>
      </c>
      <c r="C54" s="54" t="s">
        <v>217</v>
      </c>
      <c r="D54" s="54" t="s">
        <v>218</v>
      </c>
      <c r="E54" s="54" t="s">
        <v>219</v>
      </c>
      <c r="F54" s="54" t="s">
        <v>220</v>
      </c>
      <c r="G54" s="54">
        <v>2</v>
      </c>
      <c r="H54" s="54" t="s">
        <v>100</v>
      </c>
      <c r="I54" s="55" t="s">
        <v>146</v>
      </c>
      <c r="J54" s="56">
        <v>45603</v>
      </c>
      <c r="K54" s="108">
        <v>28000</v>
      </c>
      <c r="L54" s="54" t="s">
        <v>235</v>
      </c>
      <c r="M54" s="54" t="s">
        <v>80</v>
      </c>
      <c r="N54" s="54" t="s">
        <v>159</v>
      </c>
      <c r="O54" s="43" t="s">
        <v>23</v>
      </c>
      <c r="P54" s="55">
        <v>28119</v>
      </c>
      <c r="Q54" s="54" t="s">
        <v>89</v>
      </c>
      <c r="R54" s="54" t="s">
        <v>221</v>
      </c>
      <c r="S54" s="54">
        <v>3203345751</v>
      </c>
      <c r="T54" s="54" t="s">
        <v>222</v>
      </c>
      <c r="U54" s="47" t="str">
        <f>IF(O54=CURSOS!$D$3,"DIPLOMADO EN ATENCION PRE-HOSPITALARIA",IF(O54=CURSOS!$D$4,"ACOMPAÑAMIENTO Y MANEJO DEL DUELO",IF(O54=CURSOS!$D$5,"ATENCION A VICTIMAS DE ATAQUE CON AGENTES QUIMICOS ",IF(O54=CURSOS!$D$6,"PRIMEROS AUXILIOS ",IF(O54=CURSOS!$D$7,"DIPLOMADO DE UNIDAD DE CUIDADOS INTENSIVOS (UCI)",IF(O54=CURSOS!$D$8,"MODELO DE ATENCION PARA EVENTOS EMERGENTES EN SALUD MENTAL (CODIGO VERDE)",IF(O54=CURSOS!$D$9,"HUMANIZACION EN EL SERVICIO DE LA SALUD Y BUENAS PRACTICAS EN PACIENTE ",IF(O54=CURSOS!$D$10,"CLINICA DE HERIDAS ",IF(O54=CURSOS!$D$11,"TOMA DE CITOLOGIA CERVICO VAGINAL ",IF(O54=CURSOS!$D$12,"SOPORTE CARDIOVASCULAR AVANZADO (ACLS) ",IF(O54=CURSOS!$D$13,"CAMILLERO ",IF(O54=CURSOS!$D$14,"TOMA DE MUESTRAS Y LABORATORIO ",IF(O54=CURSOS!$D$15,"SOPORTE VITAL BASICO (BLS)",IF(O54=CURSOS!$D$16,"ATENCION A VICTIMAS DE VIOLENCIA SEXUAL ",IF(O54=CURSOS!$D$17,"PROGRAMADO AMPLIADO DE INMUNIZACION (PAI - COVID 19)",IF(O54=CURSOS!$D$18,"ATENCION INTEGRAL EN ENFERMEDADES PREVALENTES EN PRIMERA INFANCIA (AIEPI)",IF(O54=CURSOS!$D$19,"ADMINISTRACION DE MEDICAMENTOS, INYECTOLOGIA  Y CANALIZACION ",IF(O54=CURSOS!$D$20,"OPERADOR DE VEHICULOS DE EMERGENCIA (OVE)",IF(O54=CURSOS!$D$21,"INSTITUCIONES AMIGAS DE LA MUJER Y LA INFANCIA (IAMI)",IF(O54=CURSOS!$D$22,"CUIDADO DEL DONANTE DE ORGANOS",IF(O54=CURSOS!$D$23,"ATENCION A VICTIMAS POR VIOLENCIA DE GENERO",IF(O54=CURSOS!$D$24,"IGUALDAD DE GENERO EN LA SALUD",IF(O54=CURSOS!$D$25,"BRIGADA DE EMERGENCIA",IF(O54=CURSOS!$D$26,"MANEJO DEL DOLOR Y CUIDADOS PALIATIVOS",IF(O54=CURSOS!$D$27,"TOMA DE MUESTRAS Y LABORATORIO POCT",IF(O54=CURSOS!$D$28,"IMPLANTE SUBDERMICO DE DISPOSITIVO INTRAUTERINO",IF(O54=CURSOS!$D$29,"SALUD MENTAL",IF(O54=CURSOS!$D$30,"PRIMEROS AUXILIOS PSICOLOGICOS",IF(O54=CURSOS!$D$31,"ATENCION A VICTIMAS POR CONFLICTO ARMADO",IF(O54=CURSOS!$D$32,"MANIPULACION DE ALIMENTOS Y BPM",IF(O54=CURSOS!$D$33,"ATENCION A PERSONAS CON DISCAPACIDAD",IF(O54=CURSOS!$D$34,"CUIDADO INTEGRAL DEL PACIENTE ADULTO",IF(O54=CURSOS!$D$35,"MANEJO DEFENSIVO",IF(O54=CURSOS!$D$36,"SOPORTE CARDIOVASCULAR AVANZADO NEONATAL",IF(O54=CURSOS!$D$37,"SEGURIDAD DEL PACIENTE",IF(O54=CURSOS!$D$38,"MANEJO DE RESIDUOS HOSPITALARIOS"))))))))))))))))))))))))))))))))))))</f>
        <v>ACOMPAÑAMIENTO Y MANEJO DEL DUELO</v>
      </c>
      <c r="V54" s="47" t="str">
        <f t="shared" si="0"/>
        <v>Adriana Patricia Ibarra Obando</v>
      </c>
      <c r="W54" s="47" t="str">
        <f t="shared" si="1"/>
        <v>Adriana Patricia Ibarra Obando</v>
      </c>
      <c r="X54" s="47" t="str">
        <f t="shared" si="2"/>
        <v>Adriana Patricia Ibarra Obando-59795680-DUELO</v>
      </c>
    </row>
    <row r="55" spans="1:25" x14ac:dyDescent="0.2">
      <c r="A55" s="46">
        <v>54</v>
      </c>
      <c r="B55" s="54">
        <v>59795680</v>
      </c>
      <c r="C55" s="54" t="s">
        <v>217</v>
      </c>
      <c r="D55" s="54" t="s">
        <v>218</v>
      </c>
      <c r="E55" s="54" t="s">
        <v>219</v>
      </c>
      <c r="F55" s="54" t="s">
        <v>220</v>
      </c>
      <c r="G55" s="54">
        <v>1</v>
      </c>
      <c r="H55" s="54" t="s">
        <v>100</v>
      </c>
      <c r="I55" s="55" t="s">
        <v>146</v>
      </c>
      <c r="J55" s="56">
        <v>45603</v>
      </c>
      <c r="K55" s="108">
        <v>28000</v>
      </c>
      <c r="L55" s="54" t="s">
        <v>235</v>
      </c>
      <c r="M55" s="54" t="s">
        <v>80</v>
      </c>
      <c r="N55" s="54" t="s">
        <v>159</v>
      </c>
      <c r="O55" s="43" t="s">
        <v>42</v>
      </c>
      <c r="P55" s="55">
        <v>28119</v>
      </c>
      <c r="Q55" s="54" t="s">
        <v>89</v>
      </c>
      <c r="R55" s="54" t="s">
        <v>221</v>
      </c>
      <c r="S55" s="54">
        <v>3203345751</v>
      </c>
      <c r="T55" s="54" t="s">
        <v>222</v>
      </c>
      <c r="U55" s="47" t="str">
        <f>IF(O55=CURSOS!$D$3,"DIPLOMADO EN ATENCION PRE-HOSPITALARIA",IF(O55=CURSOS!$D$4,"ACOMPAÑAMIENTO Y MANEJO DEL DUELO",IF(O55=CURSOS!$D$5,"ATENCION A VICTIMAS DE ATAQUE CON AGENTES QUIMICOS ",IF(O55=CURSOS!$D$6,"PRIMEROS AUXILIOS ",IF(O55=CURSOS!$D$7,"DIPLOMADO DE UNIDAD DE CUIDADOS INTENSIVOS (UCI)",IF(O55=CURSOS!$D$8,"MODELO DE ATENCION PARA EVENTOS EMERGENTES EN SALUD MENTAL (CODIGO VERDE)",IF(O55=CURSOS!$D$9,"HUMANIZACION EN EL SERVICIO DE LA SALUD Y BUENAS PRACTICAS EN PACIENTE ",IF(O55=CURSOS!$D$10,"CLINICA DE HERIDAS ",IF(O55=CURSOS!$D$11,"TOMA DE CITOLOGIA CERVICO VAGINAL ",IF(O55=CURSOS!$D$12,"SOPORTE CARDIOVASCULAR AVANZADO (ACLS) ",IF(O55=CURSOS!$D$13,"CAMILLERO ",IF(O55=CURSOS!$D$14,"TOMA DE MUESTRAS Y LABORATORIO ",IF(O55=CURSOS!$D$15,"SOPORTE VITAL BASICO (BLS)",IF(O55=CURSOS!$D$16,"ATENCION A VICTIMAS DE VIOLENCIA SEXUAL ",IF(O55=CURSOS!$D$17,"PROGRAMADO AMPLIADO DE INMUNIZACION (PAI - COVID 19)",IF(O55=CURSOS!$D$18,"ATENCION INTEGRAL EN ENFERMEDADES PREVALENTES EN PRIMERA INFANCIA (AIEPI)",IF(O55=CURSOS!$D$19,"ADMINISTRACION DE MEDICAMENTOS, INYECTOLOGIA  Y CANALIZACION ",IF(O55=CURSOS!$D$20,"OPERADOR DE VEHICULOS DE EMERGENCIA (OVE)",IF(O55=CURSOS!$D$21,"INSTITUCIONES AMIGAS DE LA MUJER Y LA INFANCIA (IAMI)",IF(O55=CURSOS!$D$22,"CUIDADO DEL DONANTE DE ORGANOS",IF(O55=CURSOS!$D$23,"ATENCION A VICTIMAS POR VIOLENCIA DE GENERO",IF(O55=CURSOS!$D$24,"IGUALDAD DE GENERO EN LA SALUD",IF(O55=CURSOS!$D$25,"BRIGADA DE EMERGENCIA",IF(O55=CURSOS!$D$26,"MANEJO DEL DOLOR Y CUIDADOS PALIATIVOS",IF(O55=CURSOS!$D$27,"TOMA DE MUESTRAS Y LABORATORIO POCT",IF(O55=CURSOS!$D$28,"IMPLANTE SUBDERMICO DE DISPOSITIVO INTRAUTERINO",IF(O55=CURSOS!$D$29,"SALUD MENTAL",IF(O55=CURSOS!$D$30,"PRIMEROS AUXILIOS PSICOLOGICOS",IF(O55=CURSOS!$D$31,"ATENCION A VICTIMAS POR CONFLICTO ARMADO",IF(O55=CURSOS!$D$32,"MANIPULACION DE ALIMENTOS Y BPM",IF(O55=CURSOS!$D$33,"ATENCION A PERSONAS CON DISCAPACIDAD",IF(O55=CURSOS!$D$34,"CUIDADO INTEGRAL DEL PACIENTE ADULTO",IF(O55=CURSOS!$D$35,"MANEJO DEFENSIVO",IF(O55=CURSOS!$D$36,"SOPORTE CARDIOVASCULAR AVANZADO NEONATAL",IF(O55=CURSOS!$D$37,"SEGURIDAD DEL PACIENTE",IF(O55=CURSOS!$D$38,"MANEJO DE RESIDUOS HOSPITALARIOS"))))))))))))))))))))))))))))))))))))</f>
        <v xml:space="preserve">ATENCION A VICTIMAS DE VIOLENCIA SEXUAL </v>
      </c>
      <c r="V55" s="47" t="str">
        <f t="shared" ref="V55:V78" si="3">CONCATENATE(E55," ",F55," ",C55," ",D55)</f>
        <v>Adriana Patricia Ibarra Obando</v>
      </c>
      <c r="W55" s="47" t="str">
        <f t="shared" ref="W55:W78" si="4">PROPER(V55)</f>
        <v>Adriana Patricia Ibarra Obando</v>
      </c>
      <c r="X55" s="47" t="str">
        <f t="shared" ref="X55:X78" si="5">CONCATENATE(V55,"-",B55,"-",O55)</f>
        <v>Adriana Patricia Ibarra Obando-59795680-VIOLENCIA SEXUAL</v>
      </c>
    </row>
    <row r="56" spans="1:25" x14ac:dyDescent="0.2">
      <c r="A56" s="46">
        <v>55</v>
      </c>
      <c r="B56" s="54">
        <v>59795680</v>
      </c>
      <c r="C56" s="54" t="s">
        <v>217</v>
      </c>
      <c r="D56" s="54" t="s">
        <v>218</v>
      </c>
      <c r="E56" s="54" t="s">
        <v>219</v>
      </c>
      <c r="F56" s="54" t="s">
        <v>220</v>
      </c>
      <c r="G56" s="54">
        <v>2</v>
      </c>
      <c r="H56" s="54" t="s">
        <v>100</v>
      </c>
      <c r="I56" s="55" t="s">
        <v>146</v>
      </c>
      <c r="J56" s="56">
        <v>45603</v>
      </c>
      <c r="K56" s="108">
        <v>28000</v>
      </c>
      <c r="L56" s="54" t="s">
        <v>235</v>
      </c>
      <c r="M56" s="54" t="s">
        <v>80</v>
      </c>
      <c r="N56" s="54" t="s">
        <v>159</v>
      </c>
      <c r="O56" s="43" t="s">
        <v>32</v>
      </c>
      <c r="P56" s="55">
        <v>28119</v>
      </c>
      <c r="Q56" s="54" t="s">
        <v>89</v>
      </c>
      <c r="R56" s="54" t="s">
        <v>221</v>
      </c>
      <c r="S56" s="54">
        <v>3203345751</v>
      </c>
      <c r="T56" s="54" t="s">
        <v>222</v>
      </c>
      <c r="U56" s="47" t="str">
        <f>IF(O56=CURSOS!$D$3,"DIPLOMADO EN ATENCION PRE-HOSPITALARIA",IF(O56=CURSOS!$D$4,"ACOMPAÑAMIENTO Y MANEJO DEL DUELO",IF(O56=CURSOS!$D$5,"ATENCION A VICTIMAS DE ATAQUE CON AGENTES QUIMICOS ",IF(O56=CURSOS!$D$6,"PRIMEROS AUXILIOS ",IF(O56=CURSOS!$D$7,"DIPLOMADO DE UNIDAD DE CUIDADOS INTENSIVOS (UCI)",IF(O56=CURSOS!$D$8,"MODELO DE ATENCION PARA EVENTOS EMERGENTES EN SALUD MENTAL (CODIGO VERDE)",IF(O56=CURSOS!$D$9,"HUMANIZACION EN EL SERVICIO DE LA SALUD Y BUENAS PRACTICAS EN PACIENTE ",IF(O56=CURSOS!$D$10,"CLINICA DE HERIDAS ",IF(O56=CURSOS!$D$11,"TOMA DE CITOLOGIA CERVICO VAGINAL ",IF(O56=CURSOS!$D$12,"SOPORTE CARDIOVASCULAR AVANZADO (ACLS) ",IF(O56=CURSOS!$D$13,"CAMILLERO ",IF(O56=CURSOS!$D$14,"TOMA DE MUESTRAS Y LABORATORIO ",IF(O56=CURSOS!$D$15,"SOPORTE VITAL BASICO (BLS)",IF(O56=CURSOS!$D$16,"ATENCION A VICTIMAS DE VIOLENCIA SEXUAL ",IF(O56=CURSOS!$D$17,"PROGRAMADO AMPLIADO DE INMUNIZACION (PAI - COVID 19)",IF(O56=CURSOS!$D$18,"ATENCION INTEGRAL EN ENFERMEDADES PREVALENTES EN PRIMERA INFANCIA (AIEPI)",IF(O56=CURSOS!$D$19,"ADMINISTRACION DE MEDICAMENTOS, INYECTOLOGIA  Y CANALIZACION ",IF(O56=CURSOS!$D$20,"OPERADOR DE VEHICULOS DE EMERGENCIA (OVE)",IF(O56=CURSOS!$D$21,"INSTITUCIONES AMIGAS DE LA MUJER Y LA INFANCIA (IAMI)",IF(O56=CURSOS!$D$22,"CUIDADO DEL DONANTE DE ORGANOS",IF(O56=CURSOS!$D$23,"ATENCION A VICTIMAS POR VIOLENCIA DE GENERO",IF(O56=CURSOS!$D$24,"IGUALDAD DE GENERO EN LA SALUD",IF(O56=CURSOS!$D$25,"BRIGADA DE EMERGENCIA",IF(O56=CURSOS!$D$26,"MANEJO DEL DOLOR Y CUIDADOS PALIATIVOS",IF(O56=CURSOS!$D$27,"TOMA DE MUESTRAS Y LABORATORIO POCT",IF(O56=CURSOS!$D$28,"IMPLANTE SUBDERMICO DE DISPOSITIVO INTRAUTERINO",IF(O56=CURSOS!$D$29,"SALUD MENTAL",IF(O56=CURSOS!$D$30,"PRIMEROS AUXILIOS PSICOLOGICOS",IF(O56=CURSOS!$D$31,"ATENCION A VICTIMAS POR CONFLICTO ARMADO",IF(O56=CURSOS!$D$32,"MANIPULACION DE ALIMENTOS Y BPM",IF(O56=CURSOS!$D$33,"ATENCION A PERSONAS CON DISCAPACIDAD",IF(O56=CURSOS!$D$34,"CUIDADO INTEGRAL DEL PACIENTE ADULTO",IF(O56=CURSOS!$D$35,"MANEJO DEFENSIVO",IF(O56=CURSOS!$D$36,"SOPORTE CARDIOVASCULAR AVANZADO NEONATAL",IF(O56=CURSOS!$D$37,"SEGURIDAD DEL PACIENTE",IF(O56=CURSOS!$D$38,"MANEJO DE RESIDUOS HOSPITALARIOS"))))))))))))))))))))))))))))))))))))</f>
        <v xml:space="preserve">HUMANIZACION EN EL SERVICIO DE LA SALUD Y BUENAS PRACTICAS EN PACIENTE </v>
      </c>
      <c r="V56" s="47" t="str">
        <f t="shared" si="3"/>
        <v>Adriana Patricia Ibarra Obando</v>
      </c>
      <c r="W56" s="47" t="str">
        <f t="shared" si="4"/>
        <v>Adriana Patricia Ibarra Obando</v>
      </c>
      <c r="X56" s="47" t="str">
        <f t="shared" si="5"/>
        <v>Adriana Patricia Ibarra Obando-59795680-HUMANIZACION</v>
      </c>
    </row>
    <row r="57" spans="1:25" x14ac:dyDescent="0.2">
      <c r="A57" s="46">
        <v>56</v>
      </c>
      <c r="B57" s="54">
        <v>59795680</v>
      </c>
      <c r="C57" s="54" t="s">
        <v>217</v>
      </c>
      <c r="D57" s="54" t="s">
        <v>218</v>
      </c>
      <c r="E57" s="54" t="s">
        <v>219</v>
      </c>
      <c r="F57" s="54" t="s">
        <v>220</v>
      </c>
      <c r="G57" s="54">
        <v>5</v>
      </c>
      <c r="H57" s="54" t="s">
        <v>100</v>
      </c>
      <c r="I57" s="55" t="s">
        <v>146</v>
      </c>
      <c r="J57" s="56">
        <v>45603</v>
      </c>
      <c r="K57" s="108">
        <v>28000</v>
      </c>
      <c r="L57" s="54" t="s">
        <v>235</v>
      </c>
      <c r="M57" s="54" t="s">
        <v>80</v>
      </c>
      <c r="N57" s="54" t="s">
        <v>159</v>
      </c>
      <c r="O57" s="43" t="s">
        <v>44</v>
      </c>
      <c r="P57" s="55">
        <v>28119</v>
      </c>
      <c r="Q57" s="54" t="s">
        <v>89</v>
      </c>
      <c r="R57" s="54" t="s">
        <v>221</v>
      </c>
      <c r="S57" s="54">
        <v>3203345751</v>
      </c>
      <c r="T57" s="54" t="s">
        <v>222</v>
      </c>
      <c r="U57" s="47" t="str">
        <f>IF(O57=CURSOS!$D$3,"DIPLOMADO EN ATENCION PRE-HOSPITALARIA",IF(O57=CURSOS!$D$4,"ACOMPAÑAMIENTO Y MANEJO DEL DUELO",IF(O57=CURSOS!$D$5,"ATENCION A VICTIMAS DE ATAQUE CON AGENTES QUIMICOS ",IF(O57=CURSOS!$D$6,"PRIMEROS AUXILIOS ",IF(O57=CURSOS!$D$7,"DIPLOMADO DE UNIDAD DE CUIDADOS INTENSIVOS (UCI)",IF(O57=CURSOS!$D$8,"MODELO DE ATENCION PARA EVENTOS EMERGENTES EN SALUD MENTAL (CODIGO VERDE)",IF(O57=CURSOS!$D$9,"HUMANIZACION EN EL SERVICIO DE LA SALUD Y BUENAS PRACTICAS EN PACIENTE ",IF(O57=CURSOS!$D$10,"CLINICA DE HERIDAS ",IF(O57=CURSOS!$D$11,"TOMA DE CITOLOGIA CERVICO VAGINAL ",IF(O57=CURSOS!$D$12,"SOPORTE CARDIOVASCULAR AVANZADO (ACLS) ",IF(O57=CURSOS!$D$13,"CAMILLERO ",IF(O57=CURSOS!$D$14,"TOMA DE MUESTRAS Y LABORATORIO ",IF(O57=CURSOS!$D$15,"SOPORTE VITAL BASICO (BLS)",IF(O57=CURSOS!$D$16,"ATENCION A VICTIMAS DE VIOLENCIA SEXUAL ",IF(O57=CURSOS!$D$17,"PROGRAMADO AMPLIADO DE INMUNIZACION (PAI - COVID 19)",IF(O57=CURSOS!$D$18,"ATENCION INTEGRAL EN ENFERMEDADES PREVALENTES EN PRIMERA INFANCIA (AIEPI)",IF(O57=CURSOS!$D$19,"ADMINISTRACION DE MEDICAMENTOS, INYECTOLOGIA  Y CANALIZACION ",IF(O57=CURSOS!$D$20,"OPERADOR DE VEHICULOS DE EMERGENCIA (OVE)",IF(O57=CURSOS!$D$21,"INSTITUCIONES AMIGAS DE LA MUJER Y LA INFANCIA (IAMI)",IF(O57=CURSOS!$D$22,"CUIDADO DEL DONANTE DE ORGANOS",IF(O57=CURSOS!$D$23,"ATENCION A VICTIMAS POR VIOLENCIA DE GENERO",IF(O57=CURSOS!$D$24,"IGUALDAD DE GENERO EN LA SALUD",IF(O57=CURSOS!$D$25,"BRIGADA DE EMERGENCIA",IF(O57=CURSOS!$D$26,"MANEJO DEL DOLOR Y CUIDADOS PALIATIVOS",IF(O57=CURSOS!$D$27,"TOMA DE MUESTRAS Y LABORATORIO POCT",IF(O57=CURSOS!$D$28,"IMPLANTE SUBDERMICO DE DISPOSITIVO INTRAUTERINO",IF(O57=CURSOS!$D$29,"SALUD MENTAL",IF(O57=CURSOS!$D$30,"PRIMEROS AUXILIOS PSICOLOGICOS",IF(O57=CURSOS!$D$31,"ATENCION A VICTIMAS POR CONFLICTO ARMADO",IF(O57=CURSOS!$D$32,"MANIPULACION DE ALIMENTOS Y BPM",IF(O57=CURSOS!$D$33,"ATENCION A PERSONAS CON DISCAPACIDAD",IF(O57=CURSOS!$D$34,"CUIDADO INTEGRAL DEL PACIENTE ADULTO",IF(O57=CURSOS!$D$35,"MANEJO DEFENSIVO",IF(O57=CURSOS!$D$36,"SOPORTE CARDIOVASCULAR AVANZADO NEONATAL",IF(O57=CURSOS!$D$37,"SEGURIDAD DEL PACIENTE",IF(O57=CURSOS!$D$38,"MANEJO DE RESIDUOS HOSPITALARIOS"))))))))))))))))))))))))))))))))))))</f>
        <v>ATENCION INTEGRAL EN ENFERMEDADES PREVALENTES EN PRIMERA INFANCIA (AIEPI)</v>
      </c>
      <c r="V57" s="47" t="str">
        <f t="shared" si="3"/>
        <v>Adriana Patricia Ibarra Obando</v>
      </c>
      <c r="W57" s="47" t="str">
        <f t="shared" si="4"/>
        <v>Adriana Patricia Ibarra Obando</v>
      </c>
      <c r="X57" s="47" t="str">
        <f t="shared" si="5"/>
        <v>Adriana Patricia Ibarra Obando-59795680-AIEPI</v>
      </c>
    </row>
    <row r="58" spans="1:25" x14ac:dyDescent="0.2">
      <c r="A58" s="46">
        <v>57</v>
      </c>
      <c r="B58" s="54">
        <v>59795680</v>
      </c>
      <c r="C58" s="54" t="s">
        <v>217</v>
      </c>
      <c r="D58" s="54" t="s">
        <v>218</v>
      </c>
      <c r="E58" s="54" t="s">
        <v>219</v>
      </c>
      <c r="F58" s="54" t="s">
        <v>220</v>
      </c>
      <c r="G58" s="54">
        <v>6</v>
      </c>
      <c r="H58" s="54" t="s">
        <v>100</v>
      </c>
      <c r="I58" s="55" t="s">
        <v>146</v>
      </c>
      <c r="J58" s="56">
        <v>45603</v>
      </c>
      <c r="K58" s="108">
        <v>28000</v>
      </c>
      <c r="L58" s="54" t="s">
        <v>235</v>
      </c>
      <c r="M58" s="54" t="s">
        <v>80</v>
      </c>
      <c r="N58" s="54" t="s">
        <v>159</v>
      </c>
      <c r="O58" s="43" t="s">
        <v>19</v>
      </c>
      <c r="P58" s="55">
        <v>28119</v>
      </c>
      <c r="Q58" s="54" t="s">
        <v>89</v>
      </c>
      <c r="R58" s="54" t="s">
        <v>221</v>
      </c>
      <c r="S58" s="54">
        <v>3203345751</v>
      </c>
      <c r="T58" s="54" t="s">
        <v>222</v>
      </c>
      <c r="U58" s="47" t="str">
        <f>IF(O58=CURSOS!$D$3,"DIPLOMADO EN ATENCION PRE-HOSPITALARIA",IF(O58=CURSOS!$D$4,"ACOMPAÑAMIENTO Y MANEJO DEL DUELO",IF(O58=CURSOS!$D$5,"ATENCION A VICTIMAS DE ATAQUE CON AGENTES QUIMICOS ",IF(O58=CURSOS!$D$6,"PRIMEROS AUXILIOS ",IF(O58=CURSOS!$D$7,"DIPLOMADO DE UNIDAD DE CUIDADOS INTENSIVOS (UCI)",IF(O58=CURSOS!$D$8,"MODELO DE ATENCION PARA EVENTOS EMERGENTES EN SALUD MENTAL (CODIGO VERDE)",IF(O58=CURSOS!$D$9,"HUMANIZACION EN EL SERVICIO DE LA SALUD Y BUENAS PRACTICAS EN PACIENTE ",IF(O58=CURSOS!$D$10,"CLINICA DE HERIDAS ",IF(O58=CURSOS!$D$11,"TOMA DE CITOLOGIA CERVICO VAGINAL ",IF(O58=CURSOS!$D$12,"SOPORTE CARDIOVASCULAR AVANZADO (ACLS) ",IF(O58=CURSOS!$D$13,"CAMILLERO ",IF(O58=CURSOS!$D$14,"TOMA DE MUESTRAS Y LABORATORIO ",IF(O58=CURSOS!$D$15,"SOPORTE VITAL BASICO (BLS)",IF(O58=CURSOS!$D$16,"ATENCION A VICTIMAS DE VIOLENCIA SEXUAL ",IF(O58=CURSOS!$D$17,"PROGRAMADO AMPLIADO DE INMUNIZACION (PAI - COVID 19)",IF(O58=CURSOS!$D$18,"ATENCION INTEGRAL EN ENFERMEDADES PREVALENTES EN PRIMERA INFANCIA (AIEPI)",IF(O58=CURSOS!$D$19,"ADMINISTRACION DE MEDICAMENTOS, INYECTOLOGIA  Y CANALIZACION ",IF(O58=CURSOS!$D$20,"OPERADOR DE VEHICULOS DE EMERGENCIA (OVE)",IF(O58=CURSOS!$D$21,"INSTITUCIONES AMIGAS DE LA MUJER Y LA INFANCIA (IAMI)",IF(O58=CURSOS!$D$22,"CUIDADO DEL DONANTE DE ORGANOS",IF(O58=CURSOS!$D$23,"ATENCION A VICTIMAS POR VIOLENCIA DE GENERO",IF(O58=CURSOS!$D$24,"IGUALDAD DE GENERO EN LA SALUD",IF(O58=CURSOS!$D$25,"BRIGADA DE EMERGENCIA",IF(O58=CURSOS!$D$26,"MANEJO DEL DOLOR Y CUIDADOS PALIATIVOS",IF(O58=CURSOS!$D$27,"TOMA DE MUESTRAS Y LABORATORIO POCT",IF(O58=CURSOS!$D$28,"IMPLANTE SUBDERMICO DE DISPOSITIVO INTRAUTERINO",IF(O58=CURSOS!$D$29,"SALUD MENTAL",IF(O58=CURSOS!$D$30,"PRIMEROS AUXILIOS PSICOLOGICOS",IF(O58=CURSOS!$D$31,"ATENCION A VICTIMAS POR CONFLICTO ARMADO",IF(O58=CURSOS!$D$32,"MANIPULACION DE ALIMENTOS Y BPM",IF(O58=CURSOS!$D$33,"ATENCION A PERSONAS CON DISCAPACIDAD",IF(O58=CURSOS!$D$34,"CUIDADO INTEGRAL DEL PACIENTE ADULTO",IF(O58=CURSOS!$D$35,"MANEJO DEFENSIVO",IF(O58=CURSOS!$D$36,"SOPORTE CARDIOVASCULAR AVANZADO NEONATAL",IF(O58=CURSOS!$D$37,"SEGURIDAD DEL PACIENTE",IF(O58=CURSOS!$D$38,"MANEJO DE RESIDUOS HOSPITALARIOS"))))))))))))))))))))))))))))))))))))</f>
        <v>SOPORTE VITAL BASICO (BLS)</v>
      </c>
      <c r="V58" s="47" t="str">
        <f t="shared" si="3"/>
        <v>Adriana Patricia Ibarra Obando</v>
      </c>
      <c r="W58" s="47" t="str">
        <f t="shared" si="4"/>
        <v>Adriana Patricia Ibarra Obando</v>
      </c>
      <c r="X58" s="47" t="str">
        <f t="shared" si="5"/>
        <v>Adriana Patricia Ibarra Obando-59795680-BLS</v>
      </c>
    </row>
    <row r="59" spans="1:25" x14ac:dyDescent="0.2">
      <c r="A59" s="46">
        <v>58</v>
      </c>
      <c r="B59" s="60">
        <v>1088733829</v>
      </c>
      <c r="C59" s="60" t="s">
        <v>218</v>
      </c>
      <c r="D59" s="60" t="s">
        <v>123</v>
      </c>
      <c r="E59" s="60" t="s">
        <v>223</v>
      </c>
      <c r="F59" s="60" t="s">
        <v>224</v>
      </c>
      <c r="G59" s="60">
        <v>6</v>
      </c>
      <c r="H59" s="60" t="s">
        <v>100</v>
      </c>
      <c r="I59" s="61" t="s">
        <v>146</v>
      </c>
      <c r="J59" s="56">
        <v>45603</v>
      </c>
      <c r="K59" s="108">
        <v>28000</v>
      </c>
      <c r="L59" s="54" t="s">
        <v>235</v>
      </c>
      <c r="M59" s="60" t="s">
        <v>80</v>
      </c>
      <c r="N59" s="60" t="s">
        <v>159</v>
      </c>
      <c r="O59" s="62" t="s">
        <v>64</v>
      </c>
      <c r="P59" s="61">
        <v>33186</v>
      </c>
      <c r="Q59" s="60" t="s">
        <v>148</v>
      </c>
      <c r="R59" s="60" t="s">
        <v>286</v>
      </c>
      <c r="S59" s="63">
        <v>3217725218</v>
      </c>
      <c r="T59" s="60" t="s">
        <v>225</v>
      </c>
      <c r="U59" s="64" t="str">
        <f>IF(O59=CURSOS!$D$3,"DIPLOMADO EN ATENCION PRE-HOSPITALARIA",IF(O59=CURSOS!$D$4,"ACOMPAÑAMIENTO Y MANEJO DEL DUELO",IF(O59=CURSOS!$D$5,"ATENCION A VICTIMAS DE ATAQUE CON AGENTES QUIMICOS ",IF(O59=CURSOS!$D$6,"PRIMEROS AUXILIOS ",IF(O59=CURSOS!$D$7,"DIPLOMADO DE UNIDAD DE CUIDADOS INTENSIVOS (UCI)",IF(O59=CURSOS!$D$8,"MODELO DE ATENCION PARA EVENTOS EMERGENTES EN SALUD MENTAL (CODIGO VERDE)",IF(O59=CURSOS!$D$9,"HUMANIZACION EN EL SERVICIO DE LA SALUD Y BUENAS PRACTICAS EN PACIENTE ",IF(O59=CURSOS!$D$10,"CLINICA DE HERIDAS ",IF(O59=CURSOS!$D$11,"TOMA DE CITOLOGIA CERVICO VAGINAL ",IF(O59=CURSOS!$D$12,"SOPORTE CARDIOVASCULAR AVANZADO (ACLS) ",IF(O59=CURSOS!$D$13,"CAMILLERO ",IF(O59=CURSOS!$D$14,"TOMA DE MUESTRAS Y LABORATORIO ",IF(O59=CURSOS!$D$15,"SOPORTE VITAL BASICO (BLS)",IF(O59=CURSOS!$D$16,"ATENCION A VICTIMAS DE VIOLENCIA SEXUAL ",IF(O59=CURSOS!$D$17,"PROGRAMADO AMPLIADO DE INMUNIZACION (PAI - COVID 19)",IF(O59=CURSOS!$D$18,"ATENCION INTEGRAL EN ENFERMEDADES PREVALENTES EN PRIMERA INFANCIA (AIEPI)",IF(O59=CURSOS!$D$19,"ADMINISTRACION DE MEDICAMENTOS, INYECTOLOGIA  Y CANALIZACION ",IF(O59=CURSOS!$D$20,"OPERADOR DE VEHICULOS DE EMERGENCIA (OVE)",IF(O59=CURSOS!$D$21,"INSTITUCIONES AMIGAS DE LA MUJER Y LA INFANCIA (IAMI)",IF(O59=CURSOS!$D$22,"CUIDADO DEL DONANTE DE ORGANOS",IF(O59=CURSOS!$D$23,"ATENCION A VICTIMAS POR VIOLENCIA DE GENERO",IF(O59=CURSOS!$D$24,"IGUALDAD DE GENERO EN LA SALUD",IF(O59=CURSOS!$D$25,"BRIGADA DE EMERGENCIA",IF(O59=CURSOS!$D$26,"MANEJO DEL DOLOR Y CUIDADOS PALIATIVOS",IF(O59=CURSOS!$D$27,"TOMA DE MUESTRAS Y LABORATORIO POCT",IF(O59=CURSOS!$D$28,"IMPLANTE SUBDERMICO DE DISPOSITIVO INTRAUTERINO",IF(O59=CURSOS!$D$29,"SALUD MENTAL",IF(O59=CURSOS!$D$30,"PRIMEROS AUXILIOS PSICOLOGICOS",IF(O59=CURSOS!$D$31,"ATENCION A VICTIMAS POR CONFLICTO ARMADO",IF(O59=CURSOS!$D$32,"MANIPULACION DE ALIMENTOS Y BPM",IF(O59=CURSOS!$D$33,"ATENCION A PERSONAS CON DISCAPACIDAD",IF(O59=CURSOS!$D$34,"CUIDADO INTEGRAL DEL PACIENTE ADULTO",IF(O59=CURSOS!$D$35,"MANEJO DEFENSIVO",IF(O59=CURSOS!$D$36,"SOPORTE CARDIOVASCULAR AVANZADO NEONATAL",IF(O59=CURSOS!$D$37,"SEGURIDAD DEL PACIENTE",IF(O59=CURSOS!$D$38,"MANEJO DE RESIDUOS HOSPITALARIOS"))))))))))))))))))))))))))))))))))))</f>
        <v>ATENCION A VICTIMAS POR CONFLICTO ARMADO</v>
      </c>
      <c r="V59" s="64" t="str">
        <f t="shared" si="3"/>
        <v>Andres Geovanny Obando Benavides</v>
      </c>
      <c r="W59" s="64" t="str">
        <f t="shared" si="4"/>
        <v>Andres Geovanny Obando Benavides</v>
      </c>
      <c r="X59" s="64" t="str">
        <f t="shared" si="5"/>
        <v>Andres Geovanny Obando Benavides-1088733829-CONFLICTO ARMADO</v>
      </c>
    </row>
    <row r="60" spans="1:25" s="58" customFormat="1" x14ac:dyDescent="0.2">
      <c r="A60" s="46">
        <v>59</v>
      </c>
      <c r="B60" s="54">
        <v>1004696103</v>
      </c>
      <c r="C60" s="54" t="s">
        <v>205</v>
      </c>
      <c r="D60" s="54" t="s">
        <v>206</v>
      </c>
      <c r="E60" s="54" t="s">
        <v>131</v>
      </c>
      <c r="F60" s="54" t="s">
        <v>207</v>
      </c>
      <c r="G60" s="54">
        <v>2</v>
      </c>
      <c r="H60" s="54" t="s">
        <v>100</v>
      </c>
      <c r="I60" s="55" t="s">
        <v>146</v>
      </c>
      <c r="J60" s="56">
        <v>45603</v>
      </c>
      <c r="K60" s="108">
        <v>28000</v>
      </c>
      <c r="L60" s="54" t="s">
        <v>235</v>
      </c>
      <c r="M60" s="54" t="s">
        <v>80</v>
      </c>
      <c r="N60" s="54" t="s">
        <v>159</v>
      </c>
      <c r="O60" s="43" t="s">
        <v>19</v>
      </c>
      <c r="P60" s="55">
        <v>37095</v>
      </c>
      <c r="Q60" s="54" t="s">
        <v>89</v>
      </c>
      <c r="R60" s="57" t="s">
        <v>208</v>
      </c>
      <c r="S60" s="54">
        <v>3205368493</v>
      </c>
      <c r="T60" s="54" t="s">
        <v>209</v>
      </c>
      <c r="U60" s="47" t="str">
        <f>IF(O60=CURSOS!$D$3,"DIPLOMADO EN ATENCION PRE-HOSPITALARIA",IF(O60=CURSOS!$D$4,"ACOMPAÑAMIENTO Y MANEJO DEL DUELO",IF(O60=CURSOS!$D$5,"ATENCION A VICTIMAS DE ATAQUE CON AGENTES QUIMICOS ",IF(O60=CURSOS!$D$6,"PRIMEROS AUXILIOS ",IF(O60=CURSOS!$D$7,"DIPLOMADO DE UNIDAD DE CUIDADOS INTENSIVOS (UCI)",IF(O60=CURSOS!$D$8,"MODELO DE ATENCION PARA EVENTOS EMERGENTES EN SALUD MENTAL (CODIGO VERDE)",IF(O60=CURSOS!$D$9,"HUMANIZACION EN EL SERVICIO DE LA SALUD Y BUENAS PRACTICAS EN PACIENTE ",IF(O60=CURSOS!$D$10,"CLINICA DE HERIDAS ",IF(O60=CURSOS!$D$11,"TOMA DE CITOLOGIA CERVICO VAGINAL ",IF(O60=CURSOS!$D$12,"SOPORTE CARDIOVASCULAR AVANZADO (ACLS) ",IF(O60=CURSOS!$D$13,"CAMILLERO ",IF(O60=CURSOS!$D$14,"TOMA DE MUESTRAS Y LABORATORIO ",IF(O60=CURSOS!$D$15,"SOPORTE VITAL BASICO (BLS)",IF(O60=CURSOS!$D$16,"ATENCION A VICTIMAS DE VIOLENCIA SEXUAL ",IF(O60=CURSOS!$D$17,"PROGRAMADO AMPLIADO DE INMUNIZACION (PAI - COVID 19)",IF(O60=CURSOS!$D$18,"ATENCION INTEGRAL EN ENFERMEDADES PREVALENTES EN PRIMERA INFANCIA (AIEPI)",IF(O60=CURSOS!$D$19,"ADMINISTRACION DE MEDICAMENTOS, INYECTOLOGIA  Y CANALIZACION ",IF(O60=CURSOS!$D$20,"OPERADOR DE VEHICULOS DE EMERGENCIA (OVE)",IF(O60=CURSOS!$D$21,"INSTITUCIONES AMIGAS DE LA MUJER Y LA INFANCIA (IAMI)",IF(O60=CURSOS!$D$22,"CUIDADO DEL DONANTE DE ORGANOS",IF(O60=CURSOS!$D$23,"ATENCION A VICTIMAS POR VIOLENCIA DE GENERO",IF(O60=CURSOS!$D$24,"IGUALDAD DE GENERO EN LA SALUD",IF(O60=CURSOS!$D$25,"BRIGADA DE EMERGENCIA",IF(O60=CURSOS!$D$26,"MANEJO DEL DOLOR Y CUIDADOS PALIATIVOS",IF(O60=CURSOS!$D$27,"TOMA DE MUESTRAS Y LABORATORIO POCT",IF(O60=CURSOS!$D$28,"IMPLANTE SUBDERMICO DE DISPOSITIVO INTRAUTERINO",IF(O60=CURSOS!$D$29,"SALUD MENTAL",IF(O60=CURSOS!$D$30,"PRIMEROS AUXILIOS PSICOLOGICOS",IF(O60=CURSOS!$D$31,"ATENCION A VICTIMAS POR CONFLICTO ARMADO",IF(O60=CURSOS!$D$32,"MANIPULACION DE ALIMENTOS Y BPM",IF(O60=CURSOS!$D$33,"ATENCION A PERSONAS CON DISCAPACIDAD",IF(O60=CURSOS!$D$34,"CUIDADO INTEGRAL DEL PACIENTE ADULTO",IF(O60=CURSOS!$D$35,"MANEJO DEFENSIVO",IF(O60=CURSOS!$D$36,"SOPORTE CARDIOVASCULAR AVANZADO NEONATAL",IF(O60=CURSOS!$D$37,"SEGURIDAD DEL PACIENTE",IF(O60=CURSOS!$D$38,"MANEJO DE RESIDUOS HOSPITALARIOS"))))))))))))))))))))))))))))))))))))</f>
        <v>SOPORTE VITAL BASICO (BLS)</v>
      </c>
      <c r="V60" s="47" t="str">
        <f t="shared" si="3"/>
        <v>Karol Yuliana Andrade Hernández</v>
      </c>
      <c r="W60" s="47" t="str">
        <f t="shared" si="4"/>
        <v>Karol Yuliana Andrade Hernández</v>
      </c>
      <c r="X60" s="47" t="str">
        <f t="shared" si="5"/>
        <v>Karol Yuliana Andrade Hernández-1004696103-BLS</v>
      </c>
      <c r="Y60" s="65"/>
    </row>
    <row r="61" spans="1:25" x14ac:dyDescent="0.2">
      <c r="A61" s="46">
        <v>60</v>
      </c>
      <c r="B61" s="54">
        <v>1233193095</v>
      </c>
      <c r="C61" s="54" t="s">
        <v>226</v>
      </c>
      <c r="D61" s="54" t="s">
        <v>227</v>
      </c>
      <c r="E61" s="54" t="s">
        <v>234</v>
      </c>
      <c r="F61" s="54" t="s">
        <v>152</v>
      </c>
      <c r="G61" s="54">
        <v>7</v>
      </c>
      <c r="H61" s="54" t="s">
        <v>100</v>
      </c>
      <c r="I61" s="55" t="s">
        <v>146</v>
      </c>
      <c r="J61" s="56">
        <v>45603</v>
      </c>
      <c r="K61" s="108">
        <v>28000</v>
      </c>
      <c r="L61" s="54" t="s">
        <v>235</v>
      </c>
      <c r="M61" s="54" t="s">
        <v>141</v>
      </c>
      <c r="N61" s="54" t="s">
        <v>159</v>
      </c>
      <c r="O61" s="43" t="s">
        <v>32</v>
      </c>
      <c r="P61" s="55">
        <v>36215</v>
      </c>
      <c r="Q61" s="54" t="s">
        <v>89</v>
      </c>
      <c r="R61" s="54" t="s">
        <v>180</v>
      </c>
      <c r="S61" s="57">
        <v>3163115585</v>
      </c>
      <c r="T61" s="54" t="s">
        <v>228</v>
      </c>
      <c r="U61" s="47" t="str">
        <f>IF(O61=CURSOS!$D$3,"DIPLOMADO EN ATENCION PRE-HOSPITALARIA",IF(O61=CURSOS!$D$4,"ACOMPAÑAMIENTO Y MANEJO DEL DUELO",IF(O61=CURSOS!$D$5,"ATENCION A VICTIMAS DE ATAQUE CON AGENTES QUIMICOS ",IF(O61=CURSOS!$D$6,"PRIMEROS AUXILIOS ",IF(O61=CURSOS!$D$7,"DIPLOMADO DE UNIDAD DE CUIDADOS INTENSIVOS (UCI)",IF(O61=CURSOS!$D$8,"MODELO DE ATENCION PARA EVENTOS EMERGENTES EN SALUD MENTAL (CODIGO VERDE)",IF(O61=CURSOS!$D$9,"HUMANIZACION EN EL SERVICIO DE LA SALUD Y BUENAS PRACTICAS EN PACIENTE ",IF(O61=CURSOS!$D$10,"CLINICA DE HERIDAS ",IF(O61=CURSOS!$D$11,"TOMA DE CITOLOGIA CERVICO VAGINAL ",IF(O61=CURSOS!$D$12,"SOPORTE CARDIOVASCULAR AVANZADO (ACLS) ",IF(O61=CURSOS!$D$13,"CAMILLERO ",IF(O61=CURSOS!$D$14,"TOMA DE MUESTRAS Y LABORATORIO ",IF(O61=CURSOS!$D$15,"SOPORTE VITAL BASICO (BLS)",IF(O61=CURSOS!$D$16,"ATENCION A VICTIMAS DE VIOLENCIA SEXUAL ",IF(O61=CURSOS!$D$17,"PROGRAMADO AMPLIADO DE INMUNIZACION (PAI - COVID 19)",IF(O61=CURSOS!$D$18,"ATENCION INTEGRAL EN ENFERMEDADES PREVALENTES EN PRIMERA INFANCIA (AIEPI)",IF(O61=CURSOS!$D$19,"ADMINISTRACION DE MEDICAMENTOS, INYECTOLOGIA  Y CANALIZACION ",IF(O61=CURSOS!$D$20,"OPERADOR DE VEHICULOS DE EMERGENCIA (OVE)",IF(O61=CURSOS!$D$21,"INSTITUCIONES AMIGAS DE LA MUJER Y LA INFANCIA (IAMI)",IF(O61=CURSOS!$D$22,"CUIDADO DEL DONANTE DE ORGANOS",IF(O61=CURSOS!$D$23,"ATENCION A VICTIMAS POR VIOLENCIA DE GENERO",IF(O61=CURSOS!$D$24,"IGUALDAD DE GENERO EN LA SALUD",IF(O61=CURSOS!$D$25,"BRIGADA DE EMERGENCIA",IF(O61=CURSOS!$D$26,"MANEJO DEL DOLOR Y CUIDADOS PALIATIVOS",IF(O61=CURSOS!$D$27,"TOMA DE MUESTRAS Y LABORATORIO POCT",IF(O61=CURSOS!$D$28,"IMPLANTE SUBDERMICO DE DISPOSITIVO INTRAUTERINO",IF(O61=CURSOS!$D$29,"SALUD MENTAL",IF(O61=CURSOS!$D$30,"PRIMEROS AUXILIOS PSICOLOGICOS",IF(O61=CURSOS!$D$31,"ATENCION A VICTIMAS POR CONFLICTO ARMADO",IF(O61=CURSOS!$D$32,"MANIPULACION DE ALIMENTOS Y BPM",IF(O61=CURSOS!$D$33,"ATENCION A PERSONAS CON DISCAPACIDAD",IF(O61=CURSOS!$D$34,"CUIDADO INTEGRAL DEL PACIENTE ADULTO",IF(O61=CURSOS!$D$35,"MANEJO DEFENSIVO",IF(O61=CURSOS!$D$36,"SOPORTE CARDIOVASCULAR AVANZADO NEONATAL",IF(O61=CURSOS!$D$37,"SEGURIDAD DEL PACIENTE",IF(O61=CURSOS!$D$38,"MANEJO DE RESIDUOS HOSPITALARIOS"))))))))))))))))))))))))))))))))))))</f>
        <v xml:space="preserve">HUMANIZACION EN EL SERVICIO DE LA SALUD Y BUENAS PRACTICAS EN PACIENTE </v>
      </c>
      <c r="V61" s="47" t="str">
        <f t="shared" si="3"/>
        <v xml:space="preserve">Dania Marcela Ruales  Benavides </v>
      </c>
      <c r="W61" s="47" t="str">
        <f t="shared" si="4"/>
        <v xml:space="preserve">Dania Marcela Ruales  Benavides </v>
      </c>
      <c r="X61" s="47" t="str">
        <f t="shared" si="5"/>
        <v>Dania Marcela Ruales  Benavides -1233193095-HUMANIZACION</v>
      </c>
    </row>
    <row r="62" spans="1:25" x14ac:dyDescent="0.2">
      <c r="A62" s="46">
        <v>61</v>
      </c>
      <c r="B62" s="54">
        <v>1233193095</v>
      </c>
      <c r="C62" s="54" t="s">
        <v>226</v>
      </c>
      <c r="D62" s="54" t="s">
        <v>227</v>
      </c>
      <c r="E62" s="54" t="s">
        <v>234</v>
      </c>
      <c r="F62" s="54" t="s">
        <v>152</v>
      </c>
      <c r="G62" s="54">
        <v>7</v>
      </c>
      <c r="H62" s="54" t="s">
        <v>100</v>
      </c>
      <c r="I62" s="55" t="s">
        <v>146</v>
      </c>
      <c r="J62" s="56">
        <v>45603</v>
      </c>
      <c r="K62" s="108">
        <v>28000</v>
      </c>
      <c r="L62" s="54" t="s">
        <v>235</v>
      </c>
      <c r="M62" s="54" t="s">
        <v>141</v>
      </c>
      <c r="N62" s="54" t="s">
        <v>159</v>
      </c>
      <c r="O62" s="43" t="s">
        <v>25</v>
      </c>
      <c r="P62" s="55">
        <v>36215</v>
      </c>
      <c r="Q62" s="54" t="s">
        <v>89</v>
      </c>
      <c r="R62" s="54" t="s">
        <v>180</v>
      </c>
      <c r="S62" s="57">
        <v>3163115585</v>
      </c>
      <c r="T62" s="54" t="s">
        <v>228</v>
      </c>
      <c r="U62" s="47" t="str">
        <f>IF(O62=CURSOS!$D$3,"DIPLOMADO EN ATENCION PRE-HOSPITALARIA",IF(O62=CURSOS!$D$4,"ACOMPAÑAMIENTO Y MANEJO DEL DUELO",IF(O62=CURSOS!$D$5,"ATENCION A VICTIMAS DE ATAQUE CON AGENTES QUIMICOS ",IF(O62=CURSOS!$D$6,"PRIMEROS AUXILIOS ",IF(O62=CURSOS!$D$7,"DIPLOMADO DE UNIDAD DE CUIDADOS INTENSIVOS (UCI)",IF(O62=CURSOS!$D$8,"MODELO DE ATENCION PARA EVENTOS EMERGENTES EN SALUD MENTAL (CODIGO VERDE)",IF(O62=CURSOS!$D$9,"HUMANIZACION EN EL SERVICIO DE LA SALUD Y BUENAS PRACTICAS EN PACIENTE ",IF(O62=CURSOS!$D$10,"CLINICA DE HERIDAS ",IF(O62=CURSOS!$D$11,"TOMA DE CITOLOGIA CERVICO VAGINAL ",IF(O62=CURSOS!$D$12,"SOPORTE CARDIOVASCULAR AVANZADO (ACLS) ",IF(O62=CURSOS!$D$13,"CAMILLERO ",IF(O62=CURSOS!$D$14,"TOMA DE MUESTRAS Y LABORATORIO ",IF(O62=CURSOS!$D$15,"SOPORTE VITAL BASICO (BLS)",IF(O62=CURSOS!$D$16,"ATENCION A VICTIMAS DE VIOLENCIA SEXUAL ",IF(O62=CURSOS!$D$17,"PROGRAMADO AMPLIADO DE INMUNIZACION (PAI - COVID 19)",IF(O62=CURSOS!$D$18,"ATENCION INTEGRAL EN ENFERMEDADES PREVALENTES EN PRIMERA INFANCIA (AIEPI)",IF(O62=CURSOS!$D$19,"ADMINISTRACION DE MEDICAMENTOS, INYECTOLOGIA  Y CANALIZACION ",IF(O62=CURSOS!$D$20,"OPERADOR DE VEHICULOS DE EMERGENCIA (OVE)",IF(O62=CURSOS!$D$21,"INSTITUCIONES AMIGAS DE LA MUJER Y LA INFANCIA (IAMI)",IF(O62=CURSOS!$D$22,"CUIDADO DEL DONANTE DE ORGANOS",IF(O62=CURSOS!$D$23,"ATENCION A VICTIMAS POR VIOLENCIA DE GENERO",IF(O62=CURSOS!$D$24,"IGUALDAD DE GENERO EN LA SALUD",IF(O62=CURSOS!$D$25,"BRIGADA DE EMERGENCIA",IF(O62=CURSOS!$D$26,"MANEJO DEL DOLOR Y CUIDADOS PALIATIVOS",IF(O62=CURSOS!$D$27,"TOMA DE MUESTRAS Y LABORATORIO POCT",IF(O62=CURSOS!$D$28,"IMPLANTE SUBDERMICO DE DISPOSITIVO INTRAUTERINO",IF(O62=CURSOS!$D$29,"SALUD MENTAL",IF(O62=CURSOS!$D$30,"PRIMEROS AUXILIOS PSICOLOGICOS",IF(O62=CURSOS!$D$31,"ATENCION A VICTIMAS POR CONFLICTO ARMADO",IF(O62=CURSOS!$D$32,"MANIPULACION DE ALIMENTOS Y BPM",IF(O62=CURSOS!$D$33,"ATENCION A PERSONAS CON DISCAPACIDAD",IF(O62=CURSOS!$D$34,"CUIDADO INTEGRAL DEL PACIENTE ADULTO",IF(O62=CURSOS!$D$35,"MANEJO DEFENSIVO",IF(O62=CURSOS!$D$36,"SOPORTE CARDIOVASCULAR AVANZADO NEONATAL",IF(O62=CURSOS!$D$37,"SEGURIDAD DEL PACIENTE",IF(O62=CURSOS!$D$38,"MANEJO DE RESIDUOS HOSPITALARIOS"))))))))))))))))))))))))))))))))))))</f>
        <v xml:space="preserve">ATENCION A VICTIMAS DE ATAQUE CON AGENTES QUIMICOS </v>
      </c>
      <c r="V62" s="47" t="str">
        <f t="shared" si="3"/>
        <v xml:space="preserve">Dania Marcela Ruales  Benavides </v>
      </c>
      <c r="W62" s="47" t="str">
        <f t="shared" si="4"/>
        <v xml:space="preserve">Dania Marcela Ruales  Benavides </v>
      </c>
      <c r="X62" s="47" t="str">
        <f t="shared" si="5"/>
        <v>Dania Marcela Ruales  Benavides -1233193095-QUIMICOS</v>
      </c>
    </row>
    <row r="63" spans="1:25" x14ac:dyDescent="0.2">
      <c r="A63" s="46">
        <v>62</v>
      </c>
      <c r="B63" s="54">
        <v>1233193095</v>
      </c>
      <c r="C63" s="54" t="s">
        <v>226</v>
      </c>
      <c r="D63" s="54" t="s">
        <v>227</v>
      </c>
      <c r="E63" s="54" t="s">
        <v>234</v>
      </c>
      <c r="F63" s="54" t="s">
        <v>152</v>
      </c>
      <c r="G63" s="54">
        <v>7</v>
      </c>
      <c r="H63" s="54" t="s">
        <v>100</v>
      </c>
      <c r="I63" s="55" t="s">
        <v>146</v>
      </c>
      <c r="J63" s="56">
        <v>45603</v>
      </c>
      <c r="K63" s="108">
        <v>28000</v>
      </c>
      <c r="L63" s="54" t="s">
        <v>235</v>
      </c>
      <c r="M63" s="54" t="s">
        <v>141</v>
      </c>
      <c r="N63" s="54" t="s">
        <v>159</v>
      </c>
      <c r="O63" s="43" t="s">
        <v>42</v>
      </c>
      <c r="P63" s="55">
        <v>36215</v>
      </c>
      <c r="Q63" s="54" t="s">
        <v>89</v>
      </c>
      <c r="R63" s="54" t="s">
        <v>180</v>
      </c>
      <c r="S63" s="57">
        <v>3163115585</v>
      </c>
      <c r="T63" s="54" t="s">
        <v>228</v>
      </c>
      <c r="U63" s="47" t="str">
        <f>IF(O63=CURSOS!$D$3,"DIPLOMADO EN ATENCION PRE-HOSPITALARIA",IF(O63=CURSOS!$D$4,"ACOMPAÑAMIENTO Y MANEJO DEL DUELO",IF(O63=CURSOS!$D$5,"ATENCION A VICTIMAS DE ATAQUE CON AGENTES QUIMICOS ",IF(O63=CURSOS!$D$6,"PRIMEROS AUXILIOS ",IF(O63=CURSOS!$D$7,"DIPLOMADO DE UNIDAD DE CUIDADOS INTENSIVOS (UCI)",IF(O63=CURSOS!$D$8,"MODELO DE ATENCION PARA EVENTOS EMERGENTES EN SALUD MENTAL (CODIGO VERDE)",IF(O63=CURSOS!$D$9,"HUMANIZACION EN EL SERVICIO DE LA SALUD Y BUENAS PRACTICAS EN PACIENTE ",IF(O63=CURSOS!$D$10,"CLINICA DE HERIDAS ",IF(O63=CURSOS!$D$11,"TOMA DE CITOLOGIA CERVICO VAGINAL ",IF(O63=CURSOS!$D$12,"SOPORTE CARDIOVASCULAR AVANZADO (ACLS) ",IF(O63=CURSOS!$D$13,"CAMILLERO ",IF(O63=CURSOS!$D$14,"TOMA DE MUESTRAS Y LABORATORIO ",IF(O63=CURSOS!$D$15,"SOPORTE VITAL BASICO (BLS)",IF(O63=CURSOS!$D$16,"ATENCION A VICTIMAS DE VIOLENCIA SEXUAL ",IF(O63=CURSOS!$D$17,"PROGRAMADO AMPLIADO DE INMUNIZACION (PAI - COVID 19)",IF(O63=CURSOS!$D$18,"ATENCION INTEGRAL EN ENFERMEDADES PREVALENTES EN PRIMERA INFANCIA (AIEPI)",IF(O63=CURSOS!$D$19,"ADMINISTRACION DE MEDICAMENTOS, INYECTOLOGIA  Y CANALIZACION ",IF(O63=CURSOS!$D$20,"OPERADOR DE VEHICULOS DE EMERGENCIA (OVE)",IF(O63=CURSOS!$D$21,"INSTITUCIONES AMIGAS DE LA MUJER Y LA INFANCIA (IAMI)",IF(O63=CURSOS!$D$22,"CUIDADO DEL DONANTE DE ORGANOS",IF(O63=CURSOS!$D$23,"ATENCION A VICTIMAS POR VIOLENCIA DE GENERO",IF(O63=CURSOS!$D$24,"IGUALDAD DE GENERO EN LA SALUD",IF(O63=CURSOS!$D$25,"BRIGADA DE EMERGENCIA",IF(O63=CURSOS!$D$26,"MANEJO DEL DOLOR Y CUIDADOS PALIATIVOS",IF(O63=CURSOS!$D$27,"TOMA DE MUESTRAS Y LABORATORIO POCT",IF(O63=CURSOS!$D$28,"IMPLANTE SUBDERMICO DE DISPOSITIVO INTRAUTERINO",IF(O63=CURSOS!$D$29,"SALUD MENTAL",IF(O63=CURSOS!$D$30,"PRIMEROS AUXILIOS PSICOLOGICOS",IF(O63=CURSOS!$D$31,"ATENCION A VICTIMAS POR CONFLICTO ARMADO",IF(O63=CURSOS!$D$32,"MANIPULACION DE ALIMENTOS Y BPM",IF(O63=CURSOS!$D$33,"ATENCION A PERSONAS CON DISCAPACIDAD",IF(O63=CURSOS!$D$34,"CUIDADO INTEGRAL DEL PACIENTE ADULTO",IF(O63=CURSOS!$D$35,"MANEJO DEFENSIVO",IF(O63=CURSOS!$D$36,"SOPORTE CARDIOVASCULAR AVANZADO NEONATAL",IF(O63=CURSOS!$D$37,"SEGURIDAD DEL PACIENTE",IF(O63=CURSOS!$D$38,"MANEJO DE RESIDUOS HOSPITALARIOS"))))))))))))))))))))))))))))))))))))</f>
        <v xml:space="preserve">ATENCION A VICTIMAS DE VIOLENCIA SEXUAL </v>
      </c>
      <c r="V63" s="47" t="str">
        <f t="shared" si="3"/>
        <v xml:space="preserve">Dania Marcela Ruales  Benavides </v>
      </c>
      <c r="W63" s="47" t="str">
        <f t="shared" si="4"/>
        <v xml:space="preserve">Dania Marcela Ruales  Benavides </v>
      </c>
      <c r="X63" s="47" t="str">
        <f t="shared" si="5"/>
        <v>Dania Marcela Ruales  Benavides -1233193095-VIOLENCIA SEXUAL</v>
      </c>
    </row>
    <row r="64" spans="1:25" x14ac:dyDescent="0.2">
      <c r="A64" s="46">
        <v>63</v>
      </c>
      <c r="B64" s="54">
        <v>59395650</v>
      </c>
      <c r="C64" s="54" t="s">
        <v>229</v>
      </c>
      <c r="D64" s="54" t="s">
        <v>230</v>
      </c>
      <c r="E64" s="54" t="s">
        <v>231</v>
      </c>
      <c r="F64" s="54" t="s">
        <v>232</v>
      </c>
      <c r="G64" s="54">
        <v>2</v>
      </c>
      <c r="H64" s="54" t="s">
        <v>100</v>
      </c>
      <c r="I64" s="55" t="s">
        <v>146</v>
      </c>
      <c r="J64" s="56">
        <v>45603</v>
      </c>
      <c r="K64" s="108">
        <v>28000</v>
      </c>
      <c r="L64" s="54" t="s">
        <v>235</v>
      </c>
      <c r="M64" s="54" t="s">
        <v>80</v>
      </c>
      <c r="N64" s="54" t="s">
        <v>159</v>
      </c>
      <c r="O64" s="43" t="s">
        <v>19</v>
      </c>
      <c r="P64" s="55">
        <v>30248</v>
      </c>
      <c r="Q64" s="54" t="s">
        <v>89</v>
      </c>
      <c r="R64" s="57" t="s">
        <v>189</v>
      </c>
      <c r="S64" s="54">
        <v>3116580607</v>
      </c>
      <c r="T64" s="54" t="s">
        <v>233</v>
      </c>
      <c r="U64" s="47" t="str">
        <f>IF(O64=CURSOS!$D$3,"DIPLOMADO EN ATENCION PRE-HOSPITALARIA",IF(O64=CURSOS!$D$4,"ACOMPAÑAMIENTO Y MANEJO DEL DUELO",IF(O64=CURSOS!$D$5,"ATENCION A VICTIMAS DE ATAQUE CON AGENTES QUIMICOS ",IF(O64=CURSOS!$D$6,"PRIMEROS AUXILIOS ",IF(O64=CURSOS!$D$7,"DIPLOMADO DE UNIDAD DE CUIDADOS INTENSIVOS (UCI)",IF(O64=CURSOS!$D$8,"MODELO DE ATENCION PARA EVENTOS EMERGENTES EN SALUD MENTAL (CODIGO VERDE)",IF(O64=CURSOS!$D$9,"HUMANIZACION EN EL SERVICIO DE LA SALUD Y BUENAS PRACTICAS EN PACIENTE ",IF(O64=CURSOS!$D$10,"CLINICA DE HERIDAS ",IF(O64=CURSOS!$D$11,"TOMA DE CITOLOGIA CERVICO VAGINAL ",IF(O64=CURSOS!$D$12,"SOPORTE CARDIOVASCULAR AVANZADO (ACLS) ",IF(O64=CURSOS!$D$13,"CAMILLERO ",IF(O64=CURSOS!$D$14,"TOMA DE MUESTRAS Y LABORATORIO ",IF(O64=CURSOS!$D$15,"SOPORTE VITAL BASICO (BLS)",IF(O64=CURSOS!$D$16,"ATENCION A VICTIMAS DE VIOLENCIA SEXUAL ",IF(O64=CURSOS!$D$17,"PROGRAMADO AMPLIADO DE INMUNIZACION (PAI - COVID 19)",IF(O64=CURSOS!$D$18,"ATENCION INTEGRAL EN ENFERMEDADES PREVALENTES EN PRIMERA INFANCIA (AIEPI)",IF(O64=CURSOS!$D$19,"ADMINISTRACION DE MEDICAMENTOS, INYECTOLOGIA  Y CANALIZACION ",IF(O64=CURSOS!$D$20,"OPERADOR DE VEHICULOS DE EMERGENCIA (OVE)",IF(O64=CURSOS!$D$21,"INSTITUCIONES AMIGAS DE LA MUJER Y LA INFANCIA (IAMI)",IF(O64=CURSOS!$D$22,"CUIDADO DEL DONANTE DE ORGANOS",IF(O64=CURSOS!$D$23,"ATENCION A VICTIMAS POR VIOLENCIA DE GENERO",IF(O64=CURSOS!$D$24,"IGUALDAD DE GENERO EN LA SALUD",IF(O64=CURSOS!$D$25,"BRIGADA DE EMERGENCIA",IF(O64=CURSOS!$D$26,"MANEJO DEL DOLOR Y CUIDADOS PALIATIVOS",IF(O64=CURSOS!$D$27,"TOMA DE MUESTRAS Y LABORATORIO POCT",IF(O64=CURSOS!$D$28,"IMPLANTE SUBDERMICO DE DISPOSITIVO INTRAUTERINO",IF(O64=CURSOS!$D$29,"SALUD MENTAL",IF(O64=CURSOS!$D$30,"PRIMEROS AUXILIOS PSICOLOGICOS",IF(O64=CURSOS!$D$31,"ATENCION A VICTIMAS POR CONFLICTO ARMADO",IF(O64=CURSOS!$D$32,"MANIPULACION DE ALIMENTOS Y BPM",IF(O64=CURSOS!$D$33,"ATENCION A PERSONAS CON DISCAPACIDAD",IF(O64=CURSOS!$D$34,"CUIDADO INTEGRAL DEL PACIENTE ADULTO",IF(O64=CURSOS!$D$35,"MANEJO DEFENSIVO",IF(O64=CURSOS!$D$36,"SOPORTE CARDIOVASCULAR AVANZADO NEONATAL",IF(O64=CURSOS!$D$37,"SEGURIDAD DEL PACIENTE",IF(O64=CURSOS!$D$38,"MANEJO DE RESIDUOS HOSPITALARIOS"))))))))))))))))))))))))))))))))))))</f>
        <v>SOPORTE VITAL BASICO (BLS)</v>
      </c>
      <c r="V64" s="47" t="str">
        <f t="shared" si="3"/>
        <v>Aura Elizabeth Yela Guevara</v>
      </c>
      <c r="W64" s="47" t="str">
        <f t="shared" si="4"/>
        <v>Aura Elizabeth Yela Guevara</v>
      </c>
      <c r="X64" s="47" t="str">
        <f t="shared" si="5"/>
        <v>Aura Elizabeth Yela Guevara-59395650-BLS</v>
      </c>
    </row>
    <row r="65" spans="1:24" x14ac:dyDescent="0.2">
      <c r="A65" s="46">
        <v>64</v>
      </c>
      <c r="B65" s="54">
        <v>59395650</v>
      </c>
      <c r="C65" s="54" t="s">
        <v>229</v>
      </c>
      <c r="D65" s="54" t="s">
        <v>230</v>
      </c>
      <c r="E65" s="54" t="s">
        <v>231</v>
      </c>
      <c r="F65" s="54" t="s">
        <v>232</v>
      </c>
      <c r="G65" s="54">
        <v>6</v>
      </c>
      <c r="H65" s="54" t="s">
        <v>100</v>
      </c>
      <c r="I65" s="55" t="s">
        <v>146</v>
      </c>
      <c r="J65" s="56">
        <v>45603</v>
      </c>
      <c r="K65" s="108">
        <v>28000</v>
      </c>
      <c r="L65" s="54" t="s">
        <v>235</v>
      </c>
      <c r="M65" s="54" t="s">
        <v>80</v>
      </c>
      <c r="N65" s="54" t="s">
        <v>159</v>
      </c>
      <c r="O65" s="43" t="s">
        <v>25</v>
      </c>
      <c r="P65" s="55">
        <v>30248</v>
      </c>
      <c r="Q65" s="54" t="s">
        <v>89</v>
      </c>
      <c r="R65" s="57" t="s">
        <v>189</v>
      </c>
      <c r="S65" s="54">
        <v>3116580607</v>
      </c>
      <c r="T65" s="54" t="s">
        <v>233</v>
      </c>
      <c r="U65" s="47" t="str">
        <f>IF(O65=CURSOS!$D$3,"DIPLOMADO EN ATENCION PRE-HOSPITALARIA",IF(O65=CURSOS!$D$4,"ACOMPAÑAMIENTO Y MANEJO DEL DUELO",IF(O65=CURSOS!$D$5,"ATENCION A VICTIMAS DE ATAQUE CON AGENTES QUIMICOS ",IF(O65=CURSOS!$D$6,"PRIMEROS AUXILIOS ",IF(O65=CURSOS!$D$7,"DIPLOMADO DE UNIDAD DE CUIDADOS INTENSIVOS (UCI)",IF(O65=CURSOS!$D$8,"MODELO DE ATENCION PARA EVENTOS EMERGENTES EN SALUD MENTAL (CODIGO VERDE)",IF(O65=CURSOS!$D$9,"HUMANIZACION EN EL SERVICIO DE LA SALUD Y BUENAS PRACTICAS EN PACIENTE ",IF(O65=CURSOS!$D$10,"CLINICA DE HERIDAS ",IF(O65=CURSOS!$D$11,"TOMA DE CITOLOGIA CERVICO VAGINAL ",IF(O65=CURSOS!$D$12,"SOPORTE CARDIOVASCULAR AVANZADO (ACLS) ",IF(O65=CURSOS!$D$13,"CAMILLERO ",IF(O65=CURSOS!$D$14,"TOMA DE MUESTRAS Y LABORATORIO ",IF(O65=CURSOS!$D$15,"SOPORTE VITAL BASICO (BLS)",IF(O65=CURSOS!$D$16,"ATENCION A VICTIMAS DE VIOLENCIA SEXUAL ",IF(O65=CURSOS!$D$17,"PROGRAMADO AMPLIADO DE INMUNIZACION (PAI - COVID 19)",IF(O65=CURSOS!$D$18,"ATENCION INTEGRAL EN ENFERMEDADES PREVALENTES EN PRIMERA INFANCIA (AIEPI)",IF(O65=CURSOS!$D$19,"ADMINISTRACION DE MEDICAMENTOS, INYECTOLOGIA  Y CANALIZACION ",IF(O65=CURSOS!$D$20,"OPERADOR DE VEHICULOS DE EMERGENCIA (OVE)",IF(O65=CURSOS!$D$21,"INSTITUCIONES AMIGAS DE LA MUJER Y LA INFANCIA (IAMI)",IF(O65=CURSOS!$D$22,"CUIDADO DEL DONANTE DE ORGANOS",IF(O65=CURSOS!$D$23,"ATENCION A VICTIMAS POR VIOLENCIA DE GENERO",IF(O65=CURSOS!$D$24,"IGUALDAD DE GENERO EN LA SALUD",IF(O65=CURSOS!$D$25,"BRIGADA DE EMERGENCIA",IF(O65=CURSOS!$D$26,"MANEJO DEL DOLOR Y CUIDADOS PALIATIVOS",IF(O65=CURSOS!$D$27,"TOMA DE MUESTRAS Y LABORATORIO POCT",IF(O65=CURSOS!$D$28,"IMPLANTE SUBDERMICO DE DISPOSITIVO INTRAUTERINO",IF(O65=CURSOS!$D$29,"SALUD MENTAL",IF(O65=CURSOS!$D$30,"PRIMEROS AUXILIOS PSICOLOGICOS",IF(O65=CURSOS!$D$31,"ATENCION A VICTIMAS POR CONFLICTO ARMADO",IF(O65=CURSOS!$D$32,"MANIPULACION DE ALIMENTOS Y BPM",IF(O65=CURSOS!$D$33,"ATENCION A PERSONAS CON DISCAPACIDAD",IF(O65=CURSOS!$D$34,"CUIDADO INTEGRAL DEL PACIENTE ADULTO",IF(O65=CURSOS!$D$35,"MANEJO DEFENSIVO",IF(O65=CURSOS!$D$36,"SOPORTE CARDIOVASCULAR AVANZADO NEONATAL",IF(O65=CURSOS!$D$37,"SEGURIDAD DEL PACIENTE",IF(O65=CURSOS!$D$38,"MANEJO DE RESIDUOS HOSPITALARIOS"))))))))))))))))))))))))))))))))))))</f>
        <v xml:space="preserve">ATENCION A VICTIMAS DE ATAQUE CON AGENTES QUIMICOS </v>
      </c>
      <c r="V65" s="47" t="str">
        <f t="shared" si="3"/>
        <v>Aura Elizabeth Yela Guevara</v>
      </c>
      <c r="W65" s="47" t="str">
        <f t="shared" si="4"/>
        <v>Aura Elizabeth Yela Guevara</v>
      </c>
      <c r="X65" s="47" t="str">
        <f t="shared" si="5"/>
        <v>Aura Elizabeth Yela Guevara-59395650-QUIMICOS</v>
      </c>
    </row>
    <row r="66" spans="1:24" x14ac:dyDescent="0.2">
      <c r="A66" s="46">
        <v>65</v>
      </c>
      <c r="B66" s="54">
        <v>59395650</v>
      </c>
      <c r="C66" s="54" t="s">
        <v>229</v>
      </c>
      <c r="D66" s="54" t="s">
        <v>230</v>
      </c>
      <c r="E66" s="54" t="s">
        <v>231</v>
      </c>
      <c r="F66" s="54" t="s">
        <v>232</v>
      </c>
      <c r="G66" s="54">
        <v>6</v>
      </c>
      <c r="H66" s="54" t="s">
        <v>100</v>
      </c>
      <c r="I66" s="55" t="s">
        <v>146</v>
      </c>
      <c r="J66" s="56">
        <v>45603</v>
      </c>
      <c r="K66" s="108">
        <v>28000</v>
      </c>
      <c r="L66" s="54" t="s">
        <v>235</v>
      </c>
      <c r="M66" s="54" t="s">
        <v>80</v>
      </c>
      <c r="N66" s="54" t="s">
        <v>159</v>
      </c>
      <c r="O66" s="43" t="s">
        <v>23</v>
      </c>
      <c r="P66" s="55">
        <v>30248</v>
      </c>
      <c r="Q66" s="54" t="s">
        <v>89</v>
      </c>
      <c r="R66" s="57" t="s">
        <v>189</v>
      </c>
      <c r="S66" s="54">
        <v>3116580607</v>
      </c>
      <c r="T66" s="54" t="s">
        <v>233</v>
      </c>
      <c r="U66" s="47" t="str">
        <f>IF(O66=CURSOS!$D$3,"DIPLOMADO EN ATENCION PRE-HOSPITALARIA",IF(O66=CURSOS!$D$4,"ACOMPAÑAMIENTO Y MANEJO DEL DUELO",IF(O66=CURSOS!$D$5,"ATENCION A VICTIMAS DE ATAQUE CON AGENTES QUIMICOS ",IF(O66=CURSOS!$D$6,"PRIMEROS AUXILIOS ",IF(O66=CURSOS!$D$7,"DIPLOMADO DE UNIDAD DE CUIDADOS INTENSIVOS (UCI)",IF(O66=CURSOS!$D$8,"MODELO DE ATENCION PARA EVENTOS EMERGENTES EN SALUD MENTAL (CODIGO VERDE)",IF(O66=CURSOS!$D$9,"HUMANIZACION EN EL SERVICIO DE LA SALUD Y BUENAS PRACTICAS EN PACIENTE ",IF(O66=CURSOS!$D$10,"CLINICA DE HERIDAS ",IF(O66=CURSOS!$D$11,"TOMA DE CITOLOGIA CERVICO VAGINAL ",IF(O66=CURSOS!$D$12,"SOPORTE CARDIOVASCULAR AVANZADO (ACLS) ",IF(O66=CURSOS!$D$13,"CAMILLERO ",IF(O66=CURSOS!$D$14,"TOMA DE MUESTRAS Y LABORATORIO ",IF(O66=CURSOS!$D$15,"SOPORTE VITAL BASICO (BLS)",IF(O66=CURSOS!$D$16,"ATENCION A VICTIMAS DE VIOLENCIA SEXUAL ",IF(O66=CURSOS!$D$17,"PROGRAMADO AMPLIADO DE INMUNIZACION (PAI - COVID 19)",IF(O66=CURSOS!$D$18,"ATENCION INTEGRAL EN ENFERMEDADES PREVALENTES EN PRIMERA INFANCIA (AIEPI)",IF(O66=CURSOS!$D$19,"ADMINISTRACION DE MEDICAMENTOS, INYECTOLOGIA  Y CANALIZACION ",IF(O66=CURSOS!$D$20,"OPERADOR DE VEHICULOS DE EMERGENCIA (OVE)",IF(O66=CURSOS!$D$21,"INSTITUCIONES AMIGAS DE LA MUJER Y LA INFANCIA (IAMI)",IF(O66=CURSOS!$D$22,"CUIDADO DEL DONANTE DE ORGANOS",IF(O66=CURSOS!$D$23,"ATENCION A VICTIMAS POR VIOLENCIA DE GENERO",IF(O66=CURSOS!$D$24,"IGUALDAD DE GENERO EN LA SALUD",IF(O66=CURSOS!$D$25,"BRIGADA DE EMERGENCIA",IF(O66=CURSOS!$D$26,"MANEJO DEL DOLOR Y CUIDADOS PALIATIVOS",IF(O66=CURSOS!$D$27,"TOMA DE MUESTRAS Y LABORATORIO POCT",IF(O66=CURSOS!$D$28,"IMPLANTE SUBDERMICO DE DISPOSITIVO INTRAUTERINO",IF(O66=CURSOS!$D$29,"SALUD MENTAL",IF(O66=CURSOS!$D$30,"PRIMEROS AUXILIOS PSICOLOGICOS",IF(O66=CURSOS!$D$31,"ATENCION A VICTIMAS POR CONFLICTO ARMADO",IF(O66=CURSOS!$D$32,"MANIPULACION DE ALIMENTOS Y BPM",IF(O66=CURSOS!$D$33,"ATENCION A PERSONAS CON DISCAPACIDAD",IF(O66=CURSOS!$D$34,"CUIDADO INTEGRAL DEL PACIENTE ADULTO",IF(O66=CURSOS!$D$35,"MANEJO DEFENSIVO",IF(O66=CURSOS!$D$36,"SOPORTE CARDIOVASCULAR AVANZADO NEONATAL",IF(O66=CURSOS!$D$37,"SEGURIDAD DEL PACIENTE",IF(O66=CURSOS!$D$38,"MANEJO DE RESIDUOS HOSPITALARIOS"))))))))))))))))))))))))))))))))))))</f>
        <v>ACOMPAÑAMIENTO Y MANEJO DEL DUELO</v>
      </c>
      <c r="V66" s="47" t="str">
        <f t="shared" si="3"/>
        <v>Aura Elizabeth Yela Guevara</v>
      </c>
      <c r="W66" s="47" t="str">
        <f t="shared" si="4"/>
        <v>Aura Elizabeth Yela Guevara</v>
      </c>
      <c r="X66" s="47" t="str">
        <f t="shared" si="5"/>
        <v>Aura Elizabeth Yela Guevara-59395650-DUELO</v>
      </c>
    </row>
    <row r="67" spans="1:24" x14ac:dyDescent="0.2">
      <c r="A67" s="46">
        <v>66</v>
      </c>
      <c r="B67" s="54">
        <v>59395650</v>
      </c>
      <c r="C67" s="54" t="s">
        <v>229</v>
      </c>
      <c r="D67" s="54" t="s">
        <v>230</v>
      </c>
      <c r="E67" s="54" t="s">
        <v>231</v>
      </c>
      <c r="F67" s="54" t="s">
        <v>232</v>
      </c>
      <c r="G67" s="54">
        <v>7</v>
      </c>
      <c r="H67" s="54" t="s">
        <v>100</v>
      </c>
      <c r="I67" s="55" t="s">
        <v>146</v>
      </c>
      <c r="J67" s="56">
        <v>45603</v>
      </c>
      <c r="K67" s="108">
        <v>28000</v>
      </c>
      <c r="L67" s="54" t="s">
        <v>235</v>
      </c>
      <c r="M67" s="54" t="s">
        <v>80</v>
      </c>
      <c r="N67" s="54" t="s">
        <v>159</v>
      </c>
      <c r="O67" s="43" t="s">
        <v>42</v>
      </c>
      <c r="P67" s="55">
        <v>30248</v>
      </c>
      <c r="Q67" s="54" t="s">
        <v>89</v>
      </c>
      <c r="R67" s="57" t="s">
        <v>189</v>
      </c>
      <c r="S67" s="54">
        <v>3116580607</v>
      </c>
      <c r="T67" s="54" t="s">
        <v>233</v>
      </c>
      <c r="U67" s="47" t="str">
        <f>IF(O67=CURSOS!$D$3,"DIPLOMADO EN ATENCION PRE-HOSPITALARIA",IF(O67=CURSOS!$D$4,"ACOMPAÑAMIENTO Y MANEJO DEL DUELO",IF(O67=CURSOS!$D$5,"ATENCION A VICTIMAS DE ATAQUE CON AGENTES QUIMICOS ",IF(O67=CURSOS!$D$6,"PRIMEROS AUXILIOS ",IF(O67=CURSOS!$D$7,"DIPLOMADO DE UNIDAD DE CUIDADOS INTENSIVOS (UCI)",IF(O67=CURSOS!$D$8,"MODELO DE ATENCION PARA EVENTOS EMERGENTES EN SALUD MENTAL (CODIGO VERDE)",IF(O67=CURSOS!$D$9,"HUMANIZACION EN EL SERVICIO DE LA SALUD Y BUENAS PRACTICAS EN PACIENTE ",IF(O67=CURSOS!$D$10,"CLINICA DE HERIDAS ",IF(O67=CURSOS!$D$11,"TOMA DE CITOLOGIA CERVICO VAGINAL ",IF(O67=CURSOS!$D$12,"SOPORTE CARDIOVASCULAR AVANZADO (ACLS) ",IF(O67=CURSOS!$D$13,"CAMILLERO ",IF(O67=CURSOS!$D$14,"TOMA DE MUESTRAS Y LABORATORIO ",IF(O67=CURSOS!$D$15,"SOPORTE VITAL BASICO (BLS)",IF(O67=CURSOS!$D$16,"ATENCION A VICTIMAS DE VIOLENCIA SEXUAL ",IF(O67=CURSOS!$D$17,"PROGRAMADO AMPLIADO DE INMUNIZACION (PAI - COVID 19)",IF(O67=CURSOS!$D$18,"ATENCION INTEGRAL EN ENFERMEDADES PREVALENTES EN PRIMERA INFANCIA (AIEPI)",IF(O67=CURSOS!$D$19,"ADMINISTRACION DE MEDICAMENTOS, INYECTOLOGIA  Y CANALIZACION ",IF(O67=CURSOS!$D$20,"OPERADOR DE VEHICULOS DE EMERGENCIA (OVE)",IF(O67=CURSOS!$D$21,"INSTITUCIONES AMIGAS DE LA MUJER Y LA INFANCIA (IAMI)",IF(O67=CURSOS!$D$22,"CUIDADO DEL DONANTE DE ORGANOS",IF(O67=CURSOS!$D$23,"ATENCION A VICTIMAS POR VIOLENCIA DE GENERO",IF(O67=CURSOS!$D$24,"IGUALDAD DE GENERO EN LA SALUD",IF(O67=CURSOS!$D$25,"BRIGADA DE EMERGENCIA",IF(O67=CURSOS!$D$26,"MANEJO DEL DOLOR Y CUIDADOS PALIATIVOS",IF(O67=CURSOS!$D$27,"TOMA DE MUESTRAS Y LABORATORIO POCT",IF(O67=CURSOS!$D$28,"IMPLANTE SUBDERMICO DE DISPOSITIVO INTRAUTERINO",IF(O67=CURSOS!$D$29,"SALUD MENTAL",IF(O67=CURSOS!$D$30,"PRIMEROS AUXILIOS PSICOLOGICOS",IF(O67=CURSOS!$D$31,"ATENCION A VICTIMAS POR CONFLICTO ARMADO",IF(O67=CURSOS!$D$32,"MANIPULACION DE ALIMENTOS Y BPM",IF(O67=CURSOS!$D$33,"ATENCION A PERSONAS CON DISCAPACIDAD",IF(O67=CURSOS!$D$34,"CUIDADO INTEGRAL DEL PACIENTE ADULTO",IF(O67=CURSOS!$D$35,"MANEJO DEFENSIVO",IF(O67=CURSOS!$D$36,"SOPORTE CARDIOVASCULAR AVANZADO NEONATAL",IF(O67=CURSOS!$D$37,"SEGURIDAD DEL PACIENTE",IF(O67=CURSOS!$D$38,"MANEJO DE RESIDUOS HOSPITALARIOS"))))))))))))))))))))))))))))))))))))</f>
        <v xml:space="preserve">ATENCION A VICTIMAS DE VIOLENCIA SEXUAL </v>
      </c>
      <c r="V67" s="47" t="str">
        <f t="shared" si="3"/>
        <v>Aura Elizabeth Yela Guevara</v>
      </c>
      <c r="W67" s="47" t="str">
        <f t="shared" si="4"/>
        <v>Aura Elizabeth Yela Guevara</v>
      </c>
      <c r="X67" s="47" t="str">
        <f t="shared" si="5"/>
        <v>Aura Elizabeth Yela Guevara-59395650-VIOLENCIA SEXUAL</v>
      </c>
    </row>
    <row r="68" spans="1:24" x14ac:dyDescent="0.2">
      <c r="A68" s="46">
        <v>67</v>
      </c>
      <c r="B68" s="54">
        <v>1004696103</v>
      </c>
      <c r="C68" s="54" t="s">
        <v>205</v>
      </c>
      <c r="D68" s="54" t="s">
        <v>206</v>
      </c>
      <c r="E68" s="54" t="s">
        <v>131</v>
      </c>
      <c r="F68" s="54" t="s">
        <v>207</v>
      </c>
      <c r="G68" s="54">
        <v>7</v>
      </c>
      <c r="H68" s="54" t="s">
        <v>100</v>
      </c>
      <c r="I68" s="55" t="s">
        <v>146</v>
      </c>
      <c r="J68" s="56">
        <v>45604</v>
      </c>
      <c r="K68" s="108">
        <v>28000</v>
      </c>
      <c r="L68" s="54" t="s">
        <v>235</v>
      </c>
      <c r="M68" s="54" t="s">
        <v>80</v>
      </c>
      <c r="N68" s="54" t="s">
        <v>159</v>
      </c>
      <c r="O68" s="43" t="s">
        <v>23</v>
      </c>
      <c r="P68" s="55">
        <v>37095</v>
      </c>
      <c r="Q68" s="54" t="s">
        <v>89</v>
      </c>
      <c r="R68" s="57" t="s">
        <v>208</v>
      </c>
      <c r="S68" s="54">
        <v>3205368493</v>
      </c>
      <c r="T68" s="54" t="s">
        <v>209</v>
      </c>
      <c r="U68" s="47" t="str">
        <f>IF(O68=CURSOS!$D$3,"DIPLOMADO EN ATENCION PRE-HOSPITALARIA",IF(O68=CURSOS!$D$4,"ACOMPAÑAMIENTO Y MANEJO DEL DUELO",IF(O68=CURSOS!$D$5,"ATENCION A VICTIMAS DE ATAQUE CON AGENTES QUIMICOS ",IF(O68=CURSOS!$D$6,"PRIMEROS AUXILIOS ",IF(O68=CURSOS!$D$7,"DIPLOMADO DE UNIDAD DE CUIDADOS INTENSIVOS (UCI)",IF(O68=CURSOS!$D$8,"MODELO DE ATENCION PARA EVENTOS EMERGENTES EN SALUD MENTAL (CODIGO VERDE)",IF(O68=CURSOS!$D$9,"HUMANIZACION EN EL SERVICIO DE LA SALUD Y BUENAS PRACTICAS EN PACIENTE ",IF(O68=CURSOS!$D$10,"CLINICA DE HERIDAS ",IF(O68=CURSOS!$D$11,"TOMA DE CITOLOGIA CERVICO VAGINAL ",IF(O68=CURSOS!$D$12,"SOPORTE CARDIOVASCULAR AVANZADO (ACLS) ",IF(O68=CURSOS!$D$13,"CAMILLERO ",IF(O68=CURSOS!$D$14,"TOMA DE MUESTRAS Y LABORATORIO ",IF(O68=CURSOS!$D$15,"SOPORTE VITAL BASICO (BLS)",IF(O68=CURSOS!$D$16,"ATENCION A VICTIMAS DE VIOLENCIA SEXUAL ",IF(O68=CURSOS!$D$17,"PROGRAMADO AMPLIADO DE INMUNIZACION (PAI - COVID 19)",IF(O68=CURSOS!$D$18,"ATENCION INTEGRAL EN ENFERMEDADES PREVALENTES EN PRIMERA INFANCIA (AIEPI)",IF(O68=CURSOS!$D$19,"ADMINISTRACION DE MEDICAMENTOS, INYECTOLOGIA  Y CANALIZACION ",IF(O68=CURSOS!$D$20,"OPERADOR DE VEHICULOS DE EMERGENCIA (OVE)",IF(O68=CURSOS!$D$21,"INSTITUCIONES AMIGAS DE LA MUJER Y LA INFANCIA (IAMI)",IF(O68=CURSOS!$D$22,"CUIDADO DEL DONANTE DE ORGANOS",IF(O68=CURSOS!$D$23,"ATENCION A VICTIMAS POR VIOLENCIA DE GENERO",IF(O68=CURSOS!$D$24,"IGUALDAD DE GENERO EN LA SALUD",IF(O68=CURSOS!$D$25,"BRIGADA DE EMERGENCIA",IF(O68=CURSOS!$D$26,"MANEJO DEL DOLOR Y CUIDADOS PALIATIVOS",IF(O68=CURSOS!$D$27,"TOMA DE MUESTRAS Y LABORATORIO POCT",IF(O68=CURSOS!$D$28,"IMPLANTE SUBDERMICO DE DISPOSITIVO INTRAUTERINO",IF(O68=CURSOS!$D$29,"SALUD MENTAL",IF(O68=CURSOS!$D$30,"PRIMEROS AUXILIOS PSICOLOGICOS",IF(O68=CURSOS!$D$31,"ATENCION A VICTIMAS POR CONFLICTO ARMADO",IF(O68=CURSOS!$D$32,"MANIPULACION DE ALIMENTOS Y BPM",IF(O68=CURSOS!$D$33,"ATENCION A PERSONAS CON DISCAPACIDAD",IF(O68=CURSOS!$D$34,"CUIDADO INTEGRAL DEL PACIENTE ADULTO",IF(O68=CURSOS!$D$35,"MANEJO DEFENSIVO",IF(O68=CURSOS!$D$36,"SOPORTE CARDIOVASCULAR AVANZADO NEONATAL",IF(O68=CURSOS!$D$37,"SEGURIDAD DEL PACIENTE",IF(O68=CURSOS!$D$38,"MANEJO DE RESIDUOS HOSPITALARIOS"))))))))))))))))))))))))))))))))))))</f>
        <v>ACOMPAÑAMIENTO Y MANEJO DEL DUELO</v>
      </c>
      <c r="V68" s="47" t="str">
        <f t="shared" si="3"/>
        <v>Karol Yuliana Andrade Hernández</v>
      </c>
      <c r="W68" s="47" t="str">
        <f t="shared" si="4"/>
        <v>Karol Yuliana Andrade Hernández</v>
      </c>
      <c r="X68" s="47" t="str">
        <f t="shared" si="5"/>
        <v>Karol Yuliana Andrade Hernández-1004696103-DUELO</v>
      </c>
    </row>
    <row r="69" spans="1:24" x14ac:dyDescent="0.2">
      <c r="A69" s="46">
        <v>68</v>
      </c>
      <c r="B69" s="54">
        <v>1004696402</v>
      </c>
      <c r="C69" s="54" t="s">
        <v>99</v>
      </c>
      <c r="D69" s="54" t="s">
        <v>123</v>
      </c>
      <c r="E69" s="54" t="s">
        <v>236</v>
      </c>
      <c r="F69" s="54" t="s">
        <v>237</v>
      </c>
      <c r="G69" s="54">
        <v>7</v>
      </c>
      <c r="H69" s="54" t="s">
        <v>100</v>
      </c>
      <c r="I69" s="55" t="s">
        <v>146</v>
      </c>
      <c r="J69" s="56">
        <v>45604</v>
      </c>
      <c r="K69" s="108">
        <v>28000</v>
      </c>
      <c r="L69" s="54" t="s">
        <v>235</v>
      </c>
      <c r="M69" s="54" t="s">
        <v>80</v>
      </c>
      <c r="N69" s="54" t="s">
        <v>159</v>
      </c>
      <c r="O69" s="43" t="s">
        <v>42</v>
      </c>
      <c r="P69" s="55"/>
      <c r="Q69" s="54" t="s">
        <v>89</v>
      </c>
      <c r="R69" s="57" t="s">
        <v>208</v>
      </c>
      <c r="S69" s="54">
        <v>3144723352</v>
      </c>
      <c r="T69" s="54" t="s">
        <v>245</v>
      </c>
      <c r="U69" s="47" t="str">
        <f>IF(O69=CURSOS!$D$3,"DIPLOMADO EN ATENCION PRE-HOSPITALARIA",IF(O69=CURSOS!$D$4,"ACOMPAÑAMIENTO Y MANEJO DEL DUELO",IF(O69=CURSOS!$D$5,"ATENCION A VICTIMAS DE ATAQUE CON AGENTES QUIMICOS ",IF(O69=CURSOS!$D$6,"PRIMEROS AUXILIOS ",IF(O69=CURSOS!$D$7,"DIPLOMADO DE UNIDAD DE CUIDADOS INTENSIVOS (UCI)",IF(O69=CURSOS!$D$8,"MODELO DE ATENCION PARA EVENTOS EMERGENTES EN SALUD MENTAL (CODIGO VERDE)",IF(O69=CURSOS!$D$9,"HUMANIZACION EN EL SERVICIO DE LA SALUD Y BUENAS PRACTICAS EN PACIENTE ",IF(O69=CURSOS!$D$10,"CLINICA DE HERIDAS ",IF(O69=CURSOS!$D$11,"TOMA DE CITOLOGIA CERVICO VAGINAL ",IF(O69=CURSOS!$D$12,"SOPORTE CARDIOVASCULAR AVANZADO (ACLS) ",IF(O69=CURSOS!$D$13,"CAMILLERO ",IF(O69=CURSOS!$D$14,"TOMA DE MUESTRAS Y LABORATORIO ",IF(O69=CURSOS!$D$15,"SOPORTE VITAL BASICO (BLS)",IF(O69=CURSOS!$D$16,"ATENCION A VICTIMAS DE VIOLENCIA SEXUAL ",IF(O69=CURSOS!$D$17,"PROGRAMADO AMPLIADO DE INMUNIZACION (PAI - COVID 19)",IF(O69=CURSOS!$D$18,"ATENCION INTEGRAL EN ENFERMEDADES PREVALENTES EN PRIMERA INFANCIA (AIEPI)",IF(O69=CURSOS!$D$19,"ADMINISTRACION DE MEDICAMENTOS, INYECTOLOGIA  Y CANALIZACION ",IF(O69=CURSOS!$D$20,"OPERADOR DE VEHICULOS DE EMERGENCIA (OVE)",IF(O69=CURSOS!$D$21,"INSTITUCIONES AMIGAS DE LA MUJER Y LA INFANCIA (IAMI)",IF(O69=CURSOS!$D$22,"CUIDADO DEL DONANTE DE ORGANOS",IF(O69=CURSOS!$D$23,"ATENCION A VICTIMAS POR VIOLENCIA DE GENERO",IF(O69=CURSOS!$D$24,"IGUALDAD DE GENERO EN LA SALUD",IF(O69=CURSOS!$D$25,"BRIGADA DE EMERGENCIA",IF(O69=CURSOS!$D$26,"MANEJO DEL DOLOR Y CUIDADOS PALIATIVOS",IF(O69=CURSOS!$D$27,"TOMA DE MUESTRAS Y LABORATORIO POCT",IF(O69=CURSOS!$D$28,"IMPLANTE SUBDERMICO DE DISPOSITIVO INTRAUTERINO",IF(O69=CURSOS!$D$29,"SALUD MENTAL",IF(O69=CURSOS!$D$30,"PRIMEROS AUXILIOS PSICOLOGICOS",IF(O69=CURSOS!$D$31,"ATENCION A VICTIMAS POR CONFLICTO ARMADO",IF(O69=CURSOS!$D$32,"MANIPULACION DE ALIMENTOS Y BPM",IF(O69=CURSOS!$D$33,"ATENCION A PERSONAS CON DISCAPACIDAD",IF(O69=CURSOS!$D$34,"CUIDADO INTEGRAL DEL PACIENTE ADULTO",IF(O69=CURSOS!$D$35,"MANEJO DEFENSIVO",IF(O69=CURSOS!$D$36,"SOPORTE CARDIOVASCULAR AVANZADO NEONATAL",IF(O69=CURSOS!$D$37,"SEGURIDAD DEL PACIENTE",IF(O69=CURSOS!$D$38,"MANEJO DE RESIDUOS HOSPITALARIOS"))))))))))))))))))))))))))))))))))))</f>
        <v xml:space="preserve">ATENCION A VICTIMAS DE VIOLENCIA SEXUAL </v>
      </c>
      <c r="V69" s="47" t="str">
        <f t="shared" si="3"/>
        <v>Marley Karina Arteaga Benavides</v>
      </c>
      <c r="W69" s="47" t="str">
        <f t="shared" si="4"/>
        <v>Marley Karina Arteaga Benavides</v>
      </c>
      <c r="X69" s="47" t="str">
        <f t="shared" si="5"/>
        <v>Marley Karina Arteaga Benavides-1004696402-VIOLENCIA SEXUAL</v>
      </c>
    </row>
    <row r="70" spans="1:24" x14ac:dyDescent="0.2">
      <c r="A70" s="46">
        <v>69</v>
      </c>
      <c r="B70" s="54">
        <v>1004696402</v>
      </c>
      <c r="C70" s="54" t="s">
        <v>99</v>
      </c>
      <c r="D70" s="54" t="s">
        <v>123</v>
      </c>
      <c r="E70" s="54" t="s">
        <v>236</v>
      </c>
      <c r="F70" s="54" t="s">
        <v>237</v>
      </c>
      <c r="G70" s="54">
        <v>7</v>
      </c>
      <c r="H70" s="54" t="s">
        <v>100</v>
      </c>
      <c r="I70" s="55" t="s">
        <v>146</v>
      </c>
      <c r="J70" s="56">
        <v>45604</v>
      </c>
      <c r="K70" s="108">
        <v>28000</v>
      </c>
      <c r="L70" s="54" t="s">
        <v>235</v>
      </c>
      <c r="M70" s="54" t="s">
        <v>80</v>
      </c>
      <c r="N70" s="54" t="s">
        <v>159</v>
      </c>
      <c r="O70" s="43" t="s">
        <v>23</v>
      </c>
      <c r="P70" s="55"/>
      <c r="Q70" s="54" t="s">
        <v>89</v>
      </c>
      <c r="R70" s="57" t="s">
        <v>208</v>
      </c>
      <c r="S70" s="54">
        <v>3144723352</v>
      </c>
      <c r="T70" s="54" t="s">
        <v>245</v>
      </c>
      <c r="U70" s="47" t="str">
        <f>IF(O70=CURSOS!$D$3,"DIPLOMADO EN ATENCION PRE-HOSPITALARIA",IF(O70=CURSOS!$D$4,"ACOMPAÑAMIENTO Y MANEJO DEL DUELO",IF(O70=CURSOS!$D$5,"ATENCION A VICTIMAS DE ATAQUE CON AGENTES QUIMICOS ",IF(O70=CURSOS!$D$6,"PRIMEROS AUXILIOS ",IF(O70=CURSOS!$D$7,"DIPLOMADO DE UNIDAD DE CUIDADOS INTENSIVOS (UCI)",IF(O70=CURSOS!$D$8,"MODELO DE ATENCION PARA EVENTOS EMERGENTES EN SALUD MENTAL (CODIGO VERDE)",IF(O70=CURSOS!$D$9,"HUMANIZACION EN EL SERVICIO DE LA SALUD Y BUENAS PRACTICAS EN PACIENTE ",IF(O70=CURSOS!$D$10,"CLINICA DE HERIDAS ",IF(O70=CURSOS!$D$11,"TOMA DE CITOLOGIA CERVICO VAGINAL ",IF(O70=CURSOS!$D$12,"SOPORTE CARDIOVASCULAR AVANZADO (ACLS) ",IF(O70=CURSOS!$D$13,"CAMILLERO ",IF(O70=CURSOS!$D$14,"TOMA DE MUESTRAS Y LABORATORIO ",IF(O70=CURSOS!$D$15,"SOPORTE VITAL BASICO (BLS)",IF(O70=CURSOS!$D$16,"ATENCION A VICTIMAS DE VIOLENCIA SEXUAL ",IF(O70=CURSOS!$D$17,"PROGRAMADO AMPLIADO DE INMUNIZACION (PAI - COVID 19)",IF(O70=CURSOS!$D$18,"ATENCION INTEGRAL EN ENFERMEDADES PREVALENTES EN PRIMERA INFANCIA (AIEPI)",IF(O70=CURSOS!$D$19,"ADMINISTRACION DE MEDICAMENTOS, INYECTOLOGIA  Y CANALIZACION ",IF(O70=CURSOS!$D$20,"OPERADOR DE VEHICULOS DE EMERGENCIA (OVE)",IF(O70=CURSOS!$D$21,"INSTITUCIONES AMIGAS DE LA MUJER Y LA INFANCIA (IAMI)",IF(O70=CURSOS!$D$22,"CUIDADO DEL DONANTE DE ORGANOS",IF(O70=CURSOS!$D$23,"ATENCION A VICTIMAS POR VIOLENCIA DE GENERO",IF(O70=CURSOS!$D$24,"IGUALDAD DE GENERO EN LA SALUD",IF(O70=CURSOS!$D$25,"BRIGADA DE EMERGENCIA",IF(O70=CURSOS!$D$26,"MANEJO DEL DOLOR Y CUIDADOS PALIATIVOS",IF(O70=CURSOS!$D$27,"TOMA DE MUESTRAS Y LABORATORIO POCT",IF(O70=CURSOS!$D$28,"IMPLANTE SUBDERMICO DE DISPOSITIVO INTRAUTERINO",IF(O70=CURSOS!$D$29,"SALUD MENTAL",IF(O70=CURSOS!$D$30,"PRIMEROS AUXILIOS PSICOLOGICOS",IF(O70=CURSOS!$D$31,"ATENCION A VICTIMAS POR CONFLICTO ARMADO",IF(O70=CURSOS!$D$32,"MANIPULACION DE ALIMENTOS Y BPM",IF(O70=CURSOS!$D$33,"ATENCION A PERSONAS CON DISCAPACIDAD",IF(O70=CURSOS!$D$34,"CUIDADO INTEGRAL DEL PACIENTE ADULTO",IF(O70=CURSOS!$D$35,"MANEJO DEFENSIVO",IF(O70=CURSOS!$D$36,"SOPORTE CARDIOVASCULAR AVANZADO NEONATAL",IF(O70=CURSOS!$D$37,"SEGURIDAD DEL PACIENTE",IF(O70=CURSOS!$D$38,"MANEJO DE RESIDUOS HOSPITALARIOS"))))))))))))))))))))))))))))))))))))</f>
        <v>ACOMPAÑAMIENTO Y MANEJO DEL DUELO</v>
      </c>
      <c r="V70" s="47" t="str">
        <f t="shared" si="3"/>
        <v>Marley Karina Arteaga Benavides</v>
      </c>
      <c r="W70" s="47" t="str">
        <f t="shared" si="4"/>
        <v>Marley Karina Arteaga Benavides</v>
      </c>
      <c r="X70" s="47" t="str">
        <f t="shared" si="5"/>
        <v>Marley Karina Arteaga Benavides-1004696402-DUELO</v>
      </c>
    </row>
    <row r="71" spans="1:24" x14ac:dyDescent="0.2">
      <c r="A71" s="46">
        <v>70</v>
      </c>
      <c r="B71" s="54">
        <v>1004696402</v>
      </c>
      <c r="C71" s="54" t="s">
        <v>99</v>
      </c>
      <c r="D71" s="54" t="s">
        <v>123</v>
      </c>
      <c r="E71" s="54" t="s">
        <v>236</v>
      </c>
      <c r="F71" s="54" t="s">
        <v>237</v>
      </c>
      <c r="G71" s="54">
        <v>7</v>
      </c>
      <c r="H71" s="54" t="s">
        <v>100</v>
      </c>
      <c r="I71" s="55" t="s">
        <v>146</v>
      </c>
      <c r="J71" s="56">
        <v>45604</v>
      </c>
      <c r="K71" s="108">
        <v>28000</v>
      </c>
      <c r="L71" s="54" t="s">
        <v>235</v>
      </c>
      <c r="M71" s="54" t="s">
        <v>80</v>
      </c>
      <c r="N71" s="54" t="s">
        <v>159</v>
      </c>
      <c r="O71" s="43" t="s">
        <v>32</v>
      </c>
      <c r="P71" s="55"/>
      <c r="Q71" s="54" t="s">
        <v>89</v>
      </c>
      <c r="R71" s="57" t="s">
        <v>208</v>
      </c>
      <c r="S71" s="54">
        <v>3144723352</v>
      </c>
      <c r="T71" s="54" t="s">
        <v>245</v>
      </c>
      <c r="U71" s="47" t="str">
        <f>IF(O71=CURSOS!$D$3,"DIPLOMADO EN ATENCION PRE-HOSPITALARIA",IF(O71=CURSOS!$D$4,"ACOMPAÑAMIENTO Y MANEJO DEL DUELO",IF(O71=CURSOS!$D$5,"ATENCION A VICTIMAS DE ATAQUE CON AGENTES QUIMICOS ",IF(O71=CURSOS!$D$6,"PRIMEROS AUXILIOS ",IF(O71=CURSOS!$D$7,"DIPLOMADO DE UNIDAD DE CUIDADOS INTENSIVOS (UCI)",IF(O71=CURSOS!$D$8,"MODELO DE ATENCION PARA EVENTOS EMERGENTES EN SALUD MENTAL (CODIGO VERDE)",IF(O71=CURSOS!$D$9,"HUMANIZACION EN EL SERVICIO DE LA SALUD Y BUENAS PRACTICAS EN PACIENTE ",IF(O71=CURSOS!$D$10,"CLINICA DE HERIDAS ",IF(O71=CURSOS!$D$11,"TOMA DE CITOLOGIA CERVICO VAGINAL ",IF(O71=CURSOS!$D$12,"SOPORTE CARDIOVASCULAR AVANZADO (ACLS) ",IF(O71=CURSOS!$D$13,"CAMILLERO ",IF(O71=CURSOS!$D$14,"TOMA DE MUESTRAS Y LABORATORIO ",IF(O71=CURSOS!$D$15,"SOPORTE VITAL BASICO (BLS)",IF(O71=CURSOS!$D$16,"ATENCION A VICTIMAS DE VIOLENCIA SEXUAL ",IF(O71=CURSOS!$D$17,"PROGRAMADO AMPLIADO DE INMUNIZACION (PAI - COVID 19)",IF(O71=CURSOS!$D$18,"ATENCION INTEGRAL EN ENFERMEDADES PREVALENTES EN PRIMERA INFANCIA (AIEPI)",IF(O71=CURSOS!$D$19,"ADMINISTRACION DE MEDICAMENTOS, INYECTOLOGIA  Y CANALIZACION ",IF(O71=CURSOS!$D$20,"OPERADOR DE VEHICULOS DE EMERGENCIA (OVE)",IF(O71=CURSOS!$D$21,"INSTITUCIONES AMIGAS DE LA MUJER Y LA INFANCIA (IAMI)",IF(O71=CURSOS!$D$22,"CUIDADO DEL DONANTE DE ORGANOS",IF(O71=CURSOS!$D$23,"ATENCION A VICTIMAS POR VIOLENCIA DE GENERO",IF(O71=CURSOS!$D$24,"IGUALDAD DE GENERO EN LA SALUD",IF(O71=CURSOS!$D$25,"BRIGADA DE EMERGENCIA",IF(O71=CURSOS!$D$26,"MANEJO DEL DOLOR Y CUIDADOS PALIATIVOS",IF(O71=CURSOS!$D$27,"TOMA DE MUESTRAS Y LABORATORIO POCT",IF(O71=CURSOS!$D$28,"IMPLANTE SUBDERMICO DE DISPOSITIVO INTRAUTERINO",IF(O71=CURSOS!$D$29,"SALUD MENTAL",IF(O71=CURSOS!$D$30,"PRIMEROS AUXILIOS PSICOLOGICOS",IF(O71=CURSOS!$D$31,"ATENCION A VICTIMAS POR CONFLICTO ARMADO",IF(O71=CURSOS!$D$32,"MANIPULACION DE ALIMENTOS Y BPM",IF(O71=CURSOS!$D$33,"ATENCION A PERSONAS CON DISCAPACIDAD",IF(O71=CURSOS!$D$34,"CUIDADO INTEGRAL DEL PACIENTE ADULTO",IF(O71=CURSOS!$D$35,"MANEJO DEFENSIVO",IF(O71=CURSOS!$D$36,"SOPORTE CARDIOVASCULAR AVANZADO NEONATAL",IF(O71=CURSOS!$D$37,"SEGURIDAD DEL PACIENTE",IF(O71=CURSOS!$D$38,"MANEJO DE RESIDUOS HOSPITALARIOS"))))))))))))))))))))))))))))))))))))</f>
        <v xml:space="preserve">HUMANIZACION EN EL SERVICIO DE LA SALUD Y BUENAS PRACTICAS EN PACIENTE </v>
      </c>
      <c r="V71" s="47" t="str">
        <f t="shared" si="3"/>
        <v>Marley Karina Arteaga Benavides</v>
      </c>
      <c r="W71" s="47" t="str">
        <f t="shared" si="4"/>
        <v>Marley Karina Arteaga Benavides</v>
      </c>
      <c r="X71" s="47" t="str">
        <f t="shared" si="5"/>
        <v>Marley Karina Arteaga Benavides-1004696402-HUMANIZACION</v>
      </c>
    </row>
    <row r="72" spans="1:24" x14ac:dyDescent="0.2">
      <c r="A72" s="46">
        <v>71</v>
      </c>
      <c r="B72" s="60">
        <v>1004696402</v>
      </c>
      <c r="C72" s="60" t="s">
        <v>99</v>
      </c>
      <c r="D72" s="60" t="s">
        <v>123</v>
      </c>
      <c r="E72" s="60" t="s">
        <v>236</v>
      </c>
      <c r="F72" s="60" t="s">
        <v>237</v>
      </c>
      <c r="G72" s="60">
        <v>7</v>
      </c>
      <c r="H72" s="60" t="s">
        <v>100</v>
      </c>
      <c r="I72" s="61" t="s">
        <v>146</v>
      </c>
      <c r="J72" s="56">
        <v>45604</v>
      </c>
      <c r="K72" s="108">
        <v>28000</v>
      </c>
      <c r="L72" s="54" t="s">
        <v>235</v>
      </c>
      <c r="M72" s="60" t="s">
        <v>80</v>
      </c>
      <c r="N72" s="60" t="s">
        <v>159</v>
      </c>
      <c r="O72" s="62" t="s">
        <v>25</v>
      </c>
      <c r="P72" s="61"/>
      <c r="Q72" s="60" t="s">
        <v>89</v>
      </c>
      <c r="R72" s="63" t="s">
        <v>208</v>
      </c>
      <c r="S72" s="60">
        <v>3144723352</v>
      </c>
      <c r="T72" s="60" t="s">
        <v>245</v>
      </c>
      <c r="U72" s="64" t="str">
        <f>IF(O72=CURSOS!$D$3,"DIPLOMADO EN ATENCION PRE-HOSPITALARIA",IF(O72=CURSOS!$D$4,"ACOMPAÑAMIENTO Y MANEJO DEL DUELO",IF(O72=CURSOS!$D$5,"ATENCION A VICTIMAS DE ATAQUE CON AGENTES QUIMICOS ",IF(O72=CURSOS!$D$6,"PRIMEROS AUXILIOS ",IF(O72=CURSOS!$D$7,"DIPLOMADO DE UNIDAD DE CUIDADOS INTENSIVOS (UCI)",IF(O72=CURSOS!$D$8,"MODELO DE ATENCION PARA EVENTOS EMERGENTES EN SALUD MENTAL (CODIGO VERDE)",IF(O72=CURSOS!$D$9,"HUMANIZACION EN EL SERVICIO DE LA SALUD Y BUENAS PRACTICAS EN PACIENTE ",IF(O72=CURSOS!$D$10,"CLINICA DE HERIDAS ",IF(O72=CURSOS!$D$11,"TOMA DE CITOLOGIA CERVICO VAGINAL ",IF(O72=CURSOS!$D$12,"SOPORTE CARDIOVASCULAR AVANZADO (ACLS) ",IF(O72=CURSOS!$D$13,"CAMILLERO ",IF(O72=CURSOS!$D$14,"TOMA DE MUESTRAS Y LABORATORIO ",IF(O72=CURSOS!$D$15,"SOPORTE VITAL BASICO (BLS)",IF(O72=CURSOS!$D$16,"ATENCION A VICTIMAS DE VIOLENCIA SEXUAL ",IF(O72=CURSOS!$D$17,"PROGRAMADO AMPLIADO DE INMUNIZACION (PAI - COVID 19)",IF(O72=CURSOS!$D$18,"ATENCION INTEGRAL EN ENFERMEDADES PREVALENTES EN PRIMERA INFANCIA (AIEPI)",IF(O72=CURSOS!$D$19,"ADMINISTRACION DE MEDICAMENTOS, INYECTOLOGIA  Y CANALIZACION ",IF(O72=CURSOS!$D$20,"OPERADOR DE VEHICULOS DE EMERGENCIA (OVE)",IF(O72=CURSOS!$D$21,"INSTITUCIONES AMIGAS DE LA MUJER Y LA INFANCIA (IAMI)",IF(O72=CURSOS!$D$22,"CUIDADO DEL DONANTE DE ORGANOS",IF(O72=CURSOS!$D$23,"ATENCION A VICTIMAS POR VIOLENCIA DE GENERO",IF(O72=CURSOS!$D$24,"IGUALDAD DE GENERO EN LA SALUD",IF(O72=CURSOS!$D$25,"BRIGADA DE EMERGENCIA",IF(O72=CURSOS!$D$26,"MANEJO DEL DOLOR Y CUIDADOS PALIATIVOS",IF(O72=CURSOS!$D$27,"TOMA DE MUESTRAS Y LABORATORIO POCT",IF(O72=CURSOS!$D$28,"IMPLANTE SUBDERMICO DE DISPOSITIVO INTRAUTERINO",IF(O72=CURSOS!$D$29,"SALUD MENTAL",IF(O72=CURSOS!$D$30,"PRIMEROS AUXILIOS PSICOLOGICOS",IF(O72=CURSOS!$D$31,"ATENCION A VICTIMAS POR CONFLICTO ARMADO",IF(O72=CURSOS!$D$32,"MANIPULACION DE ALIMENTOS Y BPM",IF(O72=CURSOS!$D$33,"ATENCION A PERSONAS CON DISCAPACIDAD",IF(O72=CURSOS!$D$34,"CUIDADO INTEGRAL DEL PACIENTE ADULTO",IF(O72=CURSOS!$D$35,"MANEJO DEFENSIVO",IF(O72=CURSOS!$D$36,"SOPORTE CARDIOVASCULAR AVANZADO NEONATAL",IF(O72=CURSOS!$D$37,"SEGURIDAD DEL PACIENTE",IF(O72=CURSOS!$D$38,"MANEJO DE RESIDUOS HOSPITALARIOS"))))))))))))))))))))))))))))))))))))</f>
        <v xml:space="preserve">ATENCION A VICTIMAS DE ATAQUE CON AGENTES QUIMICOS </v>
      </c>
      <c r="V72" s="64" t="str">
        <f t="shared" si="3"/>
        <v>Marley Karina Arteaga Benavides</v>
      </c>
      <c r="W72" s="64" t="str">
        <f t="shared" si="4"/>
        <v>Marley Karina Arteaga Benavides</v>
      </c>
      <c r="X72" s="64" t="str">
        <f t="shared" si="5"/>
        <v>Marley Karina Arteaga Benavides-1004696402-QUIMICOS</v>
      </c>
    </row>
    <row r="73" spans="1:24" s="58" customFormat="1" x14ac:dyDescent="0.2">
      <c r="A73" s="46">
        <v>72</v>
      </c>
      <c r="B73" s="54">
        <v>59795157</v>
      </c>
      <c r="C73" s="54" t="s">
        <v>129</v>
      </c>
      <c r="D73" s="54" t="s">
        <v>129</v>
      </c>
      <c r="E73" s="54" t="s">
        <v>238</v>
      </c>
      <c r="F73" s="54" t="s">
        <v>239</v>
      </c>
      <c r="G73" s="54">
        <v>2</v>
      </c>
      <c r="H73" s="54" t="s">
        <v>100</v>
      </c>
      <c r="I73" s="55" t="s">
        <v>146</v>
      </c>
      <c r="J73" s="56">
        <v>45604</v>
      </c>
      <c r="K73" s="108">
        <v>80000</v>
      </c>
      <c r="L73" s="54" t="s">
        <v>235</v>
      </c>
      <c r="M73" s="54" t="s">
        <v>80</v>
      </c>
      <c r="N73" s="54" t="s">
        <v>159</v>
      </c>
      <c r="O73" s="43" t="s">
        <v>37</v>
      </c>
      <c r="P73" s="55">
        <v>27456</v>
      </c>
      <c r="Q73" s="54" t="s">
        <v>89</v>
      </c>
      <c r="R73" s="57" t="s">
        <v>208</v>
      </c>
      <c r="S73" s="57">
        <v>3122481624</v>
      </c>
      <c r="T73" s="54" t="s">
        <v>240</v>
      </c>
      <c r="U73" s="47" t="str">
        <f>IF(O73=CURSOS!$D$3,"DIPLOMADO EN ATENCION PRE-HOSPITALARIA",IF(O73=CURSOS!$D$4,"ACOMPAÑAMIENTO Y MANEJO DEL DUELO",IF(O73=CURSOS!$D$5,"ATENCION A VICTIMAS DE ATAQUE CON AGENTES QUIMICOS ",IF(O73=CURSOS!$D$6,"PRIMEROS AUXILIOS ",IF(O73=CURSOS!$D$7,"DIPLOMADO DE UNIDAD DE CUIDADOS INTENSIVOS (UCI)",IF(O73=CURSOS!$D$8,"MODELO DE ATENCION PARA EVENTOS EMERGENTES EN SALUD MENTAL (CODIGO VERDE)",IF(O73=CURSOS!$D$9,"HUMANIZACION EN EL SERVICIO DE LA SALUD Y BUENAS PRACTICAS EN PACIENTE ",IF(O73=CURSOS!$D$10,"CLINICA DE HERIDAS ",IF(O73=CURSOS!$D$11,"TOMA DE CITOLOGIA CERVICO VAGINAL ",IF(O73=CURSOS!$D$12,"SOPORTE CARDIOVASCULAR AVANZADO (ACLS) ",IF(O73=CURSOS!$D$13,"CAMILLERO ",IF(O73=CURSOS!$D$14,"TOMA DE MUESTRAS Y LABORATORIO ",IF(O73=CURSOS!$D$15,"SOPORTE VITAL BASICO (BLS)",IF(O73=CURSOS!$D$16,"ATENCION A VICTIMAS DE VIOLENCIA SEXUAL ",IF(O73=CURSOS!$D$17,"PROGRAMADO AMPLIADO DE INMUNIZACION (PAI - COVID 19)",IF(O73=CURSOS!$D$18,"ATENCION INTEGRAL EN ENFERMEDADES PREVALENTES EN PRIMERA INFANCIA (AIEPI)",IF(O73=CURSOS!$D$19,"ADMINISTRACION DE MEDICAMENTOS, INYECTOLOGIA  Y CANALIZACION ",IF(O73=CURSOS!$D$20,"OPERADOR DE VEHICULOS DE EMERGENCIA (OVE)",IF(O73=CURSOS!$D$21,"INSTITUCIONES AMIGAS DE LA MUJER Y LA INFANCIA (IAMI)",IF(O73=CURSOS!$D$22,"CUIDADO DEL DONANTE DE ORGANOS",IF(O73=CURSOS!$D$23,"ATENCION A VICTIMAS POR VIOLENCIA DE GENERO",IF(O73=CURSOS!$D$24,"IGUALDAD DE GENERO EN LA SALUD",IF(O73=CURSOS!$D$25,"BRIGADA DE EMERGENCIA",IF(O73=CURSOS!$D$26,"MANEJO DEL DOLOR Y CUIDADOS PALIATIVOS",IF(O73=CURSOS!$D$27,"TOMA DE MUESTRAS Y LABORATORIO POCT",IF(O73=CURSOS!$D$28,"IMPLANTE SUBDERMICO DE DISPOSITIVO INTRAUTERINO",IF(O73=CURSOS!$D$29,"SALUD MENTAL",IF(O73=CURSOS!$D$30,"PRIMEROS AUXILIOS PSICOLOGICOS",IF(O73=CURSOS!$D$31,"ATENCION A VICTIMAS POR CONFLICTO ARMADO",IF(O73=CURSOS!$D$32,"MANIPULACION DE ALIMENTOS Y BPM",IF(O73=CURSOS!$D$33,"ATENCION A PERSONAS CON DISCAPACIDAD",IF(O73=CURSOS!$D$34,"CUIDADO INTEGRAL DEL PACIENTE ADULTO",IF(O73=CURSOS!$D$35,"MANEJO DEFENSIVO",IF(O73=CURSOS!$D$36,"SOPORTE CARDIOVASCULAR AVANZADO NEONATAL",IF(O73=CURSOS!$D$37,"SEGURIDAD DEL PACIENTE",IF(O73=CURSOS!$D$38,"MANEJO DE RESIDUOS HOSPITALARIOS"))))))))))))))))))))))))))))))))))))</f>
        <v xml:space="preserve">SOPORTE CARDIOVASCULAR AVANZADO (ACLS) </v>
      </c>
      <c r="V73" s="47" t="str">
        <f t="shared" si="3"/>
        <v>Ana  Lucia Erazo Erazo</v>
      </c>
      <c r="W73" s="47" t="str">
        <f t="shared" si="4"/>
        <v>Ana  Lucia Erazo Erazo</v>
      </c>
      <c r="X73" s="47" t="str">
        <f t="shared" si="5"/>
        <v>Ana  Lucia Erazo Erazo-59795157-ACLS</v>
      </c>
    </row>
    <row r="74" spans="1:24" s="58" customFormat="1" x14ac:dyDescent="0.2">
      <c r="A74" s="46">
        <v>73</v>
      </c>
      <c r="B74" s="54">
        <v>59795157</v>
      </c>
      <c r="C74" s="54" t="s">
        <v>129</v>
      </c>
      <c r="D74" s="54" t="s">
        <v>129</v>
      </c>
      <c r="E74" s="54" t="s">
        <v>238</v>
      </c>
      <c r="F74" s="54" t="s">
        <v>239</v>
      </c>
      <c r="G74" s="54">
        <v>6</v>
      </c>
      <c r="H74" s="54" t="s">
        <v>100</v>
      </c>
      <c r="I74" s="55" t="s">
        <v>146</v>
      </c>
      <c r="J74" s="56">
        <v>45604</v>
      </c>
      <c r="K74" s="108">
        <v>30000</v>
      </c>
      <c r="L74" s="54" t="s">
        <v>235</v>
      </c>
      <c r="M74" s="54" t="s">
        <v>80</v>
      </c>
      <c r="N74" s="54" t="s">
        <v>159</v>
      </c>
      <c r="O74" s="66" t="s">
        <v>44</v>
      </c>
      <c r="P74" s="55">
        <v>27456</v>
      </c>
      <c r="Q74" s="54" t="s">
        <v>89</v>
      </c>
      <c r="R74" s="57" t="s">
        <v>208</v>
      </c>
      <c r="S74" s="57">
        <v>3122481624</v>
      </c>
      <c r="T74" s="54" t="s">
        <v>240</v>
      </c>
      <c r="U74" s="47" t="str">
        <f>IF(O74=CURSOS!$D$3,"DIPLOMADO EN ATENCION PRE-HOSPITALARIA",IF(O74=CURSOS!$D$4,"ACOMPAÑAMIENTO Y MANEJO DEL DUELO",IF(O74=CURSOS!$D$5,"ATENCION A VICTIMAS DE ATAQUE CON AGENTES QUIMICOS ",IF(O74=CURSOS!$D$6,"PRIMEROS AUXILIOS ",IF(O74=CURSOS!$D$7,"DIPLOMADO DE UNIDAD DE CUIDADOS INTENSIVOS (UCI)",IF(O74=CURSOS!$D$8,"MODELO DE ATENCION PARA EVENTOS EMERGENTES EN SALUD MENTAL (CODIGO VERDE)",IF(O74=CURSOS!$D$9,"HUMANIZACION EN EL SERVICIO DE LA SALUD Y BUENAS PRACTICAS EN PACIENTE ",IF(O74=CURSOS!$D$10,"CLINICA DE HERIDAS ",IF(O74=CURSOS!$D$11,"TOMA DE CITOLOGIA CERVICO VAGINAL ",IF(O74=CURSOS!$D$12,"SOPORTE CARDIOVASCULAR AVANZADO (ACLS) ",IF(O74=CURSOS!$D$13,"CAMILLERO ",IF(O74=CURSOS!$D$14,"TOMA DE MUESTRAS Y LABORATORIO ",IF(O74=CURSOS!$D$15,"SOPORTE VITAL BASICO (BLS)",IF(O74=CURSOS!$D$16,"ATENCION A VICTIMAS DE VIOLENCIA SEXUAL ",IF(O74=CURSOS!$D$17,"PROGRAMADO AMPLIADO DE INMUNIZACION (PAI - COVID 19)",IF(O74=CURSOS!$D$18,"ATENCION INTEGRAL EN ENFERMEDADES PREVALENTES EN PRIMERA INFANCIA (AIEPI)",IF(O74=CURSOS!$D$19,"ADMINISTRACION DE MEDICAMENTOS, INYECTOLOGIA  Y CANALIZACION ",IF(O74=CURSOS!$D$20,"OPERADOR DE VEHICULOS DE EMERGENCIA (OVE)",IF(O74=CURSOS!$D$21,"INSTITUCIONES AMIGAS DE LA MUJER Y LA INFANCIA (IAMI)",IF(O74=CURSOS!$D$22,"CUIDADO DEL DONANTE DE ORGANOS",IF(O74=CURSOS!$D$23,"ATENCION A VICTIMAS POR VIOLENCIA DE GENERO",IF(O74=CURSOS!$D$24,"IGUALDAD DE GENERO EN LA SALUD",IF(O74=CURSOS!$D$25,"BRIGADA DE EMERGENCIA",IF(O74=CURSOS!$D$26,"MANEJO DEL DOLOR Y CUIDADOS PALIATIVOS",IF(O74=CURSOS!$D$27,"TOMA DE MUESTRAS Y LABORATORIO POCT",IF(O74=CURSOS!$D$28,"IMPLANTE SUBDERMICO DE DISPOSITIVO INTRAUTERINO",IF(O74=CURSOS!$D$29,"SALUD MENTAL",IF(O74=CURSOS!$D$30,"PRIMEROS AUXILIOS PSICOLOGICOS",IF(O74=CURSOS!$D$31,"ATENCION A VICTIMAS POR CONFLICTO ARMADO",IF(O74=CURSOS!$D$32,"MANIPULACION DE ALIMENTOS Y BPM",IF(O74=CURSOS!$D$33,"ATENCION A PERSONAS CON DISCAPACIDAD",IF(O74=CURSOS!$D$34,"CUIDADO INTEGRAL DEL PACIENTE ADULTO",IF(O74=CURSOS!$D$35,"MANEJO DEFENSIVO",IF(O74=CURSOS!$D$36,"SOPORTE CARDIOVASCULAR AVANZADO NEONATAL",IF(O74=CURSOS!$D$37,"SEGURIDAD DEL PACIENTE",IF(O74=CURSOS!$D$38,"MANEJO DE RESIDUOS HOSPITALARIOS"))))))))))))))))))))))))))))))))))))</f>
        <v>ATENCION INTEGRAL EN ENFERMEDADES PREVALENTES EN PRIMERA INFANCIA (AIEPI)</v>
      </c>
      <c r="V74" s="47" t="str">
        <f t="shared" si="3"/>
        <v>Ana  Lucia Erazo Erazo</v>
      </c>
      <c r="W74" s="47" t="str">
        <f t="shared" si="4"/>
        <v>Ana  Lucia Erazo Erazo</v>
      </c>
      <c r="X74" s="47" t="str">
        <f t="shared" si="5"/>
        <v>Ana  Lucia Erazo Erazo-59795157-AIEPI</v>
      </c>
    </row>
    <row r="75" spans="1:24" s="58" customFormat="1" x14ac:dyDescent="0.2">
      <c r="A75" s="46">
        <v>74</v>
      </c>
      <c r="B75" s="54">
        <v>59313661</v>
      </c>
      <c r="C75" s="54" t="s">
        <v>166</v>
      </c>
      <c r="D75" s="54" t="s">
        <v>241</v>
      </c>
      <c r="E75" s="54" t="s">
        <v>242</v>
      </c>
      <c r="F75" s="54" t="s">
        <v>243</v>
      </c>
      <c r="G75" s="54">
        <v>7</v>
      </c>
      <c r="H75" s="54" t="s">
        <v>100</v>
      </c>
      <c r="I75" s="55" t="s">
        <v>146</v>
      </c>
      <c r="J75" s="56"/>
      <c r="K75" s="108"/>
      <c r="L75" s="54"/>
      <c r="M75" s="54" t="s">
        <v>80</v>
      </c>
      <c r="N75" s="54" t="s">
        <v>90</v>
      </c>
      <c r="O75" s="43" t="s">
        <v>42</v>
      </c>
      <c r="P75" s="55">
        <v>30770</v>
      </c>
      <c r="Q75" s="54" t="s">
        <v>89</v>
      </c>
      <c r="R75" s="57" t="s">
        <v>285</v>
      </c>
      <c r="S75" s="67">
        <v>310461680</v>
      </c>
      <c r="T75" s="54" t="s">
        <v>244</v>
      </c>
      <c r="U75" s="47" t="str">
        <f>IF(O75=CURSOS!$D$3,"DIPLOMADO EN ATENCION PRE-HOSPITALARIA",IF(O75=CURSOS!$D$4,"ACOMPAÑAMIENTO Y MANEJO DEL DUELO",IF(O75=CURSOS!$D$5,"ATENCION A VICTIMAS DE ATAQUE CON AGENTES QUIMICOS ",IF(O75=CURSOS!$D$6,"PRIMEROS AUXILIOS ",IF(O75=CURSOS!$D$7,"DIPLOMADO DE UNIDAD DE CUIDADOS INTENSIVOS (UCI)",IF(O75=CURSOS!$D$8,"MODELO DE ATENCION PARA EVENTOS EMERGENTES EN SALUD MENTAL (CODIGO VERDE)",IF(O75=CURSOS!$D$9,"HUMANIZACION EN EL SERVICIO DE LA SALUD Y BUENAS PRACTICAS EN PACIENTE ",IF(O75=CURSOS!$D$10,"CLINICA DE HERIDAS ",IF(O75=CURSOS!$D$11,"TOMA DE CITOLOGIA CERVICO VAGINAL ",IF(O75=CURSOS!$D$12,"SOPORTE CARDIOVASCULAR AVANZADO (ACLS) ",IF(O75=CURSOS!$D$13,"CAMILLERO ",IF(O75=CURSOS!$D$14,"TOMA DE MUESTRAS Y LABORATORIO ",IF(O75=CURSOS!$D$15,"SOPORTE VITAL BASICO (BLS)",IF(O75=CURSOS!$D$16,"ATENCION A VICTIMAS DE VIOLENCIA SEXUAL ",IF(O75=CURSOS!$D$17,"PROGRAMADO AMPLIADO DE INMUNIZACION (PAI - COVID 19)",IF(O75=CURSOS!$D$18,"ATENCION INTEGRAL EN ENFERMEDADES PREVALENTES EN PRIMERA INFANCIA (AIEPI)",IF(O75=CURSOS!$D$19,"ADMINISTRACION DE MEDICAMENTOS, INYECTOLOGIA  Y CANALIZACION ",IF(O75=CURSOS!$D$20,"OPERADOR DE VEHICULOS DE EMERGENCIA (OVE)",IF(O75=CURSOS!$D$21,"INSTITUCIONES AMIGAS DE LA MUJER Y LA INFANCIA (IAMI)",IF(O75=CURSOS!$D$22,"CUIDADO DEL DONANTE DE ORGANOS",IF(O75=CURSOS!$D$23,"ATENCION A VICTIMAS POR VIOLENCIA DE GENERO",IF(O75=CURSOS!$D$24,"IGUALDAD DE GENERO EN LA SALUD",IF(O75=CURSOS!$D$25,"BRIGADA DE EMERGENCIA",IF(O75=CURSOS!$D$26,"MANEJO DEL DOLOR Y CUIDADOS PALIATIVOS",IF(O75=CURSOS!$D$27,"TOMA DE MUESTRAS Y LABORATORIO POCT",IF(O75=CURSOS!$D$28,"IMPLANTE SUBDERMICO DE DISPOSITIVO INTRAUTERINO",IF(O75=CURSOS!$D$29,"SALUD MENTAL",IF(O75=CURSOS!$D$30,"PRIMEROS AUXILIOS PSICOLOGICOS",IF(O75=CURSOS!$D$31,"ATENCION A VICTIMAS POR CONFLICTO ARMADO",IF(O75=CURSOS!$D$32,"MANIPULACION DE ALIMENTOS Y BPM",IF(O75=CURSOS!$D$33,"ATENCION A PERSONAS CON DISCAPACIDAD",IF(O75=CURSOS!$D$34,"CUIDADO INTEGRAL DEL PACIENTE ADULTO",IF(O75=CURSOS!$D$35,"MANEJO DEFENSIVO",IF(O75=CURSOS!$D$36,"SOPORTE CARDIOVASCULAR AVANZADO NEONATAL",IF(O75=CURSOS!$D$37,"SEGURIDAD DEL PACIENTE",IF(O75=CURSOS!$D$38,"MANEJO DE RESIDUOS HOSPITALARIOS"))))))))))))))))))))))))))))))))))))</f>
        <v xml:space="preserve">ATENCION A VICTIMAS DE VIOLENCIA SEXUAL </v>
      </c>
      <c r="V75" s="47" t="str">
        <f t="shared" si="3"/>
        <v>Carmen Alicia López Tobar</v>
      </c>
      <c r="W75" s="47" t="str">
        <f t="shared" si="4"/>
        <v>Carmen Alicia López Tobar</v>
      </c>
      <c r="X75" s="47" t="str">
        <f t="shared" si="5"/>
        <v>Carmen Alicia López Tobar-59313661-VIOLENCIA SEXUAL</v>
      </c>
    </row>
    <row r="76" spans="1:24" s="58" customFormat="1" x14ac:dyDescent="0.2">
      <c r="A76" s="46">
        <v>75</v>
      </c>
      <c r="B76" s="54">
        <v>59795157</v>
      </c>
      <c r="C76" s="54" t="s">
        <v>129</v>
      </c>
      <c r="D76" s="54" t="s">
        <v>129</v>
      </c>
      <c r="E76" s="54" t="s">
        <v>238</v>
      </c>
      <c r="F76" s="54" t="s">
        <v>239</v>
      </c>
      <c r="G76" s="54">
        <v>2</v>
      </c>
      <c r="H76" s="54" t="s">
        <v>100</v>
      </c>
      <c r="I76" s="55" t="s">
        <v>146</v>
      </c>
      <c r="J76" s="56">
        <v>45604</v>
      </c>
      <c r="K76" s="108">
        <v>20000</v>
      </c>
      <c r="L76" s="54" t="s">
        <v>235</v>
      </c>
      <c r="M76" s="54" t="s">
        <v>80</v>
      </c>
      <c r="N76" s="54" t="s">
        <v>159</v>
      </c>
      <c r="O76" s="43" t="s">
        <v>19</v>
      </c>
      <c r="P76" s="55">
        <v>27456</v>
      </c>
      <c r="Q76" s="54" t="s">
        <v>89</v>
      </c>
      <c r="R76" s="57" t="s">
        <v>208</v>
      </c>
      <c r="S76" s="57">
        <v>3122481624</v>
      </c>
      <c r="T76" s="54" t="s">
        <v>240</v>
      </c>
      <c r="U76" s="47" t="str">
        <f>IF(O76=CURSOS!$D$3,"DIPLOMADO EN ATENCION PRE-HOSPITALARIA",IF(O76=CURSOS!$D$4,"ACOMPAÑAMIENTO Y MANEJO DEL DUELO",IF(O76=CURSOS!$D$5,"ATENCION A VICTIMAS DE ATAQUE CON AGENTES QUIMICOS ",IF(O76=CURSOS!$D$6,"PRIMEROS AUXILIOS ",IF(O76=CURSOS!$D$7,"DIPLOMADO DE UNIDAD DE CUIDADOS INTENSIVOS (UCI)",IF(O76=CURSOS!$D$8,"MODELO DE ATENCION PARA EVENTOS EMERGENTES EN SALUD MENTAL (CODIGO VERDE)",IF(O76=CURSOS!$D$9,"HUMANIZACION EN EL SERVICIO DE LA SALUD Y BUENAS PRACTICAS EN PACIENTE ",IF(O76=CURSOS!$D$10,"CLINICA DE HERIDAS ",IF(O76=CURSOS!$D$11,"TOMA DE CITOLOGIA CERVICO VAGINAL ",IF(O76=CURSOS!$D$12,"SOPORTE CARDIOVASCULAR AVANZADO (ACLS) ",IF(O76=CURSOS!$D$13,"CAMILLERO ",IF(O76=CURSOS!$D$14,"TOMA DE MUESTRAS Y LABORATORIO ",IF(O76=CURSOS!$D$15,"SOPORTE VITAL BASICO (BLS)",IF(O76=CURSOS!$D$16,"ATENCION A VICTIMAS DE VIOLENCIA SEXUAL ",IF(O76=CURSOS!$D$17,"PROGRAMADO AMPLIADO DE INMUNIZACION (PAI - COVID 19)",IF(O76=CURSOS!$D$18,"ATENCION INTEGRAL EN ENFERMEDADES PREVALENTES EN PRIMERA INFANCIA (AIEPI)",IF(O76=CURSOS!$D$19,"ADMINISTRACION DE MEDICAMENTOS, INYECTOLOGIA  Y CANALIZACION ",IF(O76=CURSOS!$D$20,"OPERADOR DE VEHICULOS DE EMERGENCIA (OVE)",IF(O76=CURSOS!$D$21,"INSTITUCIONES AMIGAS DE LA MUJER Y LA INFANCIA (IAMI)",IF(O76=CURSOS!$D$22,"CUIDADO DEL DONANTE DE ORGANOS",IF(O76=CURSOS!$D$23,"ATENCION A VICTIMAS POR VIOLENCIA DE GENERO",IF(O76=CURSOS!$D$24,"IGUALDAD DE GENERO EN LA SALUD",IF(O76=CURSOS!$D$25,"BRIGADA DE EMERGENCIA",IF(O76=CURSOS!$D$26,"MANEJO DEL DOLOR Y CUIDADOS PALIATIVOS",IF(O76=CURSOS!$D$27,"TOMA DE MUESTRAS Y LABORATORIO POCT",IF(O76=CURSOS!$D$28,"IMPLANTE SUBDERMICO DE DISPOSITIVO INTRAUTERINO",IF(O76=CURSOS!$D$29,"SALUD MENTAL",IF(O76=CURSOS!$D$30,"PRIMEROS AUXILIOS PSICOLOGICOS",IF(O76=CURSOS!$D$31,"ATENCION A VICTIMAS POR CONFLICTO ARMADO",IF(O76=CURSOS!$D$32,"MANIPULACION DE ALIMENTOS Y BPM",IF(O76=CURSOS!$D$33,"ATENCION A PERSONAS CON DISCAPACIDAD",IF(O76=CURSOS!$D$34,"CUIDADO INTEGRAL DEL PACIENTE ADULTO",IF(O76=CURSOS!$D$35,"MANEJO DEFENSIVO",IF(O76=CURSOS!$D$36,"SOPORTE CARDIOVASCULAR AVANZADO NEONATAL",IF(O76=CURSOS!$D$37,"SEGURIDAD DEL PACIENTE",IF(O76=CURSOS!$D$38,"MANEJO DE RESIDUOS HOSPITALARIOS"))))))))))))))))))))))))))))))))))))</f>
        <v>SOPORTE VITAL BASICO (BLS)</v>
      </c>
      <c r="V76" s="47" t="str">
        <f t="shared" si="3"/>
        <v>Ana  Lucia Erazo Erazo</v>
      </c>
      <c r="W76" s="47" t="str">
        <f t="shared" si="4"/>
        <v>Ana  Lucia Erazo Erazo</v>
      </c>
      <c r="X76" s="47" t="str">
        <f t="shared" si="5"/>
        <v>Ana  Lucia Erazo Erazo-59795157-BLS</v>
      </c>
    </row>
    <row r="77" spans="1:24" x14ac:dyDescent="0.2">
      <c r="A77" s="46">
        <v>76</v>
      </c>
      <c r="B77" s="54">
        <v>1088731913</v>
      </c>
      <c r="C77" s="54" t="s">
        <v>130</v>
      </c>
      <c r="D77" s="54" t="s">
        <v>246</v>
      </c>
      <c r="E77" s="54" t="s">
        <v>247</v>
      </c>
      <c r="F77" s="54" t="s">
        <v>248</v>
      </c>
      <c r="G77" s="54">
        <v>2</v>
      </c>
      <c r="H77" s="54" t="s">
        <v>100</v>
      </c>
      <c r="I77" s="55" t="s">
        <v>146</v>
      </c>
      <c r="J77" s="56">
        <v>45604</v>
      </c>
      <c r="K77" s="108">
        <v>80000</v>
      </c>
      <c r="L77" s="54" t="s">
        <v>235</v>
      </c>
      <c r="M77" s="54" t="s">
        <v>80</v>
      </c>
      <c r="N77" s="54" t="s">
        <v>159</v>
      </c>
      <c r="O77" s="43" t="s">
        <v>37</v>
      </c>
      <c r="P77" s="55">
        <v>32498</v>
      </c>
      <c r="Q77" s="54" t="s">
        <v>89</v>
      </c>
      <c r="R77" s="57" t="s">
        <v>208</v>
      </c>
      <c r="S77" s="57">
        <v>3232391166</v>
      </c>
      <c r="T77" s="54" t="s">
        <v>249</v>
      </c>
      <c r="U77" s="47" t="str">
        <f>IF(O77=CURSOS!$D$3,"DIPLOMADO EN ATENCION PRE-HOSPITALARIA",IF(O77=CURSOS!$D$4,"ACOMPAÑAMIENTO Y MANEJO DEL DUELO",IF(O77=CURSOS!$D$5,"ATENCION A VICTIMAS DE ATAQUE CON AGENTES QUIMICOS ",IF(O77=CURSOS!$D$6,"PRIMEROS AUXILIOS ",IF(O77=CURSOS!$D$7,"DIPLOMADO DE UNIDAD DE CUIDADOS INTENSIVOS (UCI)",IF(O77=CURSOS!$D$8,"MODELO DE ATENCION PARA EVENTOS EMERGENTES EN SALUD MENTAL (CODIGO VERDE)",IF(O77=CURSOS!$D$9,"HUMANIZACION EN EL SERVICIO DE LA SALUD Y BUENAS PRACTICAS EN PACIENTE ",IF(O77=CURSOS!$D$10,"CLINICA DE HERIDAS ",IF(O77=CURSOS!$D$11,"TOMA DE CITOLOGIA CERVICO VAGINAL ",IF(O77=CURSOS!$D$12,"SOPORTE CARDIOVASCULAR AVANZADO (ACLS) ",IF(O77=CURSOS!$D$13,"CAMILLERO ",IF(O77=CURSOS!$D$14,"TOMA DE MUESTRAS Y LABORATORIO ",IF(O77=CURSOS!$D$15,"SOPORTE VITAL BASICO (BLS)",IF(O77=CURSOS!$D$16,"ATENCION A VICTIMAS DE VIOLENCIA SEXUAL ",IF(O77=CURSOS!$D$17,"PROGRAMADO AMPLIADO DE INMUNIZACION (PAI - COVID 19)",IF(O77=CURSOS!$D$18,"ATENCION INTEGRAL EN ENFERMEDADES PREVALENTES EN PRIMERA INFANCIA (AIEPI)",IF(O77=CURSOS!$D$19,"ADMINISTRACION DE MEDICAMENTOS, INYECTOLOGIA  Y CANALIZACION ",IF(O77=CURSOS!$D$20,"OPERADOR DE VEHICULOS DE EMERGENCIA (OVE)",IF(O77=CURSOS!$D$21,"INSTITUCIONES AMIGAS DE LA MUJER Y LA INFANCIA (IAMI)",IF(O77=CURSOS!$D$22,"CUIDADO DEL DONANTE DE ORGANOS",IF(O77=CURSOS!$D$23,"ATENCION A VICTIMAS POR VIOLENCIA DE GENERO",IF(O77=CURSOS!$D$24,"IGUALDAD DE GENERO EN LA SALUD",IF(O77=CURSOS!$D$25,"BRIGADA DE EMERGENCIA",IF(O77=CURSOS!$D$26,"MANEJO DEL DOLOR Y CUIDADOS PALIATIVOS",IF(O77=CURSOS!$D$27,"TOMA DE MUESTRAS Y LABORATORIO POCT",IF(O77=CURSOS!$D$28,"IMPLANTE SUBDERMICO DE DISPOSITIVO INTRAUTERINO",IF(O77=CURSOS!$D$29,"SALUD MENTAL",IF(O77=CURSOS!$D$30,"PRIMEROS AUXILIOS PSICOLOGICOS",IF(O77=CURSOS!$D$31,"ATENCION A VICTIMAS POR CONFLICTO ARMADO",IF(O77=CURSOS!$D$32,"MANIPULACION DE ALIMENTOS Y BPM",IF(O77=CURSOS!$D$33,"ATENCION A PERSONAS CON DISCAPACIDAD",IF(O77=CURSOS!$D$34,"CUIDADO INTEGRAL DEL PACIENTE ADULTO",IF(O77=CURSOS!$D$35,"MANEJO DEFENSIVO",IF(O77=CURSOS!$D$36,"SOPORTE CARDIOVASCULAR AVANZADO NEONATAL",IF(O77=CURSOS!$D$37,"SEGURIDAD DEL PACIENTE",IF(O77=CURSOS!$D$38,"MANEJO DE RESIDUOS HOSPITALARIOS"))))))))))))))))))))))))))))))))))))</f>
        <v xml:space="preserve">SOPORTE CARDIOVASCULAR AVANZADO (ACLS) </v>
      </c>
      <c r="V77" s="47" t="str">
        <f t="shared" si="3"/>
        <v>Daira Yadira Rosero Códoba</v>
      </c>
      <c r="W77" s="47" t="str">
        <f t="shared" si="4"/>
        <v>Daira Yadira Rosero Códoba</v>
      </c>
      <c r="X77" s="47" t="str">
        <f t="shared" si="5"/>
        <v>Daira Yadira Rosero Códoba-1088731913-ACLS</v>
      </c>
    </row>
    <row r="78" spans="1:24" x14ac:dyDescent="0.2">
      <c r="A78" s="46">
        <v>77</v>
      </c>
      <c r="B78" s="54">
        <v>1088731913</v>
      </c>
      <c r="C78" s="54" t="s">
        <v>130</v>
      </c>
      <c r="D78" s="54" t="s">
        <v>246</v>
      </c>
      <c r="E78" s="54" t="s">
        <v>247</v>
      </c>
      <c r="F78" s="54" t="s">
        <v>248</v>
      </c>
      <c r="G78" s="54">
        <v>2</v>
      </c>
      <c r="H78" s="54" t="s">
        <v>100</v>
      </c>
      <c r="I78" s="55" t="s">
        <v>146</v>
      </c>
      <c r="J78" s="56">
        <v>45604</v>
      </c>
      <c r="K78" s="108">
        <v>20000</v>
      </c>
      <c r="L78" s="54" t="s">
        <v>235</v>
      </c>
      <c r="M78" s="54" t="s">
        <v>80</v>
      </c>
      <c r="N78" s="54" t="s">
        <v>159</v>
      </c>
      <c r="O78" s="43" t="s">
        <v>19</v>
      </c>
      <c r="P78" s="55">
        <v>32498</v>
      </c>
      <c r="Q78" s="54" t="s">
        <v>89</v>
      </c>
      <c r="R78" s="57" t="s">
        <v>208</v>
      </c>
      <c r="S78" s="57">
        <v>3232391166</v>
      </c>
      <c r="T78" s="54" t="s">
        <v>249</v>
      </c>
      <c r="U78" s="47" t="str">
        <f>IF(O78=CURSOS!$D$3,"DIPLOMADO EN ATENCION PRE-HOSPITALARIA",IF(O78=CURSOS!$D$4,"ACOMPAÑAMIENTO Y MANEJO DEL DUELO",IF(O78=CURSOS!$D$5,"ATENCION A VICTIMAS DE ATAQUE CON AGENTES QUIMICOS ",IF(O78=CURSOS!$D$6,"PRIMEROS AUXILIOS ",IF(O78=CURSOS!$D$7,"DIPLOMADO DE UNIDAD DE CUIDADOS INTENSIVOS (UCI)",IF(O78=CURSOS!$D$8,"MODELO DE ATENCION PARA EVENTOS EMERGENTES EN SALUD MENTAL (CODIGO VERDE)",IF(O78=CURSOS!$D$9,"HUMANIZACION EN EL SERVICIO DE LA SALUD Y BUENAS PRACTICAS EN PACIENTE ",IF(O78=CURSOS!$D$10,"CLINICA DE HERIDAS ",IF(O78=CURSOS!$D$11,"TOMA DE CITOLOGIA CERVICO VAGINAL ",IF(O78=CURSOS!$D$12,"SOPORTE CARDIOVASCULAR AVANZADO (ACLS) ",IF(O78=CURSOS!$D$13,"CAMILLERO ",IF(O78=CURSOS!$D$14,"TOMA DE MUESTRAS Y LABORATORIO ",IF(O78=CURSOS!$D$15,"SOPORTE VITAL BASICO (BLS)",IF(O78=CURSOS!$D$16,"ATENCION A VICTIMAS DE VIOLENCIA SEXUAL ",IF(O78=CURSOS!$D$17,"PROGRAMADO AMPLIADO DE INMUNIZACION (PAI - COVID 19)",IF(O78=CURSOS!$D$18,"ATENCION INTEGRAL EN ENFERMEDADES PREVALENTES EN PRIMERA INFANCIA (AIEPI)",IF(O78=CURSOS!$D$19,"ADMINISTRACION DE MEDICAMENTOS, INYECTOLOGIA  Y CANALIZACION ",IF(O78=CURSOS!$D$20,"OPERADOR DE VEHICULOS DE EMERGENCIA (OVE)",IF(O78=CURSOS!$D$21,"INSTITUCIONES AMIGAS DE LA MUJER Y LA INFANCIA (IAMI)",IF(O78=CURSOS!$D$22,"CUIDADO DEL DONANTE DE ORGANOS",IF(O78=CURSOS!$D$23,"ATENCION A VICTIMAS POR VIOLENCIA DE GENERO",IF(O78=CURSOS!$D$24,"IGUALDAD DE GENERO EN LA SALUD",IF(O78=CURSOS!$D$25,"BRIGADA DE EMERGENCIA",IF(O78=CURSOS!$D$26,"MANEJO DEL DOLOR Y CUIDADOS PALIATIVOS",IF(O78=CURSOS!$D$27,"TOMA DE MUESTRAS Y LABORATORIO POCT",IF(O78=CURSOS!$D$28,"IMPLANTE SUBDERMICO DE DISPOSITIVO INTRAUTERINO",IF(O78=CURSOS!$D$29,"SALUD MENTAL",IF(O78=CURSOS!$D$30,"PRIMEROS AUXILIOS PSICOLOGICOS",IF(O78=CURSOS!$D$31,"ATENCION A VICTIMAS POR CONFLICTO ARMADO",IF(O78=CURSOS!$D$32,"MANIPULACION DE ALIMENTOS Y BPM",IF(O78=CURSOS!$D$33,"ATENCION A PERSONAS CON DISCAPACIDAD",IF(O78=CURSOS!$D$34,"CUIDADO INTEGRAL DEL PACIENTE ADULTO",IF(O78=CURSOS!$D$35,"MANEJO DEFENSIVO",IF(O78=CURSOS!$D$36,"SOPORTE CARDIOVASCULAR AVANZADO NEONATAL",IF(O78=CURSOS!$D$37,"SEGURIDAD DEL PACIENTE",IF(O78=CURSOS!$D$38,"MANEJO DE RESIDUOS HOSPITALARIOS"))))))))))))))))))))))))))))))))))))</f>
        <v>SOPORTE VITAL BASICO (BLS)</v>
      </c>
      <c r="V78" s="47" t="str">
        <f t="shared" si="3"/>
        <v>Daira Yadira Rosero Códoba</v>
      </c>
      <c r="W78" s="47" t="str">
        <f t="shared" si="4"/>
        <v>Daira Yadira Rosero Códoba</v>
      </c>
      <c r="X78" s="47" t="str">
        <f t="shared" si="5"/>
        <v>Daira Yadira Rosero Códoba-1088731913-BLS</v>
      </c>
    </row>
    <row r="79" spans="1:24" x14ac:dyDescent="0.2">
      <c r="A79" s="46">
        <v>78</v>
      </c>
      <c r="B79" s="54">
        <v>1088731913</v>
      </c>
      <c r="C79" s="54" t="s">
        <v>130</v>
      </c>
      <c r="D79" s="54" t="s">
        <v>246</v>
      </c>
      <c r="E79" s="54" t="s">
        <v>247</v>
      </c>
      <c r="F79" s="54" t="s">
        <v>248</v>
      </c>
      <c r="G79" s="54">
        <v>7</v>
      </c>
      <c r="H79" s="54" t="s">
        <v>100</v>
      </c>
      <c r="I79" s="55" t="s">
        <v>146</v>
      </c>
      <c r="J79" s="56">
        <v>45604</v>
      </c>
      <c r="K79" s="108">
        <v>28000</v>
      </c>
      <c r="L79" s="54" t="s">
        <v>235</v>
      </c>
      <c r="M79" s="54" t="s">
        <v>80</v>
      </c>
      <c r="N79" s="54" t="s">
        <v>159</v>
      </c>
      <c r="O79" s="43" t="s">
        <v>42</v>
      </c>
      <c r="P79" s="55">
        <v>32498</v>
      </c>
      <c r="Q79" s="54" t="s">
        <v>89</v>
      </c>
      <c r="R79" s="57" t="s">
        <v>208</v>
      </c>
      <c r="S79" s="57">
        <v>3232391166</v>
      </c>
      <c r="T79" s="54" t="s">
        <v>249</v>
      </c>
      <c r="U79" s="47" t="str">
        <f>IF(O79=CURSOS!$D$3,"DIPLOMADO EN ATENCION PRE-HOSPITALARIA",IF(O79=CURSOS!$D$4,"ACOMPAÑAMIENTO Y MANEJO DEL DUELO",IF(O79=CURSOS!$D$5,"ATENCION A VICTIMAS DE ATAQUE CON AGENTES QUIMICOS ",IF(O79=CURSOS!$D$6,"PRIMEROS AUXILIOS ",IF(O79=CURSOS!$D$7,"DIPLOMADO DE UNIDAD DE CUIDADOS INTENSIVOS (UCI)",IF(O79=CURSOS!$D$8,"MODELO DE ATENCION PARA EVENTOS EMERGENTES EN SALUD MENTAL (CODIGO VERDE)",IF(O79=CURSOS!$D$9,"HUMANIZACION EN EL SERVICIO DE LA SALUD Y BUENAS PRACTICAS EN PACIENTE ",IF(O79=CURSOS!$D$10,"CLINICA DE HERIDAS ",IF(O79=CURSOS!$D$11,"TOMA DE CITOLOGIA CERVICO VAGINAL ",IF(O79=CURSOS!$D$12,"SOPORTE CARDIOVASCULAR AVANZADO (ACLS) ",IF(O79=CURSOS!$D$13,"CAMILLERO ",IF(O79=CURSOS!$D$14,"TOMA DE MUESTRAS Y LABORATORIO ",IF(O79=CURSOS!$D$15,"SOPORTE VITAL BASICO (BLS)",IF(O79=CURSOS!$D$16,"ATENCION A VICTIMAS DE VIOLENCIA SEXUAL ",IF(O79=CURSOS!$D$17,"PROGRAMADO AMPLIADO DE INMUNIZACION (PAI - COVID 19)",IF(O79=CURSOS!$D$18,"ATENCION INTEGRAL EN ENFERMEDADES PREVALENTES EN PRIMERA INFANCIA (AIEPI)",IF(O79=CURSOS!$D$19,"ADMINISTRACION DE MEDICAMENTOS, INYECTOLOGIA  Y CANALIZACION ",IF(O79=CURSOS!$D$20,"OPERADOR DE VEHICULOS DE EMERGENCIA (OVE)",IF(O79=CURSOS!$D$21,"INSTITUCIONES AMIGAS DE LA MUJER Y LA INFANCIA (IAMI)",IF(O79=CURSOS!$D$22,"CUIDADO DEL DONANTE DE ORGANOS",IF(O79=CURSOS!$D$23,"ATENCION A VICTIMAS POR VIOLENCIA DE GENERO",IF(O79=CURSOS!$D$24,"IGUALDAD DE GENERO EN LA SALUD",IF(O79=CURSOS!$D$25,"BRIGADA DE EMERGENCIA",IF(O79=CURSOS!$D$26,"MANEJO DEL DOLOR Y CUIDADOS PALIATIVOS",IF(O79=CURSOS!$D$27,"TOMA DE MUESTRAS Y LABORATORIO POCT",IF(O79=CURSOS!$D$28,"IMPLANTE SUBDERMICO DE DISPOSITIVO INTRAUTERINO",IF(O79=CURSOS!$D$29,"SALUD MENTAL",IF(O79=CURSOS!$D$30,"PRIMEROS AUXILIOS PSICOLOGICOS",IF(O79=CURSOS!$D$31,"ATENCION A VICTIMAS POR CONFLICTO ARMADO",IF(O79=CURSOS!$D$32,"MANIPULACION DE ALIMENTOS Y BPM",IF(O79=CURSOS!$D$33,"ATENCION A PERSONAS CON DISCAPACIDAD",IF(O79=CURSOS!$D$34,"CUIDADO INTEGRAL DEL PACIENTE ADULTO",IF(O79=CURSOS!$D$35,"MANEJO DEFENSIVO",IF(O79=CURSOS!$D$36,"SOPORTE CARDIOVASCULAR AVANZADO NEONATAL",IF(O79=CURSOS!$D$37,"SEGURIDAD DEL PACIENTE",IF(O79=CURSOS!$D$38,"MANEJO DE RESIDUOS HOSPITALARIOS"))))))))))))))))))))))))))))))))))))</f>
        <v xml:space="preserve">ATENCION A VICTIMAS DE VIOLENCIA SEXUAL </v>
      </c>
      <c r="V79" s="47" t="str">
        <f t="shared" ref="V79:V122" si="6">CONCATENATE(E79," ",F79," ",C79," ",D79)</f>
        <v>Daira Yadira Rosero Códoba</v>
      </c>
      <c r="W79" s="47" t="str">
        <f t="shared" ref="W79:W122" si="7">PROPER(V79)</f>
        <v>Daira Yadira Rosero Códoba</v>
      </c>
      <c r="X79" s="47" t="str">
        <f t="shared" ref="X79:X122" si="8">CONCATENATE(V79,"-",B79,"-",O79)</f>
        <v>Daira Yadira Rosero Códoba-1088731913-VIOLENCIA SEXUAL</v>
      </c>
    </row>
    <row r="80" spans="1:24" x14ac:dyDescent="0.2">
      <c r="A80" s="46">
        <v>79</v>
      </c>
      <c r="B80" s="54">
        <v>1088731913</v>
      </c>
      <c r="C80" s="54" t="s">
        <v>130</v>
      </c>
      <c r="D80" s="54" t="s">
        <v>246</v>
      </c>
      <c r="E80" s="54" t="s">
        <v>247</v>
      </c>
      <c r="F80" s="54" t="s">
        <v>248</v>
      </c>
      <c r="G80" s="54">
        <v>6</v>
      </c>
      <c r="H80" s="54" t="s">
        <v>100</v>
      </c>
      <c r="I80" s="55" t="s">
        <v>146</v>
      </c>
      <c r="J80" s="56">
        <v>45604</v>
      </c>
      <c r="K80" s="108">
        <v>28000</v>
      </c>
      <c r="L80" s="54" t="s">
        <v>235</v>
      </c>
      <c r="M80" s="54" t="s">
        <v>80</v>
      </c>
      <c r="N80" s="54" t="s">
        <v>159</v>
      </c>
      <c r="O80" s="43" t="s">
        <v>25</v>
      </c>
      <c r="P80" s="55">
        <v>32498</v>
      </c>
      <c r="Q80" s="54" t="s">
        <v>89</v>
      </c>
      <c r="R80" s="57" t="s">
        <v>208</v>
      </c>
      <c r="S80" s="57">
        <v>3232391166</v>
      </c>
      <c r="T80" s="54" t="s">
        <v>249</v>
      </c>
      <c r="U80" s="47" t="str">
        <f>IF(O80=CURSOS!$D$3,"DIPLOMADO EN ATENCION PRE-HOSPITALARIA",IF(O80=CURSOS!$D$4,"ACOMPAÑAMIENTO Y MANEJO DEL DUELO",IF(O80=CURSOS!$D$5,"ATENCION A VICTIMAS DE ATAQUE CON AGENTES QUIMICOS ",IF(O80=CURSOS!$D$6,"PRIMEROS AUXILIOS ",IF(O80=CURSOS!$D$7,"DIPLOMADO DE UNIDAD DE CUIDADOS INTENSIVOS (UCI)",IF(O80=CURSOS!$D$8,"MODELO DE ATENCION PARA EVENTOS EMERGENTES EN SALUD MENTAL (CODIGO VERDE)",IF(O80=CURSOS!$D$9,"HUMANIZACION EN EL SERVICIO DE LA SALUD Y BUENAS PRACTICAS EN PACIENTE ",IF(O80=CURSOS!$D$10,"CLINICA DE HERIDAS ",IF(O80=CURSOS!$D$11,"TOMA DE CITOLOGIA CERVICO VAGINAL ",IF(O80=CURSOS!$D$12,"SOPORTE CARDIOVASCULAR AVANZADO (ACLS) ",IF(O80=CURSOS!$D$13,"CAMILLERO ",IF(O80=CURSOS!$D$14,"TOMA DE MUESTRAS Y LABORATORIO ",IF(O80=CURSOS!$D$15,"SOPORTE VITAL BASICO (BLS)",IF(O80=CURSOS!$D$16,"ATENCION A VICTIMAS DE VIOLENCIA SEXUAL ",IF(O80=CURSOS!$D$17,"PROGRAMADO AMPLIADO DE INMUNIZACION (PAI - COVID 19)",IF(O80=CURSOS!$D$18,"ATENCION INTEGRAL EN ENFERMEDADES PREVALENTES EN PRIMERA INFANCIA (AIEPI)",IF(O80=CURSOS!$D$19,"ADMINISTRACION DE MEDICAMENTOS, INYECTOLOGIA  Y CANALIZACION ",IF(O80=CURSOS!$D$20,"OPERADOR DE VEHICULOS DE EMERGENCIA (OVE)",IF(O80=CURSOS!$D$21,"INSTITUCIONES AMIGAS DE LA MUJER Y LA INFANCIA (IAMI)",IF(O80=CURSOS!$D$22,"CUIDADO DEL DONANTE DE ORGANOS",IF(O80=CURSOS!$D$23,"ATENCION A VICTIMAS POR VIOLENCIA DE GENERO",IF(O80=CURSOS!$D$24,"IGUALDAD DE GENERO EN LA SALUD",IF(O80=CURSOS!$D$25,"BRIGADA DE EMERGENCIA",IF(O80=CURSOS!$D$26,"MANEJO DEL DOLOR Y CUIDADOS PALIATIVOS",IF(O80=CURSOS!$D$27,"TOMA DE MUESTRAS Y LABORATORIO POCT",IF(O80=CURSOS!$D$28,"IMPLANTE SUBDERMICO DE DISPOSITIVO INTRAUTERINO",IF(O80=CURSOS!$D$29,"SALUD MENTAL",IF(O80=CURSOS!$D$30,"PRIMEROS AUXILIOS PSICOLOGICOS",IF(O80=CURSOS!$D$31,"ATENCION A VICTIMAS POR CONFLICTO ARMADO",IF(O80=CURSOS!$D$32,"MANIPULACION DE ALIMENTOS Y BPM",IF(O80=CURSOS!$D$33,"ATENCION A PERSONAS CON DISCAPACIDAD",IF(O80=CURSOS!$D$34,"CUIDADO INTEGRAL DEL PACIENTE ADULTO",IF(O80=CURSOS!$D$35,"MANEJO DEFENSIVO",IF(O80=CURSOS!$D$36,"SOPORTE CARDIOVASCULAR AVANZADO NEONATAL",IF(O80=CURSOS!$D$37,"SEGURIDAD DEL PACIENTE",IF(O80=CURSOS!$D$38,"MANEJO DE RESIDUOS HOSPITALARIOS"))))))))))))))))))))))))))))))))))))</f>
        <v xml:space="preserve">ATENCION A VICTIMAS DE ATAQUE CON AGENTES QUIMICOS </v>
      </c>
      <c r="V80" s="47" t="str">
        <f t="shared" si="6"/>
        <v>Daira Yadira Rosero Códoba</v>
      </c>
      <c r="W80" s="47" t="str">
        <f t="shared" si="7"/>
        <v>Daira Yadira Rosero Códoba</v>
      </c>
      <c r="X80" s="47" t="str">
        <f t="shared" si="8"/>
        <v>Daira Yadira Rosero Códoba-1088731913-QUIMICOS</v>
      </c>
    </row>
    <row r="81" spans="1:25" x14ac:dyDescent="0.2">
      <c r="A81" s="46">
        <v>80</v>
      </c>
      <c r="B81" s="54">
        <v>1088731913</v>
      </c>
      <c r="C81" s="54" t="s">
        <v>130</v>
      </c>
      <c r="D81" s="54" t="s">
        <v>246</v>
      </c>
      <c r="E81" s="54" t="s">
        <v>247</v>
      </c>
      <c r="F81" s="54" t="s">
        <v>248</v>
      </c>
      <c r="G81" s="54">
        <v>8</v>
      </c>
      <c r="H81" s="54" t="s">
        <v>100</v>
      </c>
      <c r="I81" s="55" t="s">
        <v>146</v>
      </c>
      <c r="J81" s="56">
        <v>45604</v>
      </c>
      <c r="K81" s="108">
        <v>40000</v>
      </c>
      <c r="L81" s="56" t="s">
        <v>235</v>
      </c>
      <c r="M81" s="54" t="s">
        <v>80</v>
      </c>
      <c r="N81" s="54" t="s">
        <v>159</v>
      </c>
      <c r="O81" s="43" t="s">
        <v>44</v>
      </c>
      <c r="P81" s="55">
        <v>32498</v>
      </c>
      <c r="Q81" s="54" t="s">
        <v>89</v>
      </c>
      <c r="R81" s="57" t="s">
        <v>208</v>
      </c>
      <c r="S81" s="57">
        <v>3232391166</v>
      </c>
      <c r="T81" s="54" t="s">
        <v>249</v>
      </c>
      <c r="U81" s="47" t="str">
        <f>IF(O81=CURSOS!$D$3,"DIPLOMADO EN ATENCION PRE-HOSPITALARIA",IF(O81=CURSOS!$D$4,"ACOMPAÑAMIENTO Y MANEJO DEL DUELO",IF(O81=CURSOS!$D$5,"ATENCION A VICTIMAS DE ATAQUE CON AGENTES QUIMICOS ",IF(O81=CURSOS!$D$6,"PRIMEROS AUXILIOS ",IF(O81=CURSOS!$D$7,"DIPLOMADO DE UNIDAD DE CUIDADOS INTENSIVOS (UCI)",IF(O81=CURSOS!$D$8,"MODELO DE ATENCION PARA EVENTOS EMERGENTES EN SALUD MENTAL (CODIGO VERDE)",IF(O81=CURSOS!$D$9,"HUMANIZACION EN EL SERVICIO DE LA SALUD Y BUENAS PRACTICAS EN PACIENTE ",IF(O81=CURSOS!$D$10,"CLINICA DE HERIDAS ",IF(O81=CURSOS!$D$11,"TOMA DE CITOLOGIA CERVICO VAGINAL ",IF(O81=CURSOS!$D$12,"SOPORTE CARDIOVASCULAR AVANZADO (ACLS) ",IF(O81=CURSOS!$D$13,"CAMILLERO ",IF(O81=CURSOS!$D$14,"TOMA DE MUESTRAS Y LABORATORIO ",IF(O81=CURSOS!$D$15,"SOPORTE VITAL BASICO (BLS)",IF(O81=CURSOS!$D$16,"ATENCION A VICTIMAS DE VIOLENCIA SEXUAL ",IF(O81=CURSOS!$D$17,"PROGRAMADO AMPLIADO DE INMUNIZACION (PAI - COVID 19)",IF(O81=CURSOS!$D$18,"ATENCION INTEGRAL EN ENFERMEDADES PREVALENTES EN PRIMERA INFANCIA (AIEPI)",IF(O81=CURSOS!$D$19,"ADMINISTRACION DE MEDICAMENTOS, INYECTOLOGIA  Y CANALIZACION ",IF(O81=CURSOS!$D$20,"OPERADOR DE VEHICULOS DE EMERGENCIA (OVE)",IF(O81=CURSOS!$D$21,"INSTITUCIONES AMIGAS DE LA MUJER Y LA INFANCIA (IAMI)",IF(O81=CURSOS!$D$22,"CUIDADO DEL DONANTE DE ORGANOS",IF(O81=CURSOS!$D$23,"ATENCION A VICTIMAS POR VIOLENCIA DE GENERO",IF(O81=CURSOS!$D$24,"IGUALDAD DE GENERO EN LA SALUD",IF(O81=CURSOS!$D$25,"BRIGADA DE EMERGENCIA",IF(O81=CURSOS!$D$26,"MANEJO DEL DOLOR Y CUIDADOS PALIATIVOS",IF(O81=CURSOS!$D$27,"TOMA DE MUESTRAS Y LABORATORIO POCT",IF(O81=CURSOS!$D$28,"IMPLANTE SUBDERMICO DE DISPOSITIVO INTRAUTERINO",IF(O81=CURSOS!$D$29,"SALUD MENTAL",IF(O81=CURSOS!$D$30,"PRIMEROS AUXILIOS PSICOLOGICOS",IF(O81=CURSOS!$D$31,"ATENCION A VICTIMAS POR CONFLICTO ARMADO",IF(O81=CURSOS!$D$32,"MANIPULACION DE ALIMENTOS Y BPM",IF(O81=CURSOS!$D$33,"ATENCION A PERSONAS CON DISCAPACIDAD",IF(O81=CURSOS!$D$34,"CUIDADO INTEGRAL DEL PACIENTE ADULTO",IF(O81=CURSOS!$D$35,"MANEJO DEFENSIVO",IF(O81=CURSOS!$D$36,"SOPORTE CARDIOVASCULAR AVANZADO NEONATAL",IF(O81=CURSOS!$D$37,"SEGURIDAD DEL PACIENTE",IF(O81=CURSOS!$D$38,"MANEJO DE RESIDUOS HOSPITALARIOS"))))))))))))))))))))))))))))))))))))</f>
        <v>ATENCION INTEGRAL EN ENFERMEDADES PREVALENTES EN PRIMERA INFANCIA (AIEPI)</v>
      </c>
      <c r="V81" s="47" t="str">
        <f t="shared" si="6"/>
        <v>Daira Yadira Rosero Códoba</v>
      </c>
      <c r="W81" s="47" t="str">
        <f t="shared" si="7"/>
        <v>Daira Yadira Rosero Códoba</v>
      </c>
      <c r="X81" s="47" t="str">
        <f t="shared" si="8"/>
        <v>Daira Yadira Rosero Códoba-1088731913-AIEPI</v>
      </c>
    </row>
    <row r="82" spans="1:25" x14ac:dyDescent="0.2">
      <c r="A82" s="46">
        <v>81</v>
      </c>
      <c r="B82" s="54">
        <v>1088731913</v>
      </c>
      <c r="C82" s="54" t="s">
        <v>130</v>
      </c>
      <c r="D82" s="54" t="s">
        <v>246</v>
      </c>
      <c r="E82" s="54" t="s">
        <v>247</v>
      </c>
      <c r="F82" s="54" t="s">
        <v>248</v>
      </c>
      <c r="G82" s="54">
        <v>1</v>
      </c>
      <c r="H82" s="54" t="s">
        <v>100</v>
      </c>
      <c r="I82" s="55" t="s">
        <v>146</v>
      </c>
      <c r="J82" s="56">
        <v>45605</v>
      </c>
      <c r="K82" s="108">
        <v>16000</v>
      </c>
      <c r="L82" s="54" t="s">
        <v>235</v>
      </c>
      <c r="M82" s="54" t="s">
        <v>80</v>
      </c>
      <c r="N82" s="54" t="s">
        <v>159</v>
      </c>
      <c r="O82" s="43" t="s">
        <v>23</v>
      </c>
      <c r="P82" s="55">
        <v>32498</v>
      </c>
      <c r="Q82" s="54" t="s">
        <v>89</v>
      </c>
      <c r="R82" s="57" t="s">
        <v>208</v>
      </c>
      <c r="S82" s="57">
        <v>3232391166</v>
      </c>
      <c r="T82" s="54" t="s">
        <v>249</v>
      </c>
      <c r="U82" s="47" t="str">
        <f>IF(O82=CURSOS!$D$3,"DIPLOMADO EN ATENCION PRE-HOSPITALARIA",IF(O82=CURSOS!$D$4,"ACOMPAÑAMIENTO Y MANEJO DEL DUELO",IF(O82=CURSOS!$D$5,"ATENCION A VICTIMAS DE ATAQUE CON AGENTES QUIMICOS ",IF(O82=CURSOS!$D$6,"PRIMEROS AUXILIOS ",IF(O82=CURSOS!$D$7,"DIPLOMADO DE UNIDAD DE CUIDADOS INTENSIVOS (UCI)",IF(O82=CURSOS!$D$8,"MODELO DE ATENCION PARA EVENTOS EMERGENTES EN SALUD MENTAL (CODIGO VERDE)",IF(O82=CURSOS!$D$9,"HUMANIZACION EN EL SERVICIO DE LA SALUD Y BUENAS PRACTICAS EN PACIENTE ",IF(O82=CURSOS!$D$10,"CLINICA DE HERIDAS ",IF(O82=CURSOS!$D$11,"TOMA DE CITOLOGIA CERVICO VAGINAL ",IF(O82=CURSOS!$D$12,"SOPORTE CARDIOVASCULAR AVANZADO (ACLS) ",IF(O82=CURSOS!$D$13,"CAMILLERO ",IF(O82=CURSOS!$D$14,"TOMA DE MUESTRAS Y LABORATORIO ",IF(O82=CURSOS!$D$15,"SOPORTE VITAL BASICO (BLS)",IF(O82=CURSOS!$D$16,"ATENCION A VICTIMAS DE VIOLENCIA SEXUAL ",IF(O82=CURSOS!$D$17,"PROGRAMADO AMPLIADO DE INMUNIZACION (PAI - COVID 19)",IF(O82=CURSOS!$D$18,"ATENCION INTEGRAL EN ENFERMEDADES PREVALENTES EN PRIMERA INFANCIA (AIEPI)",IF(O82=CURSOS!$D$19,"ADMINISTRACION DE MEDICAMENTOS, INYECTOLOGIA  Y CANALIZACION ",IF(O82=CURSOS!$D$20,"OPERADOR DE VEHICULOS DE EMERGENCIA (OVE)",IF(O82=CURSOS!$D$21,"INSTITUCIONES AMIGAS DE LA MUJER Y LA INFANCIA (IAMI)",IF(O82=CURSOS!$D$22,"CUIDADO DEL DONANTE DE ORGANOS",IF(O82=CURSOS!$D$23,"ATENCION A VICTIMAS POR VIOLENCIA DE GENERO",IF(O82=CURSOS!$D$24,"IGUALDAD DE GENERO EN LA SALUD",IF(O82=CURSOS!$D$25,"BRIGADA DE EMERGENCIA",IF(O82=CURSOS!$D$26,"MANEJO DEL DOLOR Y CUIDADOS PALIATIVOS",IF(O82=CURSOS!$D$27,"TOMA DE MUESTRAS Y LABORATORIO POCT",IF(O82=CURSOS!$D$28,"IMPLANTE SUBDERMICO DE DISPOSITIVO INTRAUTERINO",IF(O82=CURSOS!$D$29,"SALUD MENTAL",IF(O82=CURSOS!$D$30,"PRIMEROS AUXILIOS PSICOLOGICOS",IF(O82=CURSOS!$D$31,"ATENCION A VICTIMAS POR CONFLICTO ARMADO",IF(O82=CURSOS!$D$32,"MANIPULACION DE ALIMENTOS Y BPM",IF(O82=CURSOS!$D$33,"ATENCION A PERSONAS CON DISCAPACIDAD",IF(O82=CURSOS!$D$34,"CUIDADO INTEGRAL DEL PACIENTE ADULTO",IF(O82=CURSOS!$D$35,"MANEJO DEFENSIVO",IF(O82=CURSOS!$D$36,"SOPORTE CARDIOVASCULAR AVANZADO NEONATAL",IF(O82=CURSOS!$D$37,"SEGURIDAD DEL PACIENTE",IF(O82=CURSOS!$D$38,"MANEJO DE RESIDUOS HOSPITALARIOS"))))))))))))))))))))))))))))))))))))</f>
        <v>ACOMPAÑAMIENTO Y MANEJO DEL DUELO</v>
      </c>
      <c r="V82" s="47" t="str">
        <f t="shared" si="6"/>
        <v>Daira Yadira Rosero Códoba</v>
      </c>
      <c r="W82" s="47" t="str">
        <f t="shared" si="7"/>
        <v>Daira Yadira Rosero Códoba</v>
      </c>
      <c r="X82" s="47" t="str">
        <f t="shared" si="8"/>
        <v>Daira Yadira Rosero Códoba-1088731913-DUELO</v>
      </c>
    </row>
    <row r="83" spans="1:25" x14ac:dyDescent="0.2">
      <c r="A83" s="46">
        <v>82</v>
      </c>
      <c r="B83" s="54">
        <v>1088731913</v>
      </c>
      <c r="C83" s="54" t="s">
        <v>130</v>
      </c>
      <c r="D83" s="54" t="s">
        <v>246</v>
      </c>
      <c r="E83" s="54" t="s">
        <v>247</v>
      </c>
      <c r="F83" s="54" t="s">
        <v>248</v>
      </c>
      <c r="G83" s="54">
        <v>5</v>
      </c>
      <c r="H83" s="54" t="s">
        <v>100</v>
      </c>
      <c r="I83" s="55" t="s">
        <v>146</v>
      </c>
      <c r="J83" s="56">
        <v>45605</v>
      </c>
      <c r="K83" s="108">
        <v>28000</v>
      </c>
      <c r="L83" s="43" t="s">
        <v>235</v>
      </c>
      <c r="M83" s="54" t="s">
        <v>80</v>
      </c>
      <c r="N83" s="54" t="s">
        <v>159</v>
      </c>
      <c r="O83" s="66" t="s">
        <v>32</v>
      </c>
      <c r="P83" s="55">
        <v>32498</v>
      </c>
      <c r="Q83" s="54" t="s">
        <v>89</v>
      </c>
      <c r="R83" s="57" t="s">
        <v>208</v>
      </c>
      <c r="S83" s="57">
        <v>3232391166</v>
      </c>
      <c r="T83" s="54" t="s">
        <v>249</v>
      </c>
      <c r="U83" s="47" t="str">
        <f>IF(O83=CURSOS!$D$3,"DIPLOMADO EN ATENCION PRE-HOSPITALARIA",IF(O83=CURSOS!$D$4,"ACOMPAÑAMIENTO Y MANEJO DEL DUELO",IF(O83=CURSOS!$D$5,"ATENCION A VICTIMAS DE ATAQUE CON AGENTES QUIMICOS ",IF(O83=CURSOS!$D$6,"PRIMEROS AUXILIOS ",IF(O83=CURSOS!$D$7,"DIPLOMADO DE UNIDAD DE CUIDADOS INTENSIVOS (UCI)",IF(O83=CURSOS!$D$8,"MODELO DE ATENCION PARA EVENTOS EMERGENTES EN SALUD MENTAL (CODIGO VERDE)",IF(O83=CURSOS!$D$9,"HUMANIZACION EN EL SERVICIO DE LA SALUD Y BUENAS PRACTICAS EN PACIENTE ",IF(O83=CURSOS!$D$10,"CLINICA DE HERIDAS ",IF(O83=CURSOS!$D$11,"TOMA DE CITOLOGIA CERVICO VAGINAL ",IF(O83=CURSOS!$D$12,"SOPORTE CARDIOVASCULAR AVANZADO (ACLS) ",IF(O83=CURSOS!$D$13,"CAMILLERO ",IF(O83=CURSOS!$D$14,"TOMA DE MUESTRAS Y LABORATORIO ",IF(O83=CURSOS!$D$15,"SOPORTE VITAL BASICO (BLS)",IF(O83=CURSOS!$D$16,"ATENCION A VICTIMAS DE VIOLENCIA SEXUAL ",IF(O83=CURSOS!$D$17,"PROGRAMADO AMPLIADO DE INMUNIZACION (PAI - COVID 19)",IF(O83=CURSOS!$D$18,"ATENCION INTEGRAL EN ENFERMEDADES PREVALENTES EN PRIMERA INFANCIA (AIEPI)",IF(O83=CURSOS!$D$19,"ADMINISTRACION DE MEDICAMENTOS, INYECTOLOGIA  Y CANALIZACION ",IF(O83=CURSOS!$D$20,"OPERADOR DE VEHICULOS DE EMERGENCIA (OVE)",IF(O83=CURSOS!$D$21,"INSTITUCIONES AMIGAS DE LA MUJER Y LA INFANCIA (IAMI)",IF(O83=CURSOS!$D$22,"CUIDADO DEL DONANTE DE ORGANOS",IF(O83=CURSOS!$D$23,"ATENCION A VICTIMAS POR VIOLENCIA DE GENERO",IF(O83=CURSOS!$D$24,"IGUALDAD DE GENERO EN LA SALUD",IF(O83=CURSOS!$D$25,"BRIGADA DE EMERGENCIA",IF(O83=CURSOS!$D$26,"MANEJO DEL DOLOR Y CUIDADOS PALIATIVOS",IF(O83=CURSOS!$D$27,"TOMA DE MUESTRAS Y LABORATORIO POCT",IF(O83=CURSOS!$D$28,"IMPLANTE SUBDERMICO DE DISPOSITIVO INTRAUTERINO",IF(O83=CURSOS!$D$29,"SALUD MENTAL",IF(O83=CURSOS!$D$30,"PRIMEROS AUXILIOS PSICOLOGICOS",IF(O83=CURSOS!$D$31,"ATENCION A VICTIMAS POR CONFLICTO ARMADO",IF(O83=CURSOS!$D$32,"MANIPULACION DE ALIMENTOS Y BPM",IF(O83=CURSOS!$D$33,"ATENCION A PERSONAS CON DISCAPACIDAD",IF(O83=CURSOS!$D$34,"CUIDADO INTEGRAL DEL PACIENTE ADULTO",IF(O83=CURSOS!$D$35,"MANEJO DEFENSIVO",IF(O83=CURSOS!$D$36,"SOPORTE CARDIOVASCULAR AVANZADO NEONATAL",IF(O83=CURSOS!$D$37,"SEGURIDAD DEL PACIENTE",IF(O83=CURSOS!$D$38,"MANEJO DE RESIDUOS HOSPITALARIOS"))))))))))))))))))))))))))))))))))))</f>
        <v xml:space="preserve">HUMANIZACION EN EL SERVICIO DE LA SALUD Y BUENAS PRACTICAS EN PACIENTE </v>
      </c>
      <c r="V83" s="47" t="str">
        <f t="shared" si="6"/>
        <v>Daira Yadira Rosero Códoba</v>
      </c>
      <c r="W83" s="47" t="str">
        <f t="shared" si="7"/>
        <v>Daira Yadira Rosero Códoba</v>
      </c>
      <c r="X83" s="47" t="str">
        <f t="shared" si="8"/>
        <v>Daira Yadira Rosero Códoba-1088731913-HUMANIZACION</v>
      </c>
    </row>
    <row r="84" spans="1:25" x14ac:dyDescent="0.2">
      <c r="A84" s="46">
        <v>83</v>
      </c>
      <c r="B84" s="54">
        <v>1088737462</v>
      </c>
      <c r="C84" s="54" t="s">
        <v>200</v>
      </c>
      <c r="D84" s="54" t="s">
        <v>201</v>
      </c>
      <c r="E84" s="54" t="s">
        <v>202</v>
      </c>
      <c r="F84" s="54" t="s">
        <v>203</v>
      </c>
      <c r="G84" s="54">
        <v>1</v>
      </c>
      <c r="H84" s="54" t="s">
        <v>100</v>
      </c>
      <c r="I84" s="55" t="s">
        <v>146</v>
      </c>
      <c r="J84" s="56">
        <v>45604</v>
      </c>
      <c r="K84" s="108">
        <v>28000</v>
      </c>
      <c r="L84" s="54" t="s">
        <v>235</v>
      </c>
      <c r="M84" s="54" t="s">
        <v>80</v>
      </c>
      <c r="N84" s="54" t="s">
        <v>159</v>
      </c>
      <c r="O84" s="66" t="s">
        <v>23</v>
      </c>
      <c r="P84" s="43"/>
      <c r="Q84" s="54" t="s">
        <v>89</v>
      </c>
      <c r="R84" s="54" t="s">
        <v>189</v>
      </c>
      <c r="S84" s="54">
        <v>3225460268</v>
      </c>
      <c r="T84" s="57" t="s">
        <v>204</v>
      </c>
      <c r="U84" s="47" t="str">
        <f>IF(O84=CURSOS!$D$3,"DIPLOMADO EN ATENCION PRE-HOSPITALARIA",IF(O84=CURSOS!$D$4,"ACOMPAÑAMIENTO Y MANEJO DEL DUELO",IF(O84=CURSOS!$D$5,"ATENCION A VICTIMAS DE ATAQUE CON AGENTES QUIMICOS ",IF(O84=CURSOS!$D$6,"PRIMEROS AUXILIOS ",IF(O84=CURSOS!$D$7,"DIPLOMADO DE UNIDAD DE CUIDADOS INTENSIVOS (UCI)",IF(O84=CURSOS!$D$8,"MODELO DE ATENCION PARA EVENTOS EMERGENTES EN SALUD MENTAL (CODIGO VERDE)",IF(O84=CURSOS!$D$9,"HUMANIZACION EN EL SERVICIO DE LA SALUD Y BUENAS PRACTICAS EN PACIENTE ",IF(O84=CURSOS!$D$10,"CLINICA DE HERIDAS ",IF(O84=CURSOS!$D$11,"TOMA DE CITOLOGIA CERVICO VAGINAL ",IF(O84=CURSOS!$D$12,"SOPORTE CARDIOVASCULAR AVANZADO (ACLS) ",IF(O84=CURSOS!$D$13,"CAMILLERO ",IF(O84=CURSOS!$D$14,"TOMA DE MUESTRAS Y LABORATORIO ",IF(O84=CURSOS!$D$15,"SOPORTE VITAL BASICO (BLS)",IF(O84=CURSOS!$D$16,"ATENCION A VICTIMAS DE VIOLENCIA SEXUAL ",IF(O84=CURSOS!$D$17,"PROGRAMADO AMPLIADO DE INMUNIZACION (PAI - COVID 19)",IF(O84=CURSOS!$D$18,"ATENCION INTEGRAL EN ENFERMEDADES PREVALENTES EN PRIMERA INFANCIA (AIEPI)",IF(O84=CURSOS!$D$19,"ADMINISTRACION DE MEDICAMENTOS, INYECTOLOGIA  Y CANALIZACION ",IF(O84=CURSOS!$D$20,"OPERADOR DE VEHICULOS DE EMERGENCIA (OVE)",IF(O84=CURSOS!$D$21,"INSTITUCIONES AMIGAS DE LA MUJER Y LA INFANCIA (IAMI)",IF(O84=CURSOS!$D$22,"CUIDADO DEL DONANTE DE ORGANOS",IF(O84=CURSOS!$D$23,"ATENCION A VICTIMAS POR VIOLENCIA DE GENERO",IF(O84=CURSOS!$D$24,"IGUALDAD DE GENERO EN LA SALUD",IF(O84=CURSOS!$D$25,"BRIGADA DE EMERGENCIA",IF(O84=CURSOS!$D$26,"MANEJO DEL DOLOR Y CUIDADOS PALIATIVOS",IF(O84=CURSOS!$D$27,"TOMA DE MUESTRAS Y LABORATORIO POCT",IF(O84=CURSOS!$D$28,"IMPLANTE SUBDERMICO DE DISPOSITIVO INTRAUTERINO",IF(O84=CURSOS!$D$29,"SALUD MENTAL",IF(O84=CURSOS!$D$30,"PRIMEROS AUXILIOS PSICOLOGICOS",IF(O84=CURSOS!$D$31,"ATENCION A VICTIMAS POR CONFLICTO ARMADO",IF(O84=CURSOS!$D$32,"MANIPULACION DE ALIMENTOS Y BPM",IF(O84=CURSOS!$D$33,"ATENCION A PERSONAS CON DISCAPACIDAD",IF(O84=CURSOS!$D$34,"CUIDADO INTEGRAL DEL PACIENTE ADULTO",IF(O84=CURSOS!$D$35,"MANEJO DEFENSIVO",IF(O84=CURSOS!$D$36,"SOPORTE CARDIOVASCULAR AVANZADO NEONATAL",IF(O84=CURSOS!$D$37,"SEGURIDAD DEL PACIENTE",IF(O84=CURSOS!$D$38,"MANEJO DE RESIDUOS HOSPITALARIOS"))))))))))))))))))))))))))))))))))))</f>
        <v>ACOMPAÑAMIENTO Y MANEJO DEL DUELO</v>
      </c>
      <c r="V84" s="47" t="str">
        <f t="shared" si="6"/>
        <v>Johana Madeleiner Toro Córdoba</v>
      </c>
      <c r="W84" s="47" t="str">
        <f t="shared" si="7"/>
        <v>Johana Madeleiner Toro Córdoba</v>
      </c>
      <c r="X84" s="47" t="str">
        <f t="shared" si="8"/>
        <v>Johana Madeleiner Toro Córdoba-1088737462-DUELO</v>
      </c>
    </row>
    <row r="85" spans="1:25" x14ac:dyDescent="0.2">
      <c r="A85" s="46">
        <v>84</v>
      </c>
      <c r="B85" s="54">
        <v>1061798009</v>
      </c>
      <c r="C85" s="54" t="s">
        <v>250</v>
      </c>
      <c r="D85" s="54" t="s">
        <v>251</v>
      </c>
      <c r="E85" s="54" t="s">
        <v>252</v>
      </c>
      <c r="F85" s="54" t="s">
        <v>253</v>
      </c>
      <c r="G85" s="54">
        <v>7</v>
      </c>
      <c r="H85" s="54" t="s">
        <v>100</v>
      </c>
      <c r="I85" s="55" t="s">
        <v>146</v>
      </c>
      <c r="J85" s="56">
        <v>45604</v>
      </c>
      <c r="K85" s="108">
        <v>28000</v>
      </c>
      <c r="L85" s="54" t="s">
        <v>235</v>
      </c>
      <c r="M85" s="54" t="s">
        <v>80</v>
      </c>
      <c r="N85" s="54" t="s">
        <v>159</v>
      </c>
      <c r="O85" s="66" t="s">
        <v>42</v>
      </c>
      <c r="P85" s="55">
        <v>35466</v>
      </c>
      <c r="Q85" s="55" t="s">
        <v>89</v>
      </c>
      <c r="R85" s="67" t="s">
        <v>255</v>
      </c>
      <c r="S85" s="57">
        <v>3113516189</v>
      </c>
      <c r="T85" s="54" t="s">
        <v>254</v>
      </c>
      <c r="U85" s="47" t="str">
        <f>IF(O85=CURSOS!$D$3,"DIPLOMADO EN ATENCION PRE-HOSPITALARIA",IF(O85=CURSOS!$D$4,"ACOMPAÑAMIENTO Y MANEJO DEL DUELO",IF(O85=CURSOS!$D$5,"ATENCION A VICTIMAS DE ATAQUE CON AGENTES QUIMICOS ",IF(O85=CURSOS!$D$6,"PRIMEROS AUXILIOS ",IF(O85=CURSOS!$D$7,"DIPLOMADO DE UNIDAD DE CUIDADOS INTENSIVOS (UCI)",IF(O85=CURSOS!$D$8,"MODELO DE ATENCION PARA EVENTOS EMERGENTES EN SALUD MENTAL (CODIGO VERDE)",IF(O85=CURSOS!$D$9,"HUMANIZACION EN EL SERVICIO DE LA SALUD Y BUENAS PRACTICAS EN PACIENTE ",IF(O85=CURSOS!$D$10,"CLINICA DE HERIDAS ",IF(O85=CURSOS!$D$11,"TOMA DE CITOLOGIA CERVICO VAGINAL ",IF(O85=CURSOS!$D$12,"SOPORTE CARDIOVASCULAR AVANZADO (ACLS) ",IF(O85=CURSOS!$D$13,"CAMILLERO ",IF(O85=CURSOS!$D$14,"TOMA DE MUESTRAS Y LABORATORIO ",IF(O85=CURSOS!$D$15,"SOPORTE VITAL BASICO (BLS)",IF(O85=CURSOS!$D$16,"ATENCION A VICTIMAS DE VIOLENCIA SEXUAL ",IF(O85=CURSOS!$D$17,"PROGRAMADO AMPLIADO DE INMUNIZACION (PAI - COVID 19)",IF(O85=CURSOS!$D$18,"ATENCION INTEGRAL EN ENFERMEDADES PREVALENTES EN PRIMERA INFANCIA (AIEPI)",IF(O85=CURSOS!$D$19,"ADMINISTRACION DE MEDICAMENTOS, INYECTOLOGIA  Y CANALIZACION ",IF(O85=CURSOS!$D$20,"OPERADOR DE VEHICULOS DE EMERGENCIA (OVE)",IF(O85=CURSOS!$D$21,"INSTITUCIONES AMIGAS DE LA MUJER Y LA INFANCIA (IAMI)",IF(O85=CURSOS!$D$22,"CUIDADO DEL DONANTE DE ORGANOS",IF(O85=CURSOS!$D$23,"ATENCION A VICTIMAS POR VIOLENCIA DE GENERO",IF(O85=CURSOS!$D$24,"IGUALDAD DE GENERO EN LA SALUD",IF(O85=CURSOS!$D$25,"BRIGADA DE EMERGENCIA",IF(O85=CURSOS!$D$26,"MANEJO DEL DOLOR Y CUIDADOS PALIATIVOS",IF(O85=CURSOS!$D$27,"TOMA DE MUESTRAS Y LABORATORIO POCT",IF(O85=CURSOS!$D$28,"IMPLANTE SUBDERMICO DE DISPOSITIVO INTRAUTERINO",IF(O85=CURSOS!$D$29,"SALUD MENTAL",IF(O85=CURSOS!$D$30,"PRIMEROS AUXILIOS PSICOLOGICOS",IF(O85=CURSOS!$D$31,"ATENCION A VICTIMAS POR CONFLICTO ARMADO",IF(O85=CURSOS!$D$32,"MANIPULACION DE ALIMENTOS Y BPM",IF(O85=CURSOS!$D$33,"ATENCION A PERSONAS CON DISCAPACIDAD",IF(O85=CURSOS!$D$34,"CUIDADO INTEGRAL DEL PACIENTE ADULTO",IF(O85=CURSOS!$D$35,"MANEJO DEFENSIVO",IF(O85=CURSOS!$D$36,"SOPORTE CARDIOVASCULAR AVANZADO NEONATAL",IF(O85=CURSOS!$D$37,"SEGURIDAD DEL PACIENTE",IF(O85=CURSOS!$D$38,"MANEJO DE RESIDUOS HOSPITALARIOS"))))))))))))))))))))))))))))))))))))</f>
        <v xml:space="preserve">ATENCION A VICTIMAS DE VIOLENCIA SEXUAL </v>
      </c>
      <c r="V85" s="47" t="str">
        <f t="shared" si="6"/>
        <v>Audyn Brigiethe Paja Chavaco</v>
      </c>
      <c r="W85" s="47" t="str">
        <f t="shared" si="7"/>
        <v>Audyn Brigiethe Paja Chavaco</v>
      </c>
      <c r="X85" s="47" t="str">
        <f t="shared" si="8"/>
        <v>Audyn Brigiethe Paja Chavaco-1061798009-VIOLENCIA SEXUAL</v>
      </c>
    </row>
    <row r="86" spans="1:25" x14ac:dyDescent="0.2">
      <c r="A86" s="46">
        <v>85</v>
      </c>
      <c r="B86" s="54">
        <v>1004695565</v>
      </c>
      <c r="C86" s="54" t="s">
        <v>256</v>
      </c>
      <c r="D86" s="54" t="s">
        <v>257</v>
      </c>
      <c r="E86" s="54" t="s">
        <v>258</v>
      </c>
      <c r="F86" s="54" t="s">
        <v>259</v>
      </c>
      <c r="G86" s="54">
        <v>7</v>
      </c>
      <c r="H86" s="54" t="s">
        <v>100</v>
      </c>
      <c r="I86" s="55" t="s">
        <v>146</v>
      </c>
      <c r="J86" s="56">
        <v>45604</v>
      </c>
      <c r="K86" s="108">
        <v>28000</v>
      </c>
      <c r="L86" s="54" t="s">
        <v>235</v>
      </c>
      <c r="M86" s="54" t="s">
        <v>80</v>
      </c>
      <c r="N86" s="54" t="s">
        <v>159</v>
      </c>
      <c r="O86" s="66" t="s">
        <v>42</v>
      </c>
      <c r="P86" s="55">
        <v>34479</v>
      </c>
      <c r="Q86" s="55" t="s">
        <v>89</v>
      </c>
      <c r="R86" s="67" t="s">
        <v>189</v>
      </c>
      <c r="S86" s="57">
        <v>3104274398</v>
      </c>
      <c r="T86" s="54" t="s">
        <v>260</v>
      </c>
      <c r="U86" s="47" t="str">
        <f>IF(O86=CURSOS!$D$3,"DIPLOMADO EN ATENCION PRE-HOSPITALARIA",IF(O86=CURSOS!$D$4,"ACOMPAÑAMIENTO Y MANEJO DEL DUELO",IF(O86=CURSOS!$D$5,"ATENCION A VICTIMAS DE ATAQUE CON AGENTES QUIMICOS ",IF(O86=CURSOS!$D$6,"PRIMEROS AUXILIOS ",IF(O86=CURSOS!$D$7,"DIPLOMADO DE UNIDAD DE CUIDADOS INTENSIVOS (UCI)",IF(O86=CURSOS!$D$8,"MODELO DE ATENCION PARA EVENTOS EMERGENTES EN SALUD MENTAL (CODIGO VERDE)",IF(O86=CURSOS!$D$9,"HUMANIZACION EN EL SERVICIO DE LA SALUD Y BUENAS PRACTICAS EN PACIENTE ",IF(O86=CURSOS!$D$10,"CLINICA DE HERIDAS ",IF(O86=CURSOS!$D$11,"TOMA DE CITOLOGIA CERVICO VAGINAL ",IF(O86=CURSOS!$D$12,"SOPORTE CARDIOVASCULAR AVANZADO (ACLS) ",IF(O86=CURSOS!$D$13,"CAMILLERO ",IF(O86=CURSOS!$D$14,"TOMA DE MUESTRAS Y LABORATORIO ",IF(O86=CURSOS!$D$15,"SOPORTE VITAL BASICO (BLS)",IF(O86=CURSOS!$D$16,"ATENCION A VICTIMAS DE VIOLENCIA SEXUAL ",IF(O86=CURSOS!$D$17,"PROGRAMADO AMPLIADO DE INMUNIZACION (PAI - COVID 19)",IF(O86=CURSOS!$D$18,"ATENCION INTEGRAL EN ENFERMEDADES PREVALENTES EN PRIMERA INFANCIA (AIEPI)",IF(O86=CURSOS!$D$19,"ADMINISTRACION DE MEDICAMENTOS, INYECTOLOGIA  Y CANALIZACION ",IF(O86=CURSOS!$D$20,"OPERADOR DE VEHICULOS DE EMERGENCIA (OVE)",IF(O86=CURSOS!$D$21,"INSTITUCIONES AMIGAS DE LA MUJER Y LA INFANCIA (IAMI)",IF(O86=CURSOS!$D$22,"CUIDADO DEL DONANTE DE ORGANOS",IF(O86=CURSOS!$D$23,"ATENCION A VICTIMAS POR VIOLENCIA DE GENERO",IF(O86=CURSOS!$D$24,"IGUALDAD DE GENERO EN LA SALUD",IF(O86=CURSOS!$D$25,"BRIGADA DE EMERGENCIA",IF(O86=CURSOS!$D$26,"MANEJO DEL DOLOR Y CUIDADOS PALIATIVOS",IF(O86=CURSOS!$D$27,"TOMA DE MUESTRAS Y LABORATORIO POCT",IF(O86=CURSOS!$D$28,"IMPLANTE SUBDERMICO DE DISPOSITIVO INTRAUTERINO",IF(O86=CURSOS!$D$29,"SALUD MENTAL",IF(O86=CURSOS!$D$30,"PRIMEROS AUXILIOS PSICOLOGICOS",IF(O86=CURSOS!$D$31,"ATENCION A VICTIMAS POR CONFLICTO ARMADO",IF(O86=CURSOS!$D$32,"MANIPULACION DE ALIMENTOS Y BPM",IF(O86=CURSOS!$D$33,"ATENCION A PERSONAS CON DISCAPACIDAD",IF(O86=CURSOS!$D$34,"CUIDADO INTEGRAL DEL PACIENTE ADULTO",IF(O86=CURSOS!$D$35,"MANEJO DEFENSIVO",IF(O86=CURSOS!$D$36,"SOPORTE CARDIOVASCULAR AVANZADO NEONATAL",IF(O86=CURSOS!$D$37,"SEGURIDAD DEL PACIENTE",IF(O86=CURSOS!$D$38,"MANEJO DE RESIDUOS HOSPITALARIOS"))))))))))))))))))))))))))))))))))))</f>
        <v xml:space="preserve">ATENCION A VICTIMAS DE VIOLENCIA SEXUAL </v>
      </c>
      <c r="V86" s="47" t="str">
        <f t="shared" si="6"/>
        <v>María Cielo Torres Patiño</v>
      </c>
      <c r="W86" s="47" t="str">
        <f t="shared" si="7"/>
        <v>María Cielo Torres Patiño</v>
      </c>
      <c r="X86" s="47" t="str">
        <f t="shared" si="8"/>
        <v>María Cielo Torres Patiño-1004695565-VIOLENCIA SEXUAL</v>
      </c>
    </row>
    <row r="87" spans="1:25" x14ac:dyDescent="0.2">
      <c r="A87" s="46">
        <v>86</v>
      </c>
      <c r="B87" s="54">
        <v>1004695565</v>
      </c>
      <c r="C87" s="54" t="s">
        <v>256</v>
      </c>
      <c r="D87" s="54" t="s">
        <v>257</v>
      </c>
      <c r="E87" s="54" t="s">
        <v>258</v>
      </c>
      <c r="F87" s="54" t="s">
        <v>259</v>
      </c>
      <c r="G87" s="54">
        <v>8</v>
      </c>
      <c r="H87" s="54" t="s">
        <v>100</v>
      </c>
      <c r="I87" s="55" t="s">
        <v>146</v>
      </c>
      <c r="J87" s="56">
        <v>45604</v>
      </c>
      <c r="K87" s="108">
        <v>28000</v>
      </c>
      <c r="L87" s="54" t="s">
        <v>235</v>
      </c>
      <c r="M87" s="54" t="s">
        <v>80</v>
      </c>
      <c r="N87" s="68" t="s">
        <v>159</v>
      </c>
      <c r="O87" s="66" t="s">
        <v>32</v>
      </c>
      <c r="P87" s="55">
        <v>34479</v>
      </c>
      <c r="Q87" s="55" t="s">
        <v>89</v>
      </c>
      <c r="R87" s="67" t="s">
        <v>189</v>
      </c>
      <c r="S87" s="57">
        <v>3104274398</v>
      </c>
      <c r="T87" s="54" t="s">
        <v>260</v>
      </c>
      <c r="U87" s="47" t="str">
        <f>IF(O87=CURSOS!$D$3,"DIPLOMADO EN ATENCION PRE-HOSPITALARIA",IF(O87=CURSOS!$D$4,"ACOMPAÑAMIENTO Y MANEJO DEL DUELO",IF(O87=CURSOS!$D$5,"ATENCION A VICTIMAS DE ATAQUE CON AGENTES QUIMICOS ",IF(O87=CURSOS!$D$6,"PRIMEROS AUXILIOS ",IF(O87=CURSOS!$D$7,"DIPLOMADO DE UNIDAD DE CUIDADOS INTENSIVOS (UCI)",IF(O87=CURSOS!$D$8,"MODELO DE ATENCION PARA EVENTOS EMERGENTES EN SALUD MENTAL (CODIGO VERDE)",IF(O87=CURSOS!$D$9,"HUMANIZACION EN EL SERVICIO DE LA SALUD Y BUENAS PRACTICAS EN PACIENTE ",IF(O87=CURSOS!$D$10,"CLINICA DE HERIDAS ",IF(O87=CURSOS!$D$11,"TOMA DE CITOLOGIA CERVICO VAGINAL ",IF(O87=CURSOS!$D$12,"SOPORTE CARDIOVASCULAR AVANZADO (ACLS) ",IF(O87=CURSOS!$D$13,"CAMILLERO ",IF(O87=CURSOS!$D$14,"TOMA DE MUESTRAS Y LABORATORIO ",IF(O87=CURSOS!$D$15,"SOPORTE VITAL BASICO (BLS)",IF(O87=CURSOS!$D$16,"ATENCION A VICTIMAS DE VIOLENCIA SEXUAL ",IF(O87=CURSOS!$D$17,"PROGRAMADO AMPLIADO DE INMUNIZACION (PAI - COVID 19)",IF(O87=CURSOS!$D$18,"ATENCION INTEGRAL EN ENFERMEDADES PREVALENTES EN PRIMERA INFANCIA (AIEPI)",IF(O87=CURSOS!$D$19,"ADMINISTRACION DE MEDICAMENTOS, INYECTOLOGIA  Y CANALIZACION ",IF(O87=CURSOS!$D$20,"OPERADOR DE VEHICULOS DE EMERGENCIA (OVE)",IF(O87=CURSOS!$D$21,"INSTITUCIONES AMIGAS DE LA MUJER Y LA INFANCIA (IAMI)",IF(O87=CURSOS!$D$22,"CUIDADO DEL DONANTE DE ORGANOS",IF(O87=CURSOS!$D$23,"ATENCION A VICTIMAS POR VIOLENCIA DE GENERO",IF(O87=CURSOS!$D$24,"IGUALDAD DE GENERO EN LA SALUD",IF(O87=CURSOS!$D$25,"BRIGADA DE EMERGENCIA",IF(O87=CURSOS!$D$26,"MANEJO DEL DOLOR Y CUIDADOS PALIATIVOS",IF(O87=CURSOS!$D$27,"TOMA DE MUESTRAS Y LABORATORIO POCT",IF(O87=CURSOS!$D$28,"IMPLANTE SUBDERMICO DE DISPOSITIVO INTRAUTERINO",IF(O87=CURSOS!$D$29,"SALUD MENTAL",IF(O87=CURSOS!$D$30,"PRIMEROS AUXILIOS PSICOLOGICOS",IF(O87=CURSOS!$D$31,"ATENCION A VICTIMAS POR CONFLICTO ARMADO",IF(O87=CURSOS!$D$32,"MANIPULACION DE ALIMENTOS Y BPM",IF(O87=CURSOS!$D$33,"ATENCION A PERSONAS CON DISCAPACIDAD",IF(O87=CURSOS!$D$34,"CUIDADO INTEGRAL DEL PACIENTE ADULTO",IF(O87=CURSOS!$D$35,"MANEJO DEFENSIVO",IF(O87=CURSOS!$D$36,"SOPORTE CARDIOVASCULAR AVANZADO NEONATAL",IF(O87=CURSOS!$D$37,"SEGURIDAD DEL PACIENTE",IF(O87=CURSOS!$D$38,"MANEJO DE RESIDUOS HOSPITALARIOS"))))))))))))))))))))))))))))))))))))</f>
        <v xml:space="preserve">HUMANIZACION EN EL SERVICIO DE LA SALUD Y BUENAS PRACTICAS EN PACIENTE </v>
      </c>
      <c r="V87" s="47" t="str">
        <f t="shared" si="6"/>
        <v>María Cielo Torres Patiño</v>
      </c>
      <c r="W87" s="47" t="str">
        <f t="shared" si="7"/>
        <v>María Cielo Torres Patiño</v>
      </c>
      <c r="X87" s="47" t="str">
        <f t="shared" si="8"/>
        <v>María Cielo Torres Patiño-1004695565-HUMANIZACION</v>
      </c>
    </row>
    <row r="88" spans="1:25" x14ac:dyDescent="0.2">
      <c r="A88" s="46">
        <v>87</v>
      </c>
      <c r="B88" s="54">
        <v>1085688829</v>
      </c>
      <c r="C88" s="54" t="s">
        <v>261</v>
      </c>
      <c r="D88" s="54" t="s">
        <v>113</v>
      </c>
      <c r="E88" s="54" t="s">
        <v>262</v>
      </c>
      <c r="F88" s="54" t="s">
        <v>263</v>
      </c>
      <c r="G88" s="54">
        <v>8</v>
      </c>
      <c r="H88" s="54" t="s">
        <v>100</v>
      </c>
      <c r="I88" s="55" t="s">
        <v>146</v>
      </c>
      <c r="J88" s="56">
        <v>45604</v>
      </c>
      <c r="K88" s="108">
        <v>28000</v>
      </c>
      <c r="L88" s="54" t="s">
        <v>235</v>
      </c>
      <c r="M88" s="54" t="s">
        <v>80</v>
      </c>
      <c r="N88" s="68" t="s">
        <v>159</v>
      </c>
      <c r="O88" s="66" t="s">
        <v>23</v>
      </c>
      <c r="P88" s="55">
        <v>33690</v>
      </c>
      <c r="Q88" s="55" t="s">
        <v>89</v>
      </c>
      <c r="R88" s="43" t="s">
        <v>285</v>
      </c>
      <c r="S88" s="57">
        <v>3044075528</v>
      </c>
      <c r="T88" s="67" t="s">
        <v>264</v>
      </c>
      <c r="U88" s="47" t="str">
        <f>IF(O88=CURSOS!$D$3,"DIPLOMADO EN ATENCION PRE-HOSPITALARIA",IF(O88=CURSOS!$D$4,"ACOMPAÑAMIENTO Y MANEJO DEL DUELO",IF(O88=CURSOS!$D$5,"ATENCION A VICTIMAS DE ATAQUE CON AGENTES QUIMICOS ",IF(O88=CURSOS!$D$6,"PRIMEROS AUXILIOS ",IF(O88=CURSOS!$D$7,"DIPLOMADO DE UNIDAD DE CUIDADOS INTENSIVOS (UCI)",IF(O88=CURSOS!$D$8,"MODELO DE ATENCION PARA EVENTOS EMERGENTES EN SALUD MENTAL (CODIGO VERDE)",IF(O88=CURSOS!$D$9,"HUMANIZACION EN EL SERVICIO DE LA SALUD Y BUENAS PRACTICAS EN PACIENTE ",IF(O88=CURSOS!$D$10,"CLINICA DE HERIDAS ",IF(O88=CURSOS!$D$11,"TOMA DE CITOLOGIA CERVICO VAGINAL ",IF(O88=CURSOS!$D$12,"SOPORTE CARDIOVASCULAR AVANZADO (ACLS) ",IF(O88=CURSOS!$D$13,"CAMILLERO ",IF(O88=CURSOS!$D$14,"TOMA DE MUESTRAS Y LABORATORIO ",IF(O88=CURSOS!$D$15,"SOPORTE VITAL BASICO (BLS)",IF(O88=CURSOS!$D$16,"ATENCION A VICTIMAS DE VIOLENCIA SEXUAL ",IF(O88=CURSOS!$D$17,"PROGRAMADO AMPLIADO DE INMUNIZACION (PAI - COVID 19)",IF(O88=CURSOS!$D$18,"ATENCION INTEGRAL EN ENFERMEDADES PREVALENTES EN PRIMERA INFANCIA (AIEPI)",IF(O88=CURSOS!$D$19,"ADMINISTRACION DE MEDICAMENTOS, INYECTOLOGIA  Y CANALIZACION ",IF(O88=CURSOS!$D$20,"OPERADOR DE VEHICULOS DE EMERGENCIA (OVE)",IF(O88=CURSOS!$D$21,"INSTITUCIONES AMIGAS DE LA MUJER Y LA INFANCIA (IAMI)",IF(O88=CURSOS!$D$22,"CUIDADO DEL DONANTE DE ORGANOS",IF(O88=CURSOS!$D$23,"ATENCION A VICTIMAS POR VIOLENCIA DE GENERO",IF(O88=CURSOS!$D$24,"IGUALDAD DE GENERO EN LA SALUD",IF(O88=CURSOS!$D$25,"BRIGADA DE EMERGENCIA",IF(O88=CURSOS!$D$26,"MANEJO DEL DOLOR Y CUIDADOS PALIATIVOS",IF(O88=CURSOS!$D$27,"TOMA DE MUESTRAS Y LABORATORIO POCT",IF(O88=CURSOS!$D$28,"IMPLANTE SUBDERMICO DE DISPOSITIVO INTRAUTERINO",IF(O88=CURSOS!$D$29,"SALUD MENTAL",IF(O88=CURSOS!$D$30,"PRIMEROS AUXILIOS PSICOLOGICOS",IF(O88=CURSOS!$D$31,"ATENCION A VICTIMAS POR CONFLICTO ARMADO",IF(O88=CURSOS!$D$32,"MANIPULACION DE ALIMENTOS Y BPM",IF(O88=CURSOS!$D$33,"ATENCION A PERSONAS CON DISCAPACIDAD",IF(O88=CURSOS!$D$34,"CUIDADO INTEGRAL DEL PACIENTE ADULTO",IF(O88=CURSOS!$D$35,"MANEJO DEFENSIVO",IF(O88=CURSOS!$D$36,"SOPORTE CARDIOVASCULAR AVANZADO NEONATAL",IF(O88=CURSOS!$D$37,"SEGURIDAD DEL PACIENTE",IF(O88=CURSOS!$D$38,"MANEJO DE RESIDUOS HOSPITALARIOS"))))))))))))))))))))))))))))))))))))</f>
        <v>ACOMPAÑAMIENTO Y MANEJO DEL DUELO</v>
      </c>
      <c r="V88" s="47" t="str">
        <f t="shared" si="6"/>
        <v>Dalila Rosio Daza Calvache</v>
      </c>
      <c r="W88" s="47" t="str">
        <f t="shared" si="7"/>
        <v>Dalila Rosio Daza Calvache</v>
      </c>
      <c r="X88" s="47" t="str">
        <f t="shared" si="8"/>
        <v>Dalila Rosio Daza Calvache-1085688829-DUELO</v>
      </c>
    </row>
    <row r="89" spans="1:25" x14ac:dyDescent="0.2">
      <c r="A89" s="46">
        <v>88</v>
      </c>
      <c r="B89" s="60">
        <v>1085688829</v>
      </c>
      <c r="C89" s="60" t="s">
        <v>261</v>
      </c>
      <c r="D89" s="60" t="s">
        <v>113</v>
      </c>
      <c r="E89" s="60" t="s">
        <v>262</v>
      </c>
      <c r="F89" s="60" t="s">
        <v>263</v>
      </c>
      <c r="G89" s="60">
        <v>7</v>
      </c>
      <c r="H89" s="60" t="s">
        <v>100</v>
      </c>
      <c r="I89" s="61" t="s">
        <v>146</v>
      </c>
      <c r="J89" s="56">
        <v>45604</v>
      </c>
      <c r="K89" s="108">
        <v>28000</v>
      </c>
      <c r="L89" s="54" t="s">
        <v>235</v>
      </c>
      <c r="M89" s="60" t="s">
        <v>80</v>
      </c>
      <c r="N89" s="69" t="s">
        <v>159</v>
      </c>
      <c r="O89" s="62" t="s">
        <v>25</v>
      </c>
      <c r="P89" s="61">
        <v>33690</v>
      </c>
      <c r="Q89" s="61" t="s">
        <v>89</v>
      </c>
      <c r="R89" s="62" t="s">
        <v>285</v>
      </c>
      <c r="S89" s="63">
        <v>3044075528</v>
      </c>
      <c r="T89" s="70" t="s">
        <v>264</v>
      </c>
      <c r="U89" s="64" t="str">
        <f>IF(O89=CURSOS!$D$3,"DIPLOMADO EN ATENCION PRE-HOSPITALARIA",IF(O89=CURSOS!$D$4,"ACOMPAÑAMIENTO Y MANEJO DEL DUELO",IF(O89=CURSOS!$D$5,"ATENCION A VICTIMAS DE ATAQUE CON AGENTES QUIMICOS ",IF(O89=CURSOS!$D$6,"PRIMEROS AUXILIOS ",IF(O89=CURSOS!$D$7,"DIPLOMADO DE UNIDAD DE CUIDADOS INTENSIVOS (UCI)",IF(O89=CURSOS!$D$8,"MODELO DE ATENCION PARA EVENTOS EMERGENTES EN SALUD MENTAL (CODIGO VERDE)",IF(O89=CURSOS!$D$9,"HUMANIZACION EN EL SERVICIO DE LA SALUD Y BUENAS PRACTICAS EN PACIENTE ",IF(O89=CURSOS!$D$10,"CLINICA DE HERIDAS ",IF(O89=CURSOS!$D$11,"TOMA DE CITOLOGIA CERVICO VAGINAL ",IF(O89=CURSOS!$D$12,"SOPORTE CARDIOVASCULAR AVANZADO (ACLS) ",IF(O89=CURSOS!$D$13,"CAMILLERO ",IF(O89=CURSOS!$D$14,"TOMA DE MUESTRAS Y LABORATORIO ",IF(O89=CURSOS!$D$15,"SOPORTE VITAL BASICO (BLS)",IF(O89=CURSOS!$D$16,"ATENCION A VICTIMAS DE VIOLENCIA SEXUAL ",IF(O89=CURSOS!$D$17,"PROGRAMADO AMPLIADO DE INMUNIZACION (PAI - COVID 19)",IF(O89=CURSOS!$D$18,"ATENCION INTEGRAL EN ENFERMEDADES PREVALENTES EN PRIMERA INFANCIA (AIEPI)",IF(O89=CURSOS!$D$19,"ADMINISTRACION DE MEDICAMENTOS, INYECTOLOGIA  Y CANALIZACION ",IF(O89=CURSOS!$D$20,"OPERADOR DE VEHICULOS DE EMERGENCIA (OVE)",IF(O89=CURSOS!$D$21,"INSTITUCIONES AMIGAS DE LA MUJER Y LA INFANCIA (IAMI)",IF(O89=CURSOS!$D$22,"CUIDADO DEL DONANTE DE ORGANOS",IF(O89=CURSOS!$D$23,"ATENCION A VICTIMAS POR VIOLENCIA DE GENERO",IF(O89=CURSOS!$D$24,"IGUALDAD DE GENERO EN LA SALUD",IF(O89=CURSOS!$D$25,"BRIGADA DE EMERGENCIA",IF(O89=CURSOS!$D$26,"MANEJO DEL DOLOR Y CUIDADOS PALIATIVOS",IF(O89=CURSOS!$D$27,"TOMA DE MUESTRAS Y LABORATORIO POCT",IF(O89=CURSOS!$D$28,"IMPLANTE SUBDERMICO DE DISPOSITIVO INTRAUTERINO",IF(O89=CURSOS!$D$29,"SALUD MENTAL",IF(O89=CURSOS!$D$30,"PRIMEROS AUXILIOS PSICOLOGICOS",IF(O89=CURSOS!$D$31,"ATENCION A VICTIMAS POR CONFLICTO ARMADO",IF(O89=CURSOS!$D$32,"MANIPULACION DE ALIMENTOS Y BPM",IF(O89=CURSOS!$D$33,"ATENCION A PERSONAS CON DISCAPACIDAD",IF(O89=CURSOS!$D$34,"CUIDADO INTEGRAL DEL PACIENTE ADULTO",IF(O89=CURSOS!$D$35,"MANEJO DEFENSIVO",IF(O89=CURSOS!$D$36,"SOPORTE CARDIOVASCULAR AVANZADO NEONATAL",IF(O89=CURSOS!$D$37,"SEGURIDAD DEL PACIENTE",IF(O89=CURSOS!$D$38,"MANEJO DE RESIDUOS HOSPITALARIOS"))))))))))))))))))))))))))))))))))))</f>
        <v xml:space="preserve">ATENCION A VICTIMAS DE ATAQUE CON AGENTES QUIMICOS </v>
      </c>
      <c r="V89" s="64" t="str">
        <f t="shared" si="6"/>
        <v>Dalila Rosio Daza Calvache</v>
      </c>
      <c r="W89" s="64" t="str">
        <f t="shared" si="7"/>
        <v>Dalila Rosio Daza Calvache</v>
      </c>
      <c r="X89" s="64" t="str">
        <f t="shared" si="8"/>
        <v>Dalila Rosio Daza Calvache-1085688829-QUIMICOS</v>
      </c>
    </row>
    <row r="90" spans="1:25" s="58" customFormat="1" x14ac:dyDescent="0.2">
      <c r="A90" s="46">
        <v>89</v>
      </c>
      <c r="B90" s="54">
        <v>1085688829</v>
      </c>
      <c r="C90" s="54" t="s">
        <v>261</v>
      </c>
      <c r="D90" s="54" t="s">
        <v>113</v>
      </c>
      <c r="E90" s="54" t="s">
        <v>262</v>
      </c>
      <c r="F90" s="54" t="s">
        <v>263</v>
      </c>
      <c r="G90" s="54">
        <v>7</v>
      </c>
      <c r="H90" s="54" t="s">
        <v>100</v>
      </c>
      <c r="I90" s="55" t="s">
        <v>146</v>
      </c>
      <c r="J90" s="56">
        <v>45604</v>
      </c>
      <c r="K90" s="108">
        <v>28000</v>
      </c>
      <c r="L90" s="54" t="s">
        <v>235</v>
      </c>
      <c r="M90" s="54" t="s">
        <v>80</v>
      </c>
      <c r="N90" s="68" t="s">
        <v>159</v>
      </c>
      <c r="O90" s="43" t="s">
        <v>42</v>
      </c>
      <c r="P90" s="55">
        <v>33690</v>
      </c>
      <c r="Q90" s="55" t="s">
        <v>89</v>
      </c>
      <c r="R90" s="43" t="s">
        <v>285</v>
      </c>
      <c r="S90" s="57">
        <v>3044075528</v>
      </c>
      <c r="T90" s="67" t="s">
        <v>264</v>
      </c>
      <c r="U90" s="47" t="str">
        <f>IF(O90=CURSOS!$D$3,"DIPLOMADO EN ATENCION PRE-HOSPITALARIA",IF(O90=CURSOS!$D$4,"ACOMPAÑAMIENTO Y MANEJO DEL DUELO",IF(O90=CURSOS!$D$5,"ATENCION A VICTIMAS DE ATAQUE CON AGENTES QUIMICOS ",IF(O90=CURSOS!$D$6,"PRIMEROS AUXILIOS ",IF(O90=CURSOS!$D$7,"DIPLOMADO DE UNIDAD DE CUIDADOS INTENSIVOS (UCI)",IF(O90=CURSOS!$D$8,"MODELO DE ATENCION PARA EVENTOS EMERGENTES EN SALUD MENTAL (CODIGO VERDE)",IF(O90=CURSOS!$D$9,"HUMANIZACION EN EL SERVICIO DE LA SALUD Y BUENAS PRACTICAS EN PACIENTE ",IF(O90=CURSOS!$D$10,"CLINICA DE HERIDAS ",IF(O90=CURSOS!$D$11,"TOMA DE CITOLOGIA CERVICO VAGINAL ",IF(O90=CURSOS!$D$12,"SOPORTE CARDIOVASCULAR AVANZADO (ACLS) ",IF(O90=CURSOS!$D$13,"CAMILLERO ",IF(O90=CURSOS!$D$14,"TOMA DE MUESTRAS Y LABORATORIO ",IF(O90=CURSOS!$D$15,"SOPORTE VITAL BASICO (BLS)",IF(O90=CURSOS!$D$16,"ATENCION A VICTIMAS DE VIOLENCIA SEXUAL ",IF(O90=CURSOS!$D$17,"PROGRAMADO AMPLIADO DE INMUNIZACION (PAI - COVID 19)",IF(O90=CURSOS!$D$18,"ATENCION INTEGRAL EN ENFERMEDADES PREVALENTES EN PRIMERA INFANCIA (AIEPI)",IF(O90=CURSOS!$D$19,"ADMINISTRACION DE MEDICAMENTOS, INYECTOLOGIA  Y CANALIZACION ",IF(O90=CURSOS!$D$20,"OPERADOR DE VEHICULOS DE EMERGENCIA (OVE)",IF(O90=CURSOS!$D$21,"INSTITUCIONES AMIGAS DE LA MUJER Y LA INFANCIA (IAMI)",IF(O90=CURSOS!$D$22,"CUIDADO DEL DONANTE DE ORGANOS",IF(O90=CURSOS!$D$23,"ATENCION A VICTIMAS POR VIOLENCIA DE GENERO",IF(O90=CURSOS!$D$24,"IGUALDAD DE GENERO EN LA SALUD",IF(O90=CURSOS!$D$25,"BRIGADA DE EMERGENCIA",IF(O90=CURSOS!$D$26,"MANEJO DEL DOLOR Y CUIDADOS PALIATIVOS",IF(O90=CURSOS!$D$27,"TOMA DE MUESTRAS Y LABORATORIO POCT",IF(O90=CURSOS!$D$28,"IMPLANTE SUBDERMICO DE DISPOSITIVO INTRAUTERINO",IF(O90=CURSOS!$D$29,"SALUD MENTAL",IF(O90=CURSOS!$D$30,"PRIMEROS AUXILIOS PSICOLOGICOS",IF(O90=CURSOS!$D$31,"ATENCION A VICTIMAS POR CONFLICTO ARMADO",IF(O90=CURSOS!$D$32,"MANIPULACION DE ALIMENTOS Y BPM",IF(O90=CURSOS!$D$33,"ATENCION A PERSONAS CON DISCAPACIDAD",IF(O90=CURSOS!$D$34,"CUIDADO INTEGRAL DEL PACIENTE ADULTO",IF(O90=CURSOS!$D$35,"MANEJO DEFENSIVO",IF(O90=CURSOS!$D$36,"SOPORTE CARDIOVASCULAR AVANZADO NEONATAL",IF(O90=CURSOS!$D$37,"SEGURIDAD DEL PACIENTE",IF(O90=CURSOS!$D$38,"MANEJO DE RESIDUOS HOSPITALARIOS"))))))))))))))))))))))))))))))))))))</f>
        <v xml:space="preserve">ATENCION A VICTIMAS DE VIOLENCIA SEXUAL </v>
      </c>
      <c r="V90" s="47" t="str">
        <f t="shared" si="6"/>
        <v>Dalila Rosio Daza Calvache</v>
      </c>
      <c r="W90" s="47" t="str">
        <f t="shared" si="7"/>
        <v>Dalila Rosio Daza Calvache</v>
      </c>
      <c r="X90" s="47" t="str">
        <f t="shared" si="8"/>
        <v>Dalila Rosio Daza Calvache-1085688829-VIOLENCIA SEXUAL</v>
      </c>
    </row>
    <row r="91" spans="1:25" s="71" customFormat="1" x14ac:dyDescent="0.2">
      <c r="A91" s="96">
        <v>90</v>
      </c>
      <c r="B91" s="97">
        <v>1085259246</v>
      </c>
      <c r="C91" s="97" t="s">
        <v>266</v>
      </c>
      <c r="D91" s="97" t="s">
        <v>267</v>
      </c>
      <c r="E91" s="97" t="s">
        <v>268</v>
      </c>
      <c r="F91" s="97" t="s">
        <v>269</v>
      </c>
      <c r="G91" s="97">
        <v>9</v>
      </c>
      <c r="H91" s="97" t="s">
        <v>100</v>
      </c>
      <c r="I91" s="98" t="s">
        <v>92</v>
      </c>
      <c r="J91" s="99"/>
      <c r="K91" s="109"/>
      <c r="L91" s="97"/>
      <c r="M91" s="97" t="s">
        <v>80</v>
      </c>
      <c r="N91" s="100" t="s">
        <v>265</v>
      </c>
      <c r="O91" s="101" t="s">
        <v>42</v>
      </c>
      <c r="P91" s="98"/>
      <c r="Q91" s="97" t="s">
        <v>89</v>
      </c>
      <c r="R91" s="97"/>
      <c r="S91" s="97">
        <v>3165798118</v>
      </c>
      <c r="T91" s="97" t="s">
        <v>277</v>
      </c>
      <c r="U91" s="47" t="str">
        <f>IF(O91=CURSOS!$D$3,"DIPLOMADO EN ATENCION PRE-HOSPITALARIA",IF(O91=CURSOS!$D$4,"ACOMPAÑAMIENTO Y MANEJO DEL DUELO",IF(O91=CURSOS!$D$5,"ATENCION A VICTIMAS DE ATAQUE CON AGENTES QUIMICOS ",IF(O91=CURSOS!$D$6,"PRIMEROS AUXILIOS ",IF(O91=CURSOS!$D$7,"DIPLOMADO DE UNIDAD DE CUIDADOS INTENSIVOS (UCI)",IF(O91=CURSOS!$D$8,"MODELO DE ATENCION PARA EVENTOS EMERGENTES EN SALUD MENTAL (CODIGO VERDE)",IF(O91=CURSOS!$D$9,"HUMANIZACION EN EL SERVICIO DE LA SALUD Y BUENAS PRACTICAS EN PACIENTE ",IF(O91=CURSOS!$D$10,"CLINICA DE HERIDAS ",IF(O91=CURSOS!$D$11,"TOMA DE CITOLOGIA CERVICO VAGINAL ",IF(O91=CURSOS!$D$12,"SOPORTE CARDIOVASCULAR AVANZADO (ACLS) ",IF(O91=CURSOS!$D$13,"CAMILLERO ",IF(O91=CURSOS!$D$14,"TOMA DE MUESTRAS Y LABORATORIO ",IF(O91=CURSOS!$D$15,"SOPORTE VITAL BASICO (BLS)",IF(O91=CURSOS!$D$16,"ATENCION A VICTIMAS DE VIOLENCIA SEXUAL ",IF(O91=CURSOS!$D$17,"PROGRAMADO AMPLIADO DE INMUNIZACION (PAI - COVID 19)",IF(O91=CURSOS!$D$18,"ATENCION INTEGRAL EN ENFERMEDADES PREVALENTES EN PRIMERA INFANCIA (AIEPI)",IF(O91=CURSOS!$D$19,"ADMINISTRACION DE MEDICAMENTOS, INYECTOLOGIA  Y CANALIZACION ",IF(O91=CURSOS!$D$20,"OPERADOR DE VEHICULOS DE EMERGENCIA (OVE)",IF(O91=CURSOS!$D$21,"INSTITUCIONES AMIGAS DE LA MUJER Y LA INFANCIA (IAMI)",IF(O91=CURSOS!$D$22,"CUIDADO DEL DONANTE DE ORGANOS",IF(O91=CURSOS!$D$23,"ATENCION A VICTIMAS POR VIOLENCIA DE GENERO",IF(O91=CURSOS!$D$24,"IGUALDAD DE GENERO EN LA SALUD",IF(O91=CURSOS!$D$25,"BRIGADA DE EMERGENCIA",IF(O91=CURSOS!$D$26,"MANEJO DEL DOLOR Y CUIDADOS PALIATIVOS",IF(O91=CURSOS!$D$27,"TOMA DE MUESTRAS Y LABORATORIO POCT",IF(O91=CURSOS!$D$28,"IMPLANTE SUBDERMICO DE DISPOSITIVO INTRAUTERINO",IF(O91=CURSOS!$D$29,"SALUD MENTAL",IF(O91=CURSOS!$D$30,"PRIMEROS AUXILIOS PSICOLOGICOS",IF(O91=CURSOS!$D$31,"ATENCION A VICTIMAS POR CONFLICTO ARMADO",IF(O91=CURSOS!$D$32,"MANIPULACION DE ALIMENTOS Y BPM",IF(O91=CURSOS!$D$33,"ATENCION A PERSONAS CON DISCAPACIDAD",IF(O91=CURSOS!$D$34,"CUIDADO INTEGRAL DEL PACIENTE ADULTO",IF(O91=CURSOS!$D$35,"MANEJO DEFENSIVO",IF(O91=CURSOS!$D$36,"SOPORTE CARDIOVASCULAR AVANZADO NEONATAL",IF(O91=CURSOS!$D$37,"SEGURIDAD DEL PACIENTE",IF(O91=CURSOS!$D$38,"MANEJO DE RESIDUOS HOSPITALARIOS"))))))))))))))))))))))))))))))))))))</f>
        <v xml:space="preserve">ATENCION A VICTIMAS DE VIOLENCIA SEXUAL </v>
      </c>
      <c r="V91" s="47" t="str">
        <f t="shared" si="6"/>
        <v>Oranci Regina Perez Guerrero</v>
      </c>
      <c r="W91" s="47" t="str">
        <f t="shared" si="7"/>
        <v>Oranci Regina Perez Guerrero</v>
      </c>
      <c r="X91" s="47" t="str">
        <f t="shared" si="8"/>
        <v>Oranci Regina Perez Guerrero-1085259246-VIOLENCIA SEXUAL</v>
      </c>
    </row>
    <row r="92" spans="1:25" s="71" customFormat="1" x14ac:dyDescent="0.2">
      <c r="A92" s="46">
        <v>91</v>
      </c>
      <c r="B92" s="54">
        <v>1020716205</v>
      </c>
      <c r="C92" s="54" t="s">
        <v>271</v>
      </c>
      <c r="D92" s="54" t="s">
        <v>272</v>
      </c>
      <c r="E92" s="54" t="s">
        <v>231</v>
      </c>
      <c r="F92" s="54" t="s">
        <v>273</v>
      </c>
      <c r="G92" s="54">
        <v>9</v>
      </c>
      <c r="H92" s="54" t="s">
        <v>100</v>
      </c>
      <c r="I92" s="55" t="s">
        <v>92</v>
      </c>
      <c r="J92" s="56">
        <v>45602</v>
      </c>
      <c r="K92" s="108">
        <v>50000</v>
      </c>
      <c r="L92" s="54" t="s">
        <v>139</v>
      </c>
      <c r="M92" s="54" t="s">
        <v>80</v>
      </c>
      <c r="N92" s="68" t="s">
        <v>265</v>
      </c>
      <c r="O92" s="43" t="s">
        <v>42</v>
      </c>
      <c r="P92" s="55"/>
      <c r="Q92" s="54" t="s">
        <v>89</v>
      </c>
      <c r="R92" s="54"/>
      <c r="S92" s="54">
        <v>3152081727</v>
      </c>
      <c r="T92" s="54" t="s">
        <v>278</v>
      </c>
      <c r="U92" s="47" t="str">
        <f>IF(O92=CURSOS!$D$3,"DIPLOMADO EN ATENCION PRE-HOSPITALARIA",IF(O92=CURSOS!$D$4,"ACOMPAÑAMIENTO Y MANEJO DEL DUELO",IF(O92=CURSOS!$D$5,"ATENCION A VICTIMAS DE ATAQUE CON AGENTES QUIMICOS ",IF(O92=CURSOS!$D$6,"PRIMEROS AUXILIOS ",IF(O92=CURSOS!$D$7,"DIPLOMADO DE UNIDAD DE CUIDADOS INTENSIVOS (UCI)",IF(O92=CURSOS!$D$8,"MODELO DE ATENCION PARA EVENTOS EMERGENTES EN SALUD MENTAL (CODIGO VERDE)",IF(O92=CURSOS!$D$9,"HUMANIZACION EN EL SERVICIO DE LA SALUD Y BUENAS PRACTICAS EN PACIENTE ",IF(O92=CURSOS!$D$10,"CLINICA DE HERIDAS ",IF(O92=CURSOS!$D$11,"TOMA DE CITOLOGIA CERVICO VAGINAL ",IF(O92=CURSOS!$D$12,"SOPORTE CARDIOVASCULAR AVANZADO (ACLS) ",IF(O92=CURSOS!$D$13,"CAMILLERO ",IF(O92=CURSOS!$D$14,"TOMA DE MUESTRAS Y LABORATORIO ",IF(O92=CURSOS!$D$15,"SOPORTE VITAL BASICO (BLS)",IF(O92=CURSOS!$D$16,"ATENCION A VICTIMAS DE VIOLENCIA SEXUAL ",IF(O92=CURSOS!$D$17,"PROGRAMADO AMPLIADO DE INMUNIZACION (PAI - COVID 19)",IF(O92=CURSOS!$D$18,"ATENCION INTEGRAL EN ENFERMEDADES PREVALENTES EN PRIMERA INFANCIA (AIEPI)",IF(O92=CURSOS!$D$19,"ADMINISTRACION DE MEDICAMENTOS, INYECTOLOGIA  Y CANALIZACION ",IF(O92=CURSOS!$D$20,"OPERADOR DE VEHICULOS DE EMERGENCIA (OVE)",IF(O92=CURSOS!$D$21,"INSTITUCIONES AMIGAS DE LA MUJER Y LA INFANCIA (IAMI)",IF(O92=CURSOS!$D$22,"CUIDADO DEL DONANTE DE ORGANOS",IF(O92=CURSOS!$D$23,"ATENCION A VICTIMAS POR VIOLENCIA DE GENERO",IF(O92=CURSOS!$D$24,"IGUALDAD DE GENERO EN LA SALUD",IF(O92=CURSOS!$D$25,"BRIGADA DE EMERGENCIA",IF(O92=CURSOS!$D$26,"MANEJO DEL DOLOR Y CUIDADOS PALIATIVOS",IF(O92=CURSOS!$D$27,"TOMA DE MUESTRAS Y LABORATORIO POCT",IF(O92=CURSOS!$D$28,"IMPLANTE SUBDERMICO DE DISPOSITIVO INTRAUTERINO",IF(O92=CURSOS!$D$29,"SALUD MENTAL",IF(O92=CURSOS!$D$30,"PRIMEROS AUXILIOS PSICOLOGICOS",IF(O92=CURSOS!$D$31,"ATENCION A VICTIMAS POR CONFLICTO ARMADO",IF(O92=CURSOS!$D$32,"MANIPULACION DE ALIMENTOS Y BPM",IF(O92=CURSOS!$D$33,"ATENCION A PERSONAS CON DISCAPACIDAD",IF(O92=CURSOS!$D$34,"CUIDADO INTEGRAL DEL PACIENTE ADULTO",IF(O92=CURSOS!$D$35,"MANEJO DEFENSIVO",IF(O92=CURSOS!$D$36,"SOPORTE CARDIOVASCULAR AVANZADO NEONATAL",IF(O92=CURSOS!$D$37,"SEGURIDAD DEL PACIENTE",IF(O92=CURSOS!$D$38,"MANEJO DE RESIDUOS HOSPITALARIOS"))))))))))))))))))))))))))))))))))))</f>
        <v xml:space="preserve">ATENCION A VICTIMAS DE VIOLENCIA SEXUAL </v>
      </c>
      <c r="V92" s="47" t="str">
        <f t="shared" si="6"/>
        <v>Aura Esperanza  Fajardo Gonzales</v>
      </c>
      <c r="W92" s="47" t="str">
        <f t="shared" si="7"/>
        <v>Aura Esperanza  Fajardo Gonzales</v>
      </c>
      <c r="X92" s="47" t="str">
        <f t="shared" si="8"/>
        <v>Aura Esperanza  Fajardo Gonzales-1020716205-VIOLENCIA SEXUAL</v>
      </c>
      <c r="Y92" s="72"/>
    </row>
    <row r="93" spans="1:25" s="71" customFormat="1" x14ac:dyDescent="0.2">
      <c r="A93" s="46">
        <v>92</v>
      </c>
      <c r="B93" s="54">
        <v>9872812</v>
      </c>
      <c r="C93" s="54" t="s">
        <v>274</v>
      </c>
      <c r="D93" s="54" t="s">
        <v>275</v>
      </c>
      <c r="E93" s="54" t="s">
        <v>118</v>
      </c>
      <c r="F93" s="54" t="s">
        <v>276</v>
      </c>
      <c r="G93" s="54">
        <v>9</v>
      </c>
      <c r="H93" s="54" t="s">
        <v>100</v>
      </c>
      <c r="I93" s="55" t="s">
        <v>92</v>
      </c>
      <c r="J93" s="56">
        <v>45604</v>
      </c>
      <c r="K93" s="108">
        <v>50000</v>
      </c>
      <c r="L93" s="54" t="s">
        <v>235</v>
      </c>
      <c r="M93" s="54" t="s">
        <v>80</v>
      </c>
      <c r="N93" s="68" t="s">
        <v>265</v>
      </c>
      <c r="O93" s="43" t="s">
        <v>42</v>
      </c>
      <c r="P93" s="55"/>
      <c r="Q93" s="54" t="s">
        <v>148</v>
      </c>
      <c r="R93" s="54"/>
      <c r="S93" s="54">
        <v>3135016383</v>
      </c>
      <c r="T93" s="54" t="s">
        <v>279</v>
      </c>
      <c r="U93" s="47" t="str">
        <f>IF(O93=CURSOS!$D$3,"DIPLOMADO EN ATENCION PRE-HOSPITALARIA",IF(O93=CURSOS!$D$4,"ACOMPAÑAMIENTO Y MANEJO DEL DUELO",IF(O93=CURSOS!$D$5,"ATENCION A VICTIMAS DE ATAQUE CON AGENTES QUIMICOS ",IF(O93=CURSOS!$D$6,"PRIMEROS AUXILIOS ",IF(O93=CURSOS!$D$7,"DIPLOMADO DE UNIDAD DE CUIDADOS INTENSIVOS (UCI)",IF(O93=CURSOS!$D$8,"MODELO DE ATENCION PARA EVENTOS EMERGENTES EN SALUD MENTAL (CODIGO VERDE)",IF(O93=CURSOS!$D$9,"HUMANIZACION EN EL SERVICIO DE LA SALUD Y BUENAS PRACTICAS EN PACIENTE ",IF(O93=CURSOS!$D$10,"CLINICA DE HERIDAS ",IF(O93=CURSOS!$D$11,"TOMA DE CITOLOGIA CERVICO VAGINAL ",IF(O93=CURSOS!$D$12,"SOPORTE CARDIOVASCULAR AVANZADO (ACLS) ",IF(O93=CURSOS!$D$13,"CAMILLERO ",IF(O93=CURSOS!$D$14,"TOMA DE MUESTRAS Y LABORATORIO ",IF(O93=CURSOS!$D$15,"SOPORTE VITAL BASICO (BLS)",IF(O93=CURSOS!$D$16,"ATENCION A VICTIMAS DE VIOLENCIA SEXUAL ",IF(O93=CURSOS!$D$17,"PROGRAMADO AMPLIADO DE INMUNIZACION (PAI - COVID 19)",IF(O93=CURSOS!$D$18,"ATENCION INTEGRAL EN ENFERMEDADES PREVALENTES EN PRIMERA INFANCIA (AIEPI)",IF(O93=CURSOS!$D$19,"ADMINISTRACION DE MEDICAMENTOS, INYECTOLOGIA  Y CANALIZACION ",IF(O93=CURSOS!$D$20,"OPERADOR DE VEHICULOS DE EMERGENCIA (OVE)",IF(O93=CURSOS!$D$21,"INSTITUCIONES AMIGAS DE LA MUJER Y LA INFANCIA (IAMI)",IF(O93=CURSOS!$D$22,"CUIDADO DEL DONANTE DE ORGANOS",IF(O93=CURSOS!$D$23,"ATENCION A VICTIMAS POR VIOLENCIA DE GENERO",IF(O93=CURSOS!$D$24,"IGUALDAD DE GENERO EN LA SALUD",IF(O93=CURSOS!$D$25,"BRIGADA DE EMERGENCIA",IF(O93=CURSOS!$D$26,"MANEJO DEL DOLOR Y CUIDADOS PALIATIVOS",IF(O93=CURSOS!$D$27,"TOMA DE MUESTRAS Y LABORATORIO POCT",IF(O93=CURSOS!$D$28,"IMPLANTE SUBDERMICO DE DISPOSITIVO INTRAUTERINO",IF(O93=CURSOS!$D$29,"SALUD MENTAL",IF(O93=CURSOS!$D$30,"PRIMEROS AUXILIOS PSICOLOGICOS",IF(O93=CURSOS!$D$31,"ATENCION A VICTIMAS POR CONFLICTO ARMADO",IF(O93=CURSOS!$D$32,"MANIPULACION DE ALIMENTOS Y BPM",IF(O93=CURSOS!$D$33,"ATENCION A PERSONAS CON DISCAPACIDAD",IF(O93=CURSOS!$D$34,"CUIDADO INTEGRAL DEL PACIENTE ADULTO",IF(O93=CURSOS!$D$35,"MANEJO DEFENSIVO",IF(O93=CURSOS!$D$36,"SOPORTE CARDIOVASCULAR AVANZADO NEONATAL",IF(O93=CURSOS!$D$37,"SEGURIDAD DEL PACIENTE",IF(O93=CURSOS!$D$38,"MANEJO DE RESIDUOS HOSPITALARIOS"))))))))))))))))))))))))))))))))))))</f>
        <v xml:space="preserve">ATENCION A VICTIMAS DE VIOLENCIA SEXUAL </v>
      </c>
      <c r="V93" s="47" t="str">
        <f t="shared" si="6"/>
        <v>Jose Augusto Pelaez Calvo</v>
      </c>
      <c r="W93" s="47" t="str">
        <f t="shared" si="7"/>
        <v>Jose Augusto Pelaez Calvo</v>
      </c>
      <c r="X93" s="47" t="str">
        <f t="shared" si="8"/>
        <v>Jose Augusto Pelaez Calvo-9872812-VIOLENCIA SEXUAL</v>
      </c>
      <c r="Y93" s="72"/>
    </row>
    <row r="94" spans="1:25" s="50" customFormat="1" x14ac:dyDescent="0.2">
      <c r="A94" s="46">
        <v>93</v>
      </c>
      <c r="B94" s="43">
        <v>1085269667</v>
      </c>
      <c r="C94" s="54" t="s">
        <v>214</v>
      </c>
      <c r="D94" s="54" t="s">
        <v>112</v>
      </c>
      <c r="E94" s="54" t="s">
        <v>117</v>
      </c>
      <c r="F94" s="54" t="s">
        <v>215</v>
      </c>
      <c r="G94" s="54">
        <v>2</v>
      </c>
      <c r="H94" s="54" t="s">
        <v>100</v>
      </c>
      <c r="I94" s="55" t="s">
        <v>146</v>
      </c>
      <c r="J94" s="56">
        <v>45604</v>
      </c>
      <c r="K94" s="108">
        <v>80000</v>
      </c>
      <c r="L94" s="54" t="s">
        <v>235</v>
      </c>
      <c r="M94" s="54" t="s">
        <v>80</v>
      </c>
      <c r="N94" s="54" t="s">
        <v>159</v>
      </c>
      <c r="O94" s="43" t="s">
        <v>37</v>
      </c>
      <c r="P94" s="55">
        <v>32418</v>
      </c>
      <c r="Q94" s="54" t="s">
        <v>148</v>
      </c>
      <c r="R94" s="59" t="s">
        <v>208</v>
      </c>
      <c r="S94" s="54">
        <v>3005746321</v>
      </c>
      <c r="T94" s="54" t="s">
        <v>216</v>
      </c>
      <c r="U94" s="47" t="str">
        <f>IF(O94=CURSOS!$D$3,"DIPLOMADO EN ATENCION PRE-HOSPITALARIA",IF(O94=CURSOS!$D$4,"ACOMPAÑAMIENTO Y MANEJO DEL DUELO",IF(O94=CURSOS!$D$5,"ATENCION A VICTIMAS DE ATAQUE CON AGENTES QUIMICOS ",IF(O94=CURSOS!$D$6,"PRIMEROS AUXILIOS ",IF(O94=CURSOS!$D$7,"DIPLOMADO DE UNIDAD DE CUIDADOS INTENSIVOS (UCI)",IF(O94=CURSOS!$D$8,"MODELO DE ATENCION PARA EVENTOS EMERGENTES EN SALUD MENTAL (CODIGO VERDE)",IF(O94=CURSOS!$D$9,"HUMANIZACION EN EL SERVICIO DE LA SALUD Y BUENAS PRACTICAS EN PACIENTE ",IF(O94=CURSOS!$D$10,"CLINICA DE HERIDAS ",IF(O94=CURSOS!$D$11,"TOMA DE CITOLOGIA CERVICO VAGINAL ",IF(O94=CURSOS!$D$12,"SOPORTE CARDIOVASCULAR AVANZADO (ACLS) ",IF(O94=CURSOS!$D$13,"CAMILLERO ",IF(O94=CURSOS!$D$14,"TOMA DE MUESTRAS Y LABORATORIO ",IF(O94=CURSOS!$D$15,"SOPORTE VITAL BASICO (BLS)",IF(O94=CURSOS!$D$16,"ATENCION A VICTIMAS DE VIOLENCIA SEXUAL ",IF(O94=CURSOS!$D$17,"PROGRAMADO AMPLIADO DE INMUNIZACION (PAI - COVID 19)",IF(O94=CURSOS!$D$18,"ATENCION INTEGRAL EN ENFERMEDADES PREVALENTES EN PRIMERA INFANCIA (AIEPI)",IF(O94=CURSOS!$D$19,"ADMINISTRACION DE MEDICAMENTOS, INYECTOLOGIA  Y CANALIZACION ",IF(O94=CURSOS!$D$20,"OPERADOR DE VEHICULOS DE EMERGENCIA (OVE)",IF(O94=CURSOS!$D$21,"INSTITUCIONES AMIGAS DE LA MUJER Y LA INFANCIA (IAMI)",IF(O94=CURSOS!$D$22,"CUIDADO DEL DONANTE DE ORGANOS",IF(O94=CURSOS!$D$23,"ATENCION A VICTIMAS POR VIOLENCIA DE GENERO",IF(O94=CURSOS!$D$24,"IGUALDAD DE GENERO EN LA SALUD",IF(O94=CURSOS!$D$25,"BRIGADA DE EMERGENCIA",IF(O94=CURSOS!$D$26,"MANEJO DEL DOLOR Y CUIDADOS PALIATIVOS",IF(O94=CURSOS!$D$27,"TOMA DE MUESTRAS Y LABORATORIO POCT",IF(O94=CURSOS!$D$28,"IMPLANTE SUBDERMICO DE DISPOSITIVO INTRAUTERINO",IF(O94=CURSOS!$D$29,"SALUD MENTAL",IF(O94=CURSOS!$D$30,"PRIMEROS AUXILIOS PSICOLOGICOS",IF(O94=CURSOS!$D$31,"ATENCION A VICTIMAS POR CONFLICTO ARMADO",IF(O94=CURSOS!$D$32,"MANIPULACION DE ALIMENTOS Y BPM",IF(O94=CURSOS!$D$33,"ATENCION A PERSONAS CON DISCAPACIDAD",IF(O94=CURSOS!$D$34,"CUIDADO INTEGRAL DEL PACIENTE ADULTO",IF(O94=CURSOS!$D$35,"MANEJO DEFENSIVO",IF(O94=CURSOS!$D$36,"SOPORTE CARDIOVASCULAR AVANZADO NEONATAL",IF(O94=CURSOS!$D$37,"SEGURIDAD DEL PACIENTE",IF(O94=CURSOS!$D$38,"MANEJO DE RESIDUOS HOSPITALARIOS"))))))))))))))))))))))))))))))))))))</f>
        <v xml:space="preserve">SOPORTE CARDIOVASCULAR AVANZADO (ACLS) </v>
      </c>
      <c r="V94" s="47" t="str">
        <f t="shared" si="6"/>
        <v>Juan Camilo Moreno Rodriguez</v>
      </c>
      <c r="W94" s="47" t="str">
        <f t="shared" si="7"/>
        <v>Juan Camilo Moreno Rodriguez</v>
      </c>
      <c r="X94" s="47" t="str">
        <f t="shared" si="8"/>
        <v>Juan Camilo Moreno Rodriguez-1085269667-ACLS</v>
      </c>
    </row>
    <row r="95" spans="1:25" s="50" customFormat="1" x14ac:dyDescent="0.2">
      <c r="A95" s="46">
        <v>94</v>
      </c>
      <c r="B95" s="43">
        <v>1085269667</v>
      </c>
      <c r="C95" s="54" t="s">
        <v>214</v>
      </c>
      <c r="D95" s="54" t="s">
        <v>112</v>
      </c>
      <c r="E95" s="54" t="s">
        <v>117</v>
      </c>
      <c r="F95" s="54" t="s">
        <v>215</v>
      </c>
      <c r="G95" s="54">
        <v>6</v>
      </c>
      <c r="H95" s="54" t="s">
        <v>100</v>
      </c>
      <c r="I95" s="55" t="s">
        <v>146</v>
      </c>
      <c r="J95" s="56">
        <v>45604</v>
      </c>
      <c r="K95" s="108">
        <v>28000</v>
      </c>
      <c r="L95" s="54" t="s">
        <v>235</v>
      </c>
      <c r="M95" s="54" t="s">
        <v>80</v>
      </c>
      <c r="N95" s="54" t="s">
        <v>159</v>
      </c>
      <c r="O95" s="43" t="s">
        <v>44</v>
      </c>
      <c r="P95" s="55">
        <v>32418</v>
      </c>
      <c r="Q95" s="54" t="s">
        <v>148</v>
      </c>
      <c r="R95" s="59" t="s">
        <v>208</v>
      </c>
      <c r="S95" s="54">
        <v>3005746321</v>
      </c>
      <c r="T95" s="54" t="s">
        <v>216</v>
      </c>
      <c r="U95" s="47" t="str">
        <f>IF(O95=CURSOS!$D$3,"DIPLOMADO EN ATENCION PRE-HOSPITALARIA",IF(O95=CURSOS!$D$4,"ACOMPAÑAMIENTO Y MANEJO DEL DUELO",IF(O95=CURSOS!$D$5,"ATENCION A VICTIMAS DE ATAQUE CON AGENTES QUIMICOS ",IF(O95=CURSOS!$D$6,"PRIMEROS AUXILIOS ",IF(O95=CURSOS!$D$7,"DIPLOMADO DE UNIDAD DE CUIDADOS INTENSIVOS (UCI)",IF(O95=CURSOS!$D$8,"MODELO DE ATENCION PARA EVENTOS EMERGENTES EN SALUD MENTAL (CODIGO VERDE)",IF(O95=CURSOS!$D$9,"HUMANIZACION EN EL SERVICIO DE LA SALUD Y BUENAS PRACTICAS EN PACIENTE ",IF(O95=CURSOS!$D$10,"CLINICA DE HERIDAS ",IF(O95=CURSOS!$D$11,"TOMA DE CITOLOGIA CERVICO VAGINAL ",IF(O95=CURSOS!$D$12,"SOPORTE CARDIOVASCULAR AVANZADO (ACLS) ",IF(O95=CURSOS!$D$13,"CAMILLERO ",IF(O95=CURSOS!$D$14,"TOMA DE MUESTRAS Y LABORATORIO ",IF(O95=CURSOS!$D$15,"SOPORTE VITAL BASICO (BLS)",IF(O95=CURSOS!$D$16,"ATENCION A VICTIMAS DE VIOLENCIA SEXUAL ",IF(O95=CURSOS!$D$17,"PROGRAMADO AMPLIADO DE INMUNIZACION (PAI - COVID 19)",IF(O95=CURSOS!$D$18,"ATENCION INTEGRAL EN ENFERMEDADES PREVALENTES EN PRIMERA INFANCIA (AIEPI)",IF(O95=CURSOS!$D$19,"ADMINISTRACION DE MEDICAMENTOS, INYECTOLOGIA  Y CANALIZACION ",IF(O95=CURSOS!$D$20,"OPERADOR DE VEHICULOS DE EMERGENCIA (OVE)",IF(O95=CURSOS!$D$21,"INSTITUCIONES AMIGAS DE LA MUJER Y LA INFANCIA (IAMI)",IF(O95=CURSOS!$D$22,"CUIDADO DEL DONANTE DE ORGANOS",IF(O95=CURSOS!$D$23,"ATENCION A VICTIMAS POR VIOLENCIA DE GENERO",IF(O95=CURSOS!$D$24,"IGUALDAD DE GENERO EN LA SALUD",IF(O95=CURSOS!$D$25,"BRIGADA DE EMERGENCIA",IF(O95=CURSOS!$D$26,"MANEJO DEL DOLOR Y CUIDADOS PALIATIVOS",IF(O95=CURSOS!$D$27,"TOMA DE MUESTRAS Y LABORATORIO POCT",IF(O95=CURSOS!$D$28,"IMPLANTE SUBDERMICO DE DISPOSITIVO INTRAUTERINO",IF(O95=CURSOS!$D$29,"SALUD MENTAL",IF(O95=CURSOS!$D$30,"PRIMEROS AUXILIOS PSICOLOGICOS",IF(O95=CURSOS!$D$31,"ATENCION A VICTIMAS POR CONFLICTO ARMADO",IF(O95=CURSOS!$D$32,"MANIPULACION DE ALIMENTOS Y BPM",IF(O95=CURSOS!$D$33,"ATENCION A PERSONAS CON DISCAPACIDAD",IF(O95=CURSOS!$D$34,"CUIDADO INTEGRAL DEL PACIENTE ADULTO",IF(O95=CURSOS!$D$35,"MANEJO DEFENSIVO",IF(O95=CURSOS!$D$36,"SOPORTE CARDIOVASCULAR AVANZADO NEONATAL",IF(O95=CURSOS!$D$37,"SEGURIDAD DEL PACIENTE",IF(O95=CURSOS!$D$38,"MANEJO DE RESIDUOS HOSPITALARIOS"))))))))))))))))))))))))))))))))))))</f>
        <v>ATENCION INTEGRAL EN ENFERMEDADES PREVALENTES EN PRIMERA INFANCIA (AIEPI)</v>
      </c>
      <c r="V95" s="47" t="str">
        <f t="shared" si="6"/>
        <v>Juan Camilo Moreno Rodriguez</v>
      </c>
      <c r="W95" s="47" t="str">
        <f t="shared" si="7"/>
        <v>Juan Camilo Moreno Rodriguez</v>
      </c>
      <c r="X95" s="47" t="str">
        <f t="shared" si="8"/>
        <v>Juan Camilo Moreno Rodriguez-1085269667-AIEPI</v>
      </c>
    </row>
    <row r="96" spans="1:25" s="50" customFormat="1" x14ac:dyDescent="0.2">
      <c r="A96" s="46">
        <v>95</v>
      </c>
      <c r="B96" s="62">
        <v>1085269667</v>
      </c>
      <c r="C96" s="60" t="s">
        <v>214</v>
      </c>
      <c r="D96" s="60" t="s">
        <v>112</v>
      </c>
      <c r="E96" s="60" t="s">
        <v>117</v>
      </c>
      <c r="F96" s="60" t="s">
        <v>215</v>
      </c>
      <c r="G96" s="60">
        <v>2</v>
      </c>
      <c r="H96" s="60" t="s">
        <v>100</v>
      </c>
      <c r="I96" s="61" t="s">
        <v>146</v>
      </c>
      <c r="J96" s="74">
        <v>45604</v>
      </c>
      <c r="K96" s="110">
        <v>20000</v>
      </c>
      <c r="L96" s="60" t="s">
        <v>235</v>
      </c>
      <c r="M96" s="60" t="s">
        <v>80</v>
      </c>
      <c r="N96" s="60" t="s">
        <v>159</v>
      </c>
      <c r="O96" s="62" t="s">
        <v>19</v>
      </c>
      <c r="P96" s="61">
        <v>32418</v>
      </c>
      <c r="Q96" s="60" t="s">
        <v>148</v>
      </c>
      <c r="R96" s="75" t="s">
        <v>208</v>
      </c>
      <c r="S96" s="60">
        <v>3005746321</v>
      </c>
      <c r="T96" s="60" t="s">
        <v>216</v>
      </c>
      <c r="U96" s="64" t="str">
        <f>IF(O96=CURSOS!$D$3,"DIPLOMADO EN ATENCION PRE-HOSPITALARIA",IF(O96=CURSOS!$D$4,"ACOMPAÑAMIENTO Y MANEJO DEL DUELO",IF(O96=CURSOS!$D$5,"ATENCION A VICTIMAS DE ATAQUE CON AGENTES QUIMICOS ",IF(O96=CURSOS!$D$6,"PRIMEROS AUXILIOS ",IF(O96=CURSOS!$D$7,"DIPLOMADO DE UNIDAD DE CUIDADOS INTENSIVOS (UCI)",IF(O96=CURSOS!$D$8,"MODELO DE ATENCION PARA EVENTOS EMERGENTES EN SALUD MENTAL (CODIGO VERDE)",IF(O96=CURSOS!$D$9,"HUMANIZACION EN EL SERVICIO DE LA SALUD Y BUENAS PRACTICAS EN PACIENTE ",IF(O96=CURSOS!$D$10,"CLINICA DE HERIDAS ",IF(O96=CURSOS!$D$11,"TOMA DE CITOLOGIA CERVICO VAGINAL ",IF(O96=CURSOS!$D$12,"SOPORTE CARDIOVASCULAR AVANZADO (ACLS) ",IF(O96=CURSOS!$D$13,"CAMILLERO ",IF(O96=CURSOS!$D$14,"TOMA DE MUESTRAS Y LABORATORIO ",IF(O96=CURSOS!$D$15,"SOPORTE VITAL BASICO (BLS)",IF(O96=CURSOS!$D$16,"ATENCION A VICTIMAS DE VIOLENCIA SEXUAL ",IF(O96=CURSOS!$D$17,"PROGRAMADO AMPLIADO DE INMUNIZACION (PAI - COVID 19)",IF(O96=CURSOS!$D$18,"ATENCION INTEGRAL EN ENFERMEDADES PREVALENTES EN PRIMERA INFANCIA (AIEPI)",IF(O96=CURSOS!$D$19,"ADMINISTRACION DE MEDICAMENTOS, INYECTOLOGIA  Y CANALIZACION ",IF(O96=CURSOS!$D$20,"OPERADOR DE VEHICULOS DE EMERGENCIA (OVE)",IF(O96=CURSOS!$D$21,"INSTITUCIONES AMIGAS DE LA MUJER Y LA INFANCIA (IAMI)",IF(O96=CURSOS!$D$22,"CUIDADO DEL DONANTE DE ORGANOS",IF(O96=CURSOS!$D$23,"ATENCION A VICTIMAS POR VIOLENCIA DE GENERO",IF(O96=CURSOS!$D$24,"IGUALDAD DE GENERO EN LA SALUD",IF(O96=CURSOS!$D$25,"BRIGADA DE EMERGENCIA",IF(O96=CURSOS!$D$26,"MANEJO DEL DOLOR Y CUIDADOS PALIATIVOS",IF(O96=CURSOS!$D$27,"TOMA DE MUESTRAS Y LABORATORIO POCT",IF(O96=CURSOS!$D$28,"IMPLANTE SUBDERMICO DE DISPOSITIVO INTRAUTERINO",IF(O96=CURSOS!$D$29,"SALUD MENTAL",IF(O96=CURSOS!$D$30,"PRIMEROS AUXILIOS PSICOLOGICOS",IF(O96=CURSOS!$D$31,"ATENCION A VICTIMAS POR CONFLICTO ARMADO",IF(O96=CURSOS!$D$32,"MANIPULACION DE ALIMENTOS Y BPM",IF(O96=CURSOS!$D$33,"ATENCION A PERSONAS CON DISCAPACIDAD",IF(O96=CURSOS!$D$34,"CUIDADO INTEGRAL DEL PACIENTE ADULTO",IF(O96=CURSOS!$D$35,"MANEJO DEFENSIVO",IF(O96=CURSOS!$D$36,"SOPORTE CARDIOVASCULAR AVANZADO NEONATAL",IF(O96=CURSOS!$D$37,"SEGURIDAD DEL PACIENTE",IF(O96=CURSOS!$D$38,"MANEJO DE RESIDUOS HOSPITALARIOS"))))))))))))))))))))))))))))))))))))</f>
        <v>SOPORTE VITAL BASICO (BLS)</v>
      </c>
      <c r="V96" s="64" t="str">
        <f t="shared" si="6"/>
        <v>Juan Camilo Moreno Rodriguez</v>
      </c>
      <c r="W96" s="64" t="str">
        <f t="shared" si="7"/>
        <v>Juan Camilo Moreno Rodriguez</v>
      </c>
      <c r="X96" s="64" t="str">
        <f t="shared" si="8"/>
        <v>Juan Camilo Moreno Rodriguez-1085269667-BLS</v>
      </c>
    </row>
    <row r="97" spans="1:24" s="71" customFormat="1" x14ac:dyDescent="0.2">
      <c r="A97" s="46">
        <v>96</v>
      </c>
      <c r="B97" s="54">
        <v>1003149827</v>
      </c>
      <c r="C97" s="54" t="s">
        <v>280</v>
      </c>
      <c r="D97" s="54" t="s">
        <v>281</v>
      </c>
      <c r="E97" s="54" t="s">
        <v>282</v>
      </c>
      <c r="F97" s="54" t="s">
        <v>283</v>
      </c>
      <c r="G97" s="54">
        <v>7</v>
      </c>
      <c r="H97" s="54" t="s">
        <v>100</v>
      </c>
      <c r="I97" s="55" t="s">
        <v>146</v>
      </c>
      <c r="J97" s="56">
        <v>45604</v>
      </c>
      <c r="K97" s="108">
        <v>28000</v>
      </c>
      <c r="L97" s="54" t="s">
        <v>235</v>
      </c>
      <c r="M97" s="54" t="s">
        <v>80</v>
      </c>
      <c r="N97" s="68" t="s">
        <v>159</v>
      </c>
      <c r="O97" s="43" t="s">
        <v>52</v>
      </c>
      <c r="P97" s="55">
        <v>36078</v>
      </c>
      <c r="Q97" s="54" t="s">
        <v>89</v>
      </c>
      <c r="R97" s="54" t="s">
        <v>255</v>
      </c>
      <c r="S97" s="54">
        <v>3134662152</v>
      </c>
      <c r="T97" s="54" t="s">
        <v>284</v>
      </c>
      <c r="U97" s="47" t="str">
        <f>IF(O97=CURSOS!$D$3,"DIPLOMADO EN ATENCION PRE-HOSPITALARIA",IF(O97=CURSOS!$D$4,"ACOMPAÑAMIENTO Y MANEJO DEL DUELO",IF(O97=CURSOS!$D$5,"ATENCION A VICTIMAS DE ATAQUE CON AGENTES QUIMICOS ",IF(O97=CURSOS!$D$6,"PRIMEROS AUXILIOS ",IF(O97=CURSOS!$D$7,"DIPLOMADO DE UNIDAD DE CUIDADOS INTENSIVOS (UCI)",IF(O97=CURSOS!$D$8,"MODELO DE ATENCION PARA EVENTOS EMERGENTES EN SALUD MENTAL (CODIGO VERDE)",IF(O97=CURSOS!$D$9,"HUMANIZACION EN EL SERVICIO DE LA SALUD Y BUENAS PRACTICAS EN PACIENTE ",IF(O97=CURSOS!$D$10,"CLINICA DE HERIDAS ",IF(O97=CURSOS!$D$11,"TOMA DE CITOLOGIA CERVICO VAGINAL ",IF(O97=CURSOS!$D$12,"SOPORTE CARDIOVASCULAR AVANZADO (ACLS) ",IF(O97=CURSOS!$D$13,"CAMILLERO ",IF(O97=CURSOS!$D$14,"TOMA DE MUESTRAS Y LABORATORIO ",IF(O97=CURSOS!$D$15,"SOPORTE VITAL BASICO (BLS)",IF(O97=CURSOS!$D$16,"ATENCION A VICTIMAS DE VIOLENCIA SEXUAL ",IF(O97=CURSOS!$D$17,"PROGRAMADO AMPLIADO DE INMUNIZACION (PAI - COVID 19)",IF(O97=CURSOS!$D$18,"ATENCION INTEGRAL EN ENFERMEDADES PREVALENTES EN PRIMERA INFANCIA (AIEPI)",IF(O97=CURSOS!$D$19,"ADMINISTRACION DE MEDICAMENTOS, INYECTOLOGIA  Y CANALIZACION ",IF(O97=CURSOS!$D$20,"OPERADOR DE VEHICULOS DE EMERGENCIA (OVE)",IF(O97=CURSOS!$D$21,"INSTITUCIONES AMIGAS DE LA MUJER Y LA INFANCIA (IAMI)",IF(O97=CURSOS!$D$22,"CUIDADO DEL DONANTE DE ORGANOS",IF(O97=CURSOS!$D$23,"ATENCION A VICTIMAS POR VIOLENCIA DE GENERO",IF(O97=CURSOS!$D$24,"IGUALDAD DE GENERO EN LA SALUD",IF(O97=CURSOS!$D$25,"BRIGADA DE EMERGENCIA",IF(O97=CURSOS!$D$26,"MANEJO DEL DOLOR Y CUIDADOS PALIATIVOS",IF(O97=CURSOS!$D$27,"TOMA DE MUESTRAS Y LABORATORIO POCT",IF(O97=CURSOS!$D$28,"IMPLANTE SUBDERMICO DE DISPOSITIVO INTRAUTERINO",IF(O97=CURSOS!$D$29,"SALUD MENTAL",IF(O97=CURSOS!$D$30,"PRIMEROS AUXILIOS PSICOLOGICOS",IF(O97=CURSOS!$D$31,"ATENCION A VICTIMAS POR CONFLICTO ARMADO",IF(O97=CURSOS!$D$32,"MANIPULACION DE ALIMENTOS Y BPM",IF(O97=CURSOS!$D$33,"ATENCION A PERSONAS CON DISCAPACIDAD",IF(O97=CURSOS!$D$34,"CUIDADO INTEGRAL DEL PACIENTE ADULTO",IF(O97=CURSOS!$D$35,"MANEJO DEFENSIVO",IF(O97=CURSOS!$D$36,"SOPORTE CARDIOVASCULAR AVANZADO NEONATAL",IF(O97=CURSOS!$D$37,"SEGURIDAD DEL PACIENTE",IF(O97=CURSOS!$D$38,"MANEJO DE RESIDUOS HOSPITALARIOS"))))))))))))))))))))))))))))))))))))</f>
        <v>ATENCION A VICTIMAS POR VIOLENCIA DE GENERO</v>
      </c>
      <c r="V97" s="47" t="str">
        <f t="shared" si="6"/>
        <v>Jenny Ascención Tunubalá Yalanda</v>
      </c>
      <c r="W97" s="47" t="str">
        <f t="shared" si="7"/>
        <v>Jenny Ascención Tunubalá Yalanda</v>
      </c>
      <c r="X97" s="47" t="str">
        <f t="shared" si="8"/>
        <v>Jenny Ascención Tunubalá Yalanda-1003149827-VIOLENCIA DE GENERO</v>
      </c>
    </row>
    <row r="98" spans="1:24" s="50" customFormat="1" x14ac:dyDescent="0.2">
      <c r="A98" s="46">
        <v>97</v>
      </c>
      <c r="B98" s="54">
        <v>1233193095</v>
      </c>
      <c r="C98" s="54" t="s">
        <v>226</v>
      </c>
      <c r="D98" s="54" t="s">
        <v>227</v>
      </c>
      <c r="E98" s="54" t="s">
        <v>234</v>
      </c>
      <c r="F98" s="54" t="s">
        <v>152</v>
      </c>
      <c r="G98" s="54">
        <v>12</v>
      </c>
      <c r="H98" s="54" t="s">
        <v>100</v>
      </c>
      <c r="I98" s="55" t="s">
        <v>146</v>
      </c>
      <c r="J98" s="56">
        <v>45604</v>
      </c>
      <c r="K98" s="108">
        <v>28000</v>
      </c>
      <c r="L98" s="54" t="s">
        <v>235</v>
      </c>
      <c r="M98" s="54" t="s">
        <v>80</v>
      </c>
      <c r="N98" s="54" t="s">
        <v>159</v>
      </c>
      <c r="O98" s="43" t="s">
        <v>64</v>
      </c>
      <c r="P98" s="55">
        <v>36215</v>
      </c>
      <c r="Q98" s="54" t="s">
        <v>89</v>
      </c>
      <c r="R98" s="54" t="s">
        <v>180</v>
      </c>
      <c r="S98" s="57">
        <v>3163115585</v>
      </c>
      <c r="T98" s="54" t="s">
        <v>228</v>
      </c>
      <c r="U98" s="47" t="str">
        <f>IF(O98=CURSOS!$D$3,"DIPLOMADO EN ATENCION PRE-HOSPITALARIA",IF(O98=CURSOS!$D$4,"ACOMPAÑAMIENTO Y MANEJO DEL DUELO",IF(O98=CURSOS!$D$5,"ATENCION A VICTIMAS DE ATAQUE CON AGENTES QUIMICOS ",IF(O98=CURSOS!$D$6,"PRIMEROS AUXILIOS ",IF(O98=CURSOS!$D$7,"DIPLOMADO DE UNIDAD DE CUIDADOS INTENSIVOS (UCI)",IF(O98=CURSOS!$D$8,"MODELO DE ATENCION PARA EVENTOS EMERGENTES EN SALUD MENTAL (CODIGO VERDE)",IF(O98=CURSOS!$D$9,"HUMANIZACION EN EL SERVICIO DE LA SALUD Y BUENAS PRACTICAS EN PACIENTE ",IF(O98=CURSOS!$D$10,"CLINICA DE HERIDAS ",IF(O98=CURSOS!$D$11,"TOMA DE CITOLOGIA CERVICO VAGINAL ",IF(O98=CURSOS!$D$12,"SOPORTE CARDIOVASCULAR AVANZADO (ACLS) ",IF(O98=CURSOS!$D$13,"CAMILLERO ",IF(O98=CURSOS!$D$14,"TOMA DE MUESTRAS Y LABORATORIO ",IF(O98=CURSOS!$D$15,"SOPORTE VITAL BASICO (BLS)",IF(O98=CURSOS!$D$16,"ATENCION A VICTIMAS DE VIOLENCIA SEXUAL ",IF(O98=CURSOS!$D$17,"PROGRAMADO AMPLIADO DE INMUNIZACION (PAI - COVID 19)",IF(O98=CURSOS!$D$18,"ATENCION INTEGRAL EN ENFERMEDADES PREVALENTES EN PRIMERA INFANCIA (AIEPI)",IF(O98=CURSOS!$D$19,"ADMINISTRACION DE MEDICAMENTOS, INYECTOLOGIA  Y CANALIZACION ",IF(O98=CURSOS!$D$20,"OPERADOR DE VEHICULOS DE EMERGENCIA (OVE)",IF(O98=CURSOS!$D$21,"INSTITUCIONES AMIGAS DE LA MUJER Y LA INFANCIA (IAMI)",IF(O98=CURSOS!$D$22,"CUIDADO DEL DONANTE DE ORGANOS",IF(O98=CURSOS!$D$23,"ATENCION A VICTIMAS POR VIOLENCIA DE GENERO",IF(O98=CURSOS!$D$24,"IGUALDAD DE GENERO EN LA SALUD",IF(O98=CURSOS!$D$25,"BRIGADA DE EMERGENCIA",IF(O98=CURSOS!$D$26,"MANEJO DEL DOLOR Y CUIDADOS PALIATIVOS",IF(O98=CURSOS!$D$27,"TOMA DE MUESTRAS Y LABORATORIO POCT",IF(O98=CURSOS!$D$28,"IMPLANTE SUBDERMICO DE DISPOSITIVO INTRAUTERINO",IF(O98=CURSOS!$D$29,"SALUD MENTAL",IF(O98=CURSOS!$D$30,"PRIMEROS AUXILIOS PSICOLOGICOS",IF(O98=CURSOS!$D$31,"ATENCION A VICTIMAS POR CONFLICTO ARMADO",IF(O98=CURSOS!$D$32,"MANIPULACION DE ALIMENTOS Y BPM",IF(O98=CURSOS!$D$33,"ATENCION A PERSONAS CON DISCAPACIDAD",IF(O98=CURSOS!$D$34,"CUIDADO INTEGRAL DEL PACIENTE ADULTO",IF(O98=CURSOS!$D$35,"MANEJO DEFENSIVO",IF(O98=CURSOS!$D$36,"SOPORTE CARDIOVASCULAR AVANZADO NEONATAL",IF(O98=CURSOS!$D$37,"SEGURIDAD DEL PACIENTE",IF(O98=CURSOS!$D$38,"MANEJO DE RESIDUOS HOSPITALARIOS"))))))))))))))))))))))))))))))))))))</f>
        <v>ATENCION A VICTIMAS POR CONFLICTO ARMADO</v>
      </c>
      <c r="V98" s="47" t="str">
        <f t="shared" si="6"/>
        <v xml:space="preserve">Dania Marcela Ruales  Benavides </v>
      </c>
      <c r="W98" s="47" t="str">
        <f t="shared" si="7"/>
        <v xml:space="preserve">Dania Marcela Ruales  Benavides </v>
      </c>
      <c r="X98" s="47" t="str">
        <f t="shared" si="8"/>
        <v>Dania Marcela Ruales  Benavides -1233193095-CONFLICTO ARMADO</v>
      </c>
    </row>
    <row r="99" spans="1:24" s="50" customFormat="1" x14ac:dyDescent="0.2">
      <c r="A99" s="46">
        <v>98</v>
      </c>
      <c r="B99" s="54">
        <v>12752302</v>
      </c>
      <c r="C99" s="54" t="s">
        <v>287</v>
      </c>
      <c r="D99" s="54" t="s">
        <v>157</v>
      </c>
      <c r="E99" s="54" t="s">
        <v>134</v>
      </c>
      <c r="F99" s="54" t="s">
        <v>288</v>
      </c>
      <c r="G99" s="54">
        <v>12</v>
      </c>
      <c r="H99" s="54" t="s">
        <v>100</v>
      </c>
      <c r="I99" s="55" t="s">
        <v>146</v>
      </c>
      <c r="J99" s="56">
        <v>45604</v>
      </c>
      <c r="K99" s="108">
        <v>28000</v>
      </c>
      <c r="L99" s="54" t="s">
        <v>235</v>
      </c>
      <c r="M99" s="54" t="s">
        <v>80</v>
      </c>
      <c r="N99" s="68" t="s">
        <v>159</v>
      </c>
      <c r="O99" s="43" t="s">
        <v>32</v>
      </c>
      <c r="P99" s="55">
        <v>30164</v>
      </c>
      <c r="Q99" s="54" t="s">
        <v>148</v>
      </c>
      <c r="R99" s="54" t="s">
        <v>221</v>
      </c>
      <c r="S99" s="54">
        <v>3153258744</v>
      </c>
      <c r="T99" s="54" t="s">
        <v>289</v>
      </c>
      <c r="U99" s="47" t="str">
        <f>IF(O99=CURSOS!$D$3,"DIPLOMADO EN ATENCION PRE-HOSPITALARIA",IF(O99=CURSOS!$D$4,"ACOMPAÑAMIENTO Y MANEJO DEL DUELO",IF(O99=CURSOS!$D$5,"ATENCION A VICTIMAS DE ATAQUE CON AGENTES QUIMICOS ",IF(O99=CURSOS!$D$6,"PRIMEROS AUXILIOS ",IF(O99=CURSOS!$D$7,"DIPLOMADO DE UNIDAD DE CUIDADOS INTENSIVOS (UCI)",IF(O99=CURSOS!$D$8,"MODELO DE ATENCION PARA EVENTOS EMERGENTES EN SALUD MENTAL (CODIGO VERDE)",IF(O99=CURSOS!$D$9,"HUMANIZACION EN EL SERVICIO DE LA SALUD Y BUENAS PRACTICAS EN PACIENTE ",IF(O99=CURSOS!$D$10,"CLINICA DE HERIDAS ",IF(O99=CURSOS!$D$11,"TOMA DE CITOLOGIA CERVICO VAGINAL ",IF(O99=CURSOS!$D$12,"SOPORTE CARDIOVASCULAR AVANZADO (ACLS) ",IF(O99=CURSOS!$D$13,"CAMILLERO ",IF(O99=CURSOS!$D$14,"TOMA DE MUESTRAS Y LABORATORIO ",IF(O99=CURSOS!$D$15,"SOPORTE VITAL BASICO (BLS)",IF(O99=CURSOS!$D$16,"ATENCION A VICTIMAS DE VIOLENCIA SEXUAL ",IF(O99=CURSOS!$D$17,"PROGRAMADO AMPLIADO DE INMUNIZACION (PAI - COVID 19)",IF(O99=CURSOS!$D$18,"ATENCION INTEGRAL EN ENFERMEDADES PREVALENTES EN PRIMERA INFANCIA (AIEPI)",IF(O99=CURSOS!$D$19,"ADMINISTRACION DE MEDICAMENTOS, INYECTOLOGIA  Y CANALIZACION ",IF(O99=CURSOS!$D$20,"OPERADOR DE VEHICULOS DE EMERGENCIA (OVE)",IF(O99=CURSOS!$D$21,"INSTITUCIONES AMIGAS DE LA MUJER Y LA INFANCIA (IAMI)",IF(O99=CURSOS!$D$22,"CUIDADO DEL DONANTE DE ORGANOS",IF(O99=CURSOS!$D$23,"ATENCION A VICTIMAS POR VIOLENCIA DE GENERO",IF(O99=CURSOS!$D$24,"IGUALDAD DE GENERO EN LA SALUD",IF(O99=CURSOS!$D$25,"BRIGADA DE EMERGENCIA",IF(O99=CURSOS!$D$26,"MANEJO DEL DOLOR Y CUIDADOS PALIATIVOS",IF(O99=CURSOS!$D$27,"TOMA DE MUESTRAS Y LABORATORIO POCT",IF(O99=CURSOS!$D$28,"IMPLANTE SUBDERMICO DE DISPOSITIVO INTRAUTERINO",IF(O99=CURSOS!$D$29,"SALUD MENTAL",IF(O99=CURSOS!$D$30,"PRIMEROS AUXILIOS PSICOLOGICOS",IF(O99=CURSOS!$D$31,"ATENCION A VICTIMAS POR CONFLICTO ARMADO",IF(O99=CURSOS!$D$32,"MANIPULACION DE ALIMENTOS Y BPM",IF(O99=CURSOS!$D$33,"ATENCION A PERSONAS CON DISCAPACIDAD",IF(O99=CURSOS!$D$34,"CUIDADO INTEGRAL DEL PACIENTE ADULTO",IF(O99=CURSOS!$D$35,"MANEJO DEFENSIVO",IF(O99=CURSOS!$D$36,"SOPORTE CARDIOVASCULAR AVANZADO NEONATAL",IF(O99=CURSOS!$D$37,"SEGURIDAD DEL PACIENTE",IF(O99=CURSOS!$D$38,"MANEJO DE RESIDUOS HOSPITALARIOS"))))))))))))))))))))))))))))))))))))</f>
        <v xml:space="preserve">HUMANIZACION EN EL SERVICIO DE LA SALUD Y BUENAS PRACTICAS EN PACIENTE </v>
      </c>
      <c r="V99" s="47" t="str">
        <f t="shared" si="6"/>
        <v>Oscar Fernando Casanova Zambrano</v>
      </c>
      <c r="W99" s="47" t="str">
        <f t="shared" si="7"/>
        <v>Oscar Fernando Casanova Zambrano</v>
      </c>
      <c r="X99" s="47" t="str">
        <f t="shared" si="8"/>
        <v>Oscar Fernando Casanova Zambrano-12752302-HUMANIZACION</v>
      </c>
    </row>
    <row r="100" spans="1:24" s="50" customFormat="1" x14ac:dyDescent="0.2">
      <c r="A100" s="46">
        <v>99</v>
      </c>
      <c r="B100" s="54">
        <v>12752302</v>
      </c>
      <c r="C100" s="54" t="s">
        <v>287</v>
      </c>
      <c r="D100" s="54" t="s">
        <v>157</v>
      </c>
      <c r="E100" s="54" t="s">
        <v>134</v>
      </c>
      <c r="F100" s="54" t="s">
        <v>288</v>
      </c>
      <c r="G100" s="54">
        <v>6</v>
      </c>
      <c r="H100" s="54" t="s">
        <v>100</v>
      </c>
      <c r="I100" s="55" t="s">
        <v>146</v>
      </c>
      <c r="J100" s="56">
        <v>45604</v>
      </c>
      <c r="K100" s="108">
        <v>18000</v>
      </c>
      <c r="L100" s="54" t="s">
        <v>235</v>
      </c>
      <c r="M100" s="54" t="s">
        <v>80</v>
      </c>
      <c r="N100" s="68" t="s">
        <v>159</v>
      </c>
      <c r="O100" s="77" t="s">
        <v>23</v>
      </c>
      <c r="P100" s="55">
        <v>30164</v>
      </c>
      <c r="Q100" s="54" t="s">
        <v>148</v>
      </c>
      <c r="R100" s="54" t="s">
        <v>221</v>
      </c>
      <c r="S100" s="54">
        <v>3153258744</v>
      </c>
      <c r="T100" s="54" t="s">
        <v>289</v>
      </c>
      <c r="U100" s="47" t="str">
        <f>IF(O100=CURSOS!$D$3,"DIPLOMADO EN ATENCION PRE-HOSPITALARIA",IF(O100=CURSOS!$D$4,"ACOMPAÑAMIENTO Y MANEJO DEL DUELO",IF(O100=CURSOS!$D$5,"ATENCION A VICTIMAS DE ATAQUE CON AGENTES QUIMICOS ",IF(O100=CURSOS!$D$6,"PRIMEROS AUXILIOS ",IF(O100=CURSOS!$D$7,"DIPLOMADO DE UNIDAD DE CUIDADOS INTENSIVOS (UCI)",IF(O100=CURSOS!$D$8,"MODELO DE ATENCION PARA EVENTOS EMERGENTES EN SALUD MENTAL (CODIGO VERDE)",IF(O100=CURSOS!$D$9,"HUMANIZACION EN EL SERVICIO DE LA SALUD Y BUENAS PRACTICAS EN PACIENTE ",IF(O100=CURSOS!$D$10,"CLINICA DE HERIDAS ",IF(O100=CURSOS!$D$11,"TOMA DE CITOLOGIA CERVICO VAGINAL ",IF(O100=CURSOS!$D$12,"SOPORTE CARDIOVASCULAR AVANZADO (ACLS) ",IF(O100=CURSOS!$D$13,"CAMILLERO ",IF(O100=CURSOS!$D$14,"TOMA DE MUESTRAS Y LABORATORIO ",IF(O100=CURSOS!$D$15,"SOPORTE VITAL BASICO (BLS)",IF(O100=CURSOS!$D$16,"ATENCION A VICTIMAS DE VIOLENCIA SEXUAL ",IF(O100=CURSOS!$D$17,"PROGRAMADO AMPLIADO DE INMUNIZACION (PAI - COVID 19)",IF(O100=CURSOS!$D$18,"ATENCION INTEGRAL EN ENFERMEDADES PREVALENTES EN PRIMERA INFANCIA (AIEPI)",IF(O100=CURSOS!$D$19,"ADMINISTRACION DE MEDICAMENTOS, INYECTOLOGIA  Y CANALIZACION ",IF(O100=CURSOS!$D$20,"OPERADOR DE VEHICULOS DE EMERGENCIA (OVE)",IF(O100=CURSOS!$D$21,"INSTITUCIONES AMIGAS DE LA MUJER Y LA INFANCIA (IAMI)",IF(O100=CURSOS!$D$22,"CUIDADO DEL DONANTE DE ORGANOS",IF(O100=CURSOS!$D$23,"ATENCION A VICTIMAS POR VIOLENCIA DE GENERO",IF(O100=CURSOS!$D$24,"IGUALDAD DE GENERO EN LA SALUD",IF(O100=CURSOS!$D$25,"BRIGADA DE EMERGENCIA",IF(O100=CURSOS!$D$26,"MANEJO DEL DOLOR Y CUIDADOS PALIATIVOS",IF(O100=CURSOS!$D$27,"TOMA DE MUESTRAS Y LABORATORIO POCT",IF(O100=CURSOS!$D$28,"IMPLANTE SUBDERMICO DE DISPOSITIVO INTRAUTERINO",IF(O100=CURSOS!$D$29,"SALUD MENTAL",IF(O100=CURSOS!$D$30,"PRIMEROS AUXILIOS PSICOLOGICOS",IF(O100=CURSOS!$D$31,"ATENCION A VICTIMAS POR CONFLICTO ARMADO",IF(O100=CURSOS!$D$32,"MANIPULACION DE ALIMENTOS Y BPM",IF(O100=CURSOS!$D$33,"ATENCION A PERSONAS CON DISCAPACIDAD",IF(O100=CURSOS!$D$34,"CUIDADO INTEGRAL DEL PACIENTE ADULTO",IF(O100=CURSOS!$D$35,"MANEJO DEFENSIVO",IF(O100=CURSOS!$D$36,"SOPORTE CARDIOVASCULAR AVANZADO NEONATAL",IF(O100=CURSOS!$D$37,"SEGURIDAD DEL PACIENTE",IF(O100=CURSOS!$D$38,"MANEJO DE RESIDUOS HOSPITALARIOS"))))))))))))))))))))))))))))))))))))</f>
        <v>ACOMPAÑAMIENTO Y MANEJO DEL DUELO</v>
      </c>
      <c r="V100" s="47" t="str">
        <f t="shared" si="6"/>
        <v>Oscar Fernando Casanova Zambrano</v>
      </c>
      <c r="W100" s="47" t="str">
        <f t="shared" si="7"/>
        <v>Oscar Fernando Casanova Zambrano</v>
      </c>
      <c r="X100" s="47" t="str">
        <f t="shared" si="8"/>
        <v>Oscar Fernando Casanova Zambrano-12752302-DUELO</v>
      </c>
    </row>
    <row r="101" spans="1:24" s="50" customFormat="1" x14ac:dyDescent="0.2">
      <c r="A101" s="46">
        <v>100</v>
      </c>
      <c r="B101" s="54">
        <v>1088737462</v>
      </c>
      <c r="C101" s="54" t="s">
        <v>200</v>
      </c>
      <c r="D101" s="54" t="s">
        <v>201</v>
      </c>
      <c r="E101" s="54" t="s">
        <v>202</v>
      </c>
      <c r="F101" s="54" t="s">
        <v>203</v>
      </c>
      <c r="G101" s="54">
        <v>12</v>
      </c>
      <c r="H101" s="54" t="s">
        <v>100</v>
      </c>
      <c r="I101" s="55" t="s">
        <v>146</v>
      </c>
      <c r="J101" s="56">
        <v>45611</v>
      </c>
      <c r="K101" s="108">
        <v>28000</v>
      </c>
      <c r="L101" s="54" t="s">
        <v>235</v>
      </c>
      <c r="M101" s="54" t="s">
        <v>80</v>
      </c>
      <c r="N101" s="54" t="s">
        <v>159</v>
      </c>
      <c r="O101" s="43" t="s">
        <v>32</v>
      </c>
      <c r="P101" s="55"/>
      <c r="Q101" s="54" t="s">
        <v>89</v>
      </c>
      <c r="R101" s="54" t="s">
        <v>189</v>
      </c>
      <c r="S101" s="54">
        <v>3225460268</v>
      </c>
      <c r="T101" s="57" t="s">
        <v>204</v>
      </c>
      <c r="U101" s="47" t="str">
        <f>IF(O101=CURSOS!$D$3,"DIPLOMADO EN ATENCION PRE-HOSPITALARIA",IF(O101=CURSOS!$D$4,"ACOMPAÑAMIENTO Y MANEJO DEL DUELO",IF(O101=CURSOS!$D$5,"ATENCION A VICTIMAS DE ATAQUE CON AGENTES QUIMICOS ",IF(O101=CURSOS!$D$6,"PRIMEROS AUXILIOS ",IF(O101=CURSOS!$D$7,"DIPLOMADO DE UNIDAD DE CUIDADOS INTENSIVOS (UCI)",IF(O101=CURSOS!$D$8,"MODELO DE ATENCION PARA EVENTOS EMERGENTES EN SALUD MENTAL (CODIGO VERDE)",IF(O101=CURSOS!$D$9,"HUMANIZACION EN EL SERVICIO DE LA SALUD Y BUENAS PRACTICAS EN PACIENTE ",IF(O101=CURSOS!$D$10,"CLINICA DE HERIDAS ",IF(O101=CURSOS!$D$11,"TOMA DE CITOLOGIA CERVICO VAGINAL ",IF(O101=CURSOS!$D$12,"SOPORTE CARDIOVASCULAR AVANZADO (ACLS) ",IF(O101=CURSOS!$D$13,"CAMILLERO ",IF(O101=CURSOS!$D$14,"TOMA DE MUESTRAS Y LABORATORIO ",IF(O101=CURSOS!$D$15,"SOPORTE VITAL BASICO (BLS)",IF(O101=CURSOS!$D$16,"ATENCION A VICTIMAS DE VIOLENCIA SEXUAL ",IF(O101=CURSOS!$D$17,"PROGRAMADO AMPLIADO DE INMUNIZACION (PAI - COVID 19)",IF(O101=CURSOS!$D$18,"ATENCION INTEGRAL EN ENFERMEDADES PREVALENTES EN PRIMERA INFANCIA (AIEPI)",IF(O101=CURSOS!$D$19,"ADMINISTRACION DE MEDICAMENTOS, INYECTOLOGIA  Y CANALIZACION ",IF(O101=CURSOS!$D$20,"OPERADOR DE VEHICULOS DE EMERGENCIA (OVE)",IF(O101=CURSOS!$D$21,"INSTITUCIONES AMIGAS DE LA MUJER Y LA INFANCIA (IAMI)",IF(O101=CURSOS!$D$22,"CUIDADO DEL DONANTE DE ORGANOS",IF(O101=CURSOS!$D$23,"ATENCION A VICTIMAS POR VIOLENCIA DE GENERO",IF(O101=CURSOS!$D$24,"IGUALDAD DE GENERO EN LA SALUD",IF(O101=CURSOS!$D$25,"BRIGADA DE EMERGENCIA",IF(O101=CURSOS!$D$26,"MANEJO DEL DOLOR Y CUIDADOS PALIATIVOS",IF(O101=CURSOS!$D$27,"TOMA DE MUESTRAS Y LABORATORIO POCT",IF(O101=CURSOS!$D$28,"IMPLANTE SUBDERMICO DE DISPOSITIVO INTRAUTERINO",IF(O101=CURSOS!$D$29,"SALUD MENTAL",IF(O101=CURSOS!$D$30,"PRIMEROS AUXILIOS PSICOLOGICOS",IF(O101=CURSOS!$D$31,"ATENCION A VICTIMAS POR CONFLICTO ARMADO",IF(O101=CURSOS!$D$32,"MANIPULACION DE ALIMENTOS Y BPM",IF(O101=CURSOS!$D$33,"ATENCION A PERSONAS CON DISCAPACIDAD",IF(O101=CURSOS!$D$34,"CUIDADO INTEGRAL DEL PACIENTE ADULTO",IF(O101=CURSOS!$D$35,"MANEJO DEFENSIVO",IF(O101=CURSOS!$D$36,"SOPORTE CARDIOVASCULAR AVANZADO NEONATAL",IF(O101=CURSOS!$D$37,"SEGURIDAD DEL PACIENTE",IF(O101=CURSOS!$D$38,"MANEJO DE RESIDUOS HOSPITALARIOS"))))))))))))))))))))))))))))))))))))</f>
        <v xml:space="preserve">HUMANIZACION EN EL SERVICIO DE LA SALUD Y BUENAS PRACTICAS EN PACIENTE </v>
      </c>
      <c r="V101" s="47" t="str">
        <f t="shared" si="6"/>
        <v>Johana Madeleiner Toro Córdoba</v>
      </c>
      <c r="W101" s="47" t="str">
        <f t="shared" si="7"/>
        <v>Johana Madeleiner Toro Córdoba</v>
      </c>
      <c r="X101" s="47" t="str">
        <f t="shared" si="8"/>
        <v>Johana Madeleiner Toro Córdoba-1088737462-HUMANIZACION</v>
      </c>
    </row>
    <row r="102" spans="1:24" s="50" customFormat="1" x14ac:dyDescent="0.2">
      <c r="A102" s="46">
        <v>101</v>
      </c>
      <c r="B102" s="54">
        <v>59396015</v>
      </c>
      <c r="C102" s="68" t="s">
        <v>290</v>
      </c>
      <c r="D102" s="68" t="s">
        <v>291</v>
      </c>
      <c r="E102" s="68" t="s">
        <v>292</v>
      </c>
      <c r="F102" s="68" t="s">
        <v>293</v>
      </c>
      <c r="G102" s="68">
        <v>12</v>
      </c>
      <c r="H102" s="54" t="s">
        <v>100</v>
      </c>
      <c r="I102" s="78" t="s">
        <v>146</v>
      </c>
      <c r="J102" s="56">
        <v>45611</v>
      </c>
      <c r="K102" s="108">
        <v>28000</v>
      </c>
      <c r="L102" s="54" t="s">
        <v>235</v>
      </c>
      <c r="M102" s="54" t="s">
        <v>80</v>
      </c>
      <c r="N102" s="68" t="s">
        <v>159</v>
      </c>
      <c r="O102" s="77" t="s">
        <v>32</v>
      </c>
      <c r="P102" s="68"/>
      <c r="Q102" s="68" t="s">
        <v>89</v>
      </c>
      <c r="R102" s="68" t="s">
        <v>189</v>
      </c>
      <c r="S102" s="79">
        <v>3214607520</v>
      </c>
      <c r="T102" s="54" t="s">
        <v>294</v>
      </c>
      <c r="U102" s="47" t="str">
        <f>IF(O102=CURSOS!$D$3,"DIPLOMADO EN ATENCION PRE-HOSPITALARIA",IF(O102=CURSOS!$D$4,"ACOMPAÑAMIENTO Y MANEJO DEL DUELO",IF(O102=CURSOS!$D$5,"ATENCION A VICTIMAS DE ATAQUE CON AGENTES QUIMICOS ",IF(O102=CURSOS!$D$6,"PRIMEROS AUXILIOS ",IF(O102=CURSOS!$D$7,"DIPLOMADO DE UNIDAD DE CUIDADOS INTENSIVOS (UCI)",IF(O102=CURSOS!$D$8,"MODELO DE ATENCION PARA EVENTOS EMERGENTES EN SALUD MENTAL (CODIGO VERDE)",IF(O102=CURSOS!$D$9,"HUMANIZACION EN EL SERVICIO DE LA SALUD Y BUENAS PRACTICAS EN PACIENTE ",IF(O102=CURSOS!$D$10,"CLINICA DE HERIDAS ",IF(O102=CURSOS!$D$11,"TOMA DE CITOLOGIA CERVICO VAGINAL ",IF(O102=CURSOS!$D$12,"SOPORTE CARDIOVASCULAR AVANZADO (ACLS) ",IF(O102=CURSOS!$D$13,"CAMILLERO ",IF(O102=CURSOS!$D$14,"TOMA DE MUESTRAS Y LABORATORIO ",IF(O102=CURSOS!$D$15,"SOPORTE VITAL BASICO (BLS)",IF(O102=CURSOS!$D$16,"ATENCION A VICTIMAS DE VIOLENCIA SEXUAL ",IF(O102=CURSOS!$D$17,"PROGRAMADO AMPLIADO DE INMUNIZACION (PAI - COVID 19)",IF(O102=CURSOS!$D$18,"ATENCION INTEGRAL EN ENFERMEDADES PREVALENTES EN PRIMERA INFANCIA (AIEPI)",IF(O102=CURSOS!$D$19,"ADMINISTRACION DE MEDICAMENTOS, INYECTOLOGIA  Y CANALIZACION ",IF(O102=CURSOS!$D$20,"OPERADOR DE VEHICULOS DE EMERGENCIA (OVE)",IF(O102=CURSOS!$D$21,"INSTITUCIONES AMIGAS DE LA MUJER Y LA INFANCIA (IAMI)",IF(O102=CURSOS!$D$22,"CUIDADO DEL DONANTE DE ORGANOS",IF(O102=CURSOS!$D$23,"ATENCION A VICTIMAS POR VIOLENCIA DE GENERO",IF(O102=CURSOS!$D$24,"IGUALDAD DE GENERO EN LA SALUD",IF(O102=CURSOS!$D$25,"BRIGADA DE EMERGENCIA",IF(O102=CURSOS!$D$26,"MANEJO DEL DOLOR Y CUIDADOS PALIATIVOS",IF(O102=CURSOS!$D$27,"TOMA DE MUESTRAS Y LABORATORIO POCT",IF(O102=CURSOS!$D$28,"IMPLANTE SUBDERMICO DE DISPOSITIVO INTRAUTERINO",IF(O102=CURSOS!$D$29,"SALUD MENTAL",IF(O102=CURSOS!$D$30,"PRIMEROS AUXILIOS PSICOLOGICOS",IF(O102=CURSOS!$D$31,"ATENCION A VICTIMAS POR CONFLICTO ARMADO",IF(O102=CURSOS!$D$32,"MANIPULACION DE ALIMENTOS Y BPM",IF(O102=CURSOS!$D$33,"ATENCION A PERSONAS CON DISCAPACIDAD",IF(O102=CURSOS!$D$34,"CUIDADO INTEGRAL DEL PACIENTE ADULTO",IF(O102=CURSOS!$D$35,"MANEJO DEFENSIVO",IF(O102=CURSOS!$D$36,"SOPORTE CARDIOVASCULAR AVANZADO NEONATAL",IF(O102=CURSOS!$D$37,"SEGURIDAD DEL PACIENTE",IF(O102=CURSOS!$D$38,"MANEJO DE RESIDUOS HOSPITALARIOS"))))))))))))))))))))))))))))))))))))</f>
        <v xml:space="preserve">HUMANIZACION EN EL SERVICIO DE LA SALUD Y BUENAS PRACTICAS EN PACIENTE </v>
      </c>
      <c r="V102" s="47" t="str">
        <f t="shared" si="6"/>
        <v>Mireya Samirna Chamorro Cortez</v>
      </c>
      <c r="W102" s="47" t="str">
        <f t="shared" si="7"/>
        <v>Mireya Samirna Chamorro Cortez</v>
      </c>
      <c r="X102" s="47" t="str">
        <f t="shared" si="8"/>
        <v>Mireya Samirna Chamorro Cortez-59396015-HUMANIZACION</v>
      </c>
    </row>
    <row r="103" spans="1:24" s="50" customFormat="1" x14ac:dyDescent="0.2">
      <c r="A103" s="46">
        <v>102</v>
      </c>
      <c r="B103" s="54">
        <v>59396015</v>
      </c>
      <c r="C103" s="68" t="s">
        <v>290</v>
      </c>
      <c r="D103" s="68" t="s">
        <v>291</v>
      </c>
      <c r="E103" s="68" t="s">
        <v>292</v>
      </c>
      <c r="F103" s="68" t="s">
        <v>293</v>
      </c>
      <c r="G103" s="68">
        <v>8</v>
      </c>
      <c r="H103" s="54" t="s">
        <v>100</v>
      </c>
      <c r="I103" s="78" t="s">
        <v>146</v>
      </c>
      <c r="J103" s="56">
        <v>45611</v>
      </c>
      <c r="K103" s="108">
        <v>28000</v>
      </c>
      <c r="L103" s="54" t="s">
        <v>235</v>
      </c>
      <c r="M103" s="54" t="s">
        <v>80</v>
      </c>
      <c r="N103" s="68" t="s">
        <v>159</v>
      </c>
      <c r="O103" s="77" t="s">
        <v>25</v>
      </c>
      <c r="P103" s="68"/>
      <c r="Q103" s="68" t="s">
        <v>89</v>
      </c>
      <c r="R103" s="68" t="s">
        <v>189</v>
      </c>
      <c r="S103" s="79">
        <v>3214607520</v>
      </c>
      <c r="T103" s="54" t="s">
        <v>294</v>
      </c>
      <c r="U103" s="47" t="str">
        <f>IF(O103=CURSOS!$D$3,"DIPLOMADO EN ATENCION PRE-HOSPITALARIA",IF(O103=CURSOS!$D$4,"ACOMPAÑAMIENTO Y MANEJO DEL DUELO",IF(O103=CURSOS!$D$5,"ATENCION A VICTIMAS DE ATAQUE CON AGENTES QUIMICOS ",IF(O103=CURSOS!$D$6,"PRIMEROS AUXILIOS ",IF(O103=CURSOS!$D$7,"DIPLOMADO DE UNIDAD DE CUIDADOS INTENSIVOS (UCI)",IF(O103=CURSOS!$D$8,"MODELO DE ATENCION PARA EVENTOS EMERGENTES EN SALUD MENTAL (CODIGO VERDE)",IF(O103=CURSOS!$D$9,"HUMANIZACION EN EL SERVICIO DE LA SALUD Y BUENAS PRACTICAS EN PACIENTE ",IF(O103=CURSOS!$D$10,"CLINICA DE HERIDAS ",IF(O103=CURSOS!$D$11,"TOMA DE CITOLOGIA CERVICO VAGINAL ",IF(O103=CURSOS!$D$12,"SOPORTE CARDIOVASCULAR AVANZADO (ACLS) ",IF(O103=CURSOS!$D$13,"CAMILLERO ",IF(O103=CURSOS!$D$14,"TOMA DE MUESTRAS Y LABORATORIO ",IF(O103=CURSOS!$D$15,"SOPORTE VITAL BASICO (BLS)",IF(O103=CURSOS!$D$16,"ATENCION A VICTIMAS DE VIOLENCIA SEXUAL ",IF(O103=CURSOS!$D$17,"PROGRAMADO AMPLIADO DE INMUNIZACION (PAI - COVID 19)",IF(O103=CURSOS!$D$18,"ATENCION INTEGRAL EN ENFERMEDADES PREVALENTES EN PRIMERA INFANCIA (AIEPI)",IF(O103=CURSOS!$D$19,"ADMINISTRACION DE MEDICAMENTOS, INYECTOLOGIA  Y CANALIZACION ",IF(O103=CURSOS!$D$20,"OPERADOR DE VEHICULOS DE EMERGENCIA (OVE)",IF(O103=CURSOS!$D$21,"INSTITUCIONES AMIGAS DE LA MUJER Y LA INFANCIA (IAMI)",IF(O103=CURSOS!$D$22,"CUIDADO DEL DONANTE DE ORGANOS",IF(O103=CURSOS!$D$23,"ATENCION A VICTIMAS POR VIOLENCIA DE GENERO",IF(O103=CURSOS!$D$24,"IGUALDAD DE GENERO EN LA SALUD",IF(O103=CURSOS!$D$25,"BRIGADA DE EMERGENCIA",IF(O103=CURSOS!$D$26,"MANEJO DEL DOLOR Y CUIDADOS PALIATIVOS",IF(O103=CURSOS!$D$27,"TOMA DE MUESTRAS Y LABORATORIO POCT",IF(O103=CURSOS!$D$28,"IMPLANTE SUBDERMICO DE DISPOSITIVO INTRAUTERINO",IF(O103=CURSOS!$D$29,"SALUD MENTAL",IF(O103=CURSOS!$D$30,"PRIMEROS AUXILIOS PSICOLOGICOS",IF(O103=CURSOS!$D$31,"ATENCION A VICTIMAS POR CONFLICTO ARMADO",IF(O103=CURSOS!$D$32,"MANIPULACION DE ALIMENTOS Y BPM",IF(O103=CURSOS!$D$33,"ATENCION A PERSONAS CON DISCAPACIDAD",IF(O103=CURSOS!$D$34,"CUIDADO INTEGRAL DEL PACIENTE ADULTO",IF(O103=CURSOS!$D$35,"MANEJO DEFENSIVO",IF(O103=CURSOS!$D$36,"SOPORTE CARDIOVASCULAR AVANZADO NEONATAL",IF(O103=CURSOS!$D$37,"SEGURIDAD DEL PACIENTE",IF(O103=CURSOS!$D$38,"MANEJO DE RESIDUOS HOSPITALARIOS"))))))))))))))))))))))))))))))))))))</f>
        <v xml:space="preserve">ATENCION A VICTIMAS DE ATAQUE CON AGENTES QUIMICOS </v>
      </c>
      <c r="V103" s="47" t="str">
        <f t="shared" si="6"/>
        <v>Mireya Samirna Chamorro Cortez</v>
      </c>
      <c r="W103" s="47" t="str">
        <f t="shared" si="7"/>
        <v>Mireya Samirna Chamorro Cortez</v>
      </c>
      <c r="X103" s="47" t="str">
        <f t="shared" si="8"/>
        <v>Mireya Samirna Chamorro Cortez-59396015-QUIMICOS</v>
      </c>
    </row>
    <row r="104" spans="1:24" s="50" customFormat="1" x14ac:dyDescent="0.2">
      <c r="A104" s="46">
        <v>103</v>
      </c>
      <c r="B104" s="54">
        <v>59396015</v>
      </c>
      <c r="C104" s="68" t="s">
        <v>290</v>
      </c>
      <c r="D104" s="68" t="s">
        <v>291</v>
      </c>
      <c r="E104" s="68" t="s">
        <v>292</v>
      </c>
      <c r="F104" s="68" t="s">
        <v>293</v>
      </c>
      <c r="G104" s="68">
        <v>7</v>
      </c>
      <c r="H104" s="54" t="s">
        <v>100</v>
      </c>
      <c r="I104" s="78" t="s">
        <v>146</v>
      </c>
      <c r="J104" s="56">
        <v>45611</v>
      </c>
      <c r="K104" s="108">
        <v>28000</v>
      </c>
      <c r="L104" s="54" t="s">
        <v>235</v>
      </c>
      <c r="M104" s="54" t="s">
        <v>80</v>
      </c>
      <c r="N104" s="68" t="s">
        <v>159</v>
      </c>
      <c r="O104" s="77" t="s">
        <v>42</v>
      </c>
      <c r="P104" s="68"/>
      <c r="Q104" s="68" t="s">
        <v>89</v>
      </c>
      <c r="R104" s="68" t="s">
        <v>189</v>
      </c>
      <c r="S104" s="79">
        <v>3214607520</v>
      </c>
      <c r="T104" s="54" t="s">
        <v>294</v>
      </c>
      <c r="U104" s="47" t="str">
        <f>IF(O104=CURSOS!$D$3,"DIPLOMADO EN ATENCION PRE-HOSPITALARIA",IF(O104=CURSOS!$D$4,"ACOMPAÑAMIENTO Y MANEJO DEL DUELO",IF(O104=CURSOS!$D$5,"ATENCION A VICTIMAS DE ATAQUE CON AGENTES QUIMICOS ",IF(O104=CURSOS!$D$6,"PRIMEROS AUXILIOS ",IF(O104=CURSOS!$D$7,"DIPLOMADO DE UNIDAD DE CUIDADOS INTENSIVOS (UCI)",IF(O104=CURSOS!$D$8,"MODELO DE ATENCION PARA EVENTOS EMERGENTES EN SALUD MENTAL (CODIGO VERDE)",IF(O104=CURSOS!$D$9,"HUMANIZACION EN EL SERVICIO DE LA SALUD Y BUENAS PRACTICAS EN PACIENTE ",IF(O104=CURSOS!$D$10,"CLINICA DE HERIDAS ",IF(O104=CURSOS!$D$11,"TOMA DE CITOLOGIA CERVICO VAGINAL ",IF(O104=CURSOS!$D$12,"SOPORTE CARDIOVASCULAR AVANZADO (ACLS) ",IF(O104=CURSOS!$D$13,"CAMILLERO ",IF(O104=CURSOS!$D$14,"TOMA DE MUESTRAS Y LABORATORIO ",IF(O104=CURSOS!$D$15,"SOPORTE VITAL BASICO (BLS)",IF(O104=CURSOS!$D$16,"ATENCION A VICTIMAS DE VIOLENCIA SEXUAL ",IF(O104=CURSOS!$D$17,"PROGRAMADO AMPLIADO DE INMUNIZACION (PAI - COVID 19)",IF(O104=CURSOS!$D$18,"ATENCION INTEGRAL EN ENFERMEDADES PREVALENTES EN PRIMERA INFANCIA (AIEPI)",IF(O104=CURSOS!$D$19,"ADMINISTRACION DE MEDICAMENTOS, INYECTOLOGIA  Y CANALIZACION ",IF(O104=CURSOS!$D$20,"OPERADOR DE VEHICULOS DE EMERGENCIA (OVE)",IF(O104=CURSOS!$D$21,"INSTITUCIONES AMIGAS DE LA MUJER Y LA INFANCIA (IAMI)",IF(O104=CURSOS!$D$22,"CUIDADO DEL DONANTE DE ORGANOS",IF(O104=CURSOS!$D$23,"ATENCION A VICTIMAS POR VIOLENCIA DE GENERO",IF(O104=CURSOS!$D$24,"IGUALDAD DE GENERO EN LA SALUD",IF(O104=CURSOS!$D$25,"BRIGADA DE EMERGENCIA",IF(O104=CURSOS!$D$26,"MANEJO DEL DOLOR Y CUIDADOS PALIATIVOS",IF(O104=CURSOS!$D$27,"TOMA DE MUESTRAS Y LABORATORIO POCT",IF(O104=CURSOS!$D$28,"IMPLANTE SUBDERMICO DE DISPOSITIVO INTRAUTERINO",IF(O104=CURSOS!$D$29,"SALUD MENTAL",IF(O104=CURSOS!$D$30,"PRIMEROS AUXILIOS PSICOLOGICOS",IF(O104=CURSOS!$D$31,"ATENCION A VICTIMAS POR CONFLICTO ARMADO",IF(O104=CURSOS!$D$32,"MANIPULACION DE ALIMENTOS Y BPM",IF(O104=CURSOS!$D$33,"ATENCION A PERSONAS CON DISCAPACIDAD",IF(O104=CURSOS!$D$34,"CUIDADO INTEGRAL DEL PACIENTE ADULTO",IF(O104=CURSOS!$D$35,"MANEJO DEFENSIVO",IF(O104=CURSOS!$D$36,"SOPORTE CARDIOVASCULAR AVANZADO NEONATAL",IF(O104=CURSOS!$D$37,"SEGURIDAD DEL PACIENTE",IF(O104=CURSOS!$D$38,"MANEJO DE RESIDUOS HOSPITALARIOS"))))))))))))))))))))))))))))))))))))</f>
        <v xml:space="preserve">ATENCION A VICTIMAS DE VIOLENCIA SEXUAL </v>
      </c>
      <c r="V104" s="47" t="str">
        <f t="shared" si="6"/>
        <v>Mireya Samirna Chamorro Cortez</v>
      </c>
      <c r="W104" s="47" t="str">
        <f t="shared" si="7"/>
        <v>Mireya Samirna Chamorro Cortez</v>
      </c>
      <c r="X104" s="47" t="str">
        <f t="shared" si="8"/>
        <v>Mireya Samirna Chamorro Cortez-59396015-VIOLENCIA SEXUAL</v>
      </c>
    </row>
    <row r="105" spans="1:24" s="50" customFormat="1" x14ac:dyDescent="0.2">
      <c r="A105" s="46">
        <v>104</v>
      </c>
      <c r="B105" s="54">
        <v>59396015</v>
      </c>
      <c r="C105" s="68" t="s">
        <v>290</v>
      </c>
      <c r="D105" s="68" t="s">
        <v>291</v>
      </c>
      <c r="E105" s="68" t="s">
        <v>292</v>
      </c>
      <c r="F105" s="68" t="s">
        <v>293</v>
      </c>
      <c r="G105" s="68">
        <v>6</v>
      </c>
      <c r="H105" s="54" t="s">
        <v>100</v>
      </c>
      <c r="I105" s="78" t="s">
        <v>146</v>
      </c>
      <c r="J105" s="56">
        <v>45611</v>
      </c>
      <c r="K105" s="108">
        <v>28000</v>
      </c>
      <c r="L105" s="54" t="s">
        <v>235</v>
      </c>
      <c r="M105" s="54" t="s">
        <v>80</v>
      </c>
      <c r="N105" s="68" t="s">
        <v>159</v>
      </c>
      <c r="O105" s="77" t="s">
        <v>23</v>
      </c>
      <c r="P105" s="68"/>
      <c r="Q105" s="68" t="s">
        <v>89</v>
      </c>
      <c r="R105" s="68" t="s">
        <v>189</v>
      </c>
      <c r="S105" s="79">
        <v>3214607520</v>
      </c>
      <c r="T105" s="54" t="s">
        <v>294</v>
      </c>
      <c r="U105" s="47" t="str">
        <f>IF(O105=CURSOS!$D$3,"DIPLOMADO EN ATENCION PRE-HOSPITALARIA",IF(O105=CURSOS!$D$4,"ACOMPAÑAMIENTO Y MANEJO DEL DUELO",IF(O105=CURSOS!$D$5,"ATENCION A VICTIMAS DE ATAQUE CON AGENTES QUIMICOS ",IF(O105=CURSOS!$D$6,"PRIMEROS AUXILIOS ",IF(O105=CURSOS!$D$7,"DIPLOMADO DE UNIDAD DE CUIDADOS INTENSIVOS (UCI)",IF(O105=CURSOS!$D$8,"MODELO DE ATENCION PARA EVENTOS EMERGENTES EN SALUD MENTAL (CODIGO VERDE)",IF(O105=CURSOS!$D$9,"HUMANIZACION EN EL SERVICIO DE LA SALUD Y BUENAS PRACTICAS EN PACIENTE ",IF(O105=CURSOS!$D$10,"CLINICA DE HERIDAS ",IF(O105=CURSOS!$D$11,"TOMA DE CITOLOGIA CERVICO VAGINAL ",IF(O105=CURSOS!$D$12,"SOPORTE CARDIOVASCULAR AVANZADO (ACLS) ",IF(O105=CURSOS!$D$13,"CAMILLERO ",IF(O105=CURSOS!$D$14,"TOMA DE MUESTRAS Y LABORATORIO ",IF(O105=CURSOS!$D$15,"SOPORTE VITAL BASICO (BLS)",IF(O105=CURSOS!$D$16,"ATENCION A VICTIMAS DE VIOLENCIA SEXUAL ",IF(O105=CURSOS!$D$17,"PROGRAMADO AMPLIADO DE INMUNIZACION (PAI - COVID 19)",IF(O105=CURSOS!$D$18,"ATENCION INTEGRAL EN ENFERMEDADES PREVALENTES EN PRIMERA INFANCIA (AIEPI)",IF(O105=CURSOS!$D$19,"ADMINISTRACION DE MEDICAMENTOS, INYECTOLOGIA  Y CANALIZACION ",IF(O105=CURSOS!$D$20,"OPERADOR DE VEHICULOS DE EMERGENCIA (OVE)",IF(O105=CURSOS!$D$21,"INSTITUCIONES AMIGAS DE LA MUJER Y LA INFANCIA (IAMI)",IF(O105=CURSOS!$D$22,"CUIDADO DEL DONANTE DE ORGANOS",IF(O105=CURSOS!$D$23,"ATENCION A VICTIMAS POR VIOLENCIA DE GENERO",IF(O105=CURSOS!$D$24,"IGUALDAD DE GENERO EN LA SALUD",IF(O105=CURSOS!$D$25,"BRIGADA DE EMERGENCIA",IF(O105=CURSOS!$D$26,"MANEJO DEL DOLOR Y CUIDADOS PALIATIVOS",IF(O105=CURSOS!$D$27,"TOMA DE MUESTRAS Y LABORATORIO POCT",IF(O105=CURSOS!$D$28,"IMPLANTE SUBDERMICO DE DISPOSITIVO INTRAUTERINO",IF(O105=CURSOS!$D$29,"SALUD MENTAL",IF(O105=CURSOS!$D$30,"PRIMEROS AUXILIOS PSICOLOGICOS",IF(O105=CURSOS!$D$31,"ATENCION A VICTIMAS POR CONFLICTO ARMADO",IF(O105=CURSOS!$D$32,"MANIPULACION DE ALIMENTOS Y BPM",IF(O105=CURSOS!$D$33,"ATENCION A PERSONAS CON DISCAPACIDAD",IF(O105=CURSOS!$D$34,"CUIDADO INTEGRAL DEL PACIENTE ADULTO",IF(O105=CURSOS!$D$35,"MANEJO DEFENSIVO",IF(O105=CURSOS!$D$36,"SOPORTE CARDIOVASCULAR AVANZADO NEONATAL",IF(O105=CURSOS!$D$37,"SEGURIDAD DEL PACIENTE",IF(O105=CURSOS!$D$38,"MANEJO DE RESIDUOS HOSPITALARIOS"))))))))))))))))))))))))))))))))))))</f>
        <v>ACOMPAÑAMIENTO Y MANEJO DEL DUELO</v>
      </c>
      <c r="V105" s="47" t="str">
        <f t="shared" si="6"/>
        <v>Mireya Samirna Chamorro Cortez</v>
      </c>
      <c r="W105" s="47" t="str">
        <f t="shared" si="7"/>
        <v>Mireya Samirna Chamorro Cortez</v>
      </c>
      <c r="X105" s="47" t="str">
        <f t="shared" si="8"/>
        <v>Mireya Samirna Chamorro Cortez-59396015-DUELO</v>
      </c>
    </row>
    <row r="106" spans="1:24" s="50" customFormat="1" x14ac:dyDescent="0.2">
      <c r="A106" s="46">
        <v>105</v>
      </c>
      <c r="B106" s="68">
        <v>37124787</v>
      </c>
      <c r="C106" s="68" t="s">
        <v>295</v>
      </c>
      <c r="D106" s="68" t="s">
        <v>296</v>
      </c>
      <c r="E106" s="68" t="s">
        <v>297</v>
      </c>
      <c r="F106" s="68" t="s">
        <v>173</v>
      </c>
      <c r="G106" s="68">
        <v>12</v>
      </c>
      <c r="H106" s="54" t="s">
        <v>100</v>
      </c>
      <c r="I106" s="78" t="s">
        <v>146</v>
      </c>
      <c r="J106" s="76">
        <v>45608</v>
      </c>
      <c r="K106" s="111">
        <v>35000</v>
      </c>
      <c r="L106" s="68" t="s">
        <v>139</v>
      </c>
      <c r="M106" s="54" t="s">
        <v>80</v>
      </c>
      <c r="N106" s="68" t="s">
        <v>90</v>
      </c>
      <c r="O106" s="77" t="s">
        <v>48</v>
      </c>
      <c r="P106" s="78">
        <v>29967</v>
      </c>
      <c r="Q106" s="68" t="s">
        <v>89</v>
      </c>
      <c r="R106" s="80" t="s">
        <v>285</v>
      </c>
      <c r="S106" s="68">
        <v>3174176863</v>
      </c>
      <c r="T106" s="54" t="s">
        <v>298</v>
      </c>
      <c r="U106" s="47" t="str">
        <f>IF(O106=CURSOS!$D$3,"DIPLOMADO EN ATENCION PRE-HOSPITALARIA",IF(O106=CURSOS!$D$4,"ACOMPAÑAMIENTO Y MANEJO DEL DUELO",IF(O106=CURSOS!$D$5,"ATENCION A VICTIMAS DE ATAQUE CON AGENTES QUIMICOS ",IF(O106=CURSOS!$D$6,"PRIMEROS AUXILIOS ",IF(O106=CURSOS!$D$7,"DIPLOMADO DE UNIDAD DE CUIDADOS INTENSIVOS (UCI)",IF(O106=CURSOS!$D$8,"MODELO DE ATENCION PARA EVENTOS EMERGENTES EN SALUD MENTAL (CODIGO VERDE)",IF(O106=CURSOS!$D$9,"HUMANIZACION EN EL SERVICIO DE LA SALUD Y BUENAS PRACTICAS EN PACIENTE ",IF(O106=CURSOS!$D$10,"CLINICA DE HERIDAS ",IF(O106=CURSOS!$D$11,"TOMA DE CITOLOGIA CERVICO VAGINAL ",IF(O106=CURSOS!$D$12,"SOPORTE CARDIOVASCULAR AVANZADO (ACLS) ",IF(O106=CURSOS!$D$13,"CAMILLERO ",IF(O106=CURSOS!$D$14,"TOMA DE MUESTRAS Y LABORATORIO ",IF(O106=CURSOS!$D$15,"SOPORTE VITAL BASICO (BLS)",IF(O106=CURSOS!$D$16,"ATENCION A VICTIMAS DE VIOLENCIA SEXUAL ",IF(O106=CURSOS!$D$17,"PROGRAMADO AMPLIADO DE INMUNIZACION (PAI - COVID 19)",IF(O106=CURSOS!$D$18,"ATENCION INTEGRAL EN ENFERMEDADES PREVALENTES EN PRIMERA INFANCIA (AIEPI)",IF(O106=CURSOS!$D$19,"ADMINISTRACION DE MEDICAMENTOS, INYECTOLOGIA  Y CANALIZACION ",IF(O106=CURSOS!$D$20,"OPERADOR DE VEHICULOS DE EMERGENCIA (OVE)",IF(O106=CURSOS!$D$21,"INSTITUCIONES AMIGAS DE LA MUJER Y LA INFANCIA (IAMI)",IF(O106=CURSOS!$D$22,"CUIDADO DEL DONANTE DE ORGANOS",IF(O106=CURSOS!$D$23,"ATENCION A VICTIMAS POR VIOLENCIA DE GENERO",IF(O106=CURSOS!$D$24,"IGUALDAD DE GENERO EN LA SALUD",IF(O106=CURSOS!$D$25,"BRIGADA DE EMERGENCIA",IF(O106=CURSOS!$D$26,"MANEJO DEL DOLOR Y CUIDADOS PALIATIVOS",IF(O106=CURSOS!$D$27,"TOMA DE MUESTRAS Y LABORATORIO POCT",IF(O106=CURSOS!$D$28,"IMPLANTE SUBDERMICO DE DISPOSITIVO INTRAUTERINO",IF(O106=CURSOS!$D$29,"SALUD MENTAL",IF(O106=CURSOS!$D$30,"PRIMEROS AUXILIOS PSICOLOGICOS",IF(O106=CURSOS!$D$31,"ATENCION A VICTIMAS POR CONFLICTO ARMADO",IF(O106=CURSOS!$D$32,"MANIPULACION DE ALIMENTOS Y BPM",IF(O106=CURSOS!$D$33,"ATENCION A PERSONAS CON DISCAPACIDAD",IF(O106=CURSOS!$D$34,"CUIDADO INTEGRAL DEL PACIENTE ADULTO",IF(O106=CURSOS!$D$35,"MANEJO DEFENSIVO",IF(O106=CURSOS!$D$36,"SOPORTE CARDIOVASCULAR AVANZADO NEONATAL",IF(O106=CURSOS!$D$37,"SEGURIDAD DEL PACIENTE",IF(O106=CURSOS!$D$38,"MANEJO DE RESIDUOS HOSPITALARIOS"))))))))))))))))))))))))))))))))))))</f>
        <v>INSTITUCIONES AMIGAS DE LA MUJER Y LA INFANCIA (IAMI)</v>
      </c>
      <c r="V106" s="47" t="str">
        <f t="shared" si="6"/>
        <v>Sandra Ximena Ceballos Meneses</v>
      </c>
      <c r="W106" s="47" t="str">
        <f t="shared" si="7"/>
        <v>Sandra Ximena Ceballos Meneses</v>
      </c>
      <c r="X106" s="47" t="str">
        <f t="shared" si="8"/>
        <v>Sandra Ximena Ceballos Meneses-37124787-IAMI</v>
      </c>
    </row>
    <row r="107" spans="1:24" s="50" customFormat="1" x14ac:dyDescent="0.2">
      <c r="A107" s="46">
        <v>106</v>
      </c>
      <c r="B107" s="68">
        <v>37124787</v>
      </c>
      <c r="C107" s="68" t="s">
        <v>295</v>
      </c>
      <c r="D107" s="68" t="s">
        <v>296</v>
      </c>
      <c r="E107" s="68" t="s">
        <v>297</v>
      </c>
      <c r="F107" s="68" t="s">
        <v>173</v>
      </c>
      <c r="G107" s="68">
        <v>12</v>
      </c>
      <c r="H107" s="54" t="s">
        <v>100</v>
      </c>
      <c r="I107" s="78" t="s">
        <v>146</v>
      </c>
      <c r="J107" s="76">
        <v>45608</v>
      </c>
      <c r="K107" s="111">
        <v>35000</v>
      </c>
      <c r="L107" s="68" t="s">
        <v>139</v>
      </c>
      <c r="M107" s="54" t="s">
        <v>80</v>
      </c>
      <c r="N107" s="68" t="s">
        <v>90</v>
      </c>
      <c r="O107" s="77" t="s">
        <v>42</v>
      </c>
      <c r="P107" s="78">
        <v>29967</v>
      </c>
      <c r="Q107" s="68" t="s">
        <v>89</v>
      </c>
      <c r="R107" s="80" t="s">
        <v>285</v>
      </c>
      <c r="S107" s="68">
        <v>3174176863</v>
      </c>
      <c r="T107" s="54" t="s">
        <v>298</v>
      </c>
      <c r="U107" s="47" t="str">
        <f>IF(O107=CURSOS!$D$3,"DIPLOMADO EN ATENCION PRE-HOSPITALARIA",IF(O107=CURSOS!$D$4,"ACOMPAÑAMIENTO Y MANEJO DEL DUELO",IF(O107=CURSOS!$D$5,"ATENCION A VICTIMAS DE ATAQUE CON AGENTES QUIMICOS ",IF(O107=CURSOS!$D$6,"PRIMEROS AUXILIOS ",IF(O107=CURSOS!$D$7,"DIPLOMADO DE UNIDAD DE CUIDADOS INTENSIVOS (UCI)",IF(O107=CURSOS!$D$8,"MODELO DE ATENCION PARA EVENTOS EMERGENTES EN SALUD MENTAL (CODIGO VERDE)",IF(O107=CURSOS!$D$9,"HUMANIZACION EN EL SERVICIO DE LA SALUD Y BUENAS PRACTICAS EN PACIENTE ",IF(O107=CURSOS!$D$10,"CLINICA DE HERIDAS ",IF(O107=CURSOS!$D$11,"TOMA DE CITOLOGIA CERVICO VAGINAL ",IF(O107=CURSOS!$D$12,"SOPORTE CARDIOVASCULAR AVANZADO (ACLS) ",IF(O107=CURSOS!$D$13,"CAMILLERO ",IF(O107=CURSOS!$D$14,"TOMA DE MUESTRAS Y LABORATORIO ",IF(O107=CURSOS!$D$15,"SOPORTE VITAL BASICO (BLS)",IF(O107=CURSOS!$D$16,"ATENCION A VICTIMAS DE VIOLENCIA SEXUAL ",IF(O107=CURSOS!$D$17,"PROGRAMADO AMPLIADO DE INMUNIZACION (PAI - COVID 19)",IF(O107=CURSOS!$D$18,"ATENCION INTEGRAL EN ENFERMEDADES PREVALENTES EN PRIMERA INFANCIA (AIEPI)",IF(O107=CURSOS!$D$19,"ADMINISTRACION DE MEDICAMENTOS, INYECTOLOGIA  Y CANALIZACION ",IF(O107=CURSOS!$D$20,"OPERADOR DE VEHICULOS DE EMERGENCIA (OVE)",IF(O107=CURSOS!$D$21,"INSTITUCIONES AMIGAS DE LA MUJER Y LA INFANCIA (IAMI)",IF(O107=CURSOS!$D$22,"CUIDADO DEL DONANTE DE ORGANOS",IF(O107=CURSOS!$D$23,"ATENCION A VICTIMAS POR VIOLENCIA DE GENERO",IF(O107=CURSOS!$D$24,"IGUALDAD DE GENERO EN LA SALUD",IF(O107=CURSOS!$D$25,"BRIGADA DE EMERGENCIA",IF(O107=CURSOS!$D$26,"MANEJO DEL DOLOR Y CUIDADOS PALIATIVOS",IF(O107=CURSOS!$D$27,"TOMA DE MUESTRAS Y LABORATORIO POCT",IF(O107=CURSOS!$D$28,"IMPLANTE SUBDERMICO DE DISPOSITIVO INTRAUTERINO",IF(O107=CURSOS!$D$29,"SALUD MENTAL",IF(O107=CURSOS!$D$30,"PRIMEROS AUXILIOS PSICOLOGICOS",IF(O107=CURSOS!$D$31,"ATENCION A VICTIMAS POR CONFLICTO ARMADO",IF(O107=CURSOS!$D$32,"MANIPULACION DE ALIMENTOS Y BPM",IF(O107=CURSOS!$D$33,"ATENCION A PERSONAS CON DISCAPACIDAD",IF(O107=CURSOS!$D$34,"CUIDADO INTEGRAL DEL PACIENTE ADULTO",IF(O107=CURSOS!$D$35,"MANEJO DEFENSIVO",IF(O107=CURSOS!$D$36,"SOPORTE CARDIOVASCULAR AVANZADO NEONATAL",IF(O107=CURSOS!$D$37,"SEGURIDAD DEL PACIENTE",IF(O107=CURSOS!$D$38,"MANEJO DE RESIDUOS HOSPITALARIOS"))))))))))))))))))))))))))))))))))))</f>
        <v xml:space="preserve">ATENCION A VICTIMAS DE VIOLENCIA SEXUAL </v>
      </c>
      <c r="V107" s="47" t="str">
        <f t="shared" si="6"/>
        <v>Sandra Ximena Ceballos Meneses</v>
      </c>
      <c r="W107" s="47" t="str">
        <f t="shared" si="7"/>
        <v>Sandra Ximena Ceballos Meneses</v>
      </c>
      <c r="X107" s="47" t="str">
        <f t="shared" si="8"/>
        <v>Sandra Ximena Ceballos Meneses-37124787-VIOLENCIA SEXUAL</v>
      </c>
    </row>
    <row r="108" spans="1:24" s="50" customFormat="1" x14ac:dyDescent="0.2">
      <c r="A108" s="46">
        <v>107</v>
      </c>
      <c r="B108" s="68">
        <v>1118474417</v>
      </c>
      <c r="C108" s="68" t="s">
        <v>299</v>
      </c>
      <c r="D108" s="68" t="s">
        <v>256</v>
      </c>
      <c r="E108" s="68" t="s">
        <v>300</v>
      </c>
      <c r="F108" s="68" t="s">
        <v>219</v>
      </c>
      <c r="G108" s="68">
        <v>12</v>
      </c>
      <c r="H108" s="54" t="s">
        <v>100</v>
      </c>
      <c r="I108" s="78" t="s">
        <v>146</v>
      </c>
      <c r="J108" s="56">
        <v>45611</v>
      </c>
      <c r="K108" s="108">
        <v>28000</v>
      </c>
      <c r="L108" s="54" t="s">
        <v>235</v>
      </c>
      <c r="M108" s="54" t="s">
        <v>80</v>
      </c>
      <c r="N108" s="68" t="s">
        <v>159</v>
      </c>
      <c r="O108" s="77" t="s">
        <v>32</v>
      </c>
      <c r="P108" s="78">
        <v>35884</v>
      </c>
      <c r="Q108" s="68" t="s">
        <v>89</v>
      </c>
      <c r="R108" s="68" t="s">
        <v>189</v>
      </c>
      <c r="S108" s="79">
        <v>3104379025</v>
      </c>
      <c r="T108" s="54" t="s">
        <v>301</v>
      </c>
      <c r="U108" s="47" t="str">
        <f>IF(O108=CURSOS!$D$3,"DIPLOMADO EN ATENCION PRE-HOSPITALARIA",IF(O108=CURSOS!$D$4,"ACOMPAÑAMIENTO Y MANEJO DEL DUELO",IF(O108=CURSOS!$D$5,"ATENCION A VICTIMAS DE ATAQUE CON AGENTES QUIMICOS ",IF(O108=CURSOS!$D$6,"PRIMEROS AUXILIOS ",IF(O108=CURSOS!$D$7,"DIPLOMADO DE UNIDAD DE CUIDADOS INTENSIVOS (UCI)",IF(O108=CURSOS!$D$8,"MODELO DE ATENCION PARA EVENTOS EMERGENTES EN SALUD MENTAL (CODIGO VERDE)",IF(O108=CURSOS!$D$9,"HUMANIZACION EN EL SERVICIO DE LA SALUD Y BUENAS PRACTICAS EN PACIENTE ",IF(O108=CURSOS!$D$10,"CLINICA DE HERIDAS ",IF(O108=CURSOS!$D$11,"TOMA DE CITOLOGIA CERVICO VAGINAL ",IF(O108=CURSOS!$D$12,"SOPORTE CARDIOVASCULAR AVANZADO (ACLS) ",IF(O108=CURSOS!$D$13,"CAMILLERO ",IF(O108=CURSOS!$D$14,"TOMA DE MUESTRAS Y LABORATORIO ",IF(O108=CURSOS!$D$15,"SOPORTE VITAL BASICO (BLS)",IF(O108=CURSOS!$D$16,"ATENCION A VICTIMAS DE VIOLENCIA SEXUAL ",IF(O108=CURSOS!$D$17,"PROGRAMADO AMPLIADO DE INMUNIZACION (PAI - COVID 19)",IF(O108=CURSOS!$D$18,"ATENCION INTEGRAL EN ENFERMEDADES PREVALENTES EN PRIMERA INFANCIA (AIEPI)",IF(O108=CURSOS!$D$19,"ADMINISTRACION DE MEDICAMENTOS, INYECTOLOGIA  Y CANALIZACION ",IF(O108=CURSOS!$D$20,"OPERADOR DE VEHICULOS DE EMERGENCIA (OVE)",IF(O108=CURSOS!$D$21,"INSTITUCIONES AMIGAS DE LA MUJER Y LA INFANCIA (IAMI)",IF(O108=CURSOS!$D$22,"CUIDADO DEL DONANTE DE ORGANOS",IF(O108=CURSOS!$D$23,"ATENCION A VICTIMAS POR VIOLENCIA DE GENERO",IF(O108=CURSOS!$D$24,"IGUALDAD DE GENERO EN LA SALUD",IF(O108=CURSOS!$D$25,"BRIGADA DE EMERGENCIA",IF(O108=CURSOS!$D$26,"MANEJO DEL DOLOR Y CUIDADOS PALIATIVOS",IF(O108=CURSOS!$D$27,"TOMA DE MUESTRAS Y LABORATORIO POCT",IF(O108=CURSOS!$D$28,"IMPLANTE SUBDERMICO DE DISPOSITIVO INTRAUTERINO",IF(O108=CURSOS!$D$29,"SALUD MENTAL",IF(O108=CURSOS!$D$30,"PRIMEROS AUXILIOS PSICOLOGICOS",IF(O108=CURSOS!$D$31,"ATENCION A VICTIMAS POR CONFLICTO ARMADO",IF(O108=CURSOS!$D$32,"MANIPULACION DE ALIMENTOS Y BPM",IF(O108=CURSOS!$D$33,"ATENCION A PERSONAS CON DISCAPACIDAD",IF(O108=CURSOS!$D$34,"CUIDADO INTEGRAL DEL PACIENTE ADULTO",IF(O108=CURSOS!$D$35,"MANEJO DEFENSIVO",IF(O108=CURSOS!$D$36,"SOPORTE CARDIOVASCULAR AVANZADO NEONATAL",IF(O108=CURSOS!$D$37,"SEGURIDAD DEL PACIENTE",IF(O108=CURSOS!$D$38,"MANEJO DE RESIDUOS HOSPITALARIOS"))))))))))))))))))))))))))))))))))))</f>
        <v xml:space="preserve">HUMANIZACION EN EL SERVICIO DE LA SALUD Y BUENAS PRACTICAS EN PACIENTE </v>
      </c>
      <c r="V108" s="47" t="str">
        <f t="shared" si="6"/>
        <v>Luz Adriana Rodíguez Torres</v>
      </c>
      <c r="W108" s="47" t="str">
        <f t="shared" si="7"/>
        <v>Luz Adriana Rodíguez Torres</v>
      </c>
      <c r="X108" s="47" t="str">
        <f t="shared" si="8"/>
        <v>Luz Adriana Rodíguez Torres-1118474417-HUMANIZACION</v>
      </c>
    </row>
    <row r="109" spans="1:24" s="50" customFormat="1" x14ac:dyDescent="0.2">
      <c r="A109" s="46">
        <v>108</v>
      </c>
      <c r="B109" s="68">
        <v>59396532</v>
      </c>
      <c r="C109" s="68" t="s">
        <v>270</v>
      </c>
      <c r="D109" s="68" t="s">
        <v>130</v>
      </c>
      <c r="E109" s="68" t="s">
        <v>258</v>
      </c>
      <c r="F109" s="68" t="s">
        <v>302</v>
      </c>
      <c r="G109" s="68">
        <v>6</v>
      </c>
      <c r="H109" s="54" t="s">
        <v>100</v>
      </c>
      <c r="I109" s="78" t="s">
        <v>146</v>
      </c>
      <c r="J109" s="56">
        <v>45611</v>
      </c>
      <c r="K109" s="108">
        <v>80000</v>
      </c>
      <c r="L109" s="54" t="s">
        <v>235</v>
      </c>
      <c r="M109" s="54" t="s">
        <v>80</v>
      </c>
      <c r="N109" s="68" t="s">
        <v>159</v>
      </c>
      <c r="O109" s="77" t="s">
        <v>37</v>
      </c>
      <c r="P109" s="78">
        <v>31154</v>
      </c>
      <c r="Q109" s="68" t="s">
        <v>89</v>
      </c>
      <c r="R109" s="68" t="s">
        <v>303</v>
      </c>
      <c r="S109" s="79">
        <v>3233611655</v>
      </c>
      <c r="T109" s="54" t="s">
        <v>304</v>
      </c>
      <c r="U109" s="47" t="str">
        <f>IF(O109=CURSOS!$D$3,"DIPLOMADO EN ATENCION PRE-HOSPITALARIA",IF(O109=CURSOS!$D$4,"ACOMPAÑAMIENTO Y MANEJO DEL DUELO",IF(O109=CURSOS!$D$5,"ATENCION A VICTIMAS DE ATAQUE CON AGENTES QUIMICOS ",IF(O109=CURSOS!$D$6,"PRIMEROS AUXILIOS ",IF(O109=CURSOS!$D$7,"DIPLOMADO DE UNIDAD DE CUIDADOS INTENSIVOS (UCI)",IF(O109=CURSOS!$D$8,"MODELO DE ATENCION PARA EVENTOS EMERGENTES EN SALUD MENTAL (CODIGO VERDE)",IF(O109=CURSOS!$D$9,"HUMANIZACION EN EL SERVICIO DE LA SALUD Y BUENAS PRACTICAS EN PACIENTE ",IF(O109=CURSOS!$D$10,"CLINICA DE HERIDAS ",IF(O109=CURSOS!$D$11,"TOMA DE CITOLOGIA CERVICO VAGINAL ",IF(O109=CURSOS!$D$12,"SOPORTE CARDIOVASCULAR AVANZADO (ACLS) ",IF(O109=CURSOS!$D$13,"CAMILLERO ",IF(O109=CURSOS!$D$14,"TOMA DE MUESTRAS Y LABORATORIO ",IF(O109=CURSOS!$D$15,"SOPORTE VITAL BASICO (BLS)",IF(O109=CURSOS!$D$16,"ATENCION A VICTIMAS DE VIOLENCIA SEXUAL ",IF(O109=CURSOS!$D$17,"PROGRAMADO AMPLIADO DE INMUNIZACION (PAI - COVID 19)",IF(O109=CURSOS!$D$18,"ATENCION INTEGRAL EN ENFERMEDADES PREVALENTES EN PRIMERA INFANCIA (AIEPI)",IF(O109=CURSOS!$D$19,"ADMINISTRACION DE MEDICAMENTOS, INYECTOLOGIA  Y CANALIZACION ",IF(O109=CURSOS!$D$20,"OPERADOR DE VEHICULOS DE EMERGENCIA (OVE)",IF(O109=CURSOS!$D$21,"INSTITUCIONES AMIGAS DE LA MUJER Y LA INFANCIA (IAMI)",IF(O109=CURSOS!$D$22,"CUIDADO DEL DONANTE DE ORGANOS",IF(O109=CURSOS!$D$23,"ATENCION A VICTIMAS POR VIOLENCIA DE GENERO",IF(O109=CURSOS!$D$24,"IGUALDAD DE GENERO EN LA SALUD",IF(O109=CURSOS!$D$25,"BRIGADA DE EMERGENCIA",IF(O109=CURSOS!$D$26,"MANEJO DEL DOLOR Y CUIDADOS PALIATIVOS",IF(O109=CURSOS!$D$27,"TOMA DE MUESTRAS Y LABORATORIO POCT",IF(O109=CURSOS!$D$28,"IMPLANTE SUBDERMICO DE DISPOSITIVO INTRAUTERINO",IF(O109=CURSOS!$D$29,"SALUD MENTAL",IF(O109=CURSOS!$D$30,"PRIMEROS AUXILIOS PSICOLOGICOS",IF(O109=CURSOS!$D$31,"ATENCION A VICTIMAS POR CONFLICTO ARMADO",IF(O109=CURSOS!$D$32,"MANIPULACION DE ALIMENTOS Y BPM",IF(O109=CURSOS!$D$33,"ATENCION A PERSONAS CON DISCAPACIDAD",IF(O109=CURSOS!$D$34,"CUIDADO INTEGRAL DEL PACIENTE ADULTO",IF(O109=CURSOS!$D$35,"MANEJO DEFENSIVO",IF(O109=CURSOS!$D$36,"SOPORTE CARDIOVASCULAR AVANZADO NEONATAL",IF(O109=CURSOS!$D$37,"SEGURIDAD DEL PACIENTE",IF(O109=CURSOS!$D$38,"MANEJO DE RESIDUOS HOSPITALARIOS"))))))))))))))))))))))))))))))))))))</f>
        <v xml:space="preserve">SOPORTE CARDIOVASCULAR AVANZADO (ACLS) </v>
      </c>
      <c r="V109" s="47" t="str">
        <f t="shared" si="6"/>
        <v>María Camila Bastidas Rosero</v>
      </c>
      <c r="W109" s="47" t="str">
        <f t="shared" si="7"/>
        <v>María Camila Bastidas Rosero</v>
      </c>
      <c r="X109" s="47" t="str">
        <f t="shared" si="8"/>
        <v>María Camila Bastidas Rosero-59396532-ACLS</v>
      </c>
    </row>
    <row r="110" spans="1:24" s="50" customFormat="1" x14ac:dyDescent="0.2">
      <c r="A110" s="46">
        <v>109</v>
      </c>
      <c r="B110" s="68">
        <v>59396532</v>
      </c>
      <c r="C110" s="68" t="s">
        <v>270</v>
      </c>
      <c r="D110" s="68" t="s">
        <v>130</v>
      </c>
      <c r="E110" s="68" t="s">
        <v>258</v>
      </c>
      <c r="F110" s="68" t="s">
        <v>302</v>
      </c>
      <c r="G110" s="68">
        <v>6</v>
      </c>
      <c r="H110" s="54" t="s">
        <v>100</v>
      </c>
      <c r="I110" s="78" t="s">
        <v>146</v>
      </c>
      <c r="J110" s="56">
        <v>45611</v>
      </c>
      <c r="K110" s="108">
        <v>20000</v>
      </c>
      <c r="L110" s="54" t="s">
        <v>235</v>
      </c>
      <c r="M110" s="54" t="s">
        <v>80</v>
      </c>
      <c r="N110" s="68" t="s">
        <v>159</v>
      </c>
      <c r="O110" s="43" t="s">
        <v>19</v>
      </c>
      <c r="P110" s="78">
        <v>31154</v>
      </c>
      <c r="Q110" s="68" t="s">
        <v>89</v>
      </c>
      <c r="R110" s="68" t="s">
        <v>303</v>
      </c>
      <c r="S110" s="79">
        <v>3233611655</v>
      </c>
      <c r="T110" s="54" t="s">
        <v>304</v>
      </c>
      <c r="U110" s="47" t="str">
        <f>IF(O110=CURSOS!$D$3,"DIPLOMADO EN ATENCION PRE-HOSPITALARIA",IF(O110=CURSOS!$D$4,"ACOMPAÑAMIENTO Y MANEJO DEL DUELO",IF(O110=CURSOS!$D$5,"ATENCION A VICTIMAS DE ATAQUE CON AGENTES QUIMICOS ",IF(O110=CURSOS!$D$6,"PRIMEROS AUXILIOS ",IF(O110=CURSOS!$D$7,"DIPLOMADO DE UNIDAD DE CUIDADOS INTENSIVOS (UCI)",IF(O110=CURSOS!$D$8,"MODELO DE ATENCION PARA EVENTOS EMERGENTES EN SALUD MENTAL (CODIGO VERDE)",IF(O110=CURSOS!$D$9,"HUMANIZACION EN EL SERVICIO DE LA SALUD Y BUENAS PRACTICAS EN PACIENTE ",IF(O110=CURSOS!$D$10,"CLINICA DE HERIDAS ",IF(O110=CURSOS!$D$11,"TOMA DE CITOLOGIA CERVICO VAGINAL ",IF(O110=CURSOS!$D$12,"SOPORTE CARDIOVASCULAR AVANZADO (ACLS) ",IF(O110=CURSOS!$D$13,"CAMILLERO ",IF(O110=CURSOS!$D$14,"TOMA DE MUESTRAS Y LABORATORIO ",IF(O110=CURSOS!$D$15,"SOPORTE VITAL BASICO (BLS)",IF(O110=CURSOS!$D$16,"ATENCION A VICTIMAS DE VIOLENCIA SEXUAL ",IF(O110=CURSOS!$D$17,"PROGRAMADO AMPLIADO DE INMUNIZACION (PAI - COVID 19)",IF(O110=CURSOS!$D$18,"ATENCION INTEGRAL EN ENFERMEDADES PREVALENTES EN PRIMERA INFANCIA (AIEPI)",IF(O110=CURSOS!$D$19,"ADMINISTRACION DE MEDICAMENTOS, INYECTOLOGIA  Y CANALIZACION ",IF(O110=CURSOS!$D$20,"OPERADOR DE VEHICULOS DE EMERGENCIA (OVE)",IF(O110=CURSOS!$D$21,"INSTITUCIONES AMIGAS DE LA MUJER Y LA INFANCIA (IAMI)",IF(O110=CURSOS!$D$22,"CUIDADO DEL DONANTE DE ORGANOS",IF(O110=CURSOS!$D$23,"ATENCION A VICTIMAS POR VIOLENCIA DE GENERO",IF(O110=CURSOS!$D$24,"IGUALDAD DE GENERO EN LA SALUD",IF(O110=CURSOS!$D$25,"BRIGADA DE EMERGENCIA",IF(O110=CURSOS!$D$26,"MANEJO DEL DOLOR Y CUIDADOS PALIATIVOS",IF(O110=CURSOS!$D$27,"TOMA DE MUESTRAS Y LABORATORIO POCT",IF(O110=CURSOS!$D$28,"IMPLANTE SUBDERMICO DE DISPOSITIVO INTRAUTERINO",IF(O110=CURSOS!$D$29,"SALUD MENTAL",IF(O110=CURSOS!$D$30,"PRIMEROS AUXILIOS PSICOLOGICOS",IF(O110=CURSOS!$D$31,"ATENCION A VICTIMAS POR CONFLICTO ARMADO",IF(O110=CURSOS!$D$32,"MANIPULACION DE ALIMENTOS Y BPM",IF(O110=CURSOS!$D$33,"ATENCION A PERSONAS CON DISCAPACIDAD",IF(O110=CURSOS!$D$34,"CUIDADO INTEGRAL DEL PACIENTE ADULTO",IF(O110=CURSOS!$D$35,"MANEJO DEFENSIVO",IF(O110=CURSOS!$D$36,"SOPORTE CARDIOVASCULAR AVANZADO NEONATAL",IF(O110=CURSOS!$D$37,"SEGURIDAD DEL PACIENTE",IF(O110=CURSOS!$D$38,"MANEJO DE RESIDUOS HOSPITALARIOS"))))))))))))))))))))))))))))))))))))</f>
        <v>SOPORTE VITAL BASICO (BLS)</v>
      </c>
      <c r="V110" s="47" t="str">
        <f t="shared" si="6"/>
        <v>María Camila Bastidas Rosero</v>
      </c>
      <c r="W110" s="47" t="str">
        <f t="shared" si="7"/>
        <v>María Camila Bastidas Rosero</v>
      </c>
      <c r="X110" s="47" t="str">
        <f t="shared" si="8"/>
        <v>María Camila Bastidas Rosero-59396532-BLS</v>
      </c>
    </row>
    <row r="111" spans="1:24" s="50" customFormat="1" x14ac:dyDescent="0.2">
      <c r="A111" s="46">
        <v>110</v>
      </c>
      <c r="B111" s="68">
        <v>59396532</v>
      </c>
      <c r="C111" s="68" t="s">
        <v>270</v>
      </c>
      <c r="D111" s="68" t="s">
        <v>130</v>
      </c>
      <c r="E111" s="68" t="s">
        <v>258</v>
      </c>
      <c r="F111" s="68" t="s">
        <v>302</v>
      </c>
      <c r="G111" s="68">
        <v>7</v>
      </c>
      <c r="H111" s="54" t="s">
        <v>100</v>
      </c>
      <c r="I111" s="78" t="s">
        <v>146</v>
      </c>
      <c r="J111" s="56">
        <v>45611</v>
      </c>
      <c r="K111" s="108">
        <v>28000</v>
      </c>
      <c r="L111" s="54" t="s">
        <v>235</v>
      </c>
      <c r="M111" s="54" t="s">
        <v>80</v>
      </c>
      <c r="N111" s="68" t="s">
        <v>159</v>
      </c>
      <c r="O111" s="43" t="s">
        <v>32</v>
      </c>
      <c r="P111" s="55">
        <v>31154</v>
      </c>
      <c r="Q111" s="68" t="s">
        <v>89</v>
      </c>
      <c r="R111" s="68" t="s">
        <v>303</v>
      </c>
      <c r="S111" s="79">
        <v>3233611655</v>
      </c>
      <c r="T111" s="54" t="s">
        <v>304</v>
      </c>
      <c r="U111" s="47" t="str">
        <f>IF(O111=CURSOS!$D$3,"DIPLOMADO EN ATENCION PRE-HOSPITALARIA",IF(O111=CURSOS!$D$4,"ACOMPAÑAMIENTO Y MANEJO DEL DUELO",IF(O111=CURSOS!$D$5,"ATENCION A VICTIMAS DE ATAQUE CON AGENTES QUIMICOS ",IF(O111=CURSOS!$D$6,"PRIMEROS AUXILIOS ",IF(O111=CURSOS!$D$7,"DIPLOMADO DE UNIDAD DE CUIDADOS INTENSIVOS (UCI)",IF(O111=CURSOS!$D$8,"MODELO DE ATENCION PARA EVENTOS EMERGENTES EN SALUD MENTAL (CODIGO VERDE)",IF(O111=CURSOS!$D$9,"HUMANIZACION EN EL SERVICIO DE LA SALUD Y BUENAS PRACTICAS EN PACIENTE ",IF(O111=CURSOS!$D$10,"CLINICA DE HERIDAS ",IF(O111=CURSOS!$D$11,"TOMA DE CITOLOGIA CERVICO VAGINAL ",IF(O111=CURSOS!$D$12,"SOPORTE CARDIOVASCULAR AVANZADO (ACLS) ",IF(O111=CURSOS!$D$13,"CAMILLERO ",IF(O111=CURSOS!$D$14,"TOMA DE MUESTRAS Y LABORATORIO ",IF(O111=CURSOS!$D$15,"SOPORTE VITAL BASICO (BLS)",IF(O111=CURSOS!$D$16,"ATENCION A VICTIMAS DE VIOLENCIA SEXUAL ",IF(O111=CURSOS!$D$17,"PROGRAMADO AMPLIADO DE INMUNIZACION (PAI - COVID 19)",IF(O111=CURSOS!$D$18,"ATENCION INTEGRAL EN ENFERMEDADES PREVALENTES EN PRIMERA INFANCIA (AIEPI)",IF(O111=CURSOS!$D$19,"ADMINISTRACION DE MEDICAMENTOS, INYECTOLOGIA  Y CANALIZACION ",IF(O111=CURSOS!$D$20,"OPERADOR DE VEHICULOS DE EMERGENCIA (OVE)",IF(O111=CURSOS!$D$21,"INSTITUCIONES AMIGAS DE LA MUJER Y LA INFANCIA (IAMI)",IF(O111=CURSOS!$D$22,"CUIDADO DEL DONANTE DE ORGANOS",IF(O111=CURSOS!$D$23,"ATENCION A VICTIMAS POR VIOLENCIA DE GENERO",IF(O111=CURSOS!$D$24,"IGUALDAD DE GENERO EN LA SALUD",IF(O111=CURSOS!$D$25,"BRIGADA DE EMERGENCIA",IF(O111=CURSOS!$D$26,"MANEJO DEL DOLOR Y CUIDADOS PALIATIVOS",IF(O111=CURSOS!$D$27,"TOMA DE MUESTRAS Y LABORATORIO POCT",IF(O111=CURSOS!$D$28,"IMPLANTE SUBDERMICO DE DISPOSITIVO INTRAUTERINO",IF(O111=CURSOS!$D$29,"SALUD MENTAL",IF(O111=CURSOS!$D$30,"PRIMEROS AUXILIOS PSICOLOGICOS",IF(O111=CURSOS!$D$31,"ATENCION A VICTIMAS POR CONFLICTO ARMADO",IF(O111=CURSOS!$D$32,"MANIPULACION DE ALIMENTOS Y BPM",IF(O111=CURSOS!$D$33,"ATENCION A PERSONAS CON DISCAPACIDAD",IF(O111=CURSOS!$D$34,"CUIDADO INTEGRAL DEL PACIENTE ADULTO",IF(O111=CURSOS!$D$35,"MANEJO DEFENSIVO",IF(O111=CURSOS!$D$36,"SOPORTE CARDIOVASCULAR AVANZADO NEONATAL",IF(O111=CURSOS!$D$37,"SEGURIDAD DEL PACIENTE",IF(O111=CURSOS!$D$38,"MANEJO DE RESIDUOS HOSPITALARIOS"))))))))))))))))))))))))))))))))))))</f>
        <v xml:space="preserve">HUMANIZACION EN EL SERVICIO DE LA SALUD Y BUENAS PRACTICAS EN PACIENTE </v>
      </c>
      <c r="V111" s="47" t="str">
        <f t="shared" si="6"/>
        <v>María Camila Bastidas Rosero</v>
      </c>
      <c r="W111" s="47" t="str">
        <f t="shared" si="7"/>
        <v>María Camila Bastidas Rosero</v>
      </c>
      <c r="X111" s="47" t="str">
        <f t="shared" si="8"/>
        <v>María Camila Bastidas Rosero-59396532-HUMANIZACION</v>
      </c>
    </row>
    <row r="112" spans="1:24" x14ac:dyDescent="0.2">
      <c r="A112" s="46">
        <v>111</v>
      </c>
      <c r="B112" s="68">
        <v>59396532</v>
      </c>
      <c r="C112" s="68" t="s">
        <v>270</v>
      </c>
      <c r="D112" s="68" t="s">
        <v>130</v>
      </c>
      <c r="E112" s="68" t="s">
        <v>258</v>
      </c>
      <c r="F112" s="68" t="s">
        <v>302</v>
      </c>
      <c r="G112" s="68">
        <v>8</v>
      </c>
      <c r="H112" s="54" t="s">
        <v>100</v>
      </c>
      <c r="I112" s="78" t="s">
        <v>146</v>
      </c>
      <c r="J112" s="56">
        <v>45611</v>
      </c>
      <c r="K112" s="108">
        <v>28000</v>
      </c>
      <c r="L112" s="54" t="s">
        <v>235</v>
      </c>
      <c r="M112" s="54" t="s">
        <v>80</v>
      </c>
      <c r="N112" s="68" t="s">
        <v>159</v>
      </c>
      <c r="O112" s="43" t="s">
        <v>42</v>
      </c>
      <c r="P112" s="55">
        <v>31154</v>
      </c>
      <c r="Q112" s="68" t="s">
        <v>89</v>
      </c>
      <c r="R112" s="68" t="s">
        <v>303</v>
      </c>
      <c r="S112" s="79">
        <v>3233611655</v>
      </c>
      <c r="T112" s="54" t="s">
        <v>304</v>
      </c>
      <c r="U112" s="47" t="str">
        <f>IF(O112=CURSOS!$D$3,"DIPLOMADO EN ATENCION PRE-HOSPITALARIA",IF(O112=CURSOS!$D$4,"ACOMPAÑAMIENTO Y MANEJO DEL DUELO",IF(O112=CURSOS!$D$5,"ATENCION A VICTIMAS DE ATAQUE CON AGENTES QUIMICOS ",IF(O112=CURSOS!$D$6,"PRIMEROS AUXILIOS ",IF(O112=CURSOS!$D$7,"DIPLOMADO DE UNIDAD DE CUIDADOS INTENSIVOS (UCI)",IF(O112=CURSOS!$D$8,"MODELO DE ATENCION PARA EVENTOS EMERGENTES EN SALUD MENTAL (CODIGO VERDE)",IF(O112=CURSOS!$D$9,"HUMANIZACION EN EL SERVICIO DE LA SALUD Y BUENAS PRACTICAS EN PACIENTE ",IF(O112=CURSOS!$D$10,"CLINICA DE HERIDAS ",IF(O112=CURSOS!$D$11,"TOMA DE CITOLOGIA CERVICO VAGINAL ",IF(O112=CURSOS!$D$12,"SOPORTE CARDIOVASCULAR AVANZADO (ACLS) ",IF(O112=CURSOS!$D$13,"CAMILLERO ",IF(O112=CURSOS!$D$14,"TOMA DE MUESTRAS Y LABORATORIO ",IF(O112=CURSOS!$D$15,"SOPORTE VITAL BASICO (BLS)",IF(O112=CURSOS!$D$16,"ATENCION A VICTIMAS DE VIOLENCIA SEXUAL ",IF(O112=CURSOS!$D$17,"PROGRAMADO AMPLIADO DE INMUNIZACION (PAI - COVID 19)",IF(O112=CURSOS!$D$18,"ATENCION INTEGRAL EN ENFERMEDADES PREVALENTES EN PRIMERA INFANCIA (AIEPI)",IF(O112=CURSOS!$D$19,"ADMINISTRACION DE MEDICAMENTOS, INYECTOLOGIA  Y CANALIZACION ",IF(O112=CURSOS!$D$20,"OPERADOR DE VEHICULOS DE EMERGENCIA (OVE)",IF(O112=CURSOS!$D$21,"INSTITUCIONES AMIGAS DE LA MUJER Y LA INFANCIA (IAMI)",IF(O112=CURSOS!$D$22,"CUIDADO DEL DONANTE DE ORGANOS",IF(O112=CURSOS!$D$23,"ATENCION A VICTIMAS POR VIOLENCIA DE GENERO",IF(O112=CURSOS!$D$24,"IGUALDAD DE GENERO EN LA SALUD",IF(O112=CURSOS!$D$25,"BRIGADA DE EMERGENCIA",IF(O112=CURSOS!$D$26,"MANEJO DEL DOLOR Y CUIDADOS PALIATIVOS",IF(O112=CURSOS!$D$27,"TOMA DE MUESTRAS Y LABORATORIO POCT",IF(O112=CURSOS!$D$28,"IMPLANTE SUBDERMICO DE DISPOSITIVO INTRAUTERINO",IF(O112=CURSOS!$D$29,"SALUD MENTAL",IF(O112=CURSOS!$D$30,"PRIMEROS AUXILIOS PSICOLOGICOS",IF(O112=CURSOS!$D$31,"ATENCION A VICTIMAS POR CONFLICTO ARMADO",IF(O112=CURSOS!$D$32,"MANIPULACION DE ALIMENTOS Y BPM",IF(O112=CURSOS!$D$33,"ATENCION A PERSONAS CON DISCAPACIDAD",IF(O112=CURSOS!$D$34,"CUIDADO INTEGRAL DEL PACIENTE ADULTO",IF(O112=CURSOS!$D$35,"MANEJO DEFENSIVO",IF(O112=CURSOS!$D$36,"SOPORTE CARDIOVASCULAR AVANZADO NEONATAL",IF(O112=CURSOS!$D$37,"SEGURIDAD DEL PACIENTE",IF(O112=CURSOS!$D$38,"MANEJO DE RESIDUOS HOSPITALARIOS"))))))))))))))))))))))))))))))))))))</f>
        <v xml:space="preserve">ATENCION A VICTIMAS DE VIOLENCIA SEXUAL </v>
      </c>
      <c r="V112" s="47" t="str">
        <f t="shared" si="6"/>
        <v>María Camila Bastidas Rosero</v>
      </c>
      <c r="W112" s="47" t="str">
        <f t="shared" si="7"/>
        <v>María Camila Bastidas Rosero</v>
      </c>
      <c r="X112" s="47" t="str">
        <f t="shared" si="8"/>
        <v>María Camila Bastidas Rosero-59396532-VIOLENCIA SEXUAL</v>
      </c>
    </row>
    <row r="113" spans="1:24" x14ac:dyDescent="0.2">
      <c r="A113" s="46">
        <v>112</v>
      </c>
      <c r="B113" s="68">
        <v>59396532</v>
      </c>
      <c r="C113" s="68" t="s">
        <v>270</v>
      </c>
      <c r="D113" s="68" t="s">
        <v>130</v>
      </c>
      <c r="E113" s="68" t="s">
        <v>258</v>
      </c>
      <c r="F113" s="68" t="s">
        <v>302</v>
      </c>
      <c r="G113" s="68">
        <v>5</v>
      </c>
      <c r="H113" s="54" t="s">
        <v>100</v>
      </c>
      <c r="I113" s="78" t="s">
        <v>146</v>
      </c>
      <c r="J113" s="56">
        <v>45611</v>
      </c>
      <c r="K113" s="108">
        <v>28000</v>
      </c>
      <c r="L113" s="54" t="s">
        <v>235</v>
      </c>
      <c r="M113" s="54" t="s">
        <v>80</v>
      </c>
      <c r="N113" s="68" t="s">
        <v>159</v>
      </c>
      <c r="O113" s="43" t="s">
        <v>23</v>
      </c>
      <c r="P113" s="55">
        <v>31154</v>
      </c>
      <c r="Q113" s="68" t="s">
        <v>89</v>
      </c>
      <c r="R113" s="68" t="s">
        <v>303</v>
      </c>
      <c r="S113" s="79">
        <v>3233611655</v>
      </c>
      <c r="T113" s="54" t="s">
        <v>304</v>
      </c>
      <c r="U113" s="47" t="str">
        <f>IF(O113=CURSOS!$D$3,"DIPLOMADO EN ATENCION PRE-HOSPITALARIA",IF(O113=CURSOS!$D$4,"ACOMPAÑAMIENTO Y MANEJO DEL DUELO",IF(O113=CURSOS!$D$5,"ATENCION A VICTIMAS DE ATAQUE CON AGENTES QUIMICOS ",IF(O113=CURSOS!$D$6,"PRIMEROS AUXILIOS ",IF(O113=CURSOS!$D$7,"DIPLOMADO DE UNIDAD DE CUIDADOS INTENSIVOS (UCI)",IF(O113=CURSOS!$D$8,"MODELO DE ATENCION PARA EVENTOS EMERGENTES EN SALUD MENTAL (CODIGO VERDE)",IF(O113=CURSOS!$D$9,"HUMANIZACION EN EL SERVICIO DE LA SALUD Y BUENAS PRACTICAS EN PACIENTE ",IF(O113=CURSOS!$D$10,"CLINICA DE HERIDAS ",IF(O113=CURSOS!$D$11,"TOMA DE CITOLOGIA CERVICO VAGINAL ",IF(O113=CURSOS!$D$12,"SOPORTE CARDIOVASCULAR AVANZADO (ACLS) ",IF(O113=CURSOS!$D$13,"CAMILLERO ",IF(O113=CURSOS!$D$14,"TOMA DE MUESTRAS Y LABORATORIO ",IF(O113=CURSOS!$D$15,"SOPORTE VITAL BASICO (BLS)",IF(O113=CURSOS!$D$16,"ATENCION A VICTIMAS DE VIOLENCIA SEXUAL ",IF(O113=CURSOS!$D$17,"PROGRAMADO AMPLIADO DE INMUNIZACION (PAI - COVID 19)",IF(O113=CURSOS!$D$18,"ATENCION INTEGRAL EN ENFERMEDADES PREVALENTES EN PRIMERA INFANCIA (AIEPI)",IF(O113=CURSOS!$D$19,"ADMINISTRACION DE MEDICAMENTOS, INYECTOLOGIA  Y CANALIZACION ",IF(O113=CURSOS!$D$20,"OPERADOR DE VEHICULOS DE EMERGENCIA (OVE)",IF(O113=CURSOS!$D$21,"INSTITUCIONES AMIGAS DE LA MUJER Y LA INFANCIA (IAMI)",IF(O113=CURSOS!$D$22,"CUIDADO DEL DONANTE DE ORGANOS",IF(O113=CURSOS!$D$23,"ATENCION A VICTIMAS POR VIOLENCIA DE GENERO",IF(O113=CURSOS!$D$24,"IGUALDAD DE GENERO EN LA SALUD",IF(O113=CURSOS!$D$25,"BRIGADA DE EMERGENCIA",IF(O113=CURSOS!$D$26,"MANEJO DEL DOLOR Y CUIDADOS PALIATIVOS",IF(O113=CURSOS!$D$27,"TOMA DE MUESTRAS Y LABORATORIO POCT",IF(O113=CURSOS!$D$28,"IMPLANTE SUBDERMICO DE DISPOSITIVO INTRAUTERINO",IF(O113=CURSOS!$D$29,"SALUD MENTAL",IF(O113=CURSOS!$D$30,"PRIMEROS AUXILIOS PSICOLOGICOS",IF(O113=CURSOS!$D$31,"ATENCION A VICTIMAS POR CONFLICTO ARMADO",IF(O113=CURSOS!$D$32,"MANIPULACION DE ALIMENTOS Y BPM",IF(O113=CURSOS!$D$33,"ATENCION A PERSONAS CON DISCAPACIDAD",IF(O113=CURSOS!$D$34,"CUIDADO INTEGRAL DEL PACIENTE ADULTO",IF(O113=CURSOS!$D$35,"MANEJO DEFENSIVO",IF(O113=CURSOS!$D$36,"SOPORTE CARDIOVASCULAR AVANZADO NEONATAL",IF(O113=CURSOS!$D$37,"SEGURIDAD DEL PACIENTE",IF(O113=CURSOS!$D$38,"MANEJO DE RESIDUOS HOSPITALARIOS"))))))))))))))))))))))))))))))))))))</f>
        <v>ACOMPAÑAMIENTO Y MANEJO DEL DUELO</v>
      </c>
      <c r="V113" s="47" t="str">
        <f t="shared" si="6"/>
        <v>María Camila Bastidas Rosero</v>
      </c>
      <c r="W113" s="47" t="str">
        <f t="shared" si="7"/>
        <v>María Camila Bastidas Rosero</v>
      </c>
      <c r="X113" s="47" t="str">
        <f t="shared" si="8"/>
        <v>María Camila Bastidas Rosero-59396532-DUELO</v>
      </c>
    </row>
    <row r="114" spans="1:24" x14ac:dyDescent="0.2">
      <c r="A114" s="46">
        <v>113</v>
      </c>
      <c r="B114" s="68">
        <v>59396532</v>
      </c>
      <c r="C114" s="68" t="s">
        <v>270</v>
      </c>
      <c r="D114" s="68" t="s">
        <v>130</v>
      </c>
      <c r="E114" s="68" t="s">
        <v>258</v>
      </c>
      <c r="F114" s="68" t="s">
        <v>302</v>
      </c>
      <c r="G114" s="68">
        <v>6</v>
      </c>
      <c r="H114" s="54" t="s">
        <v>100</v>
      </c>
      <c r="I114" s="78" t="s">
        <v>146</v>
      </c>
      <c r="J114" s="56">
        <v>45611</v>
      </c>
      <c r="K114" s="108">
        <v>28000</v>
      </c>
      <c r="L114" s="54" t="s">
        <v>235</v>
      </c>
      <c r="M114" s="54" t="s">
        <v>80</v>
      </c>
      <c r="N114" s="68" t="s">
        <v>159</v>
      </c>
      <c r="O114" s="43" t="s">
        <v>25</v>
      </c>
      <c r="P114" s="55">
        <v>31154</v>
      </c>
      <c r="Q114" s="68" t="s">
        <v>89</v>
      </c>
      <c r="R114" s="68" t="s">
        <v>303</v>
      </c>
      <c r="S114" s="79">
        <v>3233611655</v>
      </c>
      <c r="T114" s="54" t="s">
        <v>304</v>
      </c>
      <c r="U114" s="47" t="str">
        <f>IF(O114=CURSOS!$D$3,"DIPLOMADO EN ATENCION PRE-HOSPITALARIA",IF(O114=CURSOS!$D$4,"ACOMPAÑAMIENTO Y MANEJO DEL DUELO",IF(O114=CURSOS!$D$5,"ATENCION A VICTIMAS DE ATAQUE CON AGENTES QUIMICOS ",IF(O114=CURSOS!$D$6,"PRIMEROS AUXILIOS ",IF(O114=CURSOS!$D$7,"DIPLOMADO DE UNIDAD DE CUIDADOS INTENSIVOS (UCI)",IF(O114=CURSOS!$D$8,"MODELO DE ATENCION PARA EVENTOS EMERGENTES EN SALUD MENTAL (CODIGO VERDE)",IF(O114=CURSOS!$D$9,"HUMANIZACION EN EL SERVICIO DE LA SALUD Y BUENAS PRACTICAS EN PACIENTE ",IF(O114=CURSOS!$D$10,"CLINICA DE HERIDAS ",IF(O114=CURSOS!$D$11,"TOMA DE CITOLOGIA CERVICO VAGINAL ",IF(O114=CURSOS!$D$12,"SOPORTE CARDIOVASCULAR AVANZADO (ACLS) ",IF(O114=CURSOS!$D$13,"CAMILLERO ",IF(O114=CURSOS!$D$14,"TOMA DE MUESTRAS Y LABORATORIO ",IF(O114=CURSOS!$D$15,"SOPORTE VITAL BASICO (BLS)",IF(O114=CURSOS!$D$16,"ATENCION A VICTIMAS DE VIOLENCIA SEXUAL ",IF(O114=CURSOS!$D$17,"PROGRAMADO AMPLIADO DE INMUNIZACION (PAI - COVID 19)",IF(O114=CURSOS!$D$18,"ATENCION INTEGRAL EN ENFERMEDADES PREVALENTES EN PRIMERA INFANCIA (AIEPI)",IF(O114=CURSOS!$D$19,"ADMINISTRACION DE MEDICAMENTOS, INYECTOLOGIA  Y CANALIZACION ",IF(O114=CURSOS!$D$20,"OPERADOR DE VEHICULOS DE EMERGENCIA (OVE)",IF(O114=CURSOS!$D$21,"INSTITUCIONES AMIGAS DE LA MUJER Y LA INFANCIA (IAMI)",IF(O114=CURSOS!$D$22,"CUIDADO DEL DONANTE DE ORGANOS",IF(O114=CURSOS!$D$23,"ATENCION A VICTIMAS POR VIOLENCIA DE GENERO",IF(O114=CURSOS!$D$24,"IGUALDAD DE GENERO EN LA SALUD",IF(O114=CURSOS!$D$25,"BRIGADA DE EMERGENCIA",IF(O114=CURSOS!$D$26,"MANEJO DEL DOLOR Y CUIDADOS PALIATIVOS",IF(O114=CURSOS!$D$27,"TOMA DE MUESTRAS Y LABORATORIO POCT",IF(O114=CURSOS!$D$28,"IMPLANTE SUBDERMICO DE DISPOSITIVO INTRAUTERINO",IF(O114=CURSOS!$D$29,"SALUD MENTAL",IF(O114=CURSOS!$D$30,"PRIMEROS AUXILIOS PSICOLOGICOS",IF(O114=CURSOS!$D$31,"ATENCION A VICTIMAS POR CONFLICTO ARMADO",IF(O114=CURSOS!$D$32,"MANIPULACION DE ALIMENTOS Y BPM",IF(O114=CURSOS!$D$33,"ATENCION A PERSONAS CON DISCAPACIDAD",IF(O114=CURSOS!$D$34,"CUIDADO INTEGRAL DEL PACIENTE ADULTO",IF(O114=CURSOS!$D$35,"MANEJO DEFENSIVO",IF(O114=CURSOS!$D$36,"SOPORTE CARDIOVASCULAR AVANZADO NEONATAL",IF(O114=CURSOS!$D$37,"SEGURIDAD DEL PACIENTE",IF(O114=CURSOS!$D$38,"MANEJO DE RESIDUOS HOSPITALARIOS"))))))))))))))))))))))))))))))))))))</f>
        <v xml:space="preserve">ATENCION A VICTIMAS DE ATAQUE CON AGENTES QUIMICOS </v>
      </c>
      <c r="V114" s="47" t="str">
        <f t="shared" si="6"/>
        <v>María Camila Bastidas Rosero</v>
      </c>
      <c r="W114" s="47" t="str">
        <f t="shared" si="7"/>
        <v>María Camila Bastidas Rosero</v>
      </c>
      <c r="X114" s="47" t="str">
        <f t="shared" si="8"/>
        <v>María Camila Bastidas Rosero-59396532-QUIMICOS</v>
      </c>
    </row>
    <row r="115" spans="1:24" x14ac:dyDescent="0.2">
      <c r="A115" s="46">
        <v>114</v>
      </c>
      <c r="B115" s="54">
        <v>1004697288</v>
      </c>
      <c r="C115" s="68" t="s">
        <v>305</v>
      </c>
      <c r="D115" s="68" t="s">
        <v>306</v>
      </c>
      <c r="E115" s="68" t="s">
        <v>220</v>
      </c>
      <c r="F115" s="68" t="s">
        <v>307</v>
      </c>
      <c r="G115" s="68">
        <v>6</v>
      </c>
      <c r="H115" s="54" t="s">
        <v>100</v>
      </c>
      <c r="I115" s="78" t="s">
        <v>146</v>
      </c>
      <c r="J115" s="56">
        <v>45611</v>
      </c>
      <c r="K115" s="108">
        <v>28000</v>
      </c>
      <c r="L115" s="54" t="s">
        <v>235</v>
      </c>
      <c r="M115" s="54" t="s">
        <v>80</v>
      </c>
      <c r="N115" s="54" t="s">
        <v>159</v>
      </c>
      <c r="O115" s="43" t="s">
        <v>42</v>
      </c>
      <c r="P115" s="55">
        <v>34893</v>
      </c>
      <c r="Q115" s="68" t="s">
        <v>89</v>
      </c>
      <c r="R115" s="54" t="s">
        <v>189</v>
      </c>
      <c r="S115" s="54">
        <v>3186758687</v>
      </c>
      <c r="T115" s="54" t="s">
        <v>308</v>
      </c>
      <c r="U115" s="47" t="str">
        <f>IF(O115=CURSOS!$D$3,"DIPLOMADO EN ATENCION PRE-HOSPITALARIA",IF(O115=CURSOS!$D$4,"ACOMPAÑAMIENTO Y MANEJO DEL DUELO",IF(O115=CURSOS!$D$5,"ATENCION A VICTIMAS DE ATAQUE CON AGENTES QUIMICOS ",IF(O115=CURSOS!$D$6,"PRIMEROS AUXILIOS ",IF(O115=CURSOS!$D$7,"DIPLOMADO DE UNIDAD DE CUIDADOS INTENSIVOS (UCI)",IF(O115=CURSOS!$D$8,"MODELO DE ATENCION PARA EVENTOS EMERGENTES EN SALUD MENTAL (CODIGO VERDE)",IF(O115=CURSOS!$D$9,"HUMANIZACION EN EL SERVICIO DE LA SALUD Y BUENAS PRACTICAS EN PACIENTE ",IF(O115=CURSOS!$D$10,"CLINICA DE HERIDAS ",IF(O115=CURSOS!$D$11,"TOMA DE CITOLOGIA CERVICO VAGINAL ",IF(O115=CURSOS!$D$12,"SOPORTE CARDIOVASCULAR AVANZADO (ACLS) ",IF(O115=CURSOS!$D$13,"CAMILLERO ",IF(O115=CURSOS!$D$14,"TOMA DE MUESTRAS Y LABORATORIO ",IF(O115=CURSOS!$D$15,"SOPORTE VITAL BASICO (BLS)",IF(O115=CURSOS!$D$16,"ATENCION A VICTIMAS DE VIOLENCIA SEXUAL ",IF(O115=CURSOS!$D$17,"PROGRAMADO AMPLIADO DE INMUNIZACION (PAI - COVID 19)",IF(O115=CURSOS!$D$18,"ATENCION INTEGRAL EN ENFERMEDADES PREVALENTES EN PRIMERA INFANCIA (AIEPI)",IF(O115=CURSOS!$D$19,"ADMINISTRACION DE MEDICAMENTOS, INYECTOLOGIA  Y CANALIZACION ",IF(O115=CURSOS!$D$20,"OPERADOR DE VEHICULOS DE EMERGENCIA (OVE)",IF(O115=CURSOS!$D$21,"INSTITUCIONES AMIGAS DE LA MUJER Y LA INFANCIA (IAMI)",IF(O115=CURSOS!$D$22,"CUIDADO DEL DONANTE DE ORGANOS",IF(O115=CURSOS!$D$23,"ATENCION A VICTIMAS POR VIOLENCIA DE GENERO",IF(O115=CURSOS!$D$24,"IGUALDAD DE GENERO EN LA SALUD",IF(O115=CURSOS!$D$25,"BRIGADA DE EMERGENCIA",IF(O115=CURSOS!$D$26,"MANEJO DEL DOLOR Y CUIDADOS PALIATIVOS",IF(O115=CURSOS!$D$27,"TOMA DE MUESTRAS Y LABORATORIO POCT",IF(O115=CURSOS!$D$28,"IMPLANTE SUBDERMICO DE DISPOSITIVO INTRAUTERINO",IF(O115=CURSOS!$D$29,"SALUD MENTAL",IF(O115=CURSOS!$D$30,"PRIMEROS AUXILIOS PSICOLOGICOS",IF(O115=CURSOS!$D$31,"ATENCION A VICTIMAS POR CONFLICTO ARMADO",IF(O115=CURSOS!$D$32,"MANIPULACION DE ALIMENTOS Y BPM",IF(O115=CURSOS!$D$33,"ATENCION A PERSONAS CON DISCAPACIDAD",IF(O115=CURSOS!$D$34,"CUIDADO INTEGRAL DEL PACIENTE ADULTO",IF(O115=CURSOS!$D$35,"MANEJO DEFENSIVO",IF(O115=CURSOS!$D$36,"SOPORTE CARDIOVASCULAR AVANZADO NEONATAL",IF(O115=CURSOS!$D$37,"SEGURIDAD DEL PACIENTE",IF(O115=CURSOS!$D$38,"MANEJO DE RESIDUOS HOSPITALARIOS"))))))))))))))))))))))))))))))))))))</f>
        <v xml:space="preserve">ATENCION A VICTIMAS DE VIOLENCIA SEXUAL </v>
      </c>
      <c r="V115" s="47" t="str">
        <f t="shared" si="6"/>
        <v>Patricia Yaneth Ruales Melo</v>
      </c>
      <c r="W115" s="47" t="str">
        <f t="shared" si="7"/>
        <v>Patricia Yaneth Ruales Melo</v>
      </c>
      <c r="X115" s="47" t="str">
        <f t="shared" si="8"/>
        <v>Patricia Yaneth Ruales Melo-1004697288-VIOLENCIA SEXUAL</v>
      </c>
    </row>
    <row r="116" spans="1:24" x14ac:dyDescent="0.2">
      <c r="A116" s="46">
        <v>115</v>
      </c>
      <c r="B116" s="54">
        <v>1004697288</v>
      </c>
      <c r="C116" s="68" t="s">
        <v>305</v>
      </c>
      <c r="D116" s="68" t="s">
        <v>306</v>
      </c>
      <c r="E116" s="68" t="s">
        <v>220</v>
      </c>
      <c r="F116" s="68" t="s">
        <v>307</v>
      </c>
      <c r="G116" s="68">
        <v>8</v>
      </c>
      <c r="H116" s="54" t="s">
        <v>100</v>
      </c>
      <c r="I116" s="78" t="s">
        <v>146</v>
      </c>
      <c r="J116" s="56">
        <v>45611</v>
      </c>
      <c r="K116" s="108">
        <v>28000</v>
      </c>
      <c r="L116" s="54" t="s">
        <v>235</v>
      </c>
      <c r="M116" s="54" t="s">
        <v>80</v>
      </c>
      <c r="N116" s="54" t="s">
        <v>159</v>
      </c>
      <c r="O116" s="43" t="s">
        <v>25</v>
      </c>
      <c r="P116" s="55">
        <v>34893</v>
      </c>
      <c r="Q116" s="68" t="s">
        <v>89</v>
      </c>
      <c r="R116" s="54" t="s">
        <v>189</v>
      </c>
      <c r="S116" s="54">
        <v>3186758687</v>
      </c>
      <c r="T116" s="54" t="s">
        <v>308</v>
      </c>
      <c r="U116" s="47" t="str">
        <f>IF(O116=CURSOS!$D$3,"DIPLOMADO EN ATENCION PRE-HOSPITALARIA",IF(O116=CURSOS!$D$4,"ACOMPAÑAMIENTO Y MANEJO DEL DUELO",IF(O116=CURSOS!$D$5,"ATENCION A VICTIMAS DE ATAQUE CON AGENTES QUIMICOS ",IF(O116=CURSOS!$D$6,"PRIMEROS AUXILIOS ",IF(O116=CURSOS!$D$7,"DIPLOMADO DE UNIDAD DE CUIDADOS INTENSIVOS (UCI)",IF(O116=CURSOS!$D$8,"MODELO DE ATENCION PARA EVENTOS EMERGENTES EN SALUD MENTAL (CODIGO VERDE)",IF(O116=CURSOS!$D$9,"HUMANIZACION EN EL SERVICIO DE LA SALUD Y BUENAS PRACTICAS EN PACIENTE ",IF(O116=CURSOS!$D$10,"CLINICA DE HERIDAS ",IF(O116=CURSOS!$D$11,"TOMA DE CITOLOGIA CERVICO VAGINAL ",IF(O116=CURSOS!$D$12,"SOPORTE CARDIOVASCULAR AVANZADO (ACLS) ",IF(O116=CURSOS!$D$13,"CAMILLERO ",IF(O116=CURSOS!$D$14,"TOMA DE MUESTRAS Y LABORATORIO ",IF(O116=CURSOS!$D$15,"SOPORTE VITAL BASICO (BLS)",IF(O116=CURSOS!$D$16,"ATENCION A VICTIMAS DE VIOLENCIA SEXUAL ",IF(O116=CURSOS!$D$17,"PROGRAMADO AMPLIADO DE INMUNIZACION (PAI - COVID 19)",IF(O116=CURSOS!$D$18,"ATENCION INTEGRAL EN ENFERMEDADES PREVALENTES EN PRIMERA INFANCIA (AIEPI)",IF(O116=CURSOS!$D$19,"ADMINISTRACION DE MEDICAMENTOS, INYECTOLOGIA  Y CANALIZACION ",IF(O116=CURSOS!$D$20,"OPERADOR DE VEHICULOS DE EMERGENCIA (OVE)",IF(O116=CURSOS!$D$21,"INSTITUCIONES AMIGAS DE LA MUJER Y LA INFANCIA (IAMI)",IF(O116=CURSOS!$D$22,"CUIDADO DEL DONANTE DE ORGANOS",IF(O116=CURSOS!$D$23,"ATENCION A VICTIMAS POR VIOLENCIA DE GENERO",IF(O116=CURSOS!$D$24,"IGUALDAD DE GENERO EN LA SALUD",IF(O116=CURSOS!$D$25,"BRIGADA DE EMERGENCIA",IF(O116=CURSOS!$D$26,"MANEJO DEL DOLOR Y CUIDADOS PALIATIVOS",IF(O116=CURSOS!$D$27,"TOMA DE MUESTRAS Y LABORATORIO POCT",IF(O116=CURSOS!$D$28,"IMPLANTE SUBDERMICO DE DISPOSITIVO INTRAUTERINO",IF(O116=CURSOS!$D$29,"SALUD MENTAL",IF(O116=CURSOS!$D$30,"PRIMEROS AUXILIOS PSICOLOGICOS",IF(O116=CURSOS!$D$31,"ATENCION A VICTIMAS POR CONFLICTO ARMADO",IF(O116=CURSOS!$D$32,"MANIPULACION DE ALIMENTOS Y BPM",IF(O116=CURSOS!$D$33,"ATENCION A PERSONAS CON DISCAPACIDAD",IF(O116=CURSOS!$D$34,"CUIDADO INTEGRAL DEL PACIENTE ADULTO",IF(O116=CURSOS!$D$35,"MANEJO DEFENSIVO",IF(O116=CURSOS!$D$36,"SOPORTE CARDIOVASCULAR AVANZADO NEONATAL",IF(O116=CURSOS!$D$37,"SEGURIDAD DEL PACIENTE",IF(O116=CURSOS!$D$38,"MANEJO DE RESIDUOS HOSPITALARIOS"))))))))))))))))))))))))))))))))))))</f>
        <v xml:space="preserve">ATENCION A VICTIMAS DE ATAQUE CON AGENTES QUIMICOS </v>
      </c>
      <c r="V116" s="47" t="str">
        <f t="shared" si="6"/>
        <v>Patricia Yaneth Ruales Melo</v>
      </c>
      <c r="W116" s="47" t="str">
        <f t="shared" si="7"/>
        <v>Patricia Yaneth Ruales Melo</v>
      </c>
      <c r="X116" s="47" t="str">
        <f t="shared" si="8"/>
        <v>Patricia Yaneth Ruales Melo-1004697288-QUIMICOS</v>
      </c>
    </row>
    <row r="117" spans="1:24" x14ac:dyDescent="0.2">
      <c r="A117" s="46">
        <v>116</v>
      </c>
      <c r="B117" s="54">
        <v>1004697288</v>
      </c>
      <c r="C117" s="68" t="s">
        <v>305</v>
      </c>
      <c r="D117" s="68" t="s">
        <v>306</v>
      </c>
      <c r="E117" s="68" t="s">
        <v>220</v>
      </c>
      <c r="F117" s="68" t="s">
        <v>307</v>
      </c>
      <c r="G117" s="68">
        <v>6</v>
      </c>
      <c r="H117" s="54" t="s">
        <v>100</v>
      </c>
      <c r="I117" s="78" t="s">
        <v>146</v>
      </c>
      <c r="J117" s="56">
        <v>45611</v>
      </c>
      <c r="K117" s="108">
        <v>28000</v>
      </c>
      <c r="L117" s="54" t="s">
        <v>235</v>
      </c>
      <c r="M117" s="54" t="s">
        <v>80</v>
      </c>
      <c r="N117" s="54" t="s">
        <v>159</v>
      </c>
      <c r="O117" s="43" t="s">
        <v>23</v>
      </c>
      <c r="P117" s="55">
        <v>34893</v>
      </c>
      <c r="Q117" s="68" t="s">
        <v>89</v>
      </c>
      <c r="R117" s="54" t="s">
        <v>189</v>
      </c>
      <c r="S117" s="54">
        <v>3186758687</v>
      </c>
      <c r="T117" s="54" t="s">
        <v>308</v>
      </c>
      <c r="U117" s="47" t="str">
        <f>IF(O117=CURSOS!$D$3,"DIPLOMADO EN ATENCION PRE-HOSPITALARIA",IF(O117=CURSOS!$D$4,"ACOMPAÑAMIENTO Y MANEJO DEL DUELO",IF(O117=CURSOS!$D$5,"ATENCION A VICTIMAS DE ATAQUE CON AGENTES QUIMICOS ",IF(O117=CURSOS!$D$6,"PRIMEROS AUXILIOS ",IF(O117=CURSOS!$D$7,"DIPLOMADO DE UNIDAD DE CUIDADOS INTENSIVOS (UCI)",IF(O117=CURSOS!$D$8,"MODELO DE ATENCION PARA EVENTOS EMERGENTES EN SALUD MENTAL (CODIGO VERDE)",IF(O117=CURSOS!$D$9,"HUMANIZACION EN EL SERVICIO DE LA SALUD Y BUENAS PRACTICAS EN PACIENTE ",IF(O117=CURSOS!$D$10,"CLINICA DE HERIDAS ",IF(O117=CURSOS!$D$11,"TOMA DE CITOLOGIA CERVICO VAGINAL ",IF(O117=CURSOS!$D$12,"SOPORTE CARDIOVASCULAR AVANZADO (ACLS) ",IF(O117=CURSOS!$D$13,"CAMILLERO ",IF(O117=CURSOS!$D$14,"TOMA DE MUESTRAS Y LABORATORIO ",IF(O117=CURSOS!$D$15,"SOPORTE VITAL BASICO (BLS)",IF(O117=CURSOS!$D$16,"ATENCION A VICTIMAS DE VIOLENCIA SEXUAL ",IF(O117=CURSOS!$D$17,"PROGRAMADO AMPLIADO DE INMUNIZACION (PAI - COVID 19)",IF(O117=CURSOS!$D$18,"ATENCION INTEGRAL EN ENFERMEDADES PREVALENTES EN PRIMERA INFANCIA (AIEPI)",IF(O117=CURSOS!$D$19,"ADMINISTRACION DE MEDICAMENTOS, INYECTOLOGIA  Y CANALIZACION ",IF(O117=CURSOS!$D$20,"OPERADOR DE VEHICULOS DE EMERGENCIA (OVE)",IF(O117=CURSOS!$D$21,"INSTITUCIONES AMIGAS DE LA MUJER Y LA INFANCIA (IAMI)",IF(O117=CURSOS!$D$22,"CUIDADO DEL DONANTE DE ORGANOS",IF(O117=CURSOS!$D$23,"ATENCION A VICTIMAS POR VIOLENCIA DE GENERO",IF(O117=CURSOS!$D$24,"IGUALDAD DE GENERO EN LA SALUD",IF(O117=CURSOS!$D$25,"BRIGADA DE EMERGENCIA",IF(O117=CURSOS!$D$26,"MANEJO DEL DOLOR Y CUIDADOS PALIATIVOS",IF(O117=CURSOS!$D$27,"TOMA DE MUESTRAS Y LABORATORIO POCT",IF(O117=CURSOS!$D$28,"IMPLANTE SUBDERMICO DE DISPOSITIVO INTRAUTERINO",IF(O117=CURSOS!$D$29,"SALUD MENTAL",IF(O117=CURSOS!$D$30,"PRIMEROS AUXILIOS PSICOLOGICOS",IF(O117=CURSOS!$D$31,"ATENCION A VICTIMAS POR CONFLICTO ARMADO",IF(O117=CURSOS!$D$32,"MANIPULACION DE ALIMENTOS Y BPM",IF(O117=CURSOS!$D$33,"ATENCION A PERSONAS CON DISCAPACIDAD",IF(O117=CURSOS!$D$34,"CUIDADO INTEGRAL DEL PACIENTE ADULTO",IF(O117=CURSOS!$D$35,"MANEJO DEFENSIVO",IF(O117=CURSOS!$D$36,"SOPORTE CARDIOVASCULAR AVANZADO NEONATAL",IF(O117=CURSOS!$D$37,"SEGURIDAD DEL PACIENTE",IF(O117=CURSOS!$D$38,"MANEJO DE RESIDUOS HOSPITALARIOS"))))))))))))))))))))))))))))))))))))</f>
        <v>ACOMPAÑAMIENTO Y MANEJO DEL DUELO</v>
      </c>
      <c r="V117" s="47" t="str">
        <f t="shared" si="6"/>
        <v>Patricia Yaneth Ruales Melo</v>
      </c>
      <c r="W117" s="47" t="str">
        <f t="shared" si="7"/>
        <v>Patricia Yaneth Ruales Melo</v>
      </c>
      <c r="X117" s="47" t="str">
        <f t="shared" si="8"/>
        <v>Patricia Yaneth Ruales Melo-1004697288-DUELO</v>
      </c>
    </row>
    <row r="118" spans="1:24" x14ac:dyDescent="0.2">
      <c r="A118" s="46">
        <v>117</v>
      </c>
      <c r="B118" s="54">
        <v>1004697288</v>
      </c>
      <c r="C118" s="68" t="s">
        <v>305</v>
      </c>
      <c r="D118" s="68" t="s">
        <v>306</v>
      </c>
      <c r="E118" s="68" t="s">
        <v>220</v>
      </c>
      <c r="F118" s="68" t="s">
        <v>307</v>
      </c>
      <c r="G118" s="68">
        <v>12</v>
      </c>
      <c r="H118" s="54" t="s">
        <v>100</v>
      </c>
      <c r="I118" s="78" t="s">
        <v>146</v>
      </c>
      <c r="J118" s="56">
        <v>45611</v>
      </c>
      <c r="K118" s="108">
        <v>28000</v>
      </c>
      <c r="L118" s="54" t="s">
        <v>235</v>
      </c>
      <c r="M118" s="54" t="s">
        <v>80</v>
      </c>
      <c r="N118" s="54" t="s">
        <v>159</v>
      </c>
      <c r="O118" s="43" t="s">
        <v>32</v>
      </c>
      <c r="P118" s="55">
        <v>34893</v>
      </c>
      <c r="Q118" s="68" t="s">
        <v>89</v>
      </c>
      <c r="R118" s="54" t="s">
        <v>189</v>
      </c>
      <c r="S118" s="54">
        <v>3186758687</v>
      </c>
      <c r="T118" s="54" t="s">
        <v>308</v>
      </c>
      <c r="U118" s="47" t="str">
        <f>IF(O118=CURSOS!$D$3,"DIPLOMADO EN ATENCION PRE-HOSPITALARIA",IF(O118=CURSOS!$D$4,"ACOMPAÑAMIENTO Y MANEJO DEL DUELO",IF(O118=CURSOS!$D$5,"ATENCION A VICTIMAS DE ATAQUE CON AGENTES QUIMICOS ",IF(O118=CURSOS!$D$6,"PRIMEROS AUXILIOS ",IF(O118=CURSOS!$D$7,"DIPLOMADO DE UNIDAD DE CUIDADOS INTENSIVOS (UCI)",IF(O118=CURSOS!$D$8,"MODELO DE ATENCION PARA EVENTOS EMERGENTES EN SALUD MENTAL (CODIGO VERDE)",IF(O118=CURSOS!$D$9,"HUMANIZACION EN EL SERVICIO DE LA SALUD Y BUENAS PRACTICAS EN PACIENTE ",IF(O118=CURSOS!$D$10,"CLINICA DE HERIDAS ",IF(O118=CURSOS!$D$11,"TOMA DE CITOLOGIA CERVICO VAGINAL ",IF(O118=CURSOS!$D$12,"SOPORTE CARDIOVASCULAR AVANZADO (ACLS) ",IF(O118=CURSOS!$D$13,"CAMILLERO ",IF(O118=CURSOS!$D$14,"TOMA DE MUESTRAS Y LABORATORIO ",IF(O118=CURSOS!$D$15,"SOPORTE VITAL BASICO (BLS)",IF(O118=CURSOS!$D$16,"ATENCION A VICTIMAS DE VIOLENCIA SEXUAL ",IF(O118=CURSOS!$D$17,"PROGRAMADO AMPLIADO DE INMUNIZACION (PAI - COVID 19)",IF(O118=CURSOS!$D$18,"ATENCION INTEGRAL EN ENFERMEDADES PREVALENTES EN PRIMERA INFANCIA (AIEPI)",IF(O118=CURSOS!$D$19,"ADMINISTRACION DE MEDICAMENTOS, INYECTOLOGIA  Y CANALIZACION ",IF(O118=CURSOS!$D$20,"OPERADOR DE VEHICULOS DE EMERGENCIA (OVE)",IF(O118=CURSOS!$D$21,"INSTITUCIONES AMIGAS DE LA MUJER Y LA INFANCIA (IAMI)",IF(O118=CURSOS!$D$22,"CUIDADO DEL DONANTE DE ORGANOS",IF(O118=CURSOS!$D$23,"ATENCION A VICTIMAS POR VIOLENCIA DE GENERO",IF(O118=CURSOS!$D$24,"IGUALDAD DE GENERO EN LA SALUD",IF(O118=CURSOS!$D$25,"BRIGADA DE EMERGENCIA",IF(O118=CURSOS!$D$26,"MANEJO DEL DOLOR Y CUIDADOS PALIATIVOS",IF(O118=CURSOS!$D$27,"TOMA DE MUESTRAS Y LABORATORIO POCT",IF(O118=CURSOS!$D$28,"IMPLANTE SUBDERMICO DE DISPOSITIVO INTRAUTERINO",IF(O118=CURSOS!$D$29,"SALUD MENTAL",IF(O118=CURSOS!$D$30,"PRIMEROS AUXILIOS PSICOLOGICOS",IF(O118=CURSOS!$D$31,"ATENCION A VICTIMAS POR CONFLICTO ARMADO",IF(O118=CURSOS!$D$32,"MANIPULACION DE ALIMENTOS Y BPM",IF(O118=CURSOS!$D$33,"ATENCION A PERSONAS CON DISCAPACIDAD",IF(O118=CURSOS!$D$34,"CUIDADO INTEGRAL DEL PACIENTE ADULTO",IF(O118=CURSOS!$D$35,"MANEJO DEFENSIVO",IF(O118=CURSOS!$D$36,"SOPORTE CARDIOVASCULAR AVANZADO NEONATAL",IF(O118=CURSOS!$D$37,"SEGURIDAD DEL PACIENTE",IF(O118=CURSOS!$D$38,"MANEJO DE RESIDUOS HOSPITALARIOS"))))))))))))))))))))))))))))))))))))</f>
        <v xml:space="preserve">HUMANIZACION EN EL SERVICIO DE LA SALUD Y BUENAS PRACTICAS EN PACIENTE </v>
      </c>
      <c r="V118" s="47" t="str">
        <f t="shared" si="6"/>
        <v>Patricia Yaneth Ruales Melo</v>
      </c>
      <c r="W118" s="47" t="str">
        <f t="shared" si="7"/>
        <v>Patricia Yaneth Ruales Melo</v>
      </c>
      <c r="X118" s="47" t="str">
        <f t="shared" si="8"/>
        <v>Patricia Yaneth Ruales Melo-1004697288-HUMANIZACION</v>
      </c>
    </row>
    <row r="119" spans="1:24" x14ac:dyDescent="0.2">
      <c r="A119" s="46">
        <v>118</v>
      </c>
      <c r="B119" s="81">
        <v>1004695877</v>
      </c>
      <c r="C119" s="68" t="s">
        <v>305</v>
      </c>
      <c r="D119" s="68" t="s">
        <v>130</v>
      </c>
      <c r="E119" s="68" t="s">
        <v>309</v>
      </c>
      <c r="F119" s="68" t="s">
        <v>96</v>
      </c>
      <c r="G119" s="68">
        <v>13</v>
      </c>
      <c r="H119" s="54" t="s">
        <v>100</v>
      </c>
      <c r="I119" s="78" t="s">
        <v>146</v>
      </c>
      <c r="J119" s="56">
        <v>45611</v>
      </c>
      <c r="K119" s="108">
        <v>28000</v>
      </c>
      <c r="L119" s="54" t="s">
        <v>235</v>
      </c>
      <c r="M119" s="54" t="s">
        <v>80</v>
      </c>
      <c r="N119" s="54" t="s">
        <v>159</v>
      </c>
      <c r="O119" s="43" t="s">
        <v>26</v>
      </c>
      <c r="P119" s="55">
        <v>37245</v>
      </c>
      <c r="Q119" s="68" t="s">
        <v>89</v>
      </c>
      <c r="R119" s="82" t="s">
        <v>208</v>
      </c>
      <c r="S119" s="54">
        <v>3104110572</v>
      </c>
      <c r="T119" s="54" t="s">
        <v>310</v>
      </c>
      <c r="U119" s="47" t="str">
        <f>IF(O119=CURSOS!$D$3,"DIPLOMADO EN ATENCION PRE-HOSPITALARIA",IF(O119=CURSOS!$D$4,"ACOMPAÑAMIENTO Y MANEJO DEL DUELO",IF(O119=CURSOS!$D$5,"ATENCION A VICTIMAS DE ATAQUE CON AGENTES QUIMICOS ",IF(O119=CURSOS!$D$6,"PRIMEROS AUXILIOS ",IF(O119=CURSOS!$D$7,"DIPLOMADO DE UNIDAD DE CUIDADOS INTENSIVOS (UCI)",IF(O119=CURSOS!$D$8,"MODELO DE ATENCION PARA EVENTOS EMERGENTES EN SALUD MENTAL (CODIGO VERDE)",IF(O119=CURSOS!$D$9,"HUMANIZACION EN EL SERVICIO DE LA SALUD Y BUENAS PRACTICAS EN PACIENTE ",IF(O119=CURSOS!$D$10,"CLINICA DE HERIDAS ",IF(O119=CURSOS!$D$11,"TOMA DE CITOLOGIA CERVICO VAGINAL ",IF(O119=CURSOS!$D$12,"SOPORTE CARDIOVASCULAR AVANZADO (ACLS) ",IF(O119=CURSOS!$D$13,"CAMILLERO ",IF(O119=CURSOS!$D$14,"TOMA DE MUESTRAS Y LABORATORIO ",IF(O119=CURSOS!$D$15,"SOPORTE VITAL BASICO (BLS)",IF(O119=CURSOS!$D$16,"ATENCION A VICTIMAS DE VIOLENCIA SEXUAL ",IF(O119=CURSOS!$D$17,"PROGRAMADO AMPLIADO DE INMUNIZACION (PAI - COVID 19)",IF(O119=CURSOS!$D$18,"ATENCION INTEGRAL EN ENFERMEDADES PREVALENTES EN PRIMERA INFANCIA (AIEPI)",IF(O119=CURSOS!$D$19,"ADMINISTRACION DE MEDICAMENTOS, INYECTOLOGIA  Y CANALIZACION ",IF(O119=CURSOS!$D$20,"OPERADOR DE VEHICULOS DE EMERGENCIA (OVE)",IF(O119=CURSOS!$D$21,"INSTITUCIONES AMIGAS DE LA MUJER Y LA INFANCIA (IAMI)",IF(O119=CURSOS!$D$22,"CUIDADO DEL DONANTE DE ORGANOS",IF(O119=CURSOS!$D$23,"ATENCION A VICTIMAS POR VIOLENCIA DE GENERO",IF(O119=CURSOS!$D$24,"IGUALDAD DE GENERO EN LA SALUD",IF(O119=CURSOS!$D$25,"BRIGADA DE EMERGENCIA",IF(O119=CURSOS!$D$26,"MANEJO DEL DOLOR Y CUIDADOS PALIATIVOS",IF(O119=CURSOS!$D$27,"TOMA DE MUESTRAS Y LABORATORIO POCT",IF(O119=CURSOS!$D$28,"IMPLANTE SUBDERMICO DE DISPOSITIVO INTRAUTERINO",IF(O119=CURSOS!$D$29,"SALUD MENTAL",IF(O119=CURSOS!$D$30,"PRIMEROS AUXILIOS PSICOLOGICOS",IF(O119=CURSOS!$D$31,"ATENCION A VICTIMAS POR CONFLICTO ARMADO",IF(O119=CURSOS!$D$32,"MANIPULACION DE ALIMENTOS Y BPM",IF(O119=CURSOS!$D$33,"ATENCION A PERSONAS CON DISCAPACIDAD",IF(O119=CURSOS!$D$34,"CUIDADO INTEGRAL DEL PACIENTE ADULTO",IF(O119=CURSOS!$D$35,"MANEJO DEFENSIVO",IF(O119=CURSOS!$D$36,"SOPORTE CARDIOVASCULAR AVANZADO NEONATAL",IF(O119=CURSOS!$D$37,"SEGURIDAD DEL PACIENTE",IF(O119=CURSOS!$D$38,"MANEJO DE RESIDUOS HOSPITALARIOS"))))))))))))))))))))))))))))))))))))</f>
        <v xml:space="preserve">PRIMEROS AUXILIOS </v>
      </c>
      <c r="V119" s="47" t="str">
        <f t="shared" si="6"/>
        <v>Miriam Alejandra Ruales Rosero</v>
      </c>
      <c r="W119" s="47" t="str">
        <f t="shared" si="7"/>
        <v>Miriam Alejandra Ruales Rosero</v>
      </c>
      <c r="X119" s="47" t="str">
        <f t="shared" si="8"/>
        <v>Miriam Alejandra Ruales Rosero-1004695877-PRIMEROS AUXILIOS</v>
      </c>
    </row>
    <row r="120" spans="1:24" x14ac:dyDescent="0.2">
      <c r="A120" s="46">
        <v>119</v>
      </c>
      <c r="B120" s="68">
        <v>59396532</v>
      </c>
      <c r="C120" s="68" t="s">
        <v>270</v>
      </c>
      <c r="D120" s="68" t="s">
        <v>130</v>
      </c>
      <c r="E120" s="68" t="s">
        <v>258</v>
      </c>
      <c r="F120" s="68" t="s">
        <v>302</v>
      </c>
      <c r="G120" s="68">
        <v>14</v>
      </c>
      <c r="H120" s="54" t="s">
        <v>100</v>
      </c>
      <c r="I120" s="78" t="s">
        <v>146</v>
      </c>
      <c r="J120" s="56">
        <v>45611</v>
      </c>
      <c r="K120" s="108">
        <v>28000</v>
      </c>
      <c r="L120" s="54" t="s">
        <v>235</v>
      </c>
      <c r="M120" s="54" t="s">
        <v>80</v>
      </c>
      <c r="N120" s="54" t="s">
        <v>159</v>
      </c>
      <c r="O120" s="43" t="s">
        <v>44</v>
      </c>
      <c r="P120" s="55">
        <v>31154</v>
      </c>
      <c r="Q120" s="54" t="s">
        <v>89</v>
      </c>
      <c r="R120" s="54" t="s">
        <v>303</v>
      </c>
      <c r="S120" s="57">
        <v>3233611655</v>
      </c>
      <c r="T120" s="54" t="s">
        <v>304</v>
      </c>
      <c r="U120" s="47" t="str">
        <f>IF(O120=CURSOS!$D$3,"DIPLOMADO EN ATENCION PRE-HOSPITALARIA",IF(O120=CURSOS!$D$4,"ACOMPAÑAMIENTO Y MANEJO DEL DUELO",IF(O120=CURSOS!$D$5,"ATENCION A VICTIMAS DE ATAQUE CON AGENTES QUIMICOS ",IF(O120=CURSOS!$D$6,"PRIMEROS AUXILIOS ",IF(O120=CURSOS!$D$7,"DIPLOMADO DE UNIDAD DE CUIDADOS INTENSIVOS (UCI)",IF(O120=CURSOS!$D$8,"MODELO DE ATENCION PARA EVENTOS EMERGENTES EN SALUD MENTAL (CODIGO VERDE)",IF(O120=CURSOS!$D$9,"HUMANIZACION EN EL SERVICIO DE LA SALUD Y BUENAS PRACTICAS EN PACIENTE ",IF(O120=CURSOS!$D$10,"CLINICA DE HERIDAS ",IF(O120=CURSOS!$D$11,"TOMA DE CITOLOGIA CERVICO VAGINAL ",IF(O120=CURSOS!$D$12,"SOPORTE CARDIOVASCULAR AVANZADO (ACLS) ",IF(O120=CURSOS!$D$13,"CAMILLERO ",IF(O120=CURSOS!$D$14,"TOMA DE MUESTRAS Y LABORATORIO ",IF(O120=CURSOS!$D$15,"SOPORTE VITAL BASICO (BLS)",IF(O120=CURSOS!$D$16,"ATENCION A VICTIMAS DE VIOLENCIA SEXUAL ",IF(O120=CURSOS!$D$17,"PROGRAMADO AMPLIADO DE INMUNIZACION (PAI - COVID 19)",IF(O120=CURSOS!$D$18,"ATENCION INTEGRAL EN ENFERMEDADES PREVALENTES EN PRIMERA INFANCIA (AIEPI)",IF(O120=CURSOS!$D$19,"ADMINISTRACION DE MEDICAMENTOS, INYECTOLOGIA  Y CANALIZACION ",IF(O120=CURSOS!$D$20,"OPERADOR DE VEHICULOS DE EMERGENCIA (OVE)",IF(O120=CURSOS!$D$21,"INSTITUCIONES AMIGAS DE LA MUJER Y LA INFANCIA (IAMI)",IF(O120=CURSOS!$D$22,"CUIDADO DEL DONANTE DE ORGANOS",IF(O120=CURSOS!$D$23,"ATENCION A VICTIMAS POR VIOLENCIA DE GENERO",IF(O120=CURSOS!$D$24,"IGUALDAD DE GENERO EN LA SALUD",IF(O120=CURSOS!$D$25,"BRIGADA DE EMERGENCIA",IF(O120=CURSOS!$D$26,"MANEJO DEL DOLOR Y CUIDADOS PALIATIVOS",IF(O120=CURSOS!$D$27,"TOMA DE MUESTRAS Y LABORATORIO POCT",IF(O120=CURSOS!$D$28,"IMPLANTE SUBDERMICO DE DISPOSITIVO INTRAUTERINO",IF(O120=CURSOS!$D$29,"SALUD MENTAL",IF(O120=CURSOS!$D$30,"PRIMEROS AUXILIOS PSICOLOGICOS",IF(O120=CURSOS!$D$31,"ATENCION A VICTIMAS POR CONFLICTO ARMADO",IF(O120=CURSOS!$D$32,"MANIPULACION DE ALIMENTOS Y BPM",IF(O120=CURSOS!$D$33,"ATENCION A PERSONAS CON DISCAPACIDAD",IF(O120=CURSOS!$D$34,"CUIDADO INTEGRAL DEL PACIENTE ADULTO",IF(O120=CURSOS!$D$35,"MANEJO DEFENSIVO",IF(O120=CURSOS!$D$36,"SOPORTE CARDIOVASCULAR AVANZADO NEONATAL",IF(O120=CURSOS!$D$37,"SEGURIDAD DEL PACIENTE",IF(O120=CURSOS!$D$38,"MANEJO DE RESIDUOS HOSPITALARIOS"))))))))))))))))))))))))))))))))))))</f>
        <v>ATENCION INTEGRAL EN ENFERMEDADES PREVALENTES EN PRIMERA INFANCIA (AIEPI)</v>
      </c>
      <c r="V120" s="47" t="str">
        <f t="shared" si="6"/>
        <v>María Camila Bastidas Rosero</v>
      </c>
      <c r="W120" s="47" t="str">
        <f t="shared" si="7"/>
        <v>María Camila Bastidas Rosero</v>
      </c>
      <c r="X120" s="47" t="str">
        <f t="shared" si="8"/>
        <v>María Camila Bastidas Rosero-59396532-AIEPI</v>
      </c>
    </row>
    <row r="121" spans="1:24" x14ac:dyDescent="0.2">
      <c r="A121" s="46">
        <v>120</v>
      </c>
      <c r="B121" s="54">
        <v>1088734549</v>
      </c>
      <c r="C121" s="68" t="s">
        <v>306</v>
      </c>
      <c r="D121" s="68" t="s">
        <v>115</v>
      </c>
      <c r="E121" s="68" t="s">
        <v>311</v>
      </c>
      <c r="F121" s="68" t="s">
        <v>312</v>
      </c>
      <c r="G121" s="68">
        <v>14</v>
      </c>
      <c r="H121" s="54" t="s">
        <v>100</v>
      </c>
      <c r="I121" s="78" t="s">
        <v>146</v>
      </c>
      <c r="J121" s="56">
        <v>45611</v>
      </c>
      <c r="K121" s="108">
        <v>28000</v>
      </c>
      <c r="L121" s="54" t="s">
        <v>235</v>
      </c>
      <c r="M121" s="54" t="s">
        <v>80</v>
      </c>
      <c r="N121" s="54" t="s">
        <v>159</v>
      </c>
      <c r="O121" s="43" t="s">
        <v>44</v>
      </c>
      <c r="P121" s="55">
        <v>33445</v>
      </c>
      <c r="Q121" s="68" t="s">
        <v>89</v>
      </c>
      <c r="R121" s="82" t="s">
        <v>208</v>
      </c>
      <c r="S121" s="57">
        <v>3117690079</v>
      </c>
      <c r="T121" s="54" t="s">
        <v>313</v>
      </c>
      <c r="U121" s="47" t="str">
        <f>IF(O121=CURSOS!$D$3,"DIPLOMADO EN ATENCION PRE-HOSPITALARIA",IF(O121=CURSOS!$D$4,"ACOMPAÑAMIENTO Y MANEJO DEL DUELO",IF(O121=CURSOS!$D$5,"ATENCION A VICTIMAS DE ATAQUE CON AGENTES QUIMICOS ",IF(O121=CURSOS!$D$6,"PRIMEROS AUXILIOS ",IF(O121=CURSOS!$D$7,"DIPLOMADO DE UNIDAD DE CUIDADOS INTENSIVOS (UCI)",IF(O121=CURSOS!$D$8,"MODELO DE ATENCION PARA EVENTOS EMERGENTES EN SALUD MENTAL (CODIGO VERDE)",IF(O121=CURSOS!$D$9,"HUMANIZACION EN EL SERVICIO DE LA SALUD Y BUENAS PRACTICAS EN PACIENTE ",IF(O121=CURSOS!$D$10,"CLINICA DE HERIDAS ",IF(O121=CURSOS!$D$11,"TOMA DE CITOLOGIA CERVICO VAGINAL ",IF(O121=CURSOS!$D$12,"SOPORTE CARDIOVASCULAR AVANZADO (ACLS) ",IF(O121=CURSOS!$D$13,"CAMILLERO ",IF(O121=CURSOS!$D$14,"TOMA DE MUESTRAS Y LABORATORIO ",IF(O121=CURSOS!$D$15,"SOPORTE VITAL BASICO (BLS)",IF(O121=CURSOS!$D$16,"ATENCION A VICTIMAS DE VIOLENCIA SEXUAL ",IF(O121=CURSOS!$D$17,"PROGRAMADO AMPLIADO DE INMUNIZACION (PAI - COVID 19)",IF(O121=CURSOS!$D$18,"ATENCION INTEGRAL EN ENFERMEDADES PREVALENTES EN PRIMERA INFANCIA (AIEPI)",IF(O121=CURSOS!$D$19,"ADMINISTRACION DE MEDICAMENTOS, INYECTOLOGIA  Y CANALIZACION ",IF(O121=CURSOS!$D$20,"OPERADOR DE VEHICULOS DE EMERGENCIA (OVE)",IF(O121=CURSOS!$D$21,"INSTITUCIONES AMIGAS DE LA MUJER Y LA INFANCIA (IAMI)",IF(O121=CURSOS!$D$22,"CUIDADO DEL DONANTE DE ORGANOS",IF(O121=CURSOS!$D$23,"ATENCION A VICTIMAS POR VIOLENCIA DE GENERO",IF(O121=CURSOS!$D$24,"IGUALDAD DE GENERO EN LA SALUD",IF(O121=CURSOS!$D$25,"BRIGADA DE EMERGENCIA",IF(O121=CURSOS!$D$26,"MANEJO DEL DOLOR Y CUIDADOS PALIATIVOS",IF(O121=CURSOS!$D$27,"TOMA DE MUESTRAS Y LABORATORIO POCT",IF(O121=CURSOS!$D$28,"IMPLANTE SUBDERMICO DE DISPOSITIVO INTRAUTERINO",IF(O121=CURSOS!$D$29,"SALUD MENTAL",IF(O121=CURSOS!$D$30,"PRIMEROS AUXILIOS PSICOLOGICOS",IF(O121=CURSOS!$D$31,"ATENCION A VICTIMAS POR CONFLICTO ARMADO",IF(O121=CURSOS!$D$32,"MANIPULACION DE ALIMENTOS Y BPM",IF(O121=CURSOS!$D$33,"ATENCION A PERSONAS CON DISCAPACIDAD",IF(O121=CURSOS!$D$34,"CUIDADO INTEGRAL DEL PACIENTE ADULTO",IF(O121=CURSOS!$D$35,"MANEJO DEFENSIVO",IF(O121=CURSOS!$D$36,"SOPORTE CARDIOVASCULAR AVANZADO NEONATAL",IF(O121=CURSOS!$D$37,"SEGURIDAD DEL PACIENTE",IF(O121=CURSOS!$D$38,"MANEJO DE RESIDUOS HOSPITALARIOS"))))))))))))))))))))))))))))))))))))</f>
        <v>ATENCION INTEGRAL EN ENFERMEDADES PREVALENTES EN PRIMERA INFANCIA (AIEPI)</v>
      </c>
      <c r="V121" s="47" t="str">
        <f t="shared" si="6"/>
        <v>Hanya Yeraldy Melo Martinez</v>
      </c>
      <c r="W121" s="47" t="str">
        <f t="shared" si="7"/>
        <v>Hanya Yeraldy Melo Martinez</v>
      </c>
      <c r="X121" s="47" t="str">
        <f t="shared" si="8"/>
        <v>Hanya Yeraldy Melo Martinez-1088734549-AIEPI</v>
      </c>
    </row>
    <row r="122" spans="1:24" x14ac:dyDescent="0.2">
      <c r="A122" s="46">
        <v>121</v>
      </c>
      <c r="B122" s="54">
        <v>1085327574</v>
      </c>
      <c r="C122" s="68" t="s">
        <v>314</v>
      </c>
      <c r="D122" s="68" t="s">
        <v>315</v>
      </c>
      <c r="E122" s="68" t="s">
        <v>316</v>
      </c>
      <c r="F122" s="68" t="s">
        <v>121</v>
      </c>
      <c r="G122" s="68">
        <v>13</v>
      </c>
      <c r="H122" s="54" t="s">
        <v>100</v>
      </c>
      <c r="I122" s="78" t="s">
        <v>146</v>
      </c>
      <c r="J122" s="76">
        <v>45609</v>
      </c>
      <c r="K122" s="108">
        <v>70000</v>
      </c>
      <c r="L122" s="68" t="s">
        <v>139</v>
      </c>
      <c r="M122" s="54" t="s">
        <v>80</v>
      </c>
      <c r="N122" s="54" t="s">
        <v>90</v>
      </c>
      <c r="O122" s="43" t="s">
        <v>42</v>
      </c>
      <c r="P122" s="55">
        <v>35149</v>
      </c>
      <c r="Q122" s="68" t="s">
        <v>89</v>
      </c>
      <c r="R122" s="54" t="s">
        <v>189</v>
      </c>
      <c r="S122" s="57">
        <v>3137118757</v>
      </c>
      <c r="T122" s="54" t="s">
        <v>317</v>
      </c>
      <c r="U122" s="47" t="str">
        <f>IF(O122=CURSOS!$D$3,"DIPLOMADO EN ATENCION PRE-HOSPITALARIA",IF(O122=CURSOS!$D$4,"ACOMPAÑAMIENTO Y MANEJO DEL DUELO",IF(O122=CURSOS!$D$5,"ATENCION A VICTIMAS DE ATAQUE CON AGENTES QUIMICOS ",IF(O122=CURSOS!$D$6,"PRIMEROS AUXILIOS ",IF(O122=CURSOS!$D$7,"DIPLOMADO DE UNIDAD DE CUIDADOS INTENSIVOS (UCI)",IF(O122=CURSOS!$D$8,"MODELO DE ATENCION PARA EVENTOS EMERGENTES EN SALUD MENTAL (CODIGO VERDE)",IF(O122=CURSOS!$D$9,"HUMANIZACION EN EL SERVICIO DE LA SALUD Y BUENAS PRACTICAS EN PACIENTE ",IF(O122=CURSOS!$D$10,"CLINICA DE HERIDAS ",IF(O122=CURSOS!$D$11,"TOMA DE CITOLOGIA CERVICO VAGINAL ",IF(O122=CURSOS!$D$12,"SOPORTE CARDIOVASCULAR AVANZADO (ACLS) ",IF(O122=CURSOS!$D$13,"CAMILLERO ",IF(O122=CURSOS!$D$14,"TOMA DE MUESTRAS Y LABORATORIO ",IF(O122=CURSOS!$D$15,"SOPORTE VITAL BASICO (BLS)",IF(O122=CURSOS!$D$16,"ATENCION A VICTIMAS DE VIOLENCIA SEXUAL ",IF(O122=CURSOS!$D$17,"PROGRAMADO AMPLIADO DE INMUNIZACION (PAI - COVID 19)",IF(O122=CURSOS!$D$18,"ATENCION INTEGRAL EN ENFERMEDADES PREVALENTES EN PRIMERA INFANCIA (AIEPI)",IF(O122=CURSOS!$D$19,"ADMINISTRACION DE MEDICAMENTOS, INYECTOLOGIA  Y CANALIZACION ",IF(O122=CURSOS!$D$20,"OPERADOR DE VEHICULOS DE EMERGENCIA (OVE)",IF(O122=CURSOS!$D$21,"INSTITUCIONES AMIGAS DE LA MUJER Y LA INFANCIA (IAMI)",IF(O122=CURSOS!$D$22,"CUIDADO DEL DONANTE DE ORGANOS",IF(O122=CURSOS!$D$23,"ATENCION A VICTIMAS POR VIOLENCIA DE GENERO",IF(O122=CURSOS!$D$24,"IGUALDAD DE GENERO EN LA SALUD",IF(O122=CURSOS!$D$25,"BRIGADA DE EMERGENCIA",IF(O122=CURSOS!$D$26,"MANEJO DEL DOLOR Y CUIDADOS PALIATIVOS",IF(O122=CURSOS!$D$27,"TOMA DE MUESTRAS Y LABORATORIO POCT",IF(O122=CURSOS!$D$28,"IMPLANTE SUBDERMICO DE DISPOSITIVO INTRAUTERINO",IF(O122=CURSOS!$D$29,"SALUD MENTAL",IF(O122=CURSOS!$D$30,"PRIMEROS AUXILIOS PSICOLOGICOS",IF(O122=CURSOS!$D$31,"ATENCION A VICTIMAS POR CONFLICTO ARMADO",IF(O122=CURSOS!$D$32,"MANIPULACION DE ALIMENTOS Y BPM",IF(O122=CURSOS!$D$33,"ATENCION A PERSONAS CON DISCAPACIDAD",IF(O122=CURSOS!$D$34,"CUIDADO INTEGRAL DEL PACIENTE ADULTO",IF(O122=CURSOS!$D$35,"MANEJO DEFENSIVO",IF(O122=CURSOS!$D$36,"SOPORTE CARDIOVASCULAR AVANZADO NEONATAL",IF(O122=CURSOS!$D$37,"SEGURIDAD DEL PACIENTE",IF(O122=CURSOS!$D$38,"MANEJO DE RESIDUOS HOSPITALARIOS"))))))))))))))))))))))))))))))))))))</f>
        <v xml:space="preserve">ATENCION A VICTIMAS DE VIOLENCIA SEXUAL </v>
      </c>
      <c r="V122" s="47" t="str">
        <f t="shared" si="6"/>
        <v>Catherin Paola Mora Arevalo</v>
      </c>
      <c r="W122" s="47" t="str">
        <f t="shared" si="7"/>
        <v>Catherin Paola Mora Arevalo</v>
      </c>
      <c r="X122" s="47" t="str">
        <f t="shared" si="8"/>
        <v>Catherin Paola Mora Arevalo-1085327574-VIOLENCIA SEXUAL</v>
      </c>
    </row>
    <row r="123" spans="1:24" x14ac:dyDescent="0.2">
      <c r="A123" s="46">
        <v>122</v>
      </c>
      <c r="B123" s="60">
        <v>1085333489</v>
      </c>
      <c r="C123" s="69" t="s">
        <v>318</v>
      </c>
      <c r="D123" s="69" t="s">
        <v>319</v>
      </c>
      <c r="E123" s="69" t="s">
        <v>320</v>
      </c>
      <c r="F123" s="69" t="s">
        <v>321</v>
      </c>
      <c r="G123" s="69">
        <v>14</v>
      </c>
      <c r="H123" s="60" t="s">
        <v>100</v>
      </c>
      <c r="I123" s="83" t="s">
        <v>146</v>
      </c>
      <c r="J123" s="84">
        <v>45305</v>
      </c>
      <c r="K123" s="110">
        <v>40000</v>
      </c>
      <c r="L123" s="69" t="s">
        <v>139</v>
      </c>
      <c r="M123" s="60" t="s">
        <v>80</v>
      </c>
      <c r="N123" s="60" t="s">
        <v>90</v>
      </c>
      <c r="O123" s="62" t="s">
        <v>19</v>
      </c>
      <c r="P123" s="61">
        <v>35450</v>
      </c>
      <c r="Q123" s="69" t="s">
        <v>89</v>
      </c>
      <c r="R123" s="60" t="s">
        <v>189</v>
      </c>
      <c r="S123" s="63">
        <v>3206354178</v>
      </c>
      <c r="T123" s="60" t="s">
        <v>322</v>
      </c>
      <c r="U123" s="47" t="str">
        <f>IF(O123=CURSOS!$D$3,"DIPLOMADO EN ATENCION PRE-HOSPITALARIA",IF(O123=CURSOS!$D$4,"ACOMPAÑAMIENTO Y MANEJO DEL DUELO",IF(O123=CURSOS!$D$5,"ATENCION A VICTIMAS DE ATAQUE CON AGENTES QUIMICOS ",IF(O123=CURSOS!$D$6,"PRIMEROS AUXILIOS ",IF(O123=CURSOS!$D$7,"DIPLOMADO DE UNIDAD DE CUIDADOS INTENSIVOS (UCI)",IF(O123=CURSOS!$D$8,"MODELO DE ATENCION PARA EVENTOS EMERGENTES EN SALUD MENTAL (CODIGO VERDE)",IF(O123=CURSOS!$D$9,"HUMANIZACION EN EL SERVICIO DE LA SALUD Y BUENAS PRACTICAS EN PACIENTE ",IF(O123=CURSOS!$D$10,"CLINICA DE HERIDAS ",IF(O123=CURSOS!$D$11,"TOMA DE CITOLOGIA CERVICO VAGINAL ",IF(O123=CURSOS!$D$12,"SOPORTE CARDIOVASCULAR AVANZADO (ACLS) ",IF(O123=CURSOS!$D$13,"CAMILLERO ",IF(O123=CURSOS!$D$14,"TOMA DE MUESTRAS Y LABORATORIO ",IF(O123=CURSOS!$D$15,"SOPORTE VITAL BASICO (BLS)",IF(O123=CURSOS!$D$16,"ATENCION A VICTIMAS DE VIOLENCIA SEXUAL ",IF(O123=CURSOS!$D$17,"PROGRAMADO AMPLIADO DE INMUNIZACION (PAI - COVID 19)",IF(O123=CURSOS!$D$18,"ATENCION INTEGRAL EN ENFERMEDADES PREVALENTES EN PRIMERA INFANCIA (AIEPI)",IF(O123=CURSOS!$D$19,"ADMINISTRACION DE MEDICAMENTOS, INYECTOLOGIA  Y CANALIZACION ",IF(O123=CURSOS!$D$20,"OPERADOR DE VEHICULOS DE EMERGENCIA (OVE)",IF(O123=CURSOS!$D$21,"INSTITUCIONES AMIGAS DE LA MUJER Y LA INFANCIA (IAMI)",IF(O123=CURSOS!$D$22,"CUIDADO DEL DONANTE DE ORGANOS",IF(O123=CURSOS!$D$23,"ATENCION A VICTIMAS POR VIOLENCIA DE GENERO",IF(O123=CURSOS!$D$24,"IGUALDAD DE GENERO EN LA SALUD",IF(O123=CURSOS!$D$25,"BRIGADA DE EMERGENCIA",IF(O123=CURSOS!$D$26,"MANEJO DEL DOLOR Y CUIDADOS PALIATIVOS",IF(O123=CURSOS!$D$27,"TOMA DE MUESTRAS Y LABORATORIO POCT",IF(O123=CURSOS!$D$28,"IMPLANTE SUBDERMICO DE DISPOSITIVO INTRAUTERINO",IF(O123=CURSOS!$D$29,"SALUD MENTAL",IF(O123=CURSOS!$D$30,"PRIMEROS AUXILIOS PSICOLOGICOS",IF(O123=CURSOS!$D$31,"ATENCION A VICTIMAS POR CONFLICTO ARMADO",IF(O123=CURSOS!$D$32,"MANIPULACION DE ALIMENTOS Y BPM",IF(O123=CURSOS!$D$33,"ATENCION A PERSONAS CON DISCAPACIDAD",IF(O123=CURSOS!$D$34,"CUIDADO INTEGRAL DEL PACIENTE ADULTO",IF(O123=CURSOS!$D$35,"MANEJO DEFENSIVO",IF(O123=CURSOS!$D$36,"SOPORTE CARDIOVASCULAR AVANZADO NEONATAL",IF(O123=CURSOS!$D$37,"SEGURIDAD DEL PACIENTE",IF(O123=CURSOS!$D$38,"MANEJO DE RESIDUOS HOSPITALARIOS"))))))))))))))))))))))))))))))))))))</f>
        <v>SOPORTE VITAL BASICO (BLS)</v>
      </c>
      <c r="V123" s="47" t="str">
        <f t="shared" ref="V123:V173" si="9">CONCATENATE(E123," ",F123," ",C123," ",D123)</f>
        <v>Yilver Alexander España Quintero</v>
      </c>
      <c r="W123" s="47" t="str">
        <f t="shared" ref="W123:W173" si="10">PROPER(V123)</f>
        <v>Yilver Alexander España Quintero</v>
      </c>
      <c r="X123" s="47" t="str">
        <f t="shared" ref="X123:X173" si="11">CONCATENATE(V123,"-",B123,"-",O123)</f>
        <v>Yilver Alexander España Quintero-1085333489-BLS</v>
      </c>
    </row>
    <row r="124" spans="1:24" s="58" customFormat="1" x14ac:dyDescent="0.2">
      <c r="A124" s="46">
        <v>123</v>
      </c>
      <c r="B124" s="54">
        <v>37085908</v>
      </c>
      <c r="C124" s="68" t="s">
        <v>323</v>
      </c>
      <c r="D124" s="68" t="s">
        <v>324</v>
      </c>
      <c r="E124" s="68" t="s">
        <v>325</v>
      </c>
      <c r="F124" s="68" t="s">
        <v>173</v>
      </c>
      <c r="G124" s="68">
        <v>14</v>
      </c>
      <c r="H124" s="54" t="s">
        <v>100</v>
      </c>
      <c r="I124" s="78" t="s">
        <v>146</v>
      </c>
      <c r="J124" s="56">
        <v>45610</v>
      </c>
      <c r="K124" s="108">
        <v>40000</v>
      </c>
      <c r="L124" s="68" t="s">
        <v>327</v>
      </c>
      <c r="M124" s="54" t="s">
        <v>80</v>
      </c>
      <c r="N124" s="68" t="s">
        <v>90</v>
      </c>
      <c r="O124" s="77" t="s">
        <v>19</v>
      </c>
      <c r="P124" s="55">
        <v>31103</v>
      </c>
      <c r="Q124" s="68" t="s">
        <v>89</v>
      </c>
      <c r="R124" s="68" t="s">
        <v>189</v>
      </c>
      <c r="S124" s="68">
        <v>3137365201</v>
      </c>
      <c r="T124" s="54" t="s">
        <v>326</v>
      </c>
      <c r="U124" s="47" t="str">
        <f>IF(O124=CURSOS!$D$3,"DIPLOMADO EN ATENCION PRE-HOSPITALARIA",IF(O124=CURSOS!$D$4,"ACOMPAÑAMIENTO Y MANEJO DEL DUELO",IF(O124=CURSOS!$D$5,"ATENCION A VICTIMAS DE ATAQUE CON AGENTES QUIMICOS ",IF(O124=CURSOS!$D$6,"PRIMEROS AUXILIOS ",IF(O124=CURSOS!$D$7,"DIPLOMADO DE UNIDAD DE CUIDADOS INTENSIVOS (UCI)",IF(O124=CURSOS!$D$8,"MODELO DE ATENCION PARA EVENTOS EMERGENTES EN SALUD MENTAL (CODIGO VERDE)",IF(O124=CURSOS!$D$9,"HUMANIZACION EN EL SERVICIO DE LA SALUD Y BUENAS PRACTICAS EN PACIENTE ",IF(O124=CURSOS!$D$10,"CLINICA DE HERIDAS ",IF(O124=CURSOS!$D$11,"TOMA DE CITOLOGIA CERVICO VAGINAL ",IF(O124=CURSOS!$D$12,"SOPORTE CARDIOVASCULAR AVANZADO (ACLS) ",IF(O124=CURSOS!$D$13,"CAMILLERO ",IF(O124=CURSOS!$D$14,"TOMA DE MUESTRAS Y LABORATORIO ",IF(O124=CURSOS!$D$15,"SOPORTE VITAL BASICO (BLS)",IF(O124=CURSOS!$D$16,"ATENCION A VICTIMAS DE VIOLENCIA SEXUAL ",IF(O124=CURSOS!$D$17,"PROGRAMADO AMPLIADO DE INMUNIZACION (PAI - COVID 19)",IF(O124=CURSOS!$D$18,"ATENCION INTEGRAL EN ENFERMEDADES PREVALENTES EN PRIMERA INFANCIA (AIEPI)",IF(O124=CURSOS!$D$19,"ADMINISTRACION DE MEDICAMENTOS, INYECTOLOGIA  Y CANALIZACION ",IF(O124=CURSOS!$D$20,"OPERADOR DE VEHICULOS DE EMERGENCIA (OVE)",IF(O124=CURSOS!$D$21,"INSTITUCIONES AMIGAS DE LA MUJER Y LA INFANCIA (IAMI)",IF(O124=CURSOS!$D$22,"CUIDADO DEL DONANTE DE ORGANOS",IF(O124=CURSOS!$D$23,"ATENCION A VICTIMAS POR VIOLENCIA DE GENERO",IF(O124=CURSOS!$D$24,"IGUALDAD DE GENERO EN LA SALUD",IF(O124=CURSOS!$D$25,"BRIGADA DE EMERGENCIA",IF(O124=CURSOS!$D$26,"MANEJO DEL DOLOR Y CUIDADOS PALIATIVOS",IF(O124=CURSOS!$D$27,"TOMA DE MUESTRAS Y LABORATORIO POCT",IF(O124=CURSOS!$D$28,"IMPLANTE SUBDERMICO DE DISPOSITIVO INTRAUTERINO",IF(O124=CURSOS!$D$29,"SALUD MENTAL",IF(O124=CURSOS!$D$30,"PRIMEROS AUXILIOS PSICOLOGICOS",IF(O124=CURSOS!$D$31,"ATENCION A VICTIMAS POR CONFLICTO ARMADO",IF(O124=CURSOS!$D$32,"MANIPULACION DE ALIMENTOS Y BPM",IF(O124=CURSOS!$D$33,"ATENCION A PERSONAS CON DISCAPACIDAD",IF(O124=CURSOS!$D$34,"CUIDADO INTEGRAL DEL PACIENTE ADULTO",IF(O124=CURSOS!$D$35,"MANEJO DEFENSIVO",IF(O124=CURSOS!$D$36,"SOPORTE CARDIOVASCULAR AVANZADO NEONATAL",IF(O124=CURSOS!$D$37,"SEGURIDAD DEL PACIENTE",IF(O124=CURSOS!$D$38,"MANEJO DE RESIDUOS HOSPITALARIOS"))))))))))))))))))))))))))))))))))))</f>
        <v>SOPORTE VITAL BASICO (BLS)</v>
      </c>
      <c r="V124" s="47" t="str">
        <f t="shared" si="9"/>
        <v>Claudia Ximena Ortega Ortiz</v>
      </c>
      <c r="W124" s="47" t="str">
        <f t="shared" si="10"/>
        <v>Claudia Ximena Ortega Ortiz</v>
      </c>
      <c r="X124" s="47" t="str">
        <f t="shared" si="11"/>
        <v>Claudia Ximena Ortega Ortiz-37085908-BLS</v>
      </c>
    </row>
    <row r="125" spans="1:24" x14ac:dyDescent="0.2">
      <c r="A125" s="46">
        <v>124</v>
      </c>
      <c r="B125" s="54">
        <v>1085272317</v>
      </c>
      <c r="C125" s="68" t="s">
        <v>318</v>
      </c>
      <c r="D125" s="68" t="s">
        <v>328</v>
      </c>
      <c r="E125" s="68" t="s">
        <v>329</v>
      </c>
      <c r="F125" s="68" t="s">
        <v>330</v>
      </c>
      <c r="G125" s="68">
        <v>11</v>
      </c>
      <c r="H125" s="54" t="s">
        <v>100</v>
      </c>
      <c r="I125" s="78" t="s">
        <v>146</v>
      </c>
      <c r="J125" s="56">
        <v>45610</v>
      </c>
      <c r="K125" s="108">
        <v>33000</v>
      </c>
      <c r="L125" s="68" t="s">
        <v>235</v>
      </c>
      <c r="M125" s="54" t="s">
        <v>80</v>
      </c>
      <c r="N125" s="68" t="s">
        <v>90</v>
      </c>
      <c r="O125" s="77" t="s">
        <v>42</v>
      </c>
      <c r="P125" s="55">
        <v>32577</v>
      </c>
      <c r="Q125" s="68" t="s">
        <v>89</v>
      </c>
      <c r="R125" s="80" t="s">
        <v>286</v>
      </c>
      <c r="S125" s="68">
        <v>3023396983</v>
      </c>
      <c r="T125" s="82" t="s">
        <v>331</v>
      </c>
      <c r="U125" s="47" t="str">
        <f>IF(O125=CURSOS!$D$3,"DIPLOMADO EN ATENCION PRE-HOSPITALARIA",IF(O125=CURSOS!$D$4,"ACOMPAÑAMIENTO Y MANEJO DEL DUELO",IF(O125=CURSOS!$D$5,"ATENCION A VICTIMAS DE ATAQUE CON AGENTES QUIMICOS ",IF(O125=CURSOS!$D$6,"PRIMEROS AUXILIOS ",IF(O125=CURSOS!$D$7,"DIPLOMADO DE UNIDAD DE CUIDADOS INTENSIVOS (UCI)",IF(O125=CURSOS!$D$8,"MODELO DE ATENCION PARA EVENTOS EMERGENTES EN SALUD MENTAL (CODIGO VERDE)",IF(O125=CURSOS!$D$9,"HUMANIZACION EN EL SERVICIO DE LA SALUD Y BUENAS PRACTICAS EN PACIENTE ",IF(O125=CURSOS!$D$10,"CLINICA DE HERIDAS ",IF(O125=CURSOS!$D$11,"TOMA DE CITOLOGIA CERVICO VAGINAL ",IF(O125=CURSOS!$D$12,"SOPORTE CARDIOVASCULAR AVANZADO (ACLS) ",IF(O125=CURSOS!$D$13,"CAMILLERO ",IF(O125=CURSOS!$D$14,"TOMA DE MUESTRAS Y LABORATORIO ",IF(O125=CURSOS!$D$15,"SOPORTE VITAL BASICO (BLS)",IF(O125=CURSOS!$D$16,"ATENCION A VICTIMAS DE VIOLENCIA SEXUAL ",IF(O125=CURSOS!$D$17,"PROGRAMADO AMPLIADO DE INMUNIZACION (PAI - COVID 19)",IF(O125=CURSOS!$D$18,"ATENCION INTEGRAL EN ENFERMEDADES PREVALENTES EN PRIMERA INFANCIA (AIEPI)",IF(O125=CURSOS!$D$19,"ADMINISTRACION DE MEDICAMENTOS, INYECTOLOGIA  Y CANALIZACION ",IF(O125=CURSOS!$D$20,"OPERADOR DE VEHICULOS DE EMERGENCIA (OVE)",IF(O125=CURSOS!$D$21,"INSTITUCIONES AMIGAS DE LA MUJER Y LA INFANCIA (IAMI)",IF(O125=CURSOS!$D$22,"CUIDADO DEL DONANTE DE ORGANOS",IF(O125=CURSOS!$D$23,"ATENCION A VICTIMAS POR VIOLENCIA DE GENERO",IF(O125=CURSOS!$D$24,"IGUALDAD DE GENERO EN LA SALUD",IF(O125=CURSOS!$D$25,"BRIGADA DE EMERGENCIA",IF(O125=CURSOS!$D$26,"MANEJO DEL DOLOR Y CUIDADOS PALIATIVOS",IF(O125=CURSOS!$D$27,"TOMA DE MUESTRAS Y LABORATORIO POCT",IF(O125=CURSOS!$D$28,"IMPLANTE SUBDERMICO DE DISPOSITIVO INTRAUTERINO",IF(O125=CURSOS!$D$29,"SALUD MENTAL",IF(O125=CURSOS!$D$30,"PRIMEROS AUXILIOS PSICOLOGICOS",IF(O125=CURSOS!$D$31,"ATENCION A VICTIMAS POR CONFLICTO ARMADO",IF(O125=CURSOS!$D$32,"MANIPULACION DE ALIMENTOS Y BPM",IF(O125=CURSOS!$D$33,"ATENCION A PERSONAS CON DISCAPACIDAD",IF(O125=CURSOS!$D$34,"CUIDADO INTEGRAL DEL PACIENTE ADULTO",IF(O125=CURSOS!$D$35,"MANEJO DEFENSIVO",IF(O125=CURSOS!$D$36,"SOPORTE CARDIOVASCULAR AVANZADO NEONATAL",IF(O125=CURSOS!$D$37,"SEGURIDAD DEL PACIENTE",IF(O125=CURSOS!$D$38,"MANEJO DE RESIDUOS HOSPITALARIOS"))))))))))))))))))))))))))))))))))))</f>
        <v xml:space="preserve">ATENCION A VICTIMAS DE VIOLENCIA SEXUAL </v>
      </c>
      <c r="V125" s="47" t="str">
        <f t="shared" si="9"/>
        <v>Lesli Greis España Cepeda</v>
      </c>
      <c r="W125" s="47" t="str">
        <f t="shared" si="10"/>
        <v>Lesli Greis España Cepeda</v>
      </c>
      <c r="X125" s="47" t="str">
        <f t="shared" si="11"/>
        <v>Lesli Greis España Cepeda-1085272317-VIOLENCIA SEXUAL</v>
      </c>
    </row>
    <row r="126" spans="1:24" x14ac:dyDescent="0.2">
      <c r="A126" s="46">
        <v>125</v>
      </c>
      <c r="B126" s="60">
        <v>1085272317</v>
      </c>
      <c r="C126" s="69" t="s">
        <v>318</v>
      </c>
      <c r="D126" s="69" t="s">
        <v>328</v>
      </c>
      <c r="E126" s="69" t="s">
        <v>329</v>
      </c>
      <c r="F126" s="69" t="s">
        <v>330</v>
      </c>
      <c r="G126" s="69">
        <v>12</v>
      </c>
      <c r="H126" s="60" t="s">
        <v>100</v>
      </c>
      <c r="I126" s="83" t="s">
        <v>146</v>
      </c>
      <c r="J126" s="74">
        <v>45610</v>
      </c>
      <c r="K126" s="110">
        <v>33000</v>
      </c>
      <c r="L126" s="69" t="s">
        <v>235</v>
      </c>
      <c r="M126" s="60" t="s">
        <v>80</v>
      </c>
      <c r="N126" s="69" t="s">
        <v>90</v>
      </c>
      <c r="O126" s="85" t="s">
        <v>25</v>
      </c>
      <c r="P126" s="61">
        <v>32577</v>
      </c>
      <c r="Q126" s="69" t="s">
        <v>89</v>
      </c>
      <c r="R126" s="86" t="s">
        <v>286</v>
      </c>
      <c r="S126" s="69">
        <v>3023396983</v>
      </c>
      <c r="T126" s="87" t="s">
        <v>331</v>
      </c>
      <c r="U126" s="47" t="str">
        <f>IF(O126=CURSOS!$D$3,"DIPLOMADO EN ATENCION PRE-HOSPITALARIA",IF(O126=CURSOS!$D$4,"ACOMPAÑAMIENTO Y MANEJO DEL DUELO",IF(O126=CURSOS!$D$5,"ATENCION A VICTIMAS DE ATAQUE CON AGENTES QUIMICOS ",IF(O126=CURSOS!$D$6,"PRIMEROS AUXILIOS ",IF(O126=CURSOS!$D$7,"DIPLOMADO DE UNIDAD DE CUIDADOS INTENSIVOS (UCI)",IF(O126=CURSOS!$D$8,"MODELO DE ATENCION PARA EVENTOS EMERGENTES EN SALUD MENTAL (CODIGO VERDE)",IF(O126=CURSOS!$D$9,"HUMANIZACION EN EL SERVICIO DE LA SALUD Y BUENAS PRACTICAS EN PACIENTE ",IF(O126=CURSOS!$D$10,"CLINICA DE HERIDAS ",IF(O126=CURSOS!$D$11,"TOMA DE CITOLOGIA CERVICO VAGINAL ",IF(O126=CURSOS!$D$12,"SOPORTE CARDIOVASCULAR AVANZADO (ACLS) ",IF(O126=CURSOS!$D$13,"CAMILLERO ",IF(O126=CURSOS!$D$14,"TOMA DE MUESTRAS Y LABORATORIO ",IF(O126=CURSOS!$D$15,"SOPORTE VITAL BASICO (BLS)",IF(O126=CURSOS!$D$16,"ATENCION A VICTIMAS DE VIOLENCIA SEXUAL ",IF(O126=CURSOS!$D$17,"PROGRAMADO AMPLIADO DE INMUNIZACION (PAI - COVID 19)",IF(O126=CURSOS!$D$18,"ATENCION INTEGRAL EN ENFERMEDADES PREVALENTES EN PRIMERA INFANCIA (AIEPI)",IF(O126=CURSOS!$D$19,"ADMINISTRACION DE MEDICAMENTOS, INYECTOLOGIA  Y CANALIZACION ",IF(O126=CURSOS!$D$20,"OPERADOR DE VEHICULOS DE EMERGENCIA (OVE)",IF(O126=CURSOS!$D$21,"INSTITUCIONES AMIGAS DE LA MUJER Y LA INFANCIA (IAMI)",IF(O126=CURSOS!$D$22,"CUIDADO DEL DONANTE DE ORGANOS",IF(O126=CURSOS!$D$23,"ATENCION A VICTIMAS POR VIOLENCIA DE GENERO",IF(O126=CURSOS!$D$24,"IGUALDAD DE GENERO EN LA SALUD",IF(O126=CURSOS!$D$25,"BRIGADA DE EMERGENCIA",IF(O126=CURSOS!$D$26,"MANEJO DEL DOLOR Y CUIDADOS PALIATIVOS",IF(O126=CURSOS!$D$27,"TOMA DE MUESTRAS Y LABORATORIO POCT",IF(O126=CURSOS!$D$28,"IMPLANTE SUBDERMICO DE DISPOSITIVO INTRAUTERINO",IF(O126=CURSOS!$D$29,"SALUD MENTAL",IF(O126=CURSOS!$D$30,"PRIMEROS AUXILIOS PSICOLOGICOS",IF(O126=CURSOS!$D$31,"ATENCION A VICTIMAS POR CONFLICTO ARMADO",IF(O126=CURSOS!$D$32,"MANIPULACION DE ALIMENTOS Y BPM",IF(O126=CURSOS!$D$33,"ATENCION A PERSONAS CON DISCAPACIDAD",IF(O126=CURSOS!$D$34,"CUIDADO INTEGRAL DEL PACIENTE ADULTO",IF(O126=CURSOS!$D$35,"MANEJO DEFENSIVO",IF(O126=CURSOS!$D$36,"SOPORTE CARDIOVASCULAR AVANZADO NEONATAL",IF(O126=CURSOS!$D$37,"SEGURIDAD DEL PACIENTE",IF(O126=CURSOS!$D$38,"MANEJO DE RESIDUOS HOSPITALARIOS"))))))))))))))))))))))))))))))))))))</f>
        <v xml:space="preserve">ATENCION A VICTIMAS DE ATAQUE CON AGENTES QUIMICOS </v>
      </c>
      <c r="V126" s="47" t="str">
        <f t="shared" si="9"/>
        <v>Lesli Greis España Cepeda</v>
      </c>
      <c r="W126" s="47" t="str">
        <f t="shared" si="10"/>
        <v>Lesli Greis España Cepeda</v>
      </c>
      <c r="X126" s="47" t="str">
        <f t="shared" si="11"/>
        <v>Lesli Greis España Cepeda-1085272317-QUIMICOS</v>
      </c>
    </row>
    <row r="127" spans="1:24" s="58" customFormat="1" x14ac:dyDescent="0.2">
      <c r="A127" s="46">
        <v>126</v>
      </c>
      <c r="B127" s="54">
        <v>1085272317</v>
      </c>
      <c r="C127" s="68" t="s">
        <v>318</v>
      </c>
      <c r="D127" s="68" t="s">
        <v>328</v>
      </c>
      <c r="E127" s="68" t="s">
        <v>329</v>
      </c>
      <c r="F127" s="68" t="s">
        <v>330</v>
      </c>
      <c r="G127" s="68">
        <v>13</v>
      </c>
      <c r="H127" s="54" t="s">
        <v>100</v>
      </c>
      <c r="I127" s="78" t="s">
        <v>146</v>
      </c>
      <c r="J127" s="56">
        <v>45610</v>
      </c>
      <c r="K127" s="108">
        <v>33000</v>
      </c>
      <c r="L127" s="68" t="s">
        <v>235</v>
      </c>
      <c r="M127" s="54" t="s">
        <v>80</v>
      </c>
      <c r="N127" s="54" t="s">
        <v>90</v>
      </c>
      <c r="O127" s="43" t="s">
        <v>52</v>
      </c>
      <c r="P127" s="55">
        <v>32577</v>
      </c>
      <c r="Q127" s="68" t="s">
        <v>89</v>
      </c>
      <c r="R127" s="80" t="s">
        <v>286</v>
      </c>
      <c r="S127" s="68">
        <v>3023396983</v>
      </c>
      <c r="T127" s="82" t="s">
        <v>331</v>
      </c>
      <c r="U127" s="47" t="str">
        <f>IF(O127=CURSOS!$D$3,"DIPLOMADO EN ATENCION PRE-HOSPITALARIA",IF(O127=CURSOS!$D$4,"ACOMPAÑAMIENTO Y MANEJO DEL DUELO",IF(O127=CURSOS!$D$5,"ATENCION A VICTIMAS DE ATAQUE CON AGENTES QUIMICOS ",IF(O127=CURSOS!$D$6,"PRIMEROS AUXILIOS ",IF(O127=CURSOS!$D$7,"DIPLOMADO DE UNIDAD DE CUIDADOS INTENSIVOS (UCI)",IF(O127=CURSOS!$D$8,"MODELO DE ATENCION PARA EVENTOS EMERGENTES EN SALUD MENTAL (CODIGO VERDE)",IF(O127=CURSOS!$D$9,"HUMANIZACION EN EL SERVICIO DE LA SALUD Y BUENAS PRACTICAS EN PACIENTE ",IF(O127=CURSOS!$D$10,"CLINICA DE HERIDAS ",IF(O127=CURSOS!$D$11,"TOMA DE CITOLOGIA CERVICO VAGINAL ",IF(O127=CURSOS!$D$12,"SOPORTE CARDIOVASCULAR AVANZADO (ACLS) ",IF(O127=CURSOS!$D$13,"CAMILLERO ",IF(O127=CURSOS!$D$14,"TOMA DE MUESTRAS Y LABORATORIO ",IF(O127=CURSOS!$D$15,"SOPORTE VITAL BASICO (BLS)",IF(O127=CURSOS!$D$16,"ATENCION A VICTIMAS DE VIOLENCIA SEXUAL ",IF(O127=CURSOS!$D$17,"PROGRAMADO AMPLIADO DE INMUNIZACION (PAI - COVID 19)",IF(O127=CURSOS!$D$18,"ATENCION INTEGRAL EN ENFERMEDADES PREVALENTES EN PRIMERA INFANCIA (AIEPI)",IF(O127=CURSOS!$D$19,"ADMINISTRACION DE MEDICAMENTOS, INYECTOLOGIA  Y CANALIZACION ",IF(O127=CURSOS!$D$20,"OPERADOR DE VEHICULOS DE EMERGENCIA (OVE)",IF(O127=CURSOS!$D$21,"INSTITUCIONES AMIGAS DE LA MUJER Y LA INFANCIA (IAMI)",IF(O127=CURSOS!$D$22,"CUIDADO DEL DONANTE DE ORGANOS",IF(O127=CURSOS!$D$23,"ATENCION A VICTIMAS POR VIOLENCIA DE GENERO",IF(O127=CURSOS!$D$24,"IGUALDAD DE GENERO EN LA SALUD",IF(O127=CURSOS!$D$25,"BRIGADA DE EMERGENCIA",IF(O127=CURSOS!$D$26,"MANEJO DEL DOLOR Y CUIDADOS PALIATIVOS",IF(O127=CURSOS!$D$27,"TOMA DE MUESTRAS Y LABORATORIO POCT",IF(O127=CURSOS!$D$28,"IMPLANTE SUBDERMICO DE DISPOSITIVO INTRAUTERINO",IF(O127=CURSOS!$D$29,"SALUD MENTAL",IF(O127=CURSOS!$D$30,"PRIMEROS AUXILIOS PSICOLOGICOS",IF(O127=CURSOS!$D$31,"ATENCION A VICTIMAS POR CONFLICTO ARMADO",IF(O127=CURSOS!$D$32,"MANIPULACION DE ALIMENTOS Y BPM",IF(O127=CURSOS!$D$33,"ATENCION A PERSONAS CON DISCAPACIDAD",IF(O127=CURSOS!$D$34,"CUIDADO INTEGRAL DEL PACIENTE ADULTO",IF(O127=CURSOS!$D$35,"MANEJO DEFENSIVO",IF(O127=CURSOS!$D$36,"SOPORTE CARDIOVASCULAR AVANZADO NEONATAL",IF(O127=CURSOS!$D$37,"SEGURIDAD DEL PACIENTE",IF(O127=CURSOS!$D$38,"MANEJO DE RESIDUOS HOSPITALARIOS"))))))))))))))))))))))))))))))))))))</f>
        <v>ATENCION A VICTIMAS POR VIOLENCIA DE GENERO</v>
      </c>
      <c r="V127" s="47" t="str">
        <f t="shared" si="9"/>
        <v>Lesli Greis España Cepeda</v>
      </c>
      <c r="W127" s="47" t="str">
        <f t="shared" si="10"/>
        <v>Lesli Greis España Cepeda</v>
      </c>
      <c r="X127" s="47" t="str">
        <f t="shared" si="11"/>
        <v>Lesli Greis España Cepeda-1085272317-VIOLENCIA DE GENERO</v>
      </c>
    </row>
    <row r="128" spans="1:24" s="58" customFormat="1" x14ac:dyDescent="0.2">
      <c r="A128" s="46">
        <v>127</v>
      </c>
      <c r="B128" s="43">
        <v>27088512</v>
      </c>
      <c r="C128" s="68" t="s">
        <v>332</v>
      </c>
      <c r="D128" s="68" t="s">
        <v>267</v>
      </c>
      <c r="E128" s="68" t="s">
        <v>333</v>
      </c>
      <c r="F128" s="68"/>
      <c r="G128" s="68">
        <v>13</v>
      </c>
      <c r="H128" s="54" t="s">
        <v>100</v>
      </c>
      <c r="I128" s="78" t="s">
        <v>146</v>
      </c>
      <c r="J128" s="56">
        <v>45609</v>
      </c>
      <c r="K128" s="108">
        <v>40000</v>
      </c>
      <c r="L128" s="68" t="s">
        <v>139</v>
      </c>
      <c r="M128" s="54" t="s">
        <v>80</v>
      </c>
      <c r="N128" s="54" t="s">
        <v>186</v>
      </c>
      <c r="O128" s="43" t="s">
        <v>57</v>
      </c>
      <c r="P128" s="55">
        <v>28573</v>
      </c>
      <c r="Q128" s="68" t="s">
        <v>89</v>
      </c>
      <c r="R128" s="54" t="s">
        <v>189</v>
      </c>
      <c r="S128" s="54">
        <v>3043533344</v>
      </c>
      <c r="T128" s="54" t="s">
        <v>334</v>
      </c>
      <c r="U128" s="47" t="str">
        <f>IF(O128=CURSOS!$D$3,"DIPLOMADO EN ATENCION PRE-HOSPITALARIA",IF(O128=CURSOS!$D$4,"ACOMPAÑAMIENTO Y MANEJO DEL DUELO",IF(O128=CURSOS!$D$5,"ATENCION A VICTIMAS DE ATAQUE CON AGENTES QUIMICOS ",IF(O128=CURSOS!$D$6,"PRIMEROS AUXILIOS ",IF(O128=CURSOS!$D$7,"DIPLOMADO DE UNIDAD DE CUIDADOS INTENSIVOS (UCI)",IF(O128=CURSOS!$D$8,"MODELO DE ATENCION PARA EVENTOS EMERGENTES EN SALUD MENTAL (CODIGO VERDE)",IF(O128=CURSOS!$D$9,"HUMANIZACION EN EL SERVICIO DE LA SALUD Y BUENAS PRACTICAS EN PACIENTE ",IF(O128=CURSOS!$D$10,"CLINICA DE HERIDAS ",IF(O128=CURSOS!$D$11,"TOMA DE CITOLOGIA CERVICO VAGINAL ",IF(O128=CURSOS!$D$12,"SOPORTE CARDIOVASCULAR AVANZADO (ACLS) ",IF(O128=CURSOS!$D$13,"CAMILLERO ",IF(O128=CURSOS!$D$14,"TOMA DE MUESTRAS Y LABORATORIO ",IF(O128=CURSOS!$D$15,"SOPORTE VITAL BASICO (BLS)",IF(O128=CURSOS!$D$16,"ATENCION A VICTIMAS DE VIOLENCIA SEXUAL ",IF(O128=CURSOS!$D$17,"PROGRAMADO AMPLIADO DE INMUNIZACION (PAI - COVID 19)",IF(O128=CURSOS!$D$18,"ATENCION INTEGRAL EN ENFERMEDADES PREVALENTES EN PRIMERA INFANCIA (AIEPI)",IF(O128=CURSOS!$D$19,"ADMINISTRACION DE MEDICAMENTOS, INYECTOLOGIA  Y CANALIZACION ",IF(O128=CURSOS!$D$20,"OPERADOR DE VEHICULOS DE EMERGENCIA (OVE)",IF(O128=CURSOS!$D$21,"INSTITUCIONES AMIGAS DE LA MUJER Y LA INFANCIA (IAMI)",IF(O128=CURSOS!$D$22,"CUIDADO DEL DONANTE DE ORGANOS",IF(O128=CURSOS!$D$23,"ATENCION A VICTIMAS POR VIOLENCIA DE GENERO",IF(O128=CURSOS!$D$24,"IGUALDAD DE GENERO EN LA SALUD",IF(O128=CURSOS!$D$25,"BRIGADA DE EMERGENCIA",IF(O128=CURSOS!$D$26,"MANEJO DEL DOLOR Y CUIDADOS PALIATIVOS",IF(O128=CURSOS!$D$27,"TOMA DE MUESTRAS Y LABORATORIO POCT",IF(O128=CURSOS!$D$28,"IMPLANTE SUBDERMICO DE DISPOSITIVO INTRAUTERINO",IF(O128=CURSOS!$D$29,"SALUD MENTAL",IF(O128=CURSOS!$D$30,"PRIMEROS AUXILIOS PSICOLOGICOS",IF(O128=CURSOS!$D$31,"ATENCION A VICTIMAS POR CONFLICTO ARMADO",IF(O128=CURSOS!$D$32,"MANIPULACION DE ALIMENTOS Y BPM",IF(O128=CURSOS!$D$33,"ATENCION A PERSONAS CON DISCAPACIDAD",IF(O128=CURSOS!$D$34,"CUIDADO INTEGRAL DEL PACIENTE ADULTO",IF(O128=CURSOS!$D$35,"MANEJO DEFENSIVO",IF(O128=CURSOS!$D$36,"SOPORTE CARDIOVASCULAR AVANZADO NEONATAL",IF(O128=CURSOS!$D$37,"SEGURIDAD DEL PACIENTE",IF(O128=CURSOS!$D$38,"MANEJO DE RESIDUOS HOSPITALARIOS"))))))))))))))))))))))))))))))))))))</f>
        <v>MANEJO DEL DOLOR Y CUIDADOS PALIATIVOS</v>
      </c>
      <c r="V128" s="47" t="str">
        <f t="shared" si="9"/>
        <v>Sonia  Muñoz Guerrero</v>
      </c>
      <c r="W128" s="47" t="str">
        <f t="shared" si="10"/>
        <v>Sonia  Muñoz Guerrero</v>
      </c>
      <c r="X128" s="47" t="str">
        <f t="shared" si="11"/>
        <v>Sonia  Muñoz Guerrero-27088512-PALIATIVOS</v>
      </c>
    </row>
    <row r="129" spans="1:24" s="58" customFormat="1" x14ac:dyDescent="0.2">
      <c r="A129" s="46">
        <v>128</v>
      </c>
      <c r="B129" s="54">
        <v>1004625579</v>
      </c>
      <c r="C129" s="68" t="s">
        <v>335</v>
      </c>
      <c r="D129" s="68" t="s">
        <v>336</v>
      </c>
      <c r="E129" s="68" t="s">
        <v>337</v>
      </c>
      <c r="F129" s="68" t="s">
        <v>207</v>
      </c>
      <c r="G129" s="68">
        <v>12</v>
      </c>
      <c r="H129" s="54" t="s">
        <v>100</v>
      </c>
      <c r="I129" s="78" t="s">
        <v>146</v>
      </c>
      <c r="J129" s="56">
        <v>45611</v>
      </c>
      <c r="K129" s="108">
        <v>28000</v>
      </c>
      <c r="L129" s="54" t="s">
        <v>235</v>
      </c>
      <c r="M129" s="54" t="s">
        <v>80</v>
      </c>
      <c r="N129" s="54" t="s">
        <v>159</v>
      </c>
      <c r="O129" s="43" t="s">
        <v>42</v>
      </c>
      <c r="P129" s="55">
        <v>37705</v>
      </c>
      <c r="Q129" s="68" t="s">
        <v>89</v>
      </c>
      <c r="R129" s="54" t="s">
        <v>189</v>
      </c>
      <c r="S129" s="54">
        <v>3126640323</v>
      </c>
      <c r="T129" s="82" t="s">
        <v>338</v>
      </c>
      <c r="U129" s="47" t="str">
        <f>IF(O129=CURSOS!$D$3,"DIPLOMADO EN ATENCION PRE-HOSPITALARIA",IF(O129=CURSOS!$D$4,"ACOMPAÑAMIENTO Y MANEJO DEL DUELO",IF(O129=CURSOS!$D$5,"ATENCION A VICTIMAS DE ATAQUE CON AGENTES QUIMICOS ",IF(O129=CURSOS!$D$6,"PRIMEROS AUXILIOS ",IF(O129=CURSOS!$D$7,"DIPLOMADO DE UNIDAD DE CUIDADOS INTENSIVOS (UCI)",IF(O129=CURSOS!$D$8,"MODELO DE ATENCION PARA EVENTOS EMERGENTES EN SALUD MENTAL (CODIGO VERDE)",IF(O129=CURSOS!$D$9,"HUMANIZACION EN EL SERVICIO DE LA SALUD Y BUENAS PRACTICAS EN PACIENTE ",IF(O129=CURSOS!$D$10,"CLINICA DE HERIDAS ",IF(O129=CURSOS!$D$11,"TOMA DE CITOLOGIA CERVICO VAGINAL ",IF(O129=CURSOS!$D$12,"SOPORTE CARDIOVASCULAR AVANZADO (ACLS) ",IF(O129=CURSOS!$D$13,"CAMILLERO ",IF(O129=CURSOS!$D$14,"TOMA DE MUESTRAS Y LABORATORIO ",IF(O129=CURSOS!$D$15,"SOPORTE VITAL BASICO (BLS)",IF(O129=CURSOS!$D$16,"ATENCION A VICTIMAS DE VIOLENCIA SEXUAL ",IF(O129=CURSOS!$D$17,"PROGRAMADO AMPLIADO DE INMUNIZACION (PAI - COVID 19)",IF(O129=CURSOS!$D$18,"ATENCION INTEGRAL EN ENFERMEDADES PREVALENTES EN PRIMERA INFANCIA (AIEPI)",IF(O129=CURSOS!$D$19,"ADMINISTRACION DE MEDICAMENTOS, INYECTOLOGIA  Y CANALIZACION ",IF(O129=CURSOS!$D$20,"OPERADOR DE VEHICULOS DE EMERGENCIA (OVE)",IF(O129=CURSOS!$D$21,"INSTITUCIONES AMIGAS DE LA MUJER Y LA INFANCIA (IAMI)",IF(O129=CURSOS!$D$22,"CUIDADO DEL DONANTE DE ORGANOS",IF(O129=CURSOS!$D$23,"ATENCION A VICTIMAS POR VIOLENCIA DE GENERO",IF(O129=CURSOS!$D$24,"IGUALDAD DE GENERO EN LA SALUD",IF(O129=CURSOS!$D$25,"BRIGADA DE EMERGENCIA",IF(O129=CURSOS!$D$26,"MANEJO DEL DOLOR Y CUIDADOS PALIATIVOS",IF(O129=CURSOS!$D$27,"TOMA DE MUESTRAS Y LABORATORIO POCT",IF(O129=CURSOS!$D$28,"IMPLANTE SUBDERMICO DE DISPOSITIVO INTRAUTERINO",IF(O129=CURSOS!$D$29,"SALUD MENTAL",IF(O129=CURSOS!$D$30,"PRIMEROS AUXILIOS PSICOLOGICOS",IF(O129=CURSOS!$D$31,"ATENCION A VICTIMAS POR CONFLICTO ARMADO",IF(O129=CURSOS!$D$32,"MANIPULACION DE ALIMENTOS Y BPM",IF(O129=CURSOS!$D$33,"ATENCION A PERSONAS CON DISCAPACIDAD",IF(O129=CURSOS!$D$34,"CUIDADO INTEGRAL DEL PACIENTE ADULTO",IF(O129=CURSOS!$D$35,"MANEJO DEFENSIVO",IF(O129=CURSOS!$D$36,"SOPORTE CARDIOVASCULAR AVANZADO NEONATAL",IF(O129=CURSOS!$D$37,"SEGURIDAD DEL PACIENTE",IF(O129=CURSOS!$D$38,"MANEJO DE RESIDUOS HOSPITALARIOS"))))))))))))))))))))))))))))))))))))</f>
        <v xml:space="preserve">ATENCION A VICTIMAS DE VIOLENCIA SEXUAL </v>
      </c>
      <c r="V129" s="47" t="str">
        <f t="shared" si="9"/>
        <v>Karen Yuliana Getial Ojeda</v>
      </c>
      <c r="W129" s="47" t="str">
        <f t="shared" si="10"/>
        <v>Karen Yuliana Getial Ojeda</v>
      </c>
      <c r="X129" s="47" t="str">
        <f t="shared" si="11"/>
        <v>Karen Yuliana Getial Ojeda-1004625579-VIOLENCIA SEXUAL</v>
      </c>
    </row>
    <row r="130" spans="1:24" x14ac:dyDescent="0.2">
      <c r="A130" s="46">
        <v>129</v>
      </c>
      <c r="B130" s="60">
        <v>1004625579</v>
      </c>
      <c r="C130" s="69" t="s">
        <v>335</v>
      </c>
      <c r="D130" s="69" t="s">
        <v>336</v>
      </c>
      <c r="E130" s="69" t="s">
        <v>337</v>
      </c>
      <c r="F130" s="69" t="s">
        <v>207</v>
      </c>
      <c r="G130" s="69">
        <v>13</v>
      </c>
      <c r="H130" s="60" t="s">
        <v>100</v>
      </c>
      <c r="I130" s="83" t="s">
        <v>146</v>
      </c>
      <c r="J130" s="56">
        <v>45611</v>
      </c>
      <c r="K130" s="108">
        <v>28000</v>
      </c>
      <c r="L130" s="54" t="s">
        <v>235</v>
      </c>
      <c r="M130" s="60" t="s">
        <v>80</v>
      </c>
      <c r="N130" s="60" t="s">
        <v>159</v>
      </c>
      <c r="O130" s="62" t="s">
        <v>23</v>
      </c>
      <c r="P130" s="61">
        <v>37705</v>
      </c>
      <c r="Q130" s="69" t="s">
        <v>89</v>
      </c>
      <c r="R130" s="60" t="s">
        <v>189</v>
      </c>
      <c r="S130" s="60">
        <v>3126640323</v>
      </c>
      <c r="T130" s="60" t="s">
        <v>338</v>
      </c>
      <c r="U130" s="64" t="str">
        <f>IF(O130=CURSOS!$D$3,"DIPLOMADO EN ATENCION PRE-HOSPITALARIA",IF(O130=CURSOS!$D$4,"ACOMPAÑAMIENTO Y MANEJO DEL DUELO",IF(O130=CURSOS!$D$5,"ATENCION A VICTIMAS DE ATAQUE CON AGENTES QUIMICOS ",IF(O130=CURSOS!$D$6,"PRIMEROS AUXILIOS ",IF(O130=CURSOS!$D$7,"DIPLOMADO DE UNIDAD DE CUIDADOS INTENSIVOS (UCI)",IF(O130=CURSOS!$D$8,"MODELO DE ATENCION PARA EVENTOS EMERGENTES EN SALUD MENTAL (CODIGO VERDE)",IF(O130=CURSOS!$D$9,"HUMANIZACION EN EL SERVICIO DE LA SALUD Y BUENAS PRACTICAS EN PACIENTE ",IF(O130=CURSOS!$D$10,"CLINICA DE HERIDAS ",IF(O130=CURSOS!$D$11,"TOMA DE CITOLOGIA CERVICO VAGINAL ",IF(O130=CURSOS!$D$12,"SOPORTE CARDIOVASCULAR AVANZADO (ACLS) ",IF(O130=CURSOS!$D$13,"CAMILLERO ",IF(O130=CURSOS!$D$14,"TOMA DE MUESTRAS Y LABORATORIO ",IF(O130=CURSOS!$D$15,"SOPORTE VITAL BASICO (BLS)",IF(O130=CURSOS!$D$16,"ATENCION A VICTIMAS DE VIOLENCIA SEXUAL ",IF(O130=CURSOS!$D$17,"PROGRAMADO AMPLIADO DE INMUNIZACION (PAI - COVID 19)",IF(O130=CURSOS!$D$18,"ATENCION INTEGRAL EN ENFERMEDADES PREVALENTES EN PRIMERA INFANCIA (AIEPI)",IF(O130=CURSOS!$D$19,"ADMINISTRACION DE MEDICAMENTOS, INYECTOLOGIA  Y CANALIZACION ",IF(O130=CURSOS!$D$20,"OPERADOR DE VEHICULOS DE EMERGENCIA (OVE)",IF(O130=CURSOS!$D$21,"INSTITUCIONES AMIGAS DE LA MUJER Y LA INFANCIA (IAMI)",IF(O130=CURSOS!$D$22,"CUIDADO DEL DONANTE DE ORGANOS",IF(O130=CURSOS!$D$23,"ATENCION A VICTIMAS POR VIOLENCIA DE GENERO",IF(O130=CURSOS!$D$24,"IGUALDAD DE GENERO EN LA SALUD",IF(O130=CURSOS!$D$25,"BRIGADA DE EMERGENCIA",IF(O130=CURSOS!$D$26,"MANEJO DEL DOLOR Y CUIDADOS PALIATIVOS",IF(O130=CURSOS!$D$27,"TOMA DE MUESTRAS Y LABORATORIO POCT",IF(O130=CURSOS!$D$28,"IMPLANTE SUBDERMICO DE DISPOSITIVO INTRAUTERINO",IF(O130=CURSOS!$D$29,"SALUD MENTAL",IF(O130=CURSOS!$D$30,"PRIMEROS AUXILIOS PSICOLOGICOS",IF(O130=CURSOS!$D$31,"ATENCION A VICTIMAS POR CONFLICTO ARMADO",IF(O130=CURSOS!$D$32,"MANIPULACION DE ALIMENTOS Y BPM",IF(O130=CURSOS!$D$33,"ATENCION A PERSONAS CON DISCAPACIDAD",IF(O130=CURSOS!$D$34,"CUIDADO INTEGRAL DEL PACIENTE ADULTO",IF(O130=CURSOS!$D$35,"MANEJO DEFENSIVO",IF(O130=CURSOS!$D$36,"SOPORTE CARDIOVASCULAR AVANZADO NEONATAL",IF(O130=CURSOS!$D$37,"SEGURIDAD DEL PACIENTE",IF(O130=CURSOS!$D$38,"MANEJO DE RESIDUOS HOSPITALARIOS"))))))))))))))))))))))))))))))))))))</f>
        <v>ACOMPAÑAMIENTO Y MANEJO DEL DUELO</v>
      </c>
      <c r="V130" s="64" t="str">
        <f t="shared" si="9"/>
        <v>Karen Yuliana Getial Ojeda</v>
      </c>
      <c r="W130" s="64" t="str">
        <f t="shared" si="10"/>
        <v>Karen Yuliana Getial Ojeda</v>
      </c>
      <c r="X130" s="64" t="str">
        <f t="shared" si="11"/>
        <v>Karen Yuliana Getial Ojeda-1004625579-DUELO</v>
      </c>
    </row>
    <row r="131" spans="1:24" s="58" customFormat="1" x14ac:dyDescent="0.2">
      <c r="A131" s="46">
        <v>130</v>
      </c>
      <c r="B131" s="54">
        <v>1004625579</v>
      </c>
      <c r="C131" s="68" t="s">
        <v>335</v>
      </c>
      <c r="D131" s="68" t="s">
        <v>336</v>
      </c>
      <c r="E131" s="68" t="s">
        <v>337</v>
      </c>
      <c r="F131" s="68" t="s">
        <v>207</v>
      </c>
      <c r="G131" s="68">
        <v>14</v>
      </c>
      <c r="H131" s="54" t="s">
        <v>100</v>
      </c>
      <c r="I131" s="78" t="s">
        <v>146</v>
      </c>
      <c r="J131" s="56">
        <v>45611</v>
      </c>
      <c r="K131" s="108">
        <v>28000</v>
      </c>
      <c r="L131" s="54" t="s">
        <v>235</v>
      </c>
      <c r="M131" s="54" t="s">
        <v>80</v>
      </c>
      <c r="N131" s="54" t="s">
        <v>159</v>
      </c>
      <c r="O131" s="43" t="s">
        <v>25</v>
      </c>
      <c r="P131" s="55">
        <v>37705</v>
      </c>
      <c r="Q131" s="68" t="s">
        <v>89</v>
      </c>
      <c r="R131" s="54" t="s">
        <v>189</v>
      </c>
      <c r="S131" s="54">
        <v>3126640323</v>
      </c>
      <c r="T131" s="54" t="s">
        <v>338</v>
      </c>
      <c r="U131" s="47" t="str">
        <f>IF(O131=CURSOS!$D$3,"DIPLOMADO EN ATENCION PRE-HOSPITALARIA",IF(O131=CURSOS!$D$4,"ACOMPAÑAMIENTO Y MANEJO DEL DUELO",IF(O131=CURSOS!$D$5,"ATENCION A VICTIMAS DE ATAQUE CON AGENTES QUIMICOS ",IF(O131=CURSOS!$D$6,"PRIMEROS AUXILIOS ",IF(O131=CURSOS!$D$7,"DIPLOMADO DE UNIDAD DE CUIDADOS INTENSIVOS (UCI)",IF(O131=CURSOS!$D$8,"MODELO DE ATENCION PARA EVENTOS EMERGENTES EN SALUD MENTAL (CODIGO VERDE)",IF(O131=CURSOS!$D$9,"HUMANIZACION EN EL SERVICIO DE LA SALUD Y BUENAS PRACTICAS EN PACIENTE ",IF(O131=CURSOS!$D$10,"CLINICA DE HERIDAS ",IF(O131=CURSOS!$D$11,"TOMA DE CITOLOGIA CERVICO VAGINAL ",IF(O131=CURSOS!$D$12,"SOPORTE CARDIOVASCULAR AVANZADO (ACLS) ",IF(O131=CURSOS!$D$13,"CAMILLERO ",IF(O131=CURSOS!$D$14,"TOMA DE MUESTRAS Y LABORATORIO ",IF(O131=CURSOS!$D$15,"SOPORTE VITAL BASICO (BLS)",IF(O131=CURSOS!$D$16,"ATENCION A VICTIMAS DE VIOLENCIA SEXUAL ",IF(O131=CURSOS!$D$17,"PROGRAMADO AMPLIADO DE INMUNIZACION (PAI - COVID 19)",IF(O131=CURSOS!$D$18,"ATENCION INTEGRAL EN ENFERMEDADES PREVALENTES EN PRIMERA INFANCIA (AIEPI)",IF(O131=CURSOS!$D$19,"ADMINISTRACION DE MEDICAMENTOS, INYECTOLOGIA  Y CANALIZACION ",IF(O131=CURSOS!$D$20,"OPERADOR DE VEHICULOS DE EMERGENCIA (OVE)",IF(O131=CURSOS!$D$21,"INSTITUCIONES AMIGAS DE LA MUJER Y LA INFANCIA (IAMI)",IF(O131=CURSOS!$D$22,"CUIDADO DEL DONANTE DE ORGANOS",IF(O131=CURSOS!$D$23,"ATENCION A VICTIMAS POR VIOLENCIA DE GENERO",IF(O131=CURSOS!$D$24,"IGUALDAD DE GENERO EN LA SALUD",IF(O131=CURSOS!$D$25,"BRIGADA DE EMERGENCIA",IF(O131=CURSOS!$D$26,"MANEJO DEL DOLOR Y CUIDADOS PALIATIVOS",IF(O131=CURSOS!$D$27,"TOMA DE MUESTRAS Y LABORATORIO POCT",IF(O131=CURSOS!$D$28,"IMPLANTE SUBDERMICO DE DISPOSITIVO INTRAUTERINO",IF(O131=CURSOS!$D$29,"SALUD MENTAL",IF(O131=CURSOS!$D$30,"PRIMEROS AUXILIOS PSICOLOGICOS",IF(O131=CURSOS!$D$31,"ATENCION A VICTIMAS POR CONFLICTO ARMADO",IF(O131=CURSOS!$D$32,"MANIPULACION DE ALIMENTOS Y BPM",IF(O131=CURSOS!$D$33,"ATENCION A PERSONAS CON DISCAPACIDAD",IF(O131=CURSOS!$D$34,"CUIDADO INTEGRAL DEL PACIENTE ADULTO",IF(O131=CURSOS!$D$35,"MANEJO DEFENSIVO",IF(O131=CURSOS!$D$36,"SOPORTE CARDIOVASCULAR AVANZADO NEONATAL",IF(O131=CURSOS!$D$37,"SEGURIDAD DEL PACIENTE",IF(O131=CURSOS!$D$38,"MANEJO DE RESIDUOS HOSPITALARIOS"))))))))))))))))))))))))))))))))))))</f>
        <v xml:space="preserve">ATENCION A VICTIMAS DE ATAQUE CON AGENTES QUIMICOS </v>
      </c>
      <c r="V131" s="47" t="str">
        <f t="shared" si="9"/>
        <v>Karen Yuliana Getial Ojeda</v>
      </c>
      <c r="W131" s="47" t="str">
        <f t="shared" si="10"/>
        <v>Karen Yuliana Getial Ojeda</v>
      </c>
      <c r="X131" s="47" t="str">
        <f t="shared" si="11"/>
        <v>Karen Yuliana Getial Ojeda-1004625579-QUIMICOS</v>
      </c>
    </row>
    <row r="132" spans="1:24" s="58" customFormat="1" x14ac:dyDescent="0.2">
      <c r="A132" s="46">
        <v>131</v>
      </c>
      <c r="B132" s="54">
        <v>1088734949</v>
      </c>
      <c r="C132" s="54" t="s">
        <v>123</v>
      </c>
      <c r="D132" s="54" t="s">
        <v>217</v>
      </c>
      <c r="E132" s="68" t="s">
        <v>339</v>
      </c>
      <c r="F132" s="54" t="s">
        <v>340</v>
      </c>
      <c r="G132" s="68">
        <v>13</v>
      </c>
      <c r="H132" s="54" t="s">
        <v>100</v>
      </c>
      <c r="I132" s="78" t="s">
        <v>146</v>
      </c>
      <c r="J132" s="56">
        <v>45612</v>
      </c>
      <c r="K132" s="108">
        <v>80000</v>
      </c>
      <c r="L132" s="54" t="s">
        <v>235</v>
      </c>
      <c r="M132" s="54" t="s">
        <v>80</v>
      </c>
      <c r="N132" s="54" t="s">
        <v>159</v>
      </c>
      <c r="O132" s="43" t="s">
        <v>37</v>
      </c>
      <c r="P132" s="55">
        <v>33633</v>
      </c>
      <c r="Q132" s="54" t="s">
        <v>89</v>
      </c>
      <c r="R132" s="82" t="s">
        <v>286</v>
      </c>
      <c r="S132" s="54">
        <v>3206799755</v>
      </c>
      <c r="T132" s="54" t="s">
        <v>341</v>
      </c>
      <c r="U132" s="47" t="str">
        <f>IF(O132=CURSOS!$D$3,"DIPLOMADO EN ATENCION PRE-HOSPITALARIA",IF(O132=CURSOS!$D$4,"ACOMPAÑAMIENTO Y MANEJO DEL DUELO",IF(O132=CURSOS!$D$5,"ATENCION A VICTIMAS DE ATAQUE CON AGENTES QUIMICOS ",IF(O132=CURSOS!$D$6,"PRIMEROS AUXILIOS ",IF(O132=CURSOS!$D$7,"DIPLOMADO DE UNIDAD DE CUIDADOS INTENSIVOS (UCI)",IF(O132=CURSOS!$D$8,"MODELO DE ATENCION PARA EVENTOS EMERGENTES EN SALUD MENTAL (CODIGO VERDE)",IF(O132=CURSOS!$D$9,"HUMANIZACION EN EL SERVICIO DE LA SALUD Y BUENAS PRACTICAS EN PACIENTE ",IF(O132=CURSOS!$D$10,"CLINICA DE HERIDAS ",IF(O132=CURSOS!$D$11,"TOMA DE CITOLOGIA CERVICO VAGINAL ",IF(O132=CURSOS!$D$12,"SOPORTE CARDIOVASCULAR AVANZADO (ACLS) ",IF(O132=CURSOS!$D$13,"CAMILLERO ",IF(O132=CURSOS!$D$14,"TOMA DE MUESTRAS Y LABORATORIO ",IF(O132=CURSOS!$D$15,"SOPORTE VITAL BASICO (BLS)",IF(O132=CURSOS!$D$16,"ATENCION A VICTIMAS DE VIOLENCIA SEXUAL ",IF(O132=CURSOS!$D$17,"PROGRAMADO AMPLIADO DE INMUNIZACION (PAI - COVID 19)",IF(O132=CURSOS!$D$18,"ATENCION INTEGRAL EN ENFERMEDADES PREVALENTES EN PRIMERA INFANCIA (AIEPI)",IF(O132=CURSOS!$D$19,"ADMINISTRACION DE MEDICAMENTOS, INYECTOLOGIA  Y CANALIZACION ",IF(O132=CURSOS!$D$20,"OPERADOR DE VEHICULOS DE EMERGENCIA (OVE)",IF(O132=CURSOS!$D$21,"INSTITUCIONES AMIGAS DE LA MUJER Y LA INFANCIA (IAMI)",IF(O132=CURSOS!$D$22,"CUIDADO DEL DONANTE DE ORGANOS",IF(O132=CURSOS!$D$23,"ATENCION A VICTIMAS POR VIOLENCIA DE GENERO",IF(O132=CURSOS!$D$24,"IGUALDAD DE GENERO EN LA SALUD",IF(O132=CURSOS!$D$25,"BRIGADA DE EMERGENCIA",IF(O132=CURSOS!$D$26,"MANEJO DEL DOLOR Y CUIDADOS PALIATIVOS",IF(O132=CURSOS!$D$27,"TOMA DE MUESTRAS Y LABORATORIO POCT",IF(O132=CURSOS!$D$28,"IMPLANTE SUBDERMICO DE DISPOSITIVO INTRAUTERINO",IF(O132=CURSOS!$D$29,"SALUD MENTAL",IF(O132=CURSOS!$D$30,"PRIMEROS AUXILIOS PSICOLOGICOS",IF(O132=CURSOS!$D$31,"ATENCION A VICTIMAS POR CONFLICTO ARMADO",IF(O132=CURSOS!$D$32,"MANIPULACION DE ALIMENTOS Y BPM",IF(O132=CURSOS!$D$33,"ATENCION A PERSONAS CON DISCAPACIDAD",IF(O132=CURSOS!$D$34,"CUIDADO INTEGRAL DEL PACIENTE ADULTO",IF(O132=CURSOS!$D$35,"MANEJO DEFENSIVO",IF(O132=CURSOS!$D$36,"SOPORTE CARDIOVASCULAR AVANZADO NEONATAL",IF(O132=CURSOS!$D$37,"SEGURIDAD DEL PACIENTE",IF(O132=CURSOS!$D$38,"MANEJO DE RESIDUOS HOSPITALARIOS"))))))))))))))))))))))))))))))))))))</f>
        <v xml:space="preserve">SOPORTE CARDIOVASCULAR AVANZADO (ACLS) </v>
      </c>
      <c r="V132" s="47" t="str">
        <f t="shared" si="9"/>
        <v>Jeison Norbey Benavides Ibarra</v>
      </c>
      <c r="W132" s="47" t="str">
        <f t="shared" si="10"/>
        <v>Jeison Norbey Benavides Ibarra</v>
      </c>
      <c r="X132" s="47" t="str">
        <f t="shared" si="11"/>
        <v>Jeison Norbey Benavides Ibarra-1088734949-ACLS</v>
      </c>
    </row>
    <row r="133" spans="1:24" s="58" customFormat="1" x14ac:dyDescent="0.2">
      <c r="A133" s="46">
        <v>132</v>
      </c>
      <c r="B133" s="54">
        <v>1088734949</v>
      </c>
      <c r="C133" s="54" t="s">
        <v>123</v>
      </c>
      <c r="D133" s="54" t="s">
        <v>217</v>
      </c>
      <c r="E133" s="68" t="s">
        <v>339</v>
      </c>
      <c r="F133" s="54" t="s">
        <v>340</v>
      </c>
      <c r="G133" s="54">
        <v>13</v>
      </c>
      <c r="H133" s="54" t="s">
        <v>100</v>
      </c>
      <c r="I133" s="55" t="s">
        <v>146</v>
      </c>
      <c r="J133" s="56">
        <v>45612</v>
      </c>
      <c r="K133" s="108">
        <v>20000</v>
      </c>
      <c r="L133" s="68" t="s">
        <v>235</v>
      </c>
      <c r="M133" s="54" t="s">
        <v>80</v>
      </c>
      <c r="N133" s="54" t="s">
        <v>159</v>
      </c>
      <c r="O133" s="43" t="s">
        <v>19</v>
      </c>
      <c r="P133" s="55">
        <v>33633</v>
      </c>
      <c r="Q133" s="54" t="s">
        <v>89</v>
      </c>
      <c r="R133" s="82" t="s">
        <v>286</v>
      </c>
      <c r="S133" s="54">
        <v>3206799755</v>
      </c>
      <c r="T133" s="54" t="s">
        <v>341</v>
      </c>
      <c r="U133" s="47" t="str">
        <f>IF(O133=CURSOS!$D$3,"DIPLOMADO EN ATENCION PRE-HOSPITALARIA",IF(O133=CURSOS!$D$4,"ACOMPAÑAMIENTO Y MANEJO DEL DUELO",IF(O133=CURSOS!$D$5,"ATENCION A VICTIMAS DE ATAQUE CON AGENTES QUIMICOS ",IF(O133=CURSOS!$D$6,"PRIMEROS AUXILIOS ",IF(O133=CURSOS!$D$7,"DIPLOMADO DE UNIDAD DE CUIDADOS INTENSIVOS (UCI)",IF(O133=CURSOS!$D$8,"MODELO DE ATENCION PARA EVENTOS EMERGENTES EN SALUD MENTAL (CODIGO VERDE)",IF(O133=CURSOS!$D$9,"HUMANIZACION EN EL SERVICIO DE LA SALUD Y BUENAS PRACTICAS EN PACIENTE ",IF(O133=CURSOS!$D$10,"CLINICA DE HERIDAS ",IF(O133=CURSOS!$D$11,"TOMA DE CITOLOGIA CERVICO VAGINAL ",IF(O133=CURSOS!$D$12,"SOPORTE CARDIOVASCULAR AVANZADO (ACLS) ",IF(O133=CURSOS!$D$13,"CAMILLERO ",IF(O133=CURSOS!$D$14,"TOMA DE MUESTRAS Y LABORATORIO ",IF(O133=CURSOS!$D$15,"SOPORTE VITAL BASICO (BLS)",IF(O133=CURSOS!$D$16,"ATENCION A VICTIMAS DE VIOLENCIA SEXUAL ",IF(O133=CURSOS!$D$17,"PROGRAMADO AMPLIADO DE INMUNIZACION (PAI - COVID 19)",IF(O133=CURSOS!$D$18,"ATENCION INTEGRAL EN ENFERMEDADES PREVALENTES EN PRIMERA INFANCIA (AIEPI)",IF(O133=CURSOS!$D$19,"ADMINISTRACION DE MEDICAMENTOS, INYECTOLOGIA  Y CANALIZACION ",IF(O133=CURSOS!$D$20,"OPERADOR DE VEHICULOS DE EMERGENCIA (OVE)",IF(O133=CURSOS!$D$21,"INSTITUCIONES AMIGAS DE LA MUJER Y LA INFANCIA (IAMI)",IF(O133=CURSOS!$D$22,"CUIDADO DEL DONANTE DE ORGANOS",IF(O133=CURSOS!$D$23,"ATENCION A VICTIMAS POR VIOLENCIA DE GENERO",IF(O133=CURSOS!$D$24,"IGUALDAD DE GENERO EN LA SALUD",IF(O133=CURSOS!$D$25,"BRIGADA DE EMERGENCIA",IF(O133=CURSOS!$D$26,"MANEJO DEL DOLOR Y CUIDADOS PALIATIVOS",IF(O133=CURSOS!$D$27,"TOMA DE MUESTRAS Y LABORATORIO POCT",IF(O133=CURSOS!$D$28,"IMPLANTE SUBDERMICO DE DISPOSITIVO INTRAUTERINO",IF(O133=CURSOS!$D$29,"SALUD MENTAL",IF(O133=CURSOS!$D$30,"PRIMEROS AUXILIOS PSICOLOGICOS",IF(O133=CURSOS!$D$31,"ATENCION A VICTIMAS POR CONFLICTO ARMADO",IF(O133=CURSOS!$D$32,"MANIPULACION DE ALIMENTOS Y BPM",IF(O133=CURSOS!$D$33,"ATENCION A PERSONAS CON DISCAPACIDAD",IF(O133=CURSOS!$D$34,"CUIDADO INTEGRAL DEL PACIENTE ADULTO",IF(O133=CURSOS!$D$35,"MANEJO DEFENSIVO",IF(O133=CURSOS!$D$36,"SOPORTE CARDIOVASCULAR AVANZADO NEONATAL",IF(O133=CURSOS!$D$37,"SEGURIDAD DEL PACIENTE",IF(O133=CURSOS!$D$38,"MANEJO DE RESIDUOS HOSPITALARIOS"))))))))))))))))))))))))))))))))))))</f>
        <v>SOPORTE VITAL BASICO (BLS)</v>
      </c>
      <c r="V133" s="47" t="str">
        <f t="shared" si="9"/>
        <v>Jeison Norbey Benavides Ibarra</v>
      </c>
      <c r="W133" s="47" t="str">
        <f t="shared" si="10"/>
        <v>Jeison Norbey Benavides Ibarra</v>
      </c>
      <c r="X133" s="47" t="str">
        <f t="shared" si="11"/>
        <v>Jeison Norbey Benavides Ibarra-1088734949-BLS</v>
      </c>
    </row>
    <row r="134" spans="1:24" s="58" customFormat="1" x14ac:dyDescent="0.2">
      <c r="A134" s="46">
        <v>133</v>
      </c>
      <c r="B134" s="54">
        <v>1088734949</v>
      </c>
      <c r="C134" s="54" t="s">
        <v>123</v>
      </c>
      <c r="D134" s="54" t="s">
        <v>217</v>
      </c>
      <c r="E134" s="68" t="s">
        <v>339</v>
      </c>
      <c r="F134" s="54" t="s">
        <v>340</v>
      </c>
      <c r="G134" s="54">
        <v>14</v>
      </c>
      <c r="H134" s="54" t="s">
        <v>100</v>
      </c>
      <c r="I134" s="78" t="s">
        <v>146</v>
      </c>
      <c r="J134" s="56">
        <v>45612</v>
      </c>
      <c r="K134" s="108">
        <v>28000</v>
      </c>
      <c r="L134" s="54" t="s">
        <v>235</v>
      </c>
      <c r="M134" s="54" t="s">
        <v>80</v>
      </c>
      <c r="N134" s="54" t="s">
        <v>159</v>
      </c>
      <c r="O134" s="43" t="s">
        <v>23</v>
      </c>
      <c r="P134" s="55">
        <v>33633</v>
      </c>
      <c r="Q134" s="54" t="s">
        <v>89</v>
      </c>
      <c r="R134" s="82" t="s">
        <v>286</v>
      </c>
      <c r="S134" s="54">
        <v>3206799755</v>
      </c>
      <c r="T134" s="54" t="s">
        <v>341</v>
      </c>
      <c r="U134" s="47" t="str">
        <f>IF(O134=CURSOS!$D$3,"DIPLOMADO EN ATENCION PRE-HOSPITALARIA",IF(O134=CURSOS!$D$4,"ACOMPAÑAMIENTO Y MANEJO DEL DUELO",IF(O134=CURSOS!$D$5,"ATENCION A VICTIMAS DE ATAQUE CON AGENTES QUIMICOS ",IF(O134=CURSOS!$D$6,"PRIMEROS AUXILIOS ",IF(O134=CURSOS!$D$7,"DIPLOMADO DE UNIDAD DE CUIDADOS INTENSIVOS (UCI)",IF(O134=CURSOS!$D$8,"MODELO DE ATENCION PARA EVENTOS EMERGENTES EN SALUD MENTAL (CODIGO VERDE)",IF(O134=CURSOS!$D$9,"HUMANIZACION EN EL SERVICIO DE LA SALUD Y BUENAS PRACTICAS EN PACIENTE ",IF(O134=CURSOS!$D$10,"CLINICA DE HERIDAS ",IF(O134=CURSOS!$D$11,"TOMA DE CITOLOGIA CERVICO VAGINAL ",IF(O134=CURSOS!$D$12,"SOPORTE CARDIOVASCULAR AVANZADO (ACLS) ",IF(O134=CURSOS!$D$13,"CAMILLERO ",IF(O134=CURSOS!$D$14,"TOMA DE MUESTRAS Y LABORATORIO ",IF(O134=CURSOS!$D$15,"SOPORTE VITAL BASICO (BLS)",IF(O134=CURSOS!$D$16,"ATENCION A VICTIMAS DE VIOLENCIA SEXUAL ",IF(O134=CURSOS!$D$17,"PROGRAMADO AMPLIADO DE INMUNIZACION (PAI - COVID 19)",IF(O134=CURSOS!$D$18,"ATENCION INTEGRAL EN ENFERMEDADES PREVALENTES EN PRIMERA INFANCIA (AIEPI)",IF(O134=CURSOS!$D$19,"ADMINISTRACION DE MEDICAMENTOS, INYECTOLOGIA  Y CANALIZACION ",IF(O134=CURSOS!$D$20,"OPERADOR DE VEHICULOS DE EMERGENCIA (OVE)",IF(O134=CURSOS!$D$21,"INSTITUCIONES AMIGAS DE LA MUJER Y LA INFANCIA (IAMI)",IF(O134=CURSOS!$D$22,"CUIDADO DEL DONANTE DE ORGANOS",IF(O134=CURSOS!$D$23,"ATENCION A VICTIMAS POR VIOLENCIA DE GENERO",IF(O134=CURSOS!$D$24,"IGUALDAD DE GENERO EN LA SALUD",IF(O134=CURSOS!$D$25,"BRIGADA DE EMERGENCIA",IF(O134=CURSOS!$D$26,"MANEJO DEL DOLOR Y CUIDADOS PALIATIVOS",IF(O134=CURSOS!$D$27,"TOMA DE MUESTRAS Y LABORATORIO POCT",IF(O134=CURSOS!$D$28,"IMPLANTE SUBDERMICO DE DISPOSITIVO INTRAUTERINO",IF(O134=CURSOS!$D$29,"SALUD MENTAL",IF(O134=CURSOS!$D$30,"PRIMEROS AUXILIOS PSICOLOGICOS",IF(O134=CURSOS!$D$31,"ATENCION A VICTIMAS POR CONFLICTO ARMADO",IF(O134=CURSOS!$D$32,"MANIPULACION DE ALIMENTOS Y BPM",IF(O134=CURSOS!$D$33,"ATENCION A PERSONAS CON DISCAPACIDAD",IF(O134=CURSOS!$D$34,"CUIDADO INTEGRAL DEL PACIENTE ADULTO",IF(O134=CURSOS!$D$35,"MANEJO DEFENSIVO",IF(O134=CURSOS!$D$36,"SOPORTE CARDIOVASCULAR AVANZADO NEONATAL",IF(O134=CURSOS!$D$37,"SEGURIDAD DEL PACIENTE",IF(O134=CURSOS!$D$38,"MANEJO DE RESIDUOS HOSPITALARIOS"))))))))))))))))))))))))))))))))))))</f>
        <v>ACOMPAÑAMIENTO Y MANEJO DEL DUELO</v>
      </c>
      <c r="V134" s="47" t="str">
        <f t="shared" si="9"/>
        <v>Jeison Norbey Benavides Ibarra</v>
      </c>
      <c r="W134" s="47" t="str">
        <f t="shared" si="10"/>
        <v>Jeison Norbey Benavides Ibarra</v>
      </c>
      <c r="X134" s="47" t="str">
        <f t="shared" si="11"/>
        <v>Jeison Norbey Benavides Ibarra-1088734949-DUELO</v>
      </c>
    </row>
    <row r="135" spans="1:24" s="58" customFormat="1" x14ac:dyDescent="0.2">
      <c r="A135" s="46">
        <v>134</v>
      </c>
      <c r="B135" s="54">
        <v>1088734949</v>
      </c>
      <c r="C135" s="54" t="s">
        <v>123</v>
      </c>
      <c r="D135" s="54" t="s">
        <v>217</v>
      </c>
      <c r="E135" s="68" t="s">
        <v>339</v>
      </c>
      <c r="F135" s="54" t="s">
        <v>340</v>
      </c>
      <c r="G135" s="54">
        <v>12</v>
      </c>
      <c r="H135" s="54" t="s">
        <v>100</v>
      </c>
      <c r="I135" s="78" t="s">
        <v>146</v>
      </c>
      <c r="J135" s="56">
        <v>45612</v>
      </c>
      <c r="K135" s="108">
        <v>28000</v>
      </c>
      <c r="L135" s="54" t="s">
        <v>235</v>
      </c>
      <c r="M135" s="54" t="s">
        <v>80</v>
      </c>
      <c r="N135" s="54" t="s">
        <v>159</v>
      </c>
      <c r="O135" s="43" t="s">
        <v>32</v>
      </c>
      <c r="P135" s="55">
        <v>33633</v>
      </c>
      <c r="Q135" s="54" t="s">
        <v>89</v>
      </c>
      <c r="R135" s="82" t="s">
        <v>286</v>
      </c>
      <c r="S135" s="54">
        <v>3206799755</v>
      </c>
      <c r="T135" s="54" t="s">
        <v>341</v>
      </c>
      <c r="U135" s="47" t="str">
        <f>IF(O135=CURSOS!$D$3,"DIPLOMADO EN ATENCION PRE-HOSPITALARIA",IF(O135=CURSOS!$D$4,"ACOMPAÑAMIENTO Y MANEJO DEL DUELO",IF(O135=CURSOS!$D$5,"ATENCION A VICTIMAS DE ATAQUE CON AGENTES QUIMICOS ",IF(O135=CURSOS!$D$6,"PRIMEROS AUXILIOS ",IF(O135=CURSOS!$D$7,"DIPLOMADO DE UNIDAD DE CUIDADOS INTENSIVOS (UCI)",IF(O135=CURSOS!$D$8,"MODELO DE ATENCION PARA EVENTOS EMERGENTES EN SALUD MENTAL (CODIGO VERDE)",IF(O135=CURSOS!$D$9,"HUMANIZACION EN EL SERVICIO DE LA SALUD Y BUENAS PRACTICAS EN PACIENTE ",IF(O135=CURSOS!$D$10,"CLINICA DE HERIDAS ",IF(O135=CURSOS!$D$11,"TOMA DE CITOLOGIA CERVICO VAGINAL ",IF(O135=CURSOS!$D$12,"SOPORTE CARDIOVASCULAR AVANZADO (ACLS) ",IF(O135=CURSOS!$D$13,"CAMILLERO ",IF(O135=CURSOS!$D$14,"TOMA DE MUESTRAS Y LABORATORIO ",IF(O135=CURSOS!$D$15,"SOPORTE VITAL BASICO (BLS)",IF(O135=CURSOS!$D$16,"ATENCION A VICTIMAS DE VIOLENCIA SEXUAL ",IF(O135=CURSOS!$D$17,"PROGRAMADO AMPLIADO DE INMUNIZACION (PAI - COVID 19)",IF(O135=CURSOS!$D$18,"ATENCION INTEGRAL EN ENFERMEDADES PREVALENTES EN PRIMERA INFANCIA (AIEPI)",IF(O135=CURSOS!$D$19,"ADMINISTRACION DE MEDICAMENTOS, INYECTOLOGIA  Y CANALIZACION ",IF(O135=CURSOS!$D$20,"OPERADOR DE VEHICULOS DE EMERGENCIA (OVE)",IF(O135=CURSOS!$D$21,"INSTITUCIONES AMIGAS DE LA MUJER Y LA INFANCIA (IAMI)",IF(O135=CURSOS!$D$22,"CUIDADO DEL DONANTE DE ORGANOS",IF(O135=CURSOS!$D$23,"ATENCION A VICTIMAS POR VIOLENCIA DE GENERO",IF(O135=CURSOS!$D$24,"IGUALDAD DE GENERO EN LA SALUD",IF(O135=CURSOS!$D$25,"BRIGADA DE EMERGENCIA",IF(O135=CURSOS!$D$26,"MANEJO DEL DOLOR Y CUIDADOS PALIATIVOS",IF(O135=CURSOS!$D$27,"TOMA DE MUESTRAS Y LABORATORIO POCT",IF(O135=CURSOS!$D$28,"IMPLANTE SUBDERMICO DE DISPOSITIVO INTRAUTERINO",IF(O135=CURSOS!$D$29,"SALUD MENTAL",IF(O135=CURSOS!$D$30,"PRIMEROS AUXILIOS PSICOLOGICOS",IF(O135=CURSOS!$D$31,"ATENCION A VICTIMAS POR CONFLICTO ARMADO",IF(O135=CURSOS!$D$32,"MANIPULACION DE ALIMENTOS Y BPM",IF(O135=CURSOS!$D$33,"ATENCION A PERSONAS CON DISCAPACIDAD",IF(O135=CURSOS!$D$34,"CUIDADO INTEGRAL DEL PACIENTE ADULTO",IF(O135=CURSOS!$D$35,"MANEJO DEFENSIVO",IF(O135=CURSOS!$D$36,"SOPORTE CARDIOVASCULAR AVANZADO NEONATAL",IF(O135=CURSOS!$D$37,"SEGURIDAD DEL PACIENTE",IF(O135=CURSOS!$D$38,"MANEJO DE RESIDUOS HOSPITALARIOS"))))))))))))))))))))))))))))))))))))</f>
        <v xml:space="preserve">HUMANIZACION EN EL SERVICIO DE LA SALUD Y BUENAS PRACTICAS EN PACIENTE </v>
      </c>
      <c r="V135" s="47" t="str">
        <f t="shared" si="9"/>
        <v>Jeison Norbey Benavides Ibarra</v>
      </c>
      <c r="W135" s="47" t="str">
        <f t="shared" si="10"/>
        <v>Jeison Norbey Benavides Ibarra</v>
      </c>
      <c r="X135" s="47" t="str">
        <f t="shared" si="11"/>
        <v>Jeison Norbey Benavides Ibarra-1088734949-HUMANIZACION</v>
      </c>
    </row>
    <row r="136" spans="1:24" x14ac:dyDescent="0.2">
      <c r="A136" s="46">
        <v>135</v>
      </c>
      <c r="B136" s="88">
        <v>1004625579</v>
      </c>
      <c r="C136" s="89" t="s">
        <v>335</v>
      </c>
      <c r="D136" s="89" t="s">
        <v>336</v>
      </c>
      <c r="E136" s="89" t="s">
        <v>337</v>
      </c>
      <c r="F136" s="89" t="s">
        <v>207</v>
      </c>
      <c r="G136" s="89">
        <v>14</v>
      </c>
      <c r="H136" s="88" t="s">
        <v>100</v>
      </c>
      <c r="I136" s="90" t="s">
        <v>146</v>
      </c>
      <c r="J136" s="56">
        <v>45611</v>
      </c>
      <c r="K136" s="108">
        <v>28000</v>
      </c>
      <c r="L136" s="54" t="s">
        <v>235</v>
      </c>
      <c r="M136" s="88" t="s">
        <v>80</v>
      </c>
      <c r="N136" s="88" t="s">
        <v>159</v>
      </c>
      <c r="O136" s="91" t="s">
        <v>32</v>
      </c>
      <c r="P136" s="92">
        <v>37705</v>
      </c>
      <c r="Q136" s="89" t="s">
        <v>89</v>
      </c>
      <c r="R136" s="88" t="s">
        <v>189</v>
      </c>
      <c r="S136" s="88">
        <v>3126640323</v>
      </c>
      <c r="T136" s="93" t="s">
        <v>338</v>
      </c>
      <c r="U136" s="94" t="str">
        <f>IF(O136=CURSOS!$D$3,"DIPLOMADO EN ATENCION PRE-HOSPITALARIA",IF(O136=CURSOS!$D$4,"ACOMPAÑAMIENTO Y MANEJO DEL DUELO",IF(O136=CURSOS!$D$5,"ATENCION A VICTIMAS DE ATAQUE CON AGENTES QUIMICOS ",IF(O136=CURSOS!$D$6,"PRIMEROS AUXILIOS ",IF(O136=CURSOS!$D$7,"DIPLOMADO DE UNIDAD DE CUIDADOS INTENSIVOS (UCI)",IF(O136=CURSOS!$D$8,"MODELO DE ATENCION PARA EVENTOS EMERGENTES EN SALUD MENTAL (CODIGO VERDE)",IF(O136=CURSOS!$D$9,"HUMANIZACION EN EL SERVICIO DE LA SALUD Y BUENAS PRACTICAS EN PACIENTE ",IF(O136=CURSOS!$D$10,"CLINICA DE HERIDAS ",IF(O136=CURSOS!$D$11,"TOMA DE CITOLOGIA CERVICO VAGINAL ",IF(O136=CURSOS!$D$12,"SOPORTE CARDIOVASCULAR AVANZADO (ACLS) ",IF(O136=CURSOS!$D$13,"CAMILLERO ",IF(O136=CURSOS!$D$14,"TOMA DE MUESTRAS Y LABORATORIO ",IF(O136=CURSOS!$D$15,"SOPORTE VITAL BASICO (BLS)",IF(O136=CURSOS!$D$16,"ATENCION A VICTIMAS DE VIOLENCIA SEXUAL ",IF(O136=CURSOS!$D$17,"PROGRAMADO AMPLIADO DE INMUNIZACION (PAI - COVID 19)",IF(O136=CURSOS!$D$18,"ATENCION INTEGRAL EN ENFERMEDADES PREVALENTES EN PRIMERA INFANCIA (AIEPI)",IF(O136=CURSOS!$D$19,"ADMINISTRACION DE MEDICAMENTOS, INYECTOLOGIA  Y CANALIZACION ",IF(O136=CURSOS!$D$20,"OPERADOR DE VEHICULOS DE EMERGENCIA (OVE)",IF(O136=CURSOS!$D$21,"INSTITUCIONES AMIGAS DE LA MUJER Y LA INFANCIA (IAMI)",IF(O136=CURSOS!$D$22,"CUIDADO DEL DONANTE DE ORGANOS",IF(O136=CURSOS!$D$23,"ATENCION A VICTIMAS POR VIOLENCIA DE GENERO",IF(O136=CURSOS!$D$24,"IGUALDAD DE GENERO EN LA SALUD",IF(O136=CURSOS!$D$25,"BRIGADA DE EMERGENCIA",IF(O136=CURSOS!$D$26,"MANEJO DEL DOLOR Y CUIDADOS PALIATIVOS",IF(O136=CURSOS!$D$27,"TOMA DE MUESTRAS Y LABORATORIO POCT",IF(O136=CURSOS!$D$28,"IMPLANTE SUBDERMICO DE DISPOSITIVO INTRAUTERINO",IF(O136=CURSOS!$D$29,"SALUD MENTAL",IF(O136=CURSOS!$D$30,"PRIMEROS AUXILIOS PSICOLOGICOS",IF(O136=CURSOS!$D$31,"ATENCION A VICTIMAS POR CONFLICTO ARMADO",IF(O136=CURSOS!$D$32,"MANIPULACION DE ALIMENTOS Y BPM",IF(O136=CURSOS!$D$33,"ATENCION A PERSONAS CON DISCAPACIDAD",IF(O136=CURSOS!$D$34,"CUIDADO INTEGRAL DEL PACIENTE ADULTO",IF(O136=CURSOS!$D$35,"MANEJO DEFENSIVO",IF(O136=CURSOS!$D$36,"SOPORTE CARDIOVASCULAR AVANZADO NEONATAL",IF(O136=CURSOS!$D$37,"SEGURIDAD DEL PACIENTE",IF(O136=CURSOS!$D$38,"MANEJO DE RESIDUOS HOSPITALARIOS"))))))))))))))))))))))))))))))))))))</f>
        <v xml:space="preserve">HUMANIZACION EN EL SERVICIO DE LA SALUD Y BUENAS PRACTICAS EN PACIENTE </v>
      </c>
      <c r="V136" s="94" t="str">
        <f t="shared" si="9"/>
        <v>Karen Yuliana Getial Ojeda</v>
      </c>
      <c r="W136" s="94" t="str">
        <f t="shared" si="10"/>
        <v>Karen Yuliana Getial Ojeda</v>
      </c>
      <c r="X136" s="94" t="str">
        <f t="shared" si="11"/>
        <v>Karen Yuliana Getial Ojeda-1004625579-HUMANIZACION</v>
      </c>
    </row>
    <row r="137" spans="1:24" s="58" customFormat="1" x14ac:dyDescent="0.2">
      <c r="A137" s="46">
        <v>136</v>
      </c>
      <c r="B137" s="54">
        <v>36758868</v>
      </c>
      <c r="C137" s="54" t="s">
        <v>342</v>
      </c>
      <c r="D137" s="54" t="s">
        <v>343</v>
      </c>
      <c r="E137" s="54" t="s">
        <v>238</v>
      </c>
      <c r="F137" s="54" t="s">
        <v>344</v>
      </c>
      <c r="G137" s="54">
        <v>15</v>
      </c>
      <c r="H137" s="54" t="s">
        <v>100</v>
      </c>
      <c r="I137" s="78" t="s">
        <v>92</v>
      </c>
      <c r="J137" s="56">
        <v>45611</v>
      </c>
      <c r="K137" s="108">
        <v>70000</v>
      </c>
      <c r="L137" s="54" t="s">
        <v>139</v>
      </c>
      <c r="M137" s="54" t="s">
        <v>141</v>
      </c>
      <c r="N137" s="54" t="s">
        <v>90</v>
      </c>
      <c r="O137" s="43" t="s">
        <v>25</v>
      </c>
      <c r="P137" s="55">
        <v>30013</v>
      </c>
      <c r="Q137" s="54" t="s">
        <v>89</v>
      </c>
      <c r="R137" s="54" t="s">
        <v>189</v>
      </c>
      <c r="S137" s="54">
        <v>3202621081</v>
      </c>
      <c r="T137" s="82" t="s">
        <v>345</v>
      </c>
      <c r="U137" s="47" t="str">
        <f>IF(O137=CURSOS!$D$3,"DIPLOMADO EN ATENCION PRE-HOSPITALARIA",IF(O137=CURSOS!$D$4,"ACOMPAÑAMIENTO Y MANEJO DEL DUELO",IF(O137=CURSOS!$D$5,"ATENCION A VICTIMAS DE ATAQUE CON AGENTES QUIMICOS ",IF(O137=CURSOS!$D$6,"PRIMEROS AUXILIOS ",IF(O137=CURSOS!$D$7,"DIPLOMADO DE UNIDAD DE CUIDADOS INTENSIVOS (UCI)",IF(O137=CURSOS!$D$8,"MODELO DE ATENCION PARA EVENTOS EMERGENTES EN SALUD MENTAL (CODIGO VERDE)",IF(O137=CURSOS!$D$9,"HUMANIZACION EN EL SERVICIO DE LA SALUD Y BUENAS PRACTICAS EN PACIENTE ",IF(O137=CURSOS!$D$10,"CLINICA DE HERIDAS ",IF(O137=CURSOS!$D$11,"TOMA DE CITOLOGIA CERVICO VAGINAL ",IF(O137=CURSOS!$D$12,"SOPORTE CARDIOVASCULAR AVANZADO (ACLS) ",IF(O137=CURSOS!$D$13,"CAMILLERO ",IF(O137=CURSOS!$D$14,"TOMA DE MUESTRAS Y LABORATORIO ",IF(O137=CURSOS!$D$15,"SOPORTE VITAL BASICO (BLS)",IF(O137=CURSOS!$D$16,"ATENCION A VICTIMAS DE VIOLENCIA SEXUAL ",IF(O137=CURSOS!$D$17,"PROGRAMADO AMPLIADO DE INMUNIZACION (PAI - COVID 19)",IF(O137=CURSOS!$D$18,"ATENCION INTEGRAL EN ENFERMEDADES PREVALENTES EN PRIMERA INFANCIA (AIEPI)",IF(O137=CURSOS!$D$19,"ADMINISTRACION DE MEDICAMENTOS, INYECTOLOGIA  Y CANALIZACION ",IF(O137=CURSOS!$D$20,"OPERADOR DE VEHICULOS DE EMERGENCIA (OVE)",IF(O137=CURSOS!$D$21,"INSTITUCIONES AMIGAS DE LA MUJER Y LA INFANCIA (IAMI)",IF(O137=CURSOS!$D$22,"CUIDADO DEL DONANTE DE ORGANOS",IF(O137=CURSOS!$D$23,"ATENCION A VICTIMAS POR VIOLENCIA DE GENERO",IF(O137=CURSOS!$D$24,"IGUALDAD DE GENERO EN LA SALUD",IF(O137=CURSOS!$D$25,"BRIGADA DE EMERGENCIA",IF(O137=CURSOS!$D$26,"MANEJO DEL DOLOR Y CUIDADOS PALIATIVOS",IF(O137=CURSOS!$D$27,"TOMA DE MUESTRAS Y LABORATORIO POCT",IF(O137=CURSOS!$D$28,"IMPLANTE SUBDERMICO DE DISPOSITIVO INTRAUTERINO",IF(O137=CURSOS!$D$29,"SALUD MENTAL",IF(O137=CURSOS!$D$30,"PRIMEROS AUXILIOS PSICOLOGICOS",IF(O137=CURSOS!$D$31,"ATENCION A VICTIMAS POR CONFLICTO ARMADO",IF(O137=CURSOS!$D$32,"MANIPULACION DE ALIMENTOS Y BPM",IF(O137=CURSOS!$D$33,"ATENCION A PERSONAS CON DISCAPACIDAD",IF(O137=CURSOS!$D$34,"CUIDADO INTEGRAL DEL PACIENTE ADULTO",IF(O137=CURSOS!$D$35,"MANEJO DEFENSIVO",IF(O137=CURSOS!$D$36,"SOPORTE CARDIOVASCULAR AVANZADO NEONATAL",IF(O137=CURSOS!$D$37,"SEGURIDAD DEL PACIENTE",IF(O137=CURSOS!$D$38,"MANEJO DE RESIDUOS HOSPITALARIOS"))))))))))))))))))))))))))))))))))))</f>
        <v xml:space="preserve">ATENCION A VICTIMAS DE ATAQUE CON AGENTES QUIMICOS </v>
      </c>
      <c r="V137" s="47" t="str">
        <f t="shared" si="9"/>
        <v>Ana  Isabel Caipe Quenan</v>
      </c>
      <c r="W137" s="47" t="str">
        <f t="shared" si="10"/>
        <v>Ana  Isabel Caipe Quenan</v>
      </c>
      <c r="X137" s="47" t="str">
        <f t="shared" si="11"/>
        <v>Ana  Isabel Caipe Quenan-36758868-QUIMICOS</v>
      </c>
    </row>
    <row r="138" spans="1:24" x14ac:dyDescent="0.2">
      <c r="A138" s="46">
        <v>137</v>
      </c>
      <c r="B138" s="54">
        <v>1088734949</v>
      </c>
      <c r="C138" s="54" t="s">
        <v>123</v>
      </c>
      <c r="D138" s="54" t="s">
        <v>217</v>
      </c>
      <c r="E138" s="68" t="s">
        <v>339</v>
      </c>
      <c r="F138" s="54" t="s">
        <v>340</v>
      </c>
      <c r="G138" s="54">
        <v>15</v>
      </c>
      <c r="H138" s="54" t="s">
        <v>100</v>
      </c>
      <c r="I138" s="78" t="s">
        <v>146</v>
      </c>
      <c r="J138" s="56">
        <v>45612</v>
      </c>
      <c r="K138" s="108">
        <v>28000</v>
      </c>
      <c r="L138" s="54" t="s">
        <v>235</v>
      </c>
      <c r="M138" s="54" t="s">
        <v>80</v>
      </c>
      <c r="N138" s="54" t="s">
        <v>159</v>
      </c>
      <c r="O138" s="43" t="s">
        <v>25</v>
      </c>
      <c r="P138" s="55">
        <v>33633</v>
      </c>
      <c r="Q138" s="54" t="s">
        <v>89</v>
      </c>
      <c r="R138" s="82" t="s">
        <v>286</v>
      </c>
      <c r="S138" s="54">
        <v>3206799755</v>
      </c>
      <c r="T138" s="54" t="s">
        <v>341</v>
      </c>
      <c r="U138" s="47" t="str">
        <f>IF(O138=CURSOS!$D$3,"DIPLOMADO EN ATENCION PRE-HOSPITALARIA",IF(O138=CURSOS!$D$4,"ACOMPAÑAMIENTO Y MANEJO DEL DUELO",IF(O138=CURSOS!$D$5,"ATENCION A VICTIMAS DE ATAQUE CON AGENTES QUIMICOS ",IF(O138=CURSOS!$D$6,"PRIMEROS AUXILIOS ",IF(O138=CURSOS!$D$7,"DIPLOMADO DE UNIDAD DE CUIDADOS INTENSIVOS (UCI)",IF(O138=CURSOS!$D$8,"MODELO DE ATENCION PARA EVENTOS EMERGENTES EN SALUD MENTAL (CODIGO VERDE)",IF(O138=CURSOS!$D$9,"HUMANIZACION EN EL SERVICIO DE LA SALUD Y BUENAS PRACTICAS EN PACIENTE ",IF(O138=CURSOS!$D$10,"CLINICA DE HERIDAS ",IF(O138=CURSOS!$D$11,"TOMA DE CITOLOGIA CERVICO VAGINAL ",IF(O138=CURSOS!$D$12,"SOPORTE CARDIOVASCULAR AVANZADO (ACLS) ",IF(O138=CURSOS!$D$13,"CAMILLERO ",IF(O138=CURSOS!$D$14,"TOMA DE MUESTRAS Y LABORATORIO ",IF(O138=CURSOS!$D$15,"SOPORTE VITAL BASICO (BLS)",IF(O138=CURSOS!$D$16,"ATENCION A VICTIMAS DE VIOLENCIA SEXUAL ",IF(O138=CURSOS!$D$17,"PROGRAMADO AMPLIADO DE INMUNIZACION (PAI - COVID 19)",IF(O138=CURSOS!$D$18,"ATENCION INTEGRAL EN ENFERMEDADES PREVALENTES EN PRIMERA INFANCIA (AIEPI)",IF(O138=CURSOS!$D$19,"ADMINISTRACION DE MEDICAMENTOS, INYECTOLOGIA  Y CANALIZACION ",IF(O138=CURSOS!$D$20,"OPERADOR DE VEHICULOS DE EMERGENCIA (OVE)",IF(O138=CURSOS!$D$21,"INSTITUCIONES AMIGAS DE LA MUJER Y LA INFANCIA (IAMI)",IF(O138=CURSOS!$D$22,"CUIDADO DEL DONANTE DE ORGANOS",IF(O138=CURSOS!$D$23,"ATENCION A VICTIMAS POR VIOLENCIA DE GENERO",IF(O138=CURSOS!$D$24,"IGUALDAD DE GENERO EN LA SALUD",IF(O138=CURSOS!$D$25,"BRIGADA DE EMERGENCIA",IF(O138=CURSOS!$D$26,"MANEJO DEL DOLOR Y CUIDADOS PALIATIVOS",IF(O138=CURSOS!$D$27,"TOMA DE MUESTRAS Y LABORATORIO POCT",IF(O138=CURSOS!$D$28,"IMPLANTE SUBDERMICO DE DISPOSITIVO INTRAUTERINO",IF(O138=CURSOS!$D$29,"SALUD MENTAL",IF(O138=CURSOS!$D$30,"PRIMEROS AUXILIOS PSICOLOGICOS",IF(O138=CURSOS!$D$31,"ATENCION A VICTIMAS POR CONFLICTO ARMADO",IF(O138=CURSOS!$D$32,"MANIPULACION DE ALIMENTOS Y BPM",IF(O138=CURSOS!$D$33,"ATENCION A PERSONAS CON DISCAPACIDAD",IF(O138=CURSOS!$D$34,"CUIDADO INTEGRAL DEL PACIENTE ADULTO",IF(O138=CURSOS!$D$35,"MANEJO DEFENSIVO",IF(O138=CURSOS!$D$36,"SOPORTE CARDIOVASCULAR AVANZADO NEONATAL",IF(O138=CURSOS!$D$37,"SEGURIDAD DEL PACIENTE",IF(O138=CURSOS!$D$38,"MANEJO DE RESIDUOS HOSPITALARIOS"))))))))))))))))))))))))))))))))))))</f>
        <v xml:space="preserve">ATENCION A VICTIMAS DE ATAQUE CON AGENTES QUIMICOS </v>
      </c>
      <c r="V138" s="47" t="str">
        <f t="shared" si="9"/>
        <v>Jeison Norbey Benavides Ibarra</v>
      </c>
      <c r="W138" s="47" t="str">
        <f t="shared" si="10"/>
        <v>Jeison Norbey Benavides Ibarra</v>
      </c>
      <c r="X138" s="47" t="str">
        <f t="shared" si="11"/>
        <v>Jeison Norbey Benavides Ibarra-1088734949-QUIMICOS</v>
      </c>
    </row>
    <row r="139" spans="1:24" x14ac:dyDescent="0.2">
      <c r="A139" s="46">
        <v>138</v>
      </c>
      <c r="B139" s="54">
        <v>1085324807</v>
      </c>
      <c r="C139" s="54" t="s">
        <v>346</v>
      </c>
      <c r="D139" s="54" t="s">
        <v>347</v>
      </c>
      <c r="E139" s="54" t="s">
        <v>348</v>
      </c>
      <c r="F139" s="54" t="s">
        <v>107</v>
      </c>
      <c r="G139" s="54">
        <v>15</v>
      </c>
      <c r="H139" s="54" t="s">
        <v>100</v>
      </c>
      <c r="I139" s="78" t="s">
        <v>146</v>
      </c>
      <c r="J139" s="56">
        <v>45614</v>
      </c>
      <c r="K139" s="108">
        <v>28000</v>
      </c>
      <c r="L139" s="54" t="s">
        <v>235</v>
      </c>
      <c r="M139" s="54" t="s">
        <v>80</v>
      </c>
      <c r="N139" s="54" t="s">
        <v>159</v>
      </c>
      <c r="O139" s="43" t="s">
        <v>19</v>
      </c>
      <c r="P139" s="55">
        <v>35008</v>
      </c>
      <c r="Q139" s="54" t="s">
        <v>148</v>
      </c>
      <c r="R139" s="54" t="s">
        <v>180</v>
      </c>
      <c r="S139" s="54">
        <v>3153176879</v>
      </c>
      <c r="T139" s="54" t="s">
        <v>349</v>
      </c>
      <c r="U139" s="47" t="str">
        <f>IF(O139=CURSOS!$D$3,"DIPLOMADO EN ATENCION PRE-HOSPITALARIA",IF(O139=CURSOS!$D$4,"ACOMPAÑAMIENTO Y MANEJO DEL DUELO",IF(O139=CURSOS!$D$5,"ATENCION A VICTIMAS DE ATAQUE CON AGENTES QUIMICOS ",IF(O139=CURSOS!$D$6,"PRIMEROS AUXILIOS ",IF(O139=CURSOS!$D$7,"DIPLOMADO DE UNIDAD DE CUIDADOS INTENSIVOS (UCI)",IF(O139=CURSOS!$D$8,"MODELO DE ATENCION PARA EVENTOS EMERGENTES EN SALUD MENTAL (CODIGO VERDE)",IF(O139=CURSOS!$D$9,"HUMANIZACION EN EL SERVICIO DE LA SALUD Y BUENAS PRACTICAS EN PACIENTE ",IF(O139=CURSOS!$D$10,"CLINICA DE HERIDAS ",IF(O139=CURSOS!$D$11,"TOMA DE CITOLOGIA CERVICO VAGINAL ",IF(O139=CURSOS!$D$12,"SOPORTE CARDIOVASCULAR AVANZADO (ACLS) ",IF(O139=CURSOS!$D$13,"CAMILLERO ",IF(O139=CURSOS!$D$14,"TOMA DE MUESTRAS Y LABORATORIO ",IF(O139=CURSOS!$D$15,"SOPORTE VITAL BASICO (BLS)",IF(O139=CURSOS!$D$16,"ATENCION A VICTIMAS DE VIOLENCIA SEXUAL ",IF(O139=CURSOS!$D$17,"PROGRAMADO AMPLIADO DE INMUNIZACION (PAI - COVID 19)",IF(O139=CURSOS!$D$18,"ATENCION INTEGRAL EN ENFERMEDADES PREVALENTES EN PRIMERA INFANCIA (AIEPI)",IF(O139=CURSOS!$D$19,"ADMINISTRACION DE MEDICAMENTOS, INYECTOLOGIA  Y CANALIZACION ",IF(O139=CURSOS!$D$20,"OPERADOR DE VEHICULOS DE EMERGENCIA (OVE)",IF(O139=CURSOS!$D$21,"INSTITUCIONES AMIGAS DE LA MUJER Y LA INFANCIA (IAMI)",IF(O139=CURSOS!$D$22,"CUIDADO DEL DONANTE DE ORGANOS",IF(O139=CURSOS!$D$23,"ATENCION A VICTIMAS POR VIOLENCIA DE GENERO",IF(O139=CURSOS!$D$24,"IGUALDAD DE GENERO EN LA SALUD",IF(O139=CURSOS!$D$25,"BRIGADA DE EMERGENCIA",IF(O139=CURSOS!$D$26,"MANEJO DEL DOLOR Y CUIDADOS PALIATIVOS",IF(O139=CURSOS!$D$27,"TOMA DE MUESTRAS Y LABORATORIO POCT",IF(O139=CURSOS!$D$28,"IMPLANTE SUBDERMICO DE DISPOSITIVO INTRAUTERINO",IF(O139=CURSOS!$D$29,"SALUD MENTAL",IF(O139=CURSOS!$D$30,"PRIMEROS AUXILIOS PSICOLOGICOS",IF(O139=CURSOS!$D$31,"ATENCION A VICTIMAS POR CONFLICTO ARMADO",IF(O139=CURSOS!$D$32,"MANIPULACION DE ALIMENTOS Y BPM",IF(O139=CURSOS!$D$33,"ATENCION A PERSONAS CON DISCAPACIDAD",IF(O139=CURSOS!$D$34,"CUIDADO INTEGRAL DEL PACIENTE ADULTO",IF(O139=CURSOS!$D$35,"MANEJO DEFENSIVO",IF(O139=CURSOS!$D$36,"SOPORTE CARDIOVASCULAR AVANZADO NEONATAL",IF(O139=CURSOS!$D$37,"SEGURIDAD DEL PACIENTE",IF(O139=CURSOS!$D$38,"MANEJO DE RESIDUOS HOSPITALARIOS"))))))))))))))))))))))))))))))))))))</f>
        <v>SOPORTE VITAL BASICO (BLS)</v>
      </c>
      <c r="V139" s="47" t="str">
        <f t="shared" si="9"/>
        <v>James David Junca Eraso</v>
      </c>
      <c r="W139" s="47" t="str">
        <f t="shared" si="10"/>
        <v>James David Junca Eraso</v>
      </c>
      <c r="X139" s="47" t="str">
        <f t="shared" si="11"/>
        <v>James David Junca Eraso-1085324807-BLS</v>
      </c>
    </row>
    <row r="140" spans="1:24" x14ac:dyDescent="0.2">
      <c r="A140" s="46">
        <v>139</v>
      </c>
      <c r="B140" s="54">
        <v>1085324807</v>
      </c>
      <c r="C140" s="54" t="s">
        <v>346</v>
      </c>
      <c r="D140" s="54" t="s">
        <v>347</v>
      </c>
      <c r="E140" s="54" t="s">
        <v>348</v>
      </c>
      <c r="F140" s="54" t="s">
        <v>107</v>
      </c>
      <c r="G140" s="54">
        <v>13</v>
      </c>
      <c r="H140" s="54" t="s">
        <v>100</v>
      </c>
      <c r="I140" s="55" t="s">
        <v>146</v>
      </c>
      <c r="J140" s="56">
        <v>45614</v>
      </c>
      <c r="K140" s="108">
        <v>28000</v>
      </c>
      <c r="L140" s="54" t="s">
        <v>235</v>
      </c>
      <c r="M140" s="54" t="s">
        <v>80</v>
      </c>
      <c r="N140" s="54" t="s">
        <v>159</v>
      </c>
      <c r="O140" s="43" t="s">
        <v>42</v>
      </c>
      <c r="P140" s="55">
        <v>35008</v>
      </c>
      <c r="Q140" s="54" t="s">
        <v>148</v>
      </c>
      <c r="R140" s="54" t="s">
        <v>180</v>
      </c>
      <c r="S140" s="54">
        <v>3153176879</v>
      </c>
      <c r="T140" s="54" t="s">
        <v>349</v>
      </c>
      <c r="U140" s="47" t="str">
        <f>IF(O140=CURSOS!$D$3,"DIPLOMADO EN ATENCION PRE-HOSPITALARIA",IF(O140=CURSOS!$D$4,"ACOMPAÑAMIENTO Y MANEJO DEL DUELO",IF(O140=CURSOS!$D$5,"ATENCION A VICTIMAS DE ATAQUE CON AGENTES QUIMICOS ",IF(O140=CURSOS!$D$6,"PRIMEROS AUXILIOS ",IF(O140=CURSOS!$D$7,"DIPLOMADO DE UNIDAD DE CUIDADOS INTENSIVOS (UCI)",IF(O140=CURSOS!$D$8,"MODELO DE ATENCION PARA EVENTOS EMERGENTES EN SALUD MENTAL (CODIGO VERDE)",IF(O140=CURSOS!$D$9,"HUMANIZACION EN EL SERVICIO DE LA SALUD Y BUENAS PRACTICAS EN PACIENTE ",IF(O140=CURSOS!$D$10,"CLINICA DE HERIDAS ",IF(O140=CURSOS!$D$11,"TOMA DE CITOLOGIA CERVICO VAGINAL ",IF(O140=CURSOS!$D$12,"SOPORTE CARDIOVASCULAR AVANZADO (ACLS) ",IF(O140=CURSOS!$D$13,"CAMILLERO ",IF(O140=CURSOS!$D$14,"TOMA DE MUESTRAS Y LABORATORIO ",IF(O140=CURSOS!$D$15,"SOPORTE VITAL BASICO (BLS)",IF(O140=CURSOS!$D$16,"ATENCION A VICTIMAS DE VIOLENCIA SEXUAL ",IF(O140=CURSOS!$D$17,"PROGRAMADO AMPLIADO DE INMUNIZACION (PAI - COVID 19)",IF(O140=CURSOS!$D$18,"ATENCION INTEGRAL EN ENFERMEDADES PREVALENTES EN PRIMERA INFANCIA (AIEPI)",IF(O140=CURSOS!$D$19,"ADMINISTRACION DE MEDICAMENTOS, INYECTOLOGIA  Y CANALIZACION ",IF(O140=CURSOS!$D$20,"OPERADOR DE VEHICULOS DE EMERGENCIA (OVE)",IF(O140=CURSOS!$D$21,"INSTITUCIONES AMIGAS DE LA MUJER Y LA INFANCIA (IAMI)",IF(O140=CURSOS!$D$22,"CUIDADO DEL DONANTE DE ORGANOS",IF(O140=CURSOS!$D$23,"ATENCION A VICTIMAS POR VIOLENCIA DE GENERO",IF(O140=CURSOS!$D$24,"IGUALDAD DE GENERO EN LA SALUD",IF(O140=CURSOS!$D$25,"BRIGADA DE EMERGENCIA",IF(O140=CURSOS!$D$26,"MANEJO DEL DOLOR Y CUIDADOS PALIATIVOS",IF(O140=CURSOS!$D$27,"TOMA DE MUESTRAS Y LABORATORIO POCT",IF(O140=CURSOS!$D$28,"IMPLANTE SUBDERMICO DE DISPOSITIVO INTRAUTERINO",IF(O140=CURSOS!$D$29,"SALUD MENTAL",IF(O140=CURSOS!$D$30,"PRIMEROS AUXILIOS PSICOLOGICOS",IF(O140=CURSOS!$D$31,"ATENCION A VICTIMAS POR CONFLICTO ARMADO",IF(O140=CURSOS!$D$32,"MANIPULACION DE ALIMENTOS Y BPM",IF(O140=CURSOS!$D$33,"ATENCION A PERSONAS CON DISCAPACIDAD",IF(O140=CURSOS!$D$34,"CUIDADO INTEGRAL DEL PACIENTE ADULTO",IF(O140=CURSOS!$D$35,"MANEJO DEFENSIVO",IF(O140=CURSOS!$D$36,"SOPORTE CARDIOVASCULAR AVANZADO NEONATAL",IF(O140=CURSOS!$D$37,"SEGURIDAD DEL PACIENTE",IF(O140=CURSOS!$D$38,"MANEJO DE RESIDUOS HOSPITALARIOS"))))))))))))))))))))))))))))))))))))</f>
        <v xml:space="preserve">ATENCION A VICTIMAS DE VIOLENCIA SEXUAL </v>
      </c>
      <c r="V140" s="47" t="str">
        <f t="shared" si="9"/>
        <v>James David Junca Eraso</v>
      </c>
      <c r="W140" s="47" t="str">
        <f t="shared" si="10"/>
        <v>James David Junca Eraso</v>
      </c>
      <c r="X140" s="47" t="str">
        <f t="shared" si="11"/>
        <v>James David Junca Eraso-1085324807-VIOLENCIA SEXUAL</v>
      </c>
    </row>
    <row r="141" spans="1:24" x14ac:dyDescent="0.2">
      <c r="A141" s="46">
        <v>140</v>
      </c>
      <c r="B141" s="54">
        <v>1085324807</v>
      </c>
      <c r="C141" s="54" t="s">
        <v>346</v>
      </c>
      <c r="D141" s="54" t="s">
        <v>347</v>
      </c>
      <c r="E141" s="54" t="s">
        <v>348</v>
      </c>
      <c r="F141" s="54" t="s">
        <v>107</v>
      </c>
      <c r="G141" s="54">
        <v>14</v>
      </c>
      <c r="H141" s="54" t="s">
        <v>100</v>
      </c>
      <c r="I141" s="55" t="s">
        <v>146</v>
      </c>
      <c r="J141" s="56">
        <v>45614</v>
      </c>
      <c r="K141" s="108">
        <v>28000</v>
      </c>
      <c r="L141" s="54" t="s">
        <v>235</v>
      </c>
      <c r="M141" s="54" t="s">
        <v>80</v>
      </c>
      <c r="N141" s="54" t="s">
        <v>159</v>
      </c>
      <c r="O141" s="43" t="s">
        <v>25</v>
      </c>
      <c r="P141" s="55">
        <v>35008</v>
      </c>
      <c r="Q141" s="54" t="s">
        <v>148</v>
      </c>
      <c r="R141" s="54" t="s">
        <v>180</v>
      </c>
      <c r="S141" s="54">
        <v>3153176879</v>
      </c>
      <c r="T141" s="54" t="s">
        <v>349</v>
      </c>
      <c r="U141" s="47" t="str">
        <f>IF(O141=CURSOS!$D$3,"DIPLOMADO EN ATENCION PRE-HOSPITALARIA",IF(O141=CURSOS!$D$4,"ACOMPAÑAMIENTO Y MANEJO DEL DUELO",IF(O141=CURSOS!$D$5,"ATENCION A VICTIMAS DE ATAQUE CON AGENTES QUIMICOS ",IF(O141=CURSOS!$D$6,"PRIMEROS AUXILIOS ",IF(O141=CURSOS!$D$7,"DIPLOMADO DE UNIDAD DE CUIDADOS INTENSIVOS (UCI)",IF(O141=CURSOS!$D$8,"MODELO DE ATENCION PARA EVENTOS EMERGENTES EN SALUD MENTAL (CODIGO VERDE)",IF(O141=CURSOS!$D$9,"HUMANIZACION EN EL SERVICIO DE LA SALUD Y BUENAS PRACTICAS EN PACIENTE ",IF(O141=CURSOS!$D$10,"CLINICA DE HERIDAS ",IF(O141=CURSOS!$D$11,"TOMA DE CITOLOGIA CERVICO VAGINAL ",IF(O141=CURSOS!$D$12,"SOPORTE CARDIOVASCULAR AVANZADO (ACLS) ",IF(O141=CURSOS!$D$13,"CAMILLERO ",IF(O141=CURSOS!$D$14,"TOMA DE MUESTRAS Y LABORATORIO ",IF(O141=CURSOS!$D$15,"SOPORTE VITAL BASICO (BLS)",IF(O141=CURSOS!$D$16,"ATENCION A VICTIMAS DE VIOLENCIA SEXUAL ",IF(O141=CURSOS!$D$17,"PROGRAMADO AMPLIADO DE INMUNIZACION (PAI - COVID 19)",IF(O141=CURSOS!$D$18,"ATENCION INTEGRAL EN ENFERMEDADES PREVALENTES EN PRIMERA INFANCIA (AIEPI)",IF(O141=CURSOS!$D$19,"ADMINISTRACION DE MEDICAMENTOS, INYECTOLOGIA  Y CANALIZACION ",IF(O141=CURSOS!$D$20,"OPERADOR DE VEHICULOS DE EMERGENCIA (OVE)",IF(O141=CURSOS!$D$21,"INSTITUCIONES AMIGAS DE LA MUJER Y LA INFANCIA (IAMI)",IF(O141=CURSOS!$D$22,"CUIDADO DEL DONANTE DE ORGANOS",IF(O141=CURSOS!$D$23,"ATENCION A VICTIMAS POR VIOLENCIA DE GENERO",IF(O141=CURSOS!$D$24,"IGUALDAD DE GENERO EN LA SALUD",IF(O141=CURSOS!$D$25,"BRIGADA DE EMERGENCIA",IF(O141=CURSOS!$D$26,"MANEJO DEL DOLOR Y CUIDADOS PALIATIVOS",IF(O141=CURSOS!$D$27,"TOMA DE MUESTRAS Y LABORATORIO POCT",IF(O141=CURSOS!$D$28,"IMPLANTE SUBDERMICO DE DISPOSITIVO INTRAUTERINO",IF(O141=CURSOS!$D$29,"SALUD MENTAL",IF(O141=CURSOS!$D$30,"PRIMEROS AUXILIOS PSICOLOGICOS",IF(O141=CURSOS!$D$31,"ATENCION A VICTIMAS POR CONFLICTO ARMADO",IF(O141=CURSOS!$D$32,"MANIPULACION DE ALIMENTOS Y BPM",IF(O141=CURSOS!$D$33,"ATENCION A PERSONAS CON DISCAPACIDAD",IF(O141=CURSOS!$D$34,"CUIDADO INTEGRAL DEL PACIENTE ADULTO",IF(O141=CURSOS!$D$35,"MANEJO DEFENSIVO",IF(O141=CURSOS!$D$36,"SOPORTE CARDIOVASCULAR AVANZADO NEONATAL",IF(O141=CURSOS!$D$37,"SEGURIDAD DEL PACIENTE",IF(O141=CURSOS!$D$38,"MANEJO DE RESIDUOS HOSPITALARIOS"))))))))))))))))))))))))))))))))))))</f>
        <v xml:space="preserve">ATENCION A VICTIMAS DE ATAQUE CON AGENTES QUIMICOS </v>
      </c>
      <c r="V141" s="47" t="str">
        <f t="shared" si="9"/>
        <v>James David Junca Eraso</v>
      </c>
      <c r="W141" s="47" t="str">
        <f t="shared" si="10"/>
        <v>James David Junca Eraso</v>
      </c>
      <c r="X141" s="47" t="str">
        <f t="shared" si="11"/>
        <v>James David Junca Eraso-1085324807-QUIMICOS</v>
      </c>
    </row>
    <row r="142" spans="1:24" x14ac:dyDescent="0.2">
      <c r="A142" s="46">
        <v>141</v>
      </c>
      <c r="B142" s="54">
        <v>1007282044</v>
      </c>
      <c r="C142" s="54" t="s">
        <v>296</v>
      </c>
      <c r="D142" s="54" t="s">
        <v>270</v>
      </c>
      <c r="E142" s="54" t="s">
        <v>350</v>
      </c>
      <c r="F142" s="54" t="s">
        <v>351</v>
      </c>
      <c r="G142" s="54">
        <v>15</v>
      </c>
      <c r="H142" s="54" t="s">
        <v>100</v>
      </c>
      <c r="I142" s="55" t="s">
        <v>146</v>
      </c>
      <c r="J142" s="56">
        <v>45614</v>
      </c>
      <c r="K142" s="108">
        <v>28000</v>
      </c>
      <c r="L142" s="54" t="s">
        <v>235</v>
      </c>
      <c r="M142" s="54" t="s">
        <v>80</v>
      </c>
      <c r="N142" s="54" t="s">
        <v>159</v>
      </c>
      <c r="O142" s="43" t="s">
        <v>42</v>
      </c>
      <c r="P142" s="55">
        <v>34688</v>
      </c>
      <c r="Q142" s="68" t="s">
        <v>89</v>
      </c>
      <c r="R142" s="54" t="s">
        <v>352</v>
      </c>
      <c r="S142" s="54">
        <v>3135188936</v>
      </c>
      <c r="T142" s="54" t="s">
        <v>353</v>
      </c>
      <c r="U142" s="47" t="str">
        <f>IF(O142=CURSOS!$D$3,"DIPLOMADO EN ATENCION PRE-HOSPITALARIA",IF(O142=CURSOS!$D$4,"ACOMPAÑAMIENTO Y MANEJO DEL DUELO",IF(O142=CURSOS!$D$5,"ATENCION A VICTIMAS DE ATAQUE CON AGENTES QUIMICOS ",IF(O142=CURSOS!$D$6,"PRIMEROS AUXILIOS ",IF(O142=CURSOS!$D$7,"DIPLOMADO DE UNIDAD DE CUIDADOS INTENSIVOS (UCI)",IF(O142=CURSOS!$D$8,"MODELO DE ATENCION PARA EVENTOS EMERGENTES EN SALUD MENTAL (CODIGO VERDE)",IF(O142=CURSOS!$D$9,"HUMANIZACION EN EL SERVICIO DE LA SALUD Y BUENAS PRACTICAS EN PACIENTE ",IF(O142=CURSOS!$D$10,"CLINICA DE HERIDAS ",IF(O142=CURSOS!$D$11,"TOMA DE CITOLOGIA CERVICO VAGINAL ",IF(O142=CURSOS!$D$12,"SOPORTE CARDIOVASCULAR AVANZADO (ACLS) ",IF(O142=CURSOS!$D$13,"CAMILLERO ",IF(O142=CURSOS!$D$14,"TOMA DE MUESTRAS Y LABORATORIO ",IF(O142=CURSOS!$D$15,"SOPORTE VITAL BASICO (BLS)",IF(O142=CURSOS!$D$16,"ATENCION A VICTIMAS DE VIOLENCIA SEXUAL ",IF(O142=CURSOS!$D$17,"PROGRAMADO AMPLIADO DE INMUNIZACION (PAI - COVID 19)",IF(O142=CURSOS!$D$18,"ATENCION INTEGRAL EN ENFERMEDADES PREVALENTES EN PRIMERA INFANCIA (AIEPI)",IF(O142=CURSOS!$D$19,"ADMINISTRACION DE MEDICAMENTOS, INYECTOLOGIA  Y CANALIZACION ",IF(O142=CURSOS!$D$20,"OPERADOR DE VEHICULOS DE EMERGENCIA (OVE)",IF(O142=CURSOS!$D$21,"INSTITUCIONES AMIGAS DE LA MUJER Y LA INFANCIA (IAMI)",IF(O142=CURSOS!$D$22,"CUIDADO DEL DONANTE DE ORGANOS",IF(O142=CURSOS!$D$23,"ATENCION A VICTIMAS POR VIOLENCIA DE GENERO",IF(O142=CURSOS!$D$24,"IGUALDAD DE GENERO EN LA SALUD",IF(O142=CURSOS!$D$25,"BRIGADA DE EMERGENCIA",IF(O142=CURSOS!$D$26,"MANEJO DEL DOLOR Y CUIDADOS PALIATIVOS",IF(O142=CURSOS!$D$27,"TOMA DE MUESTRAS Y LABORATORIO POCT",IF(O142=CURSOS!$D$28,"IMPLANTE SUBDERMICO DE DISPOSITIVO INTRAUTERINO",IF(O142=CURSOS!$D$29,"SALUD MENTAL",IF(O142=CURSOS!$D$30,"PRIMEROS AUXILIOS PSICOLOGICOS",IF(O142=CURSOS!$D$31,"ATENCION A VICTIMAS POR CONFLICTO ARMADO",IF(O142=CURSOS!$D$32,"MANIPULACION DE ALIMENTOS Y BPM",IF(O142=CURSOS!$D$33,"ATENCION A PERSONAS CON DISCAPACIDAD",IF(O142=CURSOS!$D$34,"CUIDADO INTEGRAL DEL PACIENTE ADULTO",IF(O142=CURSOS!$D$35,"MANEJO DEFENSIVO",IF(O142=CURSOS!$D$36,"SOPORTE CARDIOVASCULAR AVANZADO NEONATAL",IF(O142=CURSOS!$D$37,"SEGURIDAD DEL PACIENTE",IF(O142=CURSOS!$D$38,"MANEJO DE RESIDUOS HOSPITALARIOS"))))))))))))))))))))))))))))))))))))</f>
        <v xml:space="preserve">ATENCION A VICTIMAS DE VIOLENCIA SEXUAL </v>
      </c>
      <c r="V142" s="47" t="str">
        <f t="shared" si="9"/>
        <v>Alba Lorena Meneses Bastidas</v>
      </c>
      <c r="W142" s="47" t="str">
        <f t="shared" si="10"/>
        <v>Alba Lorena Meneses Bastidas</v>
      </c>
      <c r="X142" s="47" t="str">
        <f t="shared" si="11"/>
        <v>Alba Lorena Meneses Bastidas-1007282044-VIOLENCIA SEXUAL</v>
      </c>
    </row>
    <row r="143" spans="1:24" x14ac:dyDescent="0.2">
      <c r="A143" s="46">
        <v>142</v>
      </c>
      <c r="B143" s="54">
        <v>1007282044</v>
      </c>
      <c r="C143" s="54" t="s">
        <v>296</v>
      </c>
      <c r="D143" s="54" t="s">
        <v>270</v>
      </c>
      <c r="E143" s="54" t="s">
        <v>350</v>
      </c>
      <c r="F143" s="54" t="s">
        <v>351</v>
      </c>
      <c r="G143" s="54">
        <v>14</v>
      </c>
      <c r="H143" s="54" t="s">
        <v>100</v>
      </c>
      <c r="I143" s="55" t="s">
        <v>146</v>
      </c>
      <c r="J143" s="56">
        <v>45614</v>
      </c>
      <c r="K143" s="108">
        <v>28000</v>
      </c>
      <c r="L143" s="54" t="s">
        <v>235</v>
      </c>
      <c r="M143" s="54" t="s">
        <v>80</v>
      </c>
      <c r="N143" s="54" t="s">
        <v>159</v>
      </c>
      <c r="O143" s="43" t="s">
        <v>25</v>
      </c>
      <c r="P143" s="55">
        <v>34688</v>
      </c>
      <c r="Q143" s="68" t="s">
        <v>89</v>
      </c>
      <c r="R143" s="54" t="s">
        <v>352</v>
      </c>
      <c r="S143" s="54">
        <v>3135188936</v>
      </c>
      <c r="T143" s="82" t="s">
        <v>353</v>
      </c>
      <c r="U143" s="47" t="str">
        <f>IF(O143=CURSOS!$D$3,"DIPLOMADO EN ATENCION PRE-HOSPITALARIA",IF(O143=CURSOS!$D$4,"ACOMPAÑAMIENTO Y MANEJO DEL DUELO",IF(O143=CURSOS!$D$5,"ATENCION A VICTIMAS DE ATAQUE CON AGENTES QUIMICOS ",IF(O143=CURSOS!$D$6,"PRIMEROS AUXILIOS ",IF(O143=CURSOS!$D$7,"DIPLOMADO DE UNIDAD DE CUIDADOS INTENSIVOS (UCI)",IF(O143=CURSOS!$D$8,"MODELO DE ATENCION PARA EVENTOS EMERGENTES EN SALUD MENTAL (CODIGO VERDE)",IF(O143=CURSOS!$D$9,"HUMANIZACION EN EL SERVICIO DE LA SALUD Y BUENAS PRACTICAS EN PACIENTE ",IF(O143=CURSOS!$D$10,"CLINICA DE HERIDAS ",IF(O143=CURSOS!$D$11,"TOMA DE CITOLOGIA CERVICO VAGINAL ",IF(O143=CURSOS!$D$12,"SOPORTE CARDIOVASCULAR AVANZADO (ACLS) ",IF(O143=CURSOS!$D$13,"CAMILLERO ",IF(O143=CURSOS!$D$14,"TOMA DE MUESTRAS Y LABORATORIO ",IF(O143=CURSOS!$D$15,"SOPORTE VITAL BASICO (BLS)",IF(O143=CURSOS!$D$16,"ATENCION A VICTIMAS DE VIOLENCIA SEXUAL ",IF(O143=CURSOS!$D$17,"PROGRAMADO AMPLIADO DE INMUNIZACION (PAI - COVID 19)",IF(O143=CURSOS!$D$18,"ATENCION INTEGRAL EN ENFERMEDADES PREVALENTES EN PRIMERA INFANCIA (AIEPI)",IF(O143=CURSOS!$D$19,"ADMINISTRACION DE MEDICAMENTOS, INYECTOLOGIA  Y CANALIZACION ",IF(O143=CURSOS!$D$20,"OPERADOR DE VEHICULOS DE EMERGENCIA (OVE)",IF(O143=CURSOS!$D$21,"INSTITUCIONES AMIGAS DE LA MUJER Y LA INFANCIA (IAMI)",IF(O143=CURSOS!$D$22,"CUIDADO DEL DONANTE DE ORGANOS",IF(O143=CURSOS!$D$23,"ATENCION A VICTIMAS POR VIOLENCIA DE GENERO",IF(O143=CURSOS!$D$24,"IGUALDAD DE GENERO EN LA SALUD",IF(O143=CURSOS!$D$25,"BRIGADA DE EMERGENCIA",IF(O143=CURSOS!$D$26,"MANEJO DEL DOLOR Y CUIDADOS PALIATIVOS",IF(O143=CURSOS!$D$27,"TOMA DE MUESTRAS Y LABORATORIO POCT",IF(O143=CURSOS!$D$28,"IMPLANTE SUBDERMICO DE DISPOSITIVO INTRAUTERINO",IF(O143=CURSOS!$D$29,"SALUD MENTAL",IF(O143=CURSOS!$D$30,"PRIMEROS AUXILIOS PSICOLOGICOS",IF(O143=CURSOS!$D$31,"ATENCION A VICTIMAS POR CONFLICTO ARMADO",IF(O143=CURSOS!$D$32,"MANIPULACION DE ALIMENTOS Y BPM",IF(O143=CURSOS!$D$33,"ATENCION A PERSONAS CON DISCAPACIDAD",IF(O143=CURSOS!$D$34,"CUIDADO INTEGRAL DEL PACIENTE ADULTO",IF(O143=CURSOS!$D$35,"MANEJO DEFENSIVO",IF(O143=CURSOS!$D$36,"SOPORTE CARDIOVASCULAR AVANZADO NEONATAL",IF(O143=CURSOS!$D$37,"SEGURIDAD DEL PACIENTE",IF(O143=CURSOS!$D$38,"MANEJO DE RESIDUOS HOSPITALARIOS"))))))))))))))))))))))))))))))))))))</f>
        <v xml:space="preserve">ATENCION A VICTIMAS DE ATAQUE CON AGENTES QUIMICOS </v>
      </c>
      <c r="V143" s="47" t="str">
        <f t="shared" si="9"/>
        <v>Alba Lorena Meneses Bastidas</v>
      </c>
      <c r="W143" s="47" t="str">
        <f t="shared" si="10"/>
        <v>Alba Lorena Meneses Bastidas</v>
      </c>
      <c r="X143" s="47" t="str">
        <f t="shared" si="11"/>
        <v>Alba Lorena Meneses Bastidas-1007282044-QUIMICOS</v>
      </c>
    </row>
    <row r="144" spans="1:24" x14ac:dyDescent="0.2">
      <c r="A144" s="95">
        <v>143</v>
      </c>
      <c r="B144" s="60">
        <v>1007282044</v>
      </c>
      <c r="C144" s="60" t="s">
        <v>296</v>
      </c>
      <c r="D144" s="60" t="s">
        <v>270</v>
      </c>
      <c r="E144" s="60" t="s">
        <v>350</v>
      </c>
      <c r="F144" s="60" t="s">
        <v>351</v>
      </c>
      <c r="G144" s="60">
        <v>13</v>
      </c>
      <c r="H144" s="60" t="s">
        <v>100</v>
      </c>
      <c r="I144" s="61" t="s">
        <v>146</v>
      </c>
      <c r="J144" s="56">
        <v>45614</v>
      </c>
      <c r="K144" s="110">
        <v>28000</v>
      </c>
      <c r="L144" s="60" t="s">
        <v>235</v>
      </c>
      <c r="M144" s="60" t="s">
        <v>80</v>
      </c>
      <c r="N144" s="60" t="s">
        <v>159</v>
      </c>
      <c r="O144" s="62" t="s">
        <v>23</v>
      </c>
      <c r="P144" s="61">
        <v>34688</v>
      </c>
      <c r="Q144" s="69" t="s">
        <v>89</v>
      </c>
      <c r="R144" s="60" t="s">
        <v>352</v>
      </c>
      <c r="S144" s="60">
        <v>3135188936</v>
      </c>
      <c r="T144" s="87" t="s">
        <v>353</v>
      </c>
      <c r="U144" s="64" t="str">
        <f>IF(O144=CURSOS!$D$3,"DIPLOMADO EN ATENCION PRE-HOSPITALARIA",IF(O144=CURSOS!$D$4,"ACOMPAÑAMIENTO Y MANEJO DEL DUELO",IF(O144=CURSOS!$D$5,"ATENCION A VICTIMAS DE ATAQUE CON AGENTES QUIMICOS ",IF(O144=CURSOS!$D$6,"PRIMEROS AUXILIOS ",IF(O144=CURSOS!$D$7,"DIPLOMADO DE UNIDAD DE CUIDADOS INTENSIVOS (UCI)",IF(O144=CURSOS!$D$8,"MODELO DE ATENCION PARA EVENTOS EMERGENTES EN SALUD MENTAL (CODIGO VERDE)",IF(O144=CURSOS!$D$9,"HUMANIZACION EN EL SERVICIO DE LA SALUD Y BUENAS PRACTICAS EN PACIENTE ",IF(O144=CURSOS!$D$10,"CLINICA DE HERIDAS ",IF(O144=CURSOS!$D$11,"TOMA DE CITOLOGIA CERVICO VAGINAL ",IF(O144=CURSOS!$D$12,"SOPORTE CARDIOVASCULAR AVANZADO (ACLS) ",IF(O144=CURSOS!$D$13,"CAMILLERO ",IF(O144=CURSOS!$D$14,"TOMA DE MUESTRAS Y LABORATORIO ",IF(O144=CURSOS!$D$15,"SOPORTE VITAL BASICO (BLS)",IF(O144=CURSOS!$D$16,"ATENCION A VICTIMAS DE VIOLENCIA SEXUAL ",IF(O144=CURSOS!$D$17,"PROGRAMADO AMPLIADO DE INMUNIZACION (PAI - COVID 19)",IF(O144=CURSOS!$D$18,"ATENCION INTEGRAL EN ENFERMEDADES PREVALENTES EN PRIMERA INFANCIA (AIEPI)",IF(O144=CURSOS!$D$19,"ADMINISTRACION DE MEDICAMENTOS, INYECTOLOGIA  Y CANALIZACION ",IF(O144=CURSOS!$D$20,"OPERADOR DE VEHICULOS DE EMERGENCIA (OVE)",IF(O144=CURSOS!$D$21,"INSTITUCIONES AMIGAS DE LA MUJER Y LA INFANCIA (IAMI)",IF(O144=CURSOS!$D$22,"CUIDADO DEL DONANTE DE ORGANOS",IF(O144=CURSOS!$D$23,"ATENCION A VICTIMAS POR VIOLENCIA DE GENERO",IF(O144=CURSOS!$D$24,"IGUALDAD DE GENERO EN LA SALUD",IF(O144=CURSOS!$D$25,"BRIGADA DE EMERGENCIA",IF(O144=CURSOS!$D$26,"MANEJO DEL DOLOR Y CUIDADOS PALIATIVOS",IF(O144=CURSOS!$D$27,"TOMA DE MUESTRAS Y LABORATORIO POCT",IF(O144=CURSOS!$D$28,"IMPLANTE SUBDERMICO DE DISPOSITIVO INTRAUTERINO",IF(O144=CURSOS!$D$29,"SALUD MENTAL",IF(O144=CURSOS!$D$30,"PRIMEROS AUXILIOS PSICOLOGICOS",IF(O144=CURSOS!$D$31,"ATENCION A VICTIMAS POR CONFLICTO ARMADO",IF(O144=CURSOS!$D$32,"MANIPULACION DE ALIMENTOS Y BPM",IF(O144=CURSOS!$D$33,"ATENCION A PERSONAS CON DISCAPACIDAD",IF(O144=CURSOS!$D$34,"CUIDADO INTEGRAL DEL PACIENTE ADULTO",IF(O144=CURSOS!$D$35,"MANEJO DEFENSIVO",IF(O144=CURSOS!$D$36,"SOPORTE CARDIOVASCULAR AVANZADO NEONATAL",IF(O144=CURSOS!$D$37,"SEGURIDAD DEL PACIENTE",IF(O144=CURSOS!$D$38,"MANEJO DE RESIDUOS HOSPITALARIOS"))))))))))))))))))))))))))))))))))))</f>
        <v>ACOMPAÑAMIENTO Y MANEJO DEL DUELO</v>
      </c>
      <c r="V144" s="64" t="str">
        <f t="shared" si="9"/>
        <v>Alba Lorena Meneses Bastidas</v>
      </c>
      <c r="W144" s="64" t="str">
        <f t="shared" si="10"/>
        <v>Alba Lorena Meneses Bastidas</v>
      </c>
      <c r="X144" s="64" t="str">
        <f t="shared" si="11"/>
        <v>Alba Lorena Meneses Bastidas-1007282044-DUELO</v>
      </c>
    </row>
    <row r="145" spans="1:25" s="58" customFormat="1" x14ac:dyDescent="0.2">
      <c r="A145" s="46">
        <v>144</v>
      </c>
      <c r="B145" s="54">
        <v>1085275198</v>
      </c>
      <c r="C145" s="54" t="s">
        <v>360</v>
      </c>
      <c r="D145" s="54" t="s">
        <v>361</v>
      </c>
      <c r="E145" s="54" t="s">
        <v>362</v>
      </c>
      <c r="F145" s="54" t="s">
        <v>363</v>
      </c>
      <c r="G145" s="54">
        <v>15</v>
      </c>
      <c r="H145" s="54" t="s">
        <v>100</v>
      </c>
      <c r="I145" s="55" t="s">
        <v>146</v>
      </c>
      <c r="J145" s="56">
        <v>45611</v>
      </c>
      <c r="K145" s="108">
        <v>60000</v>
      </c>
      <c r="L145" s="54" t="s">
        <v>327</v>
      </c>
      <c r="M145" s="54" t="s">
        <v>80</v>
      </c>
      <c r="N145" s="54" t="s">
        <v>90</v>
      </c>
      <c r="O145" s="43" t="s">
        <v>46</v>
      </c>
      <c r="P145" s="55">
        <v>32721</v>
      </c>
      <c r="Q145" s="54" t="s">
        <v>148</v>
      </c>
      <c r="R145" s="54" t="s">
        <v>364</v>
      </c>
      <c r="S145" s="54">
        <v>3172885568</v>
      </c>
      <c r="T145" s="54" t="s">
        <v>365</v>
      </c>
      <c r="U145" s="47" t="str">
        <f>IF(O145=CURSOS!$D$3,"DIPLOMADO EN ATENCION PRE-HOSPITALARIA",IF(O145=CURSOS!$D$4,"ACOMPAÑAMIENTO Y MANEJO DEL DUELO",IF(O145=CURSOS!$D$5,"ATENCION A VICTIMAS DE ATAQUE CON AGENTES QUIMICOS ",IF(O145=CURSOS!$D$6,"PRIMEROS AUXILIOS ",IF(O145=CURSOS!$D$7,"DIPLOMADO DE UNIDAD DE CUIDADOS INTENSIVOS (UCI)",IF(O145=CURSOS!$D$8,"MODELO DE ATENCION PARA EVENTOS EMERGENTES EN SALUD MENTAL (CODIGO VERDE)",IF(O145=CURSOS!$D$9,"HUMANIZACION EN EL SERVICIO DE LA SALUD Y BUENAS PRACTICAS EN PACIENTE ",IF(O145=CURSOS!$D$10,"CLINICA DE HERIDAS ",IF(O145=CURSOS!$D$11,"TOMA DE CITOLOGIA CERVICO VAGINAL ",IF(O145=CURSOS!$D$12,"SOPORTE CARDIOVASCULAR AVANZADO (ACLS) ",IF(O145=CURSOS!$D$13,"CAMILLERO ",IF(O145=CURSOS!$D$14,"TOMA DE MUESTRAS Y LABORATORIO ",IF(O145=CURSOS!$D$15,"SOPORTE VITAL BASICO (BLS)",IF(O145=CURSOS!$D$16,"ATENCION A VICTIMAS DE VIOLENCIA SEXUAL ",IF(O145=CURSOS!$D$17,"PROGRAMADO AMPLIADO DE INMUNIZACION (PAI - COVID 19)",IF(O145=CURSOS!$D$18,"ATENCION INTEGRAL EN ENFERMEDADES PREVALENTES EN PRIMERA INFANCIA (AIEPI)",IF(O145=CURSOS!$D$19,"ADMINISTRACION DE MEDICAMENTOS, INYECTOLOGIA  Y CANALIZACION ",IF(O145=CURSOS!$D$20,"OPERADOR DE VEHICULOS DE EMERGENCIA (OVE)",IF(O145=CURSOS!$D$21,"INSTITUCIONES AMIGAS DE LA MUJER Y LA INFANCIA (IAMI)",IF(O145=CURSOS!$D$22,"CUIDADO DEL DONANTE DE ORGANOS",IF(O145=CURSOS!$D$23,"ATENCION A VICTIMAS POR VIOLENCIA DE GENERO",IF(O145=CURSOS!$D$24,"IGUALDAD DE GENERO EN LA SALUD",IF(O145=CURSOS!$D$25,"BRIGADA DE EMERGENCIA",IF(O145=CURSOS!$D$26,"MANEJO DEL DOLOR Y CUIDADOS PALIATIVOS",IF(O145=CURSOS!$D$27,"TOMA DE MUESTRAS Y LABORATORIO POCT",IF(O145=CURSOS!$D$28,"IMPLANTE SUBDERMICO DE DISPOSITIVO INTRAUTERINO",IF(O145=CURSOS!$D$29,"SALUD MENTAL",IF(O145=CURSOS!$D$30,"PRIMEROS AUXILIOS PSICOLOGICOS",IF(O145=CURSOS!$D$31,"ATENCION A VICTIMAS POR CONFLICTO ARMADO",IF(O145=CURSOS!$D$32,"MANIPULACION DE ALIMENTOS Y BPM",IF(O145=CURSOS!$D$33,"ATENCION A PERSONAS CON DISCAPACIDAD",IF(O145=CURSOS!$D$34,"CUIDADO INTEGRAL DEL PACIENTE ADULTO",IF(O145=CURSOS!$D$35,"MANEJO DEFENSIVO",IF(O145=CURSOS!$D$36,"SOPORTE CARDIOVASCULAR AVANZADO NEONATAL",IF(O145=CURSOS!$D$37,"SEGURIDAD DEL PACIENTE",IF(O145=CURSOS!$D$38,"MANEJO DE RESIDUOS HOSPITALARIOS"))))))))))))))))))))))))))))))))))))</f>
        <v>OPERADOR DE VEHICULOS DE EMERGENCIA (OVE)</v>
      </c>
      <c r="V145" s="47" t="str">
        <f t="shared" si="9"/>
        <v>Jorge Armando Cuaran Medina</v>
      </c>
      <c r="W145" s="47" t="str">
        <f t="shared" si="10"/>
        <v>Jorge Armando Cuaran Medina</v>
      </c>
      <c r="X145" s="47" t="str">
        <f t="shared" si="11"/>
        <v>Jorge Armando Cuaran Medina-1085275198-OVE</v>
      </c>
    </row>
    <row r="146" spans="1:25" s="58" customFormat="1" x14ac:dyDescent="0.2">
      <c r="A146" s="46">
        <v>145</v>
      </c>
      <c r="B146" s="54">
        <v>1085327574</v>
      </c>
      <c r="C146" s="68" t="s">
        <v>314</v>
      </c>
      <c r="D146" s="68" t="s">
        <v>315</v>
      </c>
      <c r="E146" s="68" t="s">
        <v>316</v>
      </c>
      <c r="F146" s="68" t="s">
        <v>121</v>
      </c>
      <c r="G146" s="68">
        <v>14</v>
      </c>
      <c r="H146" s="54" t="s">
        <v>100</v>
      </c>
      <c r="I146" s="78" t="s">
        <v>146</v>
      </c>
      <c r="J146" s="76">
        <v>45609</v>
      </c>
      <c r="K146" s="108">
        <v>70000</v>
      </c>
      <c r="L146" s="68" t="s">
        <v>139</v>
      </c>
      <c r="M146" s="54" t="s">
        <v>80</v>
      </c>
      <c r="N146" s="54" t="s">
        <v>90</v>
      </c>
      <c r="O146" s="43" t="s">
        <v>64</v>
      </c>
      <c r="P146" s="55">
        <v>35149</v>
      </c>
      <c r="Q146" s="68" t="s">
        <v>89</v>
      </c>
      <c r="R146" s="54" t="s">
        <v>189</v>
      </c>
      <c r="S146" s="57">
        <v>3137118757</v>
      </c>
      <c r="T146" s="54" t="s">
        <v>317</v>
      </c>
      <c r="U146" s="47" t="str">
        <f>IF(O146=CURSOS!$D$3,"DIPLOMADO EN ATENCION PRE-HOSPITALARIA",IF(O146=CURSOS!$D$4,"ACOMPAÑAMIENTO Y MANEJO DEL DUELO",IF(O146=CURSOS!$D$5,"ATENCION A VICTIMAS DE ATAQUE CON AGENTES QUIMICOS ",IF(O146=CURSOS!$D$6,"PRIMEROS AUXILIOS ",IF(O146=CURSOS!$D$7,"DIPLOMADO DE UNIDAD DE CUIDADOS INTENSIVOS (UCI)",IF(O146=CURSOS!$D$8,"MODELO DE ATENCION PARA EVENTOS EMERGENTES EN SALUD MENTAL (CODIGO VERDE)",IF(O146=CURSOS!$D$9,"HUMANIZACION EN EL SERVICIO DE LA SALUD Y BUENAS PRACTICAS EN PACIENTE ",IF(O146=CURSOS!$D$10,"CLINICA DE HERIDAS ",IF(O146=CURSOS!$D$11,"TOMA DE CITOLOGIA CERVICO VAGINAL ",IF(O146=CURSOS!$D$12,"SOPORTE CARDIOVASCULAR AVANZADO (ACLS) ",IF(O146=CURSOS!$D$13,"CAMILLERO ",IF(O146=CURSOS!$D$14,"TOMA DE MUESTRAS Y LABORATORIO ",IF(O146=CURSOS!$D$15,"SOPORTE VITAL BASICO (BLS)",IF(O146=CURSOS!$D$16,"ATENCION A VICTIMAS DE VIOLENCIA SEXUAL ",IF(O146=CURSOS!$D$17,"PROGRAMADO AMPLIADO DE INMUNIZACION (PAI - COVID 19)",IF(O146=CURSOS!$D$18,"ATENCION INTEGRAL EN ENFERMEDADES PREVALENTES EN PRIMERA INFANCIA (AIEPI)",IF(O146=CURSOS!$D$19,"ADMINISTRACION DE MEDICAMENTOS, INYECTOLOGIA  Y CANALIZACION ",IF(O146=CURSOS!$D$20,"OPERADOR DE VEHICULOS DE EMERGENCIA (OVE)",IF(O146=CURSOS!$D$21,"INSTITUCIONES AMIGAS DE LA MUJER Y LA INFANCIA (IAMI)",IF(O146=CURSOS!$D$22,"CUIDADO DEL DONANTE DE ORGANOS",IF(O146=CURSOS!$D$23,"ATENCION A VICTIMAS POR VIOLENCIA DE GENERO",IF(O146=CURSOS!$D$24,"IGUALDAD DE GENERO EN LA SALUD",IF(O146=CURSOS!$D$25,"BRIGADA DE EMERGENCIA",IF(O146=CURSOS!$D$26,"MANEJO DEL DOLOR Y CUIDADOS PALIATIVOS",IF(O146=CURSOS!$D$27,"TOMA DE MUESTRAS Y LABORATORIO POCT",IF(O146=CURSOS!$D$28,"IMPLANTE SUBDERMICO DE DISPOSITIVO INTRAUTERINO",IF(O146=CURSOS!$D$29,"SALUD MENTAL",IF(O146=CURSOS!$D$30,"PRIMEROS AUXILIOS PSICOLOGICOS",IF(O146=CURSOS!$D$31,"ATENCION A VICTIMAS POR CONFLICTO ARMADO",IF(O146=CURSOS!$D$32,"MANIPULACION DE ALIMENTOS Y BPM",IF(O146=CURSOS!$D$33,"ATENCION A PERSONAS CON DISCAPACIDAD",IF(O146=CURSOS!$D$34,"CUIDADO INTEGRAL DEL PACIENTE ADULTO",IF(O146=CURSOS!$D$35,"MANEJO DEFENSIVO",IF(O146=CURSOS!$D$36,"SOPORTE CARDIOVASCULAR AVANZADO NEONATAL",IF(O146=CURSOS!$D$37,"SEGURIDAD DEL PACIENTE",IF(O146=CURSOS!$D$38,"MANEJO DE RESIDUOS HOSPITALARIOS"))))))))))))))))))))))))))))))))))))</f>
        <v>ATENCION A VICTIMAS POR CONFLICTO ARMADO</v>
      </c>
      <c r="V146" s="47" t="str">
        <f t="shared" si="9"/>
        <v>Catherin Paola Mora Arevalo</v>
      </c>
      <c r="W146" s="47" t="str">
        <f t="shared" si="10"/>
        <v>Catherin Paola Mora Arevalo</v>
      </c>
      <c r="X146" s="47" t="str">
        <f t="shared" si="11"/>
        <v>Catherin Paola Mora Arevalo-1085327574-CONFLICTO ARMADO</v>
      </c>
    </row>
    <row r="147" spans="1:25" s="58" customFormat="1" x14ac:dyDescent="0.2">
      <c r="A147" s="46">
        <v>146</v>
      </c>
      <c r="B147" s="54">
        <v>1085327574</v>
      </c>
      <c r="C147" s="68" t="s">
        <v>314</v>
      </c>
      <c r="D147" s="68" t="s">
        <v>315</v>
      </c>
      <c r="E147" s="68" t="s">
        <v>316</v>
      </c>
      <c r="F147" s="68" t="s">
        <v>121</v>
      </c>
      <c r="G147" s="68">
        <v>16</v>
      </c>
      <c r="H147" s="54" t="s">
        <v>100</v>
      </c>
      <c r="I147" s="78" t="s">
        <v>146</v>
      </c>
      <c r="J147" s="76">
        <v>45609</v>
      </c>
      <c r="K147" s="108">
        <v>70000</v>
      </c>
      <c r="L147" s="68" t="s">
        <v>139</v>
      </c>
      <c r="M147" s="54" t="s">
        <v>80</v>
      </c>
      <c r="N147" s="54" t="s">
        <v>90</v>
      </c>
      <c r="O147" s="43" t="s">
        <v>32</v>
      </c>
      <c r="P147" s="55">
        <v>35149</v>
      </c>
      <c r="Q147" s="68" t="s">
        <v>89</v>
      </c>
      <c r="R147" s="54" t="s">
        <v>189</v>
      </c>
      <c r="S147" s="57">
        <v>3137118757</v>
      </c>
      <c r="T147" s="54" t="s">
        <v>317</v>
      </c>
      <c r="U147" s="47" t="str">
        <f>IF(O147=CURSOS!$D$3,"DIPLOMADO EN ATENCION PRE-HOSPITALARIA",IF(O147=CURSOS!$D$4,"ACOMPAÑAMIENTO Y MANEJO DEL DUELO",IF(O147=CURSOS!$D$5,"ATENCION A VICTIMAS DE ATAQUE CON AGENTES QUIMICOS ",IF(O147=CURSOS!$D$6,"PRIMEROS AUXILIOS ",IF(O147=CURSOS!$D$7,"DIPLOMADO DE UNIDAD DE CUIDADOS INTENSIVOS (UCI)",IF(O147=CURSOS!$D$8,"MODELO DE ATENCION PARA EVENTOS EMERGENTES EN SALUD MENTAL (CODIGO VERDE)",IF(O147=CURSOS!$D$9,"HUMANIZACION EN EL SERVICIO DE LA SALUD Y BUENAS PRACTICAS EN PACIENTE ",IF(O147=CURSOS!$D$10,"CLINICA DE HERIDAS ",IF(O147=CURSOS!$D$11,"TOMA DE CITOLOGIA CERVICO VAGINAL ",IF(O147=CURSOS!$D$12,"SOPORTE CARDIOVASCULAR AVANZADO (ACLS) ",IF(O147=CURSOS!$D$13,"CAMILLERO ",IF(O147=CURSOS!$D$14,"TOMA DE MUESTRAS Y LABORATORIO ",IF(O147=CURSOS!$D$15,"SOPORTE VITAL BASICO (BLS)",IF(O147=CURSOS!$D$16,"ATENCION A VICTIMAS DE VIOLENCIA SEXUAL ",IF(O147=CURSOS!$D$17,"PROGRAMADO AMPLIADO DE INMUNIZACION (PAI - COVID 19)",IF(O147=CURSOS!$D$18,"ATENCION INTEGRAL EN ENFERMEDADES PREVALENTES EN PRIMERA INFANCIA (AIEPI)",IF(O147=CURSOS!$D$19,"ADMINISTRACION DE MEDICAMENTOS, INYECTOLOGIA  Y CANALIZACION ",IF(O147=CURSOS!$D$20,"OPERADOR DE VEHICULOS DE EMERGENCIA (OVE)",IF(O147=CURSOS!$D$21,"INSTITUCIONES AMIGAS DE LA MUJER Y LA INFANCIA (IAMI)",IF(O147=CURSOS!$D$22,"CUIDADO DEL DONANTE DE ORGANOS",IF(O147=CURSOS!$D$23,"ATENCION A VICTIMAS POR VIOLENCIA DE GENERO",IF(O147=CURSOS!$D$24,"IGUALDAD DE GENERO EN LA SALUD",IF(O147=CURSOS!$D$25,"BRIGADA DE EMERGENCIA",IF(O147=CURSOS!$D$26,"MANEJO DEL DOLOR Y CUIDADOS PALIATIVOS",IF(O147=CURSOS!$D$27,"TOMA DE MUESTRAS Y LABORATORIO POCT",IF(O147=CURSOS!$D$28,"IMPLANTE SUBDERMICO DE DISPOSITIVO INTRAUTERINO",IF(O147=CURSOS!$D$29,"SALUD MENTAL",IF(O147=CURSOS!$D$30,"PRIMEROS AUXILIOS PSICOLOGICOS",IF(O147=CURSOS!$D$31,"ATENCION A VICTIMAS POR CONFLICTO ARMADO",IF(O147=CURSOS!$D$32,"MANIPULACION DE ALIMENTOS Y BPM",IF(O147=CURSOS!$D$33,"ATENCION A PERSONAS CON DISCAPACIDAD",IF(O147=CURSOS!$D$34,"CUIDADO INTEGRAL DEL PACIENTE ADULTO",IF(O147=CURSOS!$D$35,"MANEJO DEFENSIVO",IF(O147=CURSOS!$D$36,"SOPORTE CARDIOVASCULAR AVANZADO NEONATAL",IF(O147=CURSOS!$D$37,"SEGURIDAD DEL PACIENTE",IF(O147=CURSOS!$D$38,"MANEJO DE RESIDUOS HOSPITALARIOS"))))))))))))))))))))))))))))))))))))</f>
        <v xml:space="preserve">HUMANIZACION EN EL SERVICIO DE LA SALUD Y BUENAS PRACTICAS EN PACIENTE </v>
      </c>
      <c r="V147" s="47" t="str">
        <f t="shared" si="9"/>
        <v>Catherin Paola Mora Arevalo</v>
      </c>
      <c r="W147" s="47" t="str">
        <f t="shared" si="10"/>
        <v>Catherin Paola Mora Arevalo</v>
      </c>
      <c r="X147" s="47" t="str">
        <f t="shared" si="11"/>
        <v>Catherin Paola Mora Arevalo-1085327574-HUMANIZACION</v>
      </c>
      <c r="Y147" s="65"/>
    </row>
    <row r="148" spans="1:25" x14ac:dyDescent="0.2">
      <c r="A148" s="46">
        <v>147</v>
      </c>
      <c r="B148" s="54">
        <v>1087207090</v>
      </c>
      <c r="C148" s="54" t="s">
        <v>112</v>
      </c>
      <c r="D148" s="54" t="s">
        <v>366</v>
      </c>
      <c r="E148" s="54" t="s">
        <v>131</v>
      </c>
      <c r="F148" s="54" t="s">
        <v>367</v>
      </c>
      <c r="G148" s="54">
        <v>18</v>
      </c>
      <c r="H148" s="54" t="s">
        <v>100</v>
      </c>
      <c r="I148" s="55" t="s">
        <v>146</v>
      </c>
      <c r="J148" s="56">
        <v>45614</v>
      </c>
      <c r="K148" s="108">
        <v>50000</v>
      </c>
      <c r="L148" s="54" t="s">
        <v>139</v>
      </c>
      <c r="M148" s="54" t="s">
        <v>80</v>
      </c>
      <c r="N148" s="54" t="s">
        <v>186</v>
      </c>
      <c r="O148" s="43" t="s">
        <v>26</v>
      </c>
      <c r="P148" s="55">
        <v>35420</v>
      </c>
      <c r="Q148" s="54" t="s">
        <v>89</v>
      </c>
      <c r="R148" s="54" t="s">
        <v>189</v>
      </c>
      <c r="S148" s="57"/>
      <c r="T148" s="54"/>
      <c r="U148" s="47" t="str">
        <f>IF(O148=CURSOS!$D$3,"DIPLOMADO EN ATENCION PRE-HOSPITALARIA",IF(O148=CURSOS!$D$4,"ACOMPAÑAMIENTO Y MANEJO DEL DUELO",IF(O148=CURSOS!$D$5,"ATENCION A VICTIMAS DE ATAQUE CON AGENTES QUIMICOS ",IF(O148=CURSOS!$D$6,"PRIMEROS AUXILIOS ",IF(O148=CURSOS!$D$7,"DIPLOMADO DE UNIDAD DE CUIDADOS INTENSIVOS (UCI)",IF(O148=CURSOS!$D$8,"MODELO DE ATENCION PARA EVENTOS EMERGENTES EN SALUD MENTAL (CODIGO VERDE)",IF(O148=CURSOS!$D$9,"HUMANIZACION EN EL SERVICIO DE LA SALUD Y BUENAS PRACTICAS EN PACIENTE ",IF(O148=CURSOS!$D$10,"CLINICA DE HERIDAS ",IF(O148=CURSOS!$D$11,"TOMA DE CITOLOGIA CERVICO VAGINAL ",IF(O148=CURSOS!$D$12,"SOPORTE CARDIOVASCULAR AVANZADO (ACLS) ",IF(O148=CURSOS!$D$13,"CAMILLERO ",IF(O148=CURSOS!$D$14,"TOMA DE MUESTRAS Y LABORATORIO ",IF(O148=CURSOS!$D$15,"SOPORTE VITAL BASICO (BLS)",IF(O148=CURSOS!$D$16,"ATENCION A VICTIMAS DE VIOLENCIA SEXUAL ",IF(O148=CURSOS!$D$17,"PROGRAMADO AMPLIADO DE INMUNIZACION (PAI - COVID 19)",IF(O148=CURSOS!$D$18,"ATENCION INTEGRAL EN ENFERMEDADES PREVALENTES EN PRIMERA INFANCIA (AIEPI)",IF(O148=CURSOS!$D$19,"ADMINISTRACION DE MEDICAMENTOS, INYECTOLOGIA  Y CANALIZACION ",IF(O148=CURSOS!$D$20,"OPERADOR DE VEHICULOS DE EMERGENCIA (OVE)",IF(O148=CURSOS!$D$21,"INSTITUCIONES AMIGAS DE LA MUJER Y LA INFANCIA (IAMI)",IF(O148=CURSOS!$D$22,"CUIDADO DEL DONANTE DE ORGANOS",IF(O148=CURSOS!$D$23,"ATENCION A VICTIMAS POR VIOLENCIA DE GENERO",IF(O148=CURSOS!$D$24,"IGUALDAD DE GENERO EN LA SALUD",IF(O148=CURSOS!$D$25,"BRIGADA DE EMERGENCIA",IF(O148=CURSOS!$D$26,"MANEJO DEL DOLOR Y CUIDADOS PALIATIVOS",IF(O148=CURSOS!$D$27,"TOMA DE MUESTRAS Y LABORATORIO POCT",IF(O148=CURSOS!$D$28,"IMPLANTE SUBDERMICO DE DISPOSITIVO INTRAUTERINO",IF(O148=CURSOS!$D$29,"SALUD MENTAL",IF(O148=CURSOS!$D$30,"PRIMEROS AUXILIOS PSICOLOGICOS",IF(O148=CURSOS!$D$31,"ATENCION A VICTIMAS POR CONFLICTO ARMADO",IF(O148=CURSOS!$D$32,"MANIPULACION DE ALIMENTOS Y BPM",IF(O148=CURSOS!$D$33,"ATENCION A PERSONAS CON DISCAPACIDAD",IF(O148=CURSOS!$D$34,"CUIDADO INTEGRAL DEL PACIENTE ADULTO",IF(O148=CURSOS!$D$35,"MANEJO DEFENSIVO",IF(O148=CURSOS!$D$36,"SOPORTE CARDIOVASCULAR AVANZADO NEONATAL",IF(O148=CURSOS!$D$37,"SEGURIDAD DEL PACIENTE",IF(O148=CURSOS!$D$38,"MANEJO DE RESIDUOS HOSPITALARIOS"))))))))))))))))))))))))))))))))))))</f>
        <v xml:space="preserve">PRIMEROS AUXILIOS </v>
      </c>
      <c r="V148" s="47" t="str">
        <f t="shared" si="9"/>
        <v>Karol Gineth Rodriguez Paz</v>
      </c>
      <c r="W148" s="47" t="str">
        <f t="shared" si="10"/>
        <v>Karol Gineth Rodriguez Paz</v>
      </c>
      <c r="X148" s="47" t="str">
        <f t="shared" si="11"/>
        <v>Karol Gineth Rodriguez Paz-1087207090-PRIMEROS AUXILIOS</v>
      </c>
    </row>
    <row r="149" spans="1:25" x14ac:dyDescent="0.2">
      <c r="A149" s="46">
        <v>148</v>
      </c>
      <c r="B149" s="54">
        <v>87454773</v>
      </c>
      <c r="C149" s="54" t="s">
        <v>109</v>
      </c>
      <c r="D149" s="54" t="s">
        <v>368</v>
      </c>
      <c r="E149" s="54" t="s">
        <v>369</v>
      </c>
      <c r="F149" s="54"/>
      <c r="G149" s="54">
        <v>16</v>
      </c>
      <c r="H149" s="54" t="s">
        <v>100</v>
      </c>
      <c r="I149" s="55" t="s">
        <v>146</v>
      </c>
      <c r="J149" s="56">
        <v>45616</v>
      </c>
      <c r="K149" s="108">
        <v>80000</v>
      </c>
      <c r="L149" s="54" t="s">
        <v>235</v>
      </c>
      <c r="M149" s="54" t="s">
        <v>80</v>
      </c>
      <c r="N149" s="54" t="s">
        <v>159</v>
      </c>
      <c r="O149" s="43" t="s">
        <v>37</v>
      </c>
      <c r="P149" s="55">
        <v>29694</v>
      </c>
      <c r="Q149" s="54" t="s">
        <v>148</v>
      </c>
      <c r="R149" s="82" t="s">
        <v>285</v>
      </c>
      <c r="S149" s="57">
        <v>3225303112</v>
      </c>
      <c r="T149" s="54" t="s">
        <v>370</v>
      </c>
      <c r="U149" s="47" t="str">
        <f>IF(O149=CURSOS!$D$3,"DIPLOMADO EN ATENCION PRE-HOSPITALARIA",IF(O149=CURSOS!$D$4,"ACOMPAÑAMIENTO Y MANEJO DEL DUELO",IF(O149=CURSOS!$D$5,"ATENCION A VICTIMAS DE ATAQUE CON AGENTES QUIMICOS ",IF(O149=CURSOS!$D$6,"PRIMEROS AUXILIOS ",IF(O149=CURSOS!$D$7,"DIPLOMADO DE UNIDAD DE CUIDADOS INTENSIVOS (UCI)",IF(O149=CURSOS!$D$8,"MODELO DE ATENCION PARA EVENTOS EMERGENTES EN SALUD MENTAL (CODIGO VERDE)",IF(O149=CURSOS!$D$9,"HUMANIZACION EN EL SERVICIO DE LA SALUD Y BUENAS PRACTICAS EN PACIENTE ",IF(O149=CURSOS!$D$10,"CLINICA DE HERIDAS ",IF(O149=CURSOS!$D$11,"TOMA DE CITOLOGIA CERVICO VAGINAL ",IF(O149=CURSOS!$D$12,"SOPORTE CARDIOVASCULAR AVANZADO (ACLS) ",IF(O149=CURSOS!$D$13,"CAMILLERO ",IF(O149=CURSOS!$D$14,"TOMA DE MUESTRAS Y LABORATORIO ",IF(O149=CURSOS!$D$15,"SOPORTE VITAL BASICO (BLS)",IF(O149=CURSOS!$D$16,"ATENCION A VICTIMAS DE VIOLENCIA SEXUAL ",IF(O149=CURSOS!$D$17,"PROGRAMADO AMPLIADO DE INMUNIZACION (PAI - COVID 19)",IF(O149=CURSOS!$D$18,"ATENCION INTEGRAL EN ENFERMEDADES PREVALENTES EN PRIMERA INFANCIA (AIEPI)",IF(O149=CURSOS!$D$19,"ADMINISTRACION DE MEDICAMENTOS, INYECTOLOGIA  Y CANALIZACION ",IF(O149=CURSOS!$D$20,"OPERADOR DE VEHICULOS DE EMERGENCIA (OVE)",IF(O149=CURSOS!$D$21,"INSTITUCIONES AMIGAS DE LA MUJER Y LA INFANCIA (IAMI)",IF(O149=CURSOS!$D$22,"CUIDADO DEL DONANTE DE ORGANOS",IF(O149=CURSOS!$D$23,"ATENCION A VICTIMAS POR VIOLENCIA DE GENERO",IF(O149=CURSOS!$D$24,"IGUALDAD DE GENERO EN LA SALUD",IF(O149=CURSOS!$D$25,"BRIGADA DE EMERGENCIA",IF(O149=CURSOS!$D$26,"MANEJO DEL DOLOR Y CUIDADOS PALIATIVOS",IF(O149=CURSOS!$D$27,"TOMA DE MUESTRAS Y LABORATORIO POCT",IF(O149=CURSOS!$D$28,"IMPLANTE SUBDERMICO DE DISPOSITIVO INTRAUTERINO",IF(O149=CURSOS!$D$29,"SALUD MENTAL",IF(O149=CURSOS!$D$30,"PRIMEROS AUXILIOS PSICOLOGICOS",IF(O149=CURSOS!$D$31,"ATENCION A VICTIMAS POR CONFLICTO ARMADO",IF(O149=CURSOS!$D$32,"MANIPULACION DE ALIMENTOS Y BPM",IF(O149=CURSOS!$D$33,"ATENCION A PERSONAS CON DISCAPACIDAD",IF(O149=CURSOS!$D$34,"CUIDADO INTEGRAL DEL PACIENTE ADULTO",IF(O149=CURSOS!$D$35,"MANEJO DEFENSIVO",IF(O149=CURSOS!$D$36,"SOPORTE CARDIOVASCULAR AVANZADO NEONATAL",IF(O149=CURSOS!$D$37,"SEGURIDAD DEL PACIENTE",IF(O149=CURSOS!$D$38,"MANEJO DE RESIDUOS HOSPITALARIOS"))))))))))))))))))))))))))))))))))))</f>
        <v xml:space="preserve">SOPORTE CARDIOVASCULAR AVANZADO (ACLS) </v>
      </c>
      <c r="V149" s="47" t="str">
        <f t="shared" si="9"/>
        <v>Deivit  Acosta Pabón</v>
      </c>
      <c r="W149" s="47" t="str">
        <f t="shared" si="10"/>
        <v>Deivit  Acosta Pabón</v>
      </c>
      <c r="X149" s="47" t="str">
        <f t="shared" si="11"/>
        <v>Deivit  Acosta Pabón-87454773-ACLS</v>
      </c>
    </row>
    <row r="150" spans="1:25" x14ac:dyDescent="0.2">
      <c r="A150" s="46">
        <v>149</v>
      </c>
      <c r="B150" s="54">
        <v>87454773</v>
      </c>
      <c r="C150" s="54" t="s">
        <v>109</v>
      </c>
      <c r="D150" s="54" t="s">
        <v>368</v>
      </c>
      <c r="E150" s="54" t="s">
        <v>369</v>
      </c>
      <c r="F150" s="54"/>
      <c r="G150" s="54">
        <v>13</v>
      </c>
      <c r="H150" s="54" t="s">
        <v>100</v>
      </c>
      <c r="I150" s="55" t="s">
        <v>146</v>
      </c>
      <c r="J150" s="56">
        <v>45616</v>
      </c>
      <c r="K150" s="108">
        <v>28000</v>
      </c>
      <c r="L150" s="54" t="s">
        <v>235</v>
      </c>
      <c r="M150" s="54" t="s">
        <v>80</v>
      </c>
      <c r="N150" s="54" t="s">
        <v>159</v>
      </c>
      <c r="O150" s="43" t="s">
        <v>42</v>
      </c>
      <c r="P150" s="55">
        <v>29694</v>
      </c>
      <c r="Q150" s="54" t="s">
        <v>148</v>
      </c>
      <c r="R150" s="82" t="s">
        <v>285</v>
      </c>
      <c r="S150" s="57">
        <v>3225303112</v>
      </c>
      <c r="T150" s="54" t="s">
        <v>370</v>
      </c>
      <c r="U150" s="47" t="str">
        <f>IF(O150=CURSOS!$D$3,"DIPLOMADO EN ATENCION PRE-HOSPITALARIA",IF(O150=CURSOS!$D$4,"ACOMPAÑAMIENTO Y MANEJO DEL DUELO",IF(O150=CURSOS!$D$5,"ATENCION A VICTIMAS DE ATAQUE CON AGENTES QUIMICOS ",IF(O150=CURSOS!$D$6,"PRIMEROS AUXILIOS ",IF(O150=CURSOS!$D$7,"DIPLOMADO DE UNIDAD DE CUIDADOS INTENSIVOS (UCI)",IF(O150=CURSOS!$D$8,"MODELO DE ATENCION PARA EVENTOS EMERGENTES EN SALUD MENTAL (CODIGO VERDE)",IF(O150=CURSOS!$D$9,"HUMANIZACION EN EL SERVICIO DE LA SALUD Y BUENAS PRACTICAS EN PACIENTE ",IF(O150=CURSOS!$D$10,"CLINICA DE HERIDAS ",IF(O150=CURSOS!$D$11,"TOMA DE CITOLOGIA CERVICO VAGINAL ",IF(O150=CURSOS!$D$12,"SOPORTE CARDIOVASCULAR AVANZADO (ACLS) ",IF(O150=CURSOS!$D$13,"CAMILLERO ",IF(O150=CURSOS!$D$14,"TOMA DE MUESTRAS Y LABORATORIO ",IF(O150=CURSOS!$D$15,"SOPORTE VITAL BASICO (BLS)",IF(O150=CURSOS!$D$16,"ATENCION A VICTIMAS DE VIOLENCIA SEXUAL ",IF(O150=CURSOS!$D$17,"PROGRAMADO AMPLIADO DE INMUNIZACION (PAI - COVID 19)",IF(O150=CURSOS!$D$18,"ATENCION INTEGRAL EN ENFERMEDADES PREVALENTES EN PRIMERA INFANCIA (AIEPI)",IF(O150=CURSOS!$D$19,"ADMINISTRACION DE MEDICAMENTOS, INYECTOLOGIA  Y CANALIZACION ",IF(O150=CURSOS!$D$20,"OPERADOR DE VEHICULOS DE EMERGENCIA (OVE)",IF(O150=CURSOS!$D$21,"INSTITUCIONES AMIGAS DE LA MUJER Y LA INFANCIA (IAMI)",IF(O150=CURSOS!$D$22,"CUIDADO DEL DONANTE DE ORGANOS",IF(O150=CURSOS!$D$23,"ATENCION A VICTIMAS POR VIOLENCIA DE GENERO",IF(O150=CURSOS!$D$24,"IGUALDAD DE GENERO EN LA SALUD",IF(O150=CURSOS!$D$25,"BRIGADA DE EMERGENCIA",IF(O150=CURSOS!$D$26,"MANEJO DEL DOLOR Y CUIDADOS PALIATIVOS",IF(O150=CURSOS!$D$27,"TOMA DE MUESTRAS Y LABORATORIO POCT",IF(O150=CURSOS!$D$28,"IMPLANTE SUBDERMICO DE DISPOSITIVO INTRAUTERINO",IF(O150=CURSOS!$D$29,"SALUD MENTAL",IF(O150=CURSOS!$D$30,"PRIMEROS AUXILIOS PSICOLOGICOS",IF(O150=CURSOS!$D$31,"ATENCION A VICTIMAS POR CONFLICTO ARMADO",IF(O150=CURSOS!$D$32,"MANIPULACION DE ALIMENTOS Y BPM",IF(O150=CURSOS!$D$33,"ATENCION A PERSONAS CON DISCAPACIDAD",IF(O150=CURSOS!$D$34,"CUIDADO INTEGRAL DEL PACIENTE ADULTO",IF(O150=CURSOS!$D$35,"MANEJO DEFENSIVO",IF(O150=CURSOS!$D$36,"SOPORTE CARDIOVASCULAR AVANZADO NEONATAL",IF(O150=CURSOS!$D$37,"SEGURIDAD DEL PACIENTE",IF(O150=CURSOS!$D$38,"MANEJO DE RESIDUOS HOSPITALARIOS"))))))))))))))))))))))))))))))))))))</f>
        <v xml:space="preserve">ATENCION A VICTIMAS DE VIOLENCIA SEXUAL </v>
      </c>
      <c r="V150" s="47" t="str">
        <f t="shared" si="9"/>
        <v>Deivit  Acosta Pabón</v>
      </c>
      <c r="W150" s="47" t="str">
        <f t="shared" si="10"/>
        <v>Deivit  Acosta Pabón</v>
      </c>
      <c r="X150" s="47" t="str">
        <f t="shared" si="11"/>
        <v>Deivit  Acosta Pabón-87454773-VIOLENCIA SEXUAL</v>
      </c>
    </row>
    <row r="151" spans="1:25" x14ac:dyDescent="0.2">
      <c r="A151" s="46">
        <v>150</v>
      </c>
      <c r="B151" s="54">
        <v>87454773</v>
      </c>
      <c r="C151" s="54" t="s">
        <v>109</v>
      </c>
      <c r="D151" s="54" t="s">
        <v>368</v>
      </c>
      <c r="E151" s="54" t="s">
        <v>369</v>
      </c>
      <c r="F151" s="54"/>
      <c r="G151" s="54">
        <v>12</v>
      </c>
      <c r="H151" s="54" t="s">
        <v>100</v>
      </c>
      <c r="I151" s="55" t="s">
        <v>146</v>
      </c>
      <c r="J151" s="56">
        <v>45616</v>
      </c>
      <c r="K151" s="108">
        <v>28000</v>
      </c>
      <c r="L151" s="54" t="s">
        <v>235</v>
      </c>
      <c r="M151" s="54" t="s">
        <v>80</v>
      </c>
      <c r="N151" s="54" t="s">
        <v>159</v>
      </c>
      <c r="O151" s="43" t="s">
        <v>25</v>
      </c>
      <c r="P151" s="55">
        <v>29694</v>
      </c>
      <c r="Q151" s="54" t="s">
        <v>148</v>
      </c>
      <c r="R151" s="82" t="s">
        <v>285</v>
      </c>
      <c r="S151" s="57">
        <v>3225303112</v>
      </c>
      <c r="T151" s="54" t="s">
        <v>370</v>
      </c>
      <c r="U151" s="47" t="str">
        <f>IF(O151=CURSOS!$D$3,"DIPLOMADO EN ATENCION PRE-HOSPITALARIA",IF(O151=CURSOS!$D$4,"ACOMPAÑAMIENTO Y MANEJO DEL DUELO",IF(O151=CURSOS!$D$5,"ATENCION A VICTIMAS DE ATAQUE CON AGENTES QUIMICOS ",IF(O151=CURSOS!$D$6,"PRIMEROS AUXILIOS ",IF(O151=CURSOS!$D$7,"DIPLOMADO DE UNIDAD DE CUIDADOS INTENSIVOS (UCI)",IF(O151=CURSOS!$D$8,"MODELO DE ATENCION PARA EVENTOS EMERGENTES EN SALUD MENTAL (CODIGO VERDE)",IF(O151=CURSOS!$D$9,"HUMANIZACION EN EL SERVICIO DE LA SALUD Y BUENAS PRACTICAS EN PACIENTE ",IF(O151=CURSOS!$D$10,"CLINICA DE HERIDAS ",IF(O151=CURSOS!$D$11,"TOMA DE CITOLOGIA CERVICO VAGINAL ",IF(O151=CURSOS!$D$12,"SOPORTE CARDIOVASCULAR AVANZADO (ACLS) ",IF(O151=CURSOS!$D$13,"CAMILLERO ",IF(O151=CURSOS!$D$14,"TOMA DE MUESTRAS Y LABORATORIO ",IF(O151=CURSOS!$D$15,"SOPORTE VITAL BASICO (BLS)",IF(O151=CURSOS!$D$16,"ATENCION A VICTIMAS DE VIOLENCIA SEXUAL ",IF(O151=CURSOS!$D$17,"PROGRAMADO AMPLIADO DE INMUNIZACION (PAI - COVID 19)",IF(O151=CURSOS!$D$18,"ATENCION INTEGRAL EN ENFERMEDADES PREVALENTES EN PRIMERA INFANCIA (AIEPI)",IF(O151=CURSOS!$D$19,"ADMINISTRACION DE MEDICAMENTOS, INYECTOLOGIA  Y CANALIZACION ",IF(O151=CURSOS!$D$20,"OPERADOR DE VEHICULOS DE EMERGENCIA (OVE)",IF(O151=CURSOS!$D$21,"INSTITUCIONES AMIGAS DE LA MUJER Y LA INFANCIA (IAMI)",IF(O151=CURSOS!$D$22,"CUIDADO DEL DONANTE DE ORGANOS",IF(O151=CURSOS!$D$23,"ATENCION A VICTIMAS POR VIOLENCIA DE GENERO",IF(O151=CURSOS!$D$24,"IGUALDAD DE GENERO EN LA SALUD",IF(O151=CURSOS!$D$25,"BRIGADA DE EMERGENCIA",IF(O151=CURSOS!$D$26,"MANEJO DEL DOLOR Y CUIDADOS PALIATIVOS",IF(O151=CURSOS!$D$27,"TOMA DE MUESTRAS Y LABORATORIO POCT",IF(O151=CURSOS!$D$28,"IMPLANTE SUBDERMICO DE DISPOSITIVO INTRAUTERINO",IF(O151=CURSOS!$D$29,"SALUD MENTAL",IF(O151=CURSOS!$D$30,"PRIMEROS AUXILIOS PSICOLOGICOS",IF(O151=CURSOS!$D$31,"ATENCION A VICTIMAS POR CONFLICTO ARMADO",IF(O151=CURSOS!$D$32,"MANIPULACION DE ALIMENTOS Y BPM",IF(O151=CURSOS!$D$33,"ATENCION A PERSONAS CON DISCAPACIDAD",IF(O151=CURSOS!$D$34,"CUIDADO INTEGRAL DEL PACIENTE ADULTO",IF(O151=CURSOS!$D$35,"MANEJO DEFENSIVO",IF(O151=CURSOS!$D$36,"SOPORTE CARDIOVASCULAR AVANZADO NEONATAL",IF(O151=CURSOS!$D$37,"SEGURIDAD DEL PACIENTE",IF(O151=CURSOS!$D$38,"MANEJO DE RESIDUOS HOSPITALARIOS"))))))))))))))))))))))))))))))))))))</f>
        <v xml:space="preserve">ATENCION A VICTIMAS DE ATAQUE CON AGENTES QUIMICOS </v>
      </c>
      <c r="V151" s="47" t="str">
        <f t="shared" si="9"/>
        <v>Deivit  Acosta Pabón</v>
      </c>
      <c r="W151" s="47" t="str">
        <f t="shared" si="10"/>
        <v>Deivit  Acosta Pabón</v>
      </c>
      <c r="X151" s="47" t="str">
        <f t="shared" si="11"/>
        <v>Deivit  Acosta Pabón-87454773-QUIMICOS</v>
      </c>
    </row>
    <row r="152" spans="1:25" x14ac:dyDescent="0.2">
      <c r="A152" s="46">
        <v>151</v>
      </c>
      <c r="B152" s="54">
        <v>87454773</v>
      </c>
      <c r="C152" s="54" t="s">
        <v>109</v>
      </c>
      <c r="D152" s="54" t="s">
        <v>368</v>
      </c>
      <c r="E152" s="54" t="s">
        <v>369</v>
      </c>
      <c r="F152" s="54"/>
      <c r="G152" s="54">
        <v>15</v>
      </c>
      <c r="H152" s="54" t="s">
        <v>100</v>
      </c>
      <c r="I152" s="55" t="s">
        <v>146</v>
      </c>
      <c r="J152" s="56">
        <v>45616</v>
      </c>
      <c r="K152" s="108">
        <v>28000</v>
      </c>
      <c r="L152" s="54" t="s">
        <v>235</v>
      </c>
      <c r="M152" s="54" t="s">
        <v>80</v>
      </c>
      <c r="N152" s="54" t="s">
        <v>159</v>
      </c>
      <c r="O152" s="43" t="s">
        <v>44</v>
      </c>
      <c r="P152" s="55">
        <v>29694</v>
      </c>
      <c r="Q152" s="54" t="s">
        <v>148</v>
      </c>
      <c r="R152" s="82" t="s">
        <v>285</v>
      </c>
      <c r="S152" s="57">
        <v>3225303112</v>
      </c>
      <c r="T152" s="54" t="s">
        <v>370</v>
      </c>
      <c r="U152" s="47" t="str">
        <f>IF(O152=CURSOS!$D$3,"DIPLOMADO EN ATENCION PRE-HOSPITALARIA",IF(O152=CURSOS!$D$4,"ACOMPAÑAMIENTO Y MANEJO DEL DUELO",IF(O152=CURSOS!$D$5,"ATENCION A VICTIMAS DE ATAQUE CON AGENTES QUIMICOS ",IF(O152=CURSOS!$D$6,"PRIMEROS AUXILIOS ",IF(O152=CURSOS!$D$7,"DIPLOMADO DE UNIDAD DE CUIDADOS INTENSIVOS (UCI)",IF(O152=CURSOS!$D$8,"MODELO DE ATENCION PARA EVENTOS EMERGENTES EN SALUD MENTAL (CODIGO VERDE)",IF(O152=CURSOS!$D$9,"HUMANIZACION EN EL SERVICIO DE LA SALUD Y BUENAS PRACTICAS EN PACIENTE ",IF(O152=CURSOS!$D$10,"CLINICA DE HERIDAS ",IF(O152=CURSOS!$D$11,"TOMA DE CITOLOGIA CERVICO VAGINAL ",IF(O152=CURSOS!$D$12,"SOPORTE CARDIOVASCULAR AVANZADO (ACLS) ",IF(O152=CURSOS!$D$13,"CAMILLERO ",IF(O152=CURSOS!$D$14,"TOMA DE MUESTRAS Y LABORATORIO ",IF(O152=CURSOS!$D$15,"SOPORTE VITAL BASICO (BLS)",IF(O152=CURSOS!$D$16,"ATENCION A VICTIMAS DE VIOLENCIA SEXUAL ",IF(O152=CURSOS!$D$17,"PROGRAMADO AMPLIADO DE INMUNIZACION (PAI - COVID 19)",IF(O152=CURSOS!$D$18,"ATENCION INTEGRAL EN ENFERMEDADES PREVALENTES EN PRIMERA INFANCIA (AIEPI)",IF(O152=CURSOS!$D$19,"ADMINISTRACION DE MEDICAMENTOS, INYECTOLOGIA  Y CANALIZACION ",IF(O152=CURSOS!$D$20,"OPERADOR DE VEHICULOS DE EMERGENCIA (OVE)",IF(O152=CURSOS!$D$21,"INSTITUCIONES AMIGAS DE LA MUJER Y LA INFANCIA (IAMI)",IF(O152=CURSOS!$D$22,"CUIDADO DEL DONANTE DE ORGANOS",IF(O152=CURSOS!$D$23,"ATENCION A VICTIMAS POR VIOLENCIA DE GENERO",IF(O152=CURSOS!$D$24,"IGUALDAD DE GENERO EN LA SALUD",IF(O152=CURSOS!$D$25,"BRIGADA DE EMERGENCIA",IF(O152=CURSOS!$D$26,"MANEJO DEL DOLOR Y CUIDADOS PALIATIVOS",IF(O152=CURSOS!$D$27,"TOMA DE MUESTRAS Y LABORATORIO POCT",IF(O152=CURSOS!$D$28,"IMPLANTE SUBDERMICO DE DISPOSITIVO INTRAUTERINO",IF(O152=CURSOS!$D$29,"SALUD MENTAL",IF(O152=CURSOS!$D$30,"PRIMEROS AUXILIOS PSICOLOGICOS",IF(O152=CURSOS!$D$31,"ATENCION A VICTIMAS POR CONFLICTO ARMADO",IF(O152=CURSOS!$D$32,"MANIPULACION DE ALIMENTOS Y BPM",IF(O152=CURSOS!$D$33,"ATENCION A PERSONAS CON DISCAPACIDAD",IF(O152=CURSOS!$D$34,"CUIDADO INTEGRAL DEL PACIENTE ADULTO",IF(O152=CURSOS!$D$35,"MANEJO DEFENSIVO",IF(O152=CURSOS!$D$36,"SOPORTE CARDIOVASCULAR AVANZADO NEONATAL",IF(O152=CURSOS!$D$37,"SEGURIDAD DEL PACIENTE",IF(O152=CURSOS!$D$38,"MANEJO DE RESIDUOS HOSPITALARIOS"))))))))))))))))))))))))))))))))))))</f>
        <v>ATENCION INTEGRAL EN ENFERMEDADES PREVALENTES EN PRIMERA INFANCIA (AIEPI)</v>
      </c>
      <c r="V152" s="47" t="str">
        <f t="shared" si="9"/>
        <v>Deivit  Acosta Pabón</v>
      </c>
      <c r="W152" s="47" t="str">
        <f t="shared" si="10"/>
        <v>Deivit  Acosta Pabón</v>
      </c>
      <c r="X152" s="47" t="str">
        <f t="shared" si="11"/>
        <v>Deivit  Acosta Pabón-87454773-AIEPI</v>
      </c>
    </row>
    <row r="153" spans="1:25" x14ac:dyDescent="0.2">
      <c r="A153" s="46">
        <v>152</v>
      </c>
      <c r="B153" s="54">
        <v>87454773</v>
      </c>
      <c r="C153" s="54" t="s">
        <v>109</v>
      </c>
      <c r="D153" s="54" t="s">
        <v>368</v>
      </c>
      <c r="E153" s="54" t="s">
        <v>369</v>
      </c>
      <c r="F153" s="54"/>
      <c r="G153" s="54">
        <v>18</v>
      </c>
      <c r="H153" s="54" t="s">
        <v>100</v>
      </c>
      <c r="I153" s="55" t="s">
        <v>146</v>
      </c>
      <c r="J153" s="56">
        <v>45616</v>
      </c>
      <c r="K153" s="108">
        <v>28000</v>
      </c>
      <c r="L153" s="54" t="s">
        <v>235</v>
      </c>
      <c r="M153" s="54" t="s">
        <v>80</v>
      </c>
      <c r="N153" s="54" t="s">
        <v>159</v>
      </c>
      <c r="O153" s="43" t="s">
        <v>23</v>
      </c>
      <c r="P153" s="55">
        <v>29694</v>
      </c>
      <c r="Q153" s="54" t="s">
        <v>148</v>
      </c>
      <c r="R153" s="82" t="s">
        <v>285</v>
      </c>
      <c r="S153" s="57">
        <v>3225303112</v>
      </c>
      <c r="T153" s="54" t="s">
        <v>370</v>
      </c>
      <c r="U153" s="47" t="str">
        <f>IF(O153=CURSOS!$D$3,"DIPLOMADO EN ATENCION PRE-HOSPITALARIA",IF(O153=CURSOS!$D$4,"ACOMPAÑAMIENTO Y MANEJO DEL DUELO",IF(O153=CURSOS!$D$5,"ATENCION A VICTIMAS DE ATAQUE CON AGENTES QUIMICOS ",IF(O153=CURSOS!$D$6,"PRIMEROS AUXILIOS ",IF(O153=CURSOS!$D$7,"DIPLOMADO DE UNIDAD DE CUIDADOS INTENSIVOS (UCI)",IF(O153=CURSOS!$D$8,"MODELO DE ATENCION PARA EVENTOS EMERGENTES EN SALUD MENTAL (CODIGO VERDE)",IF(O153=CURSOS!$D$9,"HUMANIZACION EN EL SERVICIO DE LA SALUD Y BUENAS PRACTICAS EN PACIENTE ",IF(O153=CURSOS!$D$10,"CLINICA DE HERIDAS ",IF(O153=CURSOS!$D$11,"TOMA DE CITOLOGIA CERVICO VAGINAL ",IF(O153=CURSOS!$D$12,"SOPORTE CARDIOVASCULAR AVANZADO (ACLS) ",IF(O153=CURSOS!$D$13,"CAMILLERO ",IF(O153=CURSOS!$D$14,"TOMA DE MUESTRAS Y LABORATORIO ",IF(O153=CURSOS!$D$15,"SOPORTE VITAL BASICO (BLS)",IF(O153=CURSOS!$D$16,"ATENCION A VICTIMAS DE VIOLENCIA SEXUAL ",IF(O153=CURSOS!$D$17,"PROGRAMADO AMPLIADO DE INMUNIZACION (PAI - COVID 19)",IF(O153=CURSOS!$D$18,"ATENCION INTEGRAL EN ENFERMEDADES PREVALENTES EN PRIMERA INFANCIA (AIEPI)",IF(O153=CURSOS!$D$19,"ADMINISTRACION DE MEDICAMENTOS, INYECTOLOGIA  Y CANALIZACION ",IF(O153=CURSOS!$D$20,"OPERADOR DE VEHICULOS DE EMERGENCIA (OVE)",IF(O153=CURSOS!$D$21,"INSTITUCIONES AMIGAS DE LA MUJER Y LA INFANCIA (IAMI)",IF(O153=CURSOS!$D$22,"CUIDADO DEL DONANTE DE ORGANOS",IF(O153=CURSOS!$D$23,"ATENCION A VICTIMAS POR VIOLENCIA DE GENERO",IF(O153=CURSOS!$D$24,"IGUALDAD DE GENERO EN LA SALUD",IF(O153=CURSOS!$D$25,"BRIGADA DE EMERGENCIA",IF(O153=CURSOS!$D$26,"MANEJO DEL DOLOR Y CUIDADOS PALIATIVOS",IF(O153=CURSOS!$D$27,"TOMA DE MUESTRAS Y LABORATORIO POCT",IF(O153=CURSOS!$D$28,"IMPLANTE SUBDERMICO DE DISPOSITIVO INTRAUTERINO",IF(O153=CURSOS!$D$29,"SALUD MENTAL",IF(O153=CURSOS!$D$30,"PRIMEROS AUXILIOS PSICOLOGICOS",IF(O153=CURSOS!$D$31,"ATENCION A VICTIMAS POR CONFLICTO ARMADO",IF(O153=CURSOS!$D$32,"MANIPULACION DE ALIMENTOS Y BPM",IF(O153=CURSOS!$D$33,"ATENCION A PERSONAS CON DISCAPACIDAD",IF(O153=CURSOS!$D$34,"CUIDADO INTEGRAL DEL PACIENTE ADULTO",IF(O153=CURSOS!$D$35,"MANEJO DEFENSIVO",IF(O153=CURSOS!$D$36,"SOPORTE CARDIOVASCULAR AVANZADO NEONATAL",IF(O153=CURSOS!$D$37,"SEGURIDAD DEL PACIENTE",IF(O153=CURSOS!$D$38,"MANEJO DE RESIDUOS HOSPITALARIOS"))))))))))))))))))))))))))))))))))))</f>
        <v>ACOMPAÑAMIENTO Y MANEJO DEL DUELO</v>
      </c>
      <c r="V153" s="47" t="str">
        <f t="shared" si="9"/>
        <v>Deivit  Acosta Pabón</v>
      </c>
      <c r="W153" s="47" t="str">
        <f t="shared" si="10"/>
        <v>Deivit  Acosta Pabón</v>
      </c>
      <c r="X153" s="47" t="str">
        <f t="shared" si="11"/>
        <v>Deivit  Acosta Pabón-87454773-DUELO</v>
      </c>
    </row>
    <row r="154" spans="1:25" x14ac:dyDescent="0.2">
      <c r="A154" s="46">
        <v>153</v>
      </c>
      <c r="B154" s="54">
        <v>87454773</v>
      </c>
      <c r="C154" s="54" t="s">
        <v>109</v>
      </c>
      <c r="D154" s="54" t="s">
        <v>368</v>
      </c>
      <c r="E154" s="54" t="s">
        <v>369</v>
      </c>
      <c r="F154" s="54"/>
      <c r="G154" s="54">
        <v>12</v>
      </c>
      <c r="H154" s="54" t="s">
        <v>100</v>
      </c>
      <c r="I154" s="55" t="s">
        <v>146</v>
      </c>
      <c r="J154" s="56">
        <v>45616</v>
      </c>
      <c r="K154" s="110">
        <v>28000</v>
      </c>
      <c r="L154" s="54" t="s">
        <v>235</v>
      </c>
      <c r="M154" s="54" t="s">
        <v>80</v>
      </c>
      <c r="N154" s="54" t="s">
        <v>159</v>
      </c>
      <c r="O154" s="43" t="s">
        <v>32</v>
      </c>
      <c r="P154" s="55">
        <v>29694</v>
      </c>
      <c r="Q154" s="54" t="s">
        <v>148</v>
      </c>
      <c r="R154" s="82" t="s">
        <v>285</v>
      </c>
      <c r="S154" s="57">
        <v>3225303112</v>
      </c>
      <c r="T154" s="54" t="s">
        <v>370</v>
      </c>
      <c r="U154" s="47" t="str">
        <f>IF(O154=CURSOS!$D$3,"DIPLOMADO EN ATENCION PRE-HOSPITALARIA",IF(O154=CURSOS!$D$4,"ACOMPAÑAMIENTO Y MANEJO DEL DUELO",IF(O154=CURSOS!$D$5,"ATENCION A VICTIMAS DE ATAQUE CON AGENTES QUIMICOS ",IF(O154=CURSOS!$D$6,"PRIMEROS AUXILIOS ",IF(O154=CURSOS!$D$7,"DIPLOMADO DE UNIDAD DE CUIDADOS INTENSIVOS (UCI)",IF(O154=CURSOS!$D$8,"MODELO DE ATENCION PARA EVENTOS EMERGENTES EN SALUD MENTAL (CODIGO VERDE)",IF(O154=CURSOS!$D$9,"HUMANIZACION EN EL SERVICIO DE LA SALUD Y BUENAS PRACTICAS EN PACIENTE ",IF(O154=CURSOS!$D$10,"CLINICA DE HERIDAS ",IF(O154=CURSOS!$D$11,"TOMA DE CITOLOGIA CERVICO VAGINAL ",IF(O154=CURSOS!$D$12,"SOPORTE CARDIOVASCULAR AVANZADO (ACLS) ",IF(O154=CURSOS!$D$13,"CAMILLERO ",IF(O154=CURSOS!$D$14,"TOMA DE MUESTRAS Y LABORATORIO ",IF(O154=CURSOS!$D$15,"SOPORTE VITAL BASICO (BLS)",IF(O154=CURSOS!$D$16,"ATENCION A VICTIMAS DE VIOLENCIA SEXUAL ",IF(O154=CURSOS!$D$17,"PROGRAMADO AMPLIADO DE INMUNIZACION (PAI - COVID 19)",IF(O154=CURSOS!$D$18,"ATENCION INTEGRAL EN ENFERMEDADES PREVALENTES EN PRIMERA INFANCIA (AIEPI)",IF(O154=CURSOS!$D$19,"ADMINISTRACION DE MEDICAMENTOS, INYECTOLOGIA  Y CANALIZACION ",IF(O154=CURSOS!$D$20,"OPERADOR DE VEHICULOS DE EMERGENCIA (OVE)",IF(O154=CURSOS!$D$21,"INSTITUCIONES AMIGAS DE LA MUJER Y LA INFANCIA (IAMI)",IF(O154=CURSOS!$D$22,"CUIDADO DEL DONANTE DE ORGANOS",IF(O154=CURSOS!$D$23,"ATENCION A VICTIMAS POR VIOLENCIA DE GENERO",IF(O154=CURSOS!$D$24,"IGUALDAD DE GENERO EN LA SALUD",IF(O154=CURSOS!$D$25,"BRIGADA DE EMERGENCIA",IF(O154=CURSOS!$D$26,"MANEJO DEL DOLOR Y CUIDADOS PALIATIVOS",IF(O154=CURSOS!$D$27,"TOMA DE MUESTRAS Y LABORATORIO POCT",IF(O154=CURSOS!$D$28,"IMPLANTE SUBDERMICO DE DISPOSITIVO INTRAUTERINO",IF(O154=CURSOS!$D$29,"SALUD MENTAL",IF(O154=CURSOS!$D$30,"PRIMEROS AUXILIOS PSICOLOGICOS",IF(O154=CURSOS!$D$31,"ATENCION A VICTIMAS POR CONFLICTO ARMADO",IF(O154=CURSOS!$D$32,"MANIPULACION DE ALIMENTOS Y BPM",IF(O154=CURSOS!$D$33,"ATENCION A PERSONAS CON DISCAPACIDAD",IF(O154=CURSOS!$D$34,"CUIDADO INTEGRAL DEL PACIENTE ADULTO",IF(O154=CURSOS!$D$35,"MANEJO DEFENSIVO",IF(O154=CURSOS!$D$36,"SOPORTE CARDIOVASCULAR AVANZADO NEONATAL",IF(O154=CURSOS!$D$37,"SEGURIDAD DEL PACIENTE",IF(O154=CURSOS!$D$38,"MANEJO DE RESIDUOS HOSPITALARIOS"))))))))))))))))))))))))))))))))))))</f>
        <v xml:space="preserve">HUMANIZACION EN EL SERVICIO DE LA SALUD Y BUENAS PRACTICAS EN PACIENTE </v>
      </c>
      <c r="V154" s="47" t="str">
        <f t="shared" si="9"/>
        <v>Deivit  Acosta Pabón</v>
      </c>
      <c r="W154" s="47" t="str">
        <f t="shared" si="10"/>
        <v>Deivit  Acosta Pabón</v>
      </c>
      <c r="X154" s="47" t="str">
        <f t="shared" si="11"/>
        <v>Deivit  Acosta Pabón-87454773-HUMANIZACION</v>
      </c>
    </row>
    <row r="155" spans="1:25" x14ac:dyDescent="0.2">
      <c r="A155" s="46">
        <v>154</v>
      </c>
      <c r="B155" s="54">
        <v>87454773</v>
      </c>
      <c r="C155" s="54" t="s">
        <v>109</v>
      </c>
      <c r="D155" s="54" t="s">
        <v>368</v>
      </c>
      <c r="E155" s="54" t="s">
        <v>369</v>
      </c>
      <c r="F155" s="54"/>
      <c r="G155" s="54">
        <v>16</v>
      </c>
      <c r="H155" s="54" t="s">
        <v>100</v>
      </c>
      <c r="I155" s="55" t="s">
        <v>146</v>
      </c>
      <c r="J155" s="56">
        <v>45616</v>
      </c>
      <c r="K155" s="108">
        <v>20000</v>
      </c>
      <c r="L155" s="54" t="s">
        <v>235</v>
      </c>
      <c r="M155" s="54" t="s">
        <v>80</v>
      </c>
      <c r="N155" s="54" t="s">
        <v>159</v>
      </c>
      <c r="O155" s="43" t="s">
        <v>19</v>
      </c>
      <c r="P155" s="55">
        <v>29694</v>
      </c>
      <c r="Q155" s="54" t="s">
        <v>148</v>
      </c>
      <c r="R155" s="82" t="s">
        <v>285</v>
      </c>
      <c r="S155" s="57">
        <v>3225303112</v>
      </c>
      <c r="T155" s="54" t="s">
        <v>370</v>
      </c>
      <c r="U155" s="47" t="str">
        <f>IF(O155=CURSOS!$D$3,"DIPLOMADO EN ATENCION PRE-HOSPITALARIA",IF(O155=CURSOS!$D$4,"ACOMPAÑAMIENTO Y MANEJO DEL DUELO",IF(O155=CURSOS!$D$5,"ATENCION A VICTIMAS DE ATAQUE CON AGENTES QUIMICOS ",IF(O155=CURSOS!$D$6,"PRIMEROS AUXILIOS ",IF(O155=CURSOS!$D$7,"DIPLOMADO DE UNIDAD DE CUIDADOS INTENSIVOS (UCI)",IF(O155=CURSOS!$D$8,"MODELO DE ATENCION PARA EVENTOS EMERGENTES EN SALUD MENTAL (CODIGO VERDE)",IF(O155=CURSOS!$D$9,"HUMANIZACION EN EL SERVICIO DE LA SALUD Y BUENAS PRACTICAS EN PACIENTE ",IF(O155=CURSOS!$D$10,"CLINICA DE HERIDAS ",IF(O155=CURSOS!$D$11,"TOMA DE CITOLOGIA CERVICO VAGINAL ",IF(O155=CURSOS!$D$12,"SOPORTE CARDIOVASCULAR AVANZADO (ACLS) ",IF(O155=CURSOS!$D$13,"CAMILLERO ",IF(O155=CURSOS!$D$14,"TOMA DE MUESTRAS Y LABORATORIO ",IF(O155=CURSOS!$D$15,"SOPORTE VITAL BASICO (BLS)",IF(O155=CURSOS!$D$16,"ATENCION A VICTIMAS DE VIOLENCIA SEXUAL ",IF(O155=CURSOS!$D$17,"PROGRAMADO AMPLIADO DE INMUNIZACION (PAI - COVID 19)",IF(O155=CURSOS!$D$18,"ATENCION INTEGRAL EN ENFERMEDADES PREVALENTES EN PRIMERA INFANCIA (AIEPI)",IF(O155=CURSOS!$D$19,"ADMINISTRACION DE MEDICAMENTOS, INYECTOLOGIA  Y CANALIZACION ",IF(O155=CURSOS!$D$20,"OPERADOR DE VEHICULOS DE EMERGENCIA (OVE)",IF(O155=CURSOS!$D$21,"INSTITUCIONES AMIGAS DE LA MUJER Y LA INFANCIA (IAMI)",IF(O155=CURSOS!$D$22,"CUIDADO DEL DONANTE DE ORGANOS",IF(O155=CURSOS!$D$23,"ATENCION A VICTIMAS POR VIOLENCIA DE GENERO",IF(O155=CURSOS!$D$24,"IGUALDAD DE GENERO EN LA SALUD",IF(O155=CURSOS!$D$25,"BRIGADA DE EMERGENCIA",IF(O155=CURSOS!$D$26,"MANEJO DEL DOLOR Y CUIDADOS PALIATIVOS",IF(O155=CURSOS!$D$27,"TOMA DE MUESTRAS Y LABORATORIO POCT",IF(O155=CURSOS!$D$28,"IMPLANTE SUBDERMICO DE DISPOSITIVO INTRAUTERINO",IF(O155=CURSOS!$D$29,"SALUD MENTAL",IF(O155=CURSOS!$D$30,"PRIMEROS AUXILIOS PSICOLOGICOS",IF(O155=CURSOS!$D$31,"ATENCION A VICTIMAS POR CONFLICTO ARMADO",IF(O155=CURSOS!$D$32,"MANIPULACION DE ALIMENTOS Y BPM",IF(O155=CURSOS!$D$33,"ATENCION A PERSONAS CON DISCAPACIDAD",IF(O155=CURSOS!$D$34,"CUIDADO INTEGRAL DEL PACIENTE ADULTO",IF(O155=CURSOS!$D$35,"MANEJO DEFENSIVO",IF(O155=CURSOS!$D$36,"SOPORTE CARDIOVASCULAR AVANZADO NEONATAL",IF(O155=CURSOS!$D$37,"SEGURIDAD DEL PACIENTE",IF(O155=CURSOS!$D$38,"MANEJO DE RESIDUOS HOSPITALARIOS"))))))))))))))))))))))))))))))))))))</f>
        <v>SOPORTE VITAL BASICO (BLS)</v>
      </c>
      <c r="V155" s="47" t="str">
        <f t="shared" si="9"/>
        <v>Deivit  Acosta Pabón</v>
      </c>
      <c r="W155" s="47" t="str">
        <f t="shared" si="10"/>
        <v>Deivit  Acosta Pabón</v>
      </c>
      <c r="X155" s="47" t="str">
        <f t="shared" si="11"/>
        <v>Deivit  Acosta Pabón-87454773-BLS</v>
      </c>
    </row>
    <row r="156" spans="1:25" x14ac:dyDescent="0.2">
      <c r="A156" s="46">
        <v>155</v>
      </c>
      <c r="B156" s="54">
        <v>12998816</v>
      </c>
      <c r="C156" s="54" t="s">
        <v>371</v>
      </c>
      <c r="D156" s="54" t="s">
        <v>372</v>
      </c>
      <c r="E156" s="54" t="s">
        <v>373</v>
      </c>
      <c r="F156" s="54" t="s">
        <v>374</v>
      </c>
      <c r="G156" s="54">
        <v>18</v>
      </c>
      <c r="H156" s="54" t="s">
        <v>100</v>
      </c>
      <c r="I156" s="55" t="s">
        <v>146</v>
      </c>
      <c r="J156" s="56">
        <v>45614</v>
      </c>
      <c r="K156" s="108">
        <v>28000</v>
      </c>
      <c r="L156" s="54" t="s">
        <v>235</v>
      </c>
      <c r="M156" s="54" t="s">
        <v>80</v>
      </c>
      <c r="N156" s="54" t="s">
        <v>159</v>
      </c>
      <c r="O156" s="43" t="s">
        <v>26</v>
      </c>
      <c r="P156" s="55">
        <v>25646</v>
      </c>
      <c r="Q156" s="54" t="s">
        <v>148</v>
      </c>
      <c r="R156" s="54" t="s">
        <v>189</v>
      </c>
      <c r="S156" s="54"/>
      <c r="T156" s="54"/>
      <c r="U156" s="47" t="str">
        <f>IF(O156=CURSOS!$D$3,"DIPLOMADO EN ATENCION PRE-HOSPITALARIA",IF(O156=CURSOS!$D$4,"ACOMPAÑAMIENTO Y MANEJO DEL DUELO",IF(O156=CURSOS!$D$5,"ATENCION A VICTIMAS DE ATAQUE CON AGENTES QUIMICOS ",IF(O156=CURSOS!$D$6,"PRIMEROS AUXILIOS ",IF(O156=CURSOS!$D$7,"DIPLOMADO DE UNIDAD DE CUIDADOS INTENSIVOS (UCI)",IF(O156=CURSOS!$D$8,"MODELO DE ATENCION PARA EVENTOS EMERGENTES EN SALUD MENTAL (CODIGO VERDE)",IF(O156=CURSOS!$D$9,"HUMANIZACION EN EL SERVICIO DE LA SALUD Y BUENAS PRACTICAS EN PACIENTE ",IF(O156=CURSOS!$D$10,"CLINICA DE HERIDAS ",IF(O156=CURSOS!$D$11,"TOMA DE CITOLOGIA CERVICO VAGINAL ",IF(O156=CURSOS!$D$12,"SOPORTE CARDIOVASCULAR AVANZADO (ACLS) ",IF(O156=CURSOS!$D$13,"CAMILLERO ",IF(O156=CURSOS!$D$14,"TOMA DE MUESTRAS Y LABORATORIO ",IF(O156=CURSOS!$D$15,"SOPORTE VITAL BASICO (BLS)",IF(O156=CURSOS!$D$16,"ATENCION A VICTIMAS DE VIOLENCIA SEXUAL ",IF(O156=CURSOS!$D$17,"PROGRAMADO AMPLIADO DE INMUNIZACION (PAI - COVID 19)",IF(O156=CURSOS!$D$18,"ATENCION INTEGRAL EN ENFERMEDADES PREVALENTES EN PRIMERA INFANCIA (AIEPI)",IF(O156=CURSOS!$D$19,"ADMINISTRACION DE MEDICAMENTOS, INYECTOLOGIA  Y CANALIZACION ",IF(O156=CURSOS!$D$20,"OPERADOR DE VEHICULOS DE EMERGENCIA (OVE)",IF(O156=CURSOS!$D$21,"INSTITUCIONES AMIGAS DE LA MUJER Y LA INFANCIA (IAMI)",IF(O156=CURSOS!$D$22,"CUIDADO DEL DONANTE DE ORGANOS",IF(O156=CURSOS!$D$23,"ATENCION A VICTIMAS POR VIOLENCIA DE GENERO",IF(O156=CURSOS!$D$24,"IGUALDAD DE GENERO EN LA SALUD",IF(O156=CURSOS!$D$25,"BRIGADA DE EMERGENCIA",IF(O156=CURSOS!$D$26,"MANEJO DEL DOLOR Y CUIDADOS PALIATIVOS",IF(O156=CURSOS!$D$27,"TOMA DE MUESTRAS Y LABORATORIO POCT",IF(O156=CURSOS!$D$28,"IMPLANTE SUBDERMICO DE DISPOSITIVO INTRAUTERINO",IF(O156=CURSOS!$D$29,"SALUD MENTAL",IF(O156=CURSOS!$D$30,"PRIMEROS AUXILIOS PSICOLOGICOS",IF(O156=CURSOS!$D$31,"ATENCION A VICTIMAS POR CONFLICTO ARMADO",IF(O156=CURSOS!$D$32,"MANIPULACION DE ALIMENTOS Y BPM",IF(O156=CURSOS!$D$33,"ATENCION A PERSONAS CON DISCAPACIDAD",IF(O156=CURSOS!$D$34,"CUIDADO INTEGRAL DEL PACIENTE ADULTO",IF(O156=CURSOS!$D$35,"MANEJO DEFENSIVO",IF(O156=CURSOS!$D$36,"SOPORTE CARDIOVASCULAR AVANZADO NEONATAL",IF(O156=CURSOS!$D$37,"SEGURIDAD DEL PACIENTE",IF(O156=CURSOS!$D$38,"MANEJO DE RESIDUOS HOSPITALARIOS"))))))))))))))))))))))))))))))))))))</f>
        <v xml:space="preserve">PRIMEROS AUXILIOS </v>
      </c>
      <c r="V156" s="47" t="str">
        <f t="shared" si="9"/>
        <v>Fabio Roberto Pazmiño Santacruz</v>
      </c>
      <c r="W156" s="47" t="str">
        <f t="shared" si="10"/>
        <v>Fabio Roberto Pazmiño Santacruz</v>
      </c>
      <c r="X156" s="47" t="str">
        <f t="shared" si="11"/>
        <v>Fabio Roberto Pazmiño Santacruz-12998816-PRIMEROS AUXILIOS</v>
      </c>
    </row>
    <row r="157" spans="1:25" x14ac:dyDescent="0.2">
      <c r="A157" s="46">
        <v>156</v>
      </c>
      <c r="B157" s="54">
        <v>1131084625</v>
      </c>
      <c r="C157" s="54" t="s">
        <v>123</v>
      </c>
      <c r="D157" s="54" t="s">
        <v>375</v>
      </c>
      <c r="E157" s="54" t="s">
        <v>376</v>
      </c>
      <c r="F157" s="54" t="s">
        <v>377</v>
      </c>
      <c r="G157" s="54">
        <v>18</v>
      </c>
      <c r="H157" s="54" t="s">
        <v>100</v>
      </c>
      <c r="I157" s="55" t="s">
        <v>146</v>
      </c>
      <c r="J157" s="56">
        <v>45621</v>
      </c>
      <c r="K157" s="108">
        <v>30000</v>
      </c>
      <c r="L157" s="54" t="s">
        <v>139</v>
      </c>
      <c r="M157" s="54" t="s">
        <v>80</v>
      </c>
      <c r="N157" s="54" t="s">
        <v>378</v>
      </c>
      <c r="O157" s="43" t="s">
        <v>42</v>
      </c>
      <c r="P157" s="55">
        <v>33149</v>
      </c>
      <c r="Q157" s="54" t="s">
        <v>89</v>
      </c>
      <c r="R157" s="54" t="s">
        <v>189</v>
      </c>
      <c r="S157" s="54">
        <v>3136868285</v>
      </c>
      <c r="T157" s="54" t="s">
        <v>379</v>
      </c>
      <c r="U157" s="47" t="b">
        <f>IF(P157=CURSOS!$D$3,"DIPLOMADO EN ATENCION PRE-HOSPITALARIA",IF(P157=CURSOS!$D$4,"ACOMPAÑAMIENTO Y MANEJO DEL DUELO",IF(P157=CURSOS!$D$5,"ATENCION A VICTIMAS DE ATAQUE CON AGENTES QUIMICOS ",IF(P157=CURSOS!$D$6,"PRIMEROS AUXILIOS ",IF(P157=CURSOS!$D$7,"DIPLOMADO DE UNIDAD DE CUIDADOS INTENSIVOS (UCI)",IF(P157=CURSOS!$D$8,"MODELO DE ATENCION PARA EVENTOS EMERGENTES EN SALUD MENTAL (CODIGO VERDE)",IF(P157=CURSOS!$D$9,"HUMANIZACION EN EL SERVICIO DE LA SALUD Y BUENAS PRACTICAS EN PACIENTE ",IF(P157=CURSOS!$D$10,"CLINICA DE HERIDAS ",IF(P157=CURSOS!$D$11,"TOMA DE CITOLOGIA CERVICO VAGINAL ",IF(P157=CURSOS!$D$12,"SOPORTE CARDIOVASCULAR AVANZADO (ACLS) ",IF(P157=CURSOS!$D$13,"CAMILLERO ",IF(P157=CURSOS!$D$14,"TOMA DE MUESTRAS Y LABORATORIO ",IF(P157=CURSOS!$D$15,"SOPORTE VITAL BASICO (BLS)",IF(P157=CURSOS!$D$16,"ATENCION A VICTIMAS DE VIOLENCIA SEXUAL ",IF(P157=CURSOS!$D$17,"PROGRAMADO AMPLIADO DE INMUNIZACION (PAI - COVID 19)",IF(P157=CURSOS!$D$18,"ATENCION INTEGRAL EN ENFERMEDADES PREVALENTES EN PRIMERA INFANCIA (AIEPI)",IF(P157=CURSOS!$D$19,"ADMINISTRACION DE MEDICAMENTOS, INYECTOLOGIA  Y CANALIZACION ",IF(P157=CURSOS!$D$20,"OPERADOR DE VEHICULOS DE EMERGENCIA (OVE)",IF(P157=CURSOS!$D$21,"INSTITUCIONES AMIGAS DE LA MUJER Y LA INFANCIA (IAMI)",IF(P157=CURSOS!$D$22,"CUIDADO DEL DONANTE DE ORGANOS",IF(P157=CURSOS!$D$23,"ATENCION A VICTIMAS POR VIOLENCIA DE GENERO",IF(P157=CURSOS!$D$24,"IGUALDAD DE GENERO EN LA SALUD",IF(P157=CURSOS!$D$25,"BRIGADA DE EMERGENCIA",IF(P157=CURSOS!$D$26,"MANEJO DEL DOLOR Y CUIDADOS PALIATIVOS",IF(P157=CURSOS!$D$27,"TOMA DE MUESTRAS Y LABORATORIO POCT",IF(P157=CURSOS!$D$28,"IMPLANTE SUBDERMICO DE DISPOSITIVO INTRAUTERINO",IF(P157=CURSOS!$D$29,"SALUD MENTAL",IF(P157=CURSOS!$D$30,"PRIMEROS AUXILIOS PSICOLOGICOS",IF(P157=CURSOS!$D$31,"ATENCION A VICTIMAS POR CONFLICTO ARMADO",IF(P157=CURSOS!$D$32,"MANIPULACION DE ALIMENTOS Y BPM",IF(P157=CURSOS!$D$33,"ATENCION A PERSONAS CON DISCAPACIDAD",IF(P157=CURSOS!$D$34,"CUIDADO INTEGRAL DEL PACIENTE ADULTO",IF(P157=CURSOS!$D$35,"MANEJO DEFENSIVO",IF(P157=CURSOS!$D$36,"SOPORTE CARDIOVASCULAR AVANZADO NEONATAL",IF(P157=CURSOS!$D$37,"SEGURIDAD DEL PACIENTE",IF(P157=CURSOS!$D$38,"MANEJO DE RESIDUOS HOSPITALARIOS"))))))))))))))))))))))))))))))))))))</f>
        <v>0</v>
      </c>
      <c r="V157" s="47" t="str">
        <f t="shared" si="9"/>
        <v>Gabriela Rocio Benavides Betancohurt</v>
      </c>
      <c r="W157" s="47" t="str">
        <f t="shared" si="10"/>
        <v>Gabriela Rocio Benavides Betancohurt</v>
      </c>
      <c r="X157" s="47" t="str">
        <f>CONCATENATE(V157,"-",B157,"-",P157)</f>
        <v>Gabriela Rocio Benavides Betancohurt-1131084625-33149</v>
      </c>
    </row>
    <row r="158" spans="1:25" x14ac:dyDescent="0.2">
      <c r="A158" s="46">
        <v>157</v>
      </c>
      <c r="B158" s="54">
        <v>13069636</v>
      </c>
      <c r="C158" s="54" t="s">
        <v>380</v>
      </c>
      <c r="D158" s="54" t="s">
        <v>332</v>
      </c>
      <c r="E158" s="54" t="s">
        <v>117</v>
      </c>
      <c r="F158" s="54" t="s">
        <v>381</v>
      </c>
      <c r="G158" s="54">
        <v>18</v>
      </c>
      <c r="H158" s="54" t="s">
        <v>100</v>
      </c>
      <c r="I158" s="55" t="s">
        <v>92</v>
      </c>
      <c r="J158" s="56">
        <v>45611</v>
      </c>
      <c r="K158" s="108">
        <v>70000</v>
      </c>
      <c r="L158" s="54" t="s">
        <v>139</v>
      </c>
      <c r="M158" s="54" t="s">
        <v>80</v>
      </c>
      <c r="N158" s="54" t="s">
        <v>90</v>
      </c>
      <c r="O158" s="43" t="s">
        <v>42</v>
      </c>
      <c r="P158" s="55">
        <v>29041</v>
      </c>
      <c r="Q158" s="54" t="s">
        <v>148</v>
      </c>
      <c r="R158" s="82" t="s">
        <v>208</v>
      </c>
      <c r="S158" s="54">
        <v>3158303076</v>
      </c>
      <c r="T158" s="54" t="s">
        <v>382</v>
      </c>
      <c r="U158" s="47" t="str">
        <f>IF(O158=CURSOS!$D$3,"DIPLOMADO EN ATENCION PRE-HOSPITALARIA",IF(O158=CURSOS!$D$4,"ACOMPAÑAMIENTO Y MANEJO DEL DUELO",IF(O158=CURSOS!$D$5,"ATENCION A VICTIMAS DE ATAQUE CON AGENTES QUIMICOS ",IF(O158=CURSOS!$D$6,"PRIMEROS AUXILIOS ",IF(O158=CURSOS!$D$7,"DIPLOMADO DE UNIDAD DE CUIDADOS INTENSIVOS (UCI)",IF(O158=CURSOS!$D$8,"MODELO DE ATENCION PARA EVENTOS EMERGENTES EN SALUD MENTAL (CODIGO VERDE)",IF(O158=CURSOS!$D$9,"HUMANIZACION EN EL SERVICIO DE LA SALUD Y BUENAS PRACTICAS EN PACIENTE ",IF(O158=CURSOS!$D$10,"CLINICA DE HERIDAS ",IF(O158=CURSOS!$D$11,"TOMA DE CITOLOGIA CERVICO VAGINAL ",IF(O158=CURSOS!$D$12,"SOPORTE CARDIOVASCULAR AVANZADO (ACLS) ",IF(O158=CURSOS!$D$13,"CAMILLERO ",IF(O158=CURSOS!$D$14,"TOMA DE MUESTRAS Y LABORATORIO ",IF(O158=CURSOS!$D$15,"SOPORTE VITAL BASICO (BLS)",IF(O158=CURSOS!$D$16,"ATENCION A VICTIMAS DE VIOLENCIA SEXUAL ",IF(O158=CURSOS!$D$17,"PROGRAMADO AMPLIADO DE INMUNIZACION (PAI - COVID 19)",IF(O158=CURSOS!$D$18,"ATENCION INTEGRAL EN ENFERMEDADES PREVALENTES EN PRIMERA INFANCIA (AIEPI)",IF(O158=CURSOS!$D$19,"ADMINISTRACION DE MEDICAMENTOS, INYECTOLOGIA  Y CANALIZACION ",IF(O158=CURSOS!$D$20,"OPERADOR DE VEHICULOS DE EMERGENCIA (OVE)",IF(O158=CURSOS!$D$21,"INSTITUCIONES AMIGAS DE LA MUJER Y LA INFANCIA (IAMI)",IF(O158=CURSOS!$D$22,"CUIDADO DEL DONANTE DE ORGANOS",IF(O158=CURSOS!$D$23,"ATENCION A VICTIMAS POR VIOLENCIA DE GENERO",IF(O158=CURSOS!$D$24,"IGUALDAD DE GENERO EN LA SALUD",IF(O158=CURSOS!$D$25,"BRIGADA DE EMERGENCIA",IF(O158=CURSOS!$D$26,"MANEJO DEL DOLOR Y CUIDADOS PALIATIVOS",IF(O158=CURSOS!$D$27,"TOMA DE MUESTRAS Y LABORATORIO POCT",IF(O158=CURSOS!$D$28,"IMPLANTE SUBDERMICO DE DISPOSITIVO INTRAUTERINO",IF(O158=CURSOS!$D$29,"SALUD MENTAL",IF(O158=CURSOS!$D$30,"PRIMEROS AUXILIOS PSICOLOGICOS",IF(O158=CURSOS!$D$31,"ATENCION A VICTIMAS POR CONFLICTO ARMADO",IF(O158=CURSOS!$D$32,"MANIPULACION DE ALIMENTOS Y BPM",IF(O158=CURSOS!$D$33,"ATENCION A PERSONAS CON DISCAPACIDAD",IF(O158=CURSOS!$D$34,"CUIDADO INTEGRAL DEL PACIENTE ADULTO",IF(O158=CURSOS!$D$35,"MANEJO DEFENSIVO",IF(O158=CURSOS!$D$36,"SOPORTE CARDIOVASCULAR AVANZADO NEONATAL",IF(O158=CURSOS!$D$37,"SEGURIDAD DEL PACIENTE",IF(O158=CURSOS!$D$38,"MANEJO DE RESIDUOS HOSPITALARIOS"))))))))))))))))))))))))))))))))))))</f>
        <v xml:space="preserve">ATENCION A VICTIMAS DE VIOLENCIA SEXUAL </v>
      </c>
      <c r="V158" s="47" t="str">
        <f t="shared" si="9"/>
        <v>Juan Pablo Madroñero Muñoz</v>
      </c>
      <c r="W158" s="47" t="str">
        <f t="shared" si="10"/>
        <v>Juan Pablo Madroñero Muñoz</v>
      </c>
      <c r="X158" s="47" t="str">
        <f t="shared" si="11"/>
        <v>Juan Pablo Madroñero Muñoz-13069636-VIOLENCIA SEXUAL</v>
      </c>
    </row>
    <row r="159" spans="1:25" x14ac:dyDescent="0.2">
      <c r="A159" s="46">
        <v>158</v>
      </c>
      <c r="B159" s="54">
        <v>1085268999</v>
      </c>
      <c r="C159" s="54" t="s">
        <v>383</v>
      </c>
      <c r="D159" s="54" t="s">
        <v>191</v>
      </c>
      <c r="E159" s="54" t="s">
        <v>384</v>
      </c>
      <c r="F159" s="54" t="s">
        <v>152</v>
      </c>
      <c r="G159" s="54">
        <v>19</v>
      </c>
      <c r="H159" s="54" t="s">
        <v>100</v>
      </c>
      <c r="I159" s="55" t="s">
        <v>146</v>
      </c>
      <c r="J159" s="56">
        <v>45615</v>
      </c>
      <c r="K159" s="108">
        <v>40000</v>
      </c>
      <c r="L159" s="54" t="s">
        <v>139</v>
      </c>
      <c r="M159" s="54" t="s">
        <v>80</v>
      </c>
      <c r="N159" s="54" t="s">
        <v>90</v>
      </c>
      <c r="O159" s="43" t="s">
        <v>42</v>
      </c>
      <c r="P159" s="55">
        <v>32374</v>
      </c>
      <c r="Q159" s="54" t="s">
        <v>89</v>
      </c>
      <c r="R159" s="54" t="s">
        <v>189</v>
      </c>
      <c r="S159" s="54">
        <v>3135877770</v>
      </c>
      <c r="T159" s="54" t="s">
        <v>385</v>
      </c>
      <c r="U159" s="47" t="str">
        <f>IF(O159=CURSOS!$D$3,"DIPLOMADO EN ATENCION PRE-HOSPITALARIA",IF(O159=CURSOS!$D$4,"ACOMPAÑAMIENTO Y MANEJO DEL DUELO",IF(O159=CURSOS!$D$5,"ATENCION A VICTIMAS DE ATAQUE CON AGENTES QUIMICOS ",IF(O159=CURSOS!$D$6,"PRIMEROS AUXILIOS ",IF(O159=CURSOS!$D$7,"DIPLOMADO DE UNIDAD DE CUIDADOS INTENSIVOS (UCI)",IF(O159=CURSOS!$D$8,"MODELO DE ATENCION PARA EVENTOS EMERGENTES EN SALUD MENTAL (CODIGO VERDE)",IF(O159=CURSOS!$D$9,"HUMANIZACION EN EL SERVICIO DE LA SALUD Y BUENAS PRACTICAS EN PACIENTE ",IF(O159=CURSOS!$D$10,"CLINICA DE HERIDAS ",IF(O159=CURSOS!$D$11,"TOMA DE CITOLOGIA CERVICO VAGINAL ",IF(O159=CURSOS!$D$12,"SOPORTE CARDIOVASCULAR AVANZADO (ACLS) ",IF(O159=CURSOS!$D$13,"CAMILLERO ",IF(O159=CURSOS!$D$14,"TOMA DE MUESTRAS Y LABORATORIO ",IF(O159=CURSOS!$D$15,"SOPORTE VITAL BASICO (BLS)",IF(O159=CURSOS!$D$16,"ATENCION A VICTIMAS DE VIOLENCIA SEXUAL ",IF(O159=CURSOS!$D$17,"PROGRAMADO AMPLIADO DE INMUNIZACION (PAI - COVID 19)",IF(O159=CURSOS!$D$18,"ATENCION INTEGRAL EN ENFERMEDADES PREVALENTES EN PRIMERA INFANCIA (AIEPI)",IF(O159=CURSOS!$D$19,"ADMINISTRACION DE MEDICAMENTOS, INYECTOLOGIA  Y CANALIZACION ",IF(O159=CURSOS!$D$20,"OPERADOR DE VEHICULOS DE EMERGENCIA (OVE)",IF(O159=CURSOS!$D$21,"INSTITUCIONES AMIGAS DE LA MUJER Y LA INFANCIA (IAMI)",IF(O159=CURSOS!$D$22,"CUIDADO DEL DONANTE DE ORGANOS",IF(O159=CURSOS!$D$23,"ATENCION A VICTIMAS POR VIOLENCIA DE GENERO",IF(O159=CURSOS!$D$24,"IGUALDAD DE GENERO EN LA SALUD",IF(O159=CURSOS!$D$25,"BRIGADA DE EMERGENCIA",IF(O159=CURSOS!$D$26,"MANEJO DEL DOLOR Y CUIDADOS PALIATIVOS",IF(O159=CURSOS!$D$27,"TOMA DE MUESTRAS Y LABORATORIO POCT",IF(O159=CURSOS!$D$28,"IMPLANTE SUBDERMICO DE DISPOSITIVO INTRAUTERINO",IF(O159=CURSOS!$D$29,"SALUD MENTAL",IF(O159=CURSOS!$D$30,"PRIMEROS AUXILIOS PSICOLOGICOS",IF(O159=CURSOS!$D$31,"ATENCION A VICTIMAS POR CONFLICTO ARMADO",IF(O159=CURSOS!$D$32,"MANIPULACION DE ALIMENTOS Y BPM",IF(O159=CURSOS!$D$33,"ATENCION A PERSONAS CON DISCAPACIDAD",IF(O159=CURSOS!$D$34,"CUIDADO INTEGRAL DEL PACIENTE ADULTO",IF(O159=CURSOS!$D$35,"MANEJO DEFENSIVO",IF(O159=CURSOS!$D$36,"SOPORTE CARDIOVASCULAR AVANZADO NEONATAL",IF(O159=CURSOS!$D$37,"SEGURIDAD DEL PACIENTE",IF(O159=CURSOS!$D$38,"MANEJO DE RESIDUOS HOSPITALARIOS"))))))))))))))))))))))))))))))))))))</f>
        <v xml:space="preserve">ATENCION A VICTIMAS DE VIOLENCIA SEXUAL </v>
      </c>
      <c r="V159" s="47" t="str">
        <f t="shared" si="9"/>
        <v>Erica Marcela Chana Castillo</v>
      </c>
      <c r="W159" s="47" t="str">
        <f t="shared" si="10"/>
        <v>Erica Marcela Chana Castillo</v>
      </c>
      <c r="X159" s="47" t="str">
        <f t="shared" si="11"/>
        <v>Erica Marcela Chana Castillo-1085268999-VIOLENCIA SEXUAL</v>
      </c>
    </row>
    <row r="160" spans="1:25" x14ac:dyDescent="0.2">
      <c r="A160" s="46">
        <v>159</v>
      </c>
      <c r="B160" s="54">
        <v>59796384</v>
      </c>
      <c r="C160" s="54" t="s">
        <v>386</v>
      </c>
      <c r="D160" s="54" t="s">
        <v>200</v>
      </c>
      <c r="E160" s="54" t="s">
        <v>387</v>
      </c>
      <c r="F160" s="54" t="s">
        <v>307</v>
      </c>
      <c r="G160" s="54">
        <v>20</v>
      </c>
      <c r="H160" s="54" t="s">
        <v>100</v>
      </c>
      <c r="I160" s="55" t="s">
        <v>146</v>
      </c>
      <c r="J160" s="56">
        <v>45616</v>
      </c>
      <c r="K160" s="108">
        <v>28000</v>
      </c>
      <c r="L160" s="54" t="s">
        <v>235</v>
      </c>
      <c r="M160" s="54" t="s">
        <v>80</v>
      </c>
      <c r="N160" s="54" t="s">
        <v>159</v>
      </c>
      <c r="O160" s="43" t="s">
        <v>19</v>
      </c>
      <c r="P160" s="55">
        <v>29382</v>
      </c>
      <c r="Q160" s="54" t="s">
        <v>89</v>
      </c>
      <c r="R160" s="54" t="s">
        <v>189</v>
      </c>
      <c r="S160" s="54">
        <v>3136916892</v>
      </c>
      <c r="T160" s="54" t="s">
        <v>388</v>
      </c>
      <c r="U160" s="47" t="str">
        <f>IF(O160=CURSOS!$D$3,"DIPLOMADO EN ATENCION PRE-HOSPITALARIA",IF(O160=CURSOS!$D$4,"ACOMPAÑAMIENTO Y MANEJO DEL DUELO",IF(O160=CURSOS!$D$5,"ATENCION A VICTIMAS DE ATAQUE CON AGENTES QUIMICOS ",IF(O160=CURSOS!$D$6,"PRIMEROS AUXILIOS ",IF(O160=CURSOS!$D$7,"DIPLOMADO DE UNIDAD DE CUIDADOS INTENSIVOS (UCI)",IF(O160=CURSOS!$D$8,"MODELO DE ATENCION PARA EVENTOS EMERGENTES EN SALUD MENTAL (CODIGO VERDE)",IF(O160=CURSOS!$D$9,"HUMANIZACION EN EL SERVICIO DE LA SALUD Y BUENAS PRACTICAS EN PACIENTE ",IF(O160=CURSOS!$D$10,"CLINICA DE HERIDAS ",IF(O160=CURSOS!$D$11,"TOMA DE CITOLOGIA CERVICO VAGINAL ",IF(O160=CURSOS!$D$12,"SOPORTE CARDIOVASCULAR AVANZADO (ACLS) ",IF(O160=CURSOS!$D$13,"CAMILLERO ",IF(O160=CURSOS!$D$14,"TOMA DE MUESTRAS Y LABORATORIO ",IF(O160=CURSOS!$D$15,"SOPORTE VITAL BASICO (BLS)",IF(O160=CURSOS!$D$16,"ATENCION A VICTIMAS DE VIOLENCIA SEXUAL ",IF(O160=CURSOS!$D$17,"PROGRAMADO AMPLIADO DE INMUNIZACION (PAI - COVID 19)",IF(O160=CURSOS!$D$18,"ATENCION INTEGRAL EN ENFERMEDADES PREVALENTES EN PRIMERA INFANCIA (AIEPI)",IF(O160=CURSOS!$D$19,"ADMINISTRACION DE MEDICAMENTOS, INYECTOLOGIA  Y CANALIZACION ",IF(O160=CURSOS!$D$20,"OPERADOR DE VEHICULOS DE EMERGENCIA (OVE)",IF(O160=CURSOS!$D$21,"INSTITUCIONES AMIGAS DE LA MUJER Y LA INFANCIA (IAMI)",IF(O160=CURSOS!$D$22,"CUIDADO DEL DONANTE DE ORGANOS",IF(O160=CURSOS!$D$23,"ATENCION A VICTIMAS POR VIOLENCIA DE GENERO",IF(O160=CURSOS!$D$24,"IGUALDAD DE GENERO EN LA SALUD",IF(O160=CURSOS!$D$25,"BRIGADA DE EMERGENCIA",IF(O160=CURSOS!$D$26,"MANEJO DEL DOLOR Y CUIDADOS PALIATIVOS",IF(O160=CURSOS!$D$27,"TOMA DE MUESTRAS Y LABORATORIO POCT",IF(O160=CURSOS!$D$28,"IMPLANTE SUBDERMICO DE DISPOSITIVO INTRAUTERINO",IF(O160=CURSOS!$D$29,"SALUD MENTAL",IF(O160=CURSOS!$D$30,"PRIMEROS AUXILIOS PSICOLOGICOS",IF(O160=CURSOS!$D$31,"ATENCION A VICTIMAS POR CONFLICTO ARMADO",IF(O160=CURSOS!$D$32,"MANIPULACION DE ALIMENTOS Y BPM",IF(O160=CURSOS!$D$33,"ATENCION A PERSONAS CON DISCAPACIDAD",IF(O160=CURSOS!$D$34,"CUIDADO INTEGRAL DEL PACIENTE ADULTO",IF(O160=CURSOS!$D$35,"MANEJO DEFENSIVO",IF(O160=CURSOS!$D$36,"SOPORTE CARDIOVASCULAR AVANZADO NEONATAL",IF(O160=CURSOS!$D$37,"SEGURIDAD DEL PACIENTE",IF(O160=CURSOS!$D$38,"MANEJO DE RESIDUOS HOSPITALARIOS"))))))))))))))))))))))))))))))))))))</f>
        <v>SOPORTE VITAL BASICO (BLS)</v>
      </c>
      <c r="V160" s="47" t="str">
        <f t="shared" si="9"/>
        <v>Doralba Yaneth Santander Toro</v>
      </c>
      <c r="W160" s="47" t="str">
        <f t="shared" si="10"/>
        <v>Doralba Yaneth Santander Toro</v>
      </c>
      <c r="X160" s="47" t="str">
        <f t="shared" si="11"/>
        <v>Doralba Yaneth Santander Toro-59796384-BLS</v>
      </c>
    </row>
    <row r="161" spans="1:24" x14ac:dyDescent="0.2">
      <c r="A161" s="46">
        <v>160</v>
      </c>
      <c r="B161" s="54">
        <v>1085256426</v>
      </c>
      <c r="C161" s="54" t="s">
        <v>389</v>
      </c>
      <c r="D161" s="54" t="s">
        <v>390</v>
      </c>
      <c r="E161" s="54" t="s">
        <v>391</v>
      </c>
      <c r="F161" s="54" t="s">
        <v>392</v>
      </c>
      <c r="G161" s="54">
        <v>21</v>
      </c>
      <c r="H161" s="54" t="s">
        <v>100</v>
      </c>
      <c r="I161" s="55" t="s">
        <v>146</v>
      </c>
      <c r="J161" s="56">
        <v>45618</v>
      </c>
      <c r="K161" s="108">
        <v>28000</v>
      </c>
      <c r="L161" s="54" t="s">
        <v>235</v>
      </c>
      <c r="M161" s="54" t="s">
        <v>80</v>
      </c>
      <c r="N161" s="54" t="s">
        <v>159</v>
      </c>
      <c r="O161" s="43" t="s">
        <v>25</v>
      </c>
      <c r="P161" s="55">
        <v>31409</v>
      </c>
      <c r="Q161" s="54" t="s">
        <v>89</v>
      </c>
      <c r="R161" s="54" t="s">
        <v>189</v>
      </c>
      <c r="S161" s="54">
        <v>3173308042</v>
      </c>
      <c r="T161" s="54" t="s">
        <v>393</v>
      </c>
      <c r="U161" s="47" t="str">
        <f>IF(O161=CURSOS!$D$3,"DIPLOMADO EN ATENCION PRE-HOSPITALARIA",IF(O161=CURSOS!$D$4,"ACOMPAÑAMIENTO Y MANEJO DEL DUELO",IF(O161=CURSOS!$D$5,"ATENCION A VICTIMAS DE ATAQUE CON AGENTES QUIMICOS ",IF(O161=CURSOS!$D$6,"PRIMEROS AUXILIOS ",IF(O161=CURSOS!$D$7,"DIPLOMADO DE UNIDAD DE CUIDADOS INTENSIVOS (UCI)",IF(O161=CURSOS!$D$8,"MODELO DE ATENCION PARA EVENTOS EMERGENTES EN SALUD MENTAL (CODIGO VERDE)",IF(O161=CURSOS!$D$9,"HUMANIZACION EN EL SERVICIO DE LA SALUD Y BUENAS PRACTICAS EN PACIENTE ",IF(O161=CURSOS!$D$10,"CLINICA DE HERIDAS ",IF(O161=CURSOS!$D$11,"TOMA DE CITOLOGIA CERVICO VAGINAL ",IF(O161=CURSOS!$D$12,"SOPORTE CARDIOVASCULAR AVANZADO (ACLS) ",IF(O161=CURSOS!$D$13,"CAMILLERO ",IF(O161=CURSOS!$D$14,"TOMA DE MUESTRAS Y LABORATORIO ",IF(O161=CURSOS!$D$15,"SOPORTE VITAL BASICO (BLS)",IF(O161=CURSOS!$D$16,"ATENCION A VICTIMAS DE VIOLENCIA SEXUAL ",IF(O161=CURSOS!$D$17,"PROGRAMADO AMPLIADO DE INMUNIZACION (PAI - COVID 19)",IF(O161=CURSOS!$D$18,"ATENCION INTEGRAL EN ENFERMEDADES PREVALENTES EN PRIMERA INFANCIA (AIEPI)",IF(O161=CURSOS!$D$19,"ADMINISTRACION DE MEDICAMENTOS, INYECTOLOGIA  Y CANALIZACION ",IF(O161=CURSOS!$D$20,"OPERADOR DE VEHICULOS DE EMERGENCIA (OVE)",IF(O161=CURSOS!$D$21,"INSTITUCIONES AMIGAS DE LA MUJER Y LA INFANCIA (IAMI)",IF(O161=CURSOS!$D$22,"CUIDADO DEL DONANTE DE ORGANOS",IF(O161=CURSOS!$D$23,"ATENCION A VICTIMAS POR VIOLENCIA DE GENERO",IF(O161=CURSOS!$D$24,"IGUALDAD DE GENERO EN LA SALUD",IF(O161=CURSOS!$D$25,"BRIGADA DE EMERGENCIA",IF(O161=CURSOS!$D$26,"MANEJO DEL DOLOR Y CUIDADOS PALIATIVOS",IF(O161=CURSOS!$D$27,"TOMA DE MUESTRAS Y LABORATORIO POCT",IF(O161=CURSOS!$D$28,"IMPLANTE SUBDERMICO DE DISPOSITIVO INTRAUTERINO",IF(O161=CURSOS!$D$29,"SALUD MENTAL",IF(O161=CURSOS!$D$30,"PRIMEROS AUXILIOS PSICOLOGICOS",IF(O161=CURSOS!$D$31,"ATENCION A VICTIMAS POR CONFLICTO ARMADO",IF(O161=CURSOS!$D$32,"MANIPULACION DE ALIMENTOS Y BPM",IF(O161=CURSOS!$D$33,"ATENCION A PERSONAS CON DISCAPACIDAD",IF(O161=CURSOS!$D$34,"CUIDADO INTEGRAL DEL PACIENTE ADULTO",IF(O161=CURSOS!$D$35,"MANEJO DEFENSIVO",IF(O161=CURSOS!$D$36,"SOPORTE CARDIOVASCULAR AVANZADO NEONATAL",IF(O161=CURSOS!$D$37,"SEGURIDAD DEL PACIENTE",IF(O161=CURSOS!$D$38,"MANEJO DE RESIDUOS HOSPITALARIOS"))))))))))))))))))))))))))))))))))))</f>
        <v xml:space="preserve">ATENCION A VICTIMAS DE ATAQUE CON AGENTES QUIMICOS </v>
      </c>
      <c r="V161" s="47" t="str">
        <f t="shared" si="9"/>
        <v>Yohana Verónica Pastas Ipujan</v>
      </c>
      <c r="W161" s="47" t="str">
        <f t="shared" si="10"/>
        <v>Yohana Verónica Pastas Ipujan</v>
      </c>
      <c r="X161" s="47" t="str">
        <f t="shared" si="11"/>
        <v>Yohana Verónica Pastas Ipujan-1085256426-QUIMICOS</v>
      </c>
    </row>
    <row r="162" spans="1:24" x14ac:dyDescent="0.2">
      <c r="A162" s="46">
        <v>161</v>
      </c>
      <c r="B162" s="54">
        <v>1085256426</v>
      </c>
      <c r="C162" s="54" t="s">
        <v>389</v>
      </c>
      <c r="D162" s="54" t="s">
        <v>390</v>
      </c>
      <c r="E162" s="54" t="s">
        <v>391</v>
      </c>
      <c r="F162" s="54" t="s">
        <v>392</v>
      </c>
      <c r="G162" s="54">
        <v>20</v>
      </c>
      <c r="H162" s="54" t="s">
        <v>100</v>
      </c>
      <c r="I162" s="55" t="s">
        <v>146</v>
      </c>
      <c r="J162" s="56">
        <v>45618</v>
      </c>
      <c r="K162" s="108">
        <v>28000</v>
      </c>
      <c r="L162" s="54" t="s">
        <v>235</v>
      </c>
      <c r="M162" s="54" t="s">
        <v>80</v>
      </c>
      <c r="N162" s="54" t="s">
        <v>159</v>
      </c>
      <c r="O162" s="43" t="s">
        <v>42</v>
      </c>
      <c r="P162" s="55">
        <v>31409</v>
      </c>
      <c r="Q162" s="54" t="s">
        <v>89</v>
      </c>
      <c r="R162" s="54" t="s">
        <v>189</v>
      </c>
      <c r="S162" s="54">
        <v>3173308042</v>
      </c>
      <c r="T162" s="54" t="s">
        <v>393</v>
      </c>
      <c r="U162" s="47" t="str">
        <f>IF(O162=CURSOS!$D$3,"DIPLOMADO EN ATENCION PRE-HOSPITALARIA",IF(O162=CURSOS!$D$4,"ACOMPAÑAMIENTO Y MANEJO DEL DUELO",IF(O162=CURSOS!$D$5,"ATENCION A VICTIMAS DE ATAQUE CON AGENTES QUIMICOS ",IF(O162=CURSOS!$D$6,"PRIMEROS AUXILIOS ",IF(O162=CURSOS!$D$7,"DIPLOMADO DE UNIDAD DE CUIDADOS INTENSIVOS (UCI)",IF(O162=CURSOS!$D$8,"MODELO DE ATENCION PARA EVENTOS EMERGENTES EN SALUD MENTAL (CODIGO VERDE)",IF(O162=CURSOS!$D$9,"HUMANIZACION EN EL SERVICIO DE LA SALUD Y BUENAS PRACTICAS EN PACIENTE ",IF(O162=CURSOS!$D$10,"CLINICA DE HERIDAS ",IF(O162=CURSOS!$D$11,"TOMA DE CITOLOGIA CERVICO VAGINAL ",IF(O162=CURSOS!$D$12,"SOPORTE CARDIOVASCULAR AVANZADO (ACLS) ",IF(O162=CURSOS!$D$13,"CAMILLERO ",IF(O162=CURSOS!$D$14,"TOMA DE MUESTRAS Y LABORATORIO ",IF(O162=CURSOS!$D$15,"SOPORTE VITAL BASICO (BLS)",IF(O162=CURSOS!$D$16,"ATENCION A VICTIMAS DE VIOLENCIA SEXUAL ",IF(O162=CURSOS!$D$17,"PROGRAMADO AMPLIADO DE INMUNIZACION (PAI - COVID 19)",IF(O162=CURSOS!$D$18,"ATENCION INTEGRAL EN ENFERMEDADES PREVALENTES EN PRIMERA INFANCIA (AIEPI)",IF(O162=CURSOS!$D$19,"ADMINISTRACION DE MEDICAMENTOS, INYECTOLOGIA  Y CANALIZACION ",IF(O162=CURSOS!$D$20,"OPERADOR DE VEHICULOS DE EMERGENCIA (OVE)",IF(O162=CURSOS!$D$21,"INSTITUCIONES AMIGAS DE LA MUJER Y LA INFANCIA (IAMI)",IF(O162=CURSOS!$D$22,"CUIDADO DEL DONANTE DE ORGANOS",IF(O162=CURSOS!$D$23,"ATENCION A VICTIMAS POR VIOLENCIA DE GENERO",IF(O162=CURSOS!$D$24,"IGUALDAD DE GENERO EN LA SALUD",IF(O162=CURSOS!$D$25,"BRIGADA DE EMERGENCIA",IF(O162=CURSOS!$D$26,"MANEJO DEL DOLOR Y CUIDADOS PALIATIVOS",IF(O162=CURSOS!$D$27,"TOMA DE MUESTRAS Y LABORATORIO POCT",IF(O162=CURSOS!$D$28,"IMPLANTE SUBDERMICO DE DISPOSITIVO INTRAUTERINO",IF(O162=CURSOS!$D$29,"SALUD MENTAL",IF(O162=CURSOS!$D$30,"PRIMEROS AUXILIOS PSICOLOGICOS",IF(O162=CURSOS!$D$31,"ATENCION A VICTIMAS POR CONFLICTO ARMADO",IF(O162=CURSOS!$D$32,"MANIPULACION DE ALIMENTOS Y BPM",IF(O162=CURSOS!$D$33,"ATENCION A PERSONAS CON DISCAPACIDAD",IF(O162=CURSOS!$D$34,"CUIDADO INTEGRAL DEL PACIENTE ADULTO",IF(O162=CURSOS!$D$35,"MANEJO DEFENSIVO",IF(O162=CURSOS!$D$36,"SOPORTE CARDIOVASCULAR AVANZADO NEONATAL",IF(O162=CURSOS!$D$37,"SEGURIDAD DEL PACIENTE",IF(O162=CURSOS!$D$38,"MANEJO DE RESIDUOS HOSPITALARIOS"))))))))))))))))))))))))))))))))))))</f>
        <v xml:space="preserve">ATENCION A VICTIMAS DE VIOLENCIA SEXUAL </v>
      </c>
      <c r="V162" s="47" t="str">
        <f t="shared" si="9"/>
        <v>Yohana Verónica Pastas Ipujan</v>
      </c>
      <c r="W162" s="47" t="str">
        <f t="shared" si="10"/>
        <v>Yohana Verónica Pastas Ipujan</v>
      </c>
      <c r="X162" s="47" t="str">
        <f t="shared" si="11"/>
        <v>Yohana Verónica Pastas Ipujan-1085256426-VIOLENCIA SEXUAL</v>
      </c>
    </row>
    <row r="163" spans="1:24" x14ac:dyDescent="0.2">
      <c r="A163" s="46">
        <v>162</v>
      </c>
      <c r="B163" s="54">
        <v>1085256426</v>
      </c>
      <c r="C163" s="54" t="s">
        <v>389</v>
      </c>
      <c r="D163" s="54" t="s">
        <v>390</v>
      </c>
      <c r="E163" s="54" t="s">
        <v>391</v>
      </c>
      <c r="F163" s="54" t="s">
        <v>392</v>
      </c>
      <c r="G163" s="54">
        <v>19</v>
      </c>
      <c r="H163" s="54" t="s">
        <v>100</v>
      </c>
      <c r="I163" s="55" t="s">
        <v>146</v>
      </c>
      <c r="J163" s="56">
        <v>45618</v>
      </c>
      <c r="K163" s="108">
        <v>28000</v>
      </c>
      <c r="L163" s="54" t="s">
        <v>235</v>
      </c>
      <c r="M163" s="54" t="s">
        <v>80</v>
      </c>
      <c r="N163" s="54" t="s">
        <v>159</v>
      </c>
      <c r="O163" s="43" t="s">
        <v>23</v>
      </c>
      <c r="P163" s="55">
        <v>31409</v>
      </c>
      <c r="Q163" s="54" t="s">
        <v>89</v>
      </c>
      <c r="R163" s="54" t="s">
        <v>189</v>
      </c>
      <c r="S163" s="54">
        <v>3173308042</v>
      </c>
      <c r="T163" s="54" t="s">
        <v>393</v>
      </c>
      <c r="U163" s="47" t="str">
        <f>IF(O163=CURSOS!$D$3,"DIPLOMADO EN ATENCION PRE-HOSPITALARIA",IF(O163=CURSOS!$D$4,"ACOMPAÑAMIENTO Y MANEJO DEL DUELO",IF(O163=CURSOS!$D$5,"ATENCION A VICTIMAS DE ATAQUE CON AGENTES QUIMICOS ",IF(O163=CURSOS!$D$6,"PRIMEROS AUXILIOS ",IF(O163=CURSOS!$D$7,"DIPLOMADO DE UNIDAD DE CUIDADOS INTENSIVOS (UCI)",IF(O163=CURSOS!$D$8,"MODELO DE ATENCION PARA EVENTOS EMERGENTES EN SALUD MENTAL (CODIGO VERDE)",IF(O163=CURSOS!$D$9,"HUMANIZACION EN EL SERVICIO DE LA SALUD Y BUENAS PRACTICAS EN PACIENTE ",IF(O163=CURSOS!$D$10,"CLINICA DE HERIDAS ",IF(O163=CURSOS!$D$11,"TOMA DE CITOLOGIA CERVICO VAGINAL ",IF(O163=CURSOS!$D$12,"SOPORTE CARDIOVASCULAR AVANZADO (ACLS) ",IF(O163=CURSOS!$D$13,"CAMILLERO ",IF(O163=CURSOS!$D$14,"TOMA DE MUESTRAS Y LABORATORIO ",IF(O163=CURSOS!$D$15,"SOPORTE VITAL BASICO (BLS)",IF(O163=CURSOS!$D$16,"ATENCION A VICTIMAS DE VIOLENCIA SEXUAL ",IF(O163=CURSOS!$D$17,"PROGRAMADO AMPLIADO DE INMUNIZACION (PAI - COVID 19)",IF(O163=CURSOS!$D$18,"ATENCION INTEGRAL EN ENFERMEDADES PREVALENTES EN PRIMERA INFANCIA (AIEPI)",IF(O163=CURSOS!$D$19,"ADMINISTRACION DE MEDICAMENTOS, INYECTOLOGIA  Y CANALIZACION ",IF(O163=CURSOS!$D$20,"OPERADOR DE VEHICULOS DE EMERGENCIA (OVE)",IF(O163=CURSOS!$D$21,"INSTITUCIONES AMIGAS DE LA MUJER Y LA INFANCIA (IAMI)",IF(O163=CURSOS!$D$22,"CUIDADO DEL DONANTE DE ORGANOS",IF(O163=CURSOS!$D$23,"ATENCION A VICTIMAS POR VIOLENCIA DE GENERO",IF(O163=CURSOS!$D$24,"IGUALDAD DE GENERO EN LA SALUD",IF(O163=CURSOS!$D$25,"BRIGADA DE EMERGENCIA",IF(O163=CURSOS!$D$26,"MANEJO DEL DOLOR Y CUIDADOS PALIATIVOS",IF(O163=CURSOS!$D$27,"TOMA DE MUESTRAS Y LABORATORIO POCT",IF(O163=CURSOS!$D$28,"IMPLANTE SUBDERMICO DE DISPOSITIVO INTRAUTERINO",IF(O163=CURSOS!$D$29,"SALUD MENTAL",IF(O163=CURSOS!$D$30,"PRIMEROS AUXILIOS PSICOLOGICOS",IF(O163=CURSOS!$D$31,"ATENCION A VICTIMAS POR CONFLICTO ARMADO",IF(O163=CURSOS!$D$32,"MANIPULACION DE ALIMENTOS Y BPM",IF(O163=CURSOS!$D$33,"ATENCION A PERSONAS CON DISCAPACIDAD",IF(O163=CURSOS!$D$34,"CUIDADO INTEGRAL DEL PACIENTE ADULTO",IF(O163=CURSOS!$D$35,"MANEJO DEFENSIVO",IF(O163=CURSOS!$D$36,"SOPORTE CARDIOVASCULAR AVANZADO NEONATAL",IF(O163=CURSOS!$D$37,"SEGURIDAD DEL PACIENTE",IF(O163=CURSOS!$D$38,"MANEJO DE RESIDUOS HOSPITALARIOS"))))))))))))))))))))))))))))))))))))</f>
        <v>ACOMPAÑAMIENTO Y MANEJO DEL DUELO</v>
      </c>
      <c r="V163" s="47" t="str">
        <f t="shared" si="9"/>
        <v>Yohana Verónica Pastas Ipujan</v>
      </c>
      <c r="W163" s="47" t="str">
        <f t="shared" si="10"/>
        <v>Yohana Verónica Pastas Ipujan</v>
      </c>
      <c r="X163" s="47" t="str">
        <f t="shared" si="11"/>
        <v>Yohana Verónica Pastas Ipujan-1085256426-DUELO</v>
      </c>
    </row>
    <row r="164" spans="1:24" x14ac:dyDescent="0.2">
      <c r="A164" s="46">
        <v>163</v>
      </c>
      <c r="B164" s="54">
        <v>1085301199</v>
      </c>
      <c r="C164" s="54" t="s">
        <v>394</v>
      </c>
      <c r="D164" s="54" t="s">
        <v>395</v>
      </c>
      <c r="E164" s="54" t="s">
        <v>396</v>
      </c>
      <c r="F164" s="54" t="s">
        <v>397</v>
      </c>
      <c r="G164" s="54">
        <v>21</v>
      </c>
      <c r="H164" s="54" t="s">
        <v>100</v>
      </c>
      <c r="I164" s="55" t="s">
        <v>146</v>
      </c>
      <c r="J164" s="56">
        <v>45617</v>
      </c>
      <c r="K164" s="108">
        <v>40000</v>
      </c>
      <c r="L164" s="54" t="s">
        <v>327</v>
      </c>
      <c r="M164" s="54" t="s">
        <v>80</v>
      </c>
      <c r="N164" s="54" t="s">
        <v>90</v>
      </c>
      <c r="O164" s="43" t="s">
        <v>32</v>
      </c>
      <c r="P164" s="55">
        <v>33896</v>
      </c>
      <c r="Q164" s="54" t="s">
        <v>89</v>
      </c>
      <c r="R164" s="54" t="s">
        <v>189</v>
      </c>
      <c r="S164" s="54">
        <v>3124801291</v>
      </c>
      <c r="T164" s="54" t="s">
        <v>398</v>
      </c>
      <c r="U164" s="47" t="str">
        <f>IF(O164=CURSOS!$D$3,"DIPLOMADO EN ATENCION PRE-HOSPITALARIA",IF(O164=CURSOS!$D$4,"ACOMPAÑAMIENTO Y MANEJO DEL DUELO",IF(O164=CURSOS!$D$5,"ATENCION A VICTIMAS DE ATAQUE CON AGENTES QUIMICOS ",IF(O164=CURSOS!$D$6,"PRIMEROS AUXILIOS ",IF(O164=CURSOS!$D$7,"DIPLOMADO DE UNIDAD DE CUIDADOS INTENSIVOS (UCI)",IF(O164=CURSOS!$D$8,"MODELO DE ATENCION PARA EVENTOS EMERGENTES EN SALUD MENTAL (CODIGO VERDE)",IF(O164=CURSOS!$D$9,"HUMANIZACION EN EL SERVICIO DE LA SALUD Y BUENAS PRACTICAS EN PACIENTE ",IF(O164=CURSOS!$D$10,"CLINICA DE HERIDAS ",IF(O164=CURSOS!$D$11,"TOMA DE CITOLOGIA CERVICO VAGINAL ",IF(O164=CURSOS!$D$12,"SOPORTE CARDIOVASCULAR AVANZADO (ACLS) ",IF(O164=CURSOS!$D$13,"CAMILLERO ",IF(O164=CURSOS!$D$14,"TOMA DE MUESTRAS Y LABORATORIO ",IF(O164=CURSOS!$D$15,"SOPORTE VITAL BASICO (BLS)",IF(O164=CURSOS!$D$16,"ATENCION A VICTIMAS DE VIOLENCIA SEXUAL ",IF(O164=CURSOS!$D$17,"PROGRAMADO AMPLIADO DE INMUNIZACION (PAI - COVID 19)",IF(O164=CURSOS!$D$18,"ATENCION INTEGRAL EN ENFERMEDADES PREVALENTES EN PRIMERA INFANCIA (AIEPI)",IF(O164=CURSOS!$D$19,"ADMINISTRACION DE MEDICAMENTOS, INYECTOLOGIA  Y CANALIZACION ",IF(O164=CURSOS!$D$20,"OPERADOR DE VEHICULOS DE EMERGENCIA (OVE)",IF(O164=CURSOS!$D$21,"INSTITUCIONES AMIGAS DE LA MUJER Y LA INFANCIA (IAMI)",IF(O164=CURSOS!$D$22,"CUIDADO DEL DONANTE DE ORGANOS",IF(O164=CURSOS!$D$23,"ATENCION A VICTIMAS POR VIOLENCIA DE GENERO",IF(O164=CURSOS!$D$24,"IGUALDAD DE GENERO EN LA SALUD",IF(O164=CURSOS!$D$25,"BRIGADA DE EMERGENCIA",IF(O164=CURSOS!$D$26,"MANEJO DEL DOLOR Y CUIDADOS PALIATIVOS",IF(O164=CURSOS!$D$27,"TOMA DE MUESTRAS Y LABORATORIO POCT",IF(O164=CURSOS!$D$28,"IMPLANTE SUBDERMICO DE DISPOSITIVO INTRAUTERINO",IF(O164=CURSOS!$D$29,"SALUD MENTAL",IF(O164=CURSOS!$D$30,"PRIMEROS AUXILIOS PSICOLOGICOS",IF(O164=CURSOS!$D$31,"ATENCION A VICTIMAS POR CONFLICTO ARMADO",IF(O164=CURSOS!$D$32,"MANIPULACION DE ALIMENTOS Y BPM",IF(O164=CURSOS!$D$33,"ATENCION A PERSONAS CON DISCAPACIDAD",IF(O164=CURSOS!$D$34,"CUIDADO INTEGRAL DEL PACIENTE ADULTO",IF(O164=CURSOS!$D$35,"MANEJO DEFENSIVO",IF(O164=CURSOS!$D$36,"SOPORTE CARDIOVASCULAR AVANZADO NEONATAL",IF(O164=CURSOS!$D$37,"SEGURIDAD DEL PACIENTE",IF(O164=CURSOS!$D$38,"MANEJO DE RESIDUOS HOSPITALARIOS"))))))))))))))))))))))))))))))))))))</f>
        <v xml:space="preserve">HUMANIZACION EN EL SERVICIO DE LA SALUD Y BUENAS PRACTICAS EN PACIENTE </v>
      </c>
      <c r="V164" s="47" t="str">
        <f t="shared" si="9"/>
        <v>Diana Balvina Ayala Delgado</v>
      </c>
      <c r="W164" s="47" t="str">
        <f t="shared" si="10"/>
        <v>Diana Balvina Ayala Delgado</v>
      </c>
      <c r="X164" s="47" t="str">
        <f t="shared" si="11"/>
        <v>Diana Balvina Ayala Delgado-1085301199-HUMANIZACION</v>
      </c>
    </row>
    <row r="165" spans="1:24" x14ac:dyDescent="0.2">
      <c r="A165" s="46">
        <v>164</v>
      </c>
      <c r="B165" s="54">
        <v>13069636</v>
      </c>
      <c r="C165" s="54" t="s">
        <v>380</v>
      </c>
      <c r="D165" s="54" t="s">
        <v>332</v>
      </c>
      <c r="E165" s="54" t="s">
        <v>117</v>
      </c>
      <c r="F165" s="54" t="s">
        <v>381</v>
      </c>
      <c r="G165" s="54">
        <v>22</v>
      </c>
      <c r="H165" s="54" t="s">
        <v>100</v>
      </c>
      <c r="I165" s="55" t="s">
        <v>92</v>
      </c>
      <c r="J165" s="56">
        <v>45611</v>
      </c>
      <c r="K165" s="108">
        <v>35000</v>
      </c>
      <c r="L165" s="54" t="s">
        <v>139</v>
      </c>
      <c r="M165" s="54" t="s">
        <v>80</v>
      </c>
      <c r="N165" s="54" t="s">
        <v>90</v>
      </c>
      <c r="O165" s="43" t="s">
        <v>23</v>
      </c>
      <c r="P165" s="55">
        <v>29041</v>
      </c>
      <c r="Q165" s="54" t="s">
        <v>148</v>
      </c>
      <c r="R165" s="82" t="s">
        <v>208</v>
      </c>
      <c r="S165" s="54">
        <v>3158303076</v>
      </c>
      <c r="T165" s="54" t="s">
        <v>382</v>
      </c>
      <c r="U165" s="47" t="str">
        <f>IF(O165=CURSOS!$D$3,"DIPLOMADO EN ATENCION PRE-HOSPITALARIA",IF(O165=CURSOS!$D$4,"ACOMPAÑAMIENTO Y MANEJO DEL DUELO",IF(O165=CURSOS!$D$5,"ATENCION A VICTIMAS DE ATAQUE CON AGENTES QUIMICOS ",IF(O165=CURSOS!$D$6,"PRIMEROS AUXILIOS ",IF(O165=CURSOS!$D$7,"DIPLOMADO DE UNIDAD DE CUIDADOS INTENSIVOS (UCI)",IF(O165=CURSOS!$D$8,"MODELO DE ATENCION PARA EVENTOS EMERGENTES EN SALUD MENTAL (CODIGO VERDE)",IF(O165=CURSOS!$D$9,"HUMANIZACION EN EL SERVICIO DE LA SALUD Y BUENAS PRACTICAS EN PACIENTE ",IF(O165=CURSOS!$D$10,"CLINICA DE HERIDAS ",IF(O165=CURSOS!$D$11,"TOMA DE CITOLOGIA CERVICO VAGINAL ",IF(O165=CURSOS!$D$12,"SOPORTE CARDIOVASCULAR AVANZADO (ACLS) ",IF(O165=CURSOS!$D$13,"CAMILLERO ",IF(O165=CURSOS!$D$14,"TOMA DE MUESTRAS Y LABORATORIO ",IF(O165=CURSOS!$D$15,"SOPORTE VITAL BASICO (BLS)",IF(O165=CURSOS!$D$16,"ATENCION A VICTIMAS DE VIOLENCIA SEXUAL ",IF(O165=CURSOS!$D$17,"PROGRAMADO AMPLIADO DE INMUNIZACION (PAI - COVID 19)",IF(O165=CURSOS!$D$18,"ATENCION INTEGRAL EN ENFERMEDADES PREVALENTES EN PRIMERA INFANCIA (AIEPI)",IF(O165=CURSOS!$D$19,"ADMINISTRACION DE MEDICAMENTOS, INYECTOLOGIA  Y CANALIZACION ",IF(O165=CURSOS!$D$20,"OPERADOR DE VEHICULOS DE EMERGENCIA (OVE)",IF(O165=CURSOS!$D$21,"INSTITUCIONES AMIGAS DE LA MUJER Y LA INFANCIA (IAMI)",IF(O165=CURSOS!$D$22,"CUIDADO DEL DONANTE DE ORGANOS",IF(O165=CURSOS!$D$23,"ATENCION A VICTIMAS POR VIOLENCIA DE GENERO",IF(O165=CURSOS!$D$24,"IGUALDAD DE GENERO EN LA SALUD",IF(O165=CURSOS!$D$25,"BRIGADA DE EMERGENCIA",IF(O165=CURSOS!$D$26,"MANEJO DEL DOLOR Y CUIDADOS PALIATIVOS",IF(O165=CURSOS!$D$27,"TOMA DE MUESTRAS Y LABORATORIO POCT",IF(O165=CURSOS!$D$28,"IMPLANTE SUBDERMICO DE DISPOSITIVO INTRAUTERINO",IF(O165=CURSOS!$D$29,"SALUD MENTAL",IF(O165=CURSOS!$D$30,"PRIMEROS AUXILIOS PSICOLOGICOS",IF(O165=CURSOS!$D$31,"ATENCION A VICTIMAS POR CONFLICTO ARMADO",IF(O165=CURSOS!$D$32,"MANIPULACION DE ALIMENTOS Y BPM",IF(O165=CURSOS!$D$33,"ATENCION A PERSONAS CON DISCAPACIDAD",IF(O165=CURSOS!$D$34,"CUIDADO INTEGRAL DEL PACIENTE ADULTO",IF(O165=CURSOS!$D$35,"MANEJO DEFENSIVO",IF(O165=CURSOS!$D$36,"SOPORTE CARDIOVASCULAR AVANZADO NEONATAL",IF(O165=CURSOS!$D$37,"SEGURIDAD DEL PACIENTE",IF(O165=CURSOS!$D$38,"MANEJO DE RESIDUOS HOSPITALARIOS"))))))))))))))))))))))))))))))))))))</f>
        <v>ACOMPAÑAMIENTO Y MANEJO DEL DUELO</v>
      </c>
      <c r="V165" s="47" t="str">
        <f t="shared" si="9"/>
        <v>Juan Pablo Madroñero Muñoz</v>
      </c>
      <c r="W165" s="47" t="str">
        <f t="shared" si="10"/>
        <v>Juan Pablo Madroñero Muñoz</v>
      </c>
      <c r="X165" s="47" t="str">
        <f t="shared" si="11"/>
        <v>Juan Pablo Madroñero Muñoz-13069636-DUELO</v>
      </c>
    </row>
    <row r="166" spans="1:24" x14ac:dyDescent="0.2">
      <c r="A166" s="46">
        <v>165</v>
      </c>
      <c r="B166" s="43">
        <v>1087027997</v>
      </c>
      <c r="C166" s="43" t="s">
        <v>187</v>
      </c>
      <c r="D166" s="43" t="s">
        <v>399</v>
      </c>
      <c r="E166" s="43" t="s">
        <v>400</v>
      </c>
      <c r="F166" s="43" t="s">
        <v>122</v>
      </c>
      <c r="G166" s="43">
        <v>18</v>
      </c>
      <c r="H166" s="43" t="s">
        <v>100</v>
      </c>
      <c r="I166" s="55" t="s">
        <v>146</v>
      </c>
      <c r="J166" s="56">
        <v>45618</v>
      </c>
      <c r="K166" s="108">
        <v>80000</v>
      </c>
      <c r="L166" s="43" t="s">
        <v>235</v>
      </c>
      <c r="M166" s="43" t="s">
        <v>80</v>
      </c>
      <c r="N166" s="43" t="s">
        <v>159</v>
      </c>
      <c r="O166" s="43" t="s">
        <v>37</v>
      </c>
      <c r="P166" s="55">
        <v>35912</v>
      </c>
      <c r="Q166" s="43" t="s">
        <v>89</v>
      </c>
      <c r="R166" s="102" t="s">
        <v>208</v>
      </c>
      <c r="S166" s="43">
        <v>3209792900</v>
      </c>
      <c r="T166" s="54" t="s">
        <v>401</v>
      </c>
      <c r="U166" s="47" t="str">
        <f>IF(O166=CURSOS!$D$3,"DIPLOMADO EN ATENCION PRE-HOSPITALARIA",IF(O166=CURSOS!$D$4,"ACOMPAÑAMIENTO Y MANEJO DEL DUELO",IF(O166=CURSOS!$D$5,"ATENCION A VICTIMAS DE ATAQUE CON AGENTES QUIMICOS ",IF(O166=CURSOS!$D$6,"PRIMEROS AUXILIOS ",IF(O166=CURSOS!$D$7,"DIPLOMADO DE UNIDAD DE CUIDADOS INTENSIVOS (UCI)",IF(O166=CURSOS!$D$8,"MODELO DE ATENCION PARA EVENTOS EMERGENTES EN SALUD MENTAL (CODIGO VERDE)",IF(O166=CURSOS!$D$9,"HUMANIZACION EN EL SERVICIO DE LA SALUD Y BUENAS PRACTICAS EN PACIENTE ",IF(O166=CURSOS!$D$10,"CLINICA DE HERIDAS ",IF(O166=CURSOS!$D$11,"TOMA DE CITOLOGIA CERVICO VAGINAL ",IF(O166=CURSOS!$D$12,"SOPORTE CARDIOVASCULAR AVANZADO (ACLS) ",IF(O166=CURSOS!$D$13,"CAMILLERO ",IF(O166=CURSOS!$D$14,"TOMA DE MUESTRAS Y LABORATORIO ",IF(O166=CURSOS!$D$15,"SOPORTE VITAL BASICO (BLS)",IF(O166=CURSOS!$D$16,"ATENCION A VICTIMAS DE VIOLENCIA SEXUAL ",IF(O166=CURSOS!$D$17,"PROGRAMADO AMPLIADO DE INMUNIZACION (PAI - COVID 19)",IF(O166=CURSOS!$D$18,"ATENCION INTEGRAL EN ENFERMEDADES PREVALENTES EN PRIMERA INFANCIA (AIEPI)",IF(O166=CURSOS!$D$19,"ADMINISTRACION DE MEDICAMENTOS, INYECTOLOGIA  Y CANALIZACION ",IF(O166=CURSOS!$D$20,"OPERADOR DE VEHICULOS DE EMERGENCIA (OVE)",IF(O166=CURSOS!$D$21,"INSTITUCIONES AMIGAS DE LA MUJER Y LA INFANCIA (IAMI)",IF(O166=CURSOS!$D$22,"CUIDADO DEL DONANTE DE ORGANOS",IF(O166=CURSOS!$D$23,"ATENCION A VICTIMAS POR VIOLENCIA DE GENERO",IF(O166=CURSOS!$D$24,"IGUALDAD DE GENERO EN LA SALUD",IF(O166=CURSOS!$D$25,"BRIGADA DE EMERGENCIA",IF(O166=CURSOS!$D$26,"MANEJO DEL DOLOR Y CUIDADOS PALIATIVOS",IF(O166=CURSOS!$D$27,"TOMA DE MUESTRAS Y LABORATORIO POCT",IF(O166=CURSOS!$D$28,"IMPLANTE SUBDERMICO DE DISPOSITIVO INTRAUTERINO",IF(O166=CURSOS!$D$29,"SALUD MENTAL",IF(O166=CURSOS!$D$30,"PRIMEROS AUXILIOS PSICOLOGICOS",IF(O166=CURSOS!$D$31,"ATENCION A VICTIMAS POR CONFLICTO ARMADO",IF(O166=CURSOS!$D$32,"MANIPULACION DE ALIMENTOS Y BPM",IF(O166=CURSOS!$D$33,"ATENCION A PERSONAS CON DISCAPACIDAD",IF(O166=CURSOS!$D$34,"CUIDADO INTEGRAL DEL PACIENTE ADULTO",IF(O166=CURSOS!$D$35,"MANEJO DEFENSIVO",IF(O166=CURSOS!$D$36,"SOPORTE CARDIOVASCULAR AVANZADO NEONATAL",IF(O166=CURSOS!$D$37,"SEGURIDAD DEL PACIENTE",IF(O166=CURSOS!$D$38,"MANEJO DE RESIDUOS HOSPITALARIOS"))))))))))))))))))))))))))))))))))))</f>
        <v xml:space="preserve">SOPORTE CARDIOVASCULAR AVANZADO (ACLS) </v>
      </c>
      <c r="V166" s="47" t="str">
        <f t="shared" si="9"/>
        <v>Leidy Carolina Rosales Díaz</v>
      </c>
      <c r="W166" s="47" t="str">
        <f t="shared" si="10"/>
        <v>Leidy Carolina Rosales Díaz</v>
      </c>
      <c r="X166" s="47" t="str">
        <f t="shared" si="11"/>
        <v>Leidy Carolina Rosales Díaz-1087027997-ACLS</v>
      </c>
    </row>
    <row r="167" spans="1:24" x14ac:dyDescent="0.2">
      <c r="A167" s="46">
        <v>166</v>
      </c>
      <c r="B167" s="43">
        <v>1087027997</v>
      </c>
      <c r="C167" s="43" t="s">
        <v>187</v>
      </c>
      <c r="D167" s="43" t="s">
        <v>399</v>
      </c>
      <c r="E167" s="43" t="s">
        <v>400</v>
      </c>
      <c r="F167" s="43" t="s">
        <v>122</v>
      </c>
      <c r="G167" s="43">
        <v>18</v>
      </c>
      <c r="H167" s="43" t="s">
        <v>100</v>
      </c>
      <c r="I167" s="55" t="s">
        <v>146</v>
      </c>
      <c r="J167" s="56">
        <v>45618</v>
      </c>
      <c r="K167" s="108">
        <v>20000</v>
      </c>
      <c r="L167" s="43" t="s">
        <v>235</v>
      </c>
      <c r="M167" s="43" t="s">
        <v>80</v>
      </c>
      <c r="N167" s="43" t="s">
        <v>159</v>
      </c>
      <c r="O167" s="43" t="s">
        <v>19</v>
      </c>
      <c r="P167" s="55">
        <v>35912</v>
      </c>
      <c r="Q167" s="43" t="s">
        <v>89</v>
      </c>
      <c r="R167" s="102" t="s">
        <v>208</v>
      </c>
      <c r="S167" s="43">
        <v>3209792900</v>
      </c>
      <c r="T167" s="54" t="s">
        <v>401</v>
      </c>
      <c r="U167" s="47" t="str">
        <f>IF(O167=CURSOS!$D$3,"DIPLOMADO EN ATENCION PRE-HOSPITALARIA",IF(O167=CURSOS!$D$4,"ACOMPAÑAMIENTO Y MANEJO DEL DUELO",IF(O167=CURSOS!$D$5,"ATENCION A VICTIMAS DE ATAQUE CON AGENTES QUIMICOS ",IF(O167=CURSOS!$D$6,"PRIMEROS AUXILIOS ",IF(O167=CURSOS!$D$7,"DIPLOMADO DE UNIDAD DE CUIDADOS INTENSIVOS (UCI)",IF(O167=CURSOS!$D$8,"MODELO DE ATENCION PARA EVENTOS EMERGENTES EN SALUD MENTAL (CODIGO VERDE)",IF(O167=CURSOS!$D$9,"HUMANIZACION EN EL SERVICIO DE LA SALUD Y BUENAS PRACTICAS EN PACIENTE ",IF(O167=CURSOS!$D$10,"CLINICA DE HERIDAS ",IF(O167=CURSOS!$D$11,"TOMA DE CITOLOGIA CERVICO VAGINAL ",IF(O167=CURSOS!$D$12,"SOPORTE CARDIOVASCULAR AVANZADO (ACLS) ",IF(O167=CURSOS!$D$13,"CAMILLERO ",IF(O167=CURSOS!$D$14,"TOMA DE MUESTRAS Y LABORATORIO ",IF(O167=CURSOS!$D$15,"SOPORTE VITAL BASICO (BLS)",IF(O167=CURSOS!$D$16,"ATENCION A VICTIMAS DE VIOLENCIA SEXUAL ",IF(O167=CURSOS!$D$17,"PROGRAMADO AMPLIADO DE INMUNIZACION (PAI - COVID 19)",IF(O167=CURSOS!$D$18,"ATENCION INTEGRAL EN ENFERMEDADES PREVALENTES EN PRIMERA INFANCIA (AIEPI)",IF(O167=CURSOS!$D$19,"ADMINISTRACION DE MEDICAMENTOS, INYECTOLOGIA  Y CANALIZACION ",IF(O167=CURSOS!$D$20,"OPERADOR DE VEHICULOS DE EMERGENCIA (OVE)",IF(O167=CURSOS!$D$21,"INSTITUCIONES AMIGAS DE LA MUJER Y LA INFANCIA (IAMI)",IF(O167=CURSOS!$D$22,"CUIDADO DEL DONANTE DE ORGANOS",IF(O167=CURSOS!$D$23,"ATENCION A VICTIMAS POR VIOLENCIA DE GENERO",IF(O167=CURSOS!$D$24,"IGUALDAD DE GENERO EN LA SALUD",IF(O167=CURSOS!$D$25,"BRIGADA DE EMERGENCIA",IF(O167=CURSOS!$D$26,"MANEJO DEL DOLOR Y CUIDADOS PALIATIVOS",IF(O167=CURSOS!$D$27,"TOMA DE MUESTRAS Y LABORATORIO POCT",IF(O167=CURSOS!$D$28,"IMPLANTE SUBDERMICO DE DISPOSITIVO INTRAUTERINO",IF(O167=CURSOS!$D$29,"SALUD MENTAL",IF(O167=CURSOS!$D$30,"PRIMEROS AUXILIOS PSICOLOGICOS",IF(O167=CURSOS!$D$31,"ATENCION A VICTIMAS POR CONFLICTO ARMADO",IF(O167=CURSOS!$D$32,"MANIPULACION DE ALIMENTOS Y BPM",IF(O167=CURSOS!$D$33,"ATENCION A PERSONAS CON DISCAPACIDAD",IF(O167=CURSOS!$D$34,"CUIDADO INTEGRAL DEL PACIENTE ADULTO",IF(O167=CURSOS!$D$35,"MANEJO DEFENSIVO",IF(O167=CURSOS!$D$36,"SOPORTE CARDIOVASCULAR AVANZADO NEONATAL",IF(O167=CURSOS!$D$37,"SEGURIDAD DEL PACIENTE",IF(O167=CURSOS!$D$38,"MANEJO DE RESIDUOS HOSPITALARIOS"))))))))))))))))))))))))))))))))))))</f>
        <v>SOPORTE VITAL BASICO (BLS)</v>
      </c>
      <c r="V167" s="47" t="str">
        <f t="shared" si="9"/>
        <v>Leidy Carolina Rosales Díaz</v>
      </c>
      <c r="W167" s="47" t="str">
        <f t="shared" si="10"/>
        <v>Leidy Carolina Rosales Díaz</v>
      </c>
      <c r="X167" s="47" t="str">
        <f t="shared" si="11"/>
        <v>Leidy Carolina Rosales Díaz-1087027997-BLS</v>
      </c>
    </row>
    <row r="168" spans="1:24" x14ac:dyDescent="0.2">
      <c r="A168" s="46">
        <v>167</v>
      </c>
      <c r="B168" s="43">
        <v>1087027997</v>
      </c>
      <c r="C168" s="43" t="s">
        <v>187</v>
      </c>
      <c r="D168" s="43" t="s">
        <v>399</v>
      </c>
      <c r="E168" s="43" t="s">
        <v>400</v>
      </c>
      <c r="F168" s="43" t="s">
        <v>122</v>
      </c>
      <c r="G168" s="43">
        <v>19</v>
      </c>
      <c r="H168" s="43" t="s">
        <v>100</v>
      </c>
      <c r="I168" s="55" t="s">
        <v>146</v>
      </c>
      <c r="J168" s="56">
        <v>45618</v>
      </c>
      <c r="K168" s="108">
        <v>28000</v>
      </c>
      <c r="L168" s="43" t="s">
        <v>235</v>
      </c>
      <c r="M168" s="43" t="s">
        <v>80</v>
      </c>
      <c r="N168" s="43" t="s">
        <v>159</v>
      </c>
      <c r="O168" s="43" t="s">
        <v>42</v>
      </c>
      <c r="P168" s="55">
        <v>35912</v>
      </c>
      <c r="Q168" s="43" t="s">
        <v>89</v>
      </c>
      <c r="R168" s="102" t="s">
        <v>208</v>
      </c>
      <c r="S168" s="43">
        <v>3209792900</v>
      </c>
      <c r="T168" s="54" t="s">
        <v>401</v>
      </c>
      <c r="U168" s="47" t="str">
        <f>IF(O168=CURSOS!$D$3,"DIPLOMADO EN ATENCION PRE-HOSPITALARIA",IF(O168=CURSOS!$D$4,"ACOMPAÑAMIENTO Y MANEJO DEL DUELO",IF(O168=CURSOS!$D$5,"ATENCION A VICTIMAS DE ATAQUE CON AGENTES QUIMICOS ",IF(O168=CURSOS!$D$6,"PRIMEROS AUXILIOS ",IF(O168=CURSOS!$D$7,"DIPLOMADO DE UNIDAD DE CUIDADOS INTENSIVOS (UCI)",IF(O168=CURSOS!$D$8,"MODELO DE ATENCION PARA EVENTOS EMERGENTES EN SALUD MENTAL (CODIGO VERDE)",IF(O168=CURSOS!$D$9,"HUMANIZACION EN EL SERVICIO DE LA SALUD Y BUENAS PRACTICAS EN PACIENTE ",IF(O168=CURSOS!$D$10,"CLINICA DE HERIDAS ",IF(O168=CURSOS!$D$11,"TOMA DE CITOLOGIA CERVICO VAGINAL ",IF(O168=CURSOS!$D$12,"SOPORTE CARDIOVASCULAR AVANZADO (ACLS) ",IF(O168=CURSOS!$D$13,"CAMILLERO ",IF(O168=CURSOS!$D$14,"TOMA DE MUESTRAS Y LABORATORIO ",IF(O168=CURSOS!$D$15,"SOPORTE VITAL BASICO (BLS)",IF(O168=CURSOS!$D$16,"ATENCION A VICTIMAS DE VIOLENCIA SEXUAL ",IF(O168=CURSOS!$D$17,"PROGRAMADO AMPLIADO DE INMUNIZACION (PAI - COVID 19)",IF(O168=CURSOS!$D$18,"ATENCION INTEGRAL EN ENFERMEDADES PREVALENTES EN PRIMERA INFANCIA (AIEPI)",IF(O168=CURSOS!$D$19,"ADMINISTRACION DE MEDICAMENTOS, INYECTOLOGIA  Y CANALIZACION ",IF(O168=CURSOS!$D$20,"OPERADOR DE VEHICULOS DE EMERGENCIA (OVE)",IF(O168=CURSOS!$D$21,"INSTITUCIONES AMIGAS DE LA MUJER Y LA INFANCIA (IAMI)",IF(O168=CURSOS!$D$22,"CUIDADO DEL DONANTE DE ORGANOS",IF(O168=CURSOS!$D$23,"ATENCION A VICTIMAS POR VIOLENCIA DE GENERO",IF(O168=CURSOS!$D$24,"IGUALDAD DE GENERO EN LA SALUD",IF(O168=CURSOS!$D$25,"BRIGADA DE EMERGENCIA",IF(O168=CURSOS!$D$26,"MANEJO DEL DOLOR Y CUIDADOS PALIATIVOS",IF(O168=CURSOS!$D$27,"TOMA DE MUESTRAS Y LABORATORIO POCT",IF(O168=CURSOS!$D$28,"IMPLANTE SUBDERMICO DE DISPOSITIVO INTRAUTERINO",IF(O168=CURSOS!$D$29,"SALUD MENTAL",IF(O168=CURSOS!$D$30,"PRIMEROS AUXILIOS PSICOLOGICOS",IF(O168=CURSOS!$D$31,"ATENCION A VICTIMAS POR CONFLICTO ARMADO",IF(O168=CURSOS!$D$32,"MANIPULACION DE ALIMENTOS Y BPM",IF(O168=CURSOS!$D$33,"ATENCION A PERSONAS CON DISCAPACIDAD",IF(O168=CURSOS!$D$34,"CUIDADO INTEGRAL DEL PACIENTE ADULTO",IF(O168=CURSOS!$D$35,"MANEJO DEFENSIVO",IF(O168=CURSOS!$D$36,"SOPORTE CARDIOVASCULAR AVANZADO NEONATAL",IF(O168=CURSOS!$D$37,"SEGURIDAD DEL PACIENTE",IF(O168=CURSOS!$D$38,"MANEJO DE RESIDUOS HOSPITALARIOS"))))))))))))))))))))))))))))))))))))</f>
        <v xml:space="preserve">ATENCION A VICTIMAS DE VIOLENCIA SEXUAL </v>
      </c>
      <c r="V168" s="47" t="str">
        <f t="shared" si="9"/>
        <v>Leidy Carolina Rosales Díaz</v>
      </c>
      <c r="W168" s="47" t="str">
        <f t="shared" si="10"/>
        <v>Leidy Carolina Rosales Díaz</v>
      </c>
      <c r="X168" s="47" t="str">
        <f t="shared" si="11"/>
        <v>Leidy Carolina Rosales Díaz-1087027997-VIOLENCIA SEXUAL</v>
      </c>
    </row>
    <row r="169" spans="1:24" x14ac:dyDescent="0.2">
      <c r="A169" s="46">
        <v>168</v>
      </c>
      <c r="B169" s="43">
        <v>1087027997</v>
      </c>
      <c r="C169" s="43" t="s">
        <v>187</v>
      </c>
      <c r="D169" s="43" t="s">
        <v>399</v>
      </c>
      <c r="E169" s="43" t="s">
        <v>400</v>
      </c>
      <c r="F169" s="43" t="s">
        <v>122</v>
      </c>
      <c r="G169" s="43">
        <v>20</v>
      </c>
      <c r="H169" s="43" t="s">
        <v>100</v>
      </c>
      <c r="I169" s="55" t="s">
        <v>146</v>
      </c>
      <c r="J169" s="56">
        <v>45618</v>
      </c>
      <c r="K169" s="108">
        <v>28000</v>
      </c>
      <c r="L169" s="43" t="s">
        <v>235</v>
      </c>
      <c r="M169" s="43" t="s">
        <v>80</v>
      </c>
      <c r="N169" s="43" t="s">
        <v>159</v>
      </c>
      <c r="O169" s="43" t="s">
        <v>23</v>
      </c>
      <c r="P169" s="55">
        <v>35912</v>
      </c>
      <c r="Q169" s="43" t="s">
        <v>89</v>
      </c>
      <c r="R169" s="102" t="s">
        <v>208</v>
      </c>
      <c r="S169" s="43">
        <v>3209792900</v>
      </c>
      <c r="T169" s="54" t="s">
        <v>401</v>
      </c>
      <c r="U169" s="47" t="str">
        <f>IF(O169=CURSOS!$D$3,"DIPLOMADO EN ATENCION PRE-HOSPITALARIA",IF(O169=CURSOS!$D$4,"ACOMPAÑAMIENTO Y MANEJO DEL DUELO",IF(O169=CURSOS!$D$5,"ATENCION A VICTIMAS DE ATAQUE CON AGENTES QUIMICOS ",IF(O169=CURSOS!$D$6,"PRIMEROS AUXILIOS ",IF(O169=CURSOS!$D$7,"DIPLOMADO DE UNIDAD DE CUIDADOS INTENSIVOS (UCI)",IF(O169=CURSOS!$D$8,"MODELO DE ATENCION PARA EVENTOS EMERGENTES EN SALUD MENTAL (CODIGO VERDE)",IF(O169=CURSOS!$D$9,"HUMANIZACION EN EL SERVICIO DE LA SALUD Y BUENAS PRACTICAS EN PACIENTE ",IF(O169=CURSOS!$D$10,"CLINICA DE HERIDAS ",IF(O169=CURSOS!$D$11,"TOMA DE CITOLOGIA CERVICO VAGINAL ",IF(O169=CURSOS!$D$12,"SOPORTE CARDIOVASCULAR AVANZADO (ACLS) ",IF(O169=CURSOS!$D$13,"CAMILLERO ",IF(O169=CURSOS!$D$14,"TOMA DE MUESTRAS Y LABORATORIO ",IF(O169=CURSOS!$D$15,"SOPORTE VITAL BASICO (BLS)",IF(O169=CURSOS!$D$16,"ATENCION A VICTIMAS DE VIOLENCIA SEXUAL ",IF(O169=CURSOS!$D$17,"PROGRAMADO AMPLIADO DE INMUNIZACION (PAI - COVID 19)",IF(O169=CURSOS!$D$18,"ATENCION INTEGRAL EN ENFERMEDADES PREVALENTES EN PRIMERA INFANCIA (AIEPI)",IF(O169=CURSOS!$D$19,"ADMINISTRACION DE MEDICAMENTOS, INYECTOLOGIA  Y CANALIZACION ",IF(O169=CURSOS!$D$20,"OPERADOR DE VEHICULOS DE EMERGENCIA (OVE)",IF(O169=CURSOS!$D$21,"INSTITUCIONES AMIGAS DE LA MUJER Y LA INFANCIA (IAMI)",IF(O169=CURSOS!$D$22,"CUIDADO DEL DONANTE DE ORGANOS",IF(O169=CURSOS!$D$23,"ATENCION A VICTIMAS POR VIOLENCIA DE GENERO",IF(O169=CURSOS!$D$24,"IGUALDAD DE GENERO EN LA SALUD",IF(O169=CURSOS!$D$25,"BRIGADA DE EMERGENCIA",IF(O169=CURSOS!$D$26,"MANEJO DEL DOLOR Y CUIDADOS PALIATIVOS",IF(O169=CURSOS!$D$27,"TOMA DE MUESTRAS Y LABORATORIO POCT",IF(O169=CURSOS!$D$28,"IMPLANTE SUBDERMICO DE DISPOSITIVO INTRAUTERINO",IF(O169=CURSOS!$D$29,"SALUD MENTAL",IF(O169=CURSOS!$D$30,"PRIMEROS AUXILIOS PSICOLOGICOS",IF(O169=CURSOS!$D$31,"ATENCION A VICTIMAS POR CONFLICTO ARMADO",IF(O169=CURSOS!$D$32,"MANIPULACION DE ALIMENTOS Y BPM",IF(O169=CURSOS!$D$33,"ATENCION A PERSONAS CON DISCAPACIDAD",IF(O169=CURSOS!$D$34,"CUIDADO INTEGRAL DEL PACIENTE ADULTO",IF(O169=CURSOS!$D$35,"MANEJO DEFENSIVO",IF(O169=CURSOS!$D$36,"SOPORTE CARDIOVASCULAR AVANZADO NEONATAL",IF(O169=CURSOS!$D$37,"SEGURIDAD DEL PACIENTE",IF(O169=CURSOS!$D$38,"MANEJO DE RESIDUOS HOSPITALARIOS"))))))))))))))))))))))))))))))))))))</f>
        <v>ACOMPAÑAMIENTO Y MANEJO DEL DUELO</v>
      </c>
      <c r="V169" s="47" t="str">
        <f t="shared" si="9"/>
        <v>Leidy Carolina Rosales Díaz</v>
      </c>
      <c r="W169" s="47" t="str">
        <f t="shared" si="10"/>
        <v>Leidy Carolina Rosales Díaz</v>
      </c>
      <c r="X169" s="47" t="str">
        <f t="shared" si="11"/>
        <v>Leidy Carolina Rosales Díaz-1087027997-DUELO</v>
      </c>
    </row>
    <row r="170" spans="1:24" x14ac:dyDescent="0.2">
      <c r="A170" s="46">
        <v>169</v>
      </c>
      <c r="B170" s="43">
        <v>1087027997</v>
      </c>
      <c r="C170" s="43" t="s">
        <v>187</v>
      </c>
      <c r="D170" s="43" t="s">
        <v>399</v>
      </c>
      <c r="E170" s="43" t="s">
        <v>400</v>
      </c>
      <c r="F170" s="43" t="s">
        <v>122</v>
      </c>
      <c r="G170" s="43">
        <v>21</v>
      </c>
      <c r="H170" s="43" t="s">
        <v>100</v>
      </c>
      <c r="I170" s="55" t="s">
        <v>146</v>
      </c>
      <c r="J170" s="56">
        <v>45618</v>
      </c>
      <c r="K170" s="108">
        <v>28000</v>
      </c>
      <c r="L170" s="43" t="s">
        <v>235</v>
      </c>
      <c r="M170" s="43" t="s">
        <v>80</v>
      </c>
      <c r="N170" s="43" t="s">
        <v>159</v>
      </c>
      <c r="O170" s="43" t="s">
        <v>32</v>
      </c>
      <c r="P170" s="55">
        <v>35912</v>
      </c>
      <c r="Q170" s="43" t="s">
        <v>89</v>
      </c>
      <c r="R170" s="102" t="s">
        <v>208</v>
      </c>
      <c r="S170" s="43">
        <v>3209792900</v>
      </c>
      <c r="T170" s="54" t="s">
        <v>401</v>
      </c>
      <c r="U170" s="47" t="str">
        <f>IF(O170=CURSOS!$D$3,"DIPLOMADO EN ATENCION PRE-HOSPITALARIA",IF(O170=CURSOS!$D$4,"ACOMPAÑAMIENTO Y MANEJO DEL DUELO",IF(O170=CURSOS!$D$5,"ATENCION A VICTIMAS DE ATAQUE CON AGENTES QUIMICOS ",IF(O170=CURSOS!$D$6,"PRIMEROS AUXILIOS ",IF(O170=CURSOS!$D$7,"DIPLOMADO DE UNIDAD DE CUIDADOS INTENSIVOS (UCI)",IF(O170=CURSOS!$D$8,"MODELO DE ATENCION PARA EVENTOS EMERGENTES EN SALUD MENTAL (CODIGO VERDE)",IF(O170=CURSOS!$D$9,"HUMANIZACION EN EL SERVICIO DE LA SALUD Y BUENAS PRACTICAS EN PACIENTE ",IF(O170=CURSOS!$D$10,"CLINICA DE HERIDAS ",IF(O170=CURSOS!$D$11,"TOMA DE CITOLOGIA CERVICO VAGINAL ",IF(O170=CURSOS!$D$12,"SOPORTE CARDIOVASCULAR AVANZADO (ACLS) ",IF(O170=CURSOS!$D$13,"CAMILLERO ",IF(O170=CURSOS!$D$14,"TOMA DE MUESTRAS Y LABORATORIO ",IF(O170=CURSOS!$D$15,"SOPORTE VITAL BASICO (BLS)",IF(O170=CURSOS!$D$16,"ATENCION A VICTIMAS DE VIOLENCIA SEXUAL ",IF(O170=CURSOS!$D$17,"PROGRAMADO AMPLIADO DE INMUNIZACION (PAI - COVID 19)",IF(O170=CURSOS!$D$18,"ATENCION INTEGRAL EN ENFERMEDADES PREVALENTES EN PRIMERA INFANCIA (AIEPI)",IF(O170=CURSOS!$D$19,"ADMINISTRACION DE MEDICAMENTOS, INYECTOLOGIA  Y CANALIZACION ",IF(O170=CURSOS!$D$20,"OPERADOR DE VEHICULOS DE EMERGENCIA (OVE)",IF(O170=CURSOS!$D$21,"INSTITUCIONES AMIGAS DE LA MUJER Y LA INFANCIA (IAMI)",IF(O170=CURSOS!$D$22,"CUIDADO DEL DONANTE DE ORGANOS",IF(O170=CURSOS!$D$23,"ATENCION A VICTIMAS POR VIOLENCIA DE GENERO",IF(O170=CURSOS!$D$24,"IGUALDAD DE GENERO EN LA SALUD",IF(O170=CURSOS!$D$25,"BRIGADA DE EMERGENCIA",IF(O170=CURSOS!$D$26,"MANEJO DEL DOLOR Y CUIDADOS PALIATIVOS",IF(O170=CURSOS!$D$27,"TOMA DE MUESTRAS Y LABORATORIO POCT",IF(O170=CURSOS!$D$28,"IMPLANTE SUBDERMICO DE DISPOSITIVO INTRAUTERINO",IF(O170=CURSOS!$D$29,"SALUD MENTAL",IF(O170=CURSOS!$D$30,"PRIMEROS AUXILIOS PSICOLOGICOS",IF(O170=CURSOS!$D$31,"ATENCION A VICTIMAS POR CONFLICTO ARMADO",IF(O170=CURSOS!$D$32,"MANIPULACION DE ALIMENTOS Y BPM",IF(O170=CURSOS!$D$33,"ATENCION A PERSONAS CON DISCAPACIDAD",IF(O170=CURSOS!$D$34,"CUIDADO INTEGRAL DEL PACIENTE ADULTO",IF(O170=CURSOS!$D$35,"MANEJO DEFENSIVO",IF(O170=CURSOS!$D$36,"SOPORTE CARDIOVASCULAR AVANZADO NEONATAL",IF(O170=CURSOS!$D$37,"SEGURIDAD DEL PACIENTE",IF(O170=CURSOS!$D$38,"MANEJO DE RESIDUOS HOSPITALARIOS"))))))))))))))))))))))))))))))))))))</f>
        <v xml:space="preserve">HUMANIZACION EN EL SERVICIO DE LA SALUD Y BUENAS PRACTICAS EN PACIENTE </v>
      </c>
      <c r="V170" s="47" t="str">
        <f t="shared" si="9"/>
        <v>Leidy Carolina Rosales Díaz</v>
      </c>
      <c r="W170" s="47" t="str">
        <f t="shared" si="10"/>
        <v>Leidy Carolina Rosales Díaz</v>
      </c>
      <c r="X170" s="47" t="str">
        <f t="shared" si="11"/>
        <v>Leidy Carolina Rosales Díaz-1087027997-HUMANIZACION</v>
      </c>
    </row>
    <row r="171" spans="1:24" x14ac:dyDescent="0.2">
      <c r="A171" s="46">
        <v>170</v>
      </c>
      <c r="B171" s="43">
        <v>1087027997</v>
      </c>
      <c r="C171" s="43" t="s">
        <v>187</v>
      </c>
      <c r="D171" s="43" t="s">
        <v>399</v>
      </c>
      <c r="E171" s="43" t="s">
        <v>400</v>
      </c>
      <c r="F171" s="43" t="s">
        <v>122</v>
      </c>
      <c r="G171" s="43">
        <v>19</v>
      </c>
      <c r="H171" s="43" t="s">
        <v>100</v>
      </c>
      <c r="I171" s="55" t="s">
        <v>146</v>
      </c>
      <c r="J171" s="56">
        <v>45618</v>
      </c>
      <c r="K171" s="108">
        <v>28000</v>
      </c>
      <c r="L171" s="43" t="s">
        <v>235</v>
      </c>
      <c r="M171" s="43" t="s">
        <v>80</v>
      </c>
      <c r="N171" s="43" t="s">
        <v>159</v>
      </c>
      <c r="O171" s="43" t="s">
        <v>25</v>
      </c>
      <c r="P171" s="55">
        <v>35912</v>
      </c>
      <c r="Q171" s="43" t="s">
        <v>89</v>
      </c>
      <c r="R171" s="102" t="s">
        <v>208</v>
      </c>
      <c r="S171" s="43">
        <v>3209792900</v>
      </c>
      <c r="T171" s="54" t="s">
        <v>401</v>
      </c>
      <c r="U171" s="47" t="str">
        <f>IF(O171=CURSOS!$D$3,"DIPLOMADO EN ATENCION PRE-HOSPITALARIA",IF(O171=CURSOS!$D$4,"ACOMPAÑAMIENTO Y MANEJO DEL DUELO",IF(O171=CURSOS!$D$5,"ATENCION A VICTIMAS DE ATAQUE CON AGENTES QUIMICOS ",IF(O171=CURSOS!$D$6,"PRIMEROS AUXILIOS ",IF(O171=CURSOS!$D$7,"DIPLOMADO DE UNIDAD DE CUIDADOS INTENSIVOS (UCI)",IF(O171=CURSOS!$D$8,"MODELO DE ATENCION PARA EVENTOS EMERGENTES EN SALUD MENTAL (CODIGO VERDE)",IF(O171=CURSOS!$D$9,"HUMANIZACION EN EL SERVICIO DE LA SALUD Y BUENAS PRACTICAS EN PACIENTE ",IF(O171=CURSOS!$D$10,"CLINICA DE HERIDAS ",IF(O171=CURSOS!$D$11,"TOMA DE CITOLOGIA CERVICO VAGINAL ",IF(O171=CURSOS!$D$12,"SOPORTE CARDIOVASCULAR AVANZADO (ACLS) ",IF(O171=CURSOS!$D$13,"CAMILLERO ",IF(O171=CURSOS!$D$14,"TOMA DE MUESTRAS Y LABORATORIO ",IF(O171=CURSOS!$D$15,"SOPORTE VITAL BASICO (BLS)",IF(O171=CURSOS!$D$16,"ATENCION A VICTIMAS DE VIOLENCIA SEXUAL ",IF(O171=CURSOS!$D$17,"PROGRAMADO AMPLIADO DE INMUNIZACION (PAI - COVID 19)",IF(O171=CURSOS!$D$18,"ATENCION INTEGRAL EN ENFERMEDADES PREVALENTES EN PRIMERA INFANCIA (AIEPI)",IF(O171=CURSOS!$D$19,"ADMINISTRACION DE MEDICAMENTOS, INYECTOLOGIA  Y CANALIZACION ",IF(O171=CURSOS!$D$20,"OPERADOR DE VEHICULOS DE EMERGENCIA (OVE)",IF(O171=CURSOS!$D$21,"INSTITUCIONES AMIGAS DE LA MUJER Y LA INFANCIA (IAMI)",IF(O171=CURSOS!$D$22,"CUIDADO DEL DONANTE DE ORGANOS",IF(O171=CURSOS!$D$23,"ATENCION A VICTIMAS POR VIOLENCIA DE GENERO",IF(O171=CURSOS!$D$24,"IGUALDAD DE GENERO EN LA SALUD",IF(O171=CURSOS!$D$25,"BRIGADA DE EMERGENCIA",IF(O171=CURSOS!$D$26,"MANEJO DEL DOLOR Y CUIDADOS PALIATIVOS",IF(O171=CURSOS!$D$27,"TOMA DE MUESTRAS Y LABORATORIO POCT",IF(O171=CURSOS!$D$28,"IMPLANTE SUBDERMICO DE DISPOSITIVO INTRAUTERINO",IF(O171=CURSOS!$D$29,"SALUD MENTAL",IF(O171=CURSOS!$D$30,"PRIMEROS AUXILIOS PSICOLOGICOS",IF(O171=CURSOS!$D$31,"ATENCION A VICTIMAS POR CONFLICTO ARMADO",IF(O171=CURSOS!$D$32,"MANIPULACION DE ALIMENTOS Y BPM",IF(O171=CURSOS!$D$33,"ATENCION A PERSONAS CON DISCAPACIDAD",IF(O171=CURSOS!$D$34,"CUIDADO INTEGRAL DEL PACIENTE ADULTO",IF(O171=CURSOS!$D$35,"MANEJO DEFENSIVO",IF(O171=CURSOS!$D$36,"SOPORTE CARDIOVASCULAR AVANZADO NEONATAL",IF(O171=CURSOS!$D$37,"SEGURIDAD DEL PACIENTE",IF(O171=CURSOS!$D$38,"MANEJO DE RESIDUOS HOSPITALARIOS"))))))))))))))))))))))))))))))))))))</f>
        <v xml:space="preserve">ATENCION A VICTIMAS DE ATAQUE CON AGENTES QUIMICOS </v>
      </c>
      <c r="V171" s="47" t="str">
        <f t="shared" si="9"/>
        <v>Leidy Carolina Rosales Díaz</v>
      </c>
      <c r="W171" s="47" t="str">
        <f t="shared" si="10"/>
        <v>Leidy Carolina Rosales Díaz</v>
      </c>
      <c r="X171" s="47" t="str">
        <f t="shared" si="11"/>
        <v>Leidy Carolina Rosales Díaz-1087027997-QUIMICOS</v>
      </c>
    </row>
    <row r="172" spans="1:24" x14ac:dyDescent="0.2">
      <c r="A172" s="95">
        <v>171</v>
      </c>
      <c r="B172" s="62">
        <v>1087027997</v>
      </c>
      <c r="C172" s="62" t="s">
        <v>187</v>
      </c>
      <c r="D172" s="62" t="s">
        <v>399</v>
      </c>
      <c r="E172" s="62" t="s">
        <v>400</v>
      </c>
      <c r="F172" s="62" t="s">
        <v>122</v>
      </c>
      <c r="G172" s="62">
        <v>22</v>
      </c>
      <c r="H172" s="62" t="s">
        <v>100</v>
      </c>
      <c r="I172" s="61" t="s">
        <v>146</v>
      </c>
      <c r="J172" s="56">
        <v>45618</v>
      </c>
      <c r="K172" s="110">
        <v>28000</v>
      </c>
      <c r="L172" s="62" t="s">
        <v>235</v>
      </c>
      <c r="M172" s="62" t="s">
        <v>80</v>
      </c>
      <c r="N172" s="62" t="s">
        <v>159</v>
      </c>
      <c r="O172" s="62" t="s">
        <v>44</v>
      </c>
      <c r="P172" s="61">
        <v>35912</v>
      </c>
      <c r="Q172" s="62" t="s">
        <v>89</v>
      </c>
      <c r="R172" s="103" t="s">
        <v>208</v>
      </c>
      <c r="S172" s="62">
        <v>3209792900</v>
      </c>
      <c r="T172" s="60" t="s">
        <v>401</v>
      </c>
      <c r="U172" s="64" t="str">
        <f>IF(O172=CURSOS!$D$3,"DIPLOMADO EN ATENCION PRE-HOSPITALARIA",IF(O172=CURSOS!$D$4,"ACOMPAÑAMIENTO Y MANEJO DEL DUELO",IF(O172=CURSOS!$D$5,"ATENCION A VICTIMAS DE ATAQUE CON AGENTES QUIMICOS ",IF(O172=CURSOS!$D$6,"PRIMEROS AUXILIOS ",IF(O172=CURSOS!$D$7,"DIPLOMADO DE UNIDAD DE CUIDADOS INTENSIVOS (UCI)",IF(O172=CURSOS!$D$8,"MODELO DE ATENCION PARA EVENTOS EMERGENTES EN SALUD MENTAL (CODIGO VERDE)",IF(O172=CURSOS!$D$9,"HUMANIZACION EN EL SERVICIO DE LA SALUD Y BUENAS PRACTICAS EN PACIENTE ",IF(O172=CURSOS!$D$10,"CLINICA DE HERIDAS ",IF(O172=CURSOS!$D$11,"TOMA DE CITOLOGIA CERVICO VAGINAL ",IF(O172=CURSOS!$D$12,"SOPORTE CARDIOVASCULAR AVANZADO (ACLS) ",IF(O172=CURSOS!$D$13,"CAMILLERO ",IF(O172=CURSOS!$D$14,"TOMA DE MUESTRAS Y LABORATORIO ",IF(O172=CURSOS!$D$15,"SOPORTE VITAL BASICO (BLS)",IF(O172=CURSOS!$D$16,"ATENCION A VICTIMAS DE VIOLENCIA SEXUAL ",IF(O172=CURSOS!$D$17,"PROGRAMADO AMPLIADO DE INMUNIZACION (PAI - COVID 19)",IF(O172=CURSOS!$D$18,"ATENCION INTEGRAL EN ENFERMEDADES PREVALENTES EN PRIMERA INFANCIA (AIEPI)",IF(O172=CURSOS!$D$19,"ADMINISTRACION DE MEDICAMENTOS, INYECTOLOGIA  Y CANALIZACION ",IF(O172=CURSOS!$D$20,"OPERADOR DE VEHICULOS DE EMERGENCIA (OVE)",IF(O172=CURSOS!$D$21,"INSTITUCIONES AMIGAS DE LA MUJER Y LA INFANCIA (IAMI)",IF(O172=CURSOS!$D$22,"CUIDADO DEL DONANTE DE ORGANOS",IF(O172=CURSOS!$D$23,"ATENCION A VICTIMAS POR VIOLENCIA DE GENERO",IF(O172=CURSOS!$D$24,"IGUALDAD DE GENERO EN LA SALUD",IF(O172=CURSOS!$D$25,"BRIGADA DE EMERGENCIA",IF(O172=CURSOS!$D$26,"MANEJO DEL DOLOR Y CUIDADOS PALIATIVOS",IF(O172=CURSOS!$D$27,"TOMA DE MUESTRAS Y LABORATORIO POCT",IF(O172=CURSOS!$D$28,"IMPLANTE SUBDERMICO DE DISPOSITIVO INTRAUTERINO",IF(O172=CURSOS!$D$29,"SALUD MENTAL",IF(O172=CURSOS!$D$30,"PRIMEROS AUXILIOS PSICOLOGICOS",IF(O172=CURSOS!$D$31,"ATENCION A VICTIMAS POR CONFLICTO ARMADO",IF(O172=CURSOS!$D$32,"MANIPULACION DE ALIMENTOS Y BPM",IF(O172=CURSOS!$D$33,"ATENCION A PERSONAS CON DISCAPACIDAD",IF(O172=CURSOS!$D$34,"CUIDADO INTEGRAL DEL PACIENTE ADULTO",IF(O172=CURSOS!$D$35,"MANEJO DEFENSIVO",IF(O172=CURSOS!$D$36,"SOPORTE CARDIOVASCULAR AVANZADO NEONATAL",IF(O172=CURSOS!$D$37,"SEGURIDAD DEL PACIENTE",IF(O172=CURSOS!$D$38,"MANEJO DE RESIDUOS HOSPITALARIOS"))))))))))))))))))))))))))))))))))))</f>
        <v>ATENCION INTEGRAL EN ENFERMEDADES PREVALENTES EN PRIMERA INFANCIA (AIEPI)</v>
      </c>
      <c r="V172" s="64" t="str">
        <f t="shared" si="9"/>
        <v>Leidy Carolina Rosales Díaz</v>
      </c>
      <c r="W172" s="64" t="str">
        <f t="shared" si="10"/>
        <v>Leidy Carolina Rosales Díaz</v>
      </c>
      <c r="X172" s="64" t="str">
        <f t="shared" si="11"/>
        <v>Leidy Carolina Rosales Díaz-1087027997-AIEPI</v>
      </c>
    </row>
    <row r="173" spans="1:24" s="58" customFormat="1" x14ac:dyDescent="0.2">
      <c r="A173" s="46">
        <v>172</v>
      </c>
      <c r="B173" s="43">
        <v>1085335985</v>
      </c>
      <c r="C173" s="43" t="s">
        <v>402</v>
      </c>
      <c r="D173" s="43" t="s">
        <v>275</v>
      </c>
      <c r="E173" s="43" t="s">
        <v>396</v>
      </c>
      <c r="F173" s="43" t="s">
        <v>122</v>
      </c>
      <c r="G173" s="43">
        <v>22</v>
      </c>
      <c r="H173" s="43" t="s">
        <v>100</v>
      </c>
      <c r="I173" s="55" t="s">
        <v>146</v>
      </c>
      <c r="J173" s="56">
        <v>45618</v>
      </c>
      <c r="K173" s="108">
        <v>40000</v>
      </c>
      <c r="L173" s="43" t="s">
        <v>139</v>
      </c>
      <c r="M173" s="43" t="s">
        <v>80</v>
      </c>
      <c r="N173" s="43" t="s">
        <v>90</v>
      </c>
      <c r="O173" s="43" t="s">
        <v>57</v>
      </c>
      <c r="P173" s="55">
        <v>35604</v>
      </c>
      <c r="Q173" s="43" t="s">
        <v>89</v>
      </c>
      <c r="R173" s="102" t="s">
        <v>286</v>
      </c>
      <c r="S173" s="43">
        <v>3053519994</v>
      </c>
      <c r="T173" s="82" t="s">
        <v>403</v>
      </c>
      <c r="U173" s="47" t="str">
        <f>IF(O173=CURSOS!$D$3,"DIPLOMADO EN ATENCION PRE-HOSPITALARIA",IF(O173=CURSOS!$D$4,"ACOMPAÑAMIENTO Y MANEJO DEL DUELO",IF(O173=CURSOS!$D$5,"ATENCION A VICTIMAS DE ATAQUE CON AGENTES QUIMICOS ",IF(O173=CURSOS!$D$6,"PRIMEROS AUXILIOS ",IF(O173=CURSOS!$D$7,"DIPLOMADO DE UNIDAD DE CUIDADOS INTENSIVOS (UCI)",IF(O173=CURSOS!$D$8,"MODELO DE ATENCION PARA EVENTOS EMERGENTES EN SALUD MENTAL (CODIGO VERDE)",IF(O173=CURSOS!$D$9,"HUMANIZACION EN EL SERVICIO DE LA SALUD Y BUENAS PRACTICAS EN PACIENTE ",IF(O173=CURSOS!$D$10,"CLINICA DE HERIDAS ",IF(O173=CURSOS!$D$11,"TOMA DE CITOLOGIA CERVICO VAGINAL ",IF(O173=CURSOS!$D$12,"SOPORTE CARDIOVASCULAR AVANZADO (ACLS) ",IF(O173=CURSOS!$D$13,"CAMILLERO ",IF(O173=CURSOS!$D$14,"TOMA DE MUESTRAS Y LABORATORIO ",IF(O173=CURSOS!$D$15,"SOPORTE VITAL BASICO (BLS)",IF(O173=CURSOS!$D$16,"ATENCION A VICTIMAS DE VIOLENCIA SEXUAL ",IF(O173=CURSOS!$D$17,"PROGRAMADO AMPLIADO DE INMUNIZACION (PAI - COVID 19)",IF(O173=CURSOS!$D$18,"ATENCION INTEGRAL EN ENFERMEDADES PREVALENTES EN PRIMERA INFANCIA (AIEPI)",IF(O173=CURSOS!$D$19,"ADMINISTRACION DE MEDICAMENTOS, INYECTOLOGIA  Y CANALIZACION ",IF(O173=CURSOS!$D$20,"OPERADOR DE VEHICULOS DE EMERGENCIA (OVE)",IF(O173=CURSOS!$D$21,"INSTITUCIONES AMIGAS DE LA MUJER Y LA INFANCIA (IAMI)",IF(O173=CURSOS!$D$22,"CUIDADO DEL DONANTE DE ORGANOS",IF(O173=CURSOS!$D$23,"ATENCION A VICTIMAS POR VIOLENCIA DE GENERO",IF(O173=CURSOS!$D$24,"IGUALDAD DE GENERO EN LA SALUD",IF(O173=CURSOS!$D$25,"BRIGADA DE EMERGENCIA",IF(O173=CURSOS!$D$26,"MANEJO DEL DOLOR Y CUIDADOS PALIATIVOS",IF(O173=CURSOS!$D$27,"TOMA DE MUESTRAS Y LABORATORIO POCT",IF(O173=CURSOS!$D$28,"IMPLANTE SUBDERMICO DE DISPOSITIVO INTRAUTERINO",IF(O173=CURSOS!$D$29,"SALUD MENTAL",IF(O173=CURSOS!$D$30,"PRIMEROS AUXILIOS PSICOLOGICOS",IF(O173=CURSOS!$D$31,"ATENCION A VICTIMAS POR CONFLICTO ARMADO",IF(O173=CURSOS!$D$32,"MANIPULACION DE ALIMENTOS Y BPM",IF(O173=CURSOS!$D$33,"ATENCION A PERSONAS CON DISCAPACIDAD",IF(O173=CURSOS!$D$34,"CUIDADO INTEGRAL DEL PACIENTE ADULTO",IF(O173=CURSOS!$D$35,"MANEJO DEFENSIVO",IF(O173=CURSOS!$D$36,"SOPORTE CARDIOVASCULAR AVANZADO NEONATAL",IF(O173=CURSOS!$D$37,"SEGURIDAD DEL PACIENTE",IF(O173=CURSOS!$D$38,"MANEJO DE RESIDUOS HOSPITALARIOS"))))))))))))))))))))))))))))))))))))</f>
        <v>MANEJO DEL DOLOR Y CUIDADOS PALIATIVOS</v>
      </c>
      <c r="V173" s="47" t="str">
        <f t="shared" si="9"/>
        <v>Diana Carolina Betancourth Calvo</v>
      </c>
      <c r="W173" s="47" t="str">
        <f t="shared" si="10"/>
        <v>Diana Carolina Betancourth Calvo</v>
      </c>
      <c r="X173" s="47" t="str">
        <f t="shared" si="11"/>
        <v>Diana Carolina Betancourth Calvo-1085335985-PALIATIVOS</v>
      </c>
    </row>
    <row r="174" spans="1:24" s="58" customFormat="1" x14ac:dyDescent="0.2">
      <c r="A174" s="46">
        <v>173</v>
      </c>
      <c r="B174" s="43">
        <v>1193482338</v>
      </c>
      <c r="C174" s="43" t="s">
        <v>267</v>
      </c>
      <c r="D174" s="43" t="s">
        <v>332</v>
      </c>
      <c r="E174" s="43" t="s">
        <v>137</v>
      </c>
      <c r="F174" s="43" t="s">
        <v>406</v>
      </c>
      <c r="G174" s="43">
        <v>22</v>
      </c>
      <c r="H174" s="43" t="s">
        <v>100</v>
      </c>
      <c r="I174" s="55" t="s">
        <v>92</v>
      </c>
      <c r="J174" s="56">
        <v>45618</v>
      </c>
      <c r="K174" s="108">
        <v>80000</v>
      </c>
      <c r="L174" s="43" t="s">
        <v>147</v>
      </c>
      <c r="M174" s="43" t="s">
        <v>80</v>
      </c>
      <c r="N174" s="43" t="s">
        <v>90</v>
      </c>
      <c r="O174" s="43" t="s">
        <v>45</v>
      </c>
      <c r="P174" s="55">
        <v>37134</v>
      </c>
      <c r="Q174" s="43" t="s">
        <v>89</v>
      </c>
      <c r="R174" s="102" t="s">
        <v>404</v>
      </c>
      <c r="S174" s="43">
        <v>3108480264</v>
      </c>
      <c r="T174" s="54" t="s">
        <v>405</v>
      </c>
      <c r="U174" s="47" t="str">
        <f>IF(O174=CURSOS!$D$3,"DIPLOMADO EN ATENCION PRE-HOSPITALARIA",IF(O174=CURSOS!$D$4,"ACOMPAÑAMIENTO Y MANEJO DEL DUELO",IF(O174=CURSOS!$D$5,"ATENCION A VICTIMAS DE ATAQUE CON AGENTES QUIMICOS ",IF(O174=CURSOS!$D$6,"PRIMEROS AUXILIOS ",IF(O174=CURSOS!$D$7,"DIPLOMADO DE UNIDAD DE CUIDADOS INTENSIVOS (UCI)",IF(O174=CURSOS!$D$8,"MODELO DE ATENCION PARA EVENTOS EMERGENTES EN SALUD MENTAL (CODIGO VERDE)",IF(O174=CURSOS!$D$9,"HUMANIZACION EN EL SERVICIO DE LA SALUD Y BUENAS PRACTICAS EN PACIENTE ",IF(O174=CURSOS!$D$10,"CLINICA DE HERIDAS ",IF(O174=CURSOS!$D$11,"TOMA DE CITOLOGIA CERVICO VAGINAL ",IF(O174=CURSOS!$D$12,"SOPORTE CARDIOVASCULAR AVANZADO (ACLS) ",IF(O174=CURSOS!$D$13,"CAMILLERO ",IF(O174=CURSOS!$D$14,"TOMA DE MUESTRAS Y LABORATORIO ",IF(O174=CURSOS!$D$15,"SOPORTE VITAL BASICO (BLS)",IF(O174=CURSOS!$D$16,"ATENCION A VICTIMAS DE VIOLENCIA SEXUAL ",IF(O174=CURSOS!$D$17,"PROGRAMADO AMPLIADO DE INMUNIZACION (PAI - COVID 19)",IF(O174=CURSOS!$D$18,"ATENCION INTEGRAL EN ENFERMEDADES PREVALENTES EN PRIMERA INFANCIA (AIEPI)",IF(O174=CURSOS!$D$19,"ADMINISTRACION DE MEDICAMENTOS, INYECTOLOGIA  Y CANALIZACION ",IF(O174=CURSOS!$D$20,"OPERADOR DE VEHICULOS DE EMERGENCIA (OVE)",IF(O174=CURSOS!$D$21,"INSTITUCIONES AMIGAS DE LA MUJER Y LA INFANCIA (IAMI)",IF(O174=CURSOS!$D$22,"CUIDADO DEL DONANTE DE ORGANOS",IF(O174=CURSOS!$D$23,"ATENCION A VICTIMAS POR VIOLENCIA DE GENERO",IF(O174=CURSOS!$D$24,"IGUALDAD DE GENERO EN LA SALUD",IF(O174=CURSOS!$D$25,"BRIGADA DE EMERGENCIA",IF(O174=CURSOS!$D$26,"MANEJO DEL DOLOR Y CUIDADOS PALIATIVOS",IF(O174=CURSOS!$D$27,"TOMA DE MUESTRAS Y LABORATORIO POCT",IF(O174=CURSOS!$D$28,"IMPLANTE SUBDERMICO DE DISPOSITIVO INTRAUTERINO",IF(O174=CURSOS!$D$29,"SALUD MENTAL",IF(O174=CURSOS!$D$30,"PRIMEROS AUXILIOS PSICOLOGICOS",IF(O174=CURSOS!$D$31,"ATENCION A VICTIMAS POR CONFLICTO ARMADO",IF(O174=CURSOS!$D$32,"MANIPULACION DE ALIMENTOS Y BPM",IF(O174=CURSOS!$D$33,"ATENCION A PERSONAS CON DISCAPACIDAD",IF(O174=CURSOS!$D$34,"CUIDADO INTEGRAL DEL PACIENTE ADULTO",IF(O174=CURSOS!$D$35,"MANEJO DEFENSIVO",IF(O174=CURSOS!$D$36,"SOPORTE CARDIOVASCULAR AVANZADO NEONATAL",IF(O174=CURSOS!$D$37,"SEGURIDAD DEL PACIENTE",IF(O174=CURSOS!$D$38,"MANEJO DE RESIDUOS HOSPITALARIOS"))))))))))))))))))))))))))))))))))))</f>
        <v xml:space="preserve">ADMINISTRACION DE MEDICAMENTOS, INYECTOLOGIA  Y CANALIZACION </v>
      </c>
      <c r="V174" s="47" t="str">
        <f t="shared" ref="V174:V224" si="12">CONCATENATE(E174," ",F174," ",C174," ",D174)</f>
        <v>Angela Del Pilar Guerrero Muñoz</v>
      </c>
      <c r="W174" s="47" t="str">
        <f t="shared" ref="W174:W224" si="13">PROPER(V174)</f>
        <v>Angela Del Pilar Guerrero Muñoz</v>
      </c>
      <c r="X174" s="47" t="str">
        <f t="shared" ref="X174:X224" si="14">CONCATENATE(V174,"-",B174,"-",O174)</f>
        <v>Angela Del Pilar Guerrero Muñoz-1193482338-ADMON DE MEDICAMENTOS</v>
      </c>
    </row>
    <row r="175" spans="1:24" x14ac:dyDescent="0.2">
      <c r="A175" s="46">
        <v>174</v>
      </c>
      <c r="B175" s="43">
        <v>1085280790</v>
      </c>
      <c r="C175" s="43" t="s">
        <v>372</v>
      </c>
      <c r="D175" s="43" t="s">
        <v>407</v>
      </c>
      <c r="E175" s="43" t="s">
        <v>408</v>
      </c>
      <c r="F175" s="43" t="s">
        <v>215</v>
      </c>
      <c r="G175" s="43">
        <v>22</v>
      </c>
      <c r="H175" s="43" t="s">
        <v>100</v>
      </c>
      <c r="I175" s="55" t="s">
        <v>146</v>
      </c>
      <c r="J175" s="56">
        <v>45618</v>
      </c>
      <c r="K175" s="108">
        <v>35000</v>
      </c>
      <c r="L175" s="43" t="s">
        <v>147</v>
      </c>
      <c r="M175" s="43" t="s">
        <v>80</v>
      </c>
      <c r="N175" s="43" t="s">
        <v>90</v>
      </c>
      <c r="O175" s="43" t="s">
        <v>62</v>
      </c>
      <c r="P175" s="55">
        <v>32916</v>
      </c>
      <c r="Q175" s="43" t="s">
        <v>148</v>
      </c>
      <c r="R175" s="43" t="s">
        <v>189</v>
      </c>
      <c r="S175" s="43">
        <v>3145184052</v>
      </c>
      <c r="T175" s="54" t="s">
        <v>409</v>
      </c>
      <c r="U175" s="47" t="str">
        <f>IF(O175=CURSOS!$D$3,"DIPLOMADO EN ATENCION PRE-HOSPITALARIA",IF(O175=CURSOS!$D$4,"ACOMPAÑAMIENTO Y MANEJO DEL DUELO",IF(O175=CURSOS!$D$5,"ATENCION A VICTIMAS DE ATAQUE CON AGENTES QUIMICOS ",IF(O175=CURSOS!$D$6,"PRIMEROS AUXILIOS ",IF(O175=CURSOS!$D$7,"DIPLOMADO DE UNIDAD DE CUIDADOS INTENSIVOS (UCI)",IF(O175=CURSOS!$D$8,"MODELO DE ATENCION PARA EVENTOS EMERGENTES EN SALUD MENTAL (CODIGO VERDE)",IF(O175=CURSOS!$D$9,"HUMANIZACION EN EL SERVICIO DE LA SALUD Y BUENAS PRACTICAS EN PACIENTE ",IF(O175=CURSOS!$D$10,"CLINICA DE HERIDAS ",IF(O175=CURSOS!$D$11,"TOMA DE CITOLOGIA CERVICO VAGINAL ",IF(O175=CURSOS!$D$12,"SOPORTE CARDIOVASCULAR AVANZADO (ACLS) ",IF(O175=CURSOS!$D$13,"CAMILLERO ",IF(O175=CURSOS!$D$14,"TOMA DE MUESTRAS Y LABORATORIO ",IF(O175=CURSOS!$D$15,"SOPORTE VITAL BASICO (BLS)",IF(O175=CURSOS!$D$16,"ATENCION A VICTIMAS DE VIOLENCIA SEXUAL ",IF(O175=CURSOS!$D$17,"PROGRAMADO AMPLIADO DE INMUNIZACION (PAI - COVID 19)",IF(O175=CURSOS!$D$18,"ATENCION INTEGRAL EN ENFERMEDADES PREVALENTES EN PRIMERA INFANCIA (AIEPI)",IF(O175=CURSOS!$D$19,"ADMINISTRACION DE MEDICAMENTOS, INYECTOLOGIA  Y CANALIZACION ",IF(O175=CURSOS!$D$20,"OPERADOR DE VEHICULOS DE EMERGENCIA (OVE)",IF(O175=CURSOS!$D$21,"INSTITUCIONES AMIGAS DE LA MUJER Y LA INFANCIA (IAMI)",IF(O175=CURSOS!$D$22,"CUIDADO DEL DONANTE DE ORGANOS",IF(O175=CURSOS!$D$23,"ATENCION A VICTIMAS POR VIOLENCIA DE GENERO",IF(O175=CURSOS!$D$24,"IGUALDAD DE GENERO EN LA SALUD",IF(O175=CURSOS!$D$25,"BRIGADA DE EMERGENCIA",IF(O175=CURSOS!$D$26,"MANEJO DEL DOLOR Y CUIDADOS PALIATIVOS",IF(O175=CURSOS!$D$27,"TOMA DE MUESTRAS Y LABORATORIO POCT",IF(O175=CURSOS!$D$28,"IMPLANTE SUBDERMICO DE DISPOSITIVO INTRAUTERINO",IF(O175=CURSOS!$D$29,"SALUD MENTAL",IF(O175=CURSOS!$D$30,"PRIMEROS AUXILIOS PSICOLOGICOS",IF(O175=CURSOS!$D$31,"ATENCION A VICTIMAS POR CONFLICTO ARMADO",IF(O175=CURSOS!$D$32,"MANIPULACION DE ALIMENTOS Y BPM",IF(O175=CURSOS!$D$33,"ATENCION A PERSONAS CON DISCAPACIDAD",IF(O175=CURSOS!$D$34,"CUIDADO INTEGRAL DEL PACIENTE ADULTO",IF(O175=CURSOS!$D$35,"MANEJO DEFENSIVO",IF(O175=CURSOS!$D$36,"SOPORTE CARDIOVASCULAR AVANZADO NEONATAL",IF(O175=CURSOS!$D$37,"SEGURIDAD DEL PACIENTE",IF(O175=CURSOS!$D$38,"MANEJO DE RESIDUOS HOSPITALARIOS"))))))))))))))))))))))))))))))))))))</f>
        <v>PRIMEROS AUXILIOS PSICOLOGICOS</v>
      </c>
      <c r="V175" s="47" t="str">
        <f t="shared" si="12"/>
        <v>Christian Camilo Santacruz Pabon</v>
      </c>
      <c r="W175" s="47" t="str">
        <f t="shared" si="13"/>
        <v>Christian Camilo Santacruz Pabon</v>
      </c>
      <c r="X175" s="47" t="str">
        <f t="shared" si="14"/>
        <v>Christian Camilo Santacruz Pabon-1085280790-PRIMEROS AUXILIOS P</v>
      </c>
    </row>
    <row r="176" spans="1:24" x14ac:dyDescent="0.2">
      <c r="A176" s="46">
        <v>175</v>
      </c>
      <c r="B176" s="43">
        <v>1085280790</v>
      </c>
      <c r="C176" s="43" t="s">
        <v>372</v>
      </c>
      <c r="D176" s="43" t="s">
        <v>407</v>
      </c>
      <c r="E176" s="43" t="s">
        <v>408</v>
      </c>
      <c r="F176" s="43" t="s">
        <v>215</v>
      </c>
      <c r="G176" s="43">
        <v>21</v>
      </c>
      <c r="H176" s="43" t="s">
        <v>100</v>
      </c>
      <c r="I176" s="55" t="s">
        <v>146</v>
      </c>
      <c r="J176" s="56">
        <v>45618</v>
      </c>
      <c r="K176" s="108">
        <v>35000</v>
      </c>
      <c r="L176" s="43" t="s">
        <v>147</v>
      </c>
      <c r="M176" s="43" t="s">
        <v>80</v>
      </c>
      <c r="N176" s="43" t="s">
        <v>90</v>
      </c>
      <c r="O176" s="43" t="s">
        <v>61</v>
      </c>
      <c r="P176" s="55">
        <v>32916</v>
      </c>
      <c r="Q176" s="43" t="s">
        <v>148</v>
      </c>
      <c r="R176" s="43" t="s">
        <v>189</v>
      </c>
      <c r="S176" s="43">
        <v>3145184052</v>
      </c>
      <c r="T176" s="54" t="s">
        <v>409</v>
      </c>
      <c r="U176" s="47" t="str">
        <f>IF(O176=CURSOS!$D$3,"DIPLOMADO EN ATENCION PRE-HOSPITALARIA",IF(O176=CURSOS!$D$4,"ACOMPAÑAMIENTO Y MANEJO DEL DUELO",IF(O176=CURSOS!$D$5,"ATENCION A VICTIMAS DE ATAQUE CON AGENTES QUIMICOS ",IF(O176=CURSOS!$D$6,"PRIMEROS AUXILIOS ",IF(O176=CURSOS!$D$7,"DIPLOMADO DE UNIDAD DE CUIDADOS INTENSIVOS (UCI)",IF(O176=CURSOS!$D$8,"MODELO DE ATENCION PARA EVENTOS EMERGENTES EN SALUD MENTAL (CODIGO VERDE)",IF(O176=CURSOS!$D$9,"HUMANIZACION EN EL SERVICIO DE LA SALUD Y BUENAS PRACTICAS EN PACIENTE ",IF(O176=CURSOS!$D$10,"CLINICA DE HERIDAS ",IF(O176=CURSOS!$D$11,"TOMA DE CITOLOGIA CERVICO VAGINAL ",IF(O176=CURSOS!$D$12,"SOPORTE CARDIOVASCULAR AVANZADO (ACLS) ",IF(O176=CURSOS!$D$13,"CAMILLERO ",IF(O176=CURSOS!$D$14,"TOMA DE MUESTRAS Y LABORATORIO ",IF(O176=CURSOS!$D$15,"SOPORTE VITAL BASICO (BLS)",IF(O176=CURSOS!$D$16,"ATENCION A VICTIMAS DE VIOLENCIA SEXUAL ",IF(O176=CURSOS!$D$17,"PROGRAMADO AMPLIADO DE INMUNIZACION (PAI - COVID 19)",IF(O176=CURSOS!$D$18,"ATENCION INTEGRAL EN ENFERMEDADES PREVALENTES EN PRIMERA INFANCIA (AIEPI)",IF(O176=CURSOS!$D$19,"ADMINISTRACION DE MEDICAMENTOS, INYECTOLOGIA  Y CANALIZACION ",IF(O176=CURSOS!$D$20,"OPERADOR DE VEHICULOS DE EMERGENCIA (OVE)",IF(O176=CURSOS!$D$21,"INSTITUCIONES AMIGAS DE LA MUJER Y LA INFANCIA (IAMI)",IF(O176=CURSOS!$D$22,"CUIDADO DEL DONANTE DE ORGANOS",IF(O176=CURSOS!$D$23,"ATENCION A VICTIMAS POR VIOLENCIA DE GENERO",IF(O176=CURSOS!$D$24,"IGUALDAD DE GENERO EN LA SALUD",IF(O176=CURSOS!$D$25,"BRIGADA DE EMERGENCIA",IF(O176=CURSOS!$D$26,"MANEJO DEL DOLOR Y CUIDADOS PALIATIVOS",IF(O176=CURSOS!$D$27,"TOMA DE MUESTRAS Y LABORATORIO POCT",IF(O176=CURSOS!$D$28,"IMPLANTE SUBDERMICO DE DISPOSITIVO INTRAUTERINO",IF(O176=CURSOS!$D$29,"SALUD MENTAL",IF(O176=CURSOS!$D$30,"PRIMEROS AUXILIOS PSICOLOGICOS",IF(O176=CURSOS!$D$31,"ATENCION A VICTIMAS POR CONFLICTO ARMADO",IF(O176=CURSOS!$D$32,"MANIPULACION DE ALIMENTOS Y BPM",IF(O176=CURSOS!$D$33,"ATENCION A PERSONAS CON DISCAPACIDAD",IF(O176=CURSOS!$D$34,"CUIDADO INTEGRAL DEL PACIENTE ADULTO",IF(O176=CURSOS!$D$35,"MANEJO DEFENSIVO",IF(O176=CURSOS!$D$36,"SOPORTE CARDIOVASCULAR AVANZADO NEONATAL",IF(O176=CURSOS!$D$37,"SEGURIDAD DEL PACIENTE",IF(O176=CURSOS!$D$38,"MANEJO DE RESIDUOS HOSPITALARIOS"))))))))))))))))))))))))))))))))))))</f>
        <v>SALUD MENTAL</v>
      </c>
      <c r="V176" s="47" t="str">
        <f t="shared" si="12"/>
        <v>Christian Camilo Santacruz Pabon</v>
      </c>
      <c r="W176" s="47" t="str">
        <f t="shared" si="13"/>
        <v>Christian Camilo Santacruz Pabon</v>
      </c>
      <c r="X176" s="47" t="str">
        <f t="shared" si="14"/>
        <v>Christian Camilo Santacruz Pabon-1085280790-SALUD MENTAL</v>
      </c>
    </row>
    <row r="177" spans="1:24" x14ac:dyDescent="0.2">
      <c r="A177" s="46">
        <v>176</v>
      </c>
      <c r="B177" s="43">
        <v>27081932</v>
      </c>
      <c r="C177" s="43" t="s">
        <v>306</v>
      </c>
      <c r="D177" s="43" t="s">
        <v>411</v>
      </c>
      <c r="E177" s="43" t="s">
        <v>412</v>
      </c>
      <c r="F177" s="43" t="s">
        <v>239</v>
      </c>
      <c r="G177" s="43">
        <v>22</v>
      </c>
      <c r="H177" s="43" t="s">
        <v>100</v>
      </c>
      <c r="I177" s="55" t="s">
        <v>146</v>
      </c>
      <c r="J177" s="56">
        <v>45619</v>
      </c>
      <c r="K177" s="108">
        <v>35000</v>
      </c>
      <c r="L177" s="43" t="s">
        <v>327</v>
      </c>
      <c r="M177" s="43" t="s">
        <v>80</v>
      </c>
      <c r="N177" s="43" t="s">
        <v>90</v>
      </c>
      <c r="O177" s="43" t="s">
        <v>44</v>
      </c>
      <c r="P177" s="55">
        <v>28465</v>
      </c>
      <c r="Q177" s="43" t="s">
        <v>89</v>
      </c>
      <c r="R177" s="102" t="s">
        <v>286</v>
      </c>
      <c r="S177" s="43">
        <v>3146816203</v>
      </c>
      <c r="T177" s="54" t="s">
        <v>413</v>
      </c>
      <c r="U177" s="47" t="str">
        <f>IF(O177=CURSOS!$D$3,"DIPLOMADO EN ATENCION PRE-HOSPITALARIA",IF(O177=CURSOS!$D$4,"ACOMPAÑAMIENTO Y MANEJO DEL DUELO",IF(O177=CURSOS!$D$5,"ATENCION A VICTIMAS DE ATAQUE CON AGENTES QUIMICOS ",IF(O177=CURSOS!$D$6,"PRIMEROS AUXILIOS ",IF(O177=CURSOS!$D$7,"DIPLOMADO DE UNIDAD DE CUIDADOS INTENSIVOS (UCI)",IF(O177=CURSOS!$D$8,"MODELO DE ATENCION PARA EVENTOS EMERGENTES EN SALUD MENTAL (CODIGO VERDE)",IF(O177=CURSOS!$D$9,"HUMANIZACION EN EL SERVICIO DE LA SALUD Y BUENAS PRACTICAS EN PACIENTE ",IF(O177=CURSOS!$D$10,"CLINICA DE HERIDAS ",IF(O177=CURSOS!$D$11,"TOMA DE CITOLOGIA CERVICO VAGINAL ",IF(O177=CURSOS!$D$12,"SOPORTE CARDIOVASCULAR AVANZADO (ACLS) ",IF(O177=CURSOS!$D$13,"CAMILLERO ",IF(O177=CURSOS!$D$14,"TOMA DE MUESTRAS Y LABORATORIO ",IF(O177=CURSOS!$D$15,"SOPORTE VITAL BASICO (BLS)",IF(O177=CURSOS!$D$16,"ATENCION A VICTIMAS DE VIOLENCIA SEXUAL ",IF(O177=CURSOS!$D$17,"PROGRAMADO AMPLIADO DE INMUNIZACION (PAI - COVID 19)",IF(O177=CURSOS!$D$18,"ATENCION INTEGRAL EN ENFERMEDADES PREVALENTES EN PRIMERA INFANCIA (AIEPI)",IF(O177=CURSOS!$D$19,"ADMINISTRACION DE MEDICAMENTOS, INYECTOLOGIA  Y CANALIZACION ",IF(O177=CURSOS!$D$20,"OPERADOR DE VEHICULOS DE EMERGENCIA (OVE)",IF(O177=CURSOS!$D$21,"INSTITUCIONES AMIGAS DE LA MUJER Y LA INFANCIA (IAMI)",IF(O177=CURSOS!$D$22,"CUIDADO DEL DONANTE DE ORGANOS",IF(O177=CURSOS!$D$23,"ATENCION A VICTIMAS POR VIOLENCIA DE GENERO",IF(O177=CURSOS!$D$24,"IGUALDAD DE GENERO EN LA SALUD",IF(O177=CURSOS!$D$25,"BRIGADA DE EMERGENCIA",IF(O177=CURSOS!$D$26,"MANEJO DEL DOLOR Y CUIDADOS PALIATIVOS",IF(O177=CURSOS!$D$27,"TOMA DE MUESTRAS Y LABORATORIO POCT",IF(O177=CURSOS!$D$28,"IMPLANTE SUBDERMICO DE DISPOSITIVO INTRAUTERINO",IF(O177=CURSOS!$D$29,"SALUD MENTAL",IF(O177=CURSOS!$D$30,"PRIMEROS AUXILIOS PSICOLOGICOS",IF(O177=CURSOS!$D$31,"ATENCION A VICTIMAS POR CONFLICTO ARMADO",IF(O177=CURSOS!$D$32,"MANIPULACION DE ALIMENTOS Y BPM",IF(O177=CURSOS!$D$33,"ATENCION A PERSONAS CON DISCAPACIDAD",IF(O177=CURSOS!$D$34,"CUIDADO INTEGRAL DEL PACIENTE ADULTO",IF(O177=CURSOS!$D$35,"MANEJO DEFENSIVO",IF(O177=CURSOS!$D$36,"SOPORTE CARDIOVASCULAR AVANZADO NEONATAL",IF(O177=CURSOS!$D$37,"SEGURIDAD DEL PACIENTE",IF(O177=CURSOS!$D$38,"MANEJO DE RESIDUOS HOSPITALARIOS"))))))))))))))))))))))))))))))))))))</f>
        <v>ATENCION INTEGRAL EN ENFERMEDADES PREVALENTES EN PRIMERA INFANCIA (AIEPI)</v>
      </c>
      <c r="V177" s="47" t="str">
        <f t="shared" si="12"/>
        <v>Martha Lucia Melo Ceron</v>
      </c>
      <c r="W177" s="47" t="str">
        <f t="shared" si="13"/>
        <v>Martha Lucia Melo Ceron</v>
      </c>
      <c r="X177" s="47" t="str">
        <f t="shared" si="14"/>
        <v>Martha Lucia Melo Ceron-27081932-AIEPI</v>
      </c>
    </row>
    <row r="178" spans="1:24" x14ac:dyDescent="0.2">
      <c r="A178" s="46">
        <v>177</v>
      </c>
      <c r="B178" s="43">
        <v>27081932</v>
      </c>
      <c r="C178" s="43" t="s">
        <v>306</v>
      </c>
      <c r="D178" s="43" t="s">
        <v>411</v>
      </c>
      <c r="E178" s="43" t="s">
        <v>412</v>
      </c>
      <c r="F178" s="43" t="s">
        <v>239</v>
      </c>
      <c r="G178" s="43">
        <v>23</v>
      </c>
      <c r="H178" s="43" t="s">
        <v>100</v>
      </c>
      <c r="I178" s="55" t="s">
        <v>146</v>
      </c>
      <c r="J178" s="56">
        <v>45619</v>
      </c>
      <c r="K178" s="108">
        <v>35000</v>
      </c>
      <c r="L178" s="43" t="s">
        <v>327</v>
      </c>
      <c r="M178" s="43" t="s">
        <v>80</v>
      </c>
      <c r="N178" s="43" t="s">
        <v>90</v>
      </c>
      <c r="O178" s="43" t="s">
        <v>48</v>
      </c>
      <c r="P178" s="55">
        <v>28465</v>
      </c>
      <c r="Q178" s="43" t="s">
        <v>89</v>
      </c>
      <c r="R178" s="102" t="s">
        <v>286</v>
      </c>
      <c r="S178" s="43">
        <v>3146816203</v>
      </c>
      <c r="T178" s="54" t="s">
        <v>413</v>
      </c>
      <c r="U178" s="47" t="str">
        <f>IF(O178=CURSOS!$D$3,"DIPLOMADO EN ATENCION PRE-HOSPITALARIA",IF(O178=CURSOS!$D$4,"ACOMPAÑAMIENTO Y MANEJO DEL DUELO",IF(O178=CURSOS!$D$5,"ATENCION A VICTIMAS DE ATAQUE CON AGENTES QUIMICOS ",IF(O178=CURSOS!$D$6,"PRIMEROS AUXILIOS ",IF(O178=CURSOS!$D$7,"DIPLOMADO DE UNIDAD DE CUIDADOS INTENSIVOS (UCI)",IF(O178=CURSOS!$D$8,"MODELO DE ATENCION PARA EVENTOS EMERGENTES EN SALUD MENTAL (CODIGO VERDE)",IF(O178=CURSOS!$D$9,"HUMANIZACION EN EL SERVICIO DE LA SALUD Y BUENAS PRACTICAS EN PACIENTE ",IF(O178=CURSOS!$D$10,"CLINICA DE HERIDAS ",IF(O178=CURSOS!$D$11,"TOMA DE CITOLOGIA CERVICO VAGINAL ",IF(O178=CURSOS!$D$12,"SOPORTE CARDIOVASCULAR AVANZADO (ACLS) ",IF(O178=CURSOS!$D$13,"CAMILLERO ",IF(O178=CURSOS!$D$14,"TOMA DE MUESTRAS Y LABORATORIO ",IF(O178=CURSOS!$D$15,"SOPORTE VITAL BASICO (BLS)",IF(O178=CURSOS!$D$16,"ATENCION A VICTIMAS DE VIOLENCIA SEXUAL ",IF(O178=CURSOS!$D$17,"PROGRAMADO AMPLIADO DE INMUNIZACION (PAI - COVID 19)",IF(O178=CURSOS!$D$18,"ATENCION INTEGRAL EN ENFERMEDADES PREVALENTES EN PRIMERA INFANCIA (AIEPI)",IF(O178=CURSOS!$D$19,"ADMINISTRACION DE MEDICAMENTOS, INYECTOLOGIA  Y CANALIZACION ",IF(O178=CURSOS!$D$20,"OPERADOR DE VEHICULOS DE EMERGENCIA (OVE)",IF(O178=CURSOS!$D$21,"INSTITUCIONES AMIGAS DE LA MUJER Y LA INFANCIA (IAMI)",IF(O178=CURSOS!$D$22,"CUIDADO DEL DONANTE DE ORGANOS",IF(O178=CURSOS!$D$23,"ATENCION A VICTIMAS POR VIOLENCIA DE GENERO",IF(O178=CURSOS!$D$24,"IGUALDAD DE GENERO EN LA SALUD",IF(O178=CURSOS!$D$25,"BRIGADA DE EMERGENCIA",IF(O178=CURSOS!$D$26,"MANEJO DEL DOLOR Y CUIDADOS PALIATIVOS",IF(O178=CURSOS!$D$27,"TOMA DE MUESTRAS Y LABORATORIO POCT",IF(O178=CURSOS!$D$28,"IMPLANTE SUBDERMICO DE DISPOSITIVO INTRAUTERINO",IF(O178=CURSOS!$D$29,"SALUD MENTAL",IF(O178=CURSOS!$D$30,"PRIMEROS AUXILIOS PSICOLOGICOS",IF(O178=CURSOS!$D$31,"ATENCION A VICTIMAS POR CONFLICTO ARMADO",IF(O178=CURSOS!$D$32,"MANIPULACION DE ALIMENTOS Y BPM",IF(O178=CURSOS!$D$33,"ATENCION A PERSONAS CON DISCAPACIDAD",IF(O178=CURSOS!$D$34,"CUIDADO INTEGRAL DEL PACIENTE ADULTO",IF(O178=CURSOS!$D$35,"MANEJO DEFENSIVO",IF(O178=CURSOS!$D$36,"SOPORTE CARDIOVASCULAR AVANZADO NEONATAL",IF(O178=CURSOS!$D$37,"SEGURIDAD DEL PACIENTE",IF(O178=CURSOS!$D$38,"MANEJO DE RESIDUOS HOSPITALARIOS"))))))))))))))))))))))))))))))))))))</f>
        <v>INSTITUCIONES AMIGAS DE LA MUJER Y LA INFANCIA (IAMI)</v>
      </c>
      <c r="V178" s="47" t="str">
        <f t="shared" si="12"/>
        <v>Martha Lucia Melo Ceron</v>
      </c>
      <c r="W178" s="47" t="str">
        <f t="shared" si="13"/>
        <v>Martha Lucia Melo Ceron</v>
      </c>
      <c r="X178" s="47" t="str">
        <f t="shared" si="14"/>
        <v>Martha Lucia Melo Ceron-27081932-IAMI</v>
      </c>
    </row>
    <row r="179" spans="1:24" x14ac:dyDescent="0.2">
      <c r="A179" s="46">
        <v>178</v>
      </c>
      <c r="B179" s="43">
        <v>1016071454</v>
      </c>
      <c r="C179" s="43" t="s">
        <v>414</v>
      </c>
      <c r="D179" s="43" t="s">
        <v>206</v>
      </c>
      <c r="E179" s="43" t="s">
        <v>172</v>
      </c>
      <c r="F179" s="43" t="s">
        <v>415</v>
      </c>
      <c r="G179" s="43">
        <v>25</v>
      </c>
      <c r="H179" s="43" t="s">
        <v>100</v>
      </c>
      <c r="I179" s="55" t="s">
        <v>146</v>
      </c>
      <c r="J179" s="56">
        <v>45621</v>
      </c>
      <c r="K179" s="108">
        <v>28000</v>
      </c>
      <c r="L179" s="43" t="s">
        <v>139</v>
      </c>
      <c r="M179" s="43" t="s">
        <v>80</v>
      </c>
      <c r="N179" s="43" t="s">
        <v>378</v>
      </c>
      <c r="O179" s="43" t="s">
        <v>45</v>
      </c>
      <c r="P179" s="55">
        <v>34656</v>
      </c>
      <c r="Q179" s="43" t="s">
        <v>89</v>
      </c>
      <c r="R179" s="43" t="s">
        <v>189</v>
      </c>
      <c r="S179" s="43">
        <v>3102604496</v>
      </c>
      <c r="T179" s="54" t="s">
        <v>416</v>
      </c>
      <c r="U179" s="47" t="str">
        <f>IF(O179=CURSOS!$D$3,"DIPLOMADO EN ATENCION PRE-HOSPITALARIA",IF(O179=CURSOS!$D$4,"ACOMPAÑAMIENTO Y MANEJO DEL DUELO",IF(O179=CURSOS!$D$5,"ATENCION A VICTIMAS DE ATAQUE CON AGENTES QUIMICOS ",IF(O179=CURSOS!$D$6,"PRIMEROS AUXILIOS ",IF(O179=CURSOS!$D$7,"DIPLOMADO DE UNIDAD DE CUIDADOS INTENSIVOS (UCI)",IF(O179=CURSOS!$D$8,"MODELO DE ATENCION PARA EVENTOS EMERGENTES EN SALUD MENTAL (CODIGO VERDE)",IF(O179=CURSOS!$D$9,"HUMANIZACION EN EL SERVICIO DE LA SALUD Y BUENAS PRACTICAS EN PACIENTE ",IF(O179=CURSOS!$D$10,"CLINICA DE HERIDAS ",IF(O179=CURSOS!$D$11,"TOMA DE CITOLOGIA CERVICO VAGINAL ",IF(O179=CURSOS!$D$12,"SOPORTE CARDIOVASCULAR AVANZADO (ACLS) ",IF(O179=CURSOS!$D$13,"CAMILLERO ",IF(O179=CURSOS!$D$14,"TOMA DE MUESTRAS Y LABORATORIO ",IF(O179=CURSOS!$D$15,"SOPORTE VITAL BASICO (BLS)",IF(O179=CURSOS!$D$16,"ATENCION A VICTIMAS DE VIOLENCIA SEXUAL ",IF(O179=CURSOS!$D$17,"PROGRAMADO AMPLIADO DE INMUNIZACION (PAI - COVID 19)",IF(O179=CURSOS!$D$18,"ATENCION INTEGRAL EN ENFERMEDADES PREVALENTES EN PRIMERA INFANCIA (AIEPI)",IF(O179=CURSOS!$D$19,"ADMINISTRACION DE MEDICAMENTOS, INYECTOLOGIA  Y CANALIZACION ",IF(O179=CURSOS!$D$20,"OPERADOR DE VEHICULOS DE EMERGENCIA (OVE)",IF(O179=CURSOS!$D$21,"INSTITUCIONES AMIGAS DE LA MUJER Y LA INFANCIA (IAMI)",IF(O179=CURSOS!$D$22,"CUIDADO DEL DONANTE DE ORGANOS",IF(O179=CURSOS!$D$23,"ATENCION A VICTIMAS POR VIOLENCIA DE GENERO",IF(O179=CURSOS!$D$24,"IGUALDAD DE GENERO EN LA SALUD",IF(O179=CURSOS!$D$25,"BRIGADA DE EMERGENCIA",IF(O179=CURSOS!$D$26,"MANEJO DEL DOLOR Y CUIDADOS PALIATIVOS",IF(O179=CURSOS!$D$27,"TOMA DE MUESTRAS Y LABORATORIO POCT",IF(O179=CURSOS!$D$28,"IMPLANTE SUBDERMICO DE DISPOSITIVO INTRAUTERINO",IF(O179=CURSOS!$D$29,"SALUD MENTAL",IF(O179=CURSOS!$D$30,"PRIMEROS AUXILIOS PSICOLOGICOS",IF(O179=CURSOS!$D$31,"ATENCION A VICTIMAS POR CONFLICTO ARMADO",IF(O179=CURSOS!$D$32,"MANIPULACION DE ALIMENTOS Y BPM",IF(O179=CURSOS!$D$33,"ATENCION A PERSONAS CON DISCAPACIDAD",IF(O179=CURSOS!$D$34,"CUIDADO INTEGRAL DEL PACIENTE ADULTO",IF(O179=CURSOS!$D$35,"MANEJO DEFENSIVO",IF(O179=CURSOS!$D$36,"SOPORTE CARDIOVASCULAR AVANZADO NEONATAL",IF(O179=CURSOS!$D$37,"SEGURIDAD DEL PACIENTE",IF(O179=CURSOS!$D$38,"MANEJO DE RESIDUOS HOSPITALARIOS"))))))))))))))))))))))))))))))))))))</f>
        <v xml:space="preserve">ADMINISTRACION DE MEDICAMENTOS, INYECTOLOGIA  Y CANALIZACION </v>
      </c>
      <c r="V179" s="47" t="str">
        <f t="shared" si="12"/>
        <v>Angie Lizeth Herrera Hernández</v>
      </c>
      <c r="W179" s="47" t="str">
        <f t="shared" si="13"/>
        <v>Angie Lizeth Herrera Hernández</v>
      </c>
      <c r="X179" s="47" t="str">
        <f t="shared" si="14"/>
        <v>Angie Lizeth Herrera Hernández-1016071454-ADMON DE MEDICAMENTOS</v>
      </c>
    </row>
    <row r="180" spans="1:24" x14ac:dyDescent="0.2">
      <c r="A180" s="46">
        <v>179</v>
      </c>
      <c r="B180" s="43">
        <v>1088730531</v>
      </c>
      <c r="C180" s="43" t="s">
        <v>112</v>
      </c>
      <c r="D180" s="43" t="s">
        <v>347</v>
      </c>
      <c r="E180" s="43" t="s">
        <v>417</v>
      </c>
      <c r="F180" s="43" t="s">
        <v>418</v>
      </c>
      <c r="G180" s="43">
        <v>25</v>
      </c>
      <c r="H180" s="43" t="s">
        <v>100</v>
      </c>
      <c r="I180" s="55" t="s">
        <v>146</v>
      </c>
      <c r="J180" s="56">
        <v>45621</v>
      </c>
      <c r="K180" s="108">
        <v>28000</v>
      </c>
      <c r="L180" s="43" t="s">
        <v>235</v>
      </c>
      <c r="M180" s="43" t="s">
        <v>80</v>
      </c>
      <c r="N180" s="43" t="s">
        <v>159</v>
      </c>
      <c r="O180" s="43" t="s">
        <v>26</v>
      </c>
      <c r="P180" s="55">
        <v>32133</v>
      </c>
      <c r="Q180" s="43" t="s">
        <v>148</v>
      </c>
      <c r="R180" s="43" t="s">
        <v>364</v>
      </c>
      <c r="S180" s="43">
        <v>3147493735</v>
      </c>
      <c r="T180" s="54" t="s">
        <v>419</v>
      </c>
      <c r="U180" s="47" t="str">
        <f>IF(O180=CURSOS!$D$3,"DIPLOMADO EN ATENCION PRE-HOSPITALARIA",IF(O180=CURSOS!$D$4,"ACOMPAÑAMIENTO Y MANEJO DEL DUELO",IF(O180=CURSOS!$D$5,"ATENCION A VICTIMAS DE ATAQUE CON AGENTES QUIMICOS ",IF(O180=CURSOS!$D$6,"PRIMEROS AUXILIOS ",IF(O180=CURSOS!$D$7,"DIPLOMADO DE UNIDAD DE CUIDADOS INTENSIVOS (UCI)",IF(O180=CURSOS!$D$8,"MODELO DE ATENCION PARA EVENTOS EMERGENTES EN SALUD MENTAL (CODIGO VERDE)",IF(O180=CURSOS!$D$9,"HUMANIZACION EN EL SERVICIO DE LA SALUD Y BUENAS PRACTICAS EN PACIENTE ",IF(O180=CURSOS!$D$10,"CLINICA DE HERIDAS ",IF(O180=CURSOS!$D$11,"TOMA DE CITOLOGIA CERVICO VAGINAL ",IF(O180=CURSOS!$D$12,"SOPORTE CARDIOVASCULAR AVANZADO (ACLS) ",IF(O180=CURSOS!$D$13,"CAMILLERO ",IF(O180=CURSOS!$D$14,"TOMA DE MUESTRAS Y LABORATORIO ",IF(O180=CURSOS!$D$15,"SOPORTE VITAL BASICO (BLS)",IF(O180=CURSOS!$D$16,"ATENCION A VICTIMAS DE VIOLENCIA SEXUAL ",IF(O180=CURSOS!$D$17,"PROGRAMADO AMPLIADO DE INMUNIZACION (PAI - COVID 19)",IF(O180=CURSOS!$D$18,"ATENCION INTEGRAL EN ENFERMEDADES PREVALENTES EN PRIMERA INFANCIA (AIEPI)",IF(O180=CURSOS!$D$19,"ADMINISTRACION DE MEDICAMENTOS, INYECTOLOGIA  Y CANALIZACION ",IF(O180=CURSOS!$D$20,"OPERADOR DE VEHICULOS DE EMERGENCIA (OVE)",IF(O180=CURSOS!$D$21,"INSTITUCIONES AMIGAS DE LA MUJER Y LA INFANCIA (IAMI)",IF(O180=CURSOS!$D$22,"CUIDADO DEL DONANTE DE ORGANOS",IF(O180=CURSOS!$D$23,"ATENCION A VICTIMAS POR VIOLENCIA DE GENERO",IF(O180=CURSOS!$D$24,"IGUALDAD DE GENERO EN LA SALUD",IF(O180=CURSOS!$D$25,"BRIGADA DE EMERGENCIA",IF(O180=CURSOS!$D$26,"MANEJO DEL DOLOR Y CUIDADOS PALIATIVOS",IF(O180=CURSOS!$D$27,"TOMA DE MUESTRAS Y LABORATORIO POCT",IF(O180=CURSOS!$D$28,"IMPLANTE SUBDERMICO DE DISPOSITIVO INTRAUTERINO",IF(O180=CURSOS!$D$29,"SALUD MENTAL",IF(O180=CURSOS!$D$30,"PRIMEROS AUXILIOS PSICOLOGICOS",IF(O180=CURSOS!$D$31,"ATENCION A VICTIMAS POR CONFLICTO ARMADO",IF(O180=CURSOS!$D$32,"MANIPULACION DE ALIMENTOS Y BPM",IF(O180=CURSOS!$D$33,"ATENCION A PERSONAS CON DISCAPACIDAD",IF(O180=CURSOS!$D$34,"CUIDADO INTEGRAL DEL PACIENTE ADULTO",IF(O180=CURSOS!$D$35,"MANEJO DEFENSIVO",IF(O180=CURSOS!$D$36,"SOPORTE CARDIOVASCULAR AVANZADO NEONATAL",IF(O180=CURSOS!$D$37,"SEGURIDAD DEL PACIENTE",IF(O180=CURSOS!$D$38,"MANEJO DE RESIDUOS HOSPITALARIOS"))))))))))))))))))))))))))))))))))))</f>
        <v xml:space="preserve">PRIMEROS AUXILIOS </v>
      </c>
      <c r="V180" s="47" t="str">
        <f t="shared" si="12"/>
        <v>Edwin Ferney Rodriguez Eraso</v>
      </c>
      <c r="W180" s="47" t="str">
        <f t="shared" si="13"/>
        <v>Edwin Ferney Rodriguez Eraso</v>
      </c>
      <c r="X180" s="47" t="str">
        <f t="shared" si="14"/>
        <v>Edwin Ferney Rodriguez Eraso-1088730531-PRIMEROS AUXILIOS</v>
      </c>
    </row>
    <row r="181" spans="1:24" x14ac:dyDescent="0.2">
      <c r="A181" s="46">
        <v>180</v>
      </c>
      <c r="B181" s="43">
        <v>1088730531</v>
      </c>
      <c r="C181" s="43" t="s">
        <v>112</v>
      </c>
      <c r="D181" s="43" t="s">
        <v>347</v>
      </c>
      <c r="E181" s="43" t="s">
        <v>417</v>
      </c>
      <c r="F181" s="43" t="s">
        <v>418</v>
      </c>
      <c r="G181" s="43">
        <v>25</v>
      </c>
      <c r="H181" s="43" t="s">
        <v>100</v>
      </c>
      <c r="I181" s="55" t="s">
        <v>146</v>
      </c>
      <c r="J181" s="56">
        <v>45621</v>
      </c>
      <c r="K181" s="108">
        <v>28000</v>
      </c>
      <c r="L181" s="43" t="s">
        <v>235</v>
      </c>
      <c r="M181" s="43" t="s">
        <v>80</v>
      </c>
      <c r="N181" s="43" t="s">
        <v>159</v>
      </c>
      <c r="O181" s="43" t="s">
        <v>19</v>
      </c>
      <c r="P181" s="55">
        <v>32133</v>
      </c>
      <c r="Q181" s="43" t="s">
        <v>148</v>
      </c>
      <c r="R181" s="43" t="s">
        <v>364</v>
      </c>
      <c r="S181" s="43">
        <v>3147493735</v>
      </c>
      <c r="T181" s="54" t="s">
        <v>419</v>
      </c>
      <c r="U181" s="47" t="str">
        <f>IF(O181=CURSOS!$D$3,"DIPLOMADO EN ATENCION PRE-HOSPITALARIA",IF(O181=CURSOS!$D$4,"ACOMPAÑAMIENTO Y MANEJO DEL DUELO",IF(O181=CURSOS!$D$5,"ATENCION A VICTIMAS DE ATAQUE CON AGENTES QUIMICOS ",IF(O181=CURSOS!$D$6,"PRIMEROS AUXILIOS ",IF(O181=CURSOS!$D$7,"DIPLOMADO DE UNIDAD DE CUIDADOS INTENSIVOS (UCI)",IF(O181=CURSOS!$D$8,"MODELO DE ATENCION PARA EVENTOS EMERGENTES EN SALUD MENTAL (CODIGO VERDE)",IF(O181=CURSOS!$D$9,"HUMANIZACION EN EL SERVICIO DE LA SALUD Y BUENAS PRACTICAS EN PACIENTE ",IF(O181=CURSOS!$D$10,"CLINICA DE HERIDAS ",IF(O181=CURSOS!$D$11,"TOMA DE CITOLOGIA CERVICO VAGINAL ",IF(O181=CURSOS!$D$12,"SOPORTE CARDIOVASCULAR AVANZADO (ACLS) ",IF(O181=CURSOS!$D$13,"CAMILLERO ",IF(O181=CURSOS!$D$14,"TOMA DE MUESTRAS Y LABORATORIO ",IF(O181=CURSOS!$D$15,"SOPORTE VITAL BASICO (BLS)",IF(O181=CURSOS!$D$16,"ATENCION A VICTIMAS DE VIOLENCIA SEXUAL ",IF(O181=CURSOS!$D$17,"PROGRAMADO AMPLIADO DE INMUNIZACION (PAI - COVID 19)",IF(O181=CURSOS!$D$18,"ATENCION INTEGRAL EN ENFERMEDADES PREVALENTES EN PRIMERA INFANCIA (AIEPI)",IF(O181=CURSOS!$D$19,"ADMINISTRACION DE MEDICAMENTOS, INYECTOLOGIA  Y CANALIZACION ",IF(O181=CURSOS!$D$20,"OPERADOR DE VEHICULOS DE EMERGENCIA (OVE)",IF(O181=CURSOS!$D$21,"INSTITUCIONES AMIGAS DE LA MUJER Y LA INFANCIA (IAMI)",IF(O181=CURSOS!$D$22,"CUIDADO DEL DONANTE DE ORGANOS",IF(O181=CURSOS!$D$23,"ATENCION A VICTIMAS POR VIOLENCIA DE GENERO",IF(O181=CURSOS!$D$24,"IGUALDAD DE GENERO EN LA SALUD",IF(O181=CURSOS!$D$25,"BRIGADA DE EMERGENCIA",IF(O181=CURSOS!$D$26,"MANEJO DEL DOLOR Y CUIDADOS PALIATIVOS",IF(O181=CURSOS!$D$27,"TOMA DE MUESTRAS Y LABORATORIO POCT",IF(O181=CURSOS!$D$28,"IMPLANTE SUBDERMICO DE DISPOSITIVO INTRAUTERINO",IF(O181=CURSOS!$D$29,"SALUD MENTAL",IF(O181=CURSOS!$D$30,"PRIMEROS AUXILIOS PSICOLOGICOS",IF(O181=CURSOS!$D$31,"ATENCION A VICTIMAS POR CONFLICTO ARMADO",IF(O181=CURSOS!$D$32,"MANIPULACION DE ALIMENTOS Y BPM",IF(O181=CURSOS!$D$33,"ATENCION A PERSONAS CON DISCAPACIDAD",IF(O181=CURSOS!$D$34,"CUIDADO INTEGRAL DEL PACIENTE ADULTO",IF(O181=CURSOS!$D$35,"MANEJO DEFENSIVO",IF(O181=CURSOS!$D$36,"SOPORTE CARDIOVASCULAR AVANZADO NEONATAL",IF(O181=CURSOS!$D$37,"SEGURIDAD DEL PACIENTE",IF(O181=CURSOS!$D$38,"MANEJO DE RESIDUOS HOSPITALARIOS"))))))))))))))))))))))))))))))))))))</f>
        <v>SOPORTE VITAL BASICO (BLS)</v>
      </c>
      <c r="V181" s="47" t="str">
        <f t="shared" si="12"/>
        <v>Edwin Ferney Rodriguez Eraso</v>
      </c>
      <c r="W181" s="47" t="str">
        <f t="shared" si="13"/>
        <v>Edwin Ferney Rodriguez Eraso</v>
      </c>
      <c r="X181" s="47" t="str">
        <f t="shared" si="14"/>
        <v>Edwin Ferney Rodriguez Eraso-1088730531-BLS</v>
      </c>
    </row>
    <row r="182" spans="1:24" x14ac:dyDescent="0.2">
      <c r="A182" s="46">
        <v>181</v>
      </c>
      <c r="B182" s="43">
        <v>1006997979</v>
      </c>
      <c r="C182" s="43" t="s">
        <v>420</v>
      </c>
      <c r="D182" s="43" t="s">
        <v>306</v>
      </c>
      <c r="E182" s="43" t="s">
        <v>400</v>
      </c>
      <c r="F182" s="43" t="s">
        <v>132</v>
      </c>
      <c r="G182" s="43">
        <v>25</v>
      </c>
      <c r="H182" s="43" t="s">
        <v>100</v>
      </c>
      <c r="I182" s="55" t="s">
        <v>146</v>
      </c>
      <c r="J182" s="56">
        <v>45621</v>
      </c>
      <c r="K182" s="108">
        <v>28000</v>
      </c>
      <c r="L182" s="43" t="s">
        <v>235</v>
      </c>
      <c r="M182" s="43" t="s">
        <v>80</v>
      </c>
      <c r="N182" s="43" t="s">
        <v>159</v>
      </c>
      <c r="O182" s="43" t="s">
        <v>32</v>
      </c>
      <c r="P182" s="55">
        <v>36988</v>
      </c>
      <c r="Q182" s="43" t="s">
        <v>89</v>
      </c>
      <c r="R182" s="43" t="s">
        <v>189</v>
      </c>
      <c r="S182" s="43">
        <v>3206489758</v>
      </c>
      <c r="T182" s="82" t="s">
        <v>421</v>
      </c>
      <c r="U182" s="47" t="str">
        <f>IF(O182=CURSOS!$D$3,"DIPLOMADO EN ATENCION PRE-HOSPITALARIA",IF(O182=CURSOS!$D$4,"ACOMPAÑAMIENTO Y MANEJO DEL DUELO",IF(O182=CURSOS!$D$5,"ATENCION A VICTIMAS DE ATAQUE CON AGENTES QUIMICOS ",IF(O182=CURSOS!$D$6,"PRIMEROS AUXILIOS ",IF(O182=CURSOS!$D$7,"DIPLOMADO DE UNIDAD DE CUIDADOS INTENSIVOS (UCI)",IF(O182=CURSOS!$D$8,"MODELO DE ATENCION PARA EVENTOS EMERGENTES EN SALUD MENTAL (CODIGO VERDE)",IF(O182=CURSOS!$D$9,"HUMANIZACION EN EL SERVICIO DE LA SALUD Y BUENAS PRACTICAS EN PACIENTE ",IF(O182=CURSOS!$D$10,"CLINICA DE HERIDAS ",IF(O182=CURSOS!$D$11,"TOMA DE CITOLOGIA CERVICO VAGINAL ",IF(O182=CURSOS!$D$12,"SOPORTE CARDIOVASCULAR AVANZADO (ACLS) ",IF(O182=CURSOS!$D$13,"CAMILLERO ",IF(O182=CURSOS!$D$14,"TOMA DE MUESTRAS Y LABORATORIO ",IF(O182=CURSOS!$D$15,"SOPORTE VITAL BASICO (BLS)",IF(O182=CURSOS!$D$16,"ATENCION A VICTIMAS DE VIOLENCIA SEXUAL ",IF(O182=CURSOS!$D$17,"PROGRAMADO AMPLIADO DE INMUNIZACION (PAI - COVID 19)",IF(O182=CURSOS!$D$18,"ATENCION INTEGRAL EN ENFERMEDADES PREVALENTES EN PRIMERA INFANCIA (AIEPI)",IF(O182=CURSOS!$D$19,"ADMINISTRACION DE MEDICAMENTOS, INYECTOLOGIA  Y CANALIZACION ",IF(O182=CURSOS!$D$20,"OPERADOR DE VEHICULOS DE EMERGENCIA (OVE)",IF(O182=CURSOS!$D$21,"INSTITUCIONES AMIGAS DE LA MUJER Y LA INFANCIA (IAMI)",IF(O182=CURSOS!$D$22,"CUIDADO DEL DONANTE DE ORGANOS",IF(O182=CURSOS!$D$23,"ATENCION A VICTIMAS POR VIOLENCIA DE GENERO",IF(O182=CURSOS!$D$24,"IGUALDAD DE GENERO EN LA SALUD",IF(O182=CURSOS!$D$25,"BRIGADA DE EMERGENCIA",IF(O182=CURSOS!$D$26,"MANEJO DEL DOLOR Y CUIDADOS PALIATIVOS",IF(O182=CURSOS!$D$27,"TOMA DE MUESTRAS Y LABORATORIO POCT",IF(O182=CURSOS!$D$28,"IMPLANTE SUBDERMICO DE DISPOSITIVO INTRAUTERINO",IF(O182=CURSOS!$D$29,"SALUD MENTAL",IF(O182=CURSOS!$D$30,"PRIMEROS AUXILIOS PSICOLOGICOS",IF(O182=CURSOS!$D$31,"ATENCION A VICTIMAS POR CONFLICTO ARMADO",IF(O182=CURSOS!$D$32,"MANIPULACION DE ALIMENTOS Y BPM",IF(O182=CURSOS!$D$33,"ATENCION A PERSONAS CON DISCAPACIDAD",IF(O182=CURSOS!$D$34,"CUIDADO INTEGRAL DEL PACIENTE ADULTO",IF(O182=CURSOS!$D$35,"MANEJO DEFENSIVO",IF(O182=CURSOS!$D$36,"SOPORTE CARDIOVASCULAR AVANZADO NEONATAL",IF(O182=CURSOS!$D$37,"SEGURIDAD DEL PACIENTE",IF(O182=CURSOS!$D$38,"MANEJO DE RESIDUOS HOSPITALARIOS"))))))))))))))))))))))))))))))))))))</f>
        <v xml:space="preserve">HUMANIZACION EN EL SERVICIO DE LA SALUD Y BUENAS PRACTICAS EN PACIENTE </v>
      </c>
      <c r="V182" s="47" t="str">
        <f t="shared" si="12"/>
        <v>Leidy Dayana Mafla Melo</v>
      </c>
      <c r="W182" s="47" t="str">
        <f t="shared" si="13"/>
        <v>Leidy Dayana Mafla Melo</v>
      </c>
      <c r="X182" s="47" t="str">
        <f t="shared" si="14"/>
        <v>Leidy Dayana Mafla Melo-1006997979-HUMANIZACION</v>
      </c>
    </row>
    <row r="183" spans="1:24" x14ac:dyDescent="0.2">
      <c r="A183" s="46">
        <v>182</v>
      </c>
      <c r="B183" s="43">
        <v>1088735393</v>
      </c>
      <c r="C183" s="43" t="s">
        <v>161</v>
      </c>
      <c r="D183" s="43" t="s">
        <v>422</v>
      </c>
      <c r="E183" s="43" t="s">
        <v>423</v>
      </c>
      <c r="F183" s="43" t="s">
        <v>424</v>
      </c>
      <c r="G183" s="43">
        <v>25</v>
      </c>
      <c r="H183" s="43" t="s">
        <v>100</v>
      </c>
      <c r="I183" s="55" t="s">
        <v>146</v>
      </c>
      <c r="J183" s="56">
        <v>45621</v>
      </c>
      <c r="K183" s="108">
        <v>28000</v>
      </c>
      <c r="L183" s="43" t="s">
        <v>235</v>
      </c>
      <c r="M183" s="43" t="s">
        <v>80</v>
      </c>
      <c r="N183" s="43" t="s">
        <v>159</v>
      </c>
      <c r="O183" s="43" t="s">
        <v>42</v>
      </c>
      <c r="P183" s="55">
        <v>33730</v>
      </c>
      <c r="Q183" s="43" t="s">
        <v>89</v>
      </c>
      <c r="R183" s="43" t="s">
        <v>189</v>
      </c>
      <c r="S183" s="43">
        <v>3126358623</v>
      </c>
      <c r="T183" s="82" t="s">
        <v>425</v>
      </c>
      <c r="U183" s="47" t="str">
        <f>IF(O183=CURSOS!$D$3,"DIPLOMADO EN ATENCION PRE-HOSPITALARIA",IF(O183=CURSOS!$D$4,"ACOMPAÑAMIENTO Y MANEJO DEL DUELO",IF(O183=CURSOS!$D$5,"ATENCION A VICTIMAS DE ATAQUE CON AGENTES QUIMICOS ",IF(O183=CURSOS!$D$6,"PRIMEROS AUXILIOS ",IF(O183=CURSOS!$D$7,"DIPLOMADO DE UNIDAD DE CUIDADOS INTENSIVOS (UCI)",IF(O183=CURSOS!$D$8,"MODELO DE ATENCION PARA EVENTOS EMERGENTES EN SALUD MENTAL (CODIGO VERDE)",IF(O183=CURSOS!$D$9,"HUMANIZACION EN EL SERVICIO DE LA SALUD Y BUENAS PRACTICAS EN PACIENTE ",IF(O183=CURSOS!$D$10,"CLINICA DE HERIDAS ",IF(O183=CURSOS!$D$11,"TOMA DE CITOLOGIA CERVICO VAGINAL ",IF(O183=CURSOS!$D$12,"SOPORTE CARDIOVASCULAR AVANZADO (ACLS) ",IF(O183=CURSOS!$D$13,"CAMILLERO ",IF(O183=CURSOS!$D$14,"TOMA DE MUESTRAS Y LABORATORIO ",IF(O183=CURSOS!$D$15,"SOPORTE VITAL BASICO (BLS)",IF(O183=CURSOS!$D$16,"ATENCION A VICTIMAS DE VIOLENCIA SEXUAL ",IF(O183=CURSOS!$D$17,"PROGRAMADO AMPLIADO DE INMUNIZACION (PAI - COVID 19)",IF(O183=CURSOS!$D$18,"ATENCION INTEGRAL EN ENFERMEDADES PREVALENTES EN PRIMERA INFANCIA (AIEPI)",IF(O183=CURSOS!$D$19,"ADMINISTRACION DE MEDICAMENTOS, INYECTOLOGIA  Y CANALIZACION ",IF(O183=CURSOS!$D$20,"OPERADOR DE VEHICULOS DE EMERGENCIA (OVE)",IF(O183=CURSOS!$D$21,"INSTITUCIONES AMIGAS DE LA MUJER Y LA INFANCIA (IAMI)",IF(O183=CURSOS!$D$22,"CUIDADO DEL DONANTE DE ORGANOS",IF(O183=CURSOS!$D$23,"ATENCION A VICTIMAS POR VIOLENCIA DE GENERO",IF(O183=CURSOS!$D$24,"IGUALDAD DE GENERO EN LA SALUD",IF(O183=CURSOS!$D$25,"BRIGADA DE EMERGENCIA",IF(O183=CURSOS!$D$26,"MANEJO DEL DOLOR Y CUIDADOS PALIATIVOS",IF(O183=CURSOS!$D$27,"TOMA DE MUESTRAS Y LABORATORIO POCT",IF(O183=CURSOS!$D$28,"IMPLANTE SUBDERMICO DE DISPOSITIVO INTRAUTERINO",IF(O183=CURSOS!$D$29,"SALUD MENTAL",IF(O183=CURSOS!$D$30,"PRIMEROS AUXILIOS PSICOLOGICOS",IF(O183=CURSOS!$D$31,"ATENCION A VICTIMAS POR CONFLICTO ARMADO",IF(O183=CURSOS!$D$32,"MANIPULACION DE ALIMENTOS Y BPM",IF(O183=CURSOS!$D$33,"ATENCION A PERSONAS CON DISCAPACIDAD",IF(O183=CURSOS!$D$34,"CUIDADO INTEGRAL DEL PACIENTE ADULTO",IF(O183=CURSOS!$D$35,"MANEJO DEFENSIVO",IF(O183=CURSOS!$D$36,"SOPORTE CARDIOVASCULAR AVANZADO NEONATAL",IF(O183=CURSOS!$D$37,"SEGURIDAD DEL PACIENTE",IF(O183=CURSOS!$D$38,"MANEJO DE RESIDUOS HOSPITALARIOS"))))))))))))))))))))))))))))))))))))</f>
        <v xml:space="preserve">ATENCION A VICTIMAS DE VIOLENCIA SEXUAL </v>
      </c>
      <c r="V183" s="47" t="str">
        <f t="shared" si="12"/>
        <v>Daneida Yenifer Portillo Pantoja</v>
      </c>
      <c r="W183" s="47" t="str">
        <f t="shared" si="13"/>
        <v>Daneida Yenifer Portillo Pantoja</v>
      </c>
      <c r="X183" s="47" t="str">
        <f t="shared" si="14"/>
        <v>Daneida Yenifer Portillo Pantoja-1088735393-VIOLENCIA SEXUAL</v>
      </c>
    </row>
    <row r="184" spans="1:24" x14ac:dyDescent="0.2">
      <c r="A184" s="46">
        <v>183</v>
      </c>
      <c r="B184" s="43">
        <v>1088735393</v>
      </c>
      <c r="C184" s="43" t="s">
        <v>161</v>
      </c>
      <c r="D184" s="43" t="s">
        <v>422</v>
      </c>
      <c r="E184" s="43" t="s">
        <v>423</v>
      </c>
      <c r="F184" s="43" t="s">
        <v>424</v>
      </c>
      <c r="G184" s="43">
        <v>23</v>
      </c>
      <c r="H184" s="43" t="s">
        <v>100</v>
      </c>
      <c r="I184" s="55" t="s">
        <v>146</v>
      </c>
      <c r="J184" s="56">
        <v>45621</v>
      </c>
      <c r="K184" s="108">
        <v>28000</v>
      </c>
      <c r="L184" s="43" t="s">
        <v>235</v>
      </c>
      <c r="M184" s="43" t="s">
        <v>80</v>
      </c>
      <c r="N184" s="43" t="s">
        <v>159</v>
      </c>
      <c r="O184" s="43" t="s">
        <v>25</v>
      </c>
      <c r="P184" s="55">
        <v>33730</v>
      </c>
      <c r="Q184" s="43" t="s">
        <v>89</v>
      </c>
      <c r="R184" s="43" t="s">
        <v>189</v>
      </c>
      <c r="S184" s="43">
        <v>3126358623</v>
      </c>
      <c r="T184" s="54" t="s">
        <v>425</v>
      </c>
      <c r="U184" s="47" t="str">
        <f>IF(O184=CURSOS!$D$3,"DIPLOMADO EN ATENCION PRE-HOSPITALARIA",IF(O184=CURSOS!$D$4,"ACOMPAÑAMIENTO Y MANEJO DEL DUELO",IF(O184=CURSOS!$D$5,"ATENCION A VICTIMAS DE ATAQUE CON AGENTES QUIMICOS ",IF(O184=CURSOS!$D$6,"PRIMEROS AUXILIOS ",IF(O184=CURSOS!$D$7,"DIPLOMADO DE UNIDAD DE CUIDADOS INTENSIVOS (UCI)",IF(O184=CURSOS!$D$8,"MODELO DE ATENCION PARA EVENTOS EMERGENTES EN SALUD MENTAL (CODIGO VERDE)",IF(O184=CURSOS!$D$9,"HUMANIZACION EN EL SERVICIO DE LA SALUD Y BUENAS PRACTICAS EN PACIENTE ",IF(O184=CURSOS!$D$10,"CLINICA DE HERIDAS ",IF(O184=CURSOS!$D$11,"TOMA DE CITOLOGIA CERVICO VAGINAL ",IF(O184=CURSOS!$D$12,"SOPORTE CARDIOVASCULAR AVANZADO (ACLS) ",IF(O184=CURSOS!$D$13,"CAMILLERO ",IF(O184=CURSOS!$D$14,"TOMA DE MUESTRAS Y LABORATORIO ",IF(O184=CURSOS!$D$15,"SOPORTE VITAL BASICO (BLS)",IF(O184=CURSOS!$D$16,"ATENCION A VICTIMAS DE VIOLENCIA SEXUAL ",IF(O184=CURSOS!$D$17,"PROGRAMADO AMPLIADO DE INMUNIZACION (PAI - COVID 19)",IF(O184=CURSOS!$D$18,"ATENCION INTEGRAL EN ENFERMEDADES PREVALENTES EN PRIMERA INFANCIA (AIEPI)",IF(O184=CURSOS!$D$19,"ADMINISTRACION DE MEDICAMENTOS, INYECTOLOGIA  Y CANALIZACION ",IF(O184=CURSOS!$D$20,"OPERADOR DE VEHICULOS DE EMERGENCIA (OVE)",IF(O184=CURSOS!$D$21,"INSTITUCIONES AMIGAS DE LA MUJER Y LA INFANCIA (IAMI)",IF(O184=CURSOS!$D$22,"CUIDADO DEL DONANTE DE ORGANOS",IF(O184=CURSOS!$D$23,"ATENCION A VICTIMAS POR VIOLENCIA DE GENERO",IF(O184=CURSOS!$D$24,"IGUALDAD DE GENERO EN LA SALUD",IF(O184=CURSOS!$D$25,"BRIGADA DE EMERGENCIA",IF(O184=CURSOS!$D$26,"MANEJO DEL DOLOR Y CUIDADOS PALIATIVOS",IF(O184=CURSOS!$D$27,"TOMA DE MUESTRAS Y LABORATORIO POCT",IF(O184=CURSOS!$D$28,"IMPLANTE SUBDERMICO DE DISPOSITIVO INTRAUTERINO",IF(O184=CURSOS!$D$29,"SALUD MENTAL",IF(O184=CURSOS!$D$30,"PRIMEROS AUXILIOS PSICOLOGICOS",IF(O184=CURSOS!$D$31,"ATENCION A VICTIMAS POR CONFLICTO ARMADO",IF(O184=CURSOS!$D$32,"MANIPULACION DE ALIMENTOS Y BPM",IF(O184=CURSOS!$D$33,"ATENCION A PERSONAS CON DISCAPACIDAD",IF(O184=CURSOS!$D$34,"CUIDADO INTEGRAL DEL PACIENTE ADULTO",IF(O184=CURSOS!$D$35,"MANEJO DEFENSIVO",IF(O184=CURSOS!$D$36,"SOPORTE CARDIOVASCULAR AVANZADO NEONATAL",IF(O184=CURSOS!$D$37,"SEGURIDAD DEL PACIENTE",IF(O184=CURSOS!$D$38,"MANEJO DE RESIDUOS HOSPITALARIOS"))))))))))))))))))))))))))))))))))))</f>
        <v xml:space="preserve">ATENCION A VICTIMAS DE ATAQUE CON AGENTES QUIMICOS </v>
      </c>
      <c r="V184" s="47" t="str">
        <f t="shared" si="12"/>
        <v>Daneida Yenifer Portillo Pantoja</v>
      </c>
      <c r="W184" s="47" t="str">
        <f t="shared" si="13"/>
        <v>Daneida Yenifer Portillo Pantoja</v>
      </c>
      <c r="X184" s="47" t="str">
        <f t="shared" si="14"/>
        <v>Daneida Yenifer Portillo Pantoja-1088735393-QUIMICOS</v>
      </c>
    </row>
    <row r="185" spans="1:24" x14ac:dyDescent="0.2">
      <c r="A185" s="46">
        <v>184</v>
      </c>
      <c r="B185" s="43">
        <v>1088735393</v>
      </c>
      <c r="C185" s="43" t="s">
        <v>161</v>
      </c>
      <c r="D185" s="43" t="s">
        <v>422</v>
      </c>
      <c r="E185" s="43" t="s">
        <v>423</v>
      </c>
      <c r="F185" s="43" t="s">
        <v>424</v>
      </c>
      <c r="G185" s="43">
        <v>22</v>
      </c>
      <c r="H185" s="43" t="s">
        <v>100</v>
      </c>
      <c r="I185" s="55" t="s">
        <v>146</v>
      </c>
      <c r="J185" s="56">
        <v>45621</v>
      </c>
      <c r="K185" s="108">
        <v>28000</v>
      </c>
      <c r="L185" s="43" t="s">
        <v>235</v>
      </c>
      <c r="M185" s="43" t="s">
        <v>80</v>
      </c>
      <c r="N185" s="43" t="s">
        <v>159</v>
      </c>
      <c r="O185" s="43" t="s">
        <v>23</v>
      </c>
      <c r="P185" s="55">
        <v>33730</v>
      </c>
      <c r="Q185" s="43" t="s">
        <v>89</v>
      </c>
      <c r="R185" s="43" t="s">
        <v>189</v>
      </c>
      <c r="S185" s="43">
        <v>3126358623</v>
      </c>
      <c r="T185" s="54" t="s">
        <v>425</v>
      </c>
      <c r="U185" s="47" t="str">
        <f>IF(O185=CURSOS!$D$3,"DIPLOMADO EN ATENCION PRE-HOSPITALARIA",IF(O185=CURSOS!$D$4,"ACOMPAÑAMIENTO Y MANEJO DEL DUELO",IF(O185=CURSOS!$D$5,"ATENCION A VICTIMAS DE ATAQUE CON AGENTES QUIMICOS ",IF(O185=CURSOS!$D$6,"PRIMEROS AUXILIOS ",IF(O185=CURSOS!$D$7,"DIPLOMADO DE UNIDAD DE CUIDADOS INTENSIVOS (UCI)",IF(O185=CURSOS!$D$8,"MODELO DE ATENCION PARA EVENTOS EMERGENTES EN SALUD MENTAL (CODIGO VERDE)",IF(O185=CURSOS!$D$9,"HUMANIZACION EN EL SERVICIO DE LA SALUD Y BUENAS PRACTICAS EN PACIENTE ",IF(O185=CURSOS!$D$10,"CLINICA DE HERIDAS ",IF(O185=CURSOS!$D$11,"TOMA DE CITOLOGIA CERVICO VAGINAL ",IF(O185=CURSOS!$D$12,"SOPORTE CARDIOVASCULAR AVANZADO (ACLS) ",IF(O185=CURSOS!$D$13,"CAMILLERO ",IF(O185=CURSOS!$D$14,"TOMA DE MUESTRAS Y LABORATORIO ",IF(O185=CURSOS!$D$15,"SOPORTE VITAL BASICO (BLS)",IF(O185=CURSOS!$D$16,"ATENCION A VICTIMAS DE VIOLENCIA SEXUAL ",IF(O185=CURSOS!$D$17,"PROGRAMADO AMPLIADO DE INMUNIZACION (PAI - COVID 19)",IF(O185=CURSOS!$D$18,"ATENCION INTEGRAL EN ENFERMEDADES PREVALENTES EN PRIMERA INFANCIA (AIEPI)",IF(O185=CURSOS!$D$19,"ADMINISTRACION DE MEDICAMENTOS, INYECTOLOGIA  Y CANALIZACION ",IF(O185=CURSOS!$D$20,"OPERADOR DE VEHICULOS DE EMERGENCIA (OVE)",IF(O185=CURSOS!$D$21,"INSTITUCIONES AMIGAS DE LA MUJER Y LA INFANCIA (IAMI)",IF(O185=CURSOS!$D$22,"CUIDADO DEL DONANTE DE ORGANOS",IF(O185=CURSOS!$D$23,"ATENCION A VICTIMAS POR VIOLENCIA DE GENERO",IF(O185=CURSOS!$D$24,"IGUALDAD DE GENERO EN LA SALUD",IF(O185=CURSOS!$D$25,"BRIGADA DE EMERGENCIA",IF(O185=CURSOS!$D$26,"MANEJO DEL DOLOR Y CUIDADOS PALIATIVOS",IF(O185=CURSOS!$D$27,"TOMA DE MUESTRAS Y LABORATORIO POCT",IF(O185=CURSOS!$D$28,"IMPLANTE SUBDERMICO DE DISPOSITIVO INTRAUTERINO",IF(O185=CURSOS!$D$29,"SALUD MENTAL",IF(O185=CURSOS!$D$30,"PRIMEROS AUXILIOS PSICOLOGICOS",IF(O185=CURSOS!$D$31,"ATENCION A VICTIMAS POR CONFLICTO ARMADO",IF(O185=CURSOS!$D$32,"MANIPULACION DE ALIMENTOS Y BPM",IF(O185=CURSOS!$D$33,"ATENCION A PERSONAS CON DISCAPACIDAD",IF(O185=CURSOS!$D$34,"CUIDADO INTEGRAL DEL PACIENTE ADULTO",IF(O185=CURSOS!$D$35,"MANEJO DEFENSIVO",IF(O185=CURSOS!$D$36,"SOPORTE CARDIOVASCULAR AVANZADO NEONATAL",IF(O185=CURSOS!$D$37,"SEGURIDAD DEL PACIENTE",IF(O185=CURSOS!$D$38,"MANEJO DE RESIDUOS HOSPITALARIOS"))))))))))))))))))))))))))))))))))))</f>
        <v>ACOMPAÑAMIENTO Y MANEJO DEL DUELO</v>
      </c>
      <c r="V185" s="47" t="str">
        <f t="shared" si="12"/>
        <v>Daneida Yenifer Portillo Pantoja</v>
      </c>
      <c r="W185" s="47" t="str">
        <f t="shared" si="13"/>
        <v>Daneida Yenifer Portillo Pantoja</v>
      </c>
      <c r="X185" s="47" t="str">
        <f t="shared" si="14"/>
        <v>Daneida Yenifer Portillo Pantoja-1088735393-DUELO</v>
      </c>
    </row>
    <row r="186" spans="1:24" x14ac:dyDescent="0.2">
      <c r="A186" s="46">
        <v>185</v>
      </c>
      <c r="B186" s="43">
        <v>1088735393</v>
      </c>
      <c r="C186" s="43" t="s">
        <v>161</v>
      </c>
      <c r="D186" s="43" t="s">
        <v>422</v>
      </c>
      <c r="E186" s="43" t="s">
        <v>423</v>
      </c>
      <c r="F186" s="43" t="s">
        <v>424</v>
      </c>
      <c r="G186" s="43">
        <v>21</v>
      </c>
      <c r="H186" s="43" t="s">
        <v>100</v>
      </c>
      <c r="I186" s="55" t="s">
        <v>146</v>
      </c>
      <c r="J186" s="56">
        <v>45621</v>
      </c>
      <c r="K186" s="108">
        <v>28000</v>
      </c>
      <c r="L186" s="43" t="s">
        <v>235</v>
      </c>
      <c r="M186" s="43" t="s">
        <v>80</v>
      </c>
      <c r="N186" s="43" t="s">
        <v>159</v>
      </c>
      <c r="O186" s="43" t="s">
        <v>32</v>
      </c>
      <c r="P186" s="55">
        <v>33730</v>
      </c>
      <c r="Q186" s="43" t="s">
        <v>89</v>
      </c>
      <c r="R186" s="43" t="s">
        <v>189</v>
      </c>
      <c r="S186" s="43">
        <v>3126358623</v>
      </c>
      <c r="T186" s="54" t="s">
        <v>425</v>
      </c>
      <c r="U186" s="47" t="str">
        <f>IF(O186=CURSOS!$D$3,"DIPLOMADO EN ATENCION PRE-HOSPITALARIA",IF(O186=CURSOS!$D$4,"ACOMPAÑAMIENTO Y MANEJO DEL DUELO",IF(O186=CURSOS!$D$5,"ATENCION A VICTIMAS DE ATAQUE CON AGENTES QUIMICOS ",IF(O186=CURSOS!$D$6,"PRIMEROS AUXILIOS ",IF(O186=CURSOS!$D$7,"DIPLOMADO DE UNIDAD DE CUIDADOS INTENSIVOS (UCI)",IF(O186=CURSOS!$D$8,"MODELO DE ATENCION PARA EVENTOS EMERGENTES EN SALUD MENTAL (CODIGO VERDE)",IF(O186=CURSOS!$D$9,"HUMANIZACION EN EL SERVICIO DE LA SALUD Y BUENAS PRACTICAS EN PACIENTE ",IF(O186=CURSOS!$D$10,"CLINICA DE HERIDAS ",IF(O186=CURSOS!$D$11,"TOMA DE CITOLOGIA CERVICO VAGINAL ",IF(O186=CURSOS!$D$12,"SOPORTE CARDIOVASCULAR AVANZADO (ACLS) ",IF(O186=CURSOS!$D$13,"CAMILLERO ",IF(O186=CURSOS!$D$14,"TOMA DE MUESTRAS Y LABORATORIO ",IF(O186=CURSOS!$D$15,"SOPORTE VITAL BASICO (BLS)",IF(O186=CURSOS!$D$16,"ATENCION A VICTIMAS DE VIOLENCIA SEXUAL ",IF(O186=CURSOS!$D$17,"PROGRAMADO AMPLIADO DE INMUNIZACION (PAI - COVID 19)",IF(O186=CURSOS!$D$18,"ATENCION INTEGRAL EN ENFERMEDADES PREVALENTES EN PRIMERA INFANCIA (AIEPI)",IF(O186=CURSOS!$D$19,"ADMINISTRACION DE MEDICAMENTOS, INYECTOLOGIA  Y CANALIZACION ",IF(O186=CURSOS!$D$20,"OPERADOR DE VEHICULOS DE EMERGENCIA (OVE)",IF(O186=CURSOS!$D$21,"INSTITUCIONES AMIGAS DE LA MUJER Y LA INFANCIA (IAMI)",IF(O186=CURSOS!$D$22,"CUIDADO DEL DONANTE DE ORGANOS",IF(O186=CURSOS!$D$23,"ATENCION A VICTIMAS POR VIOLENCIA DE GENERO",IF(O186=CURSOS!$D$24,"IGUALDAD DE GENERO EN LA SALUD",IF(O186=CURSOS!$D$25,"BRIGADA DE EMERGENCIA",IF(O186=CURSOS!$D$26,"MANEJO DEL DOLOR Y CUIDADOS PALIATIVOS",IF(O186=CURSOS!$D$27,"TOMA DE MUESTRAS Y LABORATORIO POCT",IF(O186=CURSOS!$D$28,"IMPLANTE SUBDERMICO DE DISPOSITIVO INTRAUTERINO",IF(O186=CURSOS!$D$29,"SALUD MENTAL",IF(O186=CURSOS!$D$30,"PRIMEROS AUXILIOS PSICOLOGICOS",IF(O186=CURSOS!$D$31,"ATENCION A VICTIMAS POR CONFLICTO ARMADO",IF(O186=CURSOS!$D$32,"MANIPULACION DE ALIMENTOS Y BPM",IF(O186=CURSOS!$D$33,"ATENCION A PERSONAS CON DISCAPACIDAD",IF(O186=CURSOS!$D$34,"CUIDADO INTEGRAL DEL PACIENTE ADULTO",IF(O186=CURSOS!$D$35,"MANEJO DEFENSIVO",IF(O186=CURSOS!$D$36,"SOPORTE CARDIOVASCULAR AVANZADO NEONATAL",IF(O186=CURSOS!$D$37,"SEGURIDAD DEL PACIENTE",IF(O186=CURSOS!$D$38,"MANEJO DE RESIDUOS HOSPITALARIOS"))))))))))))))))))))))))))))))))))))</f>
        <v xml:space="preserve">HUMANIZACION EN EL SERVICIO DE LA SALUD Y BUENAS PRACTICAS EN PACIENTE </v>
      </c>
      <c r="V186" s="47" t="str">
        <f t="shared" si="12"/>
        <v>Daneida Yenifer Portillo Pantoja</v>
      </c>
      <c r="W186" s="47" t="str">
        <f t="shared" si="13"/>
        <v>Daneida Yenifer Portillo Pantoja</v>
      </c>
      <c r="X186" s="47" t="str">
        <f t="shared" si="14"/>
        <v>Daneida Yenifer Portillo Pantoja-1088735393-HUMANIZACION</v>
      </c>
    </row>
    <row r="187" spans="1:24" x14ac:dyDescent="0.2">
      <c r="A187" s="46">
        <v>186</v>
      </c>
      <c r="B187" s="43">
        <v>1088730010</v>
      </c>
      <c r="C187" s="43" t="s">
        <v>426</v>
      </c>
      <c r="D187" s="43" t="s">
        <v>427</v>
      </c>
      <c r="E187" s="43" t="s">
        <v>428</v>
      </c>
      <c r="F187" s="43" t="s">
        <v>429</v>
      </c>
      <c r="G187" s="43">
        <v>25</v>
      </c>
      <c r="H187" s="43" t="s">
        <v>100</v>
      </c>
      <c r="I187" s="55" t="s">
        <v>146</v>
      </c>
      <c r="J187" s="56">
        <v>45621</v>
      </c>
      <c r="K187" s="108">
        <v>28000</v>
      </c>
      <c r="L187" s="43" t="s">
        <v>235</v>
      </c>
      <c r="M187" s="43" t="s">
        <v>80</v>
      </c>
      <c r="N187" s="43" t="s">
        <v>159</v>
      </c>
      <c r="O187" s="43" t="s">
        <v>42</v>
      </c>
      <c r="P187" s="55">
        <v>38585</v>
      </c>
      <c r="Q187" s="43" t="s">
        <v>89</v>
      </c>
      <c r="R187" s="43" t="s">
        <v>189</v>
      </c>
      <c r="S187" s="59"/>
      <c r="T187" s="54" t="s">
        <v>430</v>
      </c>
      <c r="U187" s="47" t="str">
        <f>IF(O187=CURSOS!$D$3,"DIPLOMADO EN ATENCION PRE-HOSPITALARIA",IF(O187=CURSOS!$D$4,"ACOMPAÑAMIENTO Y MANEJO DEL DUELO",IF(O187=CURSOS!$D$5,"ATENCION A VICTIMAS DE ATAQUE CON AGENTES QUIMICOS ",IF(O187=CURSOS!$D$6,"PRIMEROS AUXILIOS ",IF(O187=CURSOS!$D$7,"DIPLOMADO DE UNIDAD DE CUIDADOS INTENSIVOS (UCI)",IF(O187=CURSOS!$D$8,"MODELO DE ATENCION PARA EVENTOS EMERGENTES EN SALUD MENTAL (CODIGO VERDE)",IF(O187=CURSOS!$D$9,"HUMANIZACION EN EL SERVICIO DE LA SALUD Y BUENAS PRACTICAS EN PACIENTE ",IF(O187=CURSOS!$D$10,"CLINICA DE HERIDAS ",IF(O187=CURSOS!$D$11,"TOMA DE CITOLOGIA CERVICO VAGINAL ",IF(O187=CURSOS!$D$12,"SOPORTE CARDIOVASCULAR AVANZADO (ACLS) ",IF(O187=CURSOS!$D$13,"CAMILLERO ",IF(O187=CURSOS!$D$14,"TOMA DE MUESTRAS Y LABORATORIO ",IF(O187=CURSOS!$D$15,"SOPORTE VITAL BASICO (BLS)",IF(O187=CURSOS!$D$16,"ATENCION A VICTIMAS DE VIOLENCIA SEXUAL ",IF(O187=CURSOS!$D$17,"PROGRAMADO AMPLIADO DE INMUNIZACION (PAI - COVID 19)",IF(O187=CURSOS!$D$18,"ATENCION INTEGRAL EN ENFERMEDADES PREVALENTES EN PRIMERA INFANCIA (AIEPI)",IF(O187=CURSOS!$D$19,"ADMINISTRACION DE MEDICAMENTOS, INYECTOLOGIA  Y CANALIZACION ",IF(O187=CURSOS!$D$20,"OPERADOR DE VEHICULOS DE EMERGENCIA (OVE)",IF(O187=CURSOS!$D$21,"INSTITUCIONES AMIGAS DE LA MUJER Y LA INFANCIA (IAMI)",IF(O187=CURSOS!$D$22,"CUIDADO DEL DONANTE DE ORGANOS",IF(O187=CURSOS!$D$23,"ATENCION A VICTIMAS POR VIOLENCIA DE GENERO",IF(O187=CURSOS!$D$24,"IGUALDAD DE GENERO EN LA SALUD",IF(O187=CURSOS!$D$25,"BRIGADA DE EMERGENCIA",IF(O187=CURSOS!$D$26,"MANEJO DEL DOLOR Y CUIDADOS PALIATIVOS",IF(O187=CURSOS!$D$27,"TOMA DE MUESTRAS Y LABORATORIO POCT",IF(O187=CURSOS!$D$28,"IMPLANTE SUBDERMICO DE DISPOSITIVO INTRAUTERINO",IF(O187=CURSOS!$D$29,"SALUD MENTAL",IF(O187=CURSOS!$D$30,"PRIMEROS AUXILIOS PSICOLOGICOS",IF(O187=CURSOS!$D$31,"ATENCION A VICTIMAS POR CONFLICTO ARMADO",IF(O187=CURSOS!$D$32,"MANIPULACION DE ALIMENTOS Y BPM",IF(O187=CURSOS!$D$33,"ATENCION A PERSONAS CON DISCAPACIDAD",IF(O187=CURSOS!$D$34,"CUIDADO INTEGRAL DEL PACIENTE ADULTO",IF(O187=CURSOS!$D$35,"MANEJO DEFENSIVO",IF(O187=CURSOS!$D$36,"SOPORTE CARDIOVASCULAR AVANZADO NEONATAL",IF(O187=CURSOS!$D$37,"SEGURIDAD DEL PACIENTE",IF(O187=CURSOS!$D$38,"MANEJO DE RESIDUOS HOSPITALARIOS"))))))))))))))))))))))))))))))))))))</f>
        <v xml:space="preserve">ATENCION A VICTIMAS DE VIOLENCIA SEXUAL </v>
      </c>
      <c r="V187" s="47" t="str">
        <f t="shared" si="12"/>
        <v>Zuleima Dayeli Usama Arias</v>
      </c>
      <c r="W187" s="47" t="str">
        <f t="shared" si="13"/>
        <v>Zuleima Dayeli Usama Arias</v>
      </c>
      <c r="X187" s="47" t="str">
        <f t="shared" si="14"/>
        <v>Zuleima Dayeli Usama Arias-1088730010-VIOLENCIA SEXUAL</v>
      </c>
    </row>
    <row r="188" spans="1:24" x14ac:dyDescent="0.2">
      <c r="A188" s="46">
        <v>187</v>
      </c>
      <c r="B188" s="43">
        <v>1088730010</v>
      </c>
      <c r="C188" s="43" t="s">
        <v>426</v>
      </c>
      <c r="D188" s="43" t="s">
        <v>427</v>
      </c>
      <c r="E188" s="43" t="s">
        <v>428</v>
      </c>
      <c r="F188" s="43" t="s">
        <v>429</v>
      </c>
      <c r="G188" s="43">
        <v>23</v>
      </c>
      <c r="H188" s="43" t="s">
        <v>100</v>
      </c>
      <c r="I188" s="55" t="s">
        <v>146</v>
      </c>
      <c r="J188" s="56">
        <v>45621</v>
      </c>
      <c r="K188" s="108">
        <v>28000</v>
      </c>
      <c r="L188" s="43" t="s">
        <v>235</v>
      </c>
      <c r="M188" s="43" t="s">
        <v>80</v>
      </c>
      <c r="N188" s="43" t="s">
        <v>159</v>
      </c>
      <c r="O188" s="43" t="s">
        <v>25</v>
      </c>
      <c r="P188" s="55">
        <v>38585</v>
      </c>
      <c r="Q188" s="43" t="s">
        <v>89</v>
      </c>
      <c r="R188" s="43" t="s">
        <v>189</v>
      </c>
      <c r="S188" s="59"/>
      <c r="T188" s="54" t="s">
        <v>430</v>
      </c>
      <c r="U188" s="47" t="str">
        <f>IF(O188=CURSOS!$D$3,"DIPLOMADO EN ATENCION PRE-HOSPITALARIA",IF(O188=CURSOS!$D$4,"ACOMPAÑAMIENTO Y MANEJO DEL DUELO",IF(O188=CURSOS!$D$5,"ATENCION A VICTIMAS DE ATAQUE CON AGENTES QUIMICOS ",IF(O188=CURSOS!$D$6,"PRIMEROS AUXILIOS ",IF(O188=CURSOS!$D$7,"DIPLOMADO DE UNIDAD DE CUIDADOS INTENSIVOS (UCI)",IF(O188=CURSOS!$D$8,"MODELO DE ATENCION PARA EVENTOS EMERGENTES EN SALUD MENTAL (CODIGO VERDE)",IF(O188=CURSOS!$D$9,"HUMANIZACION EN EL SERVICIO DE LA SALUD Y BUENAS PRACTICAS EN PACIENTE ",IF(O188=CURSOS!$D$10,"CLINICA DE HERIDAS ",IF(O188=CURSOS!$D$11,"TOMA DE CITOLOGIA CERVICO VAGINAL ",IF(O188=CURSOS!$D$12,"SOPORTE CARDIOVASCULAR AVANZADO (ACLS) ",IF(O188=CURSOS!$D$13,"CAMILLERO ",IF(O188=CURSOS!$D$14,"TOMA DE MUESTRAS Y LABORATORIO ",IF(O188=CURSOS!$D$15,"SOPORTE VITAL BASICO (BLS)",IF(O188=CURSOS!$D$16,"ATENCION A VICTIMAS DE VIOLENCIA SEXUAL ",IF(O188=CURSOS!$D$17,"PROGRAMADO AMPLIADO DE INMUNIZACION (PAI - COVID 19)",IF(O188=CURSOS!$D$18,"ATENCION INTEGRAL EN ENFERMEDADES PREVALENTES EN PRIMERA INFANCIA (AIEPI)",IF(O188=CURSOS!$D$19,"ADMINISTRACION DE MEDICAMENTOS, INYECTOLOGIA  Y CANALIZACION ",IF(O188=CURSOS!$D$20,"OPERADOR DE VEHICULOS DE EMERGENCIA (OVE)",IF(O188=CURSOS!$D$21,"INSTITUCIONES AMIGAS DE LA MUJER Y LA INFANCIA (IAMI)",IF(O188=CURSOS!$D$22,"CUIDADO DEL DONANTE DE ORGANOS",IF(O188=CURSOS!$D$23,"ATENCION A VICTIMAS POR VIOLENCIA DE GENERO",IF(O188=CURSOS!$D$24,"IGUALDAD DE GENERO EN LA SALUD",IF(O188=CURSOS!$D$25,"BRIGADA DE EMERGENCIA",IF(O188=CURSOS!$D$26,"MANEJO DEL DOLOR Y CUIDADOS PALIATIVOS",IF(O188=CURSOS!$D$27,"TOMA DE MUESTRAS Y LABORATORIO POCT",IF(O188=CURSOS!$D$28,"IMPLANTE SUBDERMICO DE DISPOSITIVO INTRAUTERINO",IF(O188=CURSOS!$D$29,"SALUD MENTAL",IF(O188=CURSOS!$D$30,"PRIMEROS AUXILIOS PSICOLOGICOS",IF(O188=CURSOS!$D$31,"ATENCION A VICTIMAS POR CONFLICTO ARMADO",IF(O188=CURSOS!$D$32,"MANIPULACION DE ALIMENTOS Y BPM",IF(O188=CURSOS!$D$33,"ATENCION A PERSONAS CON DISCAPACIDAD",IF(O188=CURSOS!$D$34,"CUIDADO INTEGRAL DEL PACIENTE ADULTO",IF(O188=CURSOS!$D$35,"MANEJO DEFENSIVO",IF(O188=CURSOS!$D$36,"SOPORTE CARDIOVASCULAR AVANZADO NEONATAL",IF(O188=CURSOS!$D$37,"SEGURIDAD DEL PACIENTE",IF(O188=CURSOS!$D$38,"MANEJO DE RESIDUOS HOSPITALARIOS"))))))))))))))))))))))))))))))))))))</f>
        <v xml:space="preserve">ATENCION A VICTIMAS DE ATAQUE CON AGENTES QUIMICOS </v>
      </c>
      <c r="V188" s="47" t="str">
        <f t="shared" si="12"/>
        <v>Zuleima Dayeli Usama Arias</v>
      </c>
      <c r="W188" s="47" t="str">
        <f t="shared" si="13"/>
        <v>Zuleima Dayeli Usama Arias</v>
      </c>
      <c r="X188" s="47" t="str">
        <f t="shared" si="14"/>
        <v>Zuleima Dayeli Usama Arias-1088730010-QUIMICOS</v>
      </c>
    </row>
    <row r="189" spans="1:24" x14ac:dyDescent="0.2">
      <c r="A189" s="46">
        <v>188</v>
      </c>
      <c r="B189" s="43">
        <v>1088730010</v>
      </c>
      <c r="C189" s="43" t="s">
        <v>426</v>
      </c>
      <c r="D189" s="43" t="s">
        <v>427</v>
      </c>
      <c r="E189" s="43" t="s">
        <v>428</v>
      </c>
      <c r="F189" s="43" t="s">
        <v>429</v>
      </c>
      <c r="G189" s="43">
        <v>21</v>
      </c>
      <c r="H189" s="43" t="s">
        <v>100</v>
      </c>
      <c r="I189" s="55" t="s">
        <v>146</v>
      </c>
      <c r="J189" s="56">
        <v>45621</v>
      </c>
      <c r="K189" s="108">
        <v>28000</v>
      </c>
      <c r="L189" s="43" t="s">
        <v>235</v>
      </c>
      <c r="M189" s="43" t="s">
        <v>80</v>
      </c>
      <c r="N189" s="43" t="s">
        <v>159</v>
      </c>
      <c r="O189" s="43" t="s">
        <v>32</v>
      </c>
      <c r="P189" s="55">
        <v>38585</v>
      </c>
      <c r="Q189" s="43" t="s">
        <v>89</v>
      </c>
      <c r="R189" s="43" t="s">
        <v>189</v>
      </c>
      <c r="S189" s="59"/>
      <c r="T189" s="54" t="s">
        <v>430</v>
      </c>
      <c r="U189" s="47" t="str">
        <f>IF(O189=CURSOS!$D$3,"DIPLOMADO EN ATENCION PRE-HOSPITALARIA",IF(O189=CURSOS!$D$4,"ACOMPAÑAMIENTO Y MANEJO DEL DUELO",IF(O189=CURSOS!$D$5,"ATENCION A VICTIMAS DE ATAQUE CON AGENTES QUIMICOS ",IF(O189=CURSOS!$D$6,"PRIMEROS AUXILIOS ",IF(O189=CURSOS!$D$7,"DIPLOMADO DE UNIDAD DE CUIDADOS INTENSIVOS (UCI)",IF(O189=CURSOS!$D$8,"MODELO DE ATENCION PARA EVENTOS EMERGENTES EN SALUD MENTAL (CODIGO VERDE)",IF(O189=CURSOS!$D$9,"HUMANIZACION EN EL SERVICIO DE LA SALUD Y BUENAS PRACTICAS EN PACIENTE ",IF(O189=CURSOS!$D$10,"CLINICA DE HERIDAS ",IF(O189=CURSOS!$D$11,"TOMA DE CITOLOGIA CERVICO VAGINAL ",IF(O189=CURSOS!$D$12,"SOPORTE CARDIOVASCULAR AVANZADO (ACLS) ",IF(O189=CURSOS!$D$13,"CAMILLERO ",IF(O189=CURSOS!$D$14,"TOMA DE MUESTRAS Y LABORATORIO ",IF(O189=CURSOS!$D$15,"SOPORTE VITAL BASICO (BLS)",IF(O189=CURSOS!$D$16,"ATENCION A VICTIMAS DE VIOLENCIA SEXUAL ",IF(O189=CURSOS!$D$17,"PROGRAMADO AMPLIADO DE INMUNIZACION (PAI - COVID 19)",IF(O189=CURSOS!$D$18,"ATENCION INTEGRAL EN ENFERMEDADES PREVALENTES EN PRIMERA INFANCIA (AIEPI)",IF(O189=CURSOS!$D$19,"ADMINISTRACION DE MEDICAMENTOS, INYECTOLOGIA  Y CANALIZACION ",IF(O189=CURSOS!$D$20,"OPERADOR DE VEHICULOS DE EMERGENCIA (OVE)",IF(O189=CURSOS!$D$21,"INSTITUCIONES AMIGAS DE LA MUJER Y LA INFANCIA (IAMI)",IF(O189=CURSOS!$D$22,"CUIDADO DEL DONANTE DE ORGANOS",IF(O189=CURSOS!$D$23,"ATENCION A VICTIMAS POR VIOLENCIA DE GENERO",IF(O189=CURSOS!$D$24,"IGUALDAD DE GENERO EN LA SALUD",IF(O189=CURSOS!$D$25,"BRIGADA DE EMERGENCIA",IF(O189=CURSOS!$D$26,"MANEJO DEL DOLOR Y CUIDADOS PALIATIVOS",IF(O189=CURSOS!$D$27,"TOMA DE MUESTRAS Y LABORATORIO POCT",IF(O189=CURSOS!$D$28,"IMPLANTE SUBDERMICO DE DISPOSITIVO INTRAUTERINO",IF(O189=CURSOS!$D$29,"SALUD MENTAL",IF(O189=CURSOS!$D$30,"PRIMEROS AUXILIOS PSICOLOGICOS",IF(O189=CURSOS!$D$31,"ATENCION A VICTIMAS POR CONFLICTO ARMADO",IF(O189=CURSOS!$D$32,"MANIPULACION DE ALIMENTOS Y BPM",IF(O189=CURSOS!$D$33,"ATENCION A PERSONAS CON DISCAPACIDAD",IF(O189=CURSOS!$D$34,"CUIDADO INTEGRAL DEL PACIENTE ADULTO",IF(O189=CURSOS!$D$35,"MANEJO DEFENSIVO",IF(O189=CURSOS!$D$36,"SOPORTE CARDIOVASCULAR AVANZADO NEONATAL",IF(O189=CURSOS!$D$37,"SEGURIDAD DEL PACIENTE",IF(O189=CURSOS!$D$38,"MANEJO DE RESIDUOS HOSPITALARIOS"))))))))))))))))))))))))))))))))))))</f>
        <v xml:space="preserve">HUMANIZACION EN EL SERVICIO DE LA SALUD Y BUENAS PRACTICAS EN PACIENTE </v>
      </c>
      <c r="V189" s="47" t="str">
        <f t="shared" si="12"/>
        <v>Zuleima Dayeli Usama Arias</v>
      </c>
      <c r="W189" s="47" t="str">
        <f t="shared" si="13"/>
        <v>Zuleima Dayeli Usama Arias</v>
      </c>
      <c r="X189" s="47" t="str">
        <f t="shared" si="14"/>
        <v>Zuleima Dayeli Usama Arias-1088730010-HUMANIZACION</v>
      </c>
    </row>
    <row r="190" spans="1:24" x14ac:dyDescent="0.2">
      <c r="A190" s="46">
        <v>189</v>
      </c>
      <c r="B190" s="43">
        <v>1085300597</v>
      </c>
      <c r="C190" s="43" t="s">
        <v>431</v>
      </c>
      <c r="D190" s="43" t="s">
        <v>432</v>
      </c>
      <c r="E190" s="43" t="s">
        <v>433</v>
      </c>
      <c r="F190" s="43" t="s">
        <v>220</v>
      </c>
      <c r="G190" s="43">
        <v>25</v>
      </c>
      <c r="H190" s="43" t="s">
        <v>100</v>
      </c>
      <c r="I190" s="55" t="s">
        <v>146</v>
      </c>
      <c r="J190" s="56">
        <v>45621</v>
      </c>
      <c r="K190" s="108">
        <v>28000</v>
      </c>
      <c r="L190" s="43" t="s">
        <v>327</v>
      </c>
      <c r="M190" s="43" t="s">
        <v>80</v>
      </c>
      <c r="N190" s="43" t="s">
        <v>90</v>
      </c>
      <c r="O190" s="43" t="s">
        <v>42</v>
      </c>
      <c r="P190" s="55">
        <v>33908</v>
      </c>
      <c r="Q190" s="43" t="s">
        <v>148</v>
      </c>
      <c r="R190" s="102" t="s">
        <v>286</v>
      </c>
      <c r="S190" s="59">
        <v>3186932854</v>
      </c>
      <c r="T190" s="54" t="s">
        <v>434</v>
      </c>
      <c r="U190" s="47" t="str">
        <f>IF(O190=CURSOS!$D$3,"DIPLOMADO EN ATENCION PRE-HOSPITALARIA",IF(O190=CURSOS!$D$4,"ACOMPAÑAMIENTO Y MANEJO DEL DUELO",IF(O190=CURSOS!$D$5,"ATENCION A VICTIMAS DE ATAQUE CON AGENTES QUIMICOS ",IF(O190=CURSOS!$D$6,"PRIMEROS AUXILIOS ",IF(O190=CURSOS!$D$7,"DIPLOMADO DE UNIDAD DE CUIDADOS INTENSIVOS (UCI)",IF(O190=CURSOS!$D$8,"MODELO DE ATENCION PARA EVENTOS EMERGENTES EN SALUD MENTAL (CODIGO VERDE)",IF(O190=CURSOS!$D$9,"HUMANIZACION EN EL SERVICIO DE LA SALUD Y BUENAS PRACTICAS EN PACIENTE ",IF(O190=CURSOS!$D$10,"CLINICA DE HERIDAS ",IF(O190=CURSOS!$D$11,"TOMA DE CITOLOGIA CERVICO VAGINAL ",IF(O190=CURSOS!$D$12,"SOPORTE CARDIOVASCULAR AVANZADO (ACLS) ",IF(O190=CURSOS!$D$13,"CAMILLERO ",IF(O190=CURSOS!$D$14,"TOMA DE MUESTRAS Y LABORATORIO ",IF(O190=CURSOS!$D$15,"SOPORTE VITAL BASICO (BLS)",IF(O190=CURSOS!$D$16,"ATENCION A VICTIMAS DE VIOLENCIA SEXUAL ",IF(O190=CURSOS!$D$17,"PROGRAMADO AMPLIADO DE INMUNIZACION (PAI - COVID 19)",IF(O190=CURSOS!$D$18,"ATENCION INTEGRAL EN ENFERMEDADES PREVALENTES EN PRIMERA INFANCIA (AIEPI)",IF(O190=CURSOS!$D$19,"ADMINISTRACION DE MEDICAMENTOS, INYECTOLOGIA  Y CANALIZACION ",IF(O190=CURSOS!$D$20,"OPERADOR DE VEHICULOS DE EMERGENCIA (OVE)",IF(O190=CURSOS!$D$21,"INSTITUCIONES AMIGAS DE LA MUJER Y LA INFANCIA (IAMI)",IF(O190=CURSOS!$D$22,"CUIDADO DEL DONANTE DE ORGANOS",IF(O190=CURSOS!$D$23,"ATENCION A VICTIMAS POR VIOLENCIA DE GENERO",IF(O190=CURSOS!$D$24,"IGUALDAD DE GENERO EN LA SALUD",IF(O190=CURSOS!$D$25,"BRIGADA DE EMERGENCIA",IF(O190=CURSOS!$D$26,"MANEJO DEL DOLOR Y CUIDADOS PALIATIVOS",IF(O190=CURSOS!$D$27,"TOMA DE MUESTRAS Y LABORATORIO POCT",IF(O190=CURSOS!$D$28,"IMPLANTE SUBDERMICO DE DISPOSITIVO INTRAUTERINO",IF(O190=CURSOS!$D$29,"SALUD MENTAL",IF(O190=CURSOS!$D$30,"PRIMEROS AUXILIOS PSICOLOGICOS",IF(O190=CURSOS!$D$31,"ATENCION A VICTIMAS POR CONFLICTO ARMADO",IF(O190=CURSOS!$D$32,"MANIPULACION DE ALIMENTOS Y BPM",IF(O190=CURSOS!$D$33,"ATENCION A PERSONAS CON DISCAPACIDAD",IF(O190=CURSOS!$D$34,"CUIDADO INTEGRAL DEL PACIENTE ADULTO",IF(O190=CURSOS!$D$35,"MANEJO DEFENSIVO",IF(O190=CURSOS!$D$36,"SOPORTE CARDIOVASCULAR AVANZADO NEONATAL",IF(O190=CURSOS!$D$37,"SEGURIDAD DEL PACIENTE",IF(O190=CURSOS!$D$38,"MANEJO DE RESIDUOS HOSPITALARIOS"))))))))))))))))))))))))))))))))))))</f>
        <v xml:space="preserve">ATENCION A VICTIMAS DE VIOLENCIA SEXUAL </v>
      </c>
      <c r="V190" s="47" t="str">
        <f t="shared" si="12"/>
        <v>Vanesa Patricia Ruiz Mendez</v>
      </c>
      <c r="W190" s="47" t="str">
        <f t="shared" si="13"/>
        <v>Vanesa Patricia Ruiz Mendez</v>
      </c>
      <c r="X190" s="47" t="str">
        <f t="shared" si="14"/>
        <v>Vanesa Patricia Ruiz Mendez-1085300597-VIOLENCIA SEXUAL</v>
      </c>
    </row>
    <row r="191" spans="1:24" x14ac:dyDescent="0.2">
      <c r="A191" s="46">
        <v>190</v>
      </c>
      <c r="B191" s="43">
        <v>1085322474</v>
      </c>
      <c r="C191" s="43" t="s">
        <v>411</v>
      </c>
      <c r="D191" s="43" t="s">
        <v>435</v>
      </c>
      <c r="E191" s="43" t="s">
        <v>436</v>
      </c>
      <c r="F191" s="43" t="s">
        <v>179</v>
      </c>
      <c r="G191" s="43">
        <v>25</v>
      </c>
      <c r="H191" s="43" t="s">
        <v>100</v>
      </c>
      <c r="I191" s="55" t="s">
        <v>146</v>
      </c>
      <c r="J191" s="56">
        <v>45621</v>
      </c>
      <c r="K191" s="108">
        <v>28000</v>
      </c>
      <c r="L191" s="43" t="s">
        <v>327</v>
      </c>
      <c r="M191" s="43" t="s">
        <v>80</v>
      </c>
      <c r="N191" s="43" t="s">
        <v>90</v>
      </c>
      <c r="O191" s="43" t="s">
        <v>44</v>
      </c>
      <c r="P191" s="55">
        <v>34737</v>
      </c>
      <c r="Q191" s="43" t="s">
        <v>89</v>
      </c>
      <c r="R191" s="102" t="s">
        <v>286</v>
      </c>
      <c r="S191" s="59">
        <v>3136533147</v>
      </c>
      <c r="T191" s="54" t="s">
        <v>437</v>
      </c>
      <c r="U191" s="47" t="str">
        <f>IF(O191=CURSOS!$D$3,"DIPLOMADO EN ATENCION PRE-HOSPITALARIA",IF(O191=CURSOS!$D$4,"ACOMPAÑAMIENTO Y MANEJO DEL DUELO",IF(O191=CURSOS!$D$5,"ATENCION A VICTIMAS DE ATAQUE CON AGENTES QUIMICOS ",IF(O191=CURSOS!$D$6,"PRIMEROS AUXILIOS ",IF(O191=CURSOS!$D$7,"DIPLOMADO DE UNIDAD DE CUIDADOS INTENSIVOS (UCI)",IF(O191=CURSOS!$D$8,"MODELO DE ATENCION PARA EVENTOS EMERGENTES EN SALUD MENTAL (CODIGO VERDE)",IF(O191=CURSOS!$D$9,"HUMANIZACION EN EL SERVICIO DE LA SALUD Y BUENAS PRACTICAS EN PACIENTE ",IF(O191=CURSOS!$D$10,"CLINICA DE HERIDAS ",IF(O191=CURSOS!$D$11,"TOMA DE CITOLOGIA CERVICO VAGINAL ",IF(O191=CURSOS!$D$12,"SOPORTE CARDIOVASCULAR AVANZADO (ACLS) ",IF(O191=CURSOS!$D$13,"CAMILLERO ",IF(O191=CURSOS!$D$14,"TOMA DE MUESTRAS Y LABORATORIO ",IF(O191=CURSOS!$D$15,"SOPORTE VITAL BASICO (BLS)",IF(O191=CURSOS!$D$16,"ATENCION A VICTIMAS DE VIOLENCIA SEXUAL ",IF(O191=CURSOS!$D$17,"PROGRAMADO AMPLIADO DE INMUNIZACION (PAI - COVID 19)",IF(O191=CURSOS!$D$18,"ATENCION INTEGRAL EN ENFERMEDADES PREVALENTES EN PRIMERA INFANCIA (AIEPI)",IF(O191=CURSOS!$D$19,"ADMINISTRACION DE MEDICAMENTOS, INYECTOLOGIA  Y CANALIZACION ",IF(O191=CURSOS!$D$20,"OPERADOR DE VEHICULOS DE EMERGENCIA (OVE)",IF(O191=CURSOS!$D$21,"INSTITUCIONES AMIGAS DE LA MUJER Y LA INFANCIA (IAMI)",IF(O191=CURSOS!$D$22,"CUIDADO DEL DONANTE DE ORGANOS",IF(O191=CURSOS!$D$23,"ATENCION A VICTIMAS POR VIOLENCIA DE GENERO",IF(O191=CURSOS!$D$24,"IGUALDAD DE GENERO EN LA SALUD",IF(O191=CURSOS!$D$25,"BRIGADA DE EMERGENCIA",IF(O191=CURSOS!$D$26,"MANEJO DEL DOLOR Y CUIDADOS PALIATIVOS",IF(O191=CURSOS!$D$27,"TOMA DE MUESTRAS Y LABORATORIO POCT",IF(O191=CURSOS!$D$28,"IMPLANTE SUBDERMICO DE DISPOSITIVO INTRAUTERINO",IF(O191=CURSOS!$D$29,"SALUD MENTAL",IF(O191=CURSOS!$D$30,"PRIMEROS AUXILIOS PSICOLOGICOS",IF(O191=CURSOS!$D$31,"ATENCION A VICTIMAS POR CONFLICTO ARMADO",IF(O191=CURSOS!$D$32,"MANIPULACION DE ALIMENTOS Y BPM",IF(O191=CURSOS!$D$33,"ATENCION A PERSONAS CON DISCAPACIDAD",IF(O191=CURSOS!$D$34,"CUIDADO INTEGRAL DEL PACIENTE ADULTO",IF(O191=CURSOS!$D$35,"MANEJO DEFENSIVO",IF(O191=CURSOS!$D$36,"SOPORTE CARDIOVASCULAR AVANZADO NEONATAL",IF(O191=CURSOS!$D$37,"SEGURIDAD DEL PACIENTE",IF(O191=CURSOS!$D$38,"MANEJO DE RESIDUOS HOSPITALARIOS"))))))))))))))))))))))))))))))))))))</f>
        <v>ATENCION INTEGRAL EN ENFERMEDADES PREVALENTES EN PRIMERA INFANCIA (AIEPI)</v>
      </c>
      <c r="V191" s="47" t="str">
        <f t="shared" si="12"/>
        <v>Cindy Vanessa Ceron Leyton</v>
      </c>
      <c r="W191" s="47" t="str">
        <f t="shared" si="13"/>
        <v>Cindy Vanessa Ceron Leyton</v>
      </c>
      <c r="X191" s="47" t="str">
        <f t="shared" si="14"/>
        <v>Cindy Vanessa Ceron Leyton-1085322474-AIEPI</v>
      </c>
    </row>
    <row r="192" spans="1:24" x14ac:dyDescent="0.2">
      <c r="A192" s="46">
        <v>191</v>
      </c>
      <c r="B192" s="43">
        <v>1085322474</v>
      </c>
      <c r="C192" s="43" t="s">
        <v>411</v>
      </c>
      <c r="D192" s="43" t="s">
        <v>435</v>
      </c>
      <c r="E192" s="43" t="s">
        <v>436</v>
      </c>
      <c r="F192" s="43" t="s">
        <v>179</v>
      </c>
      <c r="G192" s="43">
        <v>25</v>
      </c>
      <c r="H192" s="43" t="s">
        <v>100</v>
      </c>
      <c r="I192" s="55" t="s">
        <v>146</v>
      </c>
      <c r="J192" s="56">
        <v>45621</v>
      </c>
      <c r="K192" s="108">
        <v>28000</v>
      </c>
      <c r="L192" s="43" t="s">
        <v>327</v>
      </c>
      <c r="M192" s="43" t="s">
        <v>80</v>
      </c>
      <c r="N192" s="43" t="s">
        <v>90</v>
      </c>
      <c r="O192" s="43" t="s">
        <v>48</v>
      </c>
      <c r="P192" s="55">
        <v>34737</v>
      </c>
      <c r="Q192" s="43" t="s">
        <v>89</v>
      </c>
      <c r="R192" s="102" t="s">
        <v>286</v>
      </c>
      <c r="S192" s="59">
        <v>3136533147</v>
      </c>
      <c r="T192" s="54" t="s">
        <v>437</v>
      </c>
      <c r="U192" s="47" t="str">
        <f>IF(O192=CURSOS!$D$3,"DIPLOMADO EN ATENCION PRE-HOSPITALARIA",IF(O192=CURSOS!$D$4,"ACOMPAÑAMIENTO Y MANEJO DEL DUELO",IF(O192=CURSOS!$D$5,"ATENCION A VICTIMAS DE ATAQUE CON AGENTES QUIMICOS ",IF(O192=CURSOS!$D$6,"PRIMEROS AUXILIOS ",IF(O192=CURSOS!$D$7,"DIPLOMADO DE UNIDAD DE CUIDADOS INTENSIVOS (UCI)",IF(O192=CURSOS!$D$8,"MODELO DE ATENCION PARA EVENTOS EMERGENTES EN SALUD MENTAL (CODIGO VERDE)",IF(O192=CURSOS!$D$9,"HUMANIZACION EN EL SERVICIO DE LA SALUD Y BUENAS PRACTICAS EN PACIENTE ",IF(O192=CURSOS!$D$10,"CLINICA DE HERIDAS ",IF(O192=CURSOS!$D$11,"TOMA DE CITOLOGIA CERVICO VAGINAL ",IF(O192=CURSOS!$D$12,"SOPORTE CARDIOVASCULAR AVANZADO (ACLS) ",IF(O192=CURSOS!$D$13,"CAMILLERO ",IF(O192=CURSOS!$D$14,"TOMA DE MUESTRAS Y LABORATORIO ",IF(O192=CURSOS!$D$15,"SOPORTE VITAL BASICO (BLS)",IF(O192=CURSOS!$D$16,"ATENCION A VICTIMAS DE VIOLENCIA SEXUAL ",IF(O192=CURSOS!$D$17,"PROGRAMADO AMPLIADO DE INMUNIZACION (PAI - COVID 19)",IF(O192=CURSOS!$D$18,"ATENCION INTEGRAL EN ENFERMEDADES PREVALENTES EN PRIMERA INFANCIA (AIEPI)",IF(O192=CURSOS!$D$19,"ADMINISTRACION DE MEDICAMENTOS, INYECTOLOGIA  Y CANALIZACION ",IF(O192=CURSOS!$D$20,"OPERADOR DE VEHICULOS DE EMERGENCIA (OVE)",IF(O192=CURSOS!$D$21,"INSTITUCIONES AMIGAS DE LA MUJER Y LA INFANCIA (IAMI)",IF(O192=CURSOS!$D$22,"CUIDADO DEL DONANTE DE ORGANOS",IF(O192=CURSOS!$D$23,"ATENCION A VICTIMAS POR VIOLENCIA DE GENERO",IF(O192=CURSOS!$D$24,"IGUALDAD DE GENERO EN LA SALUD",IF(O192=CURSOS!$D$25,"BRIGADA DE EMERGENCIA",IF(O192=CURSOS!$D$26,"MANEJO DEL DOLOR Y CUIDADOS PALIATIVOS",IF(O192=CURSOS!$D$27,"TOMA DE MUESTRAS Y LABORATORIO POCT",IF(O192=CURSOS!$D$28,"IMPLANTE SUBDERMICO DE DISPOSITIVO INTRAUTERINO",IF(O192=CURSOS!$D$29,"SALUD MENTAL",IF(O192=CURSOS!$D$30,"PRIMEROS AUXILIOS PSICOLOGICOS",IF(O192=CURSOS!$D$31,"ATENCION A VICTIMAS POR CONFLICTO ARMADO",IF(O192=CURSOS!$D$32,"MANIPULACION DE ALIMENTOS Y BPM",IF(O192=CURSOS!$D$33,"ATENCION A PERSONAS CON DISCAPACIDAD",IF(O192=CURSOS!$D$34,"CUIDADO INTEGRAL DEL PACIENTE ADULTO",IF(O192=CURSOS!$D$35,"MANEJO DEFENSIVO",IF(O192=CURSOS!$D$36,"SOPORTE CARDIOVASCULAR AVANZADO NEONATAL",IF(O192=CURSOS!$D$37,"SEGURIDAD DEL PACIENTE",IF(O192=CURSOS!$D$38,"MANEJO DE RESIDUOS HOSPITALARIOS"))))))))))))))))))))))))))))))))))))</f>
        <v>INSTITUCIONES AMIGAS DE LA MUJER Y LA INFANCIA (IAMI)</v>
      </c>
      <c r="V192" s="47" t="str">
        <f t="shared" si="12"/>
        <v>Cindy Vanessa Ceron Leyton</v>
      </c>
      <c r="W192" s="47" t="str">
        <f t="shared" si="13"/>
        <v>Cindy Vanessa Ceron Leyton</v>
      </c>
      <c r="X192" s="47" t="str">
        <f t="shared" si="14"/>
        <v>Cindy Vanessa Ceron Leyton-1085322474-IAMI</v>
      </c>
    </row>
    <row r="193" spans="1:24" x14ac:dyDescent="0.2">
      <c r="A193" s="46">
        <v>192</v>
      </c>
      <c r="B193" s="43">
        <v>1085262542</v>
      </c>
      <c r="C193" s="43" t="s">
        <v>438</v>
      </c>
      <c r="D193" s="43" t="s">
        <v>439</v>
      </c>
      <c r="E193" s="43" t="s">
        <v>440</v>
      </c>
      <c r="F193" s="43" t="s">
        <v>441</v>
      </c>
      <c r="G193" s="43">
        <v>25</v>
      </c>
      <c r="H193" s="43" t="s">
        <v>100</v>
      </c>
      <c r="I193" s="55" t="s">
        <v>146</v>
      </c>
      <c r="J193" s="56">
        <v>45621</v>
      </c>
      <c r="K193" s="108">
        <v>28000</v>
      </c>
      <c r="L193" s="43" t="s">
        <v>235</v>
      </c>
      <c r="M193" s="43" t="s">
        <v>80</v>
      </c>
      <c r="N193" s="43" t="s">
        <v>90</v>
      </c>
      <c r="O193" s="43" t="s">
        <v>44</v>
      </c>
      <c r="P193" s="55">
        <v>31914</v>
      </c>
      <c r="Q193" s="43" t="s">
        <v>89</v>
      </c>
      <c r="R193" s="102" t="s">
        <v>286</v>
      </c>
      <c r="S193" s="43">
        <v>3003484121</v>
      </c>
      <c r="T193" s="54" t="s">
        <v>442</v>
      </c>
      <c r="U193" s="47" t="str">
        <f>IF(O193=CURSOS!$D$3,"DIPLOMADO EN ATENCION PRE-HOSPITALARIA",IF(O193=CURSOS!$D$4,"ACOMPAÑAMIENTO Y MANEJO DEL DUELO",IF(O193=CURSOS!$D$5,"ATENCION A VICTIMAS DE ATAQUE CON AGENTES QUIMICOS ",IF(O193=CURSOS!$D$6,"PRIMEROS AUXILIOS ",IF(O193=CURSOS!$D$7,"DIPLOMADO DE UNIDAD DE CUIDADOS INTENSIVOS (UCI)",IF(O193=CURSOS!$D$8,"MODELO DE ATENCION PARA EVENTOS EMERGENTES EN SALUD MENTAL (CODIGO VERDE)",IF(O193=CURSOS!$D$9,"HUMANIZACION EN EL SERVICIO DE LA SALUD Y BUENAS PRACTICAS EN PACIENTE ",IF(O193=CURSOS!$D$10,"CLINICA DE HERIDAS ",IF(O193=CURSOS!$D$11,"TOMA DE CITOLOGIA CERVICO VAGINAL ",IF(O193=CURSOS!$D$12,"SOPORTE CARDIOVASCULAR AVANZADO (ACLS) ",IF(O193=CURSOS!$D$13,"CAMILLERO ",IF(O193=CURSOS!$D$14,"TOMA DE MUESTRAS Y LABORATORIO ",IF(O193=CURSOS!$D$15,"SOPORTE VITAL BASICO (BLS)",IF(O193=CURSOS!$D$16,"ATENCION A VICTIMAS DE VIOLENCIA SEXUAL ",IF(O193=CURSOS!$D$17,"PROGRAMADO AMPLIADO DE INMUNIZACION (PAI - COVID 19)",IF(O193=CURSOS!$D$18,"ATENCION INTEGRAL EN ENFERMEDADES PREVALENTES EN PRIMERA INFANCIA (AIEPI)",IF(O193=CURSOS!$D$19,"ADMINISTRACION DE MEDICAMENTOS, INYECTOLOGIA  Y CANALIZACION ",IF(O193=CURSOS!$D$20,"OPERADOR DE VEHICULOS DE EMERGENCIA (OVE)",IF(O193=CURSOS!$D$21,"INSTITUCIONES AMIGAS DE LA MUJER Y LA INFANCIA (IAMI)",IF(O193=CURSOS!$D$22,"CUIDADO DEL DONANTE DE ORGANOS",IF(O193=CURSOS!$D$23,"ATENCION A VICTIMAS POR VIOLENCIA DE GENERO",IF(O193=CURSOS!$D$24,"IGUALDAD DE GENERO EN LA SALUD",IF(O193=CURSOS!$D$25,"BRIGADA DE EMERGENCIA",IF(O193=CURSOS!$D$26,"MANEJO DEL DOLOR Y CUIDADOS PALIATIVOS",IF(O193=CURSOS!$D$27,"TOMA DE MUESTRAS Y LABORATORIO POCT",IF(O193=CURSOS!$D$28,"IMPLANTE SUBDERMICO DE DISPOSITIVO INTRAUTERINO",IF(O193=CURSOS!$D$29,"SALUD MENTAL",IF(O193=CURSOS!$D$30,"PRIMEROS AUXILIOS PSICOLOGICOS",IF(O193=CURSOS!$D$31,"ATENCION A VICTIMAS POR CONFLICTO ARMADO",IF(O193=CURSOS!$D$32,"MANIPULACION DE ALIMENTOS Y BPM",IF(O193=CURSOS!$D$33,"ATENCION A PERSONAS CON DISCAPACIDAD",IF(O193=CURSOS!$D$34,"CUIDADO INTEGRAL DEL PACIENTE ADULTO",IF(O193=CURSOS!$D$35,"MANEJO DEFENSIVO",IF(O193=CURSOS!$D$36,"SOPORTE CARDIOVASCULAR AVANZADO NEONATAL",IF(O193=CURSOS!$D$37,"SEGURIDAD DEL PACIENTE",IF(O193=CURSOS!$D$38,"MANEJO DE RESIDUOS HOSPITALARIOS"))))))))))))))))))))))))))))))))))))</f>
        <v>ATENCION INTEGRAL EN ENFERMEDADES PREVALENTES EN PRIMERA INFANCIA (AIEPI)</v>
      </c>
      <c r="V193" s="47" t="str">
        <f t="shared" si="12"/>
        <v>Joana Mabel Velásquez Chávez</v>
      </c>
      <c r="W193" s="47" t="str">
        <f t="shared" si="13"/>
        <v>Joana Mabel Velásquez Chávez</v>
      </c>
      <c r="X193" s="47" t="str">
        <f t="shared" si="14"/>
        <v>Joana Mabel Velásquez Chávez-1085262542-AIEPI</v>
      </c>
    </row>
    <row r="194" spans="1:24" x14ac:dyDescent="0.2">
      <c r="A194" s="46">
        <v>193</v>
      </c>
      <c r="B194" s="43">
        <v>1085262542</v>
      </c>
      <c r="C194" s="43" t="s">
        <v>438</v>
      </c>
      <c r="D194" s="43" t="s">
        <v>439</v>
      </c>
      <c r="E194" s="43" t="s">
        <v>440</v>
      </c>
      <c r="F194" s="43" t="s">
        <v>441</v>
      </c>
      <c r="G194" s="43">
        <v>25</v>
      </c>
      <c r="H194" s="43" t="s">
        <v>100</v>
      </c>
      <c r="I194" s="55" t="s">
        <v>146</v>
      </c>
      <c r="J194" s="56">
        <v>45621</v>
      </c>
      <c r="K194" s="108">
        <v>28000</v>
      </c>
      <c r="L194" s="43" t="s">
        <v>235</v>
      </c>
      <c r="M194" s="43" t="s">
        <v>80</v>
      </c>
      <c r="N194" s="43" t="s">
        <v>90</v>
      </c>
      <c r="O194" s="43" t="s">
        <v>48</v>
      </c>
      <c r="P194" s="55">
        <v>31914</v>
      </c>
      <c r="Q194" s="43" t="s">
        <v>89</v>
      </c>
      <c r="R194" s="102" t="s">
        <v>286</v>
      </c>
      <c r="S194" s="43">
        <v>3003484121</v>
      </c>
      <c r="T194" s="54" t="s">
        <v>442</v>
      </c>
      <c r="U194" s="47" t="str">
        <f>IF(O194=CURSOS!$D$3,"DIPLOMADO EN ATENCION PRE-HOSPITALARIA",IF(O194=CURSOS!$D$4,"ACOMPAÑAMIENTO Y MANEJO DEL DUELO",IF(O194=CURSOS!$D$5,"ATENCION A VICTIMAS DE ATAQUE CON AGENTES QUIMICOS ",IF(O194=CURSOS!$D$6,"PRIMEROS AUXILIOS ",IF(O194=CURSOS!$D$7,"DIPLOMADO DE UNIDAD DE CUIDADOS INTENSIVOS (UCI)",IF(O194=CURSOS!$D$8,"MODELO DE ATENCION PARA EVENTOS EMERGENTES EN SALUD MENTAL (CODIGO VERDE)",IF(O194=CURSOS!$D$9,"HUMANIZACION EN EL SERVICIO DE LA SALUD Y BUENAS PRACTICAS EN PACIENTE ",IF(O194=CURSOS!$D$10,"CLINICA DE HERIDAS ",IF(O194=CURSOS!$D$11,"TOMA DE CITOLOGIA CERVICO VAGINAL ",IF(O194=CURSOS!$D$12,"SOPORTE CARDIOVASCULAR AVANZADO (ACLS) ",IF(O194=CURSOS!$D$13,"CAMILLERO ",IF(O194=CURSOS!$D$14,"TOMA DE MUESTRAS Y LABORATORIO ",IF(O194=CURSOS!$D$15,"SOPORTE VITAL BASICO (BLS)",IF(O194=CURSOS!$D$16,"ATENCION A VICTIMAS DE VIOLENCIA SEXUAL ",IF(O194=CURSOS!$D$17,"PROGRAMADO AMPLIADO DE INMUNIZACION (PAI - COVID 19)",IF(O194=CURSOS!$D$18,"ATENCION INTEGRAL EN ENFERMEDADES PREVALENTES EN PRIMERA INFANCIA (AIEPI)",IF(O194=CURSOS!$D$19,"ADMINISTRACION DE MEDICAMENTOS, INYECTOLOGIA  Y CANALIZACION ",IF(O194=CURSOS!$D$20,"OPERADOR DE VEHICULOS DE EMERGENCIA (OVE)",IF(O194=CURSOS!$D$21,"INSTITUCIONES AMIGAS DE LA MUJER Y LA INFANCIA (IAMI)",IF(O194=CURSOS!$D$22,"CUIDADO DEL DONANTE DE ORGANOS",IF(O194=CURSOS!$D$23,"ATENCION A VICTIMAS POR VIOLENCIA DE GENERO",IF(O194=CURSOS!$D$24,"IGUALDAD DE GENERO EN LA SALUD",IF(O194=CURSOS!$D$25,"BRIGADA DE EMERGENCIA",IF(O194=CURSOS!$D$26,"MANEJO DEL DOLOR Y CUIDADOS PALIATIVOS",IF(O194=CURSOS!$D$27,"TOMA DE MUESTRAS Y LABORATORIO POCT",IF(O194=CURSOS!$D$28,"IMPLANTE SUBDERMICO DE DISPOSITIVO INTRAUTERINO",IF(O194=CURSOS!$D$29,"SALUD MENTAL",IF(O194=CURSOS!$D$30,"PRIMEROS AUXILIOS PSICOLOGICOS",IF(O194=CURSOS!$D$31,"ATENCION A VICTIMAS POR CONFLICTO ARMADO",IF(O194=CURSOS!$D$32,"MANIPULACION DE ALIMENTOS Y BPM",IF(O194=CURSOS!$D$33,"ATENCION A PERSONAS CON DISCAPACIDAD",IF(O194=CURSOS!$D$34,"CUIDADO INTEGRAL DEL PACIENTE ADULTO",IF(O194=CURSOS!$D$35,"MANEJO DEFENSIVO",IF(O194=CURSOS!$D$36,"SOPORTE CARDIOVASCULAR AVANZADO NEONATAL",IF(O194=CURSOS!$D$37,"SEGURIDAD DEL PACIENTE",IF(O194=CURSOS!$D$38,"MANEJO DE RESIDUOS HOSPITALARIOS"))))))))))))))))))))))))))))))))))))</f>
        <v>INSTITUCIONES AMIGAS DE LA MUJER Y LA INFANCIA (IAMI)</v>
      </c>
      <c r="V194" s="47" t="str">
        <f t="shared" si="12"/>
        <v>Joana Mabel Velásquez Chávez</v>
      </c>
      <c r="W194" s="47" t="str">
        <f t="shared" si="13"/>
        <v>Joana Mabel Velásquez Chávez</v>
      </c>
      <c r="X194" s="47" t="str">
        <f t="shared" si="14"/>
        <v>Joana Mabel Velásquez Chávez-1085262542-IAMI</v>
      </c>
    </row>
    <row r="195" spans="1:24" x14ac:dyDescent="0.2">
      <c r="A195" s="46">
        <v>194</v>
      </c>
      <c r="B195" s="43">
        <v>1233188551</v>
      </c>
      <c r="C195" s="43" t="s">
        <v>443</v>
      </c>
      <c r="D195" s="43" t="s">
        <v>444</v>
      </c>
      <c r="E195" s="43" t="s">
        <v>238</v>
      </c>
      <c r="F195" s="43" t="s">
        <v>239</v>
      </c>
      <c r="G195" s="43">
        <v>25</v>
      </c>
      <c r="H195" s="43" t="s">
        <v>100</v>
      </c>
      <c r="I195" s="55" t="s">
        <v>146</v>
      </c>
      <c r="J195" s="56">
        <v>45621</v>
      </c>
      <c r="K195" s="108">
        <v>28000</v>
      </c>
      <c r="L195" s="43" t="s">
        <v>139</v>
      </c>
      <c r="M195" s="43" t="s">
        <v>80</v>
      </c>
      <c r="N195" s="43" t="s">
        <v>90</v>
      </c>
      <c r="O195" s="43" t="s">
        <v>19</v>
      </c>
      <c r="P195" s="55">
        <v>35452</v>
      </c>
      <c r="Q195" s="43" t="s">
        <v>89</v>
      </c>
      <c r="R195" s="43" t="s">
        <v>189</v>
      </c>
      <c r="S195" s="43">
        <v>3234010741</v>
      </c>
      <c r="T195" s="54" t="s">
        <v>445</v>
      </c>
      <c r="U195" s="47" t="str">
        <f>IF(O195=CURSOS!$D$3,"DIPLOMADO EN ATENCION PRE-HOSPITALARIA",IF(O195=CURSOS!$D$4,"ACOMPAÑAMIENTO Y MANEJO DEL DUELO",IF(O195=CURSOS!$D$5,"ATENCION A VICTIMAS DE ATAQUE CON AGENTES QUIMICOS ",IF(O195=CURSOS!$D$6,"PRIMEROS AUXILIOS ",IF(O195=CURSOS!$D$7,"DIPLOMADO DE UNIDAD DE CUIDADOS INTENSIVOS (UCI)",IF(O195=CURSOS!$D$8,"MODELO DE ATENCION PARA EVENTOS EMERGENTES EN SALUD MENTAL (CODIGO VERDE)",IF(O195=CURSOS!$D$9,"HUMANIZACION EN EL SERVICIO DE LA SALUD Y BUENAS PRACTICAS EN PACIENTE ",IF(O195=CURSOS!$D$10,"CLINICA DE HERIDAS ",IF(O195=CURSOS!$D$11,"TOMA DE CITOLOGIA CERVICO VAGINAL ",IF(O195=CURSOS!$D$12,"SOPORTE CARDIOVASCULAR AVANZADO (ACLS) ",IF(O195=CURSOS!$D$13,"CAMILLERO ",IF(O195=CURSOS!$D$14,"TOMA DE MUESTRAS Y LABORATORIO ",IF(O195=CURSOS!$D$15,"SOPORTE VITAL BASICO (BLS)",IF(O195=CURSOS!$D$16,"ATENCION A VICTIMAS DE VIOLENCIA SEXUAL ",IF(O195=CURSOS!$D$17,"PROGRAMADO AMPLIADO DE INMUNIZACION (PAI - COVID 19)",IF(O195=CURSOS!$D$18,"ATENCION INTEGRAL EN ENFERMEDADES PREVALENTES EN PRIMERA INFANCIA (AIEPI)",IF(O195=CURSOS!$D$19,"ADMINISTRACION DE MEDICAMENTOS, INYECTOLOGIA  Y CANALIZACION ",IF(O195=CURSOS!$D$20,"OPERADOR DE VEHICULOS DE EMERGENCIA (OVE)",IF(O195=CURSOS!$D$21,"INSTITUCIONES AMIGAS DE LA MUJER Y LA INFANCIA (IAMI)",IF(O195=CURSOS!$D$22,"CUIDADO DEL DONANTE DE ORGANOS",IF(O195=CURSOS!$D$23,"ATENCION A VICTIMAS POR VIOLENCIA DE GENERO",IF(O195=CURSOS!$D$24,"IGUALDAD DE GENERO EN LA SALUD",IF(O195=CURSOS!$D$25,"BRIGADA DE EMERGENCIA",IF(O195=CURSOS!$D$26,"MANEJO DEL DOLOR Y CUIDADOS PALIATIVOS",IF(O195=CURSOS!$D$27,"TOMA DE MUESTRAS Y LABORATORIO POCT",IF(O195=CURSOS!$D$28,"IMPLANTE SUBDERMICO DE DISPOSITIVO INTRAUTERINO",IF(O195=CURSOS!$D$29,"SALUD MENTAL",IF(O195=CURSOS!$D$30,"PRIMEROS AUXILIOS PSICOLOGICOS",IF(O195=CURSOS!$D$31,"ATENCION A VICTIMAS POR CONFLICTO ARMADO",IF(O195=CURSOS!$D$32,"MANIPULACION DE ALIMENTOS Y BPM",IF(O195=CURSOS!$D$33,"ATENCION A PERSONAS CON DISCAPACIDAD",IF(O195=CURSOS!$D$34,"CUIDADO INTEGRAL DEL PACIENTE ADULTO",IF(O195=CURSOS!$D$35,"MANEJO DEFENSIVO",IF(O195=CURSOS!$D$36,"SOPORTE CARDIOVASCULAR AVANZADO NEONATAL",IF(O195=CURSOS!$D$37,"SEGURIDAD DEL PACIENTE",IF(O195=CURSOS!$D$38,"MANEJO DE RESIDUOS HOSPITALARIOS"))))))))))))))))))))))))))))))))))))</f>
        <v>SOPORTE VITAL BASICO (BLS)</v>
      </c>
      <c r="V195" s="47" t="str">
        <f t="shared" si="12"/>
        <v>Ana  Lucia Pejendino Merchancano</v>
      </c>
      <c r="W195" s="47" t="str">
        <f t="shared" si="13"/>
        <v>Ana  Lucia Pejendino Merchancano</v>
      </c>
      <c r="X195" s="47" t="str">
        <f t="shared" si="14"/>
        <v>Ana  Lucia Pejendino Merchancano-1233188551-BLS</v>
      </c>
    </row>
    <row r="196" spans="1:24" x14ac:dyDescent="0.2">
      <c r="A196" s="46">
        <v>195</v>
      </c>
      <c r="B196" s="43">
        <v>1193469735</v>
      </c>
      <c r="C196" s="43" t="s">
        <v>241</v>
      </c>
      <c r="D196" s="43" t="s">
        <v>99</v>
      </c>
      <c r="E196" s="43" t="s">
        <v>400</v>
      </c>
      <c r="F196" s="43" t="s">
        <v>446</v>
      </c>
      <c r="G196" s="43">
        <v>21</v>
      </c>
      <c r="H196" s="43" t="s">
        <v>100</v>
      </c>
      <c r="I196" s="55" t="s">
        <v>146</v>
      </c>
      <c r="J196" s="56">
        <v>45621</v>
      </c>
      <c r="K196" s="108">
        <v>30000</v>
      </c>
      <c r="L196" s="43" t="s">
        <v>139</v>
      </c>
      <c r="M196" s="43" t="s">
        <v>80</v>
      </c>
      <c r="N196" s="43" t="s">
        <v>90</v>
      </c>
      <c r="O196" s="43" t="s">
        <v>32</v>
      </c>
      <c r="P196" s="55">
        <v>37161</v>
      </c>
      <c r="Q196" s="43" t="s">
        <v>89</v>
      </c>
      <c r="R196" s="43" t="s">
        <v>189</v>
      </c>
      <c r="S196" s="43">
        <v>3116901303</v>
      </c>
      <c r="T196" s="54" t="s">
        <v>447</v>
      </c>
      <c r="U196" s="47" t="str">
        <f>IF(O196=CURSOS!$D$3,"DIPLOMADO EN ATENCION PRE-HOSPITALARIA",IF(O196=CURSOS!$D$4,"ACOMPAÑAMIENTO Y MANEJO DEL DUELO",IF(O196=CURSOS!$D$5,"ATENCION A VICTIMAS DE ATAQUE CON AGENTES QUIMICOS ",IF(O196=CURSOS!$D$6,"PRIMEROS AUXILIOS ",IF(O196=CURSOS!$D$7,"DIPLOMADO DE UNIDAD DE CUIDADOS INTENSIVOS (UCI)",IF(O196=CURSOS!$D$8,"MODELO DE ATENCION PARA EVENTOS EMERGENTES EN SALUD MENTAL (CODIGO VERDE)",IF(O196=CURSOS!$D$9,"HUMANIZACION EN EL SERVICIO DE LA SALUD Y BUENAS PRACTICAS EN PACIENTE ",IF(O196=CURSOS!$D$10,"CLINICA DE HERIDAS ",IF(O196=CURSOS!$D$11,"TOMA DE CITOLOGIA CERVICO VAGINAL ",IF(O196=CURSOS!$D$12,"SOPORTE CARDIOVASCULAR AVANZADO (ACLS) ",IF(O196=CURSOS!$D$13,"CAMILLERO ",IF(O196=CURSOS!$D$14,"TOMA DE MUESTRAS Y LABORATORIO ",IF(O196=CURSOS!$D$15,"SOPORTE VITAL BASICO (BLS)",IF(O196=CURSOS!$D$16,"ATENCION A VICTIMAS DE VIOLENCIA SEXUAL ",IF(O196=CURSOS!$D$17,"PROGRAMADO AMPLIADO DE INMUNIZACION (PAI - COVID 19)",IF(O196=CURSOS!$D$18,"ATENCION INTEGRAL EN ENFERMEDADES PREVALENTES EN PRIMERA INFANCIA (AIEPI)",IF(O196=CURSOS!$D$19,"ADMINISTRACION DE MEDICAMENTOS, INYECTOLOGIA  Y CANALIZACION ",IF(O196=CURSOS!$D$20,"OPERADOR DE VEHICULOS DE EMERGENCIA (OVE)",IF(O196=CURSOS!$D$21,"INSTITUCIONES AMIGAS DE LA MUJER Y LA INFANCIA (IAMI)",IF(O196=CURSOS!$D$22,"CUIDADO DEL DONANTE DE ORGANOS",IF(O196=CURSOS!$D$23,"ATENCION A VICTIMAS POR VIOLENCIA DE GENERO",IF(O196=CURSOS!$D$24,"IGUALDAD DE GENERO EN LA SALUD",IF(O196=CURSOS!$D$25,"BRIGADA DE EMERGENCIA",IF(O196=CURSOS!$D$26,"MANEJO DEL DOLOR Y CUIDADOS PALIATIVOS",IF(O196=CURSOS!$D$27,"TOMA DE MUESTRAS Y LABORATORIO POCT",IF(O196=CURSOS!$D$28,"IMPLANTE SUBDERMICO DE DISPOSITIVO INTRAUTERINO",IF(O196=CURSOS!$D$29,"SALUD MENTAL",IF(O196=CURSOS!$D$30,"PRIMEROS AUXILIOS PSICOLOGICOS",IF(O196=CURSOS!$D$31,"ATENCION A VICTIMAS POR CONFLICTO ARMADO",IF(O196=CURSOS!$D$32,"MANIPULACION DE ALIMENTOS Y BPM",IF(O196=CURSOS!$D$33,"ATENCION A PERSONAS CON DISCAPACIDAD",IF(O196=CURSOS!$D$34,"CUIDADO INTEGRAL DEL PACIENTE ADULTO",IF(O196=CURSOS!$D$35,"MANEJO DEFENSIVO",IF(O196=CURSOS!$D$36,"SOPORTE CARDIOVASCULAR AVANZADO NEONATAL",IF(O196=CURSOS!$D$37,"SEGURIDAD DEL PACIENTE",IF(O196=CURSOS!$D$38,"MANEJO DE RESIDUOS HOSPITALARIOS"))))))))))))))))))))))))))))))))))))</f>
        <v xml:space="preserve">HUMANIZACION EN EL SERVICIO DE LA SALUD Y BUENAS PRACTICAS EN PACIENTE </v>
      </c>
      <c r="V196" s="47" t="str">
        <f t="shared" si="12"/>
        <v>Leidy Johanna Tobar Arteaga</v>
      </c>
      <c r="W196" s="47" t="str">
        <f t="shared" si="13"/>
        <v>Leidy Johanna Tobar Arteaga</v>
      </c>
      <c r="X196" s="47" t="str">
        <f t="shared" si="14"/>
        <v>Leidy Johanna Tobar Arteaga-1193469735-HUMANIZACION</v>
      </c>
    </row>
    <row r="197" spans="1:24" x14ac:dyDescent="0.2">
      <c r="A197" s="46">
        <v>196</v>
      </c>
      <c r="B197" s="43">
        <v>1193469735</v>
      </c>
      <c r="C197" s="43" t="s">
        <v>241</v>
      </c>
      <c r="D197" s="43" t="s">
        <v>99</v>
      </c>
      <c r="E197" s="43" t="s">
        <v>400</v>
      </c>
      <c r="F197" s="43" t="s">
        <v>446</v>
      </c>
      <c r="G197" s="43">
        <v>23</v>
      </c>
      <c r="H197" s="43" t="s">
        <v>100</v>
      </c>
      <c r="I197" s="55" t="s">
        <v>146</v>
      </c>
      <c r="J197" s="56">
        <v>45621</v>
      </c>
      <c r="K197" s="108">
        <v>30000</v>
      </c>
      <c r="L197" s="43" t="s">
        <v>139</v>
      </c>
      <c r="M197" s="43" t="s">
        <v>80</v>
      </c>
      <c r="N197" s="43" t="s">
        <v>90</v>
      </c>
      <c r="O197" s="43" t="s">
        <v>25</v>
      </c>
      <c r="P197" s="55">
        <v>37161</v>
      </c>
      <c r="Q197" s="43" t="s">
        <v>89</v>
      </c>
      <c r="R197" s="43" t="s">
        <v>189</v>
      </c>
      <c r="S197" s="43">
        <v>3116901303</v>
      </c>
      <c r="T197" s="54" t="s">
        <v>447</v>
      </c>
      <c r="U197" s="47" t="str">
        <f>IF(O197=CURSOS!$D$3,"DIPLOMADO EN ATENCION PRE-HOSPITALARIA",IF(O197=CURSOS!$D$4,"ACOMPAÑAMIENTO Y MANEJO DEL DUELO",IF(O197=CURSOS!$D$5,"ATENCION A VICTIMAS DE ATAQUE CON AGENTES QUIMICOS ",IF(O197=CURSOS!$D$6,"PRIMEROS AUXILIOS ",IF(O197=CURSOS!$D$7,"DIPLOMADO DE UNIDAD DE CUIDADOS INTENSIVOS (UCI)",IF(O197=CURSOS!$D$8,"MODELO DE ATENCION PARA EVENTOS EMERGENTES EN SALUD MENTAL (CODIGO VERDE)",IF(O197=CURSOS!$D$9,"HUMANIZACION EN EL SERVICIO DE LA SALUD Y BUENAS PRACTICAS EN PACIENTE ",IF(O197=CURSOS!$D$10,"CLINICA DE HERIDAS ",IF(O197=CURSOS!$D$11,"TOMA DE CITOLOGIA CERVICO VAGINAL ",IF(O197=CURSOS!$D$12,"SOPORTE CARDIOVASCULAR AVANZADO (ACLS) ",IF(O197=CURSOS!$D$13,"CAMILLERO ",IF(O197=CURSOS!$D$14,"TOMA DE MUESTRAS Y LABORATORIO ",IF(O197=CURSOS!$D$15,"SOPORTE VITAL BASICO (BLS)",IF(O197=CURSOS!$D$16,"ATENCION A VICTIMAS DE VIOLENCIA SEXUAL ",IF(O197=CURSOS!$D$17,"PROGRAMADO AMPLIADO DE INMUNIZACION (PAI - COVID 19)",IF(O197=CURSOS!$D$18,"ATENCION INTEGRAL EN ENFERMEDADES PREVALENTES EN PRIMERA INFANCIA (AIEPI)",IF(O197=CURSOS!$D$19,"ADMINISTRACION DE MEDICAMENTOS, INYECTOLOGIA  Y CANALIZACION ",IF(O197=CURSOS!$D$20,"OPERADOR DE VEHICULOS DE EMERGENCIA (OVE)",IF(O197=CURSOS!$D$21,"INSTITUCIONES AMIGAS DE LA MUJER Y LA INFANCIA (IAMI)",IF(O197=CURSOS!$D$22,"CUIDADO DEL DONANTE DE ORGANOS",IF(O197=CURSOS!$D$23,"ATENCION A VICTIMAS POR VIOLENCIA DE GENERO",IF(O197=CURSOS!$D$24,"IGUALDAD DE GENERO EN LA SALUD",IF(O197=CURSOS!$D$25,"BRIGADA DE EMERGENCIA",IF(O197=CURSOS!$D$26,"MANEJO DEL DOLOR Y CUIDADOS PALIATIVOS",IF(O197=CURSOS!$D$27,"TOMA DE MUESTRAS Y LABORATORIO POCT",IF(O197=CURSOS!$D$28,"IMPLANTE SUBDERMICO DE DISPOSITIVO INTRAUTERINO",IF(O197=CURSOS!$D$29,"SALUD MENTAL",IF(O197=CURSOS!$D$30,"PRIMEROS AUXILIOS PSICOLOGICOS",IF(O197=CURSOS!$D$31,"ATENCION A VICTIMAS POR CONFLICTO ARMADO",IF(O197=CURSOS!$D$32,"MANIPULACION DE ALIMENTOS Y BPM",IF(O197=CURSOS!$D$33,"ATENCION A PERSONAS CON DISCAPACIDAD",IF(O197=CURSOS!$D$34,"CUIDADO INTEGRAL DEL PACIENTE ADULTO",IF(O197=CURSOS!$D$35,"MANEJO DEFENSIVO",IF(O197=CURSOS!$D$36,"SOPORTE CARDIOVASCULAR AVANZADO NEONATAL",IF(O197=CURSOS!$D$37,"SEGURIDAD DEL PACIENTE",IF(O197=CURSOS!$D$38,"MANEJO DE RESIDUOS HOSPITALARIOS"))))))))))))))))))))))))))))))))))))</f>
        <v xml:space="preserve">ATENCION A VICTIMAS DE ATAQUE CON AGENTES QUIMICOS </v>
      </c>
      <c r="V197" s="47" t="str">
        <f t="shared" si="12"/>
        <v>Leidy Johanna Tobar Arteaga</v>
      </c>
      <c r="W197" s="47" t="str">
        <f t="shared" si="13"/>
        <v>Leidy Johanna Tobar Arteaga</v>
      </c>
      <c r="X197" s="47" t="str">
        <f t="shared" si="14"/>
        <v>Leidy Johanna Tobar Arteaga-1193469735-QUIMICOS</v>
      </c>
    </row>
    <row r="198" spans="1:24" x14ac:dyDescent="0.2">
      <c r="A198" s="46">
        <v>197</v>
      </c>
      <c r="B198" s="43">
        <v>1193469735</v>
      </c>
      <c r="C198" s="43" t="s">
        <v>241</v>
      </c>
      <c r="D198" s="43" t="s">
        <v>99</v>
      </c>
      <c r="E198" s="43" t="s">
        <v>400</v>
      </c>
      <c r="F198" s="43" t="s">
        <v>446</v>
      </c>
      <c r="G198" s="43">
        <v>25</v>
      </c>
      <c r="H198" s="43" t="s">
        <v>100</v>
      </c>
      <c r="I198" s="55" t="s">
        <v>146</v>
      </c>
      <c r="J198" s="56">
        <v>45621</v>
      </c>
      <c r="K198" s="108">
        <v>30000</v>
      </c>
      <c r="L198" s="43" t="s">
        <v>139</v>
      </c>
      <c r="M198" s="43" t="s">
        <v>80</v>
      </c>
      <c r="N198" s="43" t="s">
        <v>90</v>
      </c>
      <c r="O198" s="43" t="s">
        <v>42</v>
      </c>
      <c r="P198" s="55">
        <v>37161</v>
      </c>
      <c r="Q198" s="43" t="s">
        <v>89</v>
      </c>
      <c r="R198" s="43" t="s">
        <v>189</v>
      </c>
      <c r="S198" s="43">
        <v>3116901303</v>
      </c>
      <c r="T198" s="54" t="s">
        <v>447</v>
      </c>
      <c r="U198" s="47" t="str">
        <f>IF(O198=CURSOS!$D$3,"DIPLOMADO EN ATENCION PRE-HOSPITALARIA",IF(O198=CURSOS!$D$4,"ACOMPAÑAMIENTO Y MANEJO DEL DUELO",IF(O198=CURSOS!$D$5,"ATENCION A VICTIMAS DE ATAQUE CON AGENTES QUIMICOS ",IF(O198=CURSOS!$D$6,"PRIMEROS AUXILIOS ",IF(O198=CURSOS!$D$7,"DIPLOMADO DE UNIDAD DE CUIDADOS INTENSIVOS (UCI)",IF(O198=CURSOS!$D$8,"MODELO DE ATENCION PARA EVENTOS EMERGENTES EN SALUD MENTAL (CODIGO VERDE)",IF(O198=CURSOS!$D$9,"HUMANIZACION EN EL SERVICIO DE LA SALUD Y BUENAS PRACTICAS EN PACIENTE ",IF(O198=CURSOS!$D$10,"CLINICA DE HERIDAS ",IF(O198=CURSOS!$D$11,"TOMA DE CITOLOGIA CERVICO VAGINAL ",IF(O198=CURSOS!$D$12,"SOPORTE CARDIOVASCULAR AVANZADO (ACLS) ",IF(O198=CURSOS!$D$13,"CAMILLERO ",IF(O198=CURSOS!$D$14,"TOMA DE MUESTRAS Y LABORATORIO ",IF(O198=CURSOS!$D$15,"SOPORTE VITAL BASICO (BLS)",IF(O198=CURSOS!$D$16,"ATENCION A VICTIMAS DE VIOLENCIA SEXUAL ",IF(O198=CURSOS!$D$17,"PROGRAMADO AMPLIADO DE INMUNIZACION (PAI - COVID 19)",IF(O198=CURSOS!$D$18,"ATENCION INTEGRAL EN ENFERMEDADES PREVALENTES EN PRIMERA INFANCIA (AIEPI)",IF(O198=CURSOS!$D$19,"ADMINISTRACION DE MEDICAMENTOS, INYECTOLOGIA  Y CANALIZACION ",IF(O198=CURSOS!$D$20,"OPERADOR DE VEHICULOS DE EMERGENCIA (OVE)",IF(O198=CURSOS!$D$21,"INSTITUCIONES AMIGAS DE LA MUJER Y LA INFANCIA (IAMI)",IF(O198=CURSOS!$D$22,"CUIDADO DEL DONANTE DE ORGANOS",IF(O198=CURSOS!$D$23,"ATENCION A VICTIMAS POR VIOLENCIA DE GENERO",IF(O198=CURSOS!$D$24,"IGUALDAD DE GENERO EN LA SALUD",IF(O198=CURSOS!$D$25,"BRIGADA DE EMERGENCIA",IF(O198=CURSOS!$D$26,"MANEJO DEL DOLOR Y CUIDADOS PALIATIVOS",IF(O198=CURSOS!$D$27,"TOMA DE MUESTRAS Y LABORATORIO POCT",IF(O198=CURSOS!$D$28,"IMPLANTE SUBDERMICO DE DISPOSITIVO INTRAUTERINO",IF(O198=CURSOS!$D$29,"SALUD MENTAL",IF(O198=CURSOS!$D$30,"PRIMEROS AUXILIOS PSICOLOGICOS",IF(O198=CURSOS!$D$31,"ATENCION A VICTIMAS POR CONFLICTO ARMADO",IF(O198=CURSOS!$D$32,"MANIPULACION DE ALIMENTOS Y BPM",IF(O198=CURSOS!$D$33,"ATENCION A PERSONAS CON DISCAPACIDAD",IF(O198=CURSOS!$D$34,"CUIDADO INTEGRAL DEL PACIENTE ADULTO",IF(O198=CURSOS!$D$35,"MANEJO DEFENSIVO",IF(O198=CURSOS!$D$36,"SOPORTE CARDIOVASCULAR AVANZADO NEONATAL",IF(O198=CURSOS!$D$37,"SEGURIDAD DEL PACIENTE",IF(O198=CURSOS!$D$38,"MANEJO DE RESIDUOS HOSPITALARIOS"))))))))))))))))))))))))))))))))))))</f>
        <v xml:space="preserve">ATENCION A VICTIMAS DE VIOLENCIA SEXUAL </v>
      </c>
      <c r="V198" s="47" t="str">
        <f t="shared" si="12"/>
        <v>Leidy Johanna Tobar Arteaga</v>
      </c>
      <c r="W198" s="47" t="str">
        <f t="shared" si="13"/>
        <v>Leidy Johanna Tobar Arteaga</v>
      </c>
      <c r="X198" s="47" t="str">
        <f t="shared" si="14"/>
        <v>Leidy Johanna Tobar Arteaga-1193469735-VIOLENCIA SEXUAL</v>
      </c>
    </row>
    <row r="199" spans="1:24" x14ac:dyDescent="0.2">
      <c r="A199" s="46">
        <v>198</v>
      </c>
      <c r="B199" s="43">
        <v>1193469735</v>
      </c>
      <c r="C199" s="43" t="s">
        <v>241</v>
      </c>
      <c r="D199" s="43" t="s">
        <v>99</v>
      </c>
      <c r="E199" s="43" t="s">
        <v>400</v>
      </c>
      <c r="F199" s="43" t="s">
        <v>446</v>
      </c>
      <c r="G199" s="43">
        <v>25</v>
      </c>
      <c r="H199" s="43" t="s">
        <v>100</v>
      </c>
      <c r="I199" s="55" t="s">
        <v>146</v>
      </c>
      <c r="J199" s="56">
        <v>45621</v>
      </c>
      <c r="K199" s="108">
        <v>30000</v>
      </c>
      <c r="L199" s="43" t="s">
        <v>139</v>
      </c>
      <c r="M199" s="43" t="s">
        <v>80</v>
      </c>
      <c r="N199" s="43" t="s">
        <v>90</v>
      </c>
      <c r="O199" s="43" t="s">
        <v>19</v>
      </c>
      <c r="P199" s="55">
        <v>37161</v>
      </c>
      <c r="Q199" s="43" t="s">
        <v>89</v>
      </c>
      <c r="R199" s="43" t="s">
        <v>189</v>
      </c>
      <c r="S199" s="43">
        <v>3116901303</v>
      </c>
      <c r="T199" s="54" t="s">
        <v>447</v>
      </c>
      <c r="U199" s="47" t="str">
        <f>IF(O199=CURSOS!$D$3,"DIPLOMADO EN ATENCION PRE-HOSPITALARIA",IF(O199=CURSOS!$D$4,"ACOMPAÑAMIENTO Y MANEJO DEL DUELO",IF(O199=CURSOS!$D$5,"ATENCION A VICTIMAS DE ATAQUE CON AGENTES QUIMICOS ",IF(O199=CURSOS!$D$6,"PRIMEROS AUXILIOS ",IF(O199=CURSOS!$D$7,"DIPLOMADO DE UNIDAD DE CUIDADOS INTENSIVOS (UCI)",IF(O199=CURSOS!$D$8,"MODELO DE ATENCION PARA EVENTOS EMERGENTES EN SALUD MENTAL (CODIGO VERDE)",IF(O199=CURSOS!$D$9,"HUMANIZACION EN EL SERVICIO DE LA SALUD Y BUENAS PRACTICAS EN PACIENTE ",IF(O199=CURSOS!$D$10,"CLINICA DE HERIDAS ",IF(O199=CURSOS!$D$11,"TOMA DE CITOLOGIA CERVICO VAGINAL ",IF(O199=CURSOS!$D$12,"SOPORTE CARDIOVASCULAR AVANZADO (ACLS) ",IF(O199=CURSOS!$D$13,"CAMILLERO ",IF(O199=CURSOS!$D$14,"TOMA DE MUESTRAS Y LABORATORIO ",IF(O199=CURSOS!$D$15,"SOPORTE VITAL BASICO (BLS)",IF(O199=CURSOS!$D$16,"ATENCION A VICTIMAS DE VIOLENCIA SEXUAL ",IF(O199=CURSOS!$D$17,"PROGRAMADO AMPLIADO DE INMUNIZACION (PAI - COVID 19)",IF(O199=CURSOS!$D$18,"ATENCION INTEGRAL EN ENFERMEDADES PREVALENTES EN PRIMERA INFANCIA (AIEPI)",IF(O199=CURSOS!$D$19,"ADMINISTRACION DE MEDICAMENTOS, INYECTOLOGIA  Y CANALIZACION ",IF(O199=CURSOS!$D$20,"OPERADOR DE VEHICULOS DE EMERGENCIA (OVE)",IF(O199=CURSOS!$D$21,"INSTITUCIONES AMIGAS DE LA MUJER Y LA INFANCIA (IAMI)",IF(O199=CURSOS!$D$22,"CUIDADO DEL DONANTE DE ORGANOS",IF(O199=CURSOS!$D$23,"ATENCION A VICTIMAS POR VIOLENCIA DE GENERO",IF(O199=CURSOS!$D$24,"IGUALDAD DE GENERO EN LA SALUD",IF(O199=CURSOS!$D$25,"BRIGADA DE EMERGENCIA",IF(O199=CURSOS!$D$26,"MANEJO DEL DOLOR Y CUIDADOS PALIATIVOS",IF(O199=CURSOS!$D$27,"TOMA DE MUESTRAS Y LABORATORIO POCT",IF(O199=CURSOS!$D$28,"IMPLANTE SUBDERMICO DE DISPOSITIVO INTRAUTERINO",IF(O199=CURSOS!$D$29,"SALUD MENTAL",IF(O199=CURSOS!$D$30,"PRIMEROS AUXILIOS PSICOLOGICOS",IF(O199=CURSOS!$D$31,"ATENCION A VICTIMAS POR CONFLICTO ARMADO",IF(O199=CURSOS!$D$32,"MANIPULACION DE ALIMENTOS Y BPM",IF(O199=CURSOS!$D$33,"ATENCION A PERSONAS CON DISCAPACIDAD",IF(O199=CURSOS!$D$34,"CUIDADO INTEGRAL DEL PACIENTE ADULTO",IF(O199=CURSOS!$D$35,"MANEJO DEFENSIVO",IF(O199=CURSOS!$D$36,"SOPORTE CARDIOVASCULAR AVANZADO NEONATAL",IF(O199=CURSOS!$D$37,"SEGURIDAD DEL PACIENTE",IF(O199=CURSOS!$D$38,"MANEJO DE RESIDUOS HOSPITALARIOS"))))))))))))))))))))))))))))))))))))</f>
        <v>SOPORTE VITAL BASICO (BLS)</v>
      </c>
      <c r="V199" s="47" t="str">
        <f t="shared" si="12"/>
        <v>Leidy Johanna Tobar Arteaga</v>
      </c>
      <c r="W199" s="47" t="str">
        <f t="shared" si="13"/>
        <v>Leidy Johanna Tobar Arteaga</v>
      </c>
      <c r="X199" s="47" t="str">
        <f t="shared" si="14"/>
        <v>Leidy Johanna Tobar Arteaga-1193469735-BLS</v>
      </c>
    </row>
    <row r="200" spans="1:24" x14ac:dyDescent="0.2">
      <c r="A200" s="46">
        <v>199</v>
      </c>
      <c r="B200" s="43">
        <v>1193469735</v>
      </c>
      <c r="C200" s="43" t="s">
        <v>241</v>
      </c>
      <c r="D200" s="43" t="s">
        <v>99</v>
      </c>
      <c r="E200" s="43" t="s">
        <v>400</v>
      </c>
      <c r="F200" s="43" t="s">
        <v>446</v>
      </c>
      <c r="G200" s="43">
        <v>20</v>
      </c>
      <c r="H200" s="43" t="s">
        <v>100</v>
      </c>
      <c r="I200" s="55" t="s">
        <v>146</v>
      </c>
      <c r="J200" s="56">
        <v>45621</v>
      </c>
      <c r="K200" s="108">
        <v>30000</v>
      </c>
      <c r="L200" s="43" t="s">
        <v>139</v>
      </c>
      <c r="M200" s="43" t="s">
        <v>80</v>
      </c>
      <c r="N200" s="43" t="s">
        <v>90</v>
      </c>
      <c r="O200" s="43" t="s">
        <v>57</v>
      </c>
      <c r="P200" s="55">
        <v>37161</v>
      </c>
      <c r="Q200" s="43" t="s">
        <v>89</v>
      </c>
      <c r="R200" s="43" t="s">
        <v>189</v>
      </c>
      <c r="S200" s="43">
        <v>3116901303</v>
      </c>
      <c r="T200" s="54" t="s">
        <v>447</v>
      </c>
      <c r="U200" s="47" t="str">
        <f>IF(O200=CURSOS!$D$3,"DIPLOMADO EN ATENCION PRE-HOSPITALARIA",IF(O200=CURSOS!$D$4,"ACOMPAÑAMIENTO Y MANEJO DEL DUELO",IF(O200=CURSOS!$D$5,"ATENCION A VICTIMAS DE ATAQUE CON AGENTES QUIMICOS ",IF(O200=CURSOS!$D$6,"PRIMEROS AUXILIOS ",IF(O200=CURSOS!$D$7,"DIPLOMADO DE UNIDAD DE CUIDADOS INTENSIVOS (UCI)",IF(O200=CURSOS!$D$8,"MODELO DE ATENCION PARA EVENTOS EMERGENTES EN SALUD MENTAL (CODIGO VERDE)",IF(O200=CURSOS!$D$9,"HUMANIZACION EN EL SERVICIO DE LA SALUD Y BUENAS PRACTICAS EN PACIENTE ",IF(O200=CURSOS!$D$10,"CLINICA DE HERIDAS ",IF(O200=CURSOS!$D$11,"TOMA DE CITOLOGIA CERVICO VAGINAL ",IF(O200=CURSOS!$D$12,"SOPORTE CARDIOVASCULAR AVANZADO (ACLS) ",IF(O200=CURSOS!$D$13,"CAMILLERO ",IF(O200=CURSOS!$D$14,"TOMA DE MUESTRAS Y LABORATORIO ",IF(O200=CURSOS!$D$15,"SOPORTE VITAL BASICO (BLS)",IF(O200=CURSOS!$D$16,"ATENCION A VICTIMAS DE VIOLENCIA SEXUAL ",IF(O200=CURSOS!$D$17,"PROGRAMADO AMPLIADO DE INMUNIZACION (PAI - COVID 19)",IF(O200=CURSOS!$D$18,"ATENCION INTEGRAL EN ENFERMEDADES PREVALENTES EN PRIMERA INFANCIA (AIEPI)",IF(O200=CURSOS!$D$19,"ADMINISTRACION DE MEDICAMENTOS, INYECTOLOGIA  Y CANALIZACION ",IF(O200=CURSOS!$D$20,"OPERADOR DE VEHICULOS DE EMERGENCIA (OVE)",IF(O200=CURSOS!$D$21,"INSTITUCIONES AMIGAS DE LA MUJER Y LA INFANCIA (IAMI)",IF(O200=CURSOS!$D$22,"CUIDADO DEL DONANTE DE ORGANOS",IF(O200=CURSOS!$D$23,"ATENCION A VICTIMAS POR VIOLENCIA DE GENERO",IF(O200=CURSOS!$D$24,"IGUALDAD DE GENERO EN LA SALUD",IF(O200=CURSOS!$D$25,"BRIGADA DE EMERGENCIA",IF(O200=CURSOS!$D$26,"MANEJO DEL DOLOR Y CUIDADOS PALIATIVOS",IF(O200=CURSOS!$D$27,"TOMA DE MUESTRAS Y LABORATORIO POCT",IF(O200=CURSOS!$D$28,"IMPLANTE SUBDERMICO DE DISPOSITIVO INTRAUTERINO",IF(O200=CURSOS!$D$29,"SALUD MENTAL",IF(O200=CURSOS!$D$30,"PRIMEROS AUXILIOS PSICOLOGICOS",IF(O200=CURSOS!$D$31,"ATENCION A VICTIMAS POR CONFLICTO ARMADO",IF(O200=CURSOS!$D$32,"MANIPULACION DE ALIMENTOS Y BPM",IF(O200=CURSOS!$D$33,"ATENCION A PERSONAS CON DISCAPACIDAD",IF(O200=CURSOS!$D$34,"CUIDADO INTEGRAL DEL PACIENTE ADULTO",IF(O200=CURSOS!$D$35,"MANEJO DEFENSIVO",IF(O200=CURSOS!$D$36,"SOPORTE CARDIOVASCULAR AVANZADO NEONATAL",IF(O200=CURSOS!$D$37,"SEGURIDAD DEL PACIENTE",IF(O200=CURSOS!$D$38,"MANEJO DE RESIDUOS HOSPITALARIOS"))))))))))))))))))))))))))))))))))))</f>
        <v>MANEJO DEL DOLOR Y CUIDADOS PALIATIVOS</v>
      </c>
      <c r="V200" s="47" t="str">
        <f t="shared" si="12"/>
        <v>Leidy Johanna Tobar Arteaga</v>
      </c>
      <c r="W200" s="47" t="str">
        <f t="shared" si="13"/>
        <v>Leidy Johanna Tobar Arteaga</v>
      </c>
      <c r="X200" s="47" t="str">
        <f t="shared" si="14"/>
        <v>Leidy Johanna Tobar Arteaga-1193469735-PALIATIVOS</v>
      </c>
    </row>
    <row r="201" spans="1:24" x14ac:dyDescent="0.2">
      <c r="A201" s="46">
        <v>200</v>
      </c>
      <c r="B201" s="43">
        <v>1193469735</v>
      </c>
      <c r="C201" s="43" t="s">
        <v>241</v>
      </c>
      <c r="D201" s="43" t="s">
        <v>99</v>
      </c>
      <c r="E201" s="43" t="s">
        <v>400</v>
      </c>
      <c r="F201" s="43" t="s">
        <v>446</v>
      </c>
      <c r="G201" s="43">
        <v>19</v>
      </c>
      <c r="H201" s="43" t="s">
        <v>100</v>
      </c>
      <c r="I201" s="55" t="s">
        <v>146</v>
      </c>
      <c r="J201" s="56">
        <v>45621</v>
      </c>
      <c r="K201" s="108">
        <v>30000</v>
      </c>
      <c r="L201" s="43" t="s">
        <v>139</v>
      </c>
      <c r="M201" s="43" t="s">
        <v>80</v>
      </c>
      <c r="N201" s="43" t="s">
        <v>90</v>
      </c>
      <c r="O201" s="43" t="s">
        <v>448</v>
      </c>
      <c r="P201" s="55">
        <v>37161</v>
      </c>
      <c r="Q201" s="43" t="s">
        <v>89</v>
      </c>
      <c r="R201" s="43" t="s">
        <v>189</v>
      </c>
      <c r="S201" s="43">
        <v>3116901303</v>
      </c>
      <c r="T201" s="54" t="s">
        <v>447</v>
      </c>
      <c r="U201" s="47" t="b">
        <f>IF(O201=CURSOS!$D$3,"DIPLOMADO EN ATENCION PRE-HOSPITALARIA",IF(O201=CURSOS!$D$4,"ACOMPAÑAMIENTO Y MANEJO DEL DUELO",IF(O201=CURSOS!$D$5,"ATENCION A VICTIMAS DE ATAQUE CON AGENTES QUIMICOS ",IF(O201=CURSOS!$D$6,"PRIMEROS AUXILIOS ",IF(O201=CURSOS!$D$7,"DIPLOMADO DE UNIDAD DE CUIDADOS INTENSIVOS (UCI)",IF(O201=CURSOS!$D$8,"MODELO DE ATENCION PARA EVENTOS EMERGENTES EN SALUD MENTAL (CODIGO VERDE)",IF(O201=CURSOS!$D$9,"HUMANIZACION EN EL SERVICIO DE LA SALUD Y BUENAS PRACTICAS EN PACIENTE ",IF(O201=CURSOS!$D$10,"CLINICA DE HERIDAS ",IF(O201=CURSOS!$D$11,"TOMA DE CITOLOGIA CERVICO VAGINAL ",IF(O201=CURSOS!$D$12,"SOPORTE CARDIOVASCULAR AVANZADO (ACLS) ",IF(O201=CURSOS!$D$13,"CAMILLERO ",IF(O201=CURSOS!$D$14,"TOMA DE MUESTRAS Y LABORATORIO ",IF(O201=CURSOS!$D$15,"SOPORTE VITAL BASICO (BLS)",IF(O201=CURSOS!$D$16,"ATENCION A VICTIMAS DE VIOLENCIA SEXUAL ",IF(O201=CURSOS!$D$17,"PROGRAMADO AMPLIADO DE INMUNIZACION (PAI - COVID 19)",IF(O201=CURSOS!$D$18,"ATENCION INTEGRAL EN ENFERMEDADES PREVALENTES EN PRIMERA INFANCIA (AIEPI)",IF(O201=CURSOS!$D$19,"ADMINISTRACION DE MEDICAMENTOS, INYECTOLOGIA  Y CANALIZACION ",IF(O201=CURSOS!$D$20,"OPERADOR DE VEHICULOS DE EMERGENCIA (OVE)",IF(O201=CURSOS!$D$21,"INSTITUCIONES AMIGAS DE LA MUJER Y LA INFANCIA (IAMI)",IF(O201=CURSOS!$D$22,"CUIDADO DEL DONANTE DE ORGANOS",IF(O201=CURSOS!$D$23,"ATENCION A VICTIMAS POR VIOLENCIA DE GENERO",IF(O201=CURSOS!$D$24,"IGUALDAD DE GENERO EN LA SALUD",IF(O201=CURSOS!$D$25,"BRIGADA DE EMERGENCIA",IF(O201=CURSOS!$D$26,"MANEJO DEL DOLOR Y CUIDADOS PALIATIVOS",IF(O201=CURSOS!$D$27,"TOMA DE MUESTRAS Y LABORATORIO POCT",IF(O201=CURSOS!$D$28,"IMPLANTE SUBDERMICO DE DISPOSITIVO INTRAUTERINO",IF(O201=CURSOS!$D$29,"SALUD MENTAL",IF(O201=CURSOS!$D$30,"PRIMEROS AUXILIOS PSICOLOGICOS",IF(O201=CURSOS!$D$31,"ATENCION A VICTIMAS POR CONFLICTO ARMADO",IF(O201=CURSOS!$D$32,"MANIPULACION DE ALIMENTOS Y BPM",IF(O201=CURSOS!$D$33,"ATENCION A PERSONAS CON DISCAPACIDAD",IF(O201=CURSOS!$D$34,"CUIDADO INTEGRAL DEL PACIENTE ADULTO",IF(O201=CURSOS!$D$35,"MANEJO DEFENSIVO",IF(O201=CURSOS!$D$36,"SOPORTE CARDIOVASCULAR AVANZADO NEONATAL",IF(O201=CURSOS!$D$37,"SEGURIDAD DEL PACIENTE",IF(O201=CURSOS!$D$38,"MANEJO DE RESIDUOS HOSPITALARIOS"))))))))))))))))))))))))))))))))))))</f>
        <v>0</v>
      </c>
      <c r="V201" s="47" t="str">
        <f t="shared" si="12"/>
        <v>Leidy Johanna Tobar Arteaga</v>
      </c>
      <c r="W201" s="47" t="str">
        <f t="shared" si="13"/>
        <v>Leidy Johanna Tobar Arteaga</v>
      </c>
      <c r="X201" s="47" t="str">
        <f t="shared" si="14"/>
        <v>Leidy Johanna Tobar Arteaga-1193469735-VACUNACION</v>
      </c>
    </row>
    <row r="202" spans="1:24" s="58" customFormat="1" x14ac:dyDescent="0.2">
      <c r="A202" s="46">
        <v>201</v>
      </c>
      <c r="B202" s="43">
        <v>1061742614</v>
      </c>
      <c r="C202" s="43" t="s">
        <v>113</v>
      </c>
      <c r="D202" s="43" t="s">
        <v>450</v>
      </c>
      <c r="E202" s="43" t="s">
        <v>451</v>
      </c>
      <c r="F202" s="43" t="s">
        <v>452</v>
      </c>
      <c r="G202" s="43">
        <v>26</v>
      </c>
      <c r="H202" s="43" t="s">
        <v>100</v>
      </c>
      <c r="I202" s="55" t="s">
        <v>92</v>
      </c>
      <c r="J202" s="56">
        <v>45622</v>
      </c>
      <c r="K202" s="108">
        <v>56000</v>
      </c>
      <c r="L202" s="43" t="s">
        <v>235</v>
      </c>
      <c r="M202" s="43" t="s">
        <v>80</v>
      </c>
      <c r="N202" s="43" t="s">
        <v>90</v>
      </c>
      <c r="O202" s="43" t="s">
        <v>45</v>
      </c>
      <c r="P202" s="55">
        <v>33396</v>
      </c>
      <c r="Q202" s="43" t="s">
        <v>89</v>
      </c>
      <c r="R202" s="43" t="s">
        <v>189</v>
      </c>
      <c r="S202" s="43">
        <v>3229720187</v>
      </c>
      <c r="T202" s="54" t="s">
        <v>453</v>
      </c>
      <c r="U202" s="47" t="str">
        <f>IF(O202=CURSOS!$D$3,"DIPLOMADO EN ATENCION PRE-HOSPITALARIA",IF(O202=CURSOS!$D$4,"ACOMPAÑAMIENTO Y MANEJO DEL DUELO",IF(O202=CURSOS!$D$5,"ATENCION A VICTIMAS DE ATAQUE CON AGENTES QUIMICOS ",IF(O202=CURSOS!$D$6,"PRIMEROS AUXILIOS ",IF(O202=CURSOS!$D$7,"DIPLOMADO DE UNIDAD DE CUIDADOS INTENSIVOS (UCI)",IF(O202=CURSOS!$D$8,"MODELO DE ATENCION PARA EVENTOS EMERGENTES EN SALUD MENTAL (CODIGO VERDE)",IF(O202=CURSOS!$D$9,"HUMANIZACION EN EL SERVICIO DE LA SALUD Y BUENAS PRACTICAS EN PACIENTE ",IF(O202=CURSOS!$D$10,"CLINICA DE HERIDAS ",IF(O202=CURSOS!$D$11,"TOMA DE CITOLOGIA CERVICO VAGINAL ",IF(O202=CURSOS!$D$12,"SOPORTE CARDIOVASCULAR AVANZADO (ACLS) ",IF(O202=CURSOS!$D$13,"CAMILLERO ",IF(O202=CURSOS!$D$14,"TOMA DE MUESTRAS Y LABORATORIO ",IF(O202=CURSOS!$D$15,"SOPORTE VITAL BASICO (BLS)",IF(O202=CURSOS!$D$16,"ATENCION A VICTIMAS DE VIOLENCIA SEXUAL ",IF(O202=CURSOS!$D$17,"PROGRAMADO AMPLIADO DE INMUNIZACION (PAI - COVID 19)",IF(O202=CURSOS!$D$18,"ATENCION INTEGRAL EN ENFERMEDADES PREVALENTES EN PRIMERA INFANCIA (AIEPI)",IF(O202=CURSOS!$D$19,"ADMINISTRACION DE MEDICAMENTOS, INYECTOLOGIA  Y CANALIZACION ",IF(O202=CURSOS!$D$20,"OPERADOR DE VEHICULOS DE EMERGENCIA (OVE)",IF(O202=CURSOS!$D$21,"INSTITUCIONES AMIGAS DE LA MUJER Y LA INFANCIA (IAMI)",IF(O202=CURSOS!$D$22,"CUIDADO DEL DONANTE DE ORGANOS",IF(O202=CURSOS!$D$23,"ATENCION A VICTIMAS POR VIOLENCIA DE GENERO",IF(O202=CURSOS!$D$24,"IGUALDAD DE GENERO EN LA SALUD",IF(O202=CURSOS!$D$25,"BRIGADA DE EMERGENCIA",IF(O202=CURSOS!$D$26,"MANEJO DEL DOLOR Y CUIDADOS PALIATIVOS",IF(O202=CURSOS!$D$27,"TOMA DE MUESTRAS Y LABORATORIO POCT",IF(O202=CURSOS!$D$28,"IMPLANTE SUBDERMICO DE DISPOSITIVO INTRAUTERINO",IF(O202=CURSOS!$D$29,"SALUD MENTAL",IF(O202=CURSOS!$D$30,"PRIMEROS AUXILIOS PSICOLOGICOS",IF(O202=CURSOS!$D$31,"ATENCION A VICTIMAS POR CONFLICTO ARMADO",IF(O202=CURSOS!$D$32,"MANIPULACION DE ALIMENTOS Y BPM",IF(O202=CURSOS!$D$33,"ATENCION A PERSONAS CON DISCAPACIDAD",IF(O202=CURSOS!$D$34,"CUIDADO INTEGRAL DEL PACIENTE ADULTO",IF(O202=CURSOS!$D$35,"MANEJO DEFENSIVO",IF(O202=CURSOS!$D$36,"SOPORTE CARDIOVASCULAR AVANZADO NEONATAL",IF(O202=CURSOS!$D$37,"SEGURIDAD DEL PACIENTE",IF(O202=CURSOS!$D$38,"MANEJO DE RESIDUOS HOSPITALARIOS"))))))))))))))))))))))))))))))))))))</f>
        <v xml:space="preserve">ADMINISTRACION DE MEDICAMENTOS, INYECTOLOGIA  Y CANALIZACION </v>
      </c>
      <c r="V202" s="47" t="str">
        <f t="shared" si="12"/>
        <v>Brenda Rocío Calvache Diaz</v>
      </c>
      <c r="W202" s="47" t="str">
        <f t="shared" si="13"/>
        <v>Brenda Rocío Calvache Diaz</v>
      </c>
      <c r="X202" s="47" t="str">
        <f t="shared" si="14"/>
        <v>Brenda Rocío Calvache Diaz-1061742614-ADMON DE MEDICAMENTOS</v>
      </c>
    </row>
    <row r="203" spans="1:24" s="58" customFormat="1" x14ac:dyDescent="0.2">
      <c r="A203" s="46">
        <v>202</v>
      </c>
      <c r="B203" s="43">
        <v>1087027493</v>
      </c>
      <c r="C203" s="43" t="s">
        <v>454</v>
      </c>
      <c r="D203" s="43" t="s">
        <v>130</v>
      </c>
      <c r="E203" s="43" t="s">
        <v>455</v>
      </c>
      <c r="F203" s="43" t="s">
        <v>456</v>
      </c>
      <c r="G203" s="43">
        <v>26</v>
      </c>
      <c r="H203" s="43" t="s">
        <v>100</v>
      </c>
      <c r="I203" s="55" t="s">
        <v>146</v>
      </c>
      <c r="J203" s="56">
        <v>45624</v>
      </c>
      <c r="K203" s="108">
        <v>28000</v>
      </c>
      <c r="L203" s="43" t="s">
        <v>235</v>
      </c>
      <c r="M203" s="43" t="s">
        <v>80</v>
      </c>
      <c r="N203" s="43" t="s">
        <v>159</v>
      </c>
      <c r="O203" s="43" t="s">
        <v>23</v>
      </c>
      <c r="P203" s="55">
        <v>34580</v>
      </c>
      <c r="Q203" s="43" t="s">
        <v>89</v>
      </c>
      <c r="R203" s="43" t="s">
        <v>457</v>
      </c>
      <c r="S203" s="43">
        <v>3169258121</v>
      </c>
      <c r="T203" s="54" t="s">
        <v>458</v>
      </c>
      <c r="U203" s="47" t="str">
        <f>IF(O203=CURSOS!$D$3,"DIPLOMADO EN ATENCION PRE-HOSPITALARIA",IF(O203=CURSOS!$D$4,"ACOMPAÑAMIENTO Y MANEJO DEL DUELO",IF(O203=CURSOS!$D$5,"ATENCION A VICTIMAS DE ATAQUE CON AGENTES QUIMICOS ",IF(O203=CURSOS!$D$6,"PRIMEROS AUXILIOS ",IF(O203=CURSOS!$D$7,"DIPLOMADO DE UNIDAD DE CUIDADOS INTENSIVOS (UCI)",IF(O203=CURSOS!$D$8,"MODELO DE ATENCION PARA EVENTOS EMERGENTES EN SALUD MENTAL (CODIGO VERDE)",IF(O203=CURSOS!$D$9,"HUMANIZACION EN EL SERVICIO DE LA SALUD Y BUENAS PRACTICAS EN PACIENTE ",IF(O203=CURSOS!$D$10,"CLINICA DE HERIDAS ",IF(O203=CURSOS!$D$11,"TOMA DE CITOLOGIA CERVICO VAGINAL ",IF(O203=CURSOS!$D$12,"SOPORTE CARDIOVASCULAR AVANZADO (ACLS) ",IF(O203=CURSOS!$D$13,"CAMILLERO ",IF(O203=CURSOS!$D$14,"TOMA DE MUESTRAS Y LABORATORIO ",IF(O203=CURSOS!$D$15,"SOPORTE VITAL BASICO (BLS)",IF(O203=CURSOS!$D$16,"ATENCION A VICTIMAS DE VIOLENCIA SEXUAL ",IF(O203=CURSOS!$D$17,"PROGRAMADO AMPLIADO DE INMUNIZACION (PAI - COVID 19)",IF(O203=CURSOS!$D$18,"ATENCION INTEGRAL EN ENFERMEDADES PREVALENTES EN PRIMERA INFANCIA (AIEPI)",IF(O203=CURSOS!$D$19,"ADMINISTRACION DE MEDICAMENTOS, INYECTOLOGIA  Y CANALIZACION ",IF(O203=CURSOS!$D$20,"OPERADOR DE VEHICULOS DE EMERGENCIA (OVE)",IF(O203=CURSOS!$D$21,"INSTITUCIONES AMIGAS DE LA MUJER Y LA INFANCIA (IAMI)",IF(O203=CURSOS!$D$22,"CUIDADO DEL DONANTE DE ORGANOS",IF(O203=CURSOS!$D$23,"ATENCION A VICTIMAS POR VIOLENCIA DE GENERO",IF(O203=CURSOS!$D$24,"IGUALDAD DE GENERO EN LA SALUD",IF(O203=CURSOS!$D$25,"BRIGADA DE EMERGENCIA",IF(O203=CURSOS!$D$26,"MANEJO DEL DOLOR Y CUIDADOS PALIATIVOS",IF(O203=CURSOS!$D$27,"TOMA DE MUESTRAS Y LABORATORIO POCT",IF(O203=CURSOS!$D$28,"IMPLANTE SUBDERMICO DE DISPOSITIVO INTRAUTERINO",IF(O203=CURSOS!$D$29,"SALUD MENTAL",IF(O203=CURSOS!$D$30,"PRIMEROS AUXILIOS PSICOLOGICOS",IF(O203=CURSOS!$D$31,"ATENCION A VICTIMAS POR CONFLICTO ARMADO",IF(O203=CURSOS!$D$32,"MANIPULACION DE ALIMENTOS Y BPM",IF(O203=CURSOS!$D$33,"ATENCION A PERSONAS CON DISCAPACIDAD",IF(O203=CURSOS!$D$34,"CUIDADO INTEGRAL DEL PACIENTE ADULTO",IF(O203=CURSOS!$D$35,"MANEJO DEFENSIVO",IF(O203=CURSOS!$D$36,"SOPORTE CARDIOVASCULAR AVANZADO NEONATAL",IF(O203=CURSOS!$D$37,"SEGURIDAD DEL PACIENTE",IF(O203=CURSOS!$D$38,"MANEJO DE RESIDUOS HOSPITALARIOS"))))))))))))))))))))))))))))))))))))</f>
        <v>ACOMPAÑAMIENTO Y MANEJO DEL DUELO</v>
      </c>
      <c r="V203" s="47" t="str">
        <f t="shared" si="12"/>
        <v>Tania Yamile Estrada Rosero</v>
      </c>
      <c r="W203" s="47" t="str">
        <f t="shared" si="13"/>
        <v>Tania Yamile Estrada Rosero</v>
      </c>
      <c r="X203" s="47" t="str">
        <f t="shared" si="14"/>
        <v>Tania Yamile Estrada Rosero-1087027493-DUELO</v>
      </c>
    </row>
    <row r="204" spans="1:24" x14ac:dyDescent="0.2">
      <c r="A204" s="46">
        <v>203</v>
      </c>
      <c r="B204" s="54">
        <v>1088733829</v>
      </c>
      <c r="C204" s="54" t="s">
        <v>218</v>
      </c>
      <c r="D204" s="54" t="s">
        <v>123</v>
      </c>
      <c r="E204" s="54" t="s">
        <v>223</v>
      </c>
      <c r="F204" s="54" t="s">
        <v>224</v>
      </c>
      <c r="G204" s="54">
        <v>27</v>
      </c>
      <c r="H204" s="54" t="s">
        <v>100</v>
      </c>
      <c r="I204" s="55" t="s">
        <v>146</v>
      </c>
      <c r="J204" s="56">
        <v>45624</v>
      </c>
      <c r="K204" s="108">
        <v>28000</v>
      </c>
      <c r="L204" s="54" t="s">
        <v>235</v>
      </c>
      <c r="M204" s="54" t="s">
        <v>80</v>
      </c>
      <c r="N204" s="54" t="s">
        <v>159</v>
      </c>
      <c r="O204" s="43" t="s">
        <v>32</v>
      </c>
      <c r="P204" s="55">
        <v>33186</v>
      </c>
      <c r="Q204" s="54" t="s">
        <v>148</v>
      </c>
      <c r="R204" s="54" t="s">
        <v>286</v>
      </c>
      <c r="S204" s="57">
        <v>3217725218</v>
      </c>
      <c r="T204" s="54" t="s">
        <v>225</v>
      </c>
      <c r="U204" s="47" t="str">
        <f>IF(O204=CURSOS!$D$3,"DIPLOMADO EN ATENCION PRE-HOSPITALARIA",IF(O204=CURSOS!$D$4,"ACOMPAÑAMIENTO Y MANEJO DEL DUELO",IF(O204=CURSOS!$D$5,"ATENCION A VICTIMAS DE ATAQUE CON AGENTES QUIMICOS ",IF(O204=CURSOS!$D$6,"PRIMEROS AUXILIOS ",IF(O204=CURSOS!$D$7,"DIPLOMADO DE UNIDAD DE CUIDADOS INTENSIVOS (UCI)",IF(O204=CURSOS!$D$8,"MODELO DE ATENCION PARA EVENTOS EMERGENTES EN SALUD MENTAL (CODIGO VERDE)",IF(O204=CURSOS!$D$9,"HUMANIZACION EN EL SERVICIO DE LA SALUD Y BUENAS PRACTICAS EN PACIENTE ",IF(O204=CURSOS!$D$10,"CLINICA DE HERIDAS ",IF(O204=CURSOS!$D$11,"TOMA DE CITOLOGIA CERVICO VAGINAL ",IF(O204=CURSOS!$D$12,"SOPORTE CARDIOVASCULAR AVANZADO (ACLS) ",IF(O204=CURSOS!$D$13,"CAMILLERO ",IF(O204=CURSOS!$D$14,"TOMA DE MUESTRAS Y LABORATORIO ",IF(O204=CURSOS!$D$15,"SOPORTE VITAL BASICO (BLS)",IF(O204=CURSOS!$D$16,"ATENCION A VICTIMAS DE VIOLENCIA SEXUAL ",IF(O204=CURSOS!$D$17,"PROGRAMADO AMPLIADO DE INMUNIZACION (PAI - COVID 19)",IF(O204=CURSOS!$D$18,"ATENCION INTEGRAL EN ENFERMEDADES PREVALENTES EN PRIMERA INFANCIA (AIEPI)",IF(O204=CURSOS!$D$19,"ADMINISTRACION DE MEDICAMENTOS, INYECTOLOGIA  Y CANALIZACION ",IF(O204=CURSOS!$D$20,"OPERADOR DE VEHICULOS DE EMERGENCIA (OVE)",IF(O204=CURSOS!$D$21,"INSTITUCIONES AMIGAS DE LA MUJER Y LA INFANCIA (IAMI)",IF(O204=CURSOS!$D$22,"CUIDADO DEL DONANTE DE ORGANOS",IF(O204=CURSOS!$D$23,"ATENCION A VICTIMAS POR VIOLENCIA DE GENERO",IF(O204=CURSOS!$D$24,"IGUALDAD DE GENERO EN LA SALUD",IF(O204=CURSOS!$D$25,"BRIGADA DE EMERGENCIA",IF(O204=CURSOS!$D$26,"MANEJO DEL DOLOR Y CUIDADOS PALIATIVOS",IF(O204=CURSOS!$D$27,"TOMA DE MUESTRAS Y LABORATORIO POCT",IF(O204=CURSOS!$D$28,"IMPLANTE SUBDERMICO DE DISPOSITIVO INTRAUTERINO",IF(O204=CURSOS!$D$29,"SALUD MENTAL",IF(O204=CURSOS!$D$30,"PRIMEROS AUXILIOS PSICOLOGICOS",IF(O204=CURSOS!$D$31,"ATENCION A VICTIMAS POR CONFLICTO ARMADO",IF(O204=CURSOS!$D$32,"MANIPULACION DE ALIMENTOS Y BPM",IF(O204=CURSOS!$D$33,"ATENCION A PERSONAS CON DISCAPACIDAD",IF(O204=CURSOS!$D$34,"CUIDADO INTEGRAL DEL PACIENTE ADULTO",IF(O204=CURSOS!$D$35,"MANEJO DEFENSIVO",IF(O204=CURSOS!$D$36,"SOPORTE CARDIOVASCULAR AVANZADO NEONATAL",IF(O204=CURSOS!$D$37,"SEGURIDAD DEL PACIENTE",IF(O204=CURSOS!$D$38,"MANEJO DE RESIDUOS HOSPITALARIOS"))))))))))))))))))))))))))))))))))))</f>
        <v xml:space="preserve">HUMANIZACION EN EL SERVICIO DE LA SALUD Y BUENAS PRACTICAS EN PACIENTE </v>
      </c>
      <c r="V204" s="47" t="str">
        <f t="shared" si="12"/>
        <v>Andres Geovanny Obando Benavides</v>
      </c>
      <c r="W204" s="47" t="str">
        <f t="shared" si="13"/>
        <v>Andres Geovanny Obando Benavides</v>
      </c>
      <c r="X204" s="47" t="str">
        <f t="shared" si="14"/>
        <v>Andres Geovanny Obando Benavides-1088733829-HUMANIZACION</v>
      </c>
    </row>
    <row r="205" spans="1:24" x14ac:dyDescent="0.2">
      <c r="A205" s="46">
        <v>204</v>
      </c>
      <c r="B205" s="54">
        <v>1088733829</v>
      </c>
      <c r="C205" s="54" t="s">
        <v>218</v>
      </c>
      <c r="D205" s="54" t="s">
        <v>123</v>
      </c>
      <c r="E205" s="54" t="s">
        <v>223</v>
      </c>
      <c r="F205" s="54" t="s">
        <v>224</v>
      </c>
      <c r="G205" s="54">
        <v>26</v>
      </c>
      <c r="H205" s="54" t="s">
        <v>100</v>
      </c>
      <c r="I205" s="55" t="s">
        <v>146</v>
      </c>
      <c r="J205" s="56">
        <v>45624</v>
      </c>
      <c r="K205" s="108">
        <v>28000</v>
      </c>
      <c r="L205" s="54" t="s">
        <v>235</v>
      </c>
      <c r="M205" s="54" t="s">
        <v>80</v>
      </c>
      <c r="N205" s="54" t="s">
        <v>159</v>
      </c>
      <c r="O205" s="43" t="s">
        <v>25</v>
      </c>
      <c r="P205" s="55">
        <v>33186</v>
      </c>
      <c r="Q205" s="54" t="s">
        <v>148</v>
      </c>
      <c r="R205" s="54" t="s">
        <v>286</v>
      </c>
      <c r="S205" s="57">
        <v>3217725218</v>
      </c>
      <c r="T205" s="54" t="s">
        <v>225</v>
      </c>
      <c r="U205" s="47" t="str">
        <f>IF(O205=CURSOS!$D$3,"DIPLOMADO EN ATENCION PRE-HOSPITALARIA",IF(O205=CURSOS!$D$4,"ACOMPAÑAMIENTO Y MANEJO DEL DUELO",IF(O205=CURSOS!$D$5,"ATENCION A VICTIMAS DE ATAQUE CON AGENTES QUIMICOS ",IF(O205=CURSOS!$D$6,"PRIMEROS AUXILIOS ",IF(O205=CURSOS!$D$7,"DIPLOMADO DE UNIDAD DE CUIDADOS INTENSIVOS (UCI)",IF(O205=CURSOS!$D$8,"MODELO DE ATENCION PARA EVENTOS EMERGENTES EN SALUD MENTAL (CODIGO VERDE)",IF(O205=CURSOS!$D$9,"HUMANIZACION EN EL SERVICIO DE LA SALUD Y BUENAS PRACTICAS EN PACIENTE ",IF(O205=CURSOS!$D$10,"CLINICA DE HERIDAS ",IF(O205=CURSOS!$D$11,"TOMA DE CITOLOGIA CERVICO VAGINAL ",IF(O205=CURSOS!$D$12,"SOPORTE CARDIOVASCULAR AVANZADO (ACLS) ",IF(O205=CURSOS!$D$13,"CAMILLERO ",IF(O205=CURSOS!$D$14,"TOMA DE MUESTRAS Y LABORATORIO ",IF(O205=CURSOS!$D$15,"SOPORTE VITAL BASICO (BLS)",IF(O205=CURSOS!$D$16,"ATENCION A VICTIMAS DE VIOLENCIA SEXUAL ",IF(O205=CURSOS!$D$17,"PROGRAMADO AMPLIADO DE INMUNIZACION (PAI - COVID 19)",IF(O205=CURSOS!$D$18,"ATENCION INTEGRAL EN ENFERMEDADES PREVALENTES EN PRIMERA INFANCIA (AIEPI)",IF(O205=CURSOS!$D$19,"ADMINISTRACION DE MEDICAMENTOS, INYECTOLOGIA  Y CANALIZACION ",IF(O205=CURSOS!$D$20,"OPERADOR DE VEHICULOS DE EMERGENCIA (OVE)",IF(O205=CURSOS!$D$21,"INSTITUCIONES AMIGAS DE LA MUJER Y LA INFANCIA (IAMI)",IF(O205=CURSOS!$D$22,"CUIDADO DEL DONANTE DE ORGANOS",IF(O205=CURSOS!$D$23,"ATENCION A VICTIMAS POR VIOLENCIA DE GENERO",IF(O205=CURSOS!$D$24,"IGUALDAD DE GENERO EN LA SALUD",IF(O205=CURSOS!$D$25,"BRIGADA DE EMERGENCIA",IF(O205=CURSOS!$D$26,"MANEJO DEL DOLOR Y CUIDADOS PALIATIVOS",IF(O205=CURSOS!$D$27,"TOMA DE MUESTRAS Y LABORATORIO POCT",IF(O205=CURSOS!$D$28,"IMPLANTE SUBDERMICO DE DISPOSITIVO INTRAUTERINO",IF(O205=CURSOS!$D$29,"SALUD MENTAL",IF(O205=CURSOS!$D$30,"PRIMEROS AUXILIOS PSICOLOGICOS",IF(O205=CURSOS!$D$31,"ATENCION A VICTIMAS POR CONFLICTO ARMADO",IF(O205=CURSOS!$D$32,"MANIPULACION DE ALIMENTOS Y BPM",IF(O205=CURSOS!$D$33,"ATENCION A PERSONAS CON DISCAPACIDAD",IF(O205=CURSOS!$D$34,"CUIDADO INTEGRAL DEL PACIENTE ADULTO",IF(O205=CURSOS!$D$35,"MANEJO DEFENSIVO",IF(O205=CURSOS!$D$36,"SOPORTE CARDIOVASCULAR AVANZADO NEONATAL",IF(O205=CURSOS!$D$37,"SEGURIDAD DEL PACIENTE",IF(O205=CURSOS!$D$38,"MANEJO DE RESIDUOS HOSPITALARIOS"))))))))))))))))))))))))))))))))))))</f>
        <v xml:space="preserve">ATENCION A VICTIMAS DE ATAQUE CON AGENTES QUIMICOS </v>
      </c>
      <c r="V205" s="47" t="str">
        <f t="shared" si="12"/>
        <v>Andres Geovanny Obando Benavides</v>
      </c>
      <c r="W205" s="47" t="str">
        <f t="shared" si="13"/>
        <v>Andres Geovanny Obando Benavides</v>
      </c>
      <c r="X205" s="47" t="str">
        <f t="shared" si="14"/>
        <v>Andres Geovanny Obando Benavides-1088733829-QUIMICOS</v>
      </c>
    </row>
    <row r="206" spans="1:24" x14ac:dyDescent="0.2">
      <c r="A206" s="46">
        <v>205</v>
      </c>
      <c r="B206" s="54">
        <v>1085324807</v>
      </c>
      <c r="C206" s="54" t="s">
        <v>346</v>
      </c>
      <c r="D206" s="54" t="s">
        <v>347</v>
      </c>
      <c r="E206" s="54" t="s">
        <v>348</v>
      </c>
      <c r="F206" s="54" t="s">
        <v>107</v>
      </c>
      <c r="G206" s="54">
        <v>25</v>
      </c>
      <c r="H206" s="54" t="s">
        <v>100</v>
      </c>
      <c r="I206" s="78" t="s">
        <v>146</v>
      </c>
      <c r="J206" s="56">
        <v>45624</v>
      </c>
      <c r="K206" s="108">
        <v>28000</v>
      </c>
      <c r="L206" s="54" t="s">
        <v>235</v>
      </c>
      <c r="M206" s="54" t="s">
        <v>80</v>
      </c>
      <c r="N206" s="54" t="s">
        <v>159</v>
      </c>
      <c r="O206" s="43" t="s">
        <v>44</v>
      </c>
      <c r="P206" s="55">
        <v>35008</v>
      </c>
      <c r="Q206" s="54" t="s">
        <v>148</v>
      </c>
      <c r="R206" s="54" t="s">
        <v>180</v>
      </c>
      <c r="S206" s="54">
        <v>3153176879</v>
      </c>
      <c r="T206" s="54" t="s">
        <v>349</v>
      </c>
      <c r="U206" s="47" t="str">
        <f>IF(O206=CURSOS!$D$3,"DIPLOMADO EN ATENCION PRE-HOSPITALARIA",IF(O206=CURSOS!$D$4,"ACOMPAÑAMIENTO Y MANEJO DEL DUELO",IF(O206=CURSOS!$D$5,"ATENCION A VICTIMAS DE ATAQUE CON AGENTES QUIMICOS ",IF(O206=CURSOS!$D$6,"PRIMEROS AUXILIOS ",IF(O206=CURSOS!$D$7,"DIPLOMADO DE UNIDAD DE CUIDADOS INTENSIVOS (UCI)",IF(O206=CURSOS!$D$8,"MODELO DE ATENCION PARA EVENTOS EMERGENTES EN SALUD MENTAL (CODIGO VERDE)",IF(O206=CURSOS!$D$9,"HUMANIZACION EN EL SERVICIO DE LA SALUD Y BUENAS PRACTICAS EN PACIENTE ",IF(O206=CURSOS!$D$10,"CLINICA DE HERIDAS ",IF(O206=CURSOS!$D$11,"TOMA DE CITOLOGIA CERVICO VAGINAL ",IF(O206=CURSOS!$D$12,"SOPORTE CARDIOVASCULAR AVANZADO (ACLS) ",IF(O206=CURSOS!$D$13,"CAMILLERO ",IF(O206=CURSOS!$D$14,"TOMA DE MUESTRAS Y LABORATORIO ",IF(O206=CURSOS!$D$15,"SOPORTE VITAL BASICO (BLS)",IF(O206=CURSOS!$D$16,"ATENCION A VICTIMAS DE VIOLENCIA SEXUAL ",IF(O206=CURSOS!$D$17,"PROGRAMADO AMPLIADO DE INMUNIZACION (PAI - COVID 19)",IF(O206=CURSOS!$D$18,"ATENCION INTEGRAL EN ENFERMEDADES PREVALENTES EN PRIMERA INFANCIA (AIEPI)",IF(O206=CURSOS!$D$19,"ADMINISTRACION DE MEDICAMENTOS, INYECTOLOGIA  Y CANALIZACION ",IF(O206=CURSOS!$D$20,"OPERADOR DE VEHICULOS DE EMERGENCIA (OVE)",IF(O206=CURSOS!$D$21,"INSTITUCIONES AMIGAS DE LA MUJER Y LA INFANCIA (IAMI)",IF(O206=CURSOS!$D$22,"CUIDADO DEL DONANTE DE ORGANOS",IF(O206=CURSOS!$D$23,"ATENCION A VICTIMAS POR VIOLENCIA DE GENERO",IF(O206=CURSOS!$D$24,"IGUALDAD DE GENERO EN LA SALUD",IF(O206=CURSOS!$D$25,"BRIGADA DE EMERGENCIA",IF(O206=CURSOS!$D$26,"MANEJO DEL DOLOR Y CUIDADOS PALIATIVOS",IF(O206=CURSOS!$D$27,"TOMA DE MUESTRAS Y LABORATORIO POCT",IF(O206=CURSOS!$D$28,"IMPLANTE SUBDERMICO DE DISPOSITIVO INTRAUTERINO",IF(O206=CURSOS!$D$29,"SALUD MENTAL",IF(O206=CURSOS!$D$30,"PRIMEROS AUXILIOS PSICOLOGICOS",IF(O206=CURSOS!$D$31,"ATENCION A VICTIMAS POR CONFLICTO ARMADO",IF(O206=CURSOS!$D$32,"MANIPULACION DE ALIMENTOS Y BPM",IF(O206=CURSOS!$D$33,"ATENCION A PERSONAS CON DISCAPACIDAD",IF(O206=CURSOS!$D$34,"CUIDADO INTEGRAL DEL PACIENTE ADULTO",IF(O206=CURSOS!$D$35,"MANEJO DEFENSIVO",IF(O206=CURSOS!$D$36,"SOPORTE CARDIOVASCULAR AVANZADO NEONATAL",IF(O206=CURSOS!$D$37,"SEGURIDAD DEL PACIENTE",IF(O206=CURSOS!$D$38,"MANEJO DE RESIDUOS HOSPITALARIOS"))))))))))))))))))))))))))))))))))))</f>
        <v>ATENCION INTEGRAL EN ENFERMEDADES PREVALENTES EN PRIMERA INFANCIA (AIEPI)</v>
      </c>
      <c r="V206" s="47" t="str">
        <f t="shared" si="12"/>
        <v>James David Junca Eraso</v>
      </c>
      <c r="W206" s="47" t="str">
        <f t="shared" si="13"/>
        <v>James David Junca Eraso</v>
      </c>
      <c r="X206" s="47" t="str">
        <f t="shared" si="14"/>
        <v>James David Junca Eraso-1085324807-AIEPI</v>
      </c>
    </row>
    <row r="207" spans="1:24" x14ac:dyDescent="0.2">
      <c r="A207" s="46">
        <v>206</v>
      </c>
      <c r="B207" s="54">
        <v>1085324807</v>
      </c>
      <c r="C207" s="54" t="s">
        <v>346</v>
      </c>
      <c r="D207" s="54" t="s">
        <v>347</v>
      </c>
      <c r="E207" s="54" t="s">
        <v>348</v>
      </c>
      <c r="F207" s="54" t="s">
        <v>107</v>
      </c>
      <c r="G207" s="54">
        <v>26</v>
      </c>
      <c r="H207" s="54" t="s">
        <v>100</v>
      </c>
      <c r="I207" s="78" t="s">
        <v>146</v>
      </c>
      <c r="J207" s="56">
        <v>45624</v>
      </c>
      <c r="K207" s="108">
        <v>28000</v>
      </c>
      <c r="L207" s="54" t="s">
        <v>235</v>
      </c>
      <c r="M207" s="54" t="s">
        <v>80</v>
      </c>
      <c r="N207" s="54" t="s">
        <v>159</v>
      </c>
      <c r="O207" s="43" t="s">
        <v>23</v>
      </c>
      <c r="P207" s="55">
        <v>35008</v>
      </c>
      <c r="Q207" s="54" t="s">
        <v>148</v>
      </c>
      <c r="R207" s="54" t="s">
        <v>180</v>
      </c>
      <c r="S207" s="54">
        <v>3153176879</v>
      </c>
      <c r="T207" s="54" t="s">
        <v>349</v>
      </c>
      <c r="U207" s="47" t="str">
        <f>IF(O207=CURSOS!$D$3,"DIPLOMADO EN ATENCION PRE-HOSPITALARIA",IF(O207=CURSOS!$D$4,"ACOMPAÑAMIENTO Y MANEJO DEL DUELO",IF(O207=CURSOS!$D$5,"ATENCION A VICTIMAS DE ATAQUE CON AGENTES QUIMICOS ",IF(O207=CURSOS!$D$6,"PRIMEROS AUXILIOS ",IF(O207=CURSOS!$D$7,"DIPLOMADO DE UNIDAD DE CUIDADOS INTENSIVOS (UCI)",IF(O207=CURSOS!$D$8,"MODELO DE ATENCION PARA EVENTOS EMERGENTES EN SALUD MENTAL (CODIGO VERDE)",IF(O207=CURSOS!$D$9,"HUMANIZACION EN EL SERVICIO DE LA SALUD Y BUENAS PRACTICAS EN PACIENTE ",IF(O207=CURSOS!$D$10,"CLINICA DE HERIDAS ",IF(O207=CURSOS!$D$11,"TOMA DE CITOLOGIA CERVICO VAGINAL ",IF(O207=CURSOS!$D$12,"SOPORTE CARDIOVASCULAR AVANZADO (ACLS) ",IF(O207=CURSOS!$D$13,"CAMILLERO ",IF(O207=CURSOS!$D$14,"TOMA DE MUESTRAS Y LABORATORIO ",IF(O207=CURSOS!$D$15,"SOPORTE VITAL BASICO (BLS)",IF(O207=CURSOS!$D$16,"ATENCION A VICTIMAS DE VIOLENCIA SEXUAL ",IF(O207=CURSOS!$D$17,"PROGRAMADO AMPLIADO DE INMUNIZACION (PAI - COVID 19)",IF(O207=CURSOS!$D$18,"ATENCION INTEGRAL EN ENFERMEDADES PREVALENTES EN PRIMERA INFANCIA (AIEPI)",IF(O207=CURSOS!$D$19,"ADMINISTRACION DE MEDICAMENTOS, INYECTOLOGIA  Y CANALIZACION ",IF(O207=CURSOS!$D$20,"OPERADOR DE VEHICULOS DE EMERGENCIA (OVE)",IF(O207=CURSOS!$D$21,"INSTITUCIONES AMIGAS DE LA MUJER Y LA INFANCIA (IAMI)",IF(O207=CURSOS!$D$22,"CUIDADO DEL DONANTE DE ORGANOS",IF(O207=CURSOS!$D$23,"ATENCION A VICTIMAS POR VIOLENCIA DE GENERO",IF(O207=CURSOS!$D$24,"IGUALDAD DE GENERO EN LA SALUD",IF(O207=CURSOS!$D$25,"BRIGADA DE EMERGENCIA",IF(O207=CURSOS!$D$26,"MANEJO DEL DOLOR Y CUIDADOS PALIATIVOS",IF(O207=CURSOS!$D$27,"TOMA DE MUESTRAS Y LABORATORIO POCT",IF(O207=CURSOS!$D$28,"IMPLANTE SUBDERMICO DE DISPOSITIVO INTRAUTERINO",IF(O207=CURSOS!$D$29,"SALUD MENTAL",IF(O207=CURSOS!$D$30,"PRIMEROS AUXILIOS PSICOLOGICOS",IF(O207=CURSOS!$D$31,"ATENCION A VICTIMAS POR CONFLICTO ARMADO",IF(O207=CURSOS!$D$32,"MANIPULACION DE ALIMENTOS Y BPM",IF(O207=CURSOS!$D$33,"ATENCION A PERSONAS CON DISCAPACIDAD",IF(O207=CURSOS!$D$34,"CUIDADO INTEGRAL DEL PACIENTE ADULTO",IF(O207=CURSOS!$D$35,"MANEJO DEFENSIVO",IF(O207=CURSOS!$D$36,"SOPORTE CARDIOVASCULAR AVANZADO NEONATAL",IF(O207=CURSOS!$D$37,"SEGURIDAD DEL PACIENTE",IF(O207=CURSOS!$D$38,"MANEJO DE RESIDUOS HOSPITALARIOS"))))))))))))))))))))))))))))))))))))</f>
        <v>ACOMPAÑAMIENTO Y MANEJO DEL DUELO</v>
      </c>
      <c r="V207" s="47" t="str">
        <f t="shared" si="12"/>
        <v>James David Junca Eraso</v>
      </c>
      <c r="W207" s="47" t="str">
        <f t="shared" si="13"/>
        <v>James David Junca Eraso</v>
      </c>
      <c r="X207" s="47" t="str">
        <f t="shared" si="14"/>
        <v>James David Junca Eraso-1085324807-DUELO</v>
      </c>
    </row>
    <row r="208" spans="1:24" x14ac:dyDescent="0.2">
      <c r="A208" s="46">
        <v>207</v>
      </c>
      <c r="B208" s="54">
        <v>1085324807</v>
      </c>
      <c r="C208" s="54" t="s">
        <v>346</v>
      </c>
      <c r="D208" s="54" t="s">
        <v>347</v>
      </c>
      <c r="E208" s="54" t="s">
        <v>348</v>
      </c>
      <c r="F208" s="54" t="s">
        <v>107</v>
      </c>
      <c r="G208" s="54">
        <v>27</v>
      </c>
      <c r="H208" s="54" t="s">
        <v>100</v>
      </c>
      <c r="I208" s="78" t="s">
        <v>146</v>
      </c>
      <c r="J208" s="56">
        <v>45624</v>
      </c>
      <c r="K208" s="108">
        <v>28000</v>
      </c>
      <c r="L208" s="54" t="s">
        <v>235</v>
      </c>
      <c r="M208" s="54" t="s">
        <v>80</v>
      </c>
      <c r="N208" s="54" t="s">
        <v>159</v>
      </c>
      <c r="O208" s="43" t="s">
        <v>32</v>
      </c>
      <c r="P208" s="55">
        <v>35008</v>
      </c>
      <c r="Q208" s="54" t="s">
        <v>148</v>
      </c>
      <c r="R208" s="54" t="s">
        <v>180</v>
      </c>
      <c r="S208" s="54">
        <v>3153176879</v>
      </c>
      <c r="T208" s="54" t="s">
        <v>349</v>
      </c>
      <c r="U208" s="47" t="str">
        <f>IF(O208=CURSOS!$D$3,"DIPLOMADO EN ATENCION PRE-HOSPITALARIA",IF(O208=CURSOS!$D$4,"ACOMPAÑAMIENTO Y MANEJO DEL DUELO",IF(O208=CURSOS!$D$5,"ATENCION A VICTIMAS DE ATAQUE CON AGENTES QUIMICOS ",IF(O208=CURSOS!$D$6,"PRIMEROS AUXILIOS ",IF(O208=CURSOS!$D$7,"DIPLOMADO DE UNIDAD DE CUIDADOS INTENSIVOS (UCI)",IF(O208=CURSOS!$D$8,"MODELO DE ATENCION PARA EVENTOS EMERGENTES EN SALUD MENTAL (CODIGO VERDE)",IF(O208=CURSOS!$D$9,"HUMANIZACION EN EL SERVICIO DE LA SALUD Y BUENAS PRACTICAS EN PACIENTE ",IF(O208=CURSOS!$D$10,"CLINICA DE HERIDAS ",IF(O208=CURSOS!$D$11,"TOMA DE CITOLOGIA CERVICO VAGINAL ",IF(O208=CURSOS!$D$12,"SOPORTE CARDIOVASCULAR AVANZADO (ACLS) ",IF(O208=CURSOS!$D$13,"CAMILLERO ",IF(O208=CURSOS!$D$14,"TOMA DE MUESTRAS Y LABORATORIO ",IF(O208=CURSOS!$D$15,"SOPORTE VITAL BASICO (BLS)",IF(O208=CURSOS!$D$16,"ATENCION A VICTIMAS DE VIOLENCIA SEXUAL ",IF(O208=CURSOS!$D$17,"PROGRAMADO AMPLIADO DE INMUNIZACION (PAI - COVID 19)",IF(O208=CURSOS!$D$18,"ATENCION INTEGRAL EN ENFERMEDADES PREVALENTES EN PRIMERA INFANCIA (AIEPI)",IF(O208=CURSOS!$D$19,"ADMINISTRACION DE MEDICAMENTOS, INYECTOLOGIA  Y CANALIZACION ",IF(O208=CURSOS!$D$20,"OPERADOR DE VEHICULOS DE EMERGENCIA (OVE)",IF(O208=CURSOS!$D$21,"INSTITUCIONES AMIGAS DE LA MUJER Y LA INFANCIA (IAMI)",IF(O208=CURSOS!$D$22,"CUIDADO DEL DONANTE DE ORGANOS",IF(O208=CURSOS!$D$23,"ATENCION A VICTIMAS POR VIOLENCIA DE GENERO",IF(O208=CURSOS!$D$24,"IGUALDAD DE GENERO EN LA SALUD",IF(O208=CURSOS!$D$25,"BRIGADA DE EMERGENCIA",IF(O208=CURSOS!$D$26,"MANEJO DEL DOLOR Y CUIDADOS PALIATIVOS",IF(O208=CURSOS!$D$27,"TOMA DE MUESTRAS Y LABORATORIO POCT",IF(O208=CURSOS!$D$28,"IMPLANTE SUBDERMICO DE DISPOSITIVO INTRAUTERINO",IF(O208=CURSOS!$D$29,"SALUD MENTAL",IF(O208=CURSOS!$D$30,"PRIMEROS AUXILIOS PSICOLOGICOS",IF(O208=CURSOS!$D$31,"ATENCION A VICTIMAS POR CONFLICTO ARMADO",IF(O208=CURSOS!$D$32,"MANIPULACION DE ALIMENTOS Y BPM",IF(O208=CURSOS!$D$33,"ATENCION A PERSONAS CON DISCAPACIDAD",IF(O208=CURSOS!$D$34,"CUIDADO INTEGRAL DEL PACIENTE ADULTO",IF(O208=CURSOS!$D$35,"MANEJO DEFENSIVO",IF(O208=CURSOS!$D$36,"SOPORTE CARDIOVASCULAR AVANZADO NEONATAL",IF(O208=CURSOS!$D$37,"SEGURIDAD DEL PACIENTE",IF(O208=CURSOS!$D$38,"MANEJO DE RESIDUOS HOSPITALARIOS"))))))))))))))))))))))))))))))))))))</f>
        <v xml:space="preserve">HUMANIZACION EN EL SERVICIO DE LA SALUD Y BUENAS PRACTICAS EN PACIENTE </v>
      </c>
      <c r="V208" s="47" t="str">
        <f t="shared" si="12"/>
        <v>James David Junca Eraso</v>
      </c>
      <c r="W208" s="47" t="str">
        <f t="shared" si="13"/>
        <v>James David Junca Eraso</v>
      </c>
      <c r="X208" s="47" t="str">
        <f t="shared" si="14"/>
        <v>James David Junca Eraso-1085324807-HUMANIZACION</v>
      </c>
    </row>
    <row r="209" spans="1:25" s="58" customFormat="1" x14ac:dyDescent="0.2">
      <c r="A209" s="46">
        <v>208</v>
      </c>
      <c r="B209" s="43">
        <v>12747445</v>
      </c>
      <c r="C209" s="43" t="s">
        <v>459</v>
      </c>
      <c r="D209" s="43" t="s">
        <v>460</v>
      </c>
      <c r="E209" s="43" t="s">
        <v>461</v>
      </c>
      <c r="F209" s="43" t="s">
        <v>462</v>
      </c>
      <c r="G209" s="43">
        <v>27</v>
      </c>
      <c r="H209" s="43" t="s">
        <v>100</v>
      </c>
      <c r="I209" s="55" t="s">
        <v>146</v>
      </c>
      <c r="J209" s="56">
        <v>45624</v>
      </c>
      <c r="K209" s="108">
        <v>28000</v>
      </c>
      <c r="L209" s="43" t="s">
        <v>235</v>
      </c>
      <c r="M209" s="43" t="s">
        <v>80</v>
      </c>
      <c r="N209" s="43" t="s">
        <v>159</v>
      </c>
      <c r="O209" s="43" t="s">
        <v>40</v>
      </c>
      <c r="P209" s="55">
        <v>29101</v>
      </c>
      <c r="Q209" s="43" t="s">
        <v>148</v>
      </c>
      <c r="R209" s="43" t="s">
        <v>463</v>
      </c>
      <c r="S209" s="43">
        <v>3207828432</v>
      </c>
      <c r="T209" s="54" t="s">
        <v>464</v>
      </c>
      <c r="U209" s="47" t="str">
        <f>IF(O209=CURSOS!$D$3,"DIPLOMADO EN ATENCION PRE-HOSPITALARIA",IF(O209=CURSOS!$D$4,"ACOMPAÑAMIENTO Y MANEJO DEL DUELO",IF(O209=CURSOS!$D$5,"ATENCION A VICTIMAS DE ATAQUE CON AGENTES QUIMICOS ",IF(O209=CURSOS!$D$6,"PRIMEROS AUXILIOS ",IF(O209=CURSOS!$D$7,"DIPLOMADO DE UNIDAD DE CUIDADOS INTENSIVOS (UCI)",IF(O209=CURSOS!$D$8,"MODELO DE ATENCION PARA EVENTOS EMERGENTES EN SALUD MENTAL (CODIGO VERDE)",IF(O209=CURSOS!$D$9,"HUMANIZACION EN EL SERVICIO DE LA SALUD Y BUENAS PRACTICAS EN PACIENTE ",IF(O209=CURSOS!$D$10,"CLINICA DE HERIDAS ",IF(O209=CURSOS!$D$11,"TOMA DE CITOLOGIA CERVICO VAGINAL ",IF(O209=CURSOS!$D$12,"SOPORTE CARDIOVASCULAR AVANZADO (ACLS) ",IF(O209=CURSOS!$D$13,"CAMILLERO ",IF(O209=CURSOS!$D$14,"TOMA DE MUESTRAS Y LABORATORIO ",IF(O209=CURSOS!$D$15,"SOPORTE VITAL BASICO (BLS)",IF(O209=CURSOS!$D$16,"ATENCION A VICTIMAS DE VIOLENCIA SEXUAL ",IF(O209=CURSOS!$D$17,"PROGRAMADO AMPLIADO DE INMUNIZACION (PAI - COVID 19)",IF(O209=CURSOS!$D$18,"ATENCION INTEGRAL EN ENFERMEDADES PREVALENTES EN PRIMERA INFANCIA (AIEPI)",IF(O209=CURSOS!$D$19,"ADMINISTRACION DE MEDICAMENTOS, INYECTOLOGIA  Y CANALIZACION ",IF(O209=CURSOS!$D$20,"OPERADOR DE VEHICULOS DE EMERGENCIA (OVE)",IF(O209=CURSOS!$D$21,"INSTITUCIONES AMIGAS DE LA MUJER Y LA INFANCIA (IAMI)",IF(O209=CURSOS!$D$22,"CUIDADO DEL DONANTE DE ORGANOS",IF(O209=CURSOS!$D$23,"ATENCION A VICTIMAS POR VIOLENCIA DE GENERO",IF(O209=CURSOS!$D$24,"IGUALDAD DE GENERO EN LA SALUD",IF(O209=CURSOS!$D$25,"BRIGADA DE EMERGENCIA",IF(O209=CURSOS!$D$26,"MANEJO DEL DOLOR Y CUIDADOS PALIATIVOS",IF(O209=CURSOS!$D$27,"TOMA DE MUESTRAS Y LABORATORIO POCT",IF(O209=CURSOS!$D$28,"IMPLANTE SUBDERMICO DE DISPOSITIVO INTRAUTERINO",IF(O209=CURSOS!$D$29,"SALUD MENTAL",IF(O209=CURSOS!$D$30,"PRIMEROS AUXILIOS PSICOLOGICOS",IF(O209=CURSOS!$D$31,"ATENCION A VICTIMAS POR CONFLICTO ARMADO",IF(O209=CURSOS!$D$32,"MANIPULACION DE ALIMENTOS Y BPM",IF(O209=CURSOS!$D$33,"ATENCION A PERSONAS CON DISCAPACIDAD",IF(O209=CURSOS!$D$34,"CUIDADO INTEGRAL DEL PACIENTE ADULTO",IF(O209=CURSOS!$D$35,"MANEJO DEFENSIVO",IF(O209=CURSOS!$D$36,"SOPORTE CARDIOVASCULAR AVANZADO NEONATAL",IF(O209=CURSOS!$D$37,"SEGURIDAD DEL PACIENTE",IF(O209=CURSOS!$D$38,"MANEJO DE RESIDUOS HOSPITALARIOS"))))))))))))))))))))))))))))))))))))</f>
        <v xml:space="preserve">TOMA DE MUESTRAS Y LABORATORIO </v>
      </c>
      <c r="V209" s="47" t="str">
        <f t="shared" si="12"/>
        <v>Alan Josue Posada Solarte</v>
      </c>
      <c r="W209" s="47" t="str">
        <f t="shared" si="13"/>
        <v>Alan Josue Posada Solarte</v>
      </c>
      <c r="X209" s="47" t="str">
        <f t="shared" si="14"/>
        <v>Alan Josue Posada Solarte-12747445-TOMA DE MUESTRAS</v>
      </c>
      <c r="Y209" s="65"/>
    </row>
    <row r="210" spans="1:25" s="58" customFormat="1" x14ac:dyDescent="0.2">
      <c r="A210" s="46">
        <v>209</v>
      </c>
      <c r="B210" s="43">
        <v>1088737329</v>
      </c>
      <c r="C210" s="43" t="s">
        <v>465</v>
      </c>
      <c r="D210" s="43" t="s">
        <v>466</v>
      </c>
      <c r="E210" s="43" t="s">
        <v>467</v>
      </c>
      <c r="F210" s="43" t="s">
        <v>468</v>
      </c>
      <c r="G210" s="43">
        <v>27</v>
      </c>
      <c r="H210" s="43" t="s">
        <v>100</v>
      </c>
      <c r="I210" s="55" t="s">
        <v>146</v>
      </c>
      <c r="J210" s="56">
        <v>45624</v>
      </c>
      <c r="K210" s="108">
        <v>28000</v>
      </c>
      <c r="L210" s="43" t="s">
        <v>235</v>
      </c>
      <c r="M210" s="43" t="s">
        <v>80</v>
      </c>
      <c r="N210" s="43" t="s">
        <v>159</v>
      </c>
      <c r="O210" s="43" t="s">
        <v>23</v>
      </c>
      <c r="P210" s="55">
        <v>35046</v>
      </c>
      <c r="Q210" s="43" t="s">
        <v>89</v>
      </c>
      <c r="R210" s="43" t="s">
        <v>189</v>
      </c>
      <c r="S210" s="43">
        <v>3135319938</v>
      </c>
      <c r="T210" s="54"/>
      <c r="U210" s="47" t="str">
        <f>IF(O210=CURSOS!$D$3,"DIPLOMADO EN ATENCION PRE-HOSPITALARIA",IF(O210=CURSOS!$D$4,"ACOMPAÑAMIENTO Y MANEJO DEL DUELO",IF(O210=CURSOS!$D$5,"ATENCION A VICTIMAS DE ATAQUE CON AGENTES QUIMICOS ",IF(O210=CURSOS!$D$6,"PRIMEROS AUXILIOS ",IF(O210=CURSOS!$D$7,"DIPLOMADO DE UNIDAD DE CUIDADOS INTENSIVOS (UCI)",IF(O210=CURSOS!$D$8,"MODELO DE ATENCION PARA EVENTOS EMERGENTES EN SALUD MENTAL (CODIGO VERDE)",IF(O210=CURSOS!$D$9,"HUMANIZACION EN EL SERVICIO DE LA SALUD Y BUENAS PRACTICAS EN PACIENTE ",IF(O210=CURSOS!$D$10,"CLINICA DE HERIDAS ",IF(O210=CURSOS!$D$11,"TOMA DE CITOLOGIA CERVICO VAGINAL ",IF(O210=CURSOS!$D$12,"SOPORTE CARDIOVASCULAR AVANZADO (ACLS) ",IF(O210=CURSOS!$D$13,"CAMILLERO ",IF(O210=CURSOS!$D$14,"TOMA DE MUESTRAS Y LABORATORIO ",IF(O210=CURSOS!$D$15,"SOPORTE VITAL BASICO (BLS)",IF(O210=CURSOS!$D$16,"ATENCION A VICTIMAS DE VIOLENCIA SEXUAL ",IF(O210=CURSOS!$D$17,"PROGRAMADO AMPLIADO DE INMUNIZACION (PAI - COVID 19)",IF(O210=CURSOS!$D$18,"ATENCION INTEGRAL EN ENFERMEDADES PREVALENTES EN PRIMERA INFANCIA (AIEPI)",IF(O210=CURSOS!$D$19,"ADMINISTRACION DE MEDICAMENTOS, INYECTOLOGIA  Y CANALIZACION ",IF(O210=CURSOS!$D$20,"OPERADOR DE VEHICULOS DE EMERGENCIA (OVE)",IF(O210=CURSOS!$D$21,"INSTITUCIONES AMIGAS DE LA MUJER Y LA INFANCIA (IAMI)",IF(O210=CURSOS!$D$22,"CUIDADO DEL DONANTE DE ORGANOS",IF(O210=CURSOS!$D$23,"ATENCION A VICTIMAS POR VIOLENCIA DE GENERO",IF(O210=CURSOS!$D$24,"IGUALDAD DE GENERO EN LA SALUD",IF(O210=CURSOS!$D$25,"BRIGADA DE EMERGENCIA",IF(O210=CURSOS!$D$26,"MANEJO DEL DOLOR Y CUIDADOS PALIATIVOS",IF(O210=CURSOS!$D$27,"TOMA DE MUESTRAS Y LABORATORIO POCT",IF(O210=CURSOS!$D$28,"IMPLANTE SUBDERMICO DE DISPOSITIVO INTRAUTERINO",IF(O210=CURSOS!$D$29,"SALUD MENTAL",IF(O210=CURSOS!$D$30,"PRIMEROS AUXILIOS PSICOLOGICOS",IF(O210=CURSOS!$D$31,"ATENCION A VICTIMAS POR CONFLICTO ARMADO",IF(O210=CURSOS!$D$32,"MANIPULACION DE ALIMENTOS Y BPM",IF(O210=CURSOS!$D$33,"ATENCION A PERSONAS CON DISCAPACIDAD",IF(O210=CURSOS!$D$34,"CUIDADO INTEGRAL DEL PACIENTE ADULTO",IF(O210=CURSOS!$D$35,"MANEJO DEFENSIVO",IF(O210=CURSOS!$D$36,"SOPORTE CARDIOVASCULAR AVANZADO NEONATAL",IF(O210=CURSOS!$D$37,"SEGURIDAD DEL PACIENTE",IF(O210=CURSOS!$D$38,"MANEJO DE RESIDUOS HOSPITALARIOS"))))))))))))))))))))))))))))))))))))</f>
        <v>ACOMPAÑAMIENTO Y MANEJO DEL DUELO</v>
      </c>
      <c r="V210" s="47" t="str">
        <f t="shared" si="12"/>
        <v>Anyi Manuela Moriano Linares</v>
      </c>
      <c r="W210" s="47" t="str">
        <f t="shared" si="13"/>
        <v>Anyi Manuela Moriano Linares</v>
      </c>
      <c r="X210" s="47" t="str">
        <f t="shared" si="14"/>
        <v>Anyi Manuela Moriano Linares-1088737329-DUELO</v>
      </c>
      <c r="Y210" s="65"/>
    </row>
    <row r="211" spans="1:25" s="58" customFormat="1" x14ac:dyDescent="0.2">
      <c r="A211" s="46">
        <v>210</v>
      </c>
      <c r="B211" s="43">
        <v>1088737329</v>
      </c>
      <c r="C211" s="43" t="s">
        <v>465</v>
      </c>
      <c r="D211" s="43" t="s">
        <v>466</v>
      </c>
      <c r="E211" s="43" t="s">
        <v>467</v>
      </c>
      <c r="F211" s="43" t="s">
        <v>468</v>
      </c>
      <c r="G211" s="43">
        <v>27</v>
      </c>
      <c r="H211" s="43" t="s">
        <v>100</v>
      </c>
      <c r="I211" s="55" t="s">
        <v>146</v>
      </c>
      <c r="J211" s="56">
        <v>45624</v>
      </c>
      <c r="K211" s="108">
        <v>28000</v>
      </c>
      <c r="L211" s="43" t="s">
        <v>235</v>
      </c>
      <c r="M211" s="43" t="s">
        <v>80</v>
      </c>
      <c r="N211" s="43" t="s">
        <v>159</v>
      </c>
      <c r="O211" s="43" t="s">
        <v>32</v>
      </c>
      <c r="P211" s="55">
        <v>35046</v>
      </c>
      <c r="Q211" s="43" t="s">
        <v>89</v>
      </c>
      <c r="R211" s="43" t="s">
        <v>189</v>
      </c>
      <c r="S211" s="43">
        <v>3135319938</v>
      </c>
      <c r="T211" s="54"/>
      <c r="U211" s="47" t="str">
        <f>IF(O211=CURSOS!$D$3,"DIPLOMADO EN ATENCION PRE-HOSPITALARIA",IF(O211=CURSOS!$D$4,"ACOMPAÑAMIENTO Y MANEJO DEL DUELO",IF(O211=CURSOS!$D$5,"ATENCION A VICTIMAS DE ATAQUE CON AGENTES QUIMICOS ",IF(O211=CURSOS!$D$6,"PRIMEROS AUXILIOS ",IF(O211=CURSOS!$D$7,"DIPLOMADO DE UNIDAD DE CUIDADOS INTENSIVOS (UCI)",IF(O211=CURSOS!$D$8,"MODELO DE ATENCION PARA EVENTOS EMERGENTES EN SALUD MENTAL (CODIGO VERDE)",IF(O211=CURSOS!$D$9,"HUMANIZACION EN EL SERVICIO DE LA SALUD Y BUENAS PRACTICAS EN PACIENTE ",IF(O211=CURSOS!$D$10,"CLINICA DE HERIDAS ",IF(O211=CURSOS!$D$11,"TOMA DE CITOLOGIA CERVICO VAGINAL ",IF(O211=CURSOS!$D$12,"SOPORTE CARDIOVASCULAR AVANZADO (ACLS) ",IF(O211=CURSOS!$D$13,"CAMILLERO ",IF(O211=CURSOS!$D$14,"TOMA DE MUESTRAS Y LABORATORIO ",IF(O211=CURSOS!$D$15,"SOPORTE VITAL BASICO (BLS)",IF(O211=CURSOS!$D$16,"ATENCION A VICTIMAS DE VIOLENCIA SEXUAL ",IF(O211=CURSOS!$D$17,"PROGRAMADO AMPLIADO DE INMUNIZACION (PAI - COVID 19)",IF(O211=CURSOS!$D$18,"ATENCION INTEGRAL EN ENFERMEDADES PREVALENTES EN PRIMERA INFANCIA (AIEPI)",IF(O211=CURSOS!$D$19,"ADMINISTRACION DE MEDICAMENTOS, INYECTOLOGIA  Y CANALIZACION ",IF(O211=CURSOS!$D$20,"OPERADOR DE VEHICULOS DE EMERGENCIA (OVE)",IF(O211=CURSOS!$D$21,"INSTITUCIONES AMIGAS DE LA MUJER Y LA INFANCIA (IAMI)",IF(O211=CURSOS!$D$22,"CUIDADO DEL DONANTE DE ORGANOS",IF(O211=CURSOS!$D$23,"ATENCION A VICTIMAS POR VIOLENCIA DE GENERO",IF(O211=CURSOS!$D$24,"IGUALDAD DE GENERO EN LA SALUD",IF(O211=CURSOS!$D$25,"BRIGADA DE EMERGENCIA",IF(O211=CURSOS!$D$26,"MANEJO DEL DOLOR Y CUIDADOS PALIATIVOS",IF(O211=CURSOS!$D$27,"TOMA DE MUESTRAS Y LABORATORIO POCT",IF(O211=CURSOS!$D$28,"IMPLANTE SUBDERMICO DE DISPOSITIVO INTRAUTERINO",IF(O211=CURSOS!$D$29,"SALUD MENTAL",IF(O211=CURSOS!$D$30,"PRIMEROS AUXILIOS PSICOLOGICOS",IF(O211=CURSOS!$D$31,"ATENCION A VICTIMAS POR CONFLICTO ARMADO",IF(O211=CURSOS!$D$32,"MANIPULACION DE ALIMENTOS Y BPM",IF(O211=CURSOS!$D$33,"ATENCION A PERSONAS CON DISCAPACIDAD",IF(O211=CURSOS!$D$34,"CUIDADO INTEGRAL DEL PACIENTE ADULTO",IF(O211=CURSOS!$D$35,"MANEJO DEFENSIVO",IF(O211=CURSOS!$D$36,"SOPORTE CARDIOVASCULAR AVANZADO NEONATAL",IF(O211=CURSOS!$D$37,"SEGURIDAD DEL PACIENTE",IF(O211=CURSOS!$D$38,"MANEJO DE RESIDUOS HOSPITALARIOS"))))))))))))))))))))))))))))))))))))</f>
        <v xml:space="preserve">HUMANIZACION EN EL SERVICIO DE LA SALUD Y BUENAS PRACTICAS EN PACIENTE </v>
      </c>
      <c r="V211" s="47" t="str">
        <f t="shared" si="12"/>
        <v>Anyi Manuela Moriano Linares</v>
      </c>
      <c r="W211" s="47" t="str">
        <f t="shared" si="13"/>
        <v>Anyi Manuela Moriano Linares</v>
      </c>
      <c r="X211" s="47" t="str">
        <f t="shared" si="14"/>
        <v>Anyi Manuela Moriano Linares-1088737329-HUMANIZACION</v>
      </c>
      <c r="Y211" s="65"/>
    </row>
    <row r="212" spans="1:25" x14ac:dyDescent="0.2">
      <c r="A212" s="46">
        <v>211</v>
      </c>
      <c r="B212" s="43">
        <v>1088737329</v>
      </c>
      <c r="C212" s="43" t="s">
        <v>465</v>
      </c>
      <c r="D212" s="43" t="s">
        <v>466</v>
      </c>
      <c r="E212" s="43" t="s">
        <v>467</v>
      </c>
      <c r="F212" s="43" t="s">
        <v>468</v>
      </c>
      <c r="G212" s="43">
        <v>28</v>
      </c>
      <c r="H212" s="43" t="s">
        <v>100</v>
      </c>
      <c r="I212" s="55" t="s">
        <v>146</v>
      </c>
      <c r="J212" s="56">
        <v>45624</v>
      </c>
      <c r="K212" s="108">
        <v>28000</v>
      </c>
      <c r="L212" s="43" t="s">
        <v>235</v>
      </c>
      <c r="M212" s="43" t="s">
        <v>80</v>
      </c>
      <c r="N212" s="43" t="s">
        <v>159</v>
      </c>
      <c r="O212" s="43" t="s">
        <v>42</v>
      </c>
      <c r="P212" s="55">
        <v>35046</v>
      </c>
      <c r="Q212" s="43" t="s">
        <v>89</v>
      </c>
      <c r="R212" s="43" t="s">
        <v>189</v>
      </c>
      <c r="S212" s="43">
        <v>3135319938</v>
      </c>
      <c r="T212" s="54"/>
      <c r="U212" s="47" t="str">
        <f>IF(O212=CURSOS!$D$3,"DIPLOMADO EN ATENCION PRE-HOSPITALARIA",IF(O212=CURSOS!$D$4,"ACOMPAÑAMIENTO Y MANEJO DEL DUELO",IF(O212=CURSOS!$D$5,"ATENCION A VICTIMAS DE ATAQUE CON AGENTES QUIMICOS ",IF(O212=CURSOS!$D$6,"PRIMEROS AUXILIOS ",IF(O212=CURSOS!$D$7,"DIPLOMADO DE UNIDAD DE CUIDADOS INTENSIVOS (UCI)",IF(O212=CURSOS!$D$8,"MODELO DE ATENCION PARA EVENTOS EMERGENTES EN SALUD MENTAL (CODIGO VERDE)",IF(O212=CURSOS!$D$9,"HUMANIZACION EN EL SERVICIO DE LA SALUD Y BUENAS PRACTICAS EN PACIENTE ",IF(O212=CURSOS!$D$10,"CLINICA DE HERIDAS ",IF(O212=CURSOS!$D$11,"TOMA DE CITOLOGIA CERVICO VAGINAL ",IF(O212=CURSOS!$D$12,"SOPORTE CARDIOVASCULAR AVANZADO (ACLS) ",IF(O212=CURSOS!$D$13,"CAMILLERO ",IF(O212=CURSOS!$D$14,"TOMA DE MUESTRAS Y LABORATORIO ",IF(O212=CURSOS!$D$15,"SOPORTE VITAL BASICO (BLS)",IF(O212=CURSOS!$D$16,"ATENCION A VICTIMAS DE VIOLENCIA SEXUAL ",IF(O212=CURSOS!$D$17,"PROGRAMADO AMPLIADO DE INMUNIZACION (PAI - COVID 19)",IF(O212=CURSOS!$D$18,"ATENCION INTEGRAL EN ENFERMEDADES PREVALENTES EN PRIMERA INFANCIA (AIEPI)",IF(O212=CURSOS!$D$19,"ADMINISTRACION DE MEDICAMENTOS, INYECTOLOGIA  Y CANALIZACION ",IF(O212=CURSOS!$D$20,"OPERADOR DE VEHICULOS DE EMERGENCIA (OVE)",IF(O212=CURSOS!$D$21,"INSTITUCIONES AMIGAS DE LA MUJER Y LA INFANCIA (IAMI)",IF(O212=CURSOS!$D$22,"CUIDADO DEL DONANTE DE ORGANOS",IF(O212=CURSOS!$D$23,"ATENCION A VICTIMAS POR VIOLENCIA DE GENERO",IF(O212=CURSOS!$D$24,"IGUALDAD DE GENERO EN LA SALUD",IF(O212=CURSOS!$D$25,"BRIGADA DE EMERGENCIA",IF(O212=CURSOS!$D$26,"MANEJO DEL DOLOR Y CUIDADOS PALIATIVOS",IF(O212=CURSOS!$D$27,"TOMA DE MUESTRAS Y LABORATORIO POCT",IF(O212=CURSOS!$D$28,"IMPLANTE SUBDERMICO DE DISPOSITIVO INTRAUTERINO",IF(O212=CURSOS!$D$29,"SALUD MENTAL",IF(O212=CURSOS!$D$30,"PRIMEROS AUXILIOS PSICOLOGICOS",IF(O212=CURSOS!$D$31,"ATENCION A VICTIMAS POR CONFLICTO ARMADO",IF(O212=CURSOS!$D$32,"MANIPULACION DE ALIMENTOS Y BPM",IF(O212=CURSOS!$D$33,"ATENCION A PERSONAS CON DISCAPACIDAD",IF(O212=CURSOS!$D$34,"CUIDADO INTEGRAL DEL PACIENTE ADULTO",IF(O212=CURSOS!$D$35,"MANEJO DEFENSIVO",IF(O212=CURSOS!$D$36,"SOPORTE CARDIOVASCULAR AVANZADO NEONATAL",IF(O212=CURSOS!$D$37,"SEGURIDAD DEL PACIENTE",IF(O212=CURSOS!$D$38,"MANEJO DE RESIDUOS HOSPITALARIOS"))))))))))))))))))))))))))))))))))))</f>
        <v xml:space="preserve">ATENCION A VICTIMAS DE VIOLENCIA SEXUAL </v>
      </c>
      <c r="V212" s="47" t="str">
        <f t="shared" si="12"/>
        <v>Anyi Manuela Moriano Linares</v>
      </c>
      <c r="W212" s="47" t="str">
        <f t="shared" si="13"/>
        <v>Anyi Manuela Moriano Linares</v>
      </c>
      <c r="X212" s="47" t="str">
        <f t="shared" si="14"/>
        <v>Anyi Manuela Moriano Linares-1088737329-VIOLENCIA SEXUAL</v>
      </c>
    </row>
    <row r="213" spans="1:25" x14ac:dyDescent="0.2">
      <c r="A213" s="46">
        <v>212</v>
      </c>
      <c r="B213" s="43">
        <v>1088737329</v>
      </c>
      <c r="C213" s="43" t="s">
        <v>465</v>
      </c>
      <c r="D213" s="43" t="s">
        <v>466</v>
      </c>
      <c r="E213" s="43" t="s">
        <v>467</v>
      </c>
      <c r="F213" s="43" t="s">
        <v>468</v>
      </c>
      <c r="G213" s="43">
        <v>26</v>
      </c>
      <c r="H213" s="43" t="s">
        <v>100</v>
      </c>
      <c r="I213" s="55" t="s">
        <v>146</v>
      </c>
      <c r="J213" s="56">
        <v>45624</v>
      </c>
      <c r="K213" s="108">
        <v>28000</v>
      </c>
      <c r="L213" s="43" t="s">
        <v>235</v>
      </c>
      <c r="M213" s="43" t="s">
        <v>80</v>
      </c>
      <c r="N213" s="43" t="s">
        <v>159</v>
      </c>
      <c r="O213" s="43" t="s">
        <v>25</v>
      </c>
      <c r="P213" s="55">
        <v>35046</v>
      </c>
      <c r="Q213" s="43" t="s">
        <v>89</v>
      </c>
      <c r="R213" s="43" t="s">
        <v>189</v>
      </c>
      <c r="S213" s="43">
        <v>3135319938</v>
      </c>
      <c r="T213" s="54"/>
      <c r="U213" s="47" t="str">
        <f>IF(O213=CURSOS!$D$3,"DIPLOMADO EN ATENCION PRE-HOSPITALARIA",IF(O213=CURSOS!$D$4,"ACOMPAÑAMIENTO Y MANEJO DEL DUELO",IF(O213=CURSOS!$D$5,"ATENCION A VICTIMAS DE ATAQUE CON AGENTES QUIMICOS ",IF(O213=CURSOS!$D$6,"PRIMEROS AUXILIOS ",IF(O213=CURSOS!$D$7,"DIPLOMADO DE UNIDAD DE CUIDADOS INTENSIVOS (UCI)",IF(O213=CURSOS!$D$8,"MODELO DE ATENCION PARA EVENTOS EMERGENTES EN SALUD MENTAL (CODIGO VERDE)",IF(O213=CURSOS!$D$9,"HUMANIZACION EN EL SERVICIO DE LA SALUD Y BUENAS PRACTICAS EN PACIENTE ",IF(O213=CURSOS!$D$10,"CLINICA DE HERIDAS ",IF(O213=CURSOS!$D$11,"TOMA DE CITOLOGIA CERVICO VAGINAL ",IF(O213=CURSOS!$D$12,"SOPORTE CARDIOVASCULAR AVANZADO (ACLS) ",IF(O213=CURSOS!$D$13,"CAMILLERO ",IF(O213=CURSOS!$D$14,"TOMA DE MUESTRAS Y LABORATORIO ",IF(O213=CURSOS!$D$15,"SOPORTE VITAL BASICO (BLS)",IF(O213=CURSOS!$D$16,"ATENCION A VICTIMAS DE VIOLENCIA SEXUAL ",IF(O213=CURSOS!$D$17,"PROGRAMADO AMPLIADO DE INMUNIZACION (PAI - COVID 19)",IF(O213=CURSOS!$D$18,"ATENCION INTEGRAL EN ENFERMEDADES PREVALENTES EN PRIMERA INFANCIA (AIEPI)",IF(O213=CURSOS!$D$19,"ADMINISTRACION DE MEDICAMENTOS, INYECTOLOGIA  Y CANALIZACION ",IF(O213=CURSOS!$D$20,"OPERADOR DE VEHICULOS DE EMERGENCIA (OVE)",IF(O213=CURSOS!$D$21,"INSTITUCIONES AMIGAS DE LA MUJER Y LA INFANCIA (IAMI)",IF(O213=CURSOS!$D$22,"CUIDADO DEL DONANTE DE ORGANOS",IF(O213=CURSOS!$D$23,"ATENCION A VICTIMAS POR VIOLENCIA DE GENERO",IF(O213=CURSOS!$D$24,"IGUALDAD DE GENERO EN LA SALUD",IF(O213=CURSOS!$D$25,"BRIGADA DE EMERGENCIA",IF(O213=CURSOS!$D$26,"MANEJO DEL DOLOR Y CUIDADOS PALIATIVOS",IF(O213=CURSOS!$D$27,"TOMA DE MUESTRAS Y LABORATORIO POCT",IF(O213=CURSOS!$D$28,"IMPLANTE SUBDERMICO DE DISPOSITIVO INTRAUTERINO",IF(O213=CURSOS!$D$29,"SALUD MENTAL",IF(O213=CURSOS!$D$30,"PRIMEROS AUXILIOS PSICOLOGICOS",IF(O213=CURSOS!$D$31,"ATENCION A VICTIMAS POR CONFLICTO ARMADO",IF(O213=CURSOS!$D$32,"MANIPULACION DE ALIMENTOS Y BPM",IF(O213=CURSOS!$D$33,"ATENCION A PERSONAS CON DISCAPACIDAD",IF(O213=CURSOS!$D$34,"CUIDADO INTEGRAL DEL PACIENTE ADULTO",IF(O213=CURSOS!$D$35,"MANEJO DEFENSIVO",IF(O213=CURSOS!$D$36,"SOPORTE CARDIOVASCULAR AVANZADO NEONATAL",IF(O213=CURSOS!$D$37,"SEGURIDAD DEL PACIENTE",IF(O213=CURSOS!$D$38,"MANEJO DE RESIDUOS HOSPITALARIOS"))))))))))))))))))))))))))))))))))))</f>
        <v xml:space="preserve">ATENCION A VICTIMAS DE ATAQUE CON AGENTES QUIMICOS </v>
      </c>
      <c r="V213" s="47" t="str">
        <f t="shared" si="12"/>
        <v>Anyi Manuela Moriano Linares</v>
      </c>
      <c r="W213" s="47" t="str">
        <f t="shared" si="13"/>
        <v>Anyi Manuela Moriano Linares</v>
      </c>
      <c r="X213" s="47" t="str">
        <f t="shared" si="14"/>
        <v>Anyi Manuela Moriano Linares-1088737329-QUIMICOS</v>
      </c>
    </row>
    <row r="214" spans="1:25" x14ac:dyDescent="0.2">
      <c r="A214" s="46">
        <v>213</v>
      </c>
      <c r="B214" s="43">
        <v>1084228524</v>
      </c>
      <c r="C214" s="43" t="s">
        <v>469</v>
      </c>
      <c r="D214" s="43" t="s">
        <v>171</v>
      </c>
      <c r="E214" s="43" t="s">
        <v>470</v>
      </c>
      <c r="F214" s="43" t="s">
        <v>471</v>
      </c>
      <c r="G214" s="43">
        <v>28</v>
      </c>
      <c r="H214" s="43" t="s">
        <v>100</v>
      </c>
      <c r="I214" s="43" t="s">
        <v>146</v>
      </c>
      <c r="J214" s="56">
        <v>45624</v>
      </c>
      <c r="K214" s="108">
        <v>28000</v>
      </c>
      <c r="L214" s="43" t="s">
        <v>235</v>
      </c>
      <c r="M214" s="43" t="s">
        <v>80</v>
      </c>
      <c r="N214" s="43" t="s">
        <v>159</v>
      </c>
      <c r="O214" s="43" t="s">
        <v>32</v>
      </c>
      <c r="P214" s="55">
        <v>36407</v>
      </c>
      <c r="Q214" s="43" t="s">
        <v>89</v>
      </c>
      <c r="R214" s="102" t="s">
        <v>208</v>
      </c>
      <c r="S214" s="43">
        <v>3182344548</v>
      </c>
      <c r="T214" s="54" t="s">
        <v>472</v>
      </c>
      <c r="U214" s="47" t="str">
        <f>IF(O214=CURSOS!$D$3,"DIPLOMADO EN ATENCION PRE-HOSPITALARIA",IF(O214=CURSOS!$D$4,"ACOMPAÑAMIENTO Y MANEJO DEL DUELO",IF(O214=CURSOS!$D$5,"ATENCION A VICTIMAS DE ATAQUE CON AGENTES QUIMICOS ",IF(O214=CURSOS!$D$6,"PRIMEROS AUXILIOS ",IF(O214=CURSOS!$D$7,"DIPLOMADO DE UNIDAD DE CUIDADOS INTENSIVOS (UCI)",IF(O214=CURSOS!$D$8,"MODELO DE ATENCION PARA EVENTOS EMERGENTES EN SALUD MENTAL (CODIGO VERDE)",IF(O214=CURSOS!$D$9,"HUMANIZACION EN EL SERVICIO DE LA SALUD Y BUENAS PRACTICAS EN PACIENTE ",IF(O214=CURSOS!$D$10,"CLINICA DE HERIDAS ",IF(O214=CURSOS!$D$11,"TOMA DE CITOLOGIA CERVICO VAGINAL ",IF(O214=CURSOS!$D$12,"SOPORTE CARDIOVASCULAR AVANZADO (ACLS) ",IF(O214=CURSOS!$D$13,"CAMILLERO ",IF(O214=CURSOS!$D$14,"TOMA DE MUESTRAS Y LABORATORIO ",IF(O214=CURSOS!$D$15,"SOPORTE VITAL BASICO (BLS)",IF(O214=CURSOS!$D$16,"ATENCION A VICTIMAS DE VIOLENCIA SEXUAL ",IF(O214=CURSOS!$D$17,"PROGRAMADO AMPLIADO DE INMUNIZACION (PAI - COVID 19)",IF(O214=CURSOS!$D$18,"ATENCION INTEGRAL EN ENFERMEDADES PREVALENTES EN PRIMERA INFANCIA (AIEPI)",IF(O214=CURSOS!$D$19,"ADMINISTRACION DE MEDICAMENTOS, INYECTOLOGIA  Y CANALIZACION ",IF(O214=CURSOS!$D$20,"OPERADOR DE VEHICULOS DE EMERGENCIA (OVE)",IF(O214=CURSOS!$D$21,"INSTITUCIONES AMIGAS DE LA MUJER Y LA INFANCIA (IAMI)",IF(O214=CURSOS!$D$22,"CUIDADO DEL DONANTE DE ORGANOS",IF(O214=CURSOS!$D$23,"ATENCION A VICTIMAS POR VIOLENCIA DE GENERO",IF(O214=CURSOS!$D$24,"IGUALDAD DE GENERO EN LA SALUD",IF(O214=CURSOS!$D$25,"BRIGADA DE EMERGENCIA",IF(O214=CURSOS!$D$26,"MANEJO DEL DOLOR Y CUIDADOS PALIATIVOS",IF(O214=CURSOS!$D$27,"TOMA DE MUESTRAS Y LABORATORIO POCT",IF(O214=CURSOS!$D$28,"IMPLANTE SUBDERMICO DE DISPOSITIVO INTRAUTERINO",IF(O214=CURSOS!$D$29,"SALUD MENTAL",IF(O214=CURSOS!$D$30,"PRIMEROS AUXILIOS PSICOLOGICOS",IF(O214=CURSOS!$D$31,"ATENCION A VICTIMAS POR CONFLICTO ARMADO",IF(O214=CURSOS!$D$32,"MANIPULACION DE ALIMENTOS Y BPM",IF(O214=CURSOS!$D$33,"ATENCION A PERSONAS CON DISCAPACIDAD",IF(O214=CURSOS!$D$34,"CUIDADO INTEGRAL DEL PACIENTE ADULTO",IF(O214=CURSOS!$D$35,"MANEJO DEFENSIVO",IF(O214=CURSOS!$D$36,"SOPORTE CARDIOVASCULAR AVANZADO NEONATAL",IF(O214=CURSOS!$D$37,"SEGURIDAD DEL PACIENTE",IF(O214=CURSOS!$D$38,"MANEJO DE RESIDUOS HOSPITALARIOS"))))))))))))))))))))))))))))))))))))</f>
        <v xml:space="preserve">HUMANIZACION EN EL SERVICIO DE LA SALUD Y BUENAS PRACTICAS EN PACIENTE </v>
      </c>
      <c r="V214" s="47" t="str">
        <f t="shared" si="12"/>
        <v>Linda Valentina Castro Burbano</v>
      </c>
      <c r="W214" s="47" t="str">
        <f t="shared" si="13"/>
        <v>Linda Valentina Castro Burbano</v>
      </c>
      <c r="X214" s="47" t="str">
        <f t="shared" si="14"/>
        <v>Linda Valentina Castro Burbano-1084228524-HUMANIZACION</v>
      </c>
    </row>
    <row r="215" spans="1:25" x14ac:dyDescent="0.2">
      <c r="A215" s="46">
        <v>214</v>
      </c>
      <c r="B215" s="43">
        <v>1084228524</v>
      </c>
      <c r="C215" s="43" t="s">
        <v>469</v>
      </c>
      <c r="D215" s="43" t="s">
        <v>171</v>
      </c>
      <c r="E215" s="43" t="s">
        <v>470</v>
      </c>
      <c r="F215" s="43" t="s">
        <v>471</v>
      </c>
      <c r="G215" s="43">
        <v>26</v>
      </c>
      <c r="H215" s="43" t="s">
        <v>100</v>
      </c>
      <c r="I215" s="43" t="s">
        <v>146</v>
      </c>
      <c r="J215" s="56">
        <v>45624</v>
      </c>
      <c r="K215" s="108">
        <v>28000</v>
      </c>
      <c r="L215" s="43" t="s">
        <v>235</v>
      </c>
      <c r="M215" s="43" t="s">
        <v>80</v>
      </c>
      <c r="N215" s="43" t="s">
        <v>159</v>
      </c>
      <c r="O215" s="43" t="s">
        <v>42</v>
      </c>
      <c r="P215" s="55">
        <v>36407</v>
      </c>
      <c r="Q215" s="43" t="s">
        <v>89</v>
      </c>
      <c r="R215" s="102" t="s">
        <v>208</v>
      </c>
      <c r="S215" s="43">
        <v>3182344548</v>
      </c>
      <c r="T215" s="54" t="s">
        <v>472</v>
      </c>
      <c r="U215" s="47" t="str">
        <f>IF(O215=CURSOS!$D$3,"DIPLOMADO EN ATENCION PRE-HOSPITALARIA",IF(O215=CURSOS!$D$4,"ACOMPAÑAMIENTO Y MANEJO DEL DUELO",IF(O215=CURSOS!$D$5,"ATENCION A VICTIMAS DE ATAQUE CON AGENTES QUIMICOS ",IF(O215=CURSOS!$D$6,"PRIMEROS AUXILIOS ",IF(O215=CURSOS!$D$7,"DIPLOMADO DE UNIDAD DE CUIDADOS INTENSIVOS (UCI)",IF(O215=CURSOS!$D$8,"MODELO DE ATENCION PARA EVENTOS EMERGENTES EN SALUD MENTAL (CODIGO VERDE)",IF(O215=CURSOS!$D$9,"HUMANIZACION EN EL SERVICIO DE LA SALUD Y BUENAS PRACTICAS EN PACIENTE ",IF(O215=CURSOS!$D$10,"CLINICA DE HERIDAS ",IF(O215=CURSOS!$D$11,"TOMA DE CITOLOGIA CERVICO VAGINAL ",IF(O215=CURSOS!$D$12,"SOPORTE CARDIOVASCULAR AVANZADO (ACLS) ",IF(O215=CURSOS!$D$13,"CAMILLERO ",IF(O215=CURSOS!$D$14,"TOMA DE MUESTRAS Y LABORATORIO ",IF(O215=CURSOS!$D$15,"SOPORTE VITAL BASICO (BLS)",IF(O215=CURSOS!$D$16,"ATENCION A VICTIMAS DE VIOLENCIA SEXUAL ",IF(O215=CURSOS!$D$17,"PROGRAMADO AMPLIADO DE INMUNIZACION (PAI - COVID 19)",IF(O215=CURSOS!$D$18,"ATENCION INTEGRAL EN ENFERMEDADES PREVALENTES EN PRIMERA INFANCIA (AIEPI)",IF(O215=CURSOS!$D$19,"ADMINISTRACION DE MEDICAMENTOS, INYECTOLOGIA  Y CANALIZACION ",IF(O215=CURSOS!$D$20,"OPERADOR DE VEHICULOS DE EMERGENCIA (OVE)",IF(O215=CURSOS!$D$21,"INSTITUCIONES AMIGAS DE LA MUJER Y LA INFANCIA (IAMI)",IF(O215=CURSOS!$D$22,"CUIDADO DEL DONANTE DE ORGANOS",IF(O215=CURSOS!$D$23,"ATENCION A VICTIMAS POR VIOLENCIA DE GENERO",IF(O215=CURSOS!$D$24,"IGUALDAD DE GENERO EN LA SALUD",IF(O215=CURSOS!$D$25,"BRIGADA DE EMERGENCIA",IF(O215=CURSOS!$D$26,"MANEJO DEL DOLOR Y CUIDADOS PALIATIVOS",IF(O215=CURSOS!$D$27,"TOMA DE MUESTRAS Y LABORATORIO POCT",IF(O215=CURSOS!$D$28,"IMPLANTE SUBDERMICO DE DISPOSITIVO INTRAUTERINO",IF(O215=CURSOS!$D$29,"SALUD MENTAL",IF(O215=CURSOS!$D$30,"PRIMEROS AUXILIOS PSICOLOGICOS",IF(O215=CURSOS!$D$31,"ATENCION A VICTIMAS POR CONFLICTO ARMADO",IF(O215=CURSOS!$D$32,"MANIPULACION DE ALIMENTOS Y BPM",IF(O215=CURSOS!$D$33,"ATENCION A PERSONAS CON DISCAPACIDAD",IF(O215=CURSOS!$D$34,"CUIDADO INTEGRAL DEL PACIENTE ADULTO",IF(O215=CURSOS!$D$35,"MANEJO DEFENSIVO",IF(O215=CURSOS!$D$36,"SOPORTE CARDIOVASCULAR AVANZADO NEONATAL",IF(O215=CURSOS!$D$37,"SEGURIDAD DEL PACIENTE",IF(O215=CURSOS!$D$38,"MANEJO DE RESIDUOS HOSPITALARIOS"))))))))))))))))))))))))))))))))))))</f>
        <v xml:space="preserve">ATENCION A VICTIMAS DE VIOLENCIA SEXUAL </v>
      </c>
      <c r="V215" s="47" t="str">
        <f t="shared" si="12"/>
        <v>Linda Valentina Castro Burbano</v>
      </c>
      <c r="W215" s="47" t="str">
        <f t="shared" si="13"/>
        <v>Linda Valentina Castro Burbano</v>
      </c>
      <c r="X215" s="47" t="str">
        <f t="shared" si="14"/>
        <v>Linda Valentina Castro Burbano-1084228524-VIOLENCIA SEXUAL</v>
      </c>
    </row>
    <row r="216" spans="1:25" x14ac:dyDescent="0.2">
      <c r="A216" s="46">
        <v>215</v>
      </c>
      <c r="B216" s="43">
        <v>1084228524</v>
      </c>
      <c r="C216" s="43" t="s">
        <v>469</v>
      </c>
      <c r="D216" s="43" t="s">
        <v>171</v>
      </c>
      <c r="E216" s="43" t="s">
        <v>470</v>
      </c>
      <c r="F216" s="43" t="s">
        <v>471</v>
      </c>
      <c r="G216" s="43">
        <v>27</v>
      </c>
      <c r="H216" s="43" t="s">
        <v>100</v>
      </c>
      <c r="I216" s="43" t="s">
        <v>146</v>
      </c>
      <c r="J216" s="56">
        <v>45624</v>
      </c>
      <c r="K216" s="108">
        <v>28000</v>
      </c>
      <c r="L216" s="43" t="s">
        <v>235</v>
      </c>
      <c r="M216" s="43" t="s">
        <v>80</v>
      </c>
      <c r="N216" s="43" t="s">
        <v>159</v>
      </c>
      <c r="O216" s="43" t="s">
        <v>64</v>
      </c>
      <c r="P216" s="55">
        <v>36407</v>
      </c>
      <c r="Q216" s="43" t="s">
        <v>89</v>
      </c>
      <c r="R216" s="102" t="s">
        <v>208</v>
      </c>
      <c r="S216" s="43">
        <v>3182344548</v>
      </c>
      <c r="T216" s="54" t="s">
        <v>472</v>
      </c>
      <c r="U216" s="47" t="str">
        <f>IF(O216=CURSOS!$D$3,"DIPLOMADO EN ATENCION PRE-HOSPITALARIA",IF(O216=CURSOS!$D$4,"ACOMPAÑAMIENTO Y MANEJO DEL DUELO",IF(O216=CURSOS!$D$5,"ATENCION A VICTIMAS DE ATAQUE CON AGENTES QUIMICOS ",IF(O216=CURSOS!$D$6,"PRIMEROS AUXILIOS ",IF(O216=CURSOS!$D$7,"DIPLOMADO DE UNIDAD DE CUIDADOS INTENSIVOS (UCI)",IF(O216=CURSOS!$D$8,"MODELO DE ATENCION PARA EVENTOS EMERGENTES EN SALUD MENTAL (CODIGO VERDE)",IF(O216=CURSOS!$D$9,"HUMANIZACION EN EL SERVICIO DE LA SALUD Y BUENAS PRACTICAS EN PACIENTE ",IF(O216=CURSOS!$D$10,"CLINICA DE HERIDAS ",IF(O216=CURSOS!$D$11,"TOMA DE CITOLOGIA CERVICO VAGINAL ",IF(O216=CURSOS!$D$12,"SOPORTE CARDIOVASCULAR AVANZADO (ACLS) ",IF(O216=CURSOS!$D$13,"CAMILLERO ",IF(O216=CURSOS!$D$14,"TOMA DE MUESTRAS Y LABORATORIO ",IF(O216=CURSOS!$D$15,"SOPORTE VITAL BASICO (BLS)",IF(O216=CURSOS!$D$16,"ATENCION A VICTIMAS DE VIOLENCIA SEXUAL ",IF(O216=CURSOS!$D$17,"PROGRAMADO AMPLIADO DE INMUNIZACION (PAI - COVID 19)",IF(O216=CURSOS!$D$18,"ATENCION INTEGRAL EN ENFERMEDADES PREVALENTES EN PRIMERA INFANCIA (AIEPI)",IF(O216=CURSOS!$D$19,"ADMINISTRACION DE MEDICAMENTOS, INYECTOLOGIA  Y CANALIZACION ",IF(O216=CURSOS!$D$20,"OPERADOR DE VEHICULOS DE EMERGENCIA (OVE)",IF(O216=CURSOS!$D$21,"INSTITUCIONES AMIGAS DE LA MUJER Y LA INFANCIA (IAMI)",IF(O216=CURSOS!$D$22,"CUIDADO DEL DONANTE DE ORGANOS",IF(O216=CURSOS!$D$23,"ATENCION A VICTIMAS POR VIOLENCIA DE GENERO",IF(O216=CURSOS!$D$24,"IGUALDAD DE GENERO EN LA SALUD",IF(O216=CURSOS!$D$25,"BRIGADA DE EMERGENCIA",IF(O216=CURSOS!$D$26,"MANEJO DEL DOLOR Y CUIDADOS PALIATIVOS",IF(O216=CURSOS!$D$27,"TOMA DE MUESTRAS Y LABORATORIO POCT",IF(O216=CURSOS!$D$28,"IMPLANTE SUBDERMICO DE DISPOSITIVO INTRAUTERINO",IF(O216=CURSOS!$D$29,"SALUD MENTAL",IF(O216=CURSOS!$D$30,"PRIMEROS AUXILIOS PSICOLOGICOS",IF(O216=CURSOS!$D$31,"ATENCION A VICTIMAS POR CONFLICTO ARMADO",IF(O216=CURSOS!$D$32,"MANIPULACION DE ALIMENTOS Y BPM",IF(O216=CURSOS!$D$33,"ATENCION A PERSONAS CON DISCAPACIDAD",IF(O216=CURSOS!$D$34,"CUIDADO INTEGRAL DEL PACIENTE ADULTO",IF(O216=CURSOS!$D$35,"MANEJO DEFENSIVO",IF(O216=CURSOS!$D$36,"SOPORTE CARDIOVASCULAR AVANZADO NEONATAL",IF(O216=CURSOS!$D$37,"SEGURIDAD DEL PACIENTE",IF(O216=CURSOS!$D$38,"MANEJO DE RESIDUOS HOSPITALARIOS"))))))))))))))))))))))))))))))))))))</f>
        <v>ATENCION A VICTIMAS POR CONFLICTO ARMADO</v>
      </c>
      <c r="V216" s="47" t="str">
        <f t="shared" si="12"/>
        <v>Linda Valentina Castro Burbano</v>
      </c>
      <c r="W216" s="47" t="str">
        <f t="shared" si="13"/>
        <v>Linda Valentina Castro Burbano</v>
      </c>
      <c r="X216" s="47" t="str">
        <f t="shared" si="14"/>
        <v>Linda Valentina Castro Burbano-1084228524-CONFLICTO ARMADO</v>
      </c>
    </row>
    <row r="217" spans="1:25" s="58" customFormat="1" x14ac:dyDescent="0.2">
      <c r="A217" s="46">
        <v>216</v>
      </c>
      <c r="B217" s="43">
        <v>1086528078</v>
      </c>
      <c r="C217" s="43" t="s">
        <v>399</v>
      </c>
      <c r="D217" s="43" t="s">
        <v>473</v>
      </c>
      <c r="E217" s="43" t="s">
        <v>137</v>
      </c>
      <c r="F217" s="43" t="s">
        <v>474</v>
      </c>
      <c r="G217" s="43">
        <v>27</v>
      </c>
      <c r="H217" s="43" t="s">
        <v>100</v>
      </c>
      <c r="I217" s="43" t="s">
        <v>146</v>
      </c>
      <c r="J217" s="56">
        <v>45624</v>
      </c>
      <c r="K217" s="108">
        <v>28000</v>
      </c>
      <c r="L217" s="43" t="s">
        <v>235</v>
      </c>
      <c r="M217" s="43" t="s">
        <v>80</v>
      </c>
      <c r="N217" s="43" t="s">
        <v>159</v>
      </c>
      <c r="O217" s="43" t="s">
        <v>88</v>
      </c>
      <c r="P217" s="55">
        <v>35967</v>
      </c>
      <c r="Q217" s="43" t="s">
        <v>89</v>
      </c>
      <c r="R217" s="43" t="s">
        <v>189</v>
      </c>
      <c r="S217" s="43">
        <v>3119766768</v>
      </c>
      <c r="T217" s="82" t="s">
        <v>475</v>
      </c>
      <c r="U217" s="47" t="str">
        <f>IF(O217=CURSOS!$D$3,"DIPLOMADO EN ATENCION PRE-HOSPITALARIA",IF(O217=CURSOS!$D$4,"ACOMPAÑAMIENTO Y MANEJO DEL DUELO",IF(O217=CURSOS!$D$5,"ATENCION A VICTIMAS DE ATAQUE CON AGENTES QUIMICOS ",IF(O217=CURSOS!$D$6,"PRIMEROS AUXILIOS ",IF(O217=CURSOS!$D$7,"DIPLOMADO DE UNIDAD DE CUIDADOS INTENSIVOS (UCI)",IF(O217=CURSOS!$D$8,"MODELO DE ATENCION PARA EVENTOS EMERGENTES EN SALUD MENTAL (CODIGO VERDE)",IF(O217=CURSOS!$D$9,"HUMANIZACION EN EL SERVICIO DE LA SALUD Y BUENAS PRACTICAS EN PACIENTE ",IF(O217=CURSOS!$D$10,"CLINICA DE HERIDAS ",IF(O217=CURSOS!$D$11,"TOMA DE CITOLOGIA CERVICO VAGINAL ",IF(O217=CURSOS!$D$12,"SOPORTE CARDIOVASCULAR AVANZADO (ACLS) ",IF(O217=CURSOS!$D$13,"CAMILLERO ",IF(O217=CURSOS!$D$14,"TOMA DE MUESTRAS Y LABORATORIO ",IF(O217=CURSOS!$D$15,"SOPORTE VITAL BASICO (BLS)",IF(O217=CURSOS!$D$16,"ATENCION A VICTIMAS DE VIOLENCIA SEXUAL ",IF(O217=CURSOS!$D$17,"PROGRAMADO AMPLIADO DE INMUNIZACION (PAI - COVID 19)",IF(O217=CURSOS!$D$18,"ATENCION INTEGRAL EN ENFERMEDADES PREVALENTES EN PRIMERA INFANCIA (AIEPI)",IF(O217=CURSOS!$D$19,"ADMINISTRACION DE MEDICAMENTOS, INYECTOLOGIA  Y CANALIZACION ",IF(O217=CURSOS!$D$20,"OPERADOR DE VEHICULOS DE EMERGENCIA (OVE)",IF(O217=CURSOS!$D$21,"INSTITUCIONES AMIGAS DE LA MUJER Y LA INFANCIA (IAMI)",IF(O217=CURSOS!$D$22,"CUIDADO DEL DONANTE DE ORGANOS",IF(O217=CURSOS!$D$23,"ATENCION A VICTIMAS POR VIOLENCIA DE GENERO",IF(O217=CURSOS!$D$24,"IGUALDAD DE GENERO EN LA SALUD",IF(O217=CURSOS!$D$25,"BRIGADA DE EMERGENCIA",IF(O217=CURSOS!$D$26,"MANEJO DEL DOLOR Y CUIDADOS PALIATIVOS",IF(O217=CURSOS!$D$27,"TOMA DE MUESTRAS Y LABORATORIO POCT",IF(O217=CURSOS!$D$28,"IMPLANTE SUBDERMICO DE DISPOSITIVO INTRAUTERINO",IF(O217=CURSOS!$D$29,"SALUD MENTAL",IF(O217=CURSOS!$D$30,"PRIMEROS AUXILIOS PSICOLOGICOS",IF(O217=CURSOS!$D$31,"ATENCION A VICTIMAS POR CONFLICTO ARMADO",IF(O217=CURSOS!$D$32,"MANIPULACION DE ALIMENTOS Y BPM",IF(O217=CURSOS!$D$33,"ATENCION A PERSONAS CON DISCAPACIDAD",IF(O217=CURSOS!$D$34,"CUIDADO INTEGRAL DEL PACIENTE ADULTO",IF(O217=CURSOS!$D$35,"MANEJO DEFENSIVO",IF(O217=CURSOS!$D$36,"SOPORTE CARDIOVASCULAR AVANZADO NEONATAL",IF(O217=CURSOS!$D$37,"SEGURIDAD DEL PACIENTE",IF(O217=CURSOS!$D$38,"MANEJO DE RESIDUOS HOSPITALARIOS"))))))))))))))))))))))))))))))))))))</f>
        <v>SEGURIDAD DEL PACIENTE</v>
      </c>
      <c r="V217" s="47" t="str">
        <f t="shared" si="12"/>
        <v>Angela Yulieth Díaz Narváez</v>
      </c>
      <c r="W217" s="47" t="str">
        <f t="shared" si="13"/>
        <v>Angela Yulieth Díaz Narváez</v>
      </c>
      <c r="X217" s="47" t="str">
        <f t="shared" si="14"/>
        <v>Angela Yulieth Díaz Narváez-1086528078-PACIENTE</v>
      </c>
      <c r="Y217" s="65"/>
    </row>
    <row r="218" spans="1:25" s="58" customFormat="1" x14ac:dyDescent="0.2">
      <c r="A218" s="46">
        <v>217</v>
      </c>
      <c r="B218" s="43">
        <v>1086528078</v>
      </c>
      <c r="C218" s="43" t="s">
        <v>399</v>
      </c>
      <c r="D218" s="43" t="s">
        <v>473</v>
      </c>
      <c r="E218" s="43" t="s">
        <v>137</v>
      </c>
      <c r="F218" s="43" t="s">
        <v>474</v>
      </c>
      <c r="G218" s="43">
        <v>28</v>
      </c>
      <c r="H218" s="43" t="s">
        <v>100</v>
      </c>
      <c r="I218" s="43" t="s">
        <v>146</v>
      </c>
      <c r="J218" s="56">
        <v>45624</v>
      </c>
      <c r="K218" s="108">
        <v>28000</v>
      </c>
      <c r="L218" s="43" t="s">
        <v>235</v>
      </c>
      <c r="M218" s="43" t="s">
        <v>80</v>
      </c>
      <c r="N218" s="43" t="s">
        <v>159</v>
      </c>
      <c r="O218" s="43" t="s">
        <v>32</v>
      </c>
      <c r="P218" s="55">
        <v>35967</v>
      </c>
      <c r="Q218" s="43" t="s">
        <v>89</v>
      </c>
      <c r="R218" s="43" t="s">
        <v>189</v>
      </c>
      <c r="S218" s="43">
        <v>3119766768</v>
      </c>
      <c r="T218" s="82" t="s">
        <v>475</v>
      </c>
      <c r="U218" s="47" t="str">
        <f>IF(O218=CURSOS!$D$3,"DIPLOMADO EN ATENCION PRE-HOSPITALARIA",IF(O218=CURSOS!$D$4,"ACOMPAÑAMIENTO Y MANEJO DEL DUELO",IF(O218=CURSOS!$D$5,"ATENCION A VICTIMAS DE ATAQUE CON AGENTES QUIMICOS ",IF(O218=CURSOS!$D$6,"PRIMEROS AUXILIOS ",IF(O218=CURSOS!$D$7,"DIPLOMADO DE UNIDAD DE CUIDADOS INTENSIVOS (UCI)",IF(O218=CURSOS!$D$8,"MODELO DE ATENCION PARA EVENTOS EMERGENTES EN SALUD MENTAL (CODIGO VERDE)",IF(O218=CURSOS!$D$9,"HUMANIZACION EN EL SERVICIO DE LA SALUD Y BUENAS PRACTICAS EN PACIENTE ",IF(O218=CURSOS!$D$10,"CLINICA DE HERIDAS ",IF(O218=CURSOS!$D$11,"TOMA DE CITOLOGIA CERVICO VAGINAL ",IF(O218=CURSOS!$D$12,"SOPORTE CARDIOVASCULAR AVANZADO (ACLS) ",IF(O218=CURSOS!$D$13,"CAMILLERO ",IF(O218=CURSOS!$D$14,"TOMA DE MUESTRAS Y LABORATORIO ",IF(O218=CURSOS!$D$15,"SOPORTE VITAL BASICO (BLS)",IF(O218=CURSOS!$D$16,"ATENCION A VICTIMAS DE VIOLENCIA SEXUAL ",IF(O218=CURSOS!$D$17,"PROGRAMADO AMPLIADO DE INMUNIZACION (PAI - COVID 19)",IF(O218=CURSOS!$D$18,"ATENCION INTEGRAL EN ENFERMEDADES PREVALENTES EN PRIMERA INFANCIA (AIEPI)",IF(O218=CURSOS!$D$19,"ADMINISTRACION DE MEDICAMENTOS, INYECTOLOGIA  Y CANALIZACION ",IF(O218=CURSOS!$D$20,"OPERADOR DE VEHICULOS DE EMERGENCIA (OVE)",IF(O218=CURSOS!$D$21,"INSTITUCIONES AMIGAS DE LA MUJER Y LA INFANCIA (IAMI)",IF(O218=CURSOS!$D$22,"CUIDADO DEL DONANTE DE ORGANOS",IF(O218=CURSOS!$D$23,"ATENCION A VICTIMAS POR VIOLENCIA DE GENERO",IF(O218=CURSOS!$D$24,"IGUALDAD DE GENERO EN LA SALUD",IF(O218=CURSOS!$D$25,"BRIGADA DE EMERGENCIA",IF(O218=CURSOS!$D$26,"MANEJO DEL DOLOR Y CUIDADOS PALIATIVOS",IF(O218=CURSOS!$D$27,"TOMA DE MUESTRAS Y LABORATORIO POCT",IF(O218=CURSOS!$D$28,"IMPLANTE SUBDERMICO DE DISPOSITIVO INTRAUTERINO",IF(O218=CURSOS!$D$29,"SALUD MENTAL",IF(O218=CURSOS!$D$30,"PRIMEROS AUXILIOS PSICOLOGICOS",IF(O218=CURSOS!$D$31,"ATENCION A VICTIMAS POR CONFLICTO ARMADO",IF(O218=CURSOS!$D$32,"MANIPULACION DE ALIMENTOS Y BPM",IF(O218=CURSOS!$D$33,"ATENCION A PERSONAS CON DISCAPACIDAD",IF(O218=CURSOS!$D$34,"CUIDADO INTEGRAL DEL PACIENTE ADULTO",IF(O218=CURSOS!$D$35,"MANEJO DEFENSIVO",IF(O218=CURSOS!$D$36,"SOPORTE CARDIOVASCULAR AVANZADO NEONATAL",IF(O218=CURSOS!$D$37,"SEGURIDAD DEL PACIENTE",IF(O218=CURSOS!$D$38,"MANEJO DE RESIDUOS HOSPITALARIOS"))))))))))))))))))))))))))))))))))))</f>
        <v xml:space="preserve">HUMANIZACION EN EL SERVICIO DE LA SALUD Y BUENAS PRACTICAS EN PACIENTE </v>
      </c>
      <c r="V218" s="47" t="str">
        <f t="shared" si="12"/>
        <v>Angela Yulieth Díaz Narváez</v>
      </c>
      <c r="W218" s="47" t="str">
        <f t="shared" si="13"/>
        <v>Angela Yulieth Díaz Narváez</v>
      </c>
      <c r="X218" s="47" t="str">
        <f t="shared" si="14"/>
        <v>Angela Yulieth Díaz Narváez-1086528078-HUMANIZACION</v>
      </c>
      <c r="Y218" s="65"/>
    </row>
    <row r="219" spans="1:25" x14ac:dyDescent="0.2">
      <c r="A219" s="46">
        <v>218</v>
      </c>
      <c r="B219" s="43">
        <v>1086980956</v>
      </c>
      <c r="C219" s="43" t="s">
        <v>476</v>
      </c>
      <c r="D219" s="43" t="s">
        <v>99</v>
      </c>
      <c r="E219" s="43" t="s">
        <v>477</v>
      </c>
      <c r="F219" s="43" t="s">
        <v>478</v>
      </c>
      <c r="G219" s="43">
        <v>28</v>
      </c>
      <c r="H219" s="43" t="s">
        <v>100</v>
      </c>
      <c r="I219" s="55" t="s">
        <v>146</v>
      </c>
      <c r="J219" s="56">
        <v>45624</v>
      </c>
      <c r="K219" s="108">
        <v>28000</v>
      </c>
      <c r="L219" s="43" t="s">
        <v>235</v>
      </c>
      <c r="M219" s="43" t="s">
        <v>80</v>
      </c>
      <c r="N219" s="43" t="s">
        <v>159</v>
      </c>
      <c r="O219" s="43" t="s">
        <v>42</v>
      </c>
      <c r="P219" s="55">
        <v>31759</v>
      </c>
      <c r="Q219" s="43" t="s">
        <v>89</v>
      </c>
      <c r="R219" s="43" t="s">
        <v>189</v>
      </c>
      <c r="S219" s="43">
        <v>3105137198</v>
      </c>
      <c r="T219" s="54" t="s">
        <v>479</v>
      </c>
      <c r="U219" s="47" t="str">
        <f>IF(O219=CURSOS!$D$3,"DIPLOMADO EN ATENCION PRE-HOSPITALARIA",IF(O219=CURSOS!$D$4,"ACOMPAÑAMIENTO Y MANEJO DEL DUELO",IF(O219=CURSOS!$D$5,"ATENCION A VICTIMAS DE ATAQUE CON AGENTES QUIMICOS ",IF(O219=CURSOS!$D$6,"PRIMEROS AUXILIOS ",IF(O219=CURSOS!$D$7,"DIPLOMADO DE UNIDAD DE CUIDADOS INTENSIVOS (UCI)",IF(O219=CURSOS!$D$8,"MODELO DE ATENCION PARA EVENTOS EMERGENTES EN SALUD MENTAL (CODIGO VERDE)",IF(O219=CURSOS!$D$9,"HUMANIZACION EN EL SERVICIO DE LA SALUD Y BUENAS PRACTICAS EN PACIENTE ",IF(O219=CURSOS!$D$10,"CLINICA DE HERIDAS ",IF(O219=CURSOS!$D$11,"TOMA DE CITOLOGIA CERVICO VAGINAL ",IF(O219=CURSOS!$D$12,"SOPORTE CARDIOVASCULAR AVANZADO (ACLS) ",IF(O219=CURSOS!$D$13,"CAMILLERO ",IF(O219=CURSOS!$D$14,"TOMA DE MUESTRAS Y LABORATORIO ",IF(O219=CURSOS!$D$15,"SOPORTE VITAL BASICO (BLS)",IF(O219=CURSOS!$D$16,"ATENCION A VICTIMAS DE VIOLENCIA SEXUAL ",IF(O219=CURSOS!$D$17,"PROGRAMADO AMPLIADO DE INMUNIZACION (PAI - COVID 19)",IF(O219=CURSOS!$D$18,"ATENCION INTEGRAL EN ENFERMEDADES PREVALENTES EN PRIMERA INFANCIA (AIEPI)",IF(O219=CURSOS!$D$19,"ADMINISTRACION DE MEDICAMENTOS, INYECTOLOGIA  Y CANALIZACION ",IF(O219=CURSOS!$D$20,"OPERADOR DE VEHICULOS DE EMERGENCIA (OVE)",IF(O219=CURSOS!$D$21,"INSTITUCIONES AMIGAS DE LA MUJER Y LA INFANCIA (IAMI)",IF(O219=CURSOS!$D$22,"CUIDADO DEL DONANTE DE ORGANOS",IF(O219=CURSOS!$D$23,"ATENCION A VICTIMAS POR VIOLENCIA DE GENERO",IF(O219=CURSOS!$D$24,"IGUALDAD DE GENERO EN LA SALUD",IF(O219=CURSOS!$D$25,"BRIGADA DE EMERGENCIA",IF(O219=CURSOS!$D$26,"MANEJO DEL DOLOR Y CUIDADOS PALIATIVOS",IF(O219=CURSOS!$D$27,"TOMA DE MUESTRAS Y LABORATORIO POCT",IF(O219=CURSOS!$D$28,"IMPLANTE SUBDERMICO DE DISPOSITIVO INTRAUTERINO",IF(O219=CURSOS!$D$29,"SALUD MENTAL",IF(O219=CURSOS!$D$30,"PRIMEROS AUXILIOS PSICOLOGICOS",IF(O219=CURSOS!$D$31,"ATENCION A VICTIMAS POR CONFLICTO ARMADO",IF(O219=CURSOS!$D$32,"MANIPULACION DE ALIMENTOS Y BPM",IF(O219=CURSOS!$D$33,"ATENCION A PERSONAS CON DISCAPACIDAD",IF(O219=CURSOS!$D$34,"CUIDADO INTEGRAL DEL PACIENTE ADULTO",IF(O219=CURSOS!$D$35,"MANEJO DEFENSIVO",IF(O219=CURSOS!$D$36,"SOPORTE CARDIOVASCULAR AVANZADO NEONATAL",IF(O219=CURSOS!$D$37,"SEGURIDAD DEL PACIENTE",IF(O219=CURSOS!$D$38,"MANEJO DE RESIDUOS HOSPITALARIOS"))))))))))))))))))))))))))))))))))))</f>
        <v xml:space="preserve">ATENCION A VICTIMAS DE VIOLENCIA SEXUAL </v>
      </c>
      <c r="V219" s="47" t="str">
        <f t="shared" si="12"/>
        <v>Clarita Miguel Calderón Arteaga</v>
      </c>
      <c r="W219" s="47" t="str">
        <f t="shared" si="13"/>
        <v>Clarita Miguel Calderón Arteaga</v>
      </c>
      <c r="X219" s="47" t="str">
        <f t="shared" si="14"/>
        <v>Clarita Miguel Calderón Arteaga-1086980956-VIOLENCIA SEXUAL</v>
      </c>
    </row>
    <row r="220" spans="1:25" x14ac:dyDescent="0.2">
      <c r="A220" s="46">
        <v>219</v>
      </c>
      <c r="B220" s="43">
        <v>1086980956</v>
      </c>
      <c r="C220" s="43" t="s">
        <v>476</v>
      </c>
      <c r="D220" s="43" t="s">
        <v>99</v>
      </c>
      <c r="E220" s="43" t="s">
        <v>477</v>
      </c>
      <c r="F220" s="43" t="s">
        <v>478</v>
      </c>
      <c r="G220" s="43">
        <v>25</v>
      </c>
      <c r="H220" s="43" t="s">
        <v>100</v>
      </c>
      <c r="I220" s="55" t="s">
        <v>146</v>
      </c>
      <c r="J220" s="56">
        <v>45624</v>
      </c>
      <c r="K220" s="108">
        <v>28000</v>
      </c>
      <c r="L220" s="43" t="s">
        <v>235</v>
      </c>
      <c r="M220" s="43" t="s">
        <v>80</v>
      </c>
      <c r="N220" s="43" t="s">
        <v>159</v>
      </c>
      <c r="O220" s="43" t="s">
        <v>25</v>
      </c>
      <c r="P220" s="55">
        <v>31759</v>
      </c>
      <c r="Q220" s="43" t="s">
        <v>89</v>
      </c>
      <c r="R220" s="43" t="s">
        <v>189</v>
      </c>
      <c r="S220" s="43">
        <v>3105137198</v>
      </c>
      <c r="T220" s="54" t="s">
        <v>479</v>
      </c>
      <c r="U220" s="47" t="str">
        <f>IF(O220=CURSOS!$D$3,"DIPLOMADO EN ATENCION PRE-HOSPITALARIA",IF(O220=CURSOS!$D$4,"ACOMPAÑAMIENTO Y MANEJO DEL DUELO",IF(O220=CURSOS!$D$5,"ATENCION A VICTIMAS DE ATAQUE CON AGENTES QUIMICOS ",IF(O220=CURSOS!$D$6,"PRIMEROS AUXILIOS ",IF(O220=CURSOS!$D$7,"DIPLOMADO DE UNIDAD DE CUIDADOS INTENSIVOS (UCI)",IF(O220=CURSOS!$D$8,"MODELO DE ATENCION PARA EVENTOS EMERGENTES EN SALUD MENTAL (CODIGO VERDE)",IF(O220=CURSOS!$D$9,"HUMANIZACION EN EL SERVICIO DE LA SALUD Y BUENAS PRACTICAS EN PACIENTE ",IF(O220=CURSOS!$D$10,"CLINICA DE HERIDAS ",IF(O220=CURSOS!$D$11,"TOMA DE CITOLOGIA CERVICO VAGINAL ",IF(O220=CURSOS!$D$12,"SOPORTE CARDIOVASCULAR AVANZADO (ACLS) ",IF(O220=CURSOS!$D$13,"CAMILLERO ",IF(O220=CURSOS!$D$14,"TOMA DE MUESTRAS Y LABORATORIO ",IF(O220=CURSOS!$D$15,"SOPORTE VITAL BASICO (BLS)",IF(O220=CURSOS!$D$16,"ATENCION A VICTIMAS DE VIOLENCIA SEXUAL ",IF(O220=CURSOS!$D$17,"PROGRAMADO AMPLIADO DE INMUNIZACION (PAI - COVID 19)",IF(O220=CURSOS!$D$18,"ATENCION INTEGRAL EN ENFERMEDADES PREVALENTES EN PRIMERA INFANCIA (AIEPI)",IF(O220=CURSOS!$D$19,"ADMINISTRACION DE MEDICAMENTOS, INYECTOLOGIA  Y CANALIZACION ",IF(O220=CURSOS!$D$20,"OPERADOR DE VEHICULOS DE EMERGENCIA (OVE)",IF(O220=CURSOS!$D$21,"INSTITUCIONES AMIGAS DE LA MUJER Y LA INFANCIA (IAMI)",IF(O220=CURSOS!$D$22,"CUIDADO DEL DONANTE DE ORGANOS",IF(O220=CURSOS!$D$23,"ATENCION A VICTIMAS POR VIOLENCIA DE GENERO",IF(O220=CURSOS!$D$24,"IGUALDAD DE GENERO EN LA SALUD",IF(O220=CURSOS!$D$25,"BRIGADA DE EMERGENCIA",IF(O220=CURSOS!$D$26,"MANEJO DEL DOLOR Y CUIDADOS PALIATIVOS",IF(O220=CURSOS!$D$27,"TOMA DE MUESTRAS Y LABORATORIO POCT",IF(O220=CURSOS!$D$28,"IMPLANTE SUBDERMICO DE DISPOSITIVO INTRAUTERINO",IF(O220=CURSOS!$D$29,"SALUD MENTAL",IF(O220=CURSOS!$D$30,"PRIMEROS AUXILIOS PSICOLOGICOS",IF(O220=CURSOS!$D$31,"ATENCION A VICTIMAS POR CONFLICTO ARMADO",IF(O220=CURSOS!$D$32,"MANIPULACION DE ALIMENTOS Y BPM",IF(O220=CURSOS!$D$33,"ATENCION A PERSONAS CON DISCAPACIDAD",IF(O220=CURSOS!$D$34,"CUIDADO INTEGRAL DEL PACIENTE ADULTO",IF(O220=CURSOS!$D$35,"MANEJO DEFENSIVO",IF(O220=CURSOS!$D$36,"SOPORTE CARDIOVASCULAR AVANZADO NEONATAL",IF(O220=CURSOS!$D$37,"SEGURIDAD DEL PACIENTE",IF(O220=CURSOS!$D$38,"MANEJO DE RESIDUOS HOSPITALARIOS"))))))))))))))))))))))))))))))))))))</f>
        <v xml:space="preserve">ATENCION A VICTIMAS DE ATAQUE CON AGENTES QUIMICOS </v>
      </c>
      <c r="V220" s="47" t="str">
        <f t="shared" si="12"/>
        <v>Clarita Miguel Calderón Arteaga</v>
      </c>
      <c r="W220" s="47" t="str">
        <f t="shared" si="13"/>
        <v>Clarita Miguel Calderón Arteaga</v>
      </c>
      <c r="X220" s="47" t="str">
        <f t="shared" si="14"/>
        <v>Clarita Miguel Calderón Arteaga-1086980956-QUIMICOS</v>
      </c>
    </row>
    <row r="221" spans="1:25" x14ac:dyDescent="0.2">
      <c r="A221" s="46">
        <v>220</v>
      </c>
      <c r="B221" s="43">
        <v>1086980956</v>
      </c>
      <c r="C221" s="43" t="s">
        <v>476</v>
      </c>
      <c r="D221" s="43" t="s">
        <v>99</v>
      </c>
      <c r="E221" s="43" t="s">
        <v>477</v>
      </c>
      <c r="F221" s="43" t="s">
        <v>478</v>
      </c>
      <c r="G221" s="43">
        <v>26</v>
      </c>
      <c r="H221" s="43" t="s">
        <v>100</v>
      </c>
      <c r="I221" s="55" t="s">
        <v>146</v>
      </c>
      <c r="J221" s="56">
        <v>45624</v>
      </c>
      <c r="K221" s="108">
        <v>28000</v>
      </c>
      <c r="L221" s="43" t="s">
        <v>235</v>
      </c>
      <c r="M221" s="43" t="s">
        <v>80</v>
      </c>
      <c r="N221" s="43" t="s">
        <v>159</v>
      </c>
      <c r="O221" s="43" t="s">
        <v>23</v>
      </c>
      <c r="P221" s="55">
        <v>31759</v>
      </c>
      <c r="Q221" s="43" t="s">
        <v>89</v>
      </c>
      <c r="R221" s="43" t="s">
        <v>189</v>
      </c>
      <c r="S221" s="43">
        <v>3105137198</v>
      </c>
      <c r="T221" s="54" t="s">
        <v>479</v>
      </c>
      <c r="U221" s="47" t="str">
        <f>IF(O221=CURSOS!$D$3,"DIPLOMADO EN ATENCION PRE-HOSPITALARIA",IF(O221=CURSOS!$D$4,"ACOMPAÑAMIENTO Y MANEJO DEL DUELO",IF(O221=CURSOS!$D$5,"ATENCION A VICTIMAS DE ATAQUE CON AGENTES QUIMICOS ",IF(O221=CURSOS!$D$6,"PRIMEROS AUXILIOS ",IF(O221=CURSOS!$D$7,"DIPLOMADO DE UNIDAD DE CUIDADOS INTENSIVOS (UCI)",IF(O221=CURSOS!$D$8,"MODELO DE ATENCION PARA EVENTOS EMERGENTES EN SALUD MENTAL (CODIGO VERDE)",IF(O221=CURSOS!$D$9,"HUMANIZACION EN EL SERVICIO DE LA SALUD Y BUENAS PRACTICAS EN PACIENTE ",IF(O221=CURSOS!$D$10,"CLINICA DE HERIDAS ",IF(O221=CURSOS!$D$11,"TOMA DE CITOLOGIA CERVICO VAGINAL ",IF(O221=CURSOS!$D$12,"SOPORTE CARDIOVASCULAR AVANZADO (ACLS) ",IF(O221=CURSOS!$D$13,"CAMILLERO ",IF(O221=CURSOS!$D$14,"TOMA DE MUESTRAS Y LABORATORIO ",IF(O221=CURSOS!$D$15,"SOPORTE VITAL BASICO (BLS)",IF(O221=CURSOS!$D$16,"ATENCION A VICTIMAS DE VIOLENCIA SEXUAL ",IF(O221=CURSOS!$D$17,"PROGRAMADO AMPLIADO DE INMUNIZACION (PAI - COVID 19)",IF(O221=CURSOS!$D$18,"ATENCION INTEGRAL EN ENFERMEDADES PREVALENTES EN PRIMERA INFANCIA (AIEPI)",IF(O221=CURSOS!$D$19,"ADMINISTRACION DE MEDICAMENTOS, INYECTOLOGIA  Y CANALIZACION ",IF(O221=CURSOS!$D$20,"OPERADOR DE VEHICULOS DE EMERGENCIA (OVE)",IF(O221=CURSOS!$D$21,"INSTITUCIONES AMIGAS DE LA MUJER Y LA INFANCIA (IAMI)",IF(O221=CURSOS!$D$22,"CUIDADO DEL DONANTE DE ORGANOS",IF(O221=CURSOS!$D$23,"ATENCION A VICTIMAS POR VIOLENCIA DE GENERO",IF(O221=CURSOS!$D$24,"IGUALDAD DE GENERO EN LA SALUD",IF(O221=CURSOS!$D$25,"BRIGADA DE EMERGENCIA",IF(O221=CURSOS!$D$26,"MANEJO DEL DOLOR Y CUIDADOS PALIATIVOS",IF(O221=CURSOS!$D$27,"TOMA DE MUESTRAS Y LABORATORIO POCT",IF(O221=CURSOS!$D$28,"IMPLANTE SUBDERMICO DE DISPOSITIVO INTRAUTERINO",IF(O221=CURSOS!$D$29,"SALUD MENTAL",IF(O221=CURSOS!$D$30,"PRIMEROS AUXILIOS PSICOLOGICOS",IF(O221=CURSOS!$D$31,"ATENCION A VICTIMAS POR CONFLICTO ARMADO",IF(O221=CURSOS!$D$32,"MANIPULACION DE ALIMENTOS Y BPM",IF(O221=CURSOS!$D$33,"ATENCION A PERSONAS CON DISCAPACIDAD",IF(O221=CURSOS!$D$34,"CUIDADO INTEGRAL DEL PACIENTE ADULTO",IF(O221=CURSOS!$D$35,"MANEJO DEFENSIVO",IF(O221=CURSOS!$D$36,"SOPORTE CARDIOVASCULAR AVANZADO NEONATAL",IF(O221=CURSOS!$D$37,"SEGURIDAD DEL PACIENTE",IF(O221=CURSOS!$D$38,"MANEJO DE RESIDUOS HOSPITALARIOS"))))))))))))))))))))))))))))))))))))</f>
        <v>ACOMPAÑAMIENTO Y MANEJO DEL DUELO</v>
      </c>
      <c r="V221" s="47" t="str">
        <f t="shared" si="12"/>
        <v>Clarita Miguel Calderón Arteaga</v>
      </c>
      <c r="W221" s="47" t="str">
        <f t="shared" si="13"/>
        <v>Clarita Miguel Calderón Arteaga</v>
      </c>
      <c r="X221" s="47" t="str">
        <f t="shared" si="14"/>
        <v>Clarita Miguel Calderón Arteaga-1086980956-DUELO</v>
      </c>
    </row>
    <row r="222" spans="1:25" x14ac:dyDescent="0.2">
      <c r="A222" s="46">
        <v>221</v>
      </c>
      <c r="B222" s="43">
        <v>1086980956</v>
      </c>
      <c r="C222" s="43" t="s">
        <v>476</v>
      </c>
      <c r="D222" s="43" t="s">
        <v>99</v>
      </c>
      <c r="E222" s="43" t="s">
        <v>477</v>
      </c>
      <c r="F222" s="43" t="s">
        <v>478</v>
      </c>
      <c r="G222" s="43">
        <v>27</v>
      </c>
      <c r="H222" s="43" t="s">
        <v>100</v>
      </c>
      <c r="I222" s="55" t="s">
        <v>146</v>
      </c>
      <c r="J222" s="56">
        <v>45624</v>
      </c>
      <c r="K222" s="108">
        <v>28000</v>
      </c>
      <c r="L222" s="43" t="s">
        <v>235</v>
      </c>
      <c r="M222" s="43" t="s">
        <v>80</v>
      </c>
      <c r="N222" s="43" t="s">
        <v>159</v>
      </c>
      <c r="O222" s="43" t="s">
        <v>32</v>
      </c>
      <c r="P222" s="55">
        <v>31759</v>
      </c>
      <c r="Q222" s="43" t="s">
        <v>89</v>
      </c>
      <c r="R222" s="43" t="s">
        <v>189</v>
      </c>
      <c r="S222" s="43">
        <v>3105137198</v>
      </c>
      <c r="T222" s="54" t="s">
        <v>479</v>
      </c>
      <c r="U222" s="47" t="str">
        <f>IF(O222=CURSOS!$D$3,"DIPLOMADO EN ATENCION PRE-HOSPITALARIA",IF(O222=CURSOS!$D$4,"ACOMPAÑAMIENTO Y MANEJO DEL DUELO",IF(O222=CURSOS!$D$5,"ATENCION A VICTIMAS DE ATAQUE CON AGENTES QUIMICOS ",IF(O222=CURSOS!$D$6,"PRIMEROS AUXILIOS ",IF(O222=CURSOS!$D$7,"DIPLOMADO DE UNIDAD DE CUIDADOS INTENSIVOS (UCI)",IF(O222=CURSOS!$D$8,"MODELO DE ATENCION PARA EVENTOS EMERGENTES EN SALUD MENTAL (CODIGO VERDE)",IF(O222=CURSOS!$D$9,"HUMANIZACION EN EL SERVICIO DE LA SALUD Y BUENAS PRACTICAS EN PACIENTE ",IF(O222=CURSOS!$D$10,"CLINICA DE HERIDAS ",IF(O222=CURSOS!$D$11,"TOMA DE CITOLOGIA CERVICO VAGINAL ",IF(O222=CURSOS!$D$12,"SOPORTE CARDIOVASCULAR AVANZADO (ACLS) ",IF(O222=CURSOS!$D$13,"CAMILLERO ",IF(O222=CURSOS!$D$14,"TOMA DE MUESTRAS Y LABORATORIO ",IF(O222=CURSOS!$D$15,"SOPORTE VITAL BASICO (BLS)",IF(O222=CURSOS!$D$16,"ATENCION A VICTIMAS DE VIOLENCIA SEXUAL ",IF(O222=CURSOS!$D$17,"PROGRAMADO AMPLIADO DE INMUNIZACION (PAI - COVID 19)",IF(O222=CURSOS!$D$18,"ATENCION INTEGRAL EN ENFERMEDADES PREVALENTES EN PRIMERA INFANCIA (AIEPI)",IF(O222=CURSOS!$D$19,"ADMINISTRACION DE MEDICAMENTOS, INYECTOLOGIA  Y CANALIZACION ",IF(O222=CURSOS!$D$20,"OPERADOR DE VEHICULOS DE EMERGENCIA (OVE)",IF(O222=CURSOS!$D$21,"INSTITUCIONES AMIGAS DE LA MUJER Y LA INFANCIA (IAMI)",IF(O222=CURSOS!$D$22,"CUIDADO DEL DONANTE DE ORGANOS",IF(O222=CURSOS!$D$23,"ATENCION A VICTIMAS POR VIOLENCIA DE GENERO",IF(O222=CURSOS!$D$24,"IGUALDAD DE GENERO EN LA SALUD",IF(O222=CURSOS!$D$25,"BRIGADA DE EMERGENCIA",IF(O222=CURSOS!$D$26,"MANEJO DEL DOLOR Y CUIDADOS PALIATIVOS",IF(O222=CURSOS!$D$27,"TOMA DE MUESTRAS Y LABORATORIO POCT",IF(O222=CURSOS!$D$28,"IMPLANTE SUBDERMICO DE DISPOSITIVO INTRAUTERINO",IF(O222=CURSOS!$D$29,"SALUD MENTAL",IF(O222=CURSOS!$D$30,"PRIMEROS AUXILIOS PSICOLOGICOS",IF(O222=CURSOS!$D$31,"ATENCION A VICTIMAS POR CONFLICTO ARMADO",IF(O222=CURSOS!$D$32,"MANIPULACION DE ALIMENTOS Y BPM",IF(O222=CURSOS!$D$33,"ATENCION A PERSONAS CON DISCAPACIDAD",IF(O222=CURSOS!$D$34,"CUIDADO INTEGRAL DEL PACIENTE ADULTO",IF(O222=CURSOS!$D$35,"MANEJO DEFENSIVO",IF(O222=CURSOS!$D$36,"SOPORTE CARDIOVASCULAR AVANZADO NEONATAL",IF(O222=CURSOS!$D$37,"SEGURIDAD DEL PACIENTE",IF(O222=CURSOS!$D$38,"MANEJO DE RESIDUOS HOSPITALARIOS"))))))))))))))))))))))))))))))))))))</f>
        <v xml:space="preserve">HUMANIZACION EN EL SERVICIO DE LA SALUD Y BUENAS PRACTICAS EN PACIENTE </v>
      </c>
      <c r="V222" s="47" t="str">
        <f t="shared" si="12"/>
        <v>Clarita Miguel Calderón Arteaga</v>
      </c>
      <c r="W222" s="47" t="str">
        <f t="shared" si="13"/>
        <v>Clarita Miguel Calderón Arteaga</v>
      </c>
      <c r="X222" s="47" t="str">
        <f t="shared" si="14"/>
        <v>Clarita Miguel Calderón Arteaga-1086980956-HUMANIZACION</v>
      </c>
    </row>
    <row r="223" spans="1:25" x14ac:dyDescent="0.2">
      <c r="A223" s="46">
        <v>222</v>
      </c>
      <c r="B223" s="43">
        <v>37082040</v>
      </c>
      <c r="C223" s="43" t="s">
        <v>99</v>
      </c>
      <c r="D223" s="43" t="s">
        <v>99</v>
      </c>
      <c r="E223" s="43" t="s">
        <v>480</v>
      </c>
      <c r="F223" s="43" t="s">
        <v>481</v>
      </c>
      <c r="G223" s="43">
        <v>28</v>
      </c>
      <c r="H223" s="43" t="s">
        <v>100</v>
      </c>
      <c r="I223" s="55" t="s">
        <v>146</v>
      </c>
      <c r="J223" s="56">
        <v>45624</v>
      </c>
      <c r="K223" s="108">
        <v>56000</v>
      </c>
      <c r="L223" s="43" t="s">
        <v>147</v>
      </c>
      <c r="M223" s="43" t="s">
        <v>80</v>
      </c>
      <c r="N223" s="43" t="s">
        <v>90</v>
      </c>
      <c r="O223" s="43" t="s">
        <v>45</v>
      </c>
      <c r="P223" s="55">
        <v>30058</v>
      </c>
      <c r="Q223" s="43" t="s">
        <v>89</v>
      </c>
      <c r="R223" s="43" t="s">
        <v>483</v>
      </c>
      <c r="S223" s="43">
        <v>3234736204</v>
      </c>
      <c r="T223" s="54" t="s">
        <v>482</v>
      </c>
      <c r="U223" s="47" t="str">
        <f>IF(O223=CURSOS!$D$3,"DIPLOMADO EN ATENCION PRE-HOSPITALARIA",IF(O223=CURSOS!$D$4,"ACOMPAÑAMIENTO Y MANEJO DEL DUELO",IF(O223=CURSOS!$D$5,"ATENCION A VICTIMAS DE ATAQUE CON AGENTES QUIMICOS ",IF(O223=CURSOS!$D$6,"PRIMEROS AUXILIOS ",IF(O223=CURSOS!$D$7,"DIPLOMADO DE UNIDAD DE CUIDADOS INTENSIVOS (UCI)",IF(O223=CURSOS!$D$8,"MODELO DE ATENCION PARA EVENTOS EMERGENTES EN SALUD MENTAL (CODIGO VERDE)",IF(O223=CURSOS!$D$9,"HUMANIZACION EN EL SERVICIO DE LA SALUD Y BUENAS PRACTICAS EN PACIENTE ",IF(O223=CURSOS!$D$10,"CLINICA DE HERIDAS ",IF(O223=CURSOS!$D$11,"TOMA DE CITOLOGIA CERVICO VAGINAL ",IF(O223=CURSOS!$D$12,"SOPORTE CARDIOVASCULAR AVANZADO (ACLS) ",IF(O223=CURSOS!$D$13,"CAMILLERO ",IF(O223=CURSOS!$D$14,"TOMA DE MUESTRAS Y LABORATORIO ",IF(O223=CURSOS!$D$15,"SOPORTE VITAL BASICO (BLS)",IF(O223=CURSOS!$D$16,"ATENCION A VICTIMAS DE VIOLENCIA SEXUAL ",IF(O223=CURSOS!$D$17,"PROGRAMADO AMPLIADO DE INMUNIZACION (PAI - COVID 19)",IF(O223=CURSOS!$D$18,"ATENCION INTEGRAL EN ENFERMEDADES PREVALENTES EN PRIMERA INFANCIA (AIEPI)",IF(O223=CURSOS!$D$19,"ADMINISTRACION DE MEDICAMENTOS, INYECTOLOGIA  Y CANALIZACION ",IF(O223=CURSOS!$D$20,"OPERADOR DE VEHICULOS DE EMERGENCIA (OVE)",IF(O223=CURSOS!$D$21,"INSTITUCIONES AMIGAS DE LA MUJER Y LA INFANCIA (IAMI)",IF(O223=CURSOS!$D$22,"CUIDADO DEL DONANTE DE ORGANOS",IF(O223=CURSOS!$D$23,"ATENCION A VICTIMAS POR VIOLENCIA DE GENERO",IF(O223=CURSOS!$D$24,"IGUALDAD DE GENERO EN LA SALUD",IF(O223=CURSOS!$D$25,"BRIGADA DE EMERGENCIA",IF(O223=CURSOS!$D$26,"MANEJO DEL DOLOR Y CUIDADOS PALIATIVOS",IF(O223=CURSOS!$D$27,"TOMA DE MUESTRAS Y LABORATORIO POCT",IF(O223=CURSOS!$D$28,"IMPLANTE SUBDERMICO DE DISPOSITIVO INTRAUTERINO",IF(O223=CURSOS!$D$29,"SALUD MENTAL",IF(O223=CURSOS!$D$30,"PRIMEROS AUXILIOS PSICOLOGICOS",IF(O223=CURSOS!$D$31,"ATENCION A VICTIMAS POR CONFLICTO ARMADO",IF(O223=CURSOS!$D$32,"MANIPULACION DE ALIMENTOS Y BPM",IF(O223=CURSOS!$D$33,"ATENCION A PERSONAS CON DISCAPACIDAD",IF(O223=CURSOS!$D$34,"CUIDADO INTEGRAL DEL PACIENTE ADULTO",IF(O223=CURSOS!$D$35,"MANEJO DEFENSIVO",IF(O223=CURSOS!$D$36,"SOPORTE CARDIOVASCULAR AVANZADO NEONATAL",IF(O223=CURSOS!$D$37,"SEGURIDAD DEL PACIENTE",IF(O223=CURSOS!$D$38,"MANEJO DE RESIDUOS HOSPITALARIOS"))))))))))))))))))))))))))))))))))))</f>
        <v xml:space="preserve">ADMINISTRACION DE MEDICAMENTOS, INYECTOLOGIA  Y CANALIZACION </v>
      </c>
      <c r="V223" s="47" t="str">
        <f t="shared" si="12"/>
        <v>Magda Deni Arteaga Arteaga</v>
      </c>
      <c r="W223" s="47" t="str">
        <f t="shared" si="13"/>
        <v>Magda Deni Arteaga Arteaga</v>
      </c>
      <c r="X223" s="47" t="str">
        <f t="shared" si="14"/>
        <v>Magda Deni Arteaga Arteaga-37082040-ADMON DE MEDICAMENTOS</v>
      </c>
    </row>
    <row r="224" spans="1:25" x14ac:dyDescent="0.2">
      <c r="A224" s="46">
        <v>223</v>
      </c>
      <c r="B224" s="43">
        <v>1088738571</v>
      </c>
      <c r="C224" s="43" t="s">
        <v>306</v>
      </c>
      <c r="D224" s="43" t="s">
        <v>296</v>
      </c>
      <c r="E224" s="43" t="s">
        <v>396</v>
      </c>
      <c r="F224" s="43" t="s">
        <v>122</v>
      </c>
      <c r="G224" s="43">
        <v>29</v>
      </c>
      <c r="H224" s="43" t="s">
        <v>100</v>
      </c>
      <c r="I224" s="55" t="s">
        <v>146</v>
      </c>
      <c r="J224" s="56">
        <v>45625</v>
      </c>
      <c r="K224" s="108">
        <v>20000</v>
      </c>
      <c r="L224" s="43" t="s">
        <v>235</v>
      </c>
      <c r="M224" s="43" t="s">
        <v>80</v>
      </c>
      <c r="N224" s="43" t="s">
        <v>159</v>
      </c>
      <c r="O224" s="43" t="s">
        <v>32</v>
      </c>
      <c r="P224" s="55">
        <v>36072</v>
      </c>
      <c r="Q224" s="43" t="s">
        <v>89</v>
      </c>
      <c r="R224" s="43" t="s">
        <v>180</v>
      </c>
      <c r="S224" s="43">
        <v>3207813699</v>
      </c>
      <c r="T224" s="54" t="s">
        <v>484</v>
      </c>
      <c r="U224" s="47" t="str">
        <f>IF(O224=CURSOS!$D$3,"DIPLOMADO EN ATENCION PRE-HOSPITALARIA",IF(O224=CURSOS!$D$4,"ACOMPAÑAMIENTO Y MANEJO DEL DUELO",IF(O224=CURSOS!$D$5,"ATENCION A VICTIMAS DE ATAQUE CON AGENTES QUIMICOS ",IF(O224=CURSOS!$D$6,"PRIMEROS AUXILIOS ",IF(O224=CURSOS!$D$7,"DIPLOMADO DE UNIDAD DE CUIDADOS INTENSIVOS (UCI)",IF(O224=CURSOS!$D$8,"MODELO DE ATENCION PARA EVENTOS EMERGENTES EN SALUD MENTAL (CODIGO VERDE)",IF(O224=CURSOS!$D$9,"HUMANIZACION EN EL SERVICIO DE LA SALUD Y BUENAS PRACTICAS EN PACIENTE ",IF(O224=CURSOS!$D$10,"CLINICA DE HERIDAS ",IF(O224=CURSOS!$D$11,"TOMA DE CITOLOGIA CERVICO VAGINAL ",IF(O224=CURSOS!$D$12,"SOPORTE CARDIOVASCULAR AVANZADO (ACLS) ",IF(O224=CURSOS!$D$13,"CAMILLERO ",IF(O224=CURSOS!$D$14,"TOMA DE MUESTRAS Y LABORATORIO ",IF(O224=CURSOS!$D$15,"SOPORTE VITAL BASICO (BLS)",IF(O224=CURSOS!$D$16,"ATENCION A VICTIMAS DE VIOLENCIA SEXUAL ",IF(O224=CURSOS!$D$17,"PROGRAMADO AMPLIADO DE INMUNIZACION (PAI - COVID 19)",IF(O224=CURSOS!$D$18,"ATENCION INTEGRAL EN ENFERMEDADES PREVALENTES EN PRIMERA INFANCIA (AIEPI)",IF(O224=CURSOS!$D$19,"ADMINISTRACION DE MEDICAMENTOS, INYECTOLOGIA  Y CANALIZACION ",IF(O224=CURSOS!$D$20,"OPERADOR DE VEHICULOS DE EMERGENCIA (OVE)",IF(O224=CURSOS!$D$21,"INSTITUCIONES AMIGAS DE LA MUJER Y LA INFANCIA (IAMI)",IF(O224=CURSOS!$D$22,"CUIDADO DEL DONANTE DE ORGANOS",IF(O224=CURSOS!$D$23,"ATENCION A VICTIMAS POR VIOLENCIA DE GENERO",IF(O224=CURSOS!$D$24,"IGUALDAD DE GENERO EN LA SALUD",IF(O224=CURSOS!$D$25,"BRIGADA DE EMERGENCIA",IF(O224=CURSOS!$D$26,"MANEJO DEL DOLOR Y CUIDADOS PALIATIVOS",IF(O224=CURSOS!$D$27,"TOMA DE MUESTRAS Y LABORATORIO POCT",IF(O224=CURSOS!$D$28,"IMPLANTE SUBDERMICO DE DISPOSITIVO INTRAUTERINO",IF(O224=CURSOS!$D$29,"SALUD MENTAL",IF(O224=CURSOS!$D$30,"PRIMEROS AUXILIOS PSICOLOGICOS",IF(O224=CURSOS!$D$31,"ATENCION A VICTIMAS POR CONFLICTO ARMADO",IF(O224=CURSOS!$D$32,"MANIPULACION DE ALIMENTOS Y BPM",IF(O224=CURSOS!$D$33,"ATENCION A PERSONAS CON DISCAPACIDAD",IF(O224=CURSOS!$D$34,"CUIDADO INTEGRAL DEL PACIENTE ADULTO",IF(O224=CURSOS!$D$35,"MANEJO DEFENSIVO",IF(O224=CURSOS!$D$36,"SOPORTE CARDIOVASCULAR AVANZADO NEONATAL",IF(O224=CURSOS!$D$37,"SEGURIDAD DEL PACIENTE",IF(O224=CURSOS!$D$38,"MANEJO DE RESIDUOS HOSPITALARIOS"))))))))))))))))))))))))))))))))))))</f>
        <v xml:space="preserve">HUMANIZACION EN EL SERVICIO DE LA SALUD Y BUENAS PRACTICAS EN PACIENTE </v>
      </c>
      <c r="V224" s="47" t="str">
        <f t="shared" si="12"/>
        <v>Diana Carolina Melo Meneses</v>
      </c>
      <c r="W224" s="47" t="str">
        <f t="shared" si="13"/>
        <v>Diana Carolina Melo Meneses</v>
      </c>
      <c r="X224" s="47" t="str">
        <f t="shared" si="14"/>
        <v>Diana Carolina Melo Meneses-1088738571-HUMANIZACION</v>
      </c>
    </row>
    <row r="225" spans="1:24" x14ac:dyDescent="0.2">
      <c r="A225" s="46">
        <v>224</v>
      </c>
      <c r="B225" s="43">
        <v>1088738571</v>
      </c>
      <c r="C225" s="43" t="s">
        <v>306</v>
      </c>
      <c r="D225" s="43" t="s">
        <v>296</v>
      </c>
      <c r="E225" s="43" t="s">
        <v>396</v>
      </c>
      <c r="F225" s="43" t="s">
        <v>122</v>
      </c>
      <c r="G225" s="43">
        <v>27</v>
      </c>
      <c r="H225" s="43" t="s">
        <v>100</v>
      </c>
      <c r="I225" s="55" t="s">
        <v>146</v>
      </c>
      <c r="J225" s="56">
        <v>45625</v>
      </c>
      <c r="K225" s="108">
        <v>20000</v>
      </c>
      <c r="L225" s="43" t="s">
        <v>235</v>
      </c>
      <c r="M225" s="43" t="s">
        <v>80</v>
      </c>
      <c r="N225" s="43" t="s">
        <v>159</v>
      </c>
      <c r="O225" s="43" t="s">
        <v>88</v>
      </c>
      <c r="P225" s="55">
        <v>36072</v>
      </c>
      <c r="Q225" s="43" t="s">
        <v>89</v>
      </c>
      <c r="R225" s="43" t="s">
        <v>180</v>
      </c>
      <c r="S225" s="43">
        <v>3207813699</v>
      </c>
      <c r="T225" s="54" t="s">
        <v>484</v>
      </c>
      <c r="U225" s="47" t="str">
        <f>IF(O225=CURSOS!$D$3,"DIPLOMADO EN ATENCION PRE-HOSPITALARIA",IF(O225=CURSOS!$D$4,"ACOMPAÑAMIENTO Y MANEJO DEL DUELO",IF(O225=CURSOS!$D$5,"ATENCION A VICTIMAS DE ATAQUE CON AGENTES QUIMICOS ",IF(O225=CURSOS!$D$6,"PRIMEROS AUXILIOS ",IF(O225=CURSOS!$D$7,"DIPLOMADO DE UNIDAD DE CUIDADOS INTENSIVOS (UCI)",IF(O225=CURSOS!$D$8,"MODELO DE ATENCION PARA EVENTOS EMERGENTES EN SALUD MENTAL (CODIGO VERDE)",IF(O225=CURSOS!$D$9,"HUMANIZACION EN EL SERVICIO DE LA SALUD Y BUENAS PRACTICAS EN PACIENTE ",IF(O225=CURSOS!$D$10,"CLINICA DE HERIDAS ",IF(O225=CURSOS!$D$11,"TOMA DE CITOLOGIA CERVICO VAGINAL ",IF(O225=CURSOS!$D$12,"SOPORTE CARDIOVASCULAR AVANZADO (ACLS) ",IF(O225=CURSOS!$D$13,"CAMILLERO ",IF(O225=CURSOS!$D$14,"TOMA DE MUESTRAS Y LABORATORIO ",IF(O225=CURSOS!$D$15,"SOPORTE VITAL BASICO (BLS)",IF(O225=CURSOS!$D$16,"ATENCION A VICTIMAS DE VIOLENCIA SEXUAL ",IF(O225=CURSOS!$D$17,"PROGRAMADO AMPLIADO DE INMUNIZACION (PAI - COVID 19)",IF(O225=CURSOS!$D$18,"ATENCION INTEGRAL EN ENFERMEDADES PREVALENTES EN PRIMERA INFANCIA (AIEPI)",IF(O225=CURSOS!$D$19,"ADMINISTRACION DE MEDICAMENTOS, INYECTOLOGIA  Y CANALIZACION ",IF(O225=CURSOS!$D$20,"OPERADOR DE VEHICULOS DE EMERGENCIA (OVE)",IF(O225=CURSOS!$D$21,"INSTITUCIONES AMIGAS DE LA MUJER Y LA INFANCIA (IAMI)",IF(O225=CURSOS!$D$22,"CUIDADO DEL DONANTE DE ORGANOS",IF(O225=CURSOS!$D$23,"ATENCION A VICTIMAS POR VIOLENCIA DE GENERO",IF(O225=CURSOS!$D$24,"IGUALDAD DE GENERO EN LA SALUD",IF(O225=CURSOS!$D$25,"BRIGADA DE EMERGENCIA",IF(O225=CURSOS!$D$26,"MANEJO DEL DOLOR Y CUIDADOS PALIATIVOS",IF(O225=CURSOS!$D$27,"TOMA DE MUESTRAS Y LABORATORIO POCT",IF(O225=CURSOS!$D$28,"IMPLANTE SUBDERMICO DE DISPOSITIVO INTRAUTERINO",IF(O225=CURSOS!$D$29,"SALUD MENTAL",IF(O225=CURSOS!$D$30,"PRIMEROS AUXILIOS PSICOLOGICOS",IF(O225=CURSOS!$D$31,"ATENCION A VICTIMAS POR CONFLICTO ARMADO",IF(O225=CURSOS!$D$32,"MANIPULACION DE ALIMENTOS Y BPM",IF(O225=CURSOS!$D$33,"ATENCION A PERSONAS CON DISCAPACIDAD",IF(O225=CURSOS!$D$34,"CUIDADO INTEGRAL DEL PACIENTE ADULTO",IF(O225=CURSOS!$D$35,"MANEJO DEFENSIVO",IF(O225=CURSOS!$D$36,"SOPORTE CARDIOVASCULAR AVANZADO NEONATAL",IF(O225=CURSOS!$D$37,"SEGURIDAD DEL PACIENTE",IF(O225=CURSOS!$D$38,"MANEJO DE RESIDUOS HOSPITALARIOS"))))))))))))))))))))))))))))))))))))</f>
        <v>SEGURIDAD DEL PACIENTE</v>
      </c>
      <c r="V225" s="47" t="str">
        <f t="shared" ref="V225:V244" si="15">CONCATENATE(E225," ",F225," ",C225," ",D225)</f>
        <v>Diana Carolina Melo Meneses</v>
      </c>
      <c r="W225" s="47" t="str">
        <f t="shared" ref="W225:W244" si="16">PROPER(V225)</f>
        <v>Diana Carolina Melo Meneses</v>
      </c>
      <c r="X225" s="47" t="str">
        <f t="shared" ref="X225:X244" si="17">CONCATENATE(V225,"-",B225,"-",O225)</f>
        <v>Diana Carolina Melo Meneses-1088738571-PACIENTE</v>
      </c>
    </row>
    <row r="226" spans="1:24" x14ac:dyDescent="0.2">
      <c r="A226" s="46">
        <v>225</v>
      </c>
      <c r="B226" s="43">
        <v>1088738571</v>
      </c>
      <c r="C226" s="43" t="s">
        <v>306</v>
      </c>
      <c r="D226" s="43" t="s">
        <v>296</v>
      </c>
      <c r="E226" s="43" t="s">
        <v>396</v>
      </c>
      <c r="F226" s="43" t="s">
        <v>122</v>
      </c>
      <c r="G226" s="43">
        <v>28</v>
      </c>
      <c r="H226" s="43" t="s">
        <v>100</v>
      </c>
      <c r="I226" s="55" t="s">
        <v>146</v>
      </c>
      <c r="J226" s="56">
        <v>45625</v>
      </c>
      <c r="K226" s="108">
        <v>20000</v>
      </c>
      <c r="L226" s="43" t="s">
        <v>235</v>
      </c>
      <c r="M226" s="43" t="s">
        <v>80</v>
      </c>
      <c r="N226" s="43" t="s">
        <v>159</v>
      </c>
      <c r="O226" s="43" t="s">
        <v>25</v>
      </c>
      <c r="P226" s="55">
        <v>36072</v>
      </c>
      <c r="Q226" s="43" t="s">
        <v>89</v>
      </c>
      <c r="R226" s="43" t="s">
        <v>180</v>
      </c>
      <c r="S226" s="43">
        <v>3207813699</v>
      </c>
      <c r="T226" s="54" t="s">
        <v>484</v>
      </c>
      <c r="U226" s="47" t="str">
        <f>IF(O226=CURSOS!$D$3,"DIPLOMADO EN ATENCION PRE-HOSPITALARIA",IF(O226=CURSOS!$D$4,"ACOMPAÑAMIENTO Y MANEJO DEL DUELO",IF(O226=CURSOS!$D$5,"ATENCION A VICTIMAS DE ATAQUE CON AGENTES QUIMICOS ",IF(O226=CURSOS!$D$6,"PRIMEROS AUXILIOS ",IF(O226=CURSOS!$D$7,"DIPLOMADO DE UNIDAD DE CUIDADOS INTENSIVOS (UCI)",IF(O226=CURSOS!$D$8,"MODELO DE ATENCION PARA EVENTOS EMERGENTES EN SALUD MENTAL (CODIGO VERDE)",IF(O226=CURSOS!$D$9,"HUMANIZACION EN EL SERVICIO DE LA SALUD Y BUENAS PRACTICAS EN PACIENTE ",IF(O226=CURSOS!$D$10,"CLINICA DE HERIDAS ",IF(O226=CURSOS!$D$11,"TOMA DE CITOLOGIA CERVICO VAGINAL ",IF(O226=CURSOS!$D$12,"SOPORTE CARDIOVASCULAR AVANZADO (ACLS) ",IF(O226=CURSOS!$D$13,"CAMILLERO ",IF(O226=CURSOS!$D$14,"TOMA DE MUESTRAS Y LABORATORIO ",IF(O226=CURSOS!$D$15,"SOPORTE VITAL BASICO (BLS)",IF(O226=CURSOS!$D$16,"ATENCION A VICTIMAS DE VIOLENCIA SEXUAL ",IF(O226=CURSOS!$D$17,"PROGRAMADO AMPLIADO DE INMUNIZACION (PAI - COVID 19)",IF(O226=CURSOS!$D$18,"ATENCION INTEGRAL EN ENFERMEDADES PREVALENTES EN PRIMERA INFANCIA (AIEPI)",IF(O226=CURSOS!$D$19,"ADMINISTRACION DE MEDICAMENTOS, INYECTOLOGIA  Y CANALIZACION ",IF(O226=CURSOS!$D$20,"OPERADOR DE VEHICULOS DE EMERGENCIA (OVE)",IF(O226=CURSOS!$D$21,"INSTITUCIONES AMIGAS DE LA MUJER Y LA INFANCIA (IAMI)",IF(O226=CURSOS!$D$22,"CUIDADO DEL DONANTE DE ORGANOS",IF(O226=CURSOS!$D$23,"ATENCION A VICTIMAS POR VIOLENCIA DE GENERO",IF(O226=CURSOS!$D$24,"IGUALDAD DE GENERO EN LA SALUD",IF(O226=CURSOS!$D$25,"BRIGADA DE EMERGENCIA",IF(O226=CURSOS!$D$26,"MANEJO DEL DOLOR Y CUIDADOS PALIATIVOS",IF(O226=CURSOS!$D$27,"TOMA DE MUESTRAS Y LABORATORIO POCT",IF(O226=CURSOS!$D$28,"IMPLANTE SUBDERMICO DE DISPOSITIVO INTRAUTERINO",IF(O226=CURSOS!$D$29,"SALUD MENTAL",IF(O226=CURSOS!$D$30,"PRIMEROS AUXILIOS PSICOLOGICOS",IF(O226=CURSOS!$D$31,"ATENCION A VICTIMAS POR CONFLICTO ARMADO",IF(O226=CURSOS!$D$32,"MANIPULACION DE ALIMENTOS Y BPM",IF(O226=CURSOS!$D$33,"ATENCION A PERSONAS CON DISCAPACIDAD",IF(O226=CURSOS!$D$34,"CUIDADO INTEGRAL DEL PACIENTE ADULTO",IF(O226=CURSOS!$D$35,"MANEJO DEFENSIVO",IF(O226=CURSOS!$D$36,"SOPORTE CARDIOVASCULAR AVANZADO NEONATAL",IF(O226=CURSOS!$D$37,"SEGURIDAD DEL PACIENTE",IF(O226=CURSOS!$D$38,"MANEJO DE RESIDUOS HOSPITALARIOS"))))))))))))))))))))))))))))))))))))</f>
        <v xml:space="preserve">ATENCION A VICTIMAS DE ATAQUE CON AGENTES QUIMICOS </v>
      </c>
      <c r="V226" s="47" t="str">
        <f t="shared" si="15"/>
        <v>Diana Carolina Melo Meneses</v>
      </c>
      <c r="W226" s="47" t="str">
        <f t="shared" si="16"/>
        <v>Diana Carolina Melo Meneses</v>
      </c>
      <c r="X226" s="47" t="str">
        <f t="shared" si="17"/>
        <v>Diana Carolina Melo Meneses-1088738571-QUIMICOS</v>
      </c>
    </row>
    <row r="227" spans="1:24" x14ac:dyDescent="0.2">
      <c r="A227" s="46">
        <v>226</v>
      </c>
      <c r="B227" s="43">
        <v>1088738571</v>
      </c>
      <c r="C227" s="43" t="s">
        <v>306</v>
      </c>
      <c r="D227" s="43" t="s">
        <v>296</v>
      </c>
      <c r="E227" s="43" t="s">
        <v>396</v>
      </c>
      <c r="F227" s="43" t="s">
        <v>122</v>
      </c>
      <c r="G227" s="43">
        <v>28</v>
      </c>
      <c r="H227" s="43" t="s">
        <v>100</v>
      </c>
      <c r="I227" s="55" t="s">
        <v>146</v>
      </c>
      <c r="J227" s="56">
        <v>45625</v>
      </c>
      <c r="K227" s="108">
        <v>20000</v>
      </c>
      <c r="L227" s="43" t="s">
        <v>235</v>
      </c>
      <c r="M227" s="43" t="s">
        <v>80</v>
      </c>
      <c r="N227" s="43" t="s">
        <v>159</v>
      </c>
      <c r="O227" s="43" t="s">
        <v>42</v>
      </c>
      <c r="P227" s="55">
        <v>36072</v>
      </c>
      <c r="Q227" s="43" t="s">
        <v>89</v>
      </c>
      <c r="R227" s="43" t="s">
        <v>180</v>
      </c>
      <c r="S227" s="43">
        <v>3207813699</v>
      </c>
      <c r="T227" s="54" t="s">
        <v>484</v>
      </c>
      <c r="U227" s="47" t="str">
        <f>IF(O227=CURSOS!$D$3,"DIPLOMADO EN ATENCION PRE-HOSPITALARIA",IF(O227=CURSOS!$D$4,"ACOMPAÑAMIENTO Y MANEJO DEL DUELO",IF(O227=CURSOS!$D$5,"ATENCION A VICTIMAS DE ATAQUE CON AGENTES QUIMICOS ",IF(O227=CURSOS!$D$6,"PRIMEROS AUXILIOS ",IF(O227=CURSOS!$D$7,"DIPLOMADO DE UNIDAD DE CUIDADOS INTENSIVOS (UCI)",IF(O227=CURSOS!$D$8,"MODELO DE ATENCION PARA EVENTOS EMERGENTES EN SALUD MENTAL (CODIGO VERDE)",IF(O227=CURSOS!$D$9,"HUMANIZACION EN EL SERVICIO DE LA SALUD Y BUENAS PRACTICAS EN PACIENTE ",IF(O227=CURSOS!$D$10,"CLINICA DE HERIDAS ",IF(O227=CURSOS!$D$11,"TOMA DE CITOLOGIA CERVICO VAGINAL ",IF(O227=CURSOS!$D$12,"SOPORTE CARDIOVASCULAR AVANZADO (ACLS) ",IF(O227=CURSOS!$D$13,"CAMILLERO ",IF(O227=CURSOS!$D$14,"TOMA DE MUESTRAS Y LABORATORIO ",IF(O227=CURSOS!$D$15,"SOPORTE VITAL BASICO (BLS)",IF(O227=CURSOS!$D$16,"ATENCION A VICTIMAS DE VIOLENCIA SEXUAL ",IF(O227=CURSOS!$D$17,"PROGRAMADO AMPLIADO DE INMUNIZACION (PAI - COVID 19)",IF(O227=CURSOS!$D$18,"ATENCION INTEGRAL EN ENFERMEDADES PREVALENTES EN PRIMERA INFANCIA (AIEPI)",IF(O227=CURSOS!$D$19,"ADMINISTRACION DE MEDICAMENTOS, INYECTOLOGIA  Y CANALIZACION ",IF(O227=CURSOS!$D$20,"OPERADOR DE VEHICULOS DE EMERGENCIA (OVE)",IF(O227=CURSOS!$D$21,"INSTITUCIONES AMIGAS DE LA MUJER Y LA INFANCIA (IAMI)",IF(O227=CURSOS!$D$22,"CUIDADO DEL DONANTE DE ORGANOS",IF(O227=CURSOS!$D$23,"ATENCION A VICTIMAS POR VIOLENCIA DE GENERO",IF(O227=CURSOS!$D$24,"IGUALDAD DE GENERO EN LA SALUD",IF(O227=CURSOS!$D$25,"BRIGADA DE EMERGENCIA",IF(O227=CURSOS!$D$26,"MANEJO DEL DOLOR Y CUIDADOS PALIATIVOS",IF(O227=CURSOS!$D$27,"TOMA DE MUESTRAS Y LABORATORIO POCT",IF(O227=CURSOS!$D$28,"IMPLANTE SUBDERMICO DE DISPOSITIVO INTRAUTERINO",IF(O227=CURSOS!$D$29,"SALUD MENTAL",IF(O227=CURSOS!$D$30,"PRIMEROS AUXILIOS PSICOLOGICOS",IF(O227=CURSOS!$D$31,"ATENCION A VICTIMAS POR CONFLICTO ARMADO",IF(O227=CURSOS!$D$32,"MANIPULACION DE ALIMENTOS Y BPM",IF(O227=CURSOS!$D$33,"ATENCION A PERSONAS CON DISCAPACIDAD",IF(O227=CURSOS!$D$34,"CUIDADO INTEGRAL DEL PACIENTE ADULTO",IF(O227=CURSOS!$D$35,"MANEJO DEFENSIVO",IF(O227=CURSOS!$D$36,"SOPORTE CARDIOVASCULAR AVANZADO NEONATAL",IF(O227=CURSOS!$D$37,"SEGURIDAD DEL PACIENTE",IF(O227=CURSOS!$D$38,"MANEJO DE RESIDUOS HOSPITALARIOS"))))))))))))))))))))))))))))))))))))</f>
        <v xml:space="preserve">ATENCION A VICTIMAS DE VIOLENCIA SEXUAL </v>
      </c>
      <c r="V227" s="47" t="str">
        <f t="shared" si="15"/>
        <v>Diana Carolina Melo Meneses</v>
      </c>
      <c r="W227" s="47" t="str">
        <f t="shared" si="16"/>
        <v>Diana Carolina Melo Meneses</v>
      </c>
      <c r="X227" s="47" t="str">
        <f t="shared" si="17"/>
        <v>Diana Carolina Melo Meneses-1088738571-VIOLENCIA SEXUAL</v>
      </c>
    </row>
    <row r="228" spans="1:24" x14ac:dyDescent="0.2">
      <c r="A228" s="46">
        <v>227</v>
      </c>
      <c r="B228" s="43">
        <v>1088738571</v>
      </c>
      <c r="C228" s="43" t="s">
        <v>306</v>
      </c>
      <c r="D228" s="43" t="s">
        <v>296</v>
      </c>
      <c r="E228" s="43" t="s">
        <v>396</v>
      </c>
      <c r="F228" s="43" t="s">
        <v>122</v>
      </c>
      <c r="G228" s="43">
        <v>26</v>
      </c>
      <c r="H228" s="43" t="s">
        <v>100</v>
      </c>
      <c r="I228" s="55" t="s">
        <v>146</v>
      </c>
      <c r="J228" s="56">
        <v>45625</v>
      </c>
      <c r="K228" s="108">
        <v>20000</v>
      </c>
      <c r="L228" s="43" t="s">
        <v>235</v>
      </c>
      <c r="M228" s="43" t="s">
        <v>80</v>
      </c>
      <c r="N228" s="43" t="s">
        <v>159</v>
      </c>
      <c r="O228" s="43" t="s">
        <v>23</v>
      </c>
      <c r="P228" s="55">
        <v>36072</v>
      </c>
      <c r="Q228" s="43" t="s">
        <v>89</v>
      </c>
      <c r="R228" s="43" t="s">
        <v>180</v>
      </c>
      <c r="S228" s="43">
        <v>3207813699</v>
      </c>
      <c r="T228" s="54" t="s">
        <v>484</v>
      </c>
      <c r="U228" s="47" t="str">
        <f>IF(O228=CURSOS!$D$3,"DIPLOMADO EN ATENCION PRE-HOSPITALARIA",IF(O228=CURSOS!$D$4,"ACOMPAÑAMIENTO Y MANEJO DEL DUELO",IF(O228=CURSOS!$D$5,"ATENCION A VICTIMAS DE ATAQUE CON AGENTES QUIMICOS ",IF(O228=CURSOS!$D$6,"PRIMEROS AUXILIOS ",IF(O228=CURSOS!$D$7,"DIPLOMADO DE UNIDAD DE CUIDADOS INTENSIVOS (UCI)",IF(O228=CURSOS!$D$8,"MODELO DE ATENCION PARA EVENTOS EMERGENTES EN SALUD MENTAL (CODIGO VERDE)",IF(O228=CURSOS!$D$9,"HUMANIZACION EN EL SERVICIO DE LA SALUD Y BUENAS PRACTICAS EN PACIENTE ",IF(O228=CURSOS!$D$10,"CLINICA DE HERIDAS ",IF(O228=CURSOS!$D$11,"TOMA DE CITOLOGIA CERVICO VAGINAL ",IF(O228=CURSOS!$D$12,"SOPORTE CARDIOVASCULAR AVANZADO (ACLS) ",IF(O228=CURSOS!$D$13,"CAMILLERO ",IF(O228=CURSOS!$D$14,"TOMA DE MUESTRAS Y LABORATORIO ",IF(O228=CURSOS!$D$15,"SOPORTE VITAL BASICO (BLS)",IF(O228=CURSOS!$D$16,"ATENCION A VICTIMAS DE VIOLENCIA SEXUAL ",IF(O228=CURSOS!$D$17,"PROGRAMADO AMPLIADO DE INMUNIZACION (PAI - COVID 19)",IF(O228=CURSOS!$D$18,"ATENCION INTEGRAL EN ENFERMEDADES PREVALENTES EN PRIMERA INFANCIA (AIEPI)",IF(O228=CURSOS!$D$19,"ADMINISTRACION DE MEDICAMENTOS, INYECTOLOGIA  Y CANALIZACION ",IF(O228=CURSOS!$D$20,"OPERADOR DE VEHICULOS DE EMERGENCIA (OVE)",IF(O228=CURSOS!$D$21,"INSTITUCIONES AMIGAS DE LA MUJER Y LA INFANCIA (IAMI)",IF(O228=CURSOS!$D$22,"CUIDADO DEL DONANTE DE ORGANOS",IF(O228=CURSOS!$D$23,"ATENCION A VICTIMAS POR VIOLENCIA DE GENERO",IF(O228=CURSOS!$D$24,"IGUALDAD DE GENERO EN LA SALUD",IF(O228=CURSOS!$D$25,"BRIGADA DE EMERGENCIA",IF(O228=CURSOS!$D$26,"MANEJO DEL DOLOR Y CUIDADOS PALIATIVOS",IF(O228=CURSOS!$D$27,"TOMA DE MUESTRAS Y LABORATORIO POCT",IF(O228=CURSOS!$D$28,"IMPLANTE SUBDERMICO DE DISPOSITIVO INTRAUTERINO",IF(O228=CURSOS!$D$29,"SALUD MENTAL",IF(O228=CURSOS!$D$30,"PRIMEROS AUXILIOS PSICOLOGICOS",IF(O228=CURSOS!$D$31,"ATENCION A VICTIMAS POR CONFLICTO ARMADO",IF(O228=CURSOS!$D$32,"MANIPULACION DE ALIMENTOS Y BPM",IF(O228=CURSOS!$D$33,"ATENCION A PERSONAS CON DISCAPACIDAD",IF(O228=CURSOS!$D$34,"CUIDADO INTEGRAL DEL PACIENTE ADULTO",IF(O228=CURSOS!$D$35,"MANEJO DEFENSIVO",IF(O228=CURSOS!$D$36,"SOPORTE CARDIOVASCULAR AVANZADO NEONATAL",IF(O228=CURSOS!$D$37,"SEGURIDAD DEL PACIENTE",IF(O228=CURSOS!$D$38,"MANEJO DE RESIDUOS HOSPITALARIOS"))))))))))))))))))))))))))))))))))))</f>
        <v>ACOMPAÑAMIENTO Y MANEJO DEL DUELO</v>
      </c>
      <c r="V228" s="47" t="str">
        <f t="shared" si="15"/>
        <v>Diana Carolina Melo Meneses</v>
      </c>
      <c r="W228" s="47" t="str">
        <f t="shared" si="16"/>
        <v>Diana Carolina Melo Meneses</v>
      </c>
      <c r="X228" s="47" t="str">
        <f t="shared" si="17"/>
        <v>Diana Carolina Melo Meneses-1088738571-DUELO</v>
      </c>
    </row>
    <row r="229" spans="1:24" x14ac:dyDescent="0.2">
      <c r="A229" s="46">
        <v>228</v>
      </c>
      <c r="B229" s="43">
        <v>1087413838</v>
      </c>
      <c r="C229" s="43" t="s">
        <v>150</v>
      </c>
      <c r="D229" s="43" t="s">
        <v>257</v>
      </c>
      <c r="E229" s="43" t="s">
        <v>325</v>
      </c>
      <c r="F229" s="43" t="s">
        <v>485</v>
      </c>
      <c r="G229" s="43">
        <v>25</v>
      </c>
      <c r="H229" s="43" t="s">
        <v>100</v>
      </c>
      <c r="I229" s="55" t="s">
        <v>146</v>
      </c>
      <c r="J229" s="56">
        <v>45625</v>
      </c>
      <c r="K229" s="108">
        <v>20000</v>
      </c>
      <c r="L229" s="43" t="s">
        <v>235</v>
      </c>
      <c r="M229" s="43" t="s">
        <v>80</v>
      </c>
      <c r="N229" s="43" t="s">
        <v>159</v>
      </c>
      <c r="O229" s="43" t="s">
        <v>44</v>
      </c>
      <c r="P229" s="55">
        <v>32807</v>
      </c>
      <c r="Q229" s="43" t="s">
        <v>89</v>
      </c>
      <c r="R229" s="102" t="s">
        <v>285</v>
      </c>
      <c r="S229" s="43">
        <v>3182036786</v>
      </c>
      <c r="T229" s="54" t="s">
        <v>486</v>
      </c>
      <c r="U229" s="47" t="str">
        <f>IF(O229=CURSOS!$D$3,"DIPLOMADO EN ATENCION PRE-HOSPITALARIA",IF(O229=CURSOS!$D$4,"ACOMPAÑAMIENTO Y MANEJO DEL DUELO",IF(O229=CURSOS!$D$5,"ATENCION A VICTIMAS DE ATAQUE CON AGENTES QUIMICOS ",IF(O229=CURSOS!$D$6,"PRIMEROS AUXILIOS ",IF(O229=CURSOS!$D$7,"DIPLOMADO DE UNIDAD DE CUIDADOS INTENSIVOS (UCI)",IF(O229=CURSOS!$D$8,"MODELO DE ATENCION PARA EVENTOS EMERGENTES EN SALUD MENTAL (CODIGO VERDE)",IF(O229=CURSOS!$D$9,"HUMANIZACION EN EL SERVICIO DE LA SALUD Y BUENAS PRACTICAS EN PACIENTE ",IF(O229=CURSOS!$D$10,"CLINICA DE HERIDAS ",IF(O229=CURSOS!$D$11,"TOMA DE CITOLOGIA CERVICO VAGINAL ",IF(O229=CURSOS!$D$12,"SOPORTE CARDIOVASCULAR AVANZADO (ACLS) ",IF(O229=CURSOS!$D$13,"CAMILLERO ",IF(O229=CURSOS!$D$14,"TOMA DE MUESTRAS Y LABORATORIO ",IF(O229=CURSOS!$D$15,"SOPORTE VITAL BASICO (BLS)",IF(O229=CURSOS!$D$16,"ATENCION A VICTIMAS DE VIOLENCIA SEXUAL ",IF(O229=CURSOS!$D$17,"PROGRAMADO AMPLIADO DE INMUNIZACION (PAI - COVID 19)",IF(O229=CURSOS!$D$18,"ATENCION INTEGRAL EN ENFERMEDADES PREVALENTES EN PRIMERA INFANCIA (AIEPI)",IF(O229=CURSOS!$D$19,"ADMINISTRACION DE MEDICAMENTOS, INYECTOLOGIA  Y CANALIZACION ",IF(O229=CURSOS!$D$20,"OPERADOR DE VEHICULOS DE EMERGENCIA (OVE)",IF(O229=CURSOS!$D$21,"INSTITUCIONES AMIGAS DE LA MUJER Y LA INFANCIA (IAMI)",IF(O229=CURSOS!$D$22,"CUIDADO DEL DONANTE DE ORGANOS",IF(O229=CURSOS!$D$23,"ATENCION A VICTIMAS POR VIOLENCIA DE GENERO",IF(O229=CURSOS!$D$24,"IGUALDAD DE GENERO EN LA SALUD",IF(O229=CURSOS!$D$25,"BRIGADA DE EMERGENCIA",IF(O229=CURSOS!$D$26,"MANEJO DEL DOLOR Y CUIDADOS PALIATIVOS",IF(O229=CURSOS!$D$27,"TOMA DE MUESTRAS Y LABORATORIO POCT",IF(O229=CURSOS!$D$28,"IMPLANTE SUBDERMICO DE DISPOSITIVO INTRAUTERINO",IF(O229=CURSOS!$D$29,"SALUD MENTAL",IF(O229=CURSOS!$D$30,"PRIMEROS AUXILIOS PSICOLOGICOS",IF(O229=CURSOS!$D$31,"ATENCION A VICTIMAS POR CONFLICTO ARMADO",IF(O229=CURSOS!$D$32,"MANIPULACION DE ALIMENTOS Y BPM",IF(O229=CURSOS!$D$33,"ATENCION A PERSONAS CON DISCAPACIDAD",IF(O229=CURSOS!$D$34,"CUIDADO INTEGRAL DEL PACIENTE ADULTO",IF(O229=CURSOS!$D$35,"MANEJO DEFENSIVO",IF(O229=CURSOS!$D$36,"SOPORTE CARDIOVASCULAR AVANZADO NEONATAL",IF(O229=CURSOS!$D$37,"SEGURIDAD DEL PACIENTE",IF(O229=CURSOS!$D$38,"MANEJO DE RESIDUOS HOSPITALARIOS"))))))))))))))))))))))))))))))))))))</f>
        <v>ATENCION INTEGRAL EN ENFERMEDADES PREVALENTES EN PRIMERA INFANCIA (AIEPI)</v>
      </c>
      <c r="V229" s="47" t="str">
        <f t="shared" si="15"/>
        <v>Claudia Yomaira Caicedo Patiño</v>
      </c>
      <c r="W229" s="47" t="str">
        <f t="shared" si="16"/>
        <v>Claudia Yomaira Caicedo Patiño</v>
      </c>
      <c r="X229" s="47" t="str">
        <f t="shared" si="17"/>
        <v>Claudia Yomaira Caicedo Patiño-1087413838-AIEPI</v>
      </c>
    </row>
    <row r="230" spans="1:24" x14ac:dyDescent="0.2">
      <c r="A230" s="46">
        <v>229</v>
      </c>
      <c r="B230" s="54">
        <v>13069636</v>
      </c>
      <c r="C230" s="54" t="s">
        <v>380</v>
      </c>
      <c r="D230" s="54" t="s">
        <v>332</v>
      </c>
      <c r="E230" s="54" t="s">
        <v>117</v>
      </c>
      <c r="F230" s="54" t="s">
        <v>381</v>
      </c>
      <c r="G230" s="54">
        <v>27</v>
      </c>
      <c r="H230" s="54" t="s">
        <v>100</v>
      </c>
      <c r="I230" s="55" t="s">
        <v>92</v>
      </c>
      <c r="J230" s="56" t="s">
        <v>487</v>
      </c>
      <c r="K230" s="108">
        <v>70000</v>
      </c>
      <c r="L230" s="54" t="s">
        <v>139</v>
      </c>
      <c r="M230" s="54" t="s">
        <v>80</v>
      </c>
      <c r="N230" s="54" t="s">
        <v>90</v>
      </c>
      <c r="O230" s="43" t="s">
        <v>25</v>
      </c>
      <c r="P230" s="55">
        <v>29041</v>
      </c>
      <c r="Q230" s="54" t="s">
        <v>148</v>
      </c>
      <c r="R230" s="82" t="s">
        <v>208</v>
      </c>
      <c r="S230" s="54">
        <v>3158303076</v>
      </c>
      <c r="T230" s="54" t="s">
        <v>382</v>
      </c>
      <c r="U230" s="47" t="str">
        <f>IF(O230=CURSOS!$D$3,"DIPLOMADO EN ATENCION PRE-HOSPITALARIA",IF(O230=CURSOS!$D$4,"ACOMPAÑAMIENTO Y MANEJO DEL DUELO",IF(O230=CURSOS!$D$5,"ATENCION A VICTIMAS DE ATAQUE CON AGENTES QUIMICOS ",IF(O230=CURSOS!$D$6,"PRIMEROS AUXILIOS ",IF(O230=CURSOS!$D$7,"DIPLOMADO DE UNIDAD DE CUIDADOS INTENSIVOS (UCI)",IF(O230=CURSOS!$D$8,"MODELO DE ATENCION PARA EVENTOS EMERGENTES EN SALUD MENTAL (CODIGO VERDE)",IF(O230=CURSOS!$D$9,"HUMANIZACION EN EL SERVICIO DE LA SALUD Y BUENAS PRACTICAS EN PACIENTE ",IF(O230=CURSOS!$D$10,"CLINICA DE HERIDAS ",IF(O230=CURSOS!$D$11,"TOMA DE CITOLOGIA CERVICO VAGINAL ",IF(O230=CURSOS!$D$12,"SOPORTE CARDIOVASCULAR AVANZADO (ACLS) ",IF(O230=CURSOS!$D$13,"CAMILLERO ",IF(O230=CURSOS!$D$14,"TOMA DE MUESTRAS Y LABORATORIO ",IF(O230=CURSOS!$D$15,"SOPORTE VITAL BASICO (BLS)",IF(O230=CURSOS!$D$16,"ATENCION A VICTIMAS DE VIOLENCIA SEXUAL ",IF(O230=CURSOS!$D$17,"PROGRAMADO AMPLIADO DE INMUNIZACION (PAI - COVID 19)",IF(O230=CURSOS!$D$18,"ATENCION INTEGRAL EN ENFERMEDADES PREVALENTES EN PRIMERA INFANCIA (AIEPI)",IF(O230=CURSOS!$D$19,"ADMINISTRACION DE MEDICAMENTOS, INYECTOLOGIA  Y CANALIZACION ",IF(O230=CURSOS!$D$20,"OPERADOR DE VEHICULOS DE EMERGENCIA (OVE)",IF(O230=CURSOS!$D$21,"INSTITUCIONES AMIGAS DE LA MUJER Y LA INFANCIA (IAMI)",IF(O230=CURSOS!$D$22,"CUIDADO DEL DONANTE DE ORGANOS",IF(O230=CURSOS!$D$23,"ATENCION A VICTIMAS POR VIOLENCIA DE GENERO",IF(O230=CURSOS!$D$24,"IGUALDAD DE GENERO EN LA SALUD",IF(O230=CURSOS!$D$25,"BRIGADA DE EMERGENCIA",IF(O230=CURSOS!$D$26,"MANEJO DEL DOLOR Y CUIDADOS PALIATIVOS",IF(O230=CURSOS!$D$27,"TOMA DE MUESTRAS Y LABORATORIO POCT",IF(O230=CURSOS!$D$28,"IMPLANTE SUBDERMICO DE DISPOSITIVO INTRAUTERINO",IF(O230=CURSOS!$D$29,"SALUD MENTAL",IF(O230=CURSOS!$D$30,"PRIMEROS AUXILIOS PSICOLOGICOS",IF(O230=CURSOS!$D$31,"ATENCION A VICTIMAS POR CONFLICTO ARMADO",IF(O230=CURSOS!$D$32,"MANIPULACION DE ALIMENTOS Y BPM",IF(O230=CURSOS!$D$33,"ATENCION A PERSONAS CON DISCAPACIDAD",IF(O230=CURSOS!$D$34,"CUIDADO INTEGRAL DEL PACIENTE ADULTO",IF(O230=CURSOS!$D$35,"MANEJO DEFENSIVO",IF(O230=CURSOS!$D$36,"SOPORTE CARDIOVASCULAR AVANZADO NEONATAL",IF(O230=CURSOS!$D$37,"SEGURIDAD DEL PACIENTE",IF(O230=CURSOS!$D$38,"MANEJO DE RESIDUOS HOSPITALARIOS"))))))))))))))))))))))))))))))))))))</f>
        <v xml:space="preserve">ATENCION A VICTIMAS DE ATAQUE CON AGENTES QUIMICOS </v>
      </c>
      <c r="V230" s="47" t="str">
        <f t="shared" si="15"/>
        <v>Juan Pablo Madroñero Muñoz</v>
      </c>
      <c r="W230" s="47" t="str">
        <f t="shared" si="16"/>
        <v>Juan Pablo Madroñero Muñoz</v>
      </c>
      <c r="X230" s="47" t="str">
        <f t="shared" si="17"/>
        <v>Juan Pablo Madroñero Muñoz-13069636-QUIMICOS</v>
      </c>
    </row>
    <row r="231" spans="1:24" x14ac:dyDescent="0.2">
      <c r="A231" s="46">
        <v>230</v>
      </c>
      <c r="B231" s="54">
        <v>13069636</v>
      </c>
      <c r="C231" s="54" t="s">
        <v>380</v>
      </c>
      <c r="D231" s="54" t="s">
        <v>332</v>
      </c>
      <c r="E231" s="54" t="s">
        <v>117</v>
      </c>
      <c r="F231" s="54" t="s">
        <v>381</v>
      </c>
      <c r="G231" s="54">
        <v>21</v>
      </c>
      <c r="H231" s="54" t="s">
        <v>100</v>
      </c>
      <c r="I231" s="55" t="s">
        <v>92</v>
      </c>
      <c r="J231" s="56">
        <v>45625</v>
      </c>
      <c r="K231" s="108">
        <v>70000</v>
      </c>
      <c r="L231" s="54" t="s">
        <v>139</v>
      </c>
      <c r="M231" s="54" t="s">
        <v>80</v>
      </c>
      <c r="N231" s="54" t="s">
        <v>90</v>
      </c>
      <c r="O231" s="43" t="s">
        <v>23</v>
      </c>
      <c r="P231" s="55">
        <v>29041</v>
      </c>
      <c r="Q231" s="54" t="s">
        <v>148</v>
      </c>
      <c r="R231" s="82" t="s">
        <v>208</v>
      </c>
      <c r="S231" s="54">
        <v>3158303076</v>
      </c>
      <c r="T231" s="54" t="s">
        <v>382</v>
      </c>
      <c r="U231" s="47" t="str">
        <f>IF(O231=CURSOS!$D$3,"DIPLOMADO EN ATENCION PRE-HOSPITALARIA",IF(O231=CURSOS!$D$4,"ACOMPAÑAMIENTO Y MANEJO DEL DUELO",IF(O231=CURSOS!$D$5,"ATENCION A VICTIMAS DE ATAQUE CON AGENTES QUIMICOS ",IF(O231=CURSOS!$D$6,"PRIMEROS AUXILIOS ",IF(O231=CURSOS!$D$7,"DIPLOMADO DE UNIDAD DE CUIDADOS INTENSIVOS (UCI)",IF(O231=CURSOS!$D$8,"MODELO DE ATENCION PARA EVENTOS EMERGENTES EN SALUD MENTAL (CODIGO VERDE)",IF(O231=CURSOS!$D$9,"HUMANIZACION EN EL SERVICIO DE LA SALUD Y BUENAS PRACTICAS EN PACIENTE ",IF(O231=CURSOS!$D$10,"CLINICA DE HERIDAS ",IF(O231=CURSOS!$D$11,"TOMA DE CITOLOGIA CERVICO VAGINAL ",IF(O231=CURSOS!$D$12,"SOPORTE CARDIOVASCULAR AVANZADO (ACLS) ",IF(O231=CURSOS!$D$13,"CAMILLERO ",IF(O231=CURSOS!$D$14,"TOMA DE MUESTRAS Y LABORATORIO ",IF(O231=CURSOS!$D$15,"SOPORTE VITAL BASICO (BLS)",IF(O231=CURSOS!$D$16,"ATENCION A VICTIMAS DE VIOLENCIA SEXUAL ",IF(O231=CURSOS!$D$17,"PROGRAMADO AMPLIADO DE INMUNIZACION (PAI - COVID 19)",IF(O231=CURSOS!$D$18,"ATENCION INTEGRAL EN ENFERMEDADES PREVALENTES EN PRIMERA INFANCIA (AIEPI)",IF(O231=CURSOS!$D$19,"ADMINISTRACION DE MEDICAMENTOS, INYECTOLOGIA  Y CANALIZACION ",IF(O231=CURSOS!$D$20,"OPERADOR DE VEHICULOS DE EMERGENCIA (OVE)",IF(O231=CURSOS!$D$21,"INSTITUCIONES AMIGAS DE LA MUJER Y LA INFANCIA (IAMI)",IF(O231=CURSOS!$D$22,"CUIDADO DEL DONANTE DE ORGANOS",IF(O231=CURSOS!$D$23,"ATENCION A VICTIMAS POR VIOLENCIA DE GENERO",IF(O231=CURSOS!$D$24,"IGUALDAD DE GENERO EN LA SALUD",IF(O231=CURSOS!$D$25,"BRIGADA DE EMERGENCIA",IF(O231=CURSOS!$D$26,"MANEJO DEL DOLOR Y CUIDADOS PALIATIVOS",IF(O231=CURSOS!$D$27,"TOMA DE MUESTRAS Y LABORATORIO POCT",IF(O231=CURSOS!$D$28,"IMPLANTE SUBDERMICO DE DISPOSITIVO INTRAUTERINO",IF(O231=CURSOS!$D$29,"SALUD MENTAL",IF(O231=CURSOS!$D$30,"PRIMEROS AUXILIOS PSICOLOGICOS",IF(O231=CURSOS!$D$31,"ATENCION A VICTIMAS POR CONFLICTO ARMADO",IF(O231=CURSOS!$D$32,"MANIPULACION DE ALIMENTOS Y BPM",IF(O231=CURSOS!$D$33,"ATENCION A PERSONAS CON DISCAPACIDAD",IF(O231=CURSOS!$D$34,"CUIDADO INTEGRAL DEL PACIENTE ADULTO",IF(O231=CURSOS!$D$35,"MANEJO DEFENSIVO",IF(O231=CURSOS!$D$36,"SOPORTE CARDIOVASCULAR AVANZADO NEONATAL",IF(O231=CURSOS!$D$37,"SEGURIDAD DEL PACIENTE",IF(O231=CURSOS!$D$38,"MANEJO DE RESIDUOS HOSPITALARIOS"))))))))))))))))))))))))))))))))))))</f>
        <v>ACOMPAÑAMIENTO Y MANEJO DEL DUELO</v>
      </c>
      <c r="V231" s="47" t="str">
        <f t="shared" si="15"/>
        <v>Juan Pablo Madroñero Muñoz</v>
      </c>
      <c r="W231" s="47" t="str">
        <f t="shared" si="16"/>
        <v>Juan Pablo Madroñero Muñoz</v>
      </c>
      <c r="X231" s="47" t="str">
        <f t="shared" si="17"/>
        <v>Juan Pablo Madroñero Muñoz-13069636-DUELO</v>
      </c>
    </row>
    <row r="232" spans="1:24" x14ac:dyDescent="0.2">
      <c r="A232" s="46">
        <v>231</v>
      </c>
      <c r="B232" s="43">
        <v>18195429</v>
      </c>
      <c r="C232" s="43" t="s">
        <v>205</v>
      </c>
      <c r="D232" s="43" t="s">
        <v>174</v>
      </c>
      <c r="E232" s="43" t="s">
        <v>488</v>
      </c>
      <c r="F232" s="43" t="s">
        <v>489</v>
      </c>
      <c r="G232" s="43">
        <v>29</v>
      </c>
      <c r="H232" s="43" t="s">
        <v>100</v>
      </c>
      <c r="I232" s="43" t="s">
        <v>146</v>
      </c>
      <c r="J232" s="56">
        <v>45625</v>
      </c>
      <c r="K232" s="108">
        <v>20000</v>
      </c>
      <c r="L232" s="43" t="s">
        <v>139</v>
      </c>
      <c r="M232" s="43" t="s">
        <v>80</v>
      </c>
      <c r="N232" s="43" t="s">
        <v>90</v>
      </c>
      <c r="O232" s="43" t="s">
        <v>19</v>
      </c>
      <c r="P232" s="55">
        <v>30935</v>
      </c>
      <c r="Q232" s="43" t="s">
        <v>89</v>
      </c>
      <c r="R232" s="43" t="s">
        <v>189</v>
      </c>
      <c r="S232" s="43">
        <v>3206719171</v>
      </c>
      <c r="T232" s="105" t="s">
        <v>490</v>
      </c>
      <c r="U232" s="47" t="str">
        <f>IF(O232=CURSOS!$D$3,"DIPLOMADO EN ATENCION PRE-HOSPITALARIA",IF(O232=CURSOS!$D$4,"ACOMPAÑAMIENTO Y MANEJO DEL DUELO",IF(O232=CURSOS!$D$5,"ATENCION A VICTIMAS DE ATAQUE CON AGENTES QUIMICOS ",IF(O232=CURSOS!$D$6,"PRIMEROS AUXILIOS ",IF(O232=CURSOS!$D$7,"DIPLOMADO DE UNIDAD DE CUIDADOS INTENSIVOS (UCI)",IF(O232=CURSOS!$D$8,"MODELO DE ATENCION PARA EVENTOS EMERGENTES EN SALUD MENTAL (CODIGO VERDE)",IF(O232=CURSOS!$D$9,"HUMANIZACION EN EL SERVICIO DE LA SALUD Y BUENAS PRACTICAS EN PACIENTE ",IF(O232=CURSOS!$D$10,"CLINICA DE HERIDAS ",IF(O232=CURSOS!$D$11,"TOMA DE CITOLOGIA CERVICO VAGINAL ",IF(O232=CURSOS!$D$12,"SOPORTE CARDIOVASCULAR AVANZADO (ACLS) ",IF(O232=CURSOS!$D$13,"CAMILLERO ",IF(O232=CURSOS!$D$14,"TOMA DE MUESTRAS Y LABORATORIO ",IF(O232=CURSOS!$D$15,"SOPORTE VITAL BASICO (BLS)",IF(O232=CURSOS!$D$16,"ATENCION A VICTIMAS DE VIOLENCIA SEXUAL ",IF(O232=CURSOS!$D$17,"PROGRAMADO AMPLIADO DE INMUNIZACION (PAI - COVID 19)",IF(O232=CURSOS!$D$18,"ATENCION INTEGRAL EN ENFERMEDADES PREVALENTES EN PRIMERA INFANCIA (AIEPI)",IF(O232=CURSOS!$D$19,"ADMINISTRACION DE MEDICAMENTOS, INYECTOLOGIA  Y CANALIZACION ",IF(O232=CURSOS!$D$20,"OPERADOR DE VEHICULOS DE EMERGENCIA (OVE)",IF(O232=CURSOS!$D$21,"INSTITUCIONES AMIGAS DE LA MUJER Y LA INFANCIA (IAMI)",IF(O232=CURSOS!$D$22,"CUIDADO DEL DONANTE DE ORGANOS",IF(O232=CURSOS!$D$23,"ATENCION A VICTIMAS POR VIOLENCIA DE GENERO",IF(O232=CURSOS!$D$24,"IGUALDAD DE GENERO EN LA SALUD",IF(O232=CURSOS!$D$25,"BRIGADA DE EMERGENCIA",IF(O232=CURSOS!$D$26,"MANEJO DEL DOLOR Y CUIDADOS PALIATIVOS",IF(O232=CURSOS!$D$27,"TOMA DE MUESTRAS Y LABORATORIO POCT",IF(O232=CURSOS!$D$28,"IMPLANTE SUBDERMICO DE DISPOSITIVO INTRAUTERINO",IF(O232=CURSOS!$D$29,"SALUD MENTAL",IF(O232=CURSOS!$D$30,"PRIMEROS AUXILIOS PSICOLOGICOS",IF(O232=CURSOS!$D$31,"ATENCION A VICTIMAS POR CONFLICTO ARMADO",IF(O232=CURSOS!$D$32,"MANIPULACION DE ALIMENTOS Y BPM",IF(O232=CURSOS!$D$33,"ATENCION A PERSONAS CON DISCAPACIDAD",IF(O232=CURSOS!$D$34,"CUIDADO INTEGRAL DEL PACIENTE ADULTO",IF(O232=CURSOS!$D$35,"MANEJO DEFENSIVO",IF(O232=CURSOS!$D$36,"SOPORTE CARDIOVASCULAR AVANZADO NEONATAL",IF(O232=CURSOS!$D$37,"SEGURIDAD DEL PACIENTE",IF(O232=CURSOS!$D$38,"MANEJO DE RESIDUOS HOSPITALARIOS"))))))))))))))))))))))))))))))))))))</f>
        <v>SOPORTE VITAL BASICO (BLS)</v>
      </c>
      <c r="V232" s="47" t="str">
        <f t="shared" si="15"/>
        <v>Yohan Jairo Andrade Ramos</v>
      </c>
      <c r="W232" s="47" t="str">
        <f t="shared" si="16"/>
        <v>Yohan Jairo Andrade Ramos</v>
      </c>
      <c r="X232" s="47" t="str">
        <f t="shared" si="17"/>
        <v>Yohan Jairo Andrade Ramos-18195429-BLS</v>
      </c>
    </row>
    <row r="233" spans="1:24" x14ac:dyDescent="0.2">
      <c r="A233" s="46">
        <v>232</v>
      </c>
      <c r="B233" s="43">
        <v>1085323518</v>
      </c>
      <c r="C233" s="43" t="s">
        <v>130</v>
      </c>
      <c r="D233" s="43" t="s">
        <v>123</v>
      </c>
      <c r="E233" s="43" t="s">
        <v>491</v>
      </c>
      <c r="F233" s="43" t="s">
        <v>223</v>
      </c>
      <c r="G233" s="43">
        <v>5</v>
      </c>
      <c r="H233" s="43" t="s">
        <v>492</v>
      </c>
      <c r="I233" s="43" t="s">
        <v>146</v>
      </c>
      <c r="J233" s="56">
        <v>45625</v>
      </c>
      <c r="K233" s="108">
        <v>65000</v>
      </c>
      <c r="L233" s="43" t="s">
        <v>235</v>
      </c>
      <c r="M233" s="43" t="s">
        <v>80</v>
      </c>
      <c r="N233" s="43" t="s">
        <v>90</v>
      </c>
      <c r="O233" s="43" t="s">
        <v>37</v>
      </c>
      <c r="P233" s="55">
        <v>34964</v>
      </c>
      <c r="Q233" s="43" t="s">
        <v>148</v>
      </c>
      <c r="R233" s="43" t="s">
        <v>255</v>
      </c>
      <c r="S233" s="43">
        <v>3153123933</v>
      </c>
      <c r="T233" s="105" t="s">
        <v>493</v>
      </c>
      <c r="U233" s="47" t="str">
        <f>IF(O233=CURSOS!$D$3,"DIPLOMADO EN ATENCION PRE-HOSPITALARIA",IF(O233=CURSOS!$D$4,"ACOMPAÑAMIENTO Y MANEJO DEL DUELO",IF(O233=CURSOS!$D$5,"ATENCION A VICTIMAS DE ATAQUE CON AGENTES QUIMICOS ",IF(O233=CURSOS!$D$6,"PRIMEROS AUXILIOS ",IF(O233=CURSOS!$D$7,"DIPLOMADO DE UNIDAD DE CUIDADOS INTENSIVOS (UCI)",IF(O233=CURSOS!$D$8,"MODELO DE ATENCION PARA EVENTOS EMERGENTES EN SALUD MENTAL (CODIGO VERDE)",IF(O233=CURSOS!$D$9,"HUMANIZACION EN EL SERVICIO DE LA SALUD Y BUENAS PRACTICAS EN PACIENTE ",IF(O233=CURSOS!$D$10,"CLINICA DE HERIDAS ",IF(O233=CURSOS!$D$11,"TOMA DE CITOLOGIA CERVICO VAGINAL ",IF(O233=CURSOS!$D$12,"SOPORTE CARDIOVASCULAR AVANZADO (ACLS) ",IF(O233=CURSOS!$D$13,"CAMILLERO ",IF(O233=CURSOS!$D$14,"TOMA DE MUESTRAS Y LABORATORIO ",IF(O233=CURSOS!$D$15,"SOPORTE VITAL BASICO (BLS)",IF(O233=CURSOS!$D$16,"ATENCION A VICTIMAS DE VIOLENCIA SEXUAL ",IF(O233=CURSOS!$D$17,"PROGRAMADO AMPLIADO DE INMUNIZACION (PAI - COVID 19)",IF(O233=CURSOS!$D$18,"ATENCION INTEGRAL EN ENFERMEDADES PREVALENTES EN PRIMERA INFANCIA (AIEPI)",IF(O233=CURSOS!$D$19,"ADMINISTRACION DE MEDICAMENTOS, INYECTOLOGIA  Y CANALIZACION ",IF(O233=CURSOS!$D$20,"OPERADOR DE VEHICULOS DE EMERGENCIA (OVE)",IF(O233=CURSOS!$D$21,"INSTITUCIONES AMIGAS DE LA MUJER Y LA INFANCIA (IAMI)",IF(O233=CURSOS!$D$22,"CUIDADO DEL DONANTE DE ORGANOS",IF(O233=CURSOS!$D$23,"ATENCION A VICTIMAS POR VIOLENCIA DE GENERO",IF(O233=CURSOS!$D$24,"IGUALDAD DE GENERO EN LA SALUD",IF(O233=CURSOS!$D$25,"BRIGADA DE EMERGENCIA",IF(O233=CURSOS!$D$26,"MANEJO DEL DOLOR Y CUIDADOS PALIATIVOS",IF(O233=CURSOS!$D$27,"TOMA DE MUESTRAS Y LABORATORIO POCT",IF(O233=CURSOS!$D$28,"IMPLANTE SUBDERMICO DE DISPOSITIVO INTRAUTERINO",IF(O233=CURSOS!$D$29,"SALUD MENTAL",IF(O233=CURSOS!$D$30,"PRIMEROS AUXILIOS PSICOLOGICOS",IF(O233=CURSOS!$D$31,"ATENCION A VICTIMAS POR CONFLICTO ARMADO",IF(O233=CURSOS!$D$32,"MANIPULACION DE ALIMENTOS Y BPM",IF(O233=CURSOS!$D$33,"ATENCION A PERSONAS CON DISCAPACIDAD",IF(O233=CURSOS!$D$34,"CUIDADO INTEGRAL DEL PACIENTE ADULTO",IF(O233=CURSOS!$D$35,"MANEJO DEFENSIVO",IF(O233=CURSOS!$D$36,"SOPORTE CARDIOVASCULAR AVANZADO NEONATAL",IF(O233=CURSOS!$D$37,"SEGURIDAD DEL PACIENTE",IF(O233=CURSOS!$D$38,"MANEJO DE RESIDUOS HOSPITALARIOS"))))))))))))))))))))))))))))))))))))</f>
        <v xml:space="preserve">SOPORTE CARDIOVASCULAR AVANZADO (ACLS) </v>
      </c>
      <c r="V233" s="47" t="str">
        <f t="shared" si="15"/>
        <v>Carlos Andres Rosero Benavides</v>
      </c>
      <c r="W233" s="47" t="str">
        <f t="shared" si="16"/>
        <v>Carlos Andres Rosero Benavides</v>
      </c>
      <c r="X233" s="47" t="str">
        <f t="shared" si="17"/>
        <v>Carlos Andres Rosero Benavides-1085323518-ACLS</v>
      </c>
    </row>
    <row r="234" spans="1:24" x14ac:dyDescent="0.2">
      <c r="A234" s="46">
        <v>233</v>
      </c>
      <c r="B234" s="43">
        <v>1085339869</v>
      </c>
      <c r="C234" s="43" t="s">
        <v>271</v>
      </c>
      <c r="D234" s="43" t="s">
        <v>422</v>
      </c>
      <c r="E234" s="43" t="s">
        <v>494</v>
      </c>
      <c r="F234" s="43" t="s">
        <v>121</v>
      </c>
      <c r="G234" s="43">
        <v>5</v>
      </c>
      <c r="H234" s="43" t="s">
        <v>492</v>
      </c>
      <c r="I234" s="43" t="s">
        <v>146</v>
      </c>
      <c r="J234" s="56">
        <v>45625</v>
      </c>
      <c r="K234" s="108">
        <v>65000</v>
      </c>
      <c r="L234" s="43" t="s">
        <v>235</v>
      </c>
      <c r="M234" s="43" t="s">
        <v>80</v>
      </c>
      <c r="N234" s="43" t="s">
        <v>90</v>
      </c>
      <c r="O234" s="43" t="s">
        <v>37</v>
      </c>
      <c r="P234" s="55">
        <v>35865</v>
      </c>
      <c r="Q234" s="43" t="s">
        <v>89</v>
      </c>
      <c r="R234" s="43" t="s">
        <v>255</v>
      </c>
      <c r="S234" s="43">
        <v>3158927601</v>
      </c>
      <c r="T234" s="105" t="s">
        <v>495</v>
      </c>
      <c r="U234" s="47" t="str">
        <f>IF(O234=CURSOS!$D$3,"DIPLOMADO EN ATENCION PRE-HOSPITALARIA",IF(O234=CURSOS!$D$4,"ACOMPAÑAMIENTO Y MANEJO DEL DUELO",IF(O234=CURSOS!$D$5,"ATENCION A VICTIMAS DE ATAQUE CON AGENTES QUIMICOS ",IF(O234=CURSOS!$D$6,"PRIMEROS AUXILIOS ",IF(O234=CURSOS!$D$7,"DIPLOMADO DE UNIDAD DE CUIDADOS INTENSIVOS (UCI)",IF(O234=CURSOS!$D$8,"MODELO DE ATENCION PARA EVENTOS EMERGENTES EN SALUD MENTAL (CODIGO VERDE)",IF(O234=CURSOS!$D$9,"HUMANIZACION EN EL SERVICIO DE LA SALUD Y BUENAS PRACTICAS EN PACIENTE ",IF(O234=CURSOS!$D$10,"CLINICA DE HERIDAS ",IF(O234=CURSOS!$D$11,"TOMA DE CITOLOGIA CERVICO VAGINAL ",IF(O234=CURSOS!$D$12,"SOPORTE CARDIOVASCULAR AVANZADO (ACLS) ",IF(O234=CURSOS!$D$13,"CAMILLERO ",IF(O234=CURSOS!$D$14,"TOMA DE MUESTRAS Y LABORATORIO ",IF(O234=CURSOS!$D$15,"SOPORTE VITAL BASICO (BLS)",IF(O234=CURSOS!$D$16,"ATENCION A VICTIMAS DE VIOLENCIA SEXUAL ",IF(O234=CURSOS!$D$17,"PROGRAMADO AMPLIADO DE INMUNIZACION (PAI - COVID 19)",IF(O234=CURSOS!$D$18,"ATENCION INTEGRAL EN ENFERMEDADES PREVALENTES EN PRIMERA INFANCIA (AIEPI)",IF(O234=CURSOS!$D$19,"ADMINISTRACION DE MEDICAMENTOS, INYECTOLOGIA  Y CANALIZACION ",IF(O234=CURSOS!$D$20,"OPERADOR DE VEHICULOS DE EMERGENCIA (OVE)",IF(O234=CURSOS!$D$21,"INSTITUCIONES AMIGAS DE LA MUJER Y LA INFANCIA (IAMI)",IF(O234=CURSOS!$D$22,"CUIDADO DEL DONANTE DE ORGANOS",IF(O234=CURSOS!$D$23,"ATENCION A VICTIMAS POR VIOLENCIA DE GENERO",IF(O234=CURSOS!$D$24,"IGUALDAD DE GENERO EN LA SALUD",IF(O234=CURSOS!$D$25,"BRIGADA DE EMERGENCIA",IF(O234=CURSOS!$D$26,"MANEJO DEL DOLOR Y CUIDADOS PALIATIVOS",IF(O234=CURSOS!$D$27,"TOMA DE MUESTRAS Y LABORATORIO POCT",IF(O234=CURSOS!$D$28,"IMPLANTE SUBDERMICO DE DISPOSITIVO INTRAUTERINO",IF(O234=CURSOS!$D$29,"SALUD MENTAL",IF(O234=CURSOS!$D$30,"PRIMEROS AUXILIOS PSICOLOGICOS",IF(O234=CURSOS!$D$31,"ATENCION A VICTIMAS POR CONFLICTO ARMADO",IF(O234=CURSOS!$D$32,"MANIPULACION DE ALIMENTOS Y BPM",IF(O234=CURSOS!$D$33,"ATENCION A PERSONAS CON DISCAPACIDAD",IF(O234=CURSOS!$D$34,"CUIDADO INTEGRAL DEL PACIENTE ADULTO",IF(O234=CURSOS!$D$35,"MANEJO DEFENSIVO",IF(O234=CURSOS!$D$36,"SOPORTE CARDIOVASCULAR AVANZADO NEONATAL",IF(O234=CURSOS!$D$37,"SEGURIDAD DEL PACIENTE",IF(O234=CURSOS!$D$38,"MANEJO DE RESIDUOS HOSPITALARIOS"))))))))))))))))))))))))))))))))))))</f>
        <v xml:space="preserve">SOPORTE CARDIOVASCULAR AVANZADO (ACLS) </v>
      </c>
      <c r="V234" s="47" t="str">
        <f t="shared" si="15"/>
        <v>Sara Paola Fajardo Pantoja</v>
      </c>
      <c r="W234" s="47" t="str">
        <f t="shared" si="16"/>
        <v>Sara Paola Fajardo Pantoja</v>
      </c>
      <c r="X234" s="47" t="str">
        <f t="shared" si="17"/>
        <v>Sara Paola Fajardo Pantoja-1085339869-ACLS</v>
      </c>
    </row>
    <row r="235" spans="1:24" x14ac:dyDescent="0.2">
      <c r="A235" s="95">
        <v>234</v>
      </c>
      <c r="B235" s="62">
        <v>1085339869</v>
      </c>
      <c r="C235" s="62" t="s">
        <v>271</v>
      </c>
      <c r="D235" s="62" t="s">
        <v>422</v>
      </c>
      <c r="E235" s="62" t="s">
        <v>494</v>
      </c>
      <c r="F235" s="62" t="s">
        <v>121</v>
      </c>
      <c r="G235" s="62">
        <v>5</v>
      </c>
      <c r="H235" s="62" t="s">
        <v>492</v>
      </c>
      <c r="I235" s="62" t="s">
        <v>146</v>
      </c>
      <c r="J235" s="74">
        <v>45625</v>
      </c>
      <c r="K235" s="110">
        <v>0</v>
      </c>
      <c r="L235" s="62" t="s">
        <v>235</v>
      </c>
      <c r="M235" s="62" t="s">
        <v>80</v>
      </c>
      <c r="N235" s="62" t="s">
        <v>90</v>
      </c>
      <c r="O235" s="62" t="s">
        <v>19</v>
      </c>
      <c r="P235" s="61">
        <v>35865</v>
      </c>
      <c r="Q235" s="62" t="s">
        <v>89</v>
      </c>
      <c r="R235" s="62" t="s">
        <v>255</v>
      </c>
      <c r="S235" s="62">
        <v>3158927601</v>
      </c>
      <c r="T235" s="107" t="s">
        <v>495</v>
      </c>
      <c r="U235" s="64" t="str">
        <f>IF(O235=CURSOS!$D$3,"DIPLOMADO EN ATENCION PRE-HOSPITALARIA",IF(O235=CURSOS!$D$4,"ACOMPAÑAMIENTO Y MANEJO DEL DUELO",IF(O235=CURSOS!$D$5,"ATENCION A VICTIMAS DE ATAQUE CON AGENTES QUIMICOS ",IF(O235=CURSOS!$D$6,"PRIMEROS AUXILIOS ",IF(O235=CURSOS!$D$7,"DIPLOMADO DE UNIDAD DE CUIDADOS INTENSIVOS (UCI)",IF(O235=CURSOS!$D$8,"MODELO DE ATENCION PARA EVENTOS EMERGENTES EN SALUD MENTAL (CODIGO VERDE)",IF(O235=CURSOS!$D$9,"HUMANIZACION EN EL SERVICIO DE LA SALUD Y BUENAS PRACTICAS EN PACIENTE ",IF(O235=CURSOS!$D$10,"CLINICA DE HERIDAS ",IF(O235=CURSOS!$D$11,"TOMA DE CITOLOGIA CERVICO VAGINAL ",IF(O235=CURSOS!$D$12,"SOPORTE CARDIOVASCULAR AVANZADO (ACLS) ",IF(O235=CURSOS!$D$13,"CAMILLERO ",IF(O235=CURSOS!$D$14,"TOMA DE MUESTRAS Y LABORATORIO ",IF(O235=CURSOS!$D$15,"SOPORTE VITAL BASICO (BLS)",IF(O235=CURSOS!$D$16,"ATENCION A VICTIMAS DE VIOLENCIA SEXUAL ",IF(O235=CURSOS!$D$17,"PROGRAMADO AMPLIADO DE INMUNIZACION (PAI - COVID 19)",IF(O235=CURSOS!$D$18,"ATENCION INTEGRAL EN ENFERMEDADES PREVALENTES EN PRIMERA INFANCIA (AIEPI)",IF(O235=CURSOS!$D$19,"ADMINISTRACION DE MEDICAMENTOS, INYECTOLOGIA  Y CANALIZACION ",IF(O235=CURSOS!$D$20,"OPERADOR DE VEHICULOS DE EMERGENCIA (OVE)",IF(O235=CURSOS!$D$21,"INSTITUCIONES AMIGAS DE LA MUJER Y LA INFANCIA (IAMI)",IF(O235=CURSOS!$D$22,"CUIDADO DEL DONANTE DE ORGANOS",IF(O235=CURSOS!$D$23,"ATENCION A VICTIMAS POR VIOLENCIA DE GENERO",IF(O235=CURSOS!$D$24,"IGUALDAD DE GENERO EN LA SALUD",IF(O235=CURSOS!$D$25,"BRIGADA DE EMERGENCIA",IF(O235=CURSOS!$D$26,"MANEJO DEL DOLOR Y CUIDADOS PALIATIVOS",IF(O235=CURSOS!$D$27,"TOMA DE MUESTRAS Y LABORATORIO POCT",IF(O235=CURSOS!$D$28,"IMPLANTE SUBDERMICO DE DISPOSITIVO INTRAUTERINO",IF(O235=CURSOS!$D$29,"SALUD MENTAL",IF(O235=CURSOS!$D$30,"PRIMEROS AUXILIOS PSICOLOGICOS",IF(O235=CURSOS!$D$31,"ATENCION A VICTIMAS POR CONFLICTO ARMADO",IF(O235=CURSOS!$D$32,"MANIPULACION DE ALIMENTOS Y BPM",IF(O235=CURSOS!$D$33,"ATENCION A PERSONAS CON DISCAPACIDAD",IF(O235=CURSOS!$D$34,"CUIDADO INTEGRAL DEL PACIENTE ADULTO",IF(O235=CURSOS!$D$35,"MANEJO DEFENSIVO",IF(O235=CURSOS!$D$36,"SOPORTE CARDIOVASCULAR AVANZADO NEONATAL",IF(O235=CURSOS!$D$37,"SEGURIDAD DEL PACIENTE",IF(O235=CURSOS!$D$38,"MANEJO DE RESIDUOS HOSPITALARIOS"))))))))))))))))))))))))))))))))))))</f>
        <v>SOPORTE VITAL BASICO (BLS)</v>
      </c>
      <c r="V235" s="64" t="str">
        <f t="shared" si="15"/>
        <v>Sara Paola Fajardo Pantoja</v>
      </c>
      <c r="W235" s="64" t="str">
        <f t="shared" si="16"/>
        <v>Sara Paola Fajardo Pantoja</v>
      </c>
      <c r="X235" s="64" t="str">
        <f t="shared" si="17"/>
        <v>Sara Paola Fajardo Pantoja-1085339869-BLS</v>
      </c>
    </row>
    <row r="236" spans="1:24" s="58" customFormat="1" x14ac:dyDescent="0.2">
      <c r="A236" s="46">
        <v>235</v>
      </c>
      <c r="B236" s="43">
        <v>1085323518</v>
      </c>
      <c r="C236" s="43" t="s">
        <v>130</v>
      </c>
      <c r="D236" s="43" t="s">
        <v>123</v>
      </c>
      <c r="E236" s="43" t="s">
        <v>491</v>
      </c>
      <c r="F236" s="43" t="s">
        <v>223</v>
      </c>
      <c r="G236" s="43">
        <v>5</v>
      </c>
      <c r="H236" s="43" t="s">
        <v>492</v>
      </c>
      <c r="I236" s="43" t="s">
        <v>146</v>
      </c>
      <c r="J236" s="56">
        <v>45625</v>
      </c>
      <c r="K236" s="108">
        <v>0</v>
      </c>
      <c r="L236" s="43" t="s">
        <v>235</v>
      </c>
      <c r="M236" s="43" t="s">
        <v>80</v>
      </c>
      <c r="N236" s="43" t="s">
        <v>90</v>
      </c>
      <c r="O236" s="43" t="s">
        <v>19</v>
      </c>
      <c r="P236" s="55">
        <v>34964</v>
      </c>
      <c r="Q236" s="43" t="s">
        <v>148</v>
      </c>
      <c r="R236" s="43" t="s">
        <v>255</v>
      </c>
      <c r="S236" s="43">
        <v>3153123933</v>
      </c>
      <c r="T236" s="105" t="s">
        <v>493</v>
      </c>
      <c r="U236" s="47" t="str">
        <f>IF(O236=CURSOS!$D$3,"DIPLOMADO EN ATENCION PRE-HOSPITALARIA",IF(O236=CURSOS!$D$4,"ACOMPAÑAMIENTO Y MANEJO DEL DUELO",IF(O236=CURSOS!$D$5,"ATENCION A VICTIMAS DE ATAQUE CON AGENTES QUIMICOS ",IF(O236=CURSOS!$D$6,"PRIMEROS AUXILIOS ",IF(O236=CURSOS!$D$7,"DIPLOMADO DE UNIDAD DE CUIDADOS INTENSIVOS (UCI)",IF(O236=CURSOS!$D$8,"MODELO DE ATENCION PARA EVENTOS EMERGENTES EN SALUD MENTAL (CODIGO VERDE)",IF(O236=CURSOS!$D$9,"HUMANIZACION EN EL SERVICIO DE LA SALUD Y BUENAS PRACTICAS EN PACIENTE ",IF(O236=CURSOS!$D$10,"CLINICA DE HERIDAS ",IF(O236=CURSOS!$D$11,"TOMA DE CITOLOGIA CERVICO VAGINAL ",IF(O236=CURSOS!$D$12,"SOPORTE CARDIOVASCULAR AVANZADO (ACLS) ",IF(O236=CURSOS!$D$13,"CAMILLERO ",IF(O236=CURSOS!$D$14,"TOMA DE MUESTRAS Y LABORATORIO ",IF(O236=CURSOS!$D$15,"SOPORTE VITAL BASICO (BLS)",IF(O236=CURSOS!$D$16,"ATENCION A VICTIMAS DE VIOLENCIA SEXUAL ",IF(O236=CURSOS!$D$17,"PROGRAMADO AMPLIADO DE INMUNIZACION (PAI - COVID 19)",IF(O236=CURSOS!$D$18,"ATENCION INTEGRAL EN ENFERMEDADES PREVALENTES EN PRIMERA INFANCIA (AIEPI)",IF(O236=CURSOS!$D$19,"ADMINISTRACION DE MEDICAMENTOS, INYECTOLOGIA  Y CANALIZACION ",IF(O236=CURSOS!$D$20,"OPERADOR DE VEHICULOS DE EMERGENCIA (OVE)",IF(O236=CURSOS!$D$21,"INSTITUCIONES AMIGAS DE LA MUJER Y LA INFANCIA (IAMI)",IF(O236=CURSOS!$D$22,"CUIDADO DEL DONANTE DE ORGANOS",IF(O236=CURSOS!$D$23,"ATENCION A VICTIMAS POR VIOLENCIA DE GENERO",IF(O236=CURSOS!$D$24,"IGUALDAD DE GENERO EN LA SALUD",IF(O236=CURSOS!$D$25,"BRIGADA DE EMERGENCIA",IF(O236=CURSOS!$D$26,"MANEJO DEL DOLOR Y CUIDADOS PALIATIVOS",IF(O236=CURSOS!$D$27,"TOMA DE MUESTRAS Y LABORATORIO POCT",IF(O236=CURSOS!$D$28,"IMPLANTE SUBDERMICO DE DISPOSITIVO INTRAUTERINO",IF(O236=CURSOS!$D$29,"SALUD MENTAL",IF(O236=CURSOS!$D$30,"PRIMEROS AUXILIOS PSICOLOGICOS",IF(O236=CURSOS!$D$31,"ATENCION A VICTIMAS POR CONFLICTO ARMADO",IF(O236=CURSOS!$D$32,"MANIPULACION DE ALIMENTOS Y BPM",IF(O236=CURSOS!$D$33,"ATENCION A PERSONAS CON DISCAPACIDAD",IF(O236=CURSOS!$D$34,"CUIDADO INTEGRAL DEL PACIENTE ADULTO",IF(O236=CURSOS!$D$35,"MANEJO DEFENSIVO",IF(O236=CURSOS!$D$36,"SOPORTE CARDIOVASCULAR AVANZADO NEONATAL",IF(O236=CURSOS!$D$37,"SEGURIDAD DEL PACIENTE",IF(O236=CURSOS!$D$38,"MANEJO DE RESIDUOS HOSPITALARIOS"))))))))))))))))))))))))))))))))))))</f>
        <v>SOPORTE VITAL BASICO (BLS)</v>
      </c>
      <c r="V236" s="47" t="str">
        <f t="shared" si="15"/>
        <v>Carlos Andres Rosero Benavides</v>
      </c>
      <c r="W236" s="47" t="str">
        <f t="shared" si="16"/>
        <v>Carlos Andres Rosero Benavides</v>
      </c>
      <c r="X236" s="47" t="str">
        <f t="shared" si="17"/>
        <v>Carlos Andres Rosero Benavides-1085323518-BLS</v>
      </c>
    </row>
    <row r="237" spans="1:24" s="58" customFormat="1" x14ac:dyDescent="0.2">
      <c r="A237" s="46">
        <v>236</v>
      </c>
      <c r="B237" s="43">
        <v>1088734431</v>
      </c>
      <c r="C237" s="43" t="s">
        <v>498</v>
      </c>
      <c r="D237" s="43" t="s">
        <v>497</v>
      </c>
      <c r="E237" s="43" t="s">
        <v>496</v>
      </c>
      <c r="F237" s="43" t="s">
        <v>452</v>
      </c>
      <c r="G237" s="43">
        <v>30</v>
      </c>
      <c r="H237" s="43" t="s">
        <v>100</v>
      </c>
      <c r="I237" s="43" t="s">
        <v>146</v>
      </c>
      <c r="J237" s="56">
        <v>45626</v>
      </c>
      <c r="K237" s="108">
        <v>28000</v>
      </c>
      <c r="L237" s="43" t="s">
        <v>235</v>
      </c>
      <c r="M237" s="43" t="s">
        <v>501</v>
      </c>
      <c r="N237" s="43" t="s">
        <v>90</v>
      </c>
      <c r="O237" s="43" t="s">
        <v>19</v>
      </c>
      <c r="P237" s="55">
        <v>33404</v>
      </c>
      <c r="Q237" s="43" t="s">
        <v>499</v>
      </c>
      <c r="R237" s="43" t="s">
        <v>189</v>
      </c>
      <c r="S237" s="43">
        <v>3175598170</v>
      </c>
      <c r="T237" s="105" t="s">
        <v>500</v>
      </c>
      <c r="U237" s="47" t="str">
        <f>IF(O237=CURSOS!$D$3,"DIPLOMADO EN ATENCION PRE-HOSPITALARIA",IF(O237=CURSOS!$D$4,"ACOMPAÑAMIENTO Y MANEJO DEL DUELO",IF(O237=CURSOS!$D$5,"ATENCION A VICTIMAS DE ATAQUE CON AGENTES QUIMICOS ",IF(O237=CURSOS!$D$6,"PRIMEROS AUXILIOS ",IF(O237=CURSOS!$D$7,"DIPLOMADO DE UNIDAD DE CUIDADOS INTENSIVOS (UCI)",IF(O237=CURSOS!$D$8,"MODELO DE ATENCION PARA EVENTOS EMERGENTES EN SALUD MENTAL (CODIGO VERDE)",IF(O237=CURSOS!$D$9,"HUMANIZACION EN EL SERVICIO DE LA SALUD Y BUENAS PRACTICAS EN PACIENTE ",IF(O237=CURSOS!$D$10,"CLINICA DE HERIDAS ",IF(O237=CURSOS!$D$11,"TOMA DE CITOLOGIA CERVICO VAGINAL ",IF(O237=CURSOS!$D$12,"SOPORTE CARDIOVASCULAR AVANZADO (ACLS) ",IF(O237=CURSOS!$D$13,"CAMILLERO ",IF(O237=CURSOS!$D$14,"TOMA DE MUESTRAS Y LABORATORIO ",IF(O237=CURSOS!$D$15,"SOPORTE VITAL BASICO (BLS)",IF(O237=CURSOS!$D$16,"ATENCION A VICTIMAS DE VIOLENCIA SEXUAL ",IF(O237=CURSOS!$D$17,"PROGRAMADO AMPLIADO DE INMUNIZACION (PAI - COVID 19)",IF(O237=CURSOS!$D$18,"ATENCION INTEGRAL EN ENFERMEDADES PREVALENTES EN PRIMERA INFANCIA (AIEPI)",IF(O237=CURSOS!$D$19,"ADMINISTRACION DE MEDICAMENTOS, INYECTOLOGIA  Y CANALIZACION ",IF(O237=CURSOS!$D$20,"OPERADOR DE VEHICULOS DE EMERGENCIA (OVE)",IF(O237=CURSOS!$D$21,"INSTITUCIONES AMIGAS DE LA MUJER Y LA INFANCIA (IAMI)",IF(O237=CURSOS!$D$22,"CUIDADO DEL DONANTE DE ORGANOS",IF(O237=CURSOS!$D$23,"ATENCION A VICTIMAS POR VIOLENCIA DE GENERO",IF(O237=CURSOS!$D$24,"IGUALDAD DE GENERO EN LA SALUD",IF(O237=CURSOS!$D$25,"BRIGADA DE EMERGENCIA",IF(O237=CURSOS!$D$26,"MANEJO DEL DOLOR Y CUIDADOS PALIATIVOS",IF(O237=CURSOS!$D$27,"TOMA DE MUESTRAS Y LABORATORIO POCT",IF(O237=CURSOS!$D$28,"IMPLANTE SUBDERMICO DE DISPOSITIVO INTRAUTERINO",IF(O237=CURSOS!$D$29,"SALUD MENTAL",IF(O237=CURSOS!$D$30,"PRIMEROS AUXILIOS PSICOLOGICOS",IF(O237=CURSOS!$D$31,"ATENCION A VICTIMAS POR CONFLICTO ARMADO",IF(O237=CURSOS!$D$32,"MANIPULACION DE ALIMENTOS Y BPM",IF(O237=CURSOS!$D$33,"ATENCION A PERSONAS CON DISCAPACIDAD",IF(O237=CURSOS!$D$34,"CUIDADO INTEGRAL DEL PACIENTE ADULTO",IF(O237=CURSOS!$D$35,"MANEJO DEFENSIVO",IF(O237=CURSOS!$D$36,"SOPORTE CARDIOVASCULAR AVANZADO NEONATAL",IF(O237=CURSOS!$D$37,"SEGURIDAD DEL PACIENTE",IF(O237=CURSOS!$D$38,"MANEJO DE RESIDUOS HOSPITALARIOS"))))))))))))))))))))))))))))))))))))</f>
        <v>SOPORTE VITAL BASICO (BLS)</v>
      </c>
      <c r="V237" s="47" t="str">
        <f t="shared" ref="V237:V239" si="18">CONCATENATE(E237," ",F237," ",C237," ",D237)</f>
        <v>Kelly Rocío Parreño Meza</v>
      </c>
      <c r="W237" s="47" t="str">
        <f t="shared" ref="W237:W239" si="19">PROPER(V237)</f>
        <v>Kelly Rocío Parreño Meza</v>
      </c>
      <c r="X237" s="47" t="str">
        <f t="shared" ref="X237:X239" si="20">CONCATENATE(V237,"-",B237,"-",O237)</f>
        <v>Kelly Rocío Parreño Meza-1088734431-BLS</v>
      </c>
    </row>
    <row r="238" spans="1:24" s="58" customFormat="1" x14ac:dyDescent="0.2">
      <c r="A238" s="46">
        <v>236</v>
      </c>
      <c r="B238" s="43">
        <v>1088734431</v>
      </c>
      <c r="C238" s="43" t="s">
        <v>498</v>
      </c>
      <c r="D238" s="43" t="s">
        <v>497</v>
      </c>
      <c r="E238" s="43" t="s">
        <v>496</v>
      </c>
      <c r="F238" s="43" t="s">
        <v>452</v>
      </c>
      <c r="G238" s="43">
        <v>30</v>
      </c>
      <c r="H238" s="43" t="s">
        <v>100</v>
      </c>
      <c r="I238" s="43" t="s">
        <v>146</v>
      </c>
      <c r="J238" s="56">
        <v>45626</v>
      </c>
      <c r="K238" s="108">
        <v>28000</v>
      </c>
      <c r="L238" s="43" t="s">
        <v>235</v>
      </c>
      <c r="M238" s="43" t="s">
        <v>501</v>
      </c>
      <c r="N238" s="43" t="s">
        <v>90</v>
      </c>
      <c r="O238" s="43" t="s">
        <v>25</v>
      </c>
      <c r="P238" s="55">
        <v>33404</v>
      </c>
      <c r="Q238" s="43" t="s">
        <v>499</v>
      </c>
      <c r="R238" s="43" t="s">
        <v>189</v>
      </c>
      <c r="S238" s="43">
        <v>3175598170</v>
      </c>
      <c r="T238" s="105" t="s">
        <v>500</v>
      </c>
      <c r="U238" s="47" t="str">
        <f>IF(O238=CURSOS!$D$3,"DIPLOMADO EN ATENCION PRE-HOSPITALARIA",IF(O238=CURSOS!$D$4,"ACOMPAÑAMIENTO Y MANEJO DEL DUELO",IF(O238=CURSOS!$D$5,"ATENCION A VICTIMAS DE ATAQUE CON AGENTES QUIMICOS ",IF(O238=CURSOS!$D$6,"PRIMEROS AUXILIOS ",IF(O238=CURSOS!$D$7,"DIPLOMADO DE UNIDAD DE CUIDADOS INTENSIVOS (UCI)",IF(O238=CURSOS!$D$8,"MODELO DE ATENCION PARA EVENTOS EMERGENTES EN SALUD MENTAL (CODIGO VERDE)",IF(O238=CURSOS!$D$9,"HUMANIZACION EN EL SERVICIO DE LA SALUD Y BUENAS PRACTICAS EN PACIENTE ",IF(O238=CURSOS!$D$10,"CLINICA DE HERIDAS ",IF(O238=CURSOS!$D$11,"TOMA DE CITOLOGIA CERVICO VAGINAL ",IF(O238=CURSOS!$D$12,"SOPORTE CARDIOVASCULAR AVANZADO (ACLS) ",IF(O238=CURSOS!$D$13,"CAMILLERO ",IF(O238=CURSOS!$D$14,"TOMA DE MUESTRAS Y LABORATORIO ",IF(O238=CURSOS!$D$15,"SOPORTE VITAL BASICO (BLS)",IF(O238=CURSOS!$D$16,"ATENCION A VICTIMAS DE VIOLENCIA SEXUAL ",IF(O238=CURSOS!$D$17,"PROGRAMADO AMPLIADO DE INMUNIZACION (PAI - COVID 19)",IF(O238=CURSOS!$D$18,"ATENCION INTEGRAL EN ENFERMEDADES PREVALENTES EN PRIMERA INFANCIA (AIEPI)",IF(O238=CURSOS!$D$19,"ADMINISTRACION DE MEDICAMENTOS, INYECTOLOGIA  Y CANALIZACION ",IF(O238=CURSOS!$D$20,"OPERADOR DE VEHICULOS DE EMERGENCIA (OVE)",IF(O238=CURSOS!$D$21,"INSTITUCIONES AMIGAS DE LA MUJER Y LA INFANCIA (IAMI)",IF(O238=CURSOS!$D$22,"CUIDADO DEL DONANTE DE ORGANOS",IF(O238=CURSOS!$D$23,"ATENCION A VICTIMAS POR VIOLENCIA DE GENERO",IF(O238=CURSOS!$D$24,"IGUALDAD DE GENERO EN LA SALUD",IF(O238=CURSOS!$D$25,"BRIGADA DE EMERGENCIA",IF(O238=CURSOS!$D$26,"MANEJO DEL DOLOR Y CUIDADOS PALIATIVOS",IF(O238=CURSOS!$D$27,"TOMA DE MUESTRAS Y LABORATORIO POCT",IF(O238=CURSOS!$D$28,"IMPLANTE SUBDERMICO DE DISPOSITIVO INTRAUTERINO",IF(O238=CURSOS!$D$29,"SALUD MENTAL",IF(O238=CURSOS!$D$30,"PRIMEROS AUXILIOS PSICOLOGICOS",IF(O238=CURSOS!$D$31,"ATENCION A VICTIMAS POR CONFLICTO ARMADO",IF(O238=CURSOS!$D$32,"MANIPULACION DE ALIMENTOS Y BPM",IF(O238=CURSOS!$D$33,"ATENCION A PERSONAS CON DISCAPACIDAD",IF(O238=CURSOS!$D$34,"CUIDADO INTEGRAL DEL PACIENTE ADULTO",IF(O238=CURSOS!$D$35,"MANEJO DEFENSIVO",IF(O238=CURSOS!$D$36,"SOPORTE CARDIOVASCULAR AVANZADO NEONATAL",IF(O238=CURSOS!$D$37,"SEGURIDAD DEL PACIENTE",IF(O238=CURSOS!$D$38,"MANEJO DE RESIDUOS HOSPITALARIOS"))))))))))))))))))))))))))))))))))))</f>
        <v xml:space="preserve">ATENCION A VICTIMAS DE ATAQUE CON AGENTES QUIMICOS </v>
      </c>
      <c r="V238" s="47" t="str">
        <f t="shared" si="18"/>
        <v>Kelly Rocío Parreño Meza</v>
      </c>
      <c r="W238" s="47" t="str">
        <f t="shared" si="19"/>
        <v>Kelly Rocío Parreño Meza</v>
      </c>
      <c r="X238" s="47" t="str">
        <f t="shared" si="20"/>
        <v>Kelly Rocío Parreño Meza-1088734431-QUIMICOS</v>
      </c>
    </row>
    <row r="239" spans="1:24" s="58" customFormat="1" x14ac:dyDescent="0.2">
      <c r="A239" s="46">
        <v>236</v>
      </c>
      <c r="B239" s="43">
        <v>1088734431</v>
      </c>
      <c r="C239" s="43" t="s">
        <v>498</v>
      </c>
      <c r="D239" s="43" t="s">
        <v>497</v>
      </c>
      <c r="E239" s="43" t="s">
        <v>496</v>
      </c>
      <c r="F239" s="43" t="s">
        <v>452</v>
      </c>
      <c r="G239" s="43">
        <v>30</v>
      </c>
      <c r="H239" s="43" t="s">
        <v>100</v>
      </c>
      <c r="I239" s="43" t="s">
        <v>146</v>
      </c>
      <c r="J239" s="56">
        <v>45626</v>
      </c>
      <c r="K239" s="108">
        <v>28000</v>
      </c>
      <c r="L239" s="43" t="s">
        <v>235</v>
      </c>
      <c r="M239" s="43" t="s">
        <v>501</v>
      </c>
      <c r="N239" s="43" t="s">
        <v>90</v>
      </c>
      <c r="O239" s="43" t="s">
        <v>42</v>
      </c>
      <c r="P239" s="55">
        <v>33404</v>
      </c>
      <c r="Q239" s="43" t="s">
        <v>499</v>
      </c>
      <c r="R239" s="43" t="s">
        <v>189</v>
      </c>
      <c r="S239" s="43">
        <v>3175598170</v>
      </c>
      <c r="T239" s="105" t="s">
        <v>500</v>
      </c>
      <c r="U239" s="47" t="str">
        <f>IF(O239=CURSOS!$D$3,"DIPLOMADO EN ATENCION PRE-HOSPITALARIA",IF(O239=CURSOS!$D$4,"ACOMPAÑAMIENTO Y MANEJO DEL DUELO",IF(O239=CURSOS!$D$5,"ATENCION A VICTIMAS DE ATAQUE CON AGENTES QUIMICOS ",IF(O239=CURSOS!$D$6,"PRIMEROS AUXILIOS ",IF(O239=CURSOS!$D$7,"DIPLOMADO DE UNIDAD DE CUIDADOS INTENSIVOS (UCI)",IF(O239=CURSOS!$D$8,"MODELO DE ATENCION PARA EVENTOS EMERGENTES EN SALUD MENTAL (CODIGO VERDE)",IF(O239=CURSOS!$D$9,"HUMANIZACION EN EL SERVICIO DE LA SALUD Y BUENAS PRACTICAS EN PACIENTE ",IF(O239=CURSOS!$D$10,"CLINICA DE HERIDAS ",IF(O239=CURSOS!$D$11,"TOMA DE CITOLOGIA CERVICO VAGINAL ",IF(O239=CURSOS!$D$12,"SOPORTE CARDIOVASCULAR AVANZADO (ACLS) ",IF(O239=CURSOS!$D$13,"CAMILLERO ",IF(O239=CURSOS!$D$14,"TOMA DE MUESTRAS Y LABORATORIO ",IF(O239=CURSOS!$D$15,"SOPORTE VITAL BASICO (BLS)",IF(O239=CURSOS!$D$16,"ATENCION A VICTIMAS DE VIOLENCIA SEXUAL ",IF(O239=CURSOS!$D$17,"PROGRAMADO AMPLIADO DE INMUNIZACION (PAI - COVID 19)",IF(O239=CURSOS!$D$18,"ATENCION INTEGRAL EN ENFERMEDADES PREVALENTES EN PRIMERA INFANCIA (AIEPI)",IF(O239=CURSOS!$D$19,"ADMINISTRACION DE MEDICAMENTOS, INYECTOLOGIA  Y CANALIZACION ",IF(O239=CURSOS!$D$20,"OPERADOR DE VEHICULOS DE EMERGENCIA (OVE)",IF(O239=CURSOS!$D$21,"INSTITUCIONES AMIGAS DE LA MUJER Y LA INFANCIA (IAMI)",IF(O239=CURSOS!$D$22,"CUIDADO DEL DONANTE DE ORGANOS",IF(O239=CURSOS!$D$23,"ATENCION A VICTIMAS POR VIOLENCIA DE GENERO",IF(O239=CURSOS!$D$24,"IGUALDAD DE GENERO EN LA SALUD",IF(O239=CURSOS!$D$25,"BRIGADA DE EMERGENCIA",IF(O239=CURSOS!$D$26,"MANEJO DEL DOLOR Y CUIDADOS PALIATIVOS",IF(O239=CURSOS!$D$27,"TOMA DE MUESTRAS Y LABORATORIO POCT",IF(O239=CURSOS!$D$28,"IMPLANTE SUBDERMICO DE DISPOSITIVO INTRAUTERINO",IF(O239=CURSOS!$D$29,"SALUD MENTAL",IF(O239=CURSOS!$D$30,"PRIMEROS AUXILIOS PSICOLOGICOS",IF(O239=CURSOS!$D$31,"ATENCION A VICTIMAS POR CONFLICTO ARMADO",IF(O239=CURSOS!$D$32,"MANIPULACION DE ALIMENTOS Y BPM",IF(O239=CURSOS!$D$33,"ATENCION A PERSONAS CON DISCAPACIDAD",IF(O239=CURSOS!$D$34,"CUIDADO INTEGRAL DEL PACIENTE ADULTO",IF(O239=CURSOS!$D$35,"MANEJO DEFENSIVO",IF(O239=CURSOS!$D$36,"SOPORTE CARDIOVASCULAR AVANZADO NEONATAL",IF(O239=CURSOS!$D$37,"SEGURIDAD DEL PACIENTE",IF(O239=CURSOS!$D$38,"MANEJO DE RESIDUOS HOSPITALARIOS"))))))))))))))))))))))))))))))))))))</f>
        <v xml:space="preserve">ATENCION A VICTIMAS DE VIOLENCIA SEXUAL </v>
      </c>
      <c r="V239" s="47" t="str">
        <f t="shared" si="18"/>
        <v>Kelly Rocío Parreño Meza</v>
      </c>
      <c r="W239" s="47" t="str">
        <f t="shared" si="19"/>
        <v>Kelly Rocío Parreño Meza</v>
      </c>
      <c r="X239" s="47" t="str">
        <f t="shared" si="20"/>
        <v>Kelly Rocío Parreño Meza-1088734431-VIOLENCIA SEXUAL</v>
      </c>
    </row>
    <row r="240" spans="1:24" x14ac:dyDescent="0.2">
      <c r="A240" s="106">
        <v>239</v>
      </c>
      <c r="U240" s="104" t="b">
        <f>IF(O240=CURSOS!$D$3,"DIPLOMADO EN ATENCION PRE-HOSPITALARIA",IF(O240=CURSOS!$D$4,"ACOMPAÑAMIENTO Y MANEJO DEL DUELO",IF(O240=CURSOS!$D$5,"ATENCION A VICTIMAS DE ATAQUE CON AGENTES QUIMICOS ",IF(O240=CURSOS!$D$6,"PRIMEROS AUXILIOS ",IF(O240=CURSOS!$D$7,"DIPLOMADO DE UNIDAD DE CUIDADOS INTENSIVOS (UCI)",IF(O240=CURSOS!$D$8,"MODELO DE ATENCION PARA EVENTOS EMERGENTES EN SALUD MENTAL (CODIGO VERDE)",IF(O240=CURSOS!$D$9,"HUMANIZACION EN EL SERVICIO DE LA SALUD Y BUENAS PRACTICAS EN PACIENTE ",IF(O240=CURSOS!$D$10,"CLINICA DE HERIDAS ",IF(O240=CURSOS!$D$11,"TOMA DE CITOLOGIA CERVICO VAGINAL ",IF(O240=CURSOS!$D$12,"SOPORTE CARDIOVASCULAR AVANZADO (ACLS) ",IF(O240=CURSOS!$D$13,"CAMILLERO ",IF(O240=CURSOS!$D$14,"TOMA DE MUESTRAS Y LABORATORIO ",IF(O240=CURSOS!$D$15,"SOPORTE VITAL BASICO (BLS)",IF(O240=CURSOS!$D$16,"ATENCION A VICTIMAS DE VIOLENCIA SEXUAL ",IF(O240=CURSOS!$D$17,"PROGRAMADO AMPLIADO DE INMUNIZACION (PAI - COVID 19)",IF(O240=CURSOS!$D$18,"ATENCION INTEGRAL EN ENFERMEDADES PREVALENTES EN PRIMERA INFANCIA (AIEPI)",IF(O240=CURSOS!$D$19,"ADMINISTRACION DE MEDICAMENTOS, INYECTOLOGIA  Y CANALIZACION ",IF(O240=CURSOS!$D$20,"OPERADOR DE VEHICULOS DE EMERGENCIA (OVE)",IF(O240=CURSOS!$D$21,"INSTITUCIONES AMIGAS DE LA MUJER Y LA INFANCIA (IAMI)",IF(O240=CURSOS!$D$22,"CUIDADO DEL DONANTE DE ORGANOS",IF(O240=CURSOS!$D$23,"ATENCION A VICTIMAS POR VIOLENCIA DE GENERO",IF(O240=CURSOS!$D$24,"IGUALDAD DE GENERO EN LA SALUD",IF(O240=CURSOS!$D$25,"BRIGADA DE EMERGENCIA",IF(O240=CURSOS!$D$26,"MANEJO DEL DOLOR Y CUIDADOS PALIATIVOS",IF(O240=CURSOS!$D$27,"TOMA DE MUESTRAS Y LABORATORIO POCT",IF(O240=CURSOS!$D$28,"IMPLANTE SUBDERMICO DE DISPOSITIVO INTRAUTERINO",IF(O240=CURSOS!$D$29,"SALUD MENTAL",IF(O240=CURSOS!$D$30,"PRIMEROS AUXILIOS PSICOLOGICOS",IF(O240=CURSOS!$D$31,"ATENCION A VICTIMAS POR CONFLICTO ARMADO",IF(O240=CURSOS!$D$32,"MANIPULACION DE ALIMENTOS Y BPM",IF(O240=CURSOS!$D$33,"ATENCION A PERSONAS CON DISCAPACIDAD",IF(O240=CURSOS!$D$34,"CUIDADO INTEGRAL DEL PACIENTE ADULTO",IF(O240=CURSOS!$D$35,"MANEJO DEFENSIVO",IF(O240=CURSOS!$D$36,"SOPORTE CARDIOVASCULAR AVANZADO NEONATAL",IF(O240=CURSOS!$D$37,"SEGURIDAD DEL PACIENTE",IF(O240=CURSOS!$D$38,"MANEJO DE RESIDUOS HOSPITALARIOS"))))))))))))))))))))))))))))))))))))</f>
        <v>0</v>
      </c>
      <c r="V240" s="104" t="str">
        <f t="shared" si="15"/>
        <v xml:space="preserve">   </v>
      </c>
      <c r="W240" s="104" t="str">
        <f t="shared" si="16"/>
        <v xml:space="preserve">   </v>
      </c>
      <c r="X240" s="104" t="str">
        <f t="shared" si="17"/>
        <v xml:space="preserve">   --</v>
      </c>
    </row>
    <row r="241" spans="1:24" x14ac:dyDescent="0.2">
      <c r="A241" s="46">
        <v>240</v>
      </c>
      <c r="U241" s="104" t="b">
        <f>IF(O241=CURSOS!$D$3,"DIPLOMADO EN ATENCION PRE-HOSPITALARIA",IF(O241=CURSOS!$D$4,"ACOMPAÑAMIENTO Y MANEJO DEL DUELO",IF(O241=CURSOS!$D$5,"ATENCION A VICTIMAS DE ATAQUE CON AGENTES QUIMICOS ",IF(O241=CURSOS!$D$6,"PRIMEROS AUXILIOS ",IF(O241=CURSOS!$D$7,"DIPLOMADO DE UNIDAD DE CUIDADOS INTENSIVOS (UCI)",IF(O241=CURSOS!$D$8,"MODELO DE ATENCION PARA EVENTOS EMERGENTES EN SALUD MENTAL (CODIGO VERDE)",IF(O241=CURSOS!$D$9,"HUMANIZACION EN EL SERVICIO DE LA SALUD Y BUENAS PRACTICAS EN PACIENTE ",IF(O241=CURSOS!$D$10,"CLINICA DE HERIDAS ",IF(O241=CURSOS!$D$11,"TOMA DE CITOLOGIA CERVICO VAGINAL ",IF(O241=CURSOS!$D$12,"SOPORTE CARDIOVASCULAR AVANZADO (ACLS) ",IF(O241=CURSOS!$D$13,"CAMILLERO ",IF(O241=CURSOS!$D$14,"TOMA DE MUESTRAS Y LABORATORIO ",IF(O241=CURSOS!$D$15,"SOPORTE VITAL BASICO (BLS)",IF(O241=CURSOS!$D$16,"ATENCION A VICTIMAS DE VIOLENCIA SEXUAL ",IF(O241=CURSOS!$D$17,"PROGRAMADO AMPLIADO DE INMUNIZACION (PAI - COVID 19)",IF(O241=CURSOS!$D$18,"ATENCION INTEGRAL EN ENFERMEDADES PREVALENTES EN PRIMERA INFANCIA (AIEPI)",IF(O241=CURSOS!$D$19,"ADMINISTRACION DE MEDICAMENTOS, INYECTOLOGIA  Y CANALIZACION ",IF(O241=CURSOS!$D$20,"OPERADOR DE VEHICULOS DE EMERGENCIA (OVE)",IF(O241=CURSOS!$D$21,"INSTITUCIONES AMIGAS DE LA MUJER Y LA INFANCIA (IAMI)",IF(O241=CURSOS!$D$22,"CUIDADO DEL DONANTE DE ORGANOS",IF(O241=CURSOS!$D$23,"ATENCION A VICTIMAS POR VIOLENCIA DE GENERO",IF(O241=CURSOS!$D$24,"IGUALDAD DE GENERO EN LA SALUD",IF(O241=CURSOS!$D$25,"BRIGADA DE EMERGENCIA",IF(O241=CURSOS!$D$26,"MANEJO DEL DOLOR Y CUIDADOS PALIATIVOS",IF(O241=CURSOS!$D$27,"TOMA DE MUESTRAS Y LABORATORIO POCT",IF(O241=CURSOS!$D$28,"IMPLANTE SUBDERMICO DE DISPOSITIVO INTRAUTERINO",IF(O241=CURSOS!$D$29,"SALUD MENTAL",IF(O241=CURSOS!$D$30,"PRIMEROS AUXILIOS PSICOLOGICOS",IF(O241=CURSOS!$D$31,"ATENCION A VICTIMAS POR CONFLICTO ARMADO",IF(O241=CURSOS!$D$32,"MANIPULACION DE ALIMENTOS Y BPM",IF(O241=CURSOS!$D$33,"ATENCION A PERSONAS CON DISCAPACIDAD",IF(O241=CURSOS!$D$34,"CUIDADO INTEGRAL DEL PACIENTE ADULTO",IF(O241=CURSOS!$D$35,"MANEJO DEFENSIVO",IF(O241=CURSOS!$D$36,"SOPORTE CARDIOVASCULAR AVANZADO NEONATAL",IF(O241=CURSOS!$D$37,"SEGURIDAD DEL PACIENTE",IF(O241=CURSOS!$D$38,"MANEJO DE RESIDUOS HOSPITALARIOS"))))))))))))))))))))))))))))))))))))</f>
        <v>0</v>
      </c>
      <c r="V241" s="104" t="str">
        <f t="shared" si="15"/>
        <v xml:space="preserve">   </v>
      </c>
      <c r="W241" s="104" t="str">
        <f t="shared" si="16"/>
        <v xml:space="preserve">   </v>
      </c>
      <c r="X241" s="104" t="str">
        <f t="shared" si="17"/>
        <v xml:space="preserve">   --</v>
      </c>
    </row>
    <row r="242" spans="1:24" x14ac:dyDescent="0.2">
      <c r="A242" s="46">
        <v>241</v>
      </c>
      <c r="U242" s="104" t="b">
        <f>IF(O242=CURSOS!$D$3,"DIPLOMADO EN ATENCION PRE-HOSPITALARIA",IF(O242=CURSOS!$D$4,"ACOMPAÑAMIENTO Y MANEJO DEL DUELO",IF(O242=CURSOS!$D$5,"ATENCION A VICTIMAS DE ATAQUE CON AGENTES QUIMICOS ",IF(O242=CURSOS!$D$6,"PRIMEROS AUXILIOS ",IF(O242=CURSOS!$D$7,"DIPLOMADO DE UNIDAD DE CUIDADOS INTENSIVOS (UCI)",IF(O242=CURSOS!$D$8,"MODELO DE ATENCION PARA EVENTOS EMERGENTES EN SALUD MENTAL (CODIGO VERDE)",IF(O242=CURSOS!$D$9,"HUMANIZACION EN EL SERVICIO DE LA SALUD Y BUENAS PRACTICAS EN PACIENTE ",IF(O242=CURSOS!$D$10,"CLINICA DE HERIDAS ",IF(O242=CURSOS!$D$11,"TOMA DE CITOLOGIA CERVICO VAGINAL ",IF(O242=CURSOS!$D$12,"SOPORTE CARDIOVASCULAR AVANZADO (ACLS) ",IF(O242=CURSOS!$D$13,"CAMILLERO ",IF(O242=CURSOS!$D$14,"TOMA DE MUESTRAS Y LABORATORIO ",IF(O242=CURSOS!$D$15,"SOPORTE VITAL BASICO (BLS)",IF(O242=CURSOS!$D$16,"ATENCION A VICTIMAS DE VIOLENCIA SEXUAL ",IF(O242=CURSOS!$D$17,"PROGRAMADO AMPLIADO DE INMUNIZACION (PAI - COVID 19)",IF(O242=CURSOS!$D$18,"ATENCION INTEGRAL EN ENFERMEDADES PREVALENTES EN PRIMERA INFANCIA (AIEPI)",IF(O242=CURSOS!$D$19,"ADMINISTRACION DE MEDICAMENTOS, INYECTOLOGIA  Y CANALIZACION ",IF(O242=CURSOS!$D$20,"OPERADOR DE VEHICULOS DE EMERGENCIA (OVE)",IF(O242=CURSOS!$D$21,"INSTITUCIONES AMIGAS DE LA MUJER Y LA INFANCIA (IAMI)",IF(O242=CURSOS!$D$22,"CUIDADO DEL DONANTE DE ORGANOS",IF(O242=CURSOS!$D$23,"ATENCION A VICTIMAS POR VIOLENCIA DE GENERO",IF(O242=CURSOS!$D$24,"IGUALDAD DE GENERO EN LA SALUD",IF(O242=CURSOS!$D$25,"BRIGADA DE EMERGENCIA",IF(O242=CURSOS!$D$26,"MANEJO DEL DOLOR Y CUIDADOS PALIATIVOS",IF(O242=CURSOS!$D$27,"TOMA DE MUESTRAS Y LABORATORIO POCT",IF(O242=CURSOS!$D$28,"IMPLANTE SUBDERMICO DE DISPOSITIVO INTRAUTERINO",IF(O242=CURSOS!$D$29,"SALUD MENTAL",IF(O242=CURSOS!$D$30,"PRIMEROS AUXILIOS PSICOLOGICOS",IF(O242=CURSOS!$D$31,"ATENCION A VICTIMAS POR CONFLICTO ARMADO",IF(O242=CURSOS!$D$32,"MANIPULACION DE ALIMENTOS Y BPM",IF(O242=CURSOS!$D$33,"ATENCION A PERSONAS CON DISCAPACIDAD",IF(O242=CURSOS!$D$34,"CUIDADO INTEGRAL DEL PACIENTE ADULTO",IF(O242=CURSOS!$D$35,"MANEJO DEFENSIVO",IF(O242=CURSOS!$D$36,"SOPORTE CARDIOVASCULAR AVANZADO NEONATAL",IF(O242=CURSOS!$D$37,"SEGURIDAD DEL PACIENTE",IF(O242=CURSOS!$D$38,"MANEJO DE RESIDUOS HOSPITALARIOS"))))))))))))))))))))))))))))))))))))</f>
        <v>0</v>
      </c>
      <c r="V242" s="104" t="str">
        <f t="shared" si="15"/>
        <v xml:space="preserve">   </v>
      </c>
      <c r="W242" s="104" t="str">
        <f t="shared" si="16"/>
        <v xml:space="preserve">   </v>
      </c>
      <c r="X242" s="104" t="str">
        <f t="shared" si="17"/>
        <v xml:space="preserve">   --</v>
      </c>
    </row>
    <row r="243" spans="1:24" x14ac:dyDescent="0.2">
      <c r="A243" s="46">
        <v>242</v>
      </c>
      <c r="U243" s="104" t="b">
        <f>IF(O243=CURSOS!$D$3,"DIPLOMADO EN ATENCION PRE-HOSPITALARIA",IF(O243=CURSOS!$D$4,"ACOMPAÑAMIENTO Y MANEJO DEL DUELO",IF(O243=CURSOS!$D$5,"ATENCION A VICTIMAS DE ATAQUE CON AGENTES QUIMICOS ",IF(O243=CURSOS!$D$6,"PRIMEROS AUXILIOS ",IF(O243=CURSOS!$D$7,"DIPLOMADO DE UNIDAD DE CUIDADOS INTENSIVOS (UCI)",IF(O243=CURSOS!$D$8,"MODELO DE ATENCION PARA EVENTOS EMERGENTES EN SALUD MENTAL (CODIGO VERDE)",IF(O243=CURSOS!$D$9,"HUMANIZACION EN EL SERVICIO DE LA SALUD Y BUENAS PRACTICAS EN PACIENTE ",IF(O243=CURSOS!$D$10,"CLINICA DE HERIDAS ",IF(O243=CURSOS!$D$11,"TOMA DE CITOLOGIA CERVICO VAGINAL ",IF(O243=CURSOS!$D$12,"SOPORTE CARDIOVASCULAR AVANZADO (ACLS) ",IF(O243=CURSOS!$D$13,"CAMILLERO ",IF(O243=CURSOS!$D$14,"TOMA DE MUESTRAS Y LABORATORIO ",IF(O243=CURSOS!$D$15,"SOPORTE VITAL BASICO (BLS)",IF(O243=CURSOS!$D$16,"ATENCION A VICTIMAS DE VIOLENCIA SEXUAL ",IF(O243=CURSOS!$D$17,"PROGRAMADO AMPLIADO DE INMUNIZACION (PAI - COVID 19)",IF(O243=CURSOS!$D$18,"ATENCION INTEGRAL EN ENFERMEDADES PREVALENTES EN PRIMERA INFANCIA (AIEPI)",IF(O243=CURSOS!$D$19,"ADMINISTRACION DE MEDICAMENTOS, INYECTOLOGIA  Y CANALIZACION ",IF(O243=CURSOS!$D$20,"OPERADOR DE VEHICULOS DE EMERGENCIA (OVE)",IF(O243=CURSOS!$D$21,"INSTITUCIONES AMIGAS DE LA MUJER Y LA INFANCIA (IAMI)",IF(O243=CURSOS!$D$22,"CUIDADO DEL DONANTE DE ORGANOS",IF(O243=CURSOS!$D$23,"ATENCION A VICTIMAS POR VIOLENCIA DE GENERO",IF(O243=CURSOS!$D$24,"IGUALDAD DE GENERO EN LA SALUD",IF(O243=CURSOS!$D$25,"BRIGADA DE EMERGENCIA",IF(O243=CURSOS!$D$26,"MANEJO DEL DOLOR Y CUIDADOS PALIATIVOS",IF(O243=CURSOS!$D$27,"TOMA DE MUESTRAS Y LABORATORIO POCT",IF(O243=CURSOS!$D$28,"IMPLANTE SUBDERMICO DE DISPOSITIVO INTRAUTERINO",IF(O243=CURSOS!$D$29,"SALUD MENTAL",IF(O243=CURSOS!$D$30,"PRIMEROS AUXILIOS PSICOLOGICOS",IF(O243=CURSOS!$D$31,"ATENCION A VICTIMAS POR CONFLICTO ARMADO",IF(O243=CURSOS!$D$32,"MANIPULACION DE ALIMENTOS Y BPM",IF(O243=CURSOS!$D$33,"ATENCION A PERSONAS CON DISCAPACIDAD",IF(O243=CURSOS!$D$34,"CUIDADO INTEGRAL DEL PACIENTE ADULTO",IF(O243=CURSOS!$D$35,"MANEJO DEFENSIVO",IF(O243=CURSOS!$D$36,"SOPORTE CARDIOVASCULAR AVANZADO NEONATAL",IF(O243=CURSOS!$D$37,"SEGURIDAD DEL PACIENTE",IF(O243=CURSOS!$D$38,"MANEJO DE RESIDUOS HOSPITALARIOS"))))))))))))))))))))))))))))))))))))</f>
        <v>0</v>
      </c>
      <c r="V243" s="104" t="str">
        <f t="shared" si="15"/>
        <v xml:space="preserve">   </v>
      </c>
      <c r="W243" s="104" t="str">
        <f t="shared" si="16"/>
        <v xml:space="preserve">   </v>
      </c>
      <c r="X243" s="104" t="str">
        <f t="shared" si="17"/>
        <v xml:space="preserve">   --</v>
      </c>
    </row>
    <row r="244" spans="1:24" x14ac:dyDescent="0.2">
      <c r="A244" s="46">
        <v>243</v>
      </c>
      <c r="U244" s="104" t="b">
        <f>IF(O244=CURSOS!$D$3,"DIPLOMADO EN ATENCION PRE-HOSPITALARIA",IF(O244=CURSOS!$D$4,"ACOMPAÑAMIENTO Y MANEJO DEL DUELO",IF(O244=CURSOS!$D$5,"ATENCION A VICTIMAS DE ATAQUE CON AGENTES QUIMICOS ",IF(O244=CURSOS!$D$6,"PRIMEROS AUXILIOS ",IF(O244=CURSOS!$D$7,"DIPLOMADO DE UNIDAD DE CUIDADOS INTENSIVOS (UCI)",IF(O244=CURSOS!$D$8,"MODELO DE ATENCION PARA EVENTOS EMERGENTES EN SALUD MENTAL (CODIGO VERDE)",IF(O244=CURSOS!$D$9,"HUMANIZACION EN EL SERVICIO DE LA SALUD Y BUENAS PRACTICAS EN PACIENTE ",IF(O244=CURSOS!$D$10,"CLINICA DE HERIDAS ",IF(O244=CURSOS!$D$11,"TOMA DE CITOLOGIA CERVICO VAGINAL ",IF(O244=CURSOS!$D$12,"SOPORTE CARDIOVASCULAR AVANZADO (ACLS) ",IF(O244=CURSOS!$D$13,"CAMILLERO ",IF(O244=CURSOS!$D$14,"TOMA DE MUESTRAS Y LABORATORIO ",IF(O244=CURSOS!$D$15,"SOPORTE VITAL BASICO (BLS)",IF(O244=CURSOS!$D$16,"ATENCION A VICTIMAS DE VIOLENCIA SEXUAL ",IF(O244=CURSOS!$D$17,"PROGRAMADO AMPLIADO DE INMUNIZACION (PAI - COVID 19)",IF(O244=CURSOS!$D$18,"ATENCION INTEGRAL EN ENFERMEDADES PREVALENTES EN PRIMERA INFANCIA (AIEPI)",IF(O244=CURSOS!$D$19,"ADMINISTRACION DE MEDICAMENTOS, INYECTOLOGIA  Y CANALIZACION ",IF(O244=CURSOS!$D$20,"OPERADOR DE VEHICULOS DE EMERGENCIA (OVE)",IF(O244=CURSOS!$D$21,"INSTITUCIONES AMIGAS DE LA MUJER Y LA INFANCIA (IAMI)",IF(O244=CURSOS!$D$22,"CUIDADO DEL DONANTE DE ORGANOS",IF(O244=CURSOS!$D$23,"ATENCION A VICTIMAS POR VIOLENCIA DE GENERO",IF(O244=CURSOS!$D$24,"IGUALDAD DE GENERO EN LA SALUD",IF(O244=CURSOS!$D$25,"BRIGADA DE EMERGENCIA",IF(O244=CURSOS!$D$26,"MANEJO DEL DOLOR Y CUIDADOS PALIATIVOS",IF(O244=CURSOS!$D$27,"TOMA DE MUESTRAS Y LABORATORIO POCT",IF(O244=CURSOS!$D$28,"IMPLANTE SUBDERMICO DE DISPOSITIVO INTRAUTERINO",IF(O244=CURSOS!$D$29,"SALUD MENTAL",IF(O244=CURSOS!$D$30,"PRIMEROS AUXILIOS PSICOLOGICOS",IF(O244=CURSOS!$D$31,"ATENCION A VICTIMAS POR CONFLICTO ARMADO",IF(O244=CURSOS!$D$32,"MANIPULACION DE ALIMENTOS Y BPM",IF(O244=CURSOS!$D$33,"ATENCION A PERSONAS CON DISCAPACIDAD",IF(O244=CURSOS!$D$34,"CUIDADO INTEGRAL DEL PACIENTE ADULTO",IF(O244=CURSOS!$D$35,"MANEJO DEFENSIVO",IF(O244=CURSOS!$D$36,"SOPORTE CARDIOVASCULAR AVANZADO NEONATAL",IF(O244=CURSOS!$D$37,"SEGURIDAD DEL PACIENTE",IF(O244=CURSOS!$D$38,"MANEJO DE RESIDUOS HOSPITALARIOS"))))))))))))))))))))))))))))))))))))</f>
        <v>0</v>
      </c>
      <c r="V244" s="104" t="str">
        <f t="shared" si="15"/>
        <v xml:space="preserve">   </v>
      </c>
      <c r="W244" s="104" t="str">
        <f t="shared" si="16"/>
        <v xml:space="preserve">   </v>
      </c>
      <c r="X244" s="104" t="str">
        <f t="shared" si="17"/>
        <v xml:space="preserve">   --</v>
      </c>
    </row>
    <row r="245" spans="1:24" x14ac:dyDescent="0.2">
      <c r="A245" s="46">
        <v>244</v>
      </c>
    </row>
    <row r="246" spans="1:24" x14ac:dyDescent="0.2">
      <c r="A246" s="46">
        <v>245</v>
      </c>
    </row>
    <row r="247" spans="1:24" x14ac:dyDescent="0.2">
      <c r="A247" s="46">
        <v>246</v>
      </c>
    </row>
    <row r="248" spans="1:24" x14ac:dyDescent="0.2">
      <c r="A248" s="46">
        <v>247</v>
      </c>
    </row>
    <row r="1048557" spans="2:7" x14ac:dyDescent="0.2">
      <c r="B1048557" s="44"/>
      <c r="C1048557" s="44"/>
      <c r="D1048557" s="44"/>
      <c r="E1048557" s="44"/>
      <c r="F1048557" s="44"/>
      <c r="G1048557" s="44"/>
    </row>
  </sheetData>
  <autoFilter ref="A1:X248" xr:uid="{00000000-0001-0000-0000-000000000000}"/>
  <phoneticPr fontId="7" type="noConversion"/>
  <hyperlinks>
    <hyperlink ref="T2" r:id="rId1" xr:uid="{00000000-0004-0000-0000-000000000000}"/>
    <hyperlink ref="R41" r:id="rId2" xr:uid="{00000000-0004-0000-0000-000001000000}"/>
    <hyperlink ref="R42" r:id="rId3" xr:uid="{00000000-0004-0000-0000-000002000000}"/>
    <hyperlink ref="R43" r:id="rId4" xr:uid="{00000000-0004-0000-0000-000003000000}"/>
    <hyperlink ref="R44" r:id="rId5" xr:uid="{00000000-0004-0000-0000-000004000000}"/>
    <hyperlink ref="R45" r:id="rId6" xr:uid="{00000000-0004-0000-0000-000005000000}"/>
    <hyperlink ref="R47" r:id="rId7" xr:uid="{00000000-0004-0000-0000-000006000000}"/>
    <hyperlink ref="R48" r:id="rId8" xr:uid="{00000000-0004-0000-0000-000007000000}"/>
    <hyperlink ref="R49" r:id="rId9" xr:uid="{00000000-0004-0000-0000-000008000000}"/>
    <hyperlink ref="R50" r:id="rId10" xr:uid="{00000000-0004-0000-0000-000009000000}"/>
    <hyperlink ref="R51" r:id="rId11" xr:uid="{00000000-0004-0000-0000-00000A000000}"/>
    <hyperlink ref="R60" r:id="rId12" xr:uid="{00000000-0004-0000-0000-00000B000000}"/>
    <hyperlink ref="R68" r:id="rId13" xr:uid="{00000000-0004-0000-0000-00000C000000}"/>
    <hyperlink ref="R69" r:id="rId14" xr:uid="{00000000-0004-0000-0000-00000D000000}"/>
    <hyperlink ref="R70" r:id="rId15" xr:uid="{00000000-0004-0000-0000-00000E000000}"/>
    <hyperlink ref="R71" r:id="rId16" xr:uid="{00000000-0004-0000-0000-00000F000000}"/>
    <hyperlink ref="R72" r:id="rId17" xr:uid="{00000000-0004-0000-0000-000010000000}"/>
    <hyperlink ref="R73" r:id="rId18" xr:uid="{00000000-0004-0000-0000-000011000000}"/>
    <hyperlink ref="R74" r:id="rId19" xr:uid="{00000000-0004-0000-0000-000012000000}"/>
    <hyperlink ref="R76" r:id="rId20" xr:uid="{00000000-0004-0000-0000-000013000000}"/>
    <hyperlink ref="R77" r:id="rId21" xr:uid="{00000000-0004-0000-0000-000014000000}"/>
    <hyperlink ref="R78" r:id="rId22" xr:uid="{00000000-0004-0000-0000-000015000000}"/>
    <hyperlink ref="R79" r:id="rId23" xr:uid="{00000000-0004-0000-0000-000016000000}"/>
    <hyperlink ref="R80" r:id="rId24" xr:uid="{00000000-0004-0000-0000-000017000000}"/>
    <hyperlink ref="R81" r:id="rId25" xr:uid="{00000000-0004-0000-0000-000018000000}"/>
    <hyperlink ref="R82" r:id="rId26" xr:uid="{00000000-0004-0000-0000-000019000000}"/>
    <hyperlink ref="R83" r:id="rId27" xr:uid="{00000000-0004-0000-0000-00001A000000}"/>
    <hyperlink ref="R94" r:id="rId28" xr:uid="{00000000-0004-0000-0000-00001B000000}"/>
    <hyperlink ref="R95" r:id="rId29" xr:uid="{00000000-0004-0000-0000-00001C000000}"/>
    <hyperlink ref="R96" r:id="rId30" xr:uid="{00000000-0004-0000-0000-00001D000000}"/>
    <hyperlink ref="R106" r:id="rId31" xr:uid="{00000000-0004-0000-0000-00001E000000}"/>
    <hyperlink ref="R107" r:id="rId32" xr:uid="{00000000-0004-0000-0000-00001F000000}"/>
    <hyperlink ref="R119" r:id="rId33" xr:uid="{00000000-0004-0000-0000-000020000000}"/>
    <hyperlink ref="R121" r:id="rId34" xr:uid="{00000000-0004-0000-0000-000021000000}"/>
    <hyperlink ref="R125" r:id="rId35" xr:uid="{00000000-0004-0000-0000-000022000000}"/>
    <hyperlink ref="T125" r:id="rId36" xr:uid="{00000000-0004-0000-0000-000023000000}"/>
    <hyperlink ref="R126" r:id="rId37" xr:uid="{00000000-0004-0000-0000-000024000000}"/>
    <hyperlink ref="T126" r:id="rId38" xr:uid="{00000000-0004-0000-0000-000025000000}"/>
    <hyperlink ref="R127" r:id="rId39" xr:uid="{00000000-0004-0000-0000-000026000000}"/>
    <hyperlink ref="T127" r:id="rId40" xr:uid="{00000000-0004-0000-0000-000027000000}"/>
    <hyperlink ref="T129" r:id="rId41" xr:uid="{00000000-0004-0000-0000-000028000000}"/>
    <hyperlink ref="R132" r:id="rId42" xr:uid="{00000000-0004-0000-0000-000029000000}"/>
    <hyperlink ref="R133" r:id="rId43" xr:uid="{00000000-0004-0000-0000-00002A000000}"/>
    <hyperlink ref="R134" r:id="rId44" xr:uid="{00000000-0004-0000-0000-00002B000000}"/>
    <hyperlink ref="R135" r:id="rId45" xr:uid="{00000000-0004-0000-0000-00002C000000}"/>
    <hyperlink ref="T136" r:id="rId46" xr:uid="{00000000-0004-0000-0000-00002D000000}"/>
    <hyperlink ref="T137" r:id="rId47" xr:uid="{00000000-0004-0000-0000-00002E000000}"/>
    <hyperlink ref="R138" r:id="rId48" xr:uid="{00000000-0004-0000-0000-00002F000000}"/>
    <hyperlink ref="T143" r:id="rId49" xr:uid="{00000000-0004-0000-0000-000030000000}"/>
    <hyperlink ref="T144" r:id="rId50" xr:uid="{00000000-0004-0000-0000-000031000000}"/>
    <hyperlink ref="R149" r:id="rId51" xr:uid="{00000000-0004-0000-0000-000032000000}"/>
    <hyperlink ref="R150" r:id="rId52" xr:uid="{00000000-0004-0000-0000-000033000000}"/>
    <hyperlink ref="R151" r:id="rId53" xr:uid="{00000000-0004-0000-0000-000034000000}"/>
    <hyperlink ref="R152" r:id="rId54" xr:uid="{00000000-0004-0000-0000-000035000000}"/>
    <hyperlink ref="R153" r:id="rId55" xr:uid="{00000000-0004-0000-0000-000036000000}"/>
    <hyperlink ref="R154" r:id="rId56" xr:uid="{00000000-0004-0000-0000-000037000000}"/>
    <hyperlink ref="R155" r:id="rId57" xr:uid="{00000000-0004-0000-0000-000038000000}"/>
    <hyperlink ref="R158" r:id="rId58" xr:uid="{00000000-0004-0000-0000-000039000000}"/>
    <hyperlink ref="R165" r:id="rId59" xr:uid="{00000000-0004-0000-0000-00003A000000}"/>
    <hyperlink ref="R166" r:id="rId60" xr:uid="{00000000-0004-0000-0000-00003B000000}"/>
    <hyperlink ref="R167" r:id="rId61" xr:uid="{00000000-0004-0000-0000-00003C000000}"/>
    <hyperlink ref="R168" r:id="rId62" xr:uid="{00000000-0004-0000-0000-00003D000000}"/>
    <hyperlink ref="R169" r:id="rId63" xr:uid="{00000000-0004-0000-0000-00003E000000}"/>
    <hyperlink ref="R170" r:id="rId64" xr:uid="{00000000-0004-0000-0000-00003F000000}"/>
    <hyperlink ref="R171" r:id="rId65" xr:uid="{00000000-0004-0000-0000-000040000000}"/>
    <hyperlink ref="R172" r:id="rId66" xr:uid="{00000000-0004-0000-0000-000041000000}"/>
    <hyperlink ref="R173" r:id="rId67" xr:uid="{00000000-0004-0000-0000-000042000000}"/>
    <hyperlink ref="T173" r:id="rId68" xr:uid="{00000000-0004-0000-0000-000043000000}"/>
    <hyperlink ref="R174" r:id="rId69" display="MEDIC@" xr:uid="{00000000-0004-0000-0000-000044000000}"/>
    <hyperlink ref="R177" r:id="rId70" xr:uid="{00000000-0004-0000-0000-000045000000}"/>
    <hyperlink ref="R178" r:id="rId71" xr:uid="{00000000-0004-0000-0000-000046000000}"/>
    <hyperlink ref="T182" r:id="rId72" xr:uid="{00000000-0004-0000-0000-000047000000}"/>
    <hyperlink ref="T183" r:id="rId73" xr:uid="{00000000-0004-0000-0000-000048000000}"/>
    <hyperlink ref="R190" r:id="rId74" xr:uid="{00000000-0004-0000-0000-000049000000}"/>
    <hyperlink ref="R191" r:id="rId75" xr:uid="{00000000-0004-0000-0000-00004A000000}"/>
    <hyperlink ref="R192" r:id="rId76" xr:uid="{00000000-0004-0000-0000-00004B000000}"/>
    <hyperlink ref="R193" r:id="rId77" xr:uid="{00000000-0004-0000-0000-00004C000000}"/>
    <hyperlink ref="R194" r:id="rId78" xr:uid="{00000000-0004-0000-0000-00004D000000}"/>
    <hyperlink ref="R214" r:id="rId79" xr:uid="{E11440C9-E0AD-4174-811C-EC447B60146F}"/>
    <hyperlink ref="R215" r:id="rId80" xr:uid="{9061CF95-0E9E-4F2A-9F12-D42575140AC4}"/>
    <hyperlink ref="R216" r:id="rId81" xr:uid="{CE6FEA52-260D-456E-9EDA-B66A40E8BA63}"/>
    <hyperlink ref="T217" r:id="rId82" xr:uid="{926F8C0D-599F-40E3-BC49-803A9DC453A6}"/>
    <hyperlink ref="T218" r:id="rId83" xr:uid="{A0CC2F40-1D03-4FF5-8810-52B953FA4B1A}"/>
    <hyperlink ref="R229" r:id="rId84" xr:uid="{421838D4-75B3-4DD1-9B71-0766355989B4}"/>
    <hyperlink ref="R230" r:id="rId85" xr:uid="{15D8B5B6-F0FE-42C9-94F1-E9843554859D}"/>
    <hyperlink ref="R231" r:id="rId86" xr:uid="{0D701547-C2C9-4349-8951-416663417260}"/>
  </hyperlinks>
  <pageMargins left="0.7" right="0.7" top="0.75" bottom="0.75" header="0.3" footer="0.3"/>
  <pageSetup paperSize="9" scale="12" orientation="portrait" r:id="rId8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C1:E38"/>
  <sheetViews>
    <sheetView topLeftCell="B1" zoomScale="85" zoomScaleNormal="85" workbookViewId="0">
      <selection activeCell="E23" sqref="E23"/>
    </sheetView>
  </sheetViews>
  <sheetFormatPr baseColWidth="10" defaultRowHeight="15" x14ac:dyDescent="0.2"/>
  <cols>
    <col min="3" max="3" width="10.77734375" style="1" customWidth="1"/>
    <col min="4" max="4" width="36.33203125" customWidth="1"/>
    <col min="5" max="5" width="107.77734375" customWidth="1"/>
  </cols>
  <sheetData>
    <row r="1" spans="3:5" ht="15.75" thickBot="1" x14ac:dyDescent="0.25"/>
    <row r="2" spans="3:5" ht="16.5" thickBot="1" x14ac:dyDescent="0.3">
      <c r="C2" s="39" t="s">
        <v>20</v>
      </c>
      <c r="D2" s="39" t="s">
        <v>11</v>
      </c>
      <c r="E2" s="40" t="s">
        <v>15</v>
      </c>
    </row>
    <row r="3" spans="3:5" x14ac:dyDescent="0.2">
      <c r="C3" s="22">
        <v>1</v>
      </c>
      <c r="D3" s="23" t="s">
        <v>21</v>
      </c>
      <c r="E3" s="24" t="s">
        <v>22</v>
      </c>
    </row>
    <row r="4" spans="3:5" x14ac:dyDescent="0.2">
      <c r="C4" s="25">
        <v>2</v>
      </c>
      <c r="D4" s="26" t="s">
        <v>23</v>
      </c>
      <c r="E4" s="27" t="s">
        <v>24</v>
      </c>
    </row>
    <row r="5" spans="3:5" x14ac:dyDescent="0.2">
      <c r="C5" s="28">
        <v>3</v>
      </c>
      <c r="D5" s="26" t="s">
        <v>25</v>
      </c>
      <c r="E5" s="27" t="s">
        <v>354</v>
      </c>
    </row>
    <row r="6" spans="3:5" x14ac:dyDescent="0.2">
      <c r="C6" s="25">
        <v>4</v>
      </c>
      <c r="D6" s="26" t="s">
        <v>26</v>
      </c>
      <c r="E6" s="27" t="s">
        <v>27</v>
      </c>
    </row>
    <row r="7" spans="3:5" x14ac:dyDescent="0.2">
      <c r="C7" s="28">
        <v>5</v>
      </c>
      <c r="D7" s="26" t="s">
        <v>28</v>
      </c>
      <c r="E7" s="27" t="s">
        <v>29</v>
      </c>
    </row>
    <row r="8" spans="3:5" x14ac:dyDescent="0.2">
      <c r="C8" s="25">
        <v>6</v>
      </c>
      <c r="D8" s="26" t="s">
        <v>30</v>
      </c>
      <c r="E8" s="27" t="s">
        <v>31</v>
      </c>
    </row>
    <row r="9" spans="3:5" x14ac:dyDescent="0.2">
      <c r="C9" s="28">
        <v>7</v>
      </c>
      <c r="D9" s="26" t="s">
        <v>32</v>
      </c>
      <c r="E9" s="27" t="s">
        <v>355</v>
      </c>
    </row>
    <row r="10" spans="3:5" x14ac:dyDescent="0.2">
      <c r="C10" s="25">
        <v>8</v>
      </c>
      <c r="D10" s="26" t="s">
        <v>33</v>
      </c>
      <c r="E10" s="27" t="s">
        <v>34</v>
      </c>
    </row>
    <row r="11" spans="3:5" x14ac:dyDescent="0.2">
      <c r="C11" s="28">
        <v>9</v>
      </c>
      <c r="D11" s="29" t="s">
        <v>35</v>
      </c>
      <c r="E11" s="27" t="s">
        <v>36</v>
      </c>
    </row>
    <row r="12" spans="3:5" x14ac:dyDescent="0.2">
      <c r="C12" s="25">
        <v>10</v>
      </c>
      <c r="D12" s="30" t="s">
        <v>37</v>
      </c>
      <c r="E12" s="27" t="s">
        <v>84</v>
      </c>
    </row>
    <row r="13" spans="3:5" x14ac:dyDescent="0.2">
      <c r="C13" s="28">
        <v>11</v>
      </c>
      <c r="D13" s="30" t="s">
        <v>38</v>
      </c>
      <c r="E13" s="27" t="s">
        <v>39</v>
      </c>
    </row>
    <row r="14" spans="3:5" x14ac:dyDescent="0.2">
      <c r="C14" s="25">
        <v>12</v>
      </c>
      <c r="D14" s="30" t="s">
        <v>40</v>
      </c>
      <c r="E14" s="27" t="s">
        <v>93</v>
      </c>
    </row>
    <row r="15" spans="3:5" x14ac:dyDescent="0.2">
      <c r="C15" s="28">
        <v>13</v>
      </c>
      <c r="D15" s="30" t="s">
        <v>19</v>
      </c>
      <c r="E15" s="27" t="s">
        <v>41</v>
      </c>
    </row>
    <row r="16" spans="3:5" x14ac:dyDescent="0.2">
      <c r="C16" s="25">
        <v>14</v>
      </c>
      <c r="D16" s="30" t="s">
        <v>42</v>
      </c>
      <c r="E16" s="27" t="s">
        <v>356</v>
      </c>
    </row>
    <row r="17" spans="3:5" x14ac:dyDescent="0.2">
      <c r="C17" s="28">
        <v>15</v>
      </c>
      <c r="D17" s="30" t="s">
        <v>73</v>
      </c>
      <c r="E17" s="27" t="s">
        <v>43</v>
      </c>
    </row>
    <row r="18" spans="3:5" x14ac:dyDescent="0.2">
      <c r="C18" s="25">
        <v>16</v>
      </c>
      <c r="D18" s="30" t="s">
        <v>44</v>
      </c>
      <c r="E18" s="27" t="s">
        <v>357</v>
      </c>
    </row>
    <row r="19" spans="3:5" x14ac:dyDescent="0.2">
      <c r="C19" s="28">
        <v>17</v>
      </c>
      <c r="D19" s="30" t="s">
        <v>45</v>
      </c>
      <c r="E19" s="27" t="s">
        <v>358</v>
      </c>
    </row>
    <row r="20" spans="3:5" x14ac:dyDescent="0.2">
      <c r="C20" s="25">
        <v>18</v>
      </c>
      <c r="D20" s="30" t="s">
        <v>46</v>
      </c>
      <c r="E20" s="27" t="s">
        <v>47</v>
      </c>
    </row>
    <row r="21" spans="3:5" x14ac:dyDescent="0.2">
      <c r="C21" s="28">
        <v>19</v>
      </c>
      <c r="D21" s="30" t="s">
        <v>48</v>
      </c>
      <c r="E21" s="31" t="s">
        <v>49</v>
      </c>
    </row>
    <row r="22" spans="3:5" x14ac:dyDescent="0.2">
      <c r="C22" s="25">
        <v>20</v>
      </c>
      <c r="D22" s="30" t="s">
        <v>50</v>
      </c>
      <c r="E22" s="31" t="s">
        <v>51</v>
      </c>
    </row>
    <row r="23" spans="3:5" x14ac:dyDescent="0.2">
      <c r="C23" s="28">
        <v>21</v>
      </c>
      <c r="D23" s="30" t="s">
        <v>52</v>
      </c>
      <c r="E23" s="31" t="s">
        <v>359</v>
      </c>
    </row>
    <row r="24" spans="3:5" x14ac:dyDescent="0.2">
      <c r="C24" s="25">
        <v>22</v>
      </c>
      <c r="D24" s="30" t="s">
        <v>53</v>
      </c>
      <c r="E24" s="32" t="s">
        <v>54</v>
      </c>
    </row>
    <row r="25" spans="3:5" x14ac:dyDescent="0.2">
      <c r="C25" s="33">
        <v>23</v>
      </c>
      <c r="D25" s="30" t="s">
        <v>55</v>
      </c>
      <c r="E25" s="27" t="s">
        <v>56</v>
      </c>
    </row>
    <row r="26" spans="3:5" x14ac:dyDescent="0.2">
      <c r="C26" s="33">
        <v>24</v>
      </c>
      <c r="D26" s="30" t="s">
        <v>57</v>
      </c>
      <c r="E26" s="31" t="s">
        <v>58</v>
      </c>
    </row>
    <row r="27" spans="3:5" x14ac:dyDescent="0.2">
      <c r="C27" s="33">
        <v>25</v>
      </c>
      <c r="D27" s="30" t="s">
        <v>59</v>
      </c>
      <c r="E27" s="27" t="s">
        <v>85</v>
      </c>
    </row>
    <row r="28" spans="3:5" x14ac:dyDescent="0.2">
      <c r="C28" s="33">
        <v>26</v>
      </c>
      <c r="D28" s="30" t="s">
        <v>60</v>
      </c>
      <c r="E28" s="27" t="s">
        <v>86</v>
      </c>
    </row>
    <row r="29" spans="3:5" x14ac:dyDescent="0.2">
      <c r="C29" s="33">
        <v>27</v>
      </c>
      <c r="D29" s="30" t="s">
        <v>61</v>
      </c>
      <c r="E29" s="27" t="s">
        <v>61</v>
      </c>
    </row>
    <row r="30" spans="3:5" x14ac:dyDescent="0.2">
      <c r="C30" s="33">
        <v>28</v>
      </c>
      <c r="D30" s="30" t="s">
        <v>62</v>
      </c>
      <c r="E30" s="27" t="s">
        <v>63</v>
      </c>
    </row>
    <row r="31" spans="3:5" x14ac:dyDescent="0.2">
      <c r="C31" s="33">
        <v>29</v>
      </c>
      <c r="D31" s="30" t="s">
        <v>64</v>
      </c>
      <c r="E31" s="27" t="s">
        <v>65</v>
      </c>
    </row>
    <row r="32" spans="3:5" x14ac:dyDescent="0.2">
      <c r="C32" s="33">
        <v>30</v>
      </c>
      <c r="D32" s="30" t="s">
        <v>74</v>
      </c>
      <c r="E32" s="27" t="s">
        <v>75</v>
      </c>
    </row>
    <row r="33" spans="3:5" x14ac:dyDescent="0.2">
      <c r="C33" s="33">
        <v>31</v>
      </c>
      <c r="D33" s="30" t="s">
        <v>77</v>
      </c>
      <c r="E33" s="27" t="s">
        <v>76</v>
      </c>
    </row>
    <row r="34" spans="3:5" x14ac:dyDescent="0.2">
      <c r="C34" s="33">
        <v>32</v>
      </c>
      <c r="D34" s="30" t="s">
        <v>78</v>
      </c>
      <c r="E34" s="27" t="s">
        <v>79</v>
      </c>
    </row>
    <row r="35" spans="3:5" x14ac:dyDescent="0.2">
      <c r="C35" s="33">
        <v>33</v>
      </c>
      <c r="D35" s="34" t="s">
        <v>81</v>
      </c>
      <c r="E35" s="35" t="s">
        <v>81</v>
      </c>
    </row>
    <row r="36" spans="3:5" x14ac:dyDescent="0.2">
      <c r="C36" s="33">
        <v>34</v>
      </c>
      <c r="D36" s="30" t="s">
        <v>82</v>
      </c>
      <c r="E36" s="27" t="s">
        <v>83</v>
      </c>
    </row>
    <row r="37" spans="3:5" x14ac:dyDescent="0.2">
      <c r="C37" s="33">
        <v>35</v>
      </c>
      <c r="D37" s="34" t="s">
        <v>88</v>
      </c>
      <c r="E37" s="35" t="s">
        <v>87</v>
      </c>
    </row>
    <row r="38" spans="3:5" ht="15.75" thickBot="1" x14ac:dyDescent="0.25">
      <c r="C38" s="36">
        <v>36</v>
      </c>
      <c r="D38" s="37" t="s">
        <v>95</v>
      </c>
      <c r="E38" s="38" t="s">
        <v>97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H355"/>
  <sheetViews>
    <sheetView topLeftCell="A285" zoomScale="55" zoomScaleNormal="55" workbookViewId="0">
      <selection activeCell="E291" sqref="E291"/>
    </sheetView>
  </sheetViews>
  <sheetFormatPr baseColWidth="10" defaultRowHeight="15" customHeight="1" x14ac:dyDescent="0.2"/>
  <cols>
    <col min="1" max="1" width="39.33203125" customWidth="1"/>
    <col min="2" max="2" width="84.21875" customWidth="1"/>
    <col min="3" max="3" width="16.21875" customWidth="1"/>
    <col min="4" max="4" width="100.21875" customWidth="1"/>
    <col min="5" max="5" width="19.33203125" customWidth="1"/>
    <col min="6" max="6" width="38.21875" customWidth="1"/>
    <col min="7" max="7" width="11.21875" customWidth="1"/>
    <col min="8" max="8" width="35.109375" customWidth="1"/>
  </cols>
  <sheetData>
    <row r="1" spans="6:8" ht="16.5" thickBot="1" x14ac:dyDescent="0.3">
      <c r="F1" s="8"/>
      <c r="G1" s="11" t="s">
        <v>20</v>
      </c>
      <c r="H1" s="9" t="s">
        <v>11</v>
      </c>
    </row>
    <row r="2" spans="6:8" x14ac:dyDescent="0.2">
      <c r="G2" s="2">
        <v>1</v>
      </c>
      <c r="H2" s="16" t="s">
        <v>21</v>
      </c>
    </row>
    <row r="3" spans="6:8" ht="15" customHeight="1" x14ac:dyDescent="0.2">
      <c r="G3" s="3">
        <v>2</v>
      </c>
      <c r="H3" s="6" t="s">
        <v>23</v>
      </c>
    </row>
    <row r="4" spans="6:8" ht="15" customHeight="1" x14ac:dyDescent="0.2">
      <c r="G4" s="5">
        <v>3</v>
      </c>
      <c r="H4" s="6" t="s">
        <v>25</v>
      </c>
    </row>
    <row r="5" spans="6:8" ht="15" customHeight="1" x14ac:dyDescent="0.2">
      <c r="G5" s="3">
        <v>4</v>
      </c>
      <c r="H5" s="6" t="s">
        <v>26</v>
      </c>
    </row>
    <row r="6" spans="6:8" ht="15" customHeight="1" x14ac:dyDescent="0.2">
      <c r="G6" s="5">
        <v>5</v>
      </c>
      <c r="H6" s="6" t="s">
        <v>28</v>
      </c>
    </row>
    <row r="7" spans="6:8" ht="15" customHeight="1" x14ac:dyDescent="0.2">
      <c r="G7" s="3">
        <v>6</v>
      </c>
      <c r="H7" s="6" t="s">
        <v>30</v>
      </c>
    </row>
    <row r="8" spans="6:8" ht="15" customHeight="1" x14ac:dyDescent="0.2">
      <c r="G8" s="5">
        <v>7</v>
      </c>
      <c r="H8" s="6" t="s">
        <v>32</v>
      </c>
    </row>
    <row r="9" spans="6:8" ht="15" customHeight="1" x14ac:dyDescent="0.2">
      <c r="G9" s="3">
        <v>8</v>
      </c>
      <c r="H9" s="6" t="s">
        <v>33</v>
      </c>
    </row>
    <row r="10" spans="6:8" ht="15" customHeight="1" x14ac:dyDescent="0.2">
      <c r="G10" s="5">
        <v>9</v>
      </c>
      <c r="H10" s="7" t="s">
        <v>35</v>
      </c>
    </row>
    <row r="11" spans="6:8" ht="15" customHeight="1" x14ac:dyDescent="0.2">
      <c r="G11" s="3">
        <v>10</v>
      </c>
      <c r="H11" s="4" t="s">
        <v>37</v>
      </c>
    </row>
    <row r="12" spans="6:8" ht="15" customHeight="1" x14ac:dyDescent="0.2">
      <c r="G12" s="5">
        <v>11</v>
      </c>
      <c r="H12" s="4" t="s">
        <v>38</v>
      </c>
    </row>
    <row r="13" spans="6:8" ht="15" customHeight="1" x14ac:dyDescent="0.2">
      <c r="G13" s="3">
        <v>12</v>
      </c>
      <c r="H13" s="4" t="s">
        <v>40</v>
      </c>
    </row>
    <row r="14" spans="6:8" ht="15" customHeight="1" x14ac:dyDescent="0.2">
      <c r="G14" s="5">
        <v>13</v>
      </c>
      <c r="H14" s="4" t="s">
        <v>19</v>
      </c>
    </row>
    <row r="15" spans="6:8" ht="15" customHeight="1" x14ac:dyDescent="0.2">
      <c r="G15" s="3">
        <v>14</v>
      </c>
      <c r="H15" s="4" t="s">
        <v>42</v>
      </c>
    </row>
    <row r="16" spans="6:8" ht="15" customHeight="1" x14ac:dyDescent="0.2">
      <c r="G16" s="5">
        <v>15</v>
      </c>
      <c r="H16" s="4" t="s">
        <v>73</v>
      </c>
    </row>
    <row r="17" spans="4:8" ht="15" customHeight="1" x14ac:dyDescent="0.2">
      <c r="G17" s="3">
        <v>16</v>
      </c>
      <c r="H17" s="4" t="s">
        <v>44</v>
      </c>
    </row>
    <row r="18" spans="4:8" ht="15" customHeight="1" x14ac:dyDescent="0.2">
      <c r="G18" s="5">
        <v>17</v>
      </c>
      <c r="H18" s="4" t="s">
        <v>45</v>
      </c>
    </row>
    <row r="19" spans="4:8" ht="15" customHeight="1" x14ac:dyDescent="0.2">
      <c r="G19" s="3">
        <v>18</v>
      </c>
      <c r="H19" s="4" t="s">
        <v>46</v>
      </c>
    </row>
    <row r="20" spans="4:8" ht="15" customHeight="1" x14ac:dyDescent="0.2">
      <c r="G20" s="5">
        <v>19</v>
      </c>
      <c r="H20" s="4" t="s">
        <v>48</v>
      </c>
    </row>
    <row r="21" spans="4:8" ht="15" customHeight="1" x14ac:dyDescent="0.2">
      <c r="G21" s="3">
        <v>20</v>
      </c>
      <c r="H21" s="4" t="s">
        <v>50</v>
      </c>
    </row>
    <row r="22" spans="4:8" ht="15" customHeight="1" x14ac:dyDescent="0.2">
      <c r="G22" s="5">
        <v>21</v>
      </c>
      <c r="H22" s="4" t="s">
        <v>52</v>
      </c>
    </row>
    <row r="23" spans="4:8" ht="15" customHeight="1" x14ac:dyDescent="0.2">
      <c r="G23" s="3">
        <v>22</v>
      </c>
      <c r="H23" s="4" t="s">
        <v>53</v>
      </c>
    </row>
    <row r="24" spans="4:8" ht="15" customHeight="1" x14ac:dyDescent="0.2">
      <c r="G24" s="17">
        <v>23</v>
      </c>
      <c r="H24" s="4" t="s">
        <v>55</v>
      </c>
    </row>
    <row r="25" spans="4:8" ht="15" customHeight="1" x14ac:dyDescent="0.2">
      <c r="G25" s="17">
        <v>24</v>
      </c>
      <c r="H25" s="4" t="s">
        <v>57</v>
      </c>
    </row>
    <row r="26" spans="4:8" ht="15" customHeight="1" x14ac:dyDescent="0.2">
      <c r="G26" s="17">
        <v>25</v>
      </c>
      <c r="H26" s="4" t="s">
        <v>59</v>
      </c>
    </row>
    <row r="27" spans="4:8" ht="15" customHeight="1" x14ac:dyDescent="0.2">
      <c r="G27" s="17">
        <v>26</v>
      </c>
      <c r="H27" s="4" t="s">
        <v>60</v>
      </c>
    </row>
    <row r="28" spans="4:8" ht="15" customHeight="1" x14ac:dyDescent="0.2">
      <c r="G28" s="17">
        <v>27</v>
      </c>
      <c r="H28" s="4" t="s">
        <v>61</v>
      </c>
    </row>
    <row r="29" spans="4:8" ht="15" customHeight="1" x14ac:dyDescent="0.2">
      <c r="G29" s="17">
        <v>28</v>
      </c>
      <c r="H29" s="4" t="s">
        <v>62</v>
      </c>
    </row>
    <row r="30" spans="4:8" ht="15" customHeight="1" x14ac:dyDescent="0.2">
      <c r="G30" s="17">
        <v>29</v>
      </c>
      <c r="H30" s="4" t="s">
        <v>64</v>
      </c>
    </row>
    <row r="31" spans="4:8" ht="15" customHeight="1" x14ac:dyDescent="0.2">
      <c r="G31" s="17">
        <v>30</v>
      </c>
      <c r="H31" s="4" t="s">
        <v>74</v>
      </c>
    </row>
    <row r="32" spans="4:8" ht="15" customHeight="1" x14ac:dyDescent="0.25">
      <c r="D32" s="8" t="s">
        <v>98</v>
      </c>
      <c r="G32" s="17">
        <v>31</v>
      </c>
      <c r="H32" s="4" t="s">
        <v>77</v>
      </c>
    </row>
    <row r="33" spans="1:8" x14ac:dyDescent="0.2">
      <c r="G33" s="17">
        <v>32</v>
      </c>
      <c r="H33" s="4" t="s">
        <v>78</v>
      </c>
    </row>
    <row r="34" spans="1:8" x14ac:dyDescent="0.2">
      <c r="G34" s="19">
        <v>33</v>
      </c>
      <c r="H34" s="18" t="s">
        <v>81</v>
      </c>
    </row>
    <row r="35" spans="1:8" x14ac:dyDescent="0.2">
      <c r="G35" s="19">
        <v>34</v>
      </c>
      <c r="H35" s="4" t="s">
        <v>82</v>
      </c>
    </row>
    <row r="36" spans="1:8" ht="15.75" thickBot="1" x14ac:dyDescent="0.25">
      <c r="G36" s="15">
        <v>35</v>
      </c>
      <c r="H36" s="20" t="s">
        <v>88</v>
      </c>
    </row>
    <row r="37" spans="1:8" ht="15.75" thickBot="1" x14ac:dyDescent="0.25">
      <c r="G37" s="41">
        <v>36</v>
      </c>
      <c r="H37" s="42" t="s">
        <v>95</v>
      </c>
    </row>
    <row r="38" spans="1:8" ht="59.25" customHeight="1" thickBot="1" x14ac:dyDescent="0.25">
      <c r="A38" s="12" t="s">
        <v>11</v>
      </c>
      <c r="B38" s="13" t="s">
        <v>70</v>
      </c>
      <c r="C38" s="13" t="s">
        <v>71</v>
      </c>
      <c r="D38" s="13" t="s">
        <v>72</v>
      </c>
      <c r="E38" s="14"/>
    </row>
    <row r="39" spans="1:8" ht="122.25" customHeight="1" x14ac:dyDescent="0.25">
      <c r="A39" s="21" t="str">
        <f>INSCRITOS!O2</f>
        <v>ADMON DE MEDICAMENTOS</v>
      </c>
      <c r="B39" s="8" t="str">
        <f>IF(A39=$H$19,"https://centrodecapacitaciondelsur.com/o-v-e-",IF(A39=$H$2,"https://centrodecapacitaciondelsur.com/aph-",IF(A39=$H$3,"https://centrodecapacitaciondelsur.com/manejo-del-duelo-",IF(A39=$H$4,"https://centrodecapacitaciondelsur.com/victimas-por-agentes-quimicos-",IF(A39=$H$5,"https://centrodecapacitaciondelsur.com/primeros-auxilios-",IF(A39=$H$6,"https://centrodecapacitaciondelsur.com/uci-",IF(A39=$H$8,"https://centrodecapacitaciondelsur.com/humanizacion-",IF(A39=$H$11,"https://centrodecapacitaciondelsur.com/soporte-cardiovascular-avanzado-",IF(A39=$H$12,"https://centrodecapacitaciondelsur.com/camillero-",IF(A39=$H$13,"https://centrodecapacitaciondelsur.com/toma-de-muestras-y-lab-clinico-",IF(A39=$H$14,"https://centrodecapacitaciondelsur.com/soporte-basico-de-vida-",IF(A39=$H$15,"https://centrodecapacitaciondelsur.com/violencia-sexual-",IF(A39=$H$17,"https://centrodecapacitaciondelsur.com/aiepi-",IF(A39=$H$18,"https://centrodecapacitaciondelsur.com/adm-medicamentos-canalizacion-inyectologia-",IF(A39=$H$25,"https://centrodecapacitaciondelsur.com/manejo-del-dolor-y-cuidados-paliativos-",IF(A39=$H$26,"https://centrodecapacitaciondelsur.com/toma-de-muestras-y-lab-clinico-poct-",IF(A39=$H$27,"https://centrodecapacitaciondelsur.com/implante-subdermico-",IF(A39=$H$21,"https://centrodecapacitaciondelsur.com/donante-de-organos-",IF(A39=$H$30,"https://centrodecapacitaciondelsur.com/atencion-a-victimas-del-conflicto-armado-",IF(A39=$H$20,"https://centrodecapacitaciondelsur.com/iami-",IF(A39=$H$22,"https://centrodecapacitaciondelsur.com/violencia-de-genero-",IF(A39=$H$23,"https://centrodecapacitaciondelsur.com/igualdad-de-genero-",IF(A39=$H$16,"https://centrodecapacitaciondelsur.com/pai-",IF(A39=$H$31,"https://centrodecapacitaciondelsur.com/manipulacion-de-alimentos-",IF(A39=$H$32,"https://centrodecapacitaciondelsur.com/atencion-a-personas-con-discapacidad-",IF(A39=$H$33,"https://centrodecapacitaciondelsur.com/atencion-al-adulto-mayor-",IF(A39=$H$34,"https://centrodecapacitaciondelsur.com/manejo-defensivo-",IF(A39=$H$35,"https://centrodecapacitaciondelsur.com/soporte-basico-neonatal-",IF(A39=$H$36,"https://centrodecapacitaciondelsur.com/seguridad-del-paciente-",IF(A39=$H$37,"https://centrodecapacitaciondelsur.com/manejo-de-residuos-hospitalarios-",IF(A39=$H$10,"https://centrodecapacitaciondelsur.com/toma-de-citologia-",IF(A39=$H$29,"https://centrodecapacitaciondelsur.com/primeros-aux-psicologicos-"))))))))))))))))))))))))))))))))</f>
        <v>https://centrodecapacitaciondelsur.com/adm-medicamentos-canalizacion-inyectologia-</v>
      </c>
      <c r="C39" s="10">
        <f>INSCRITOS!B2</f>
        <v>1089485138</v>
      </c>
      <c r="D39" t="str">
        <f>CONCATENATE(B39,C39,"/")</f>
        <v>https://centrodecapacitaciondelsur.com/adm-medicamentos-canalizacion-inyectologia-1089485138/</v>
      </c>
    </row>
    <row r="40" spans="1:8" ht="127.5" customHeight="1" x14ac:dyDescent="0.25">
      <c r="A40" s="21" t="str">
        <f>INSCRITOS!O3</f>
        <v>PRIMEROS AUXILIOS</v>
      </c>
      <c r="B40" s="8" t="str">
        <f t="shared" ref="B40:B103" si="0">IF(A40=$H$19,"https://centrodecapacitaciondelsur.com/o-v-e-",IF(A40=$H$2,"https://centrodecapacitaciondelsur.com/aph-",IF(A40=$H$3,"https://centrodecapacitaciondelsur.com/manejo-del-duelo-",IF(A40=$H$4,"https://centrodecapacitaciondelsur.com/victimas-por-agentes-quimicos-",IF(A40=$H$5,"https://centrodecapacitaciondelsur.com/primeros-auxilios-",IF(A40=$H$6,"https://centrodecapacitaciondelsur.com/uci-",IF(A40=$H$8,"https://centrodecapacitaciondelsur.com/humanizacion-",IF(A40=$H$11,"https://centrodecapacitaciondelsur.com/soporte-cardiovascular-avanzado-",IF(A40=$H$12,"https://centrodecapacitaciondelsur.com/camillero-",IF(A40=$H$13,"https://centrodecapacitaciondelsur.com/toma-de-muestras-y-lab-clinico-",IF(A40=$H$14,"https://centrodecapacitaciondelsur.com/soporte-basico-de-vida-",IF(A40=$H$15,"https://centrodecapacitaciondelsur.com/violencia-sexual-",IF(A40=$H$17,"https://centrodecapacitaciondelsur.com/aiepi-",IF(A40=$H$18,"https://centrodecapacitaciondelsur.com/adm-medicamentos-canalizacion-inyectologia-",IF(A40=$H$25,"https://centrodecapacitaciondelsur.com/manejo-del-dolor-y-cuidados-paliativos-",IF(A40=$H$26,"https://centrodecapacitaciondelsur.com/toma-de-muestras-y-lab-clinico-poct-",IF(A40=$H$27,"https://centrodecapacitaciondelsur.com/implante-subdermico-",IF(A40=$H$21,"https://centrodecapacitaciondelsur.com/donante-de-organos-",IF(A40=$H$30,"https://centrodecapacitaciondelsur.com/atencion-a-victimas-del-conflicto-armado-",IF(A40=$H$20,"https://centrodecapacitaciondelsur.com/iami-",IF(A40=$H$22,"https://centrodecapacitaciondelsur.com/violencia-de-genero-",IF(A40=$H$23,"https://centrodecapacitaciondelsur.com/igualdad-de-genero-",IF(A40=$H$16,"https://centrodecapacitaciondelsur.com/pai-",IF(A40=$H$31,"https://centrodecapacitaciondelsur.com/manipulacion-de-alimentos-",IF(A40=$H$32,"https://centrodecapacitaciondelsur.com/atencion-a-personas-con-discapacidad-",IF(A40=$H$33,"https://centrodecapacitaciondelsur.com/atencion-al-adulto-mayor-",IF(A40=$H$34,"https://centrodecapacitaciondelsur.com/manejo-defensivo-",IF(A40=$H$35,"https://centrodecapacitaciondelsur.com/soporte-basico-neonatal-",IF(A40=$H$36,"https://centrodecapacitaciondelsur.com/seguridad-del-paciente-",IF(A40=$H$37,"https://centrodecapacitaciondelsur.com/manejo-de-residuos-hospitalarios-",IF(A40=$H$10,"https://centrodecapacitaciondelsur.com/toma-de-citologia-",IF(A40=$H$29,"https://centrodecapacitaciondelsur.com/primeros-aux-psicologicos-"))))))))))))))))))))))))))))))))</f>
        <v>https://centrodecapacitaciondelsur.com/primeros-auxilios-</v>
      </c>
      <c r="C40" s="10">
        <f>INSCRITOS!B3</f>
        <v>1085298006</v>
      </c>
      <c r="D40" t="str">
        <f t="shared" ref="D40:D103" si="1">CONCATENATE(B40,C40,"/")</f>
        <v>https://centrodecapacitaciondelsur.com/primeros-auxilios-1085298006/</v>
      </c>
    </row>
    <row r="41" spans="1:8" ht="122.25" customHeight="1" x14ac:dyDescent="0.25">
      <c r="A41" s="21" t="str">
        <f>INSCRITOS!O4</f>
        <v>PRIMEROS AUXILIOS</v>
      </c>
      <c r="B41" s="8" t="str">
        <f t="shared" si="0"/>
        <v>https://centrodecapacitaciondelsur.com/primeros-auxilios-</v>
      </c>
      <c r="C41" s="10">
        <f>INSCRITOS!B4</f>
        <v>27199385</v>
      </c>
      <c r="D41" t="str">
        <f t="shared" si="1"/>
        <v>https://centrodecapacitaciondelsur.com/primeros-auxilios-27199385/</v>
      </c>
    </row>
    <row r="42" spans="1:8" ht="122.25" customHeight="1" x14ac:dyDescent="0.25">
      <c r="A42" s="21" t="str">
        <f>INSCRITOS!O5</f>
        <v>PRIMEROS AUXILIOS</v>
      </c>
      <c r="B42" s="8" t="str">
        <f t="shared" si="0"/>
        <v>https://centrodecapacitaciondelsur.com/primeros-auxilios-</v>
      </c>
      <c r="C42" s="10">
        <f>INSCRITOS!B5</f>
        <v>1089459181</v>
      </c>
      <c r="D42" t="str">
        <f t="shared" si="1"/>
        <v>https://centrodecapacitaciondelsur.com/primeros-auxilios-1089459181/</v>
      </c>
    </row>
    <row r="43" spans="1:8" ht="122.25" customHeight="1" x14ac:dyDescent="0.25">
      <c r="A43" s="21" t="str">
        <f>INSCRITOS!O6</f>
        <v>PRIMEROS AUXILIOS</v>
      </c>
      <c r="B43" s="8" t="str">
        <f t="shared" si="0"/>
        <v>https://centrodecapacitaciondelsur.com/primeros-auxilios-</v>
      </c>
      <c r="C43" s="10">
        <f>INSCRITOS!B6</f>
        <v>1086364066</v>
      </c>
      <c r="D43" t="str">
        <f t="shared" si="1"/>
        <v>https://centrodecapacitaciondelsur.com/primeros-auxilios-1086364066/</v>
      </c>
    </row>
    <row r="44" spans="1:8" ht="122.25" customHeight="1" x14ac:dyDescent="0.25">
      <c r="A44" s="21" t="str">
        <f>INSCRITOS!O7</f>
        <v>PRIMEROS AUXILIOS</v>
      </c>
      <c r="B44" s="8" t="str">
        <f t="shared" si="0"/>
        <v>https://centrodecapacitaciondelsur.com/primeros-auxilios-</v>
      </c>
      <c r="C44" s="10">
        <f>INSCRITOS!B7</f>
        <v>59124114</v>
      </c>
      <c r="D44" t="str">
        <f t="shared" si="1"/>
        <v>https://centrodecapacitaciondelsur.com/primeros-auxilios-59124114/</v>
      </c>
    </row>
    <row r="45" spans="1:8" ht="122.25" customHeight="1" x14ac:dyDescent="0.25">
      <c r="A45" s="21" t="str">
        <f>INSCRITOS!O8</f>
        <v>PRIMEROS AUXILIOS</v>
      </c>
      <c r="B45" s="8" t="str">
        <f t="shared" si="0"/>
        <v>https://centrodecapacitaciondelsur.com/primeros-auxilios-</v>
      </c>
      <c r="C45" s="10">
        <f>INSCRITOS!B8</f>
        <v>1004742996</v>
      </c>
      <c r="D45" t="str">
        <f t="shared" si="1"/>
        <v>https://centrodecapacitaciondelsur.com/primeros-auxilios-1004742996/</v>
      </c>
    </row>
    <row r="46" spans="1:8" ht="122.25" customHeight="1" x14ac:dyDescent="0.25">
      <c r="A46" s="21" t="str">
        <f>INSCRITOS!O9</f>
        <v>PRIMEROS AUXILIOS</v>
      </c>
      <c r="B46" s="8" t="str">
        <f t="shared" si="0"/>
        <v>https://centrodecapacitaciondelsur.com/primeros-auxilios-</v>
      </c>
      <c r="C46" s="10">
        <f>INSCRITOS!B9</f>
        <v>1107529316</v>
      </c>
      <c r="D46" t="str">
        <f t="shared" si="1"/>
        <v>https://centrodecapacitaciondelsur.com/primeros-auxilios-1107529316/</v>
      </c>
    </row>
    <row r="47" spans="1:8" ht="122.25" customHeight="1" x14ac:dyDescent="0.25">
      <c r="A47" s="21" t="str">
        <f>INSCRITOS!O10</f>
        <v>PRIMEROS AUXILIOS</v>
      </c>
      <c r="B47" s="8" t="str">
        <f t="shared" si="0"/>
        <v>https://centrodecapacitaciondelsur.com/primeros-auxilios-</v>
      </c>
      <c r="C47" s="10">
        <f>INSCRITOS!B10</f>
        <v>1088599756</v>
      </c>
      <c r="D47" t="str">
        <f t="shared" si="1"/>
        <v>https://centrodecapacitaciondelsur.com/primeros-auxilios-1088599756/</v>
      </c>
    </row>
    <row r="48" spans="1:8" ht="122.25" customHeight="1" x14ac:dyDescent="0.25">
      <c r="A48" s="21" t="str">
        <f>INSCRITOS!O11</f>
        <v>PRIMEROS AUXILIOS</v>
      </c>
      <c r="B48" s="8" t="str">
        <f t="shared" si="0"/>
        <v>https://centrodecapacitaciondelsur.com/primeros-auxilios-</v>
      </c>
      <c r="C48" s="10">
        <f>INSCRITOS!B11</f>
        <v>98333387</v>
      </c>
      <c r="D48" t="str">
        <f t="shared" si="1"/>
        <v>https://centrodecapacitaciondelsur.com/primeros-auxilios-98333387/</v>
      </c>
    </row>
    <row r="49" spans="1:4" ht="122.25" customHeight="1" x14ac:dyDescent="0.25">
      <c r="A49" s="21" t="str">
        <f>INSCRITOS!O12</f>
        <v>PRIMEROS AUXILIOS</v>
      </c>
      <c r="B49" s="8" t="str">
        <f t="shared" si="0"/>
        <v>https://centrodecapacitaciondelsur.com/primeros-auxilios-</v>
      </c>
      <c r="C49" s="10">
        <f>INSCRITOS!B12</f>
        <v>1007268022</v>
      </c>
      <c r="D49" t="str">
        <f t="shared" si="1"/>
        <v>https://centrodecapacitaciondelsur.com/primeros-auxilios-1007268022/</v>
      </c>
    </row>
    <row r="50" spans="1:4" ht="122.25" customHeight="1" x14ac:dyDescent="0.25">
      <c r="A50" s="21" t="str">
        <f>INSCRITOS!O13</f>
        <v>VIOLENCIA SEXUAL</v>
      </c>
      <c r="B50" s="8" t="str">
        <f t="shared" si="0"/>
        <v>https://centrodecapacitaciondelsur.com/violencia-sexual-</v>
      </c>
      <c r="C50" s="10">
        <f>INSCRITOS!B13</f>
        <v>1085289481</v>
      </c>
      <c r="D50" t="str">
        <f t="shared" si="1"/>
        <v>https://centrodecapacitaciondelsur.com/violencia-sexual-1085289481/</v>
      </c>
    </row>
    <row r="51" spans="1:4" ht="122.25" customHeight="1" x14ac:dyDescent="0.25">
      <c r="A51" s="21" t="str">
        <f>INSCRITOS!O14</f>
        <v>ACLS</v>
      </c>
      <c r="B51" s="8" t="str">
        <f t="shared" si="0"/>
        <v>https://centrodecapacitaciondelsur.com/soporte-cardiovascular-avanzado-</v>
      </c>
      <c r="C51" s="10">
        <f>INSCRITOS!B14</f>
        <v>1233189736</v>
      </c>
      <c r="D51" t="str">
        <f t="shared" si="1"/>
        <v>https://centrodecapacitaciondelsur.com/soporte-cardiovascular-avanzado-1233189736/</v>
      </c>
    </row>
    <row r="52" spans="1:4" ht="122.25" customHeight="1" x14ac:dyDescent="0.25">
      <c r="A52" s="21" t="str">
        <f>INSCRITOS!O15</f>
        <v>BLS</v>
      </c>
      <c r="B52" s="8" t="str">
        <f t="shared" si="0"/>
        <v>https://centrodecapacitaciondelsur.com/soporte-basico-de-vida-</v>
      </c>
      <c r="C52" s="10">
        <f>INSCRITOS!B15</f>
        <v>1233189736</v>
      </c>
      <c r="D52" t="str">
        <f t="shared" si="1"/>
        <v>https://centrodecapacitaciondelsur.com/soporte-basico-de-vida-1233189736/</v>
      </c>
    </row>
    <row r="53" spans="1:4" ht="122.25" customHeight="1" x14ac:dyDescent="0.25">
      <c r="A53" s="21" t="str">
        <f>INSCRITOS!O16</f>
        <v>VIOLENCIA SEXUAL</v>
      </c>
      <c r="B53" s="8" t="str">
        <f t="shared" si="0"/>
        <v>https://centrodecapacitaciondelsur.com/violencia-sexual-</v>
      </c>
      <c r="C53" s="10">
        <f>INSCRITOS!B16</f>
        <v>1006842356</v>
      </c>
      <c r="D53" t="str">
        <f t="shared" si="1"/>
        <v>https://centrodecapacitaciondelsur.com/violencia-sexual-1006842356/</v>
      </c>
    </row>
    <row r="54" spans="1:4" ht="122.25" customHeight="1" x14ac:dyDescent="0.25">
      <c r="A54" s="21" t="str">
        <f>INSCRITOS!O17</f>
        <v>BLS</v>
      </c>
      <c r="B54" s="8" t="str">
        <f t="shared" si="0"/>
        <v>https://centrodecapacitaciondelsur.com/soporte-basico-de-vida-</v>
      </c>
      <c r="C54" s="10">
        <f>INSCRITOS!B17</f>
        <v>1006842356</v>
      </c>
      <c r="D54" t="str">
        <f t="shared" si="1"/>
        <v>https://centrodecapacitaciondelsur.com/soporte-basico-de-vida-1006842356/</v>
      </c>
    </row>
    <row r="55" spans="1:4" ht="122.25" customHeight="1" x14ac:dyDescent="0.25">
      <c r="A55" s="21" t="str">
        <f>INSCRITOS!O18</f>
        <v>DUELO</v>
      </c>
      <c r="B55" s="8" t="str">
        <f t="shared" si="0"/>
        <v>https://centrodecapacitaciondelsur.com/manejo-del-duelo-</v>
      </c>
      <c r="C55" s="10">
        <f>INSCRITOS!B18</f>
        <v>1006842356</v>
      </c>
      <c r="D55" t="str">
        <f t="shared" si="1"/>
        <v>https://centrodecapacitaciondelsur.com/manejo-del-duelo-1006842356/</v>
      </c>
    </row>
    <row r="56" spans="1:4" ht="122.25" customHeight="1" x14ac:dyDescent="0.25">
      <c r="A56" s="21" t="str">
        <f>INSCRITOS!O19</f>
        <v>QUIMICOS</v>
      </c>
      <c r="B56" s="8" t="str">
        <f t="shared" si="0"/>
        <v>https://centrodecapacitaciondelsur.com/victimas-por-agentes-quimicos-</v>
      </c>
      <c r="C56" s="10">
        <f>INSCRITOS!B19</f>
        <v>1006842356</v>
      </c>
      <c r="D56" t="str">
        <f t="shared" si="1"/>
        <v>https://centrodecapacitaciondelsur.com/victimas-por-agentes-quimicos-1006842356/</v>
      </c>
    </row>
    <row r="57" spans="1:4" ht="122.25" customHeight="1" x14ac:dyDescent="0.25">
      <c r="A57" s="21" t="str">
        <f>INSCRITOS!O20</f>
        <v>VIOLENCIA SEXUAL</v>
      </c>
      <c r="B57" s="8" t="str">
        <f t="shared" si="0"/>
        <v>https://centrodecapacitaciondelsur.com/violencia-sexual-</v>
      </c>
      <c r="C57" s="10">
        <f>INSCRITOS!B20</f>
        <v>1006789113</v>
      </c>
      <c r="D57" t="str">
        <f t="shared" si="1"/>
        <v>https://centrodecapacitaciondelsur.com/violencia-sexual-1006789113/</v>
      </c>
    </row>
    <row r="58" spans="1:4" ht="122.25" customHeight="1" x14ac:dyDescent="0.25">
      <c r="A58" s="21" t="str">
        <f>INSCRITOS!O21</f>
        <v>QUIMICOS</v>
      </c>
      <c r="B58" s="8" t="str">
        <f t="shared" si="0"/>
        <v>https://centrodecapacitaciondelsur.com/victimas-por-agentes-quimicos-</v>
      </c>
      <c r="C58" s="10">
        <f>INSCRITOS!B21</f>
        <v>1006789113</v>
      </c>
      <c r="D58" t="str">
        <f t="shared" si="1"/>
        <v>https://centrodecapacitaciondelsur.com/victimas-por-agentes-quimicos-1006789113/</v>
      </c>
    </row>
    <row r="59" spans="1:4" ht="122.25" customHeight="1" x14ac:dyDescent="0.25">
      <c r="A59" s="21" t="str">
        <f>INSCRITOS!O22</f>
        <v>HUMANIZACION</v>
      </c>
      <c r="B59" s="8" t="str">
        <f t="shared" si="0"/>
        <v>https://centrodecapacitaciondelsur.com/humanizacion-</v>
      </c>
      <c r="C59" s="10">
        <f>INSCRITOS!B22</f>
        <v>1006789113</v>
      </c>
      <c r="D59" t="str">
        <f t="shared" si="1"/>
        <v>https://centrodecapacitaciondelsur.com/humanizacion-1006789113/</v>
      </c>
    </row>
    <row r="60" spans="1:4" ht="122.25" customHeight="1" x14ac:dyDescent="0.25">
      <c r="A60" s="21" t="str">
        <f>INSCRITOS!O23</f>
        <v>VIOLENCIA SEXUAL</v>
      </c>
      <c r="B60" s="8" t="str">
        <f t="shared" si="0"/>
        <v>https://centrodecapacitaciondelsur.com/violencia-sexual-</v>
      </c>
      <c r="C60" s="10">
        <f>INSCRITOS!B23</f>
        <v>1004694958</v>
      </c>
      <c r="D60" t="str">
        <f t="shared" si="1"/>
        <v>https://centrodecapacitaciondelsur.com/violencia-sexual-1004694958/</v>
      </c>
    </row>
    <row r="61" spans="1:4" ht="122.25" customHeight="1" x14ac:dyDescent="0.25">
      <c r="A61" s="21" t="str">
        <f>INSCRITOS!O24</f>
        <v>QUIMICOS</v>
      </c>
      <c r="B61" s="8" t="str">
        <f t="shared" si="0"/>
        <v>https://centrodecapacitaciondelsur.com/victimas-por-agentes-quimicos-</v>
      </c>
      <c r="C61" s="10">
        <f>INSCRITOS!B24</f>
        <v>1004694958</v>
      </c>
      <c r="D61" t="str">
        <f t="shared" si="1"/>
        <v>https://centrodecapacitaciondelsur.com/victimas-por-agentes-quimicos-1004694958/</v>
      </c>
    </row>
    <row r="62" spans="1:4" ht="122.25" customHeight="1" x14ac:dyDescent="0.25">
      <c r="A62" s="21" t="str">
        <f>INSCRITOS!O25</f>
        <v>HUMANIZACION</v>
      </c>
      <c r="B62" s="8" t="str">
        <f t="shared" si="0"/>
        <v>https://centrodecapacitaciondelsur.com/humanizacion-</v>
      </c>
      <c r="C62" s="10">
        <f>INSCRITOS!B25</f>
        <v>1004694958</v>
      </c>
      <c r="D62" t="str">
        <f t="shared" si="1"/>
        <v>https://centrodecapacitaciondelsur.com/humanizacion-1004694958/</v>
      </c>
    </row>
    <row r="63" spans="1:4" ht="122.25" customHeight="1" x14ac:dyDescent="0.25">
      <c r="A63" s="21" t="str">
        <f>INSCRITOS!O26</f>
        <v>PRIMEROS AUXILIOS</v>
      </c>
      <c r="B63" s="8" t="str">
        <f t="shared" si="0"/>
        <v>https://centrodecapacitaciondelsur.com/primeros-auxilios-</v>
      </c>
      <c r="C63" s="10">
        <f>INSCRITOS!B26</f>
        <v>1193405960</v>
      </c>
      <c r="D63" t="str">
        <f t="shared" si="1"/>
        <v>https://centrodecapacitaciondelsur.com/primeros-auxilios-1193405960/</v>
      </c>
    </row>
    <row r="64" spans="1:4" ht="122.25" customHeight="1" x14ac:dyDescent="0.25">
      <c r="A64" s="21" t="str">
        <f>INSCRITOS!O27</f>
        <v>PRIMEROS AUXILIOS</v>
      </c>
      <c r="B64" s="8" t="str">
        <f t="shared" si="0"/>
        <v>https://centrodecapacitaciondelsur.com/primeros-auxilios-</v>
      </c>
      <c r="C64" s="10">
        <f>INSCRITOS!B27</f>
        <v>1089459756</v>
      </c>
      <c r="D64" t="str">
        <f t="shared" si="1"/>
        <v>https://centrodecapacitaciondelsur.com/primeros-auxilios-1089459756/</v>
      </c>
    </row>
    <row r="65" spans="1:4" ht="122.25" customHeight="1" x14ac:dyDescent="0.25">
      <c r="A65" s="21" t="str">
        <f>INSCRITOS!O28</f>
        <v>PRIMEROS AUXILIOS</v>
      </c>
      <c r="B65" s="8" t="str">
        <f t="shared" si="0"/>
        <v>https://centrodecapacitaciondelsur.com/primeros-auxilios-</v>
      </c>
      <c r="C65" s="10">
        <f>INSCRITOS!B28</f>
        <v>1004548184</v>
      </c>
      <c r="D65" t="str">
        <f t="shared" si="1"/>
        <v>https://centrodecapacitaciondelsur.com/primeros-auxilios-1004548184/</v>
      </c>
    </row>
    <row r="66" spans="1:4" ht="122.25" customHeight="1" x14ac:dyDescent="0.25">
      <c r="A66" s="21" t="str">
        <f>INSCRITOS!O29</f>
        <v>PRIMEROS AUXILIOS</v>
      </c>
      <c r="B66" s="8" t="str">
        <f t="shared" si="0"/>
        <v>https://centrodecapacitaciondelsur.com/primeros-auxilios-</v>
      </c>
      <c r="C66" s="10">
        <f>INSCRITOS!B29</f>
        <v>1089459350</v>
      </c>
      <c r="D66" t="str">
        <f t="shared" si="1"/>
        <v>https://centrodecapacitaciondelsur.com/primeros-auxilios-1089459350/</v>
      </c>
    </row>
    <row r="67" spans="1:4" ht="122.25" customHeight="1" x14ac:dyDescent="0.25">
      <c r="A67" s="21" t="str">
        <f>INSCRITOS!O30</f>
        <v>HUMANIZACION</v>
      </c>
      <c r="B67" s="8" t="str">
        <f t="shared" si="0"/>
        <v>https://centrodecapacitaciondelsur.com/humanizacion-</v>
      </c>
      <c r="C67" s="10">
        <f>INSCRITOS!B30</f>
        <v>1089030278</v>
      </c>
      <c r="D67" t="str">
        <f t="shared" si="1"/>
        <v>https://centrodecapacitaciondelsur.com/humanizacion-1089030278/</v>
      </c>
    </row>
    <row r="68" spans="1:4" ht="122.25" customHeight="1" x14ac:dyDescent="0.25">
      <c r="A68" s="21" t="e">
        <f>INSCRITOS!#REF!</f>
        <v>#REF!</v>
      </c>
      <c r="B68" s="8" t="e">
        <f t="shared" si="0"/>
        <v>#REF!</v>
      </c>
      <c r="C68" s="10" t="e">
        <f>INSCRITOS!#REF!</f>
        <v>#REF!</v>
      </c>
      <c r="D68" t="e">
        <f t="shared" si="1"/>
        <v>#REF!</v>
      </c>
    </row>
    <row r="69" spans="1:4" ht="122.25" customHeight="1" x14ac:dyDescent="0.25">
      <c r="A69" s="21" t="e">
        <f>INSCRITOS!#REF!</f>
        <v>#REF!</v>
      </c>
      <c r="B69" s="8" t="e">
        <f t="shared" si="0"/>
        <v>#REF!</v>
      </c>
      <c r="C69" s="10" t="e">
        <f>INSCRITOS!#REF!</f>
        <v>#REF!</v>
      </c>
      <c r="D69" t="e">
        <f t="shared" si="1"/>
        <v>#REF!</v>
      </c>
    </row>
    <row r="70" spans="1:4" ht="122.25" customHeight="1" x14ac:dyDescent="0.25">
      <c r="A70" s="21" t="e">
        <f>INSCRITOS!#REF!</f>
        <v>#REF!</v>
      </c>
      <c r="B70" s="8" t="e">
        <f t="shared" si="0"/>
        <v>#REF!</v>
      </c>
      <c r="C70" s="10" t="e">
        <f>INSCRITOS!#REF!</f>
        <v>#REF!</v>
      </c>
      <c r="D70" t="e">
        <f t="shared" si="1"/>
        <v>#REF!</v>
      </c>
    </row>
    <row r="71" spans="1:4" ht="122.25" customHeight="1" x14ac:dyDescent="0.25">
      <c r="A71" s="21" t="e">
        <f>INSCRITOS!#REF!</f>
        <v>#REF!</v>
      </c>
      <c r="B71" s="8" t="e">
        <f t="shared" si="0"/>
        <v>#REF!</v>
      </c>
      <c r="C71" s="10" t="e">
        <f>INSCRITOS!#REF!</f>
        <v>#REF!</v>
      </c>
      <c r="D71" t="e">
        <f t="shared" si="1"/>
        <v>#REF!</v>
      </c>
    </row>
    <row r="72" spans="1:4" ht="122.25" customHeight="1" x14ac:dyDescent="0.25">
      <c r="A72" s="21" t="e">
        <f>INSCRITOS!#REF!</f>
        <v>#REF!</v>
      </c>
      <c r="B72" s="8" t="e">
        <f t="shared" si="0"/>
        <v>#REF!</v>
      </c>
      <c r="C72" s="10" t="e">
        <f>INSCRITOS!#REF!</f>
        <v>#REF!</v>
      </c>
      <c r="D72" t="e">
        <f t="shared" si="1"/>
        <v>#REF!</v>
      </c>
    </row>
    <row r="73" spans="1:4" ht="122.25" customHeight="1" x14ac:dyDescent="0.25">
      <c r="A73" s="21" t="e">
        <f>INSCRITOS!#REF!</f>
        <v>#REF!</v>
      </c>
      <c r="B73" s="8" t="e">
        <f t="shared" si="0"/>
        <v>#REF!</v>
      </c>
      <c r="C73" s="10" t="e">
        <f>INSCRITOS!#REF!</f>
        <v>#REF!</v>
      </c>
      <c r="D73" t="e">
        <f t="shared" si="1"/>
        <v>#REF!</v>
      </c>
    </row>
    <row r="74" spans="1:4" ht="122.25" customHeight="1" x14ac:dyDescent="0.25">
      <c r="A74" s="21" t="e">
        <f>INSCRITOS!#REF!</f>
        <v>#REF!</v>
      </c>
      <c r="B74" s="8" t="e">
        <f t="shared" si="0"/>
        <v>#REF!</v>
      </c>
      <c r="C74" s="10" t="e">
        <f>INSCRITOS!#REF!</f>
        <v>#REF!</v>
      </c>
      <c r="D74" t="e">
        <f t="shared" si="1"/>
        <v>#REF!</v>
      </c>
    </row>
    <row r="75" spans="1:4" ht="122.25" customHeight="1" x14ac:dyDescent="0.25">
      <c r="A75" s="21" t="e">
        <f>INSCRITOS!#REF!</f>
        <v>#REF!</v>
      </c>
      <c r="B75" s="8" t="e">
        <f t="shared" si="0"/>
        <v>#REF!</v>
      </c>
      <c r="C75" s="10" t="e">
        <f>INSCRITOS!#REF!</f>
        <v>#REF!</v>
      </c>
      <c r="D75" t="e">
        <f t="shared" si="1"/>
        <v>#REF!</v>
      </c>
    </row>
    <row r="76" spans="1:4" ht="122.25" customHeight="1" x14ac:dyDescent="0.25">
      <c r="A76" s="21" t="e">
        <f>INSCRITOS!#REF!</f>
        <v>#REF!</v>
      </c>
      <c r="B76" s="8" t="e">
        <f t="shared" si="0"/>
        <v>#REF!</v>
      </c>
      <c r="C76" s="10" t="e">
        <f>INSCRITOS!#REF!</f>
        <v>#REF!</v>
      </c>
      <c r="D76" t="e">
        <f t="shared" si="1"/>
        <v>#REF!</v>
      </c>
    </row>
    <row r="77" spans="1:4" ht="122.25" customHeight="1" x14ac:dyDescent="0.25">
      <c r="A77" s="21" t="e">
        <f>INSCRITOS!#REF!</f>
        <v>#REF!</v>
      </c>
      <c r="B77" s="8" t="e">
        <f t="shared" si="0"/>
        <v>#REF!</v>
      </c>
      <c r="C77" s="10" t="e">
        <f>INSCRITOS!#REF!</f>
        <v>#REF!</v>
      </c>
      <c r="D77" t="e">
        <f t="shared" si="1"/>
        <v>#REF!</v>
      </c>
    </row>
    <row r="78" spans="1:4" ht="122.25" customHeight="1" x14ac:dyDescent="0.25">
      <c r="A78" s="21" t="e">
        <f>INSCRITOS!#REF!</f>
        <v>#REF!</v>
      </c>
      <c r="B78" s="8" t="e">
        <f t="shared" si="0"/>
        <v>#REF!</v>
      </c>
      <c r="C78" s="10" t="e">
        <f>INSCRITOS!#REF!</f>
        <v>#REF!</v>
      </c>
      <c r="D78" t="e">
        <f t="shared" si="1"/>
        <v>#REF!</v>
      </c>
    </row>
    <row r="79" spans="1:4" ht="122.25" customHeight="1" x14ac:dyDescent="0.25">
      <c r="A79" s="21" t="e">
        <f>INSCRITOS!#REF!</f>
        <v>#REF!</v>
      </c>
      <c r="B79" s="8" t="e">
        <f t="shared" si="0"/>
        <v>#REF!</v>
      </c>
      <c r="C79" s="10" t="e">
        <f>INSCRITOS!#REF!</f>
        <v>#REF!</v>
      </c>
      <c r="D79" t="e">
        <f t="shared" si="1"/>
        <v>#REF!</v>
      </c>
    </row>
    <row r="80" spans="1:4" ht="122.25" customHeight="1" x14ac:dyDescent="0.25">
      <c r="A80" s="21" t="str">
        <f>INSCRITOS!O31</f>
        <v>QUIMICOS</v>
      </c>
      <c r="B80" s="8" t="str">
        <f t="shared" si="0"/>
        <v>https://centrodecapacitaciondelsur.com/victimas-por-agentes-quimicos-</v>
      </c>
      <c r="C80" s="10">
        <f>INSCRITOS!B31</f>
        <v>1061757423</v>
      </c>
      <c r="D80" t="str">
        <f t="shared" si="1"/>
        <v>https://centrodecapacitaciondelsur.com/victimas-por-agentes-quimicos-1061757423/</v>
      </c>
    </row>
    <row r="81" spans="1:4" ht="122.25" customHeight="1" x14ac:dyDescent="0.25">
      <c r="A81" s="21" t="str">
        <f>INSCRITOS!O32</f>
        <v>PALIATIVOS</v>
      </c>
      <c r="B81" s="8" t="str">
        <f t="shared" si="0"/>
        <v>https://centrodecapacitaciondelsur.com/manejo-del-dolor-y-cuidados-paliativos-</v>
      </c>
      <c r="C81" s="10">
        <f>INSCRITOS!B32</f>
        <v>1061757423</v>
      </c>
      <c r="D81" t="str">
        <f t="shared" si="1"/>
        <v>https://centrodecapacitaciondelsur.com/manejo-del-dolor-y-cuidados-paliativos-1061757423/</v>
      </c>
    </row>
    <row r="82" spans="1:4" ht="122.25" customHeight="1" x14ac:dyDescent="0.25">
      <c r="A82" s="21" t="str">
        <f>INSCRITOS!O33</f>
        <v>DUELO</v>
      </c>
      <c r="B82" s="8" t="str">
        <f t="shared" si="0"/>
        <v>https://centrodecapacitaciondelsur.com/manejo-del-duelo-</v>
      </c>
      <c r="C82" s="10">
        <f>INSCRITOS!B33</f>
        <v>1061757423</v>
      </c>
      <c r="D82" t="str">
        <f t="shared" si="1"/>
        <v>https://centrodecapacitaciondelsur.com/manejo-del-duelo-1061757423/</v>
      </c>
    </row>
    <row r="83" spans="1:4" ht="122.25" customHeight="1" x14ac:dyDescent="0.25">
      <c r="A83" s="21" t="str">
        <f>INSCRITOS!O34</f>
        <v>Triage</v>
      </c>
      <c r="B83" s="8" t="b">
        <f t="shared" si="0"/>
        <v>0</v>
      </c>
      <c r="C83" s="10">
        <f>INSCRITOS!B34</f>
        <v>1087122975</v>
      </c>
      <c r="D83" s="8" t="s">
        <v>196</v>
      </c>
    </row>
    <row r="84" spans="1:4" ht="122.25" customHeight="1" x14ac:dyDescent="0.25">
      <c r="A84" s="21" t="str">
        <f>INSCRITOS!O35</f>
        <v>IAMI</v>
      </c>
      <c r="B84" s="8" t="str">
        <f t="shared" si="0"/>
        <v>https://centrodecapacitaciondelsur.com/iami-</v>
      </c>
      <c r="C84" s="10">
        <f>INSCRITOS!B35</f>
        <v>1087122975</v>
      </c>
      <c r="D84" t="str">
        <f t="shared" si="1"/>
        <v>https://centrodecapacitaciondelsur.com/iami-1087122975/</v>
      </c>
    </row>
    <row r="85" spans="1:4" ht="122.25" customHeight="1" x14ac:dyDescent="0.25">
      <c r="A85" s="21" t="str">
        <f>INSCRITOS!O36</f>
        <v>AIEPI</v>
      </c>
      <c r="B85" s="8" t="str">
        <f t="shared" si="0"/>
        <v>https://centrodecapacitaciondelsur.com/aiepi-</v>
      </c>
      <c r="C85" s="10">
        <f>INSCRITOS!B36</f>
        <v>1087122975</v>
      </c>
      <c r="D85" t="str">
        <f t="shared" si="1"/>
        <v>https://centrodecapacitaciondelsur.com/aiepi-1087122975/</v>
      </c>
    </row>
    <row r="86" spans="1:4" ht="122.25" customHeight="1" x14ac:dyDescent="0.25">
      <c r="A86" s="21" t="str">
        <f>INSCRITOS!O37</f>
        <v>BLS</v>
      </c>
      <c r="B86" s="8" t="str">
        <f t="shared" si="0"/>
        <v>https://centrodecapacitaciondelsur.com/soporte-basico-de-vida-</v>
      </c>
      <c r="C86" s="10">
        <f>INSCRITOS!B37</f>
        <v>16502526</v>
      </c>
      <c r="D86" t="str">
        <f t="shared" si="1"/>
        <v>https://centrodecapacitaciondelsur.com/soporte-basico-de-vida-16502526/</v>
      </c>
    </row>
    <row r="87" spans="1:4" ht="122.25" customHeight="1" x14ac:dyDescent="0.25">
      <c r="A87" s="21" t="str">
        <f>INSCRITOS!O38</f>
        <v>BLS</v>
      </c>
      <c r="B87" s="8" t="str">
        <f t="shared" si="0"/>
        <v>https://centrodecapacitaciondelsur.com/soporte-basico-de-vida-</v>
      </c>
      <c r="C87" s="10">
        <f>INSCRITOS!B38</f>
        <v>1088737462</v>
      </c>
      <c r="D87" t="str">
        <f t="shared" si="1"/>
        <v>https://centrodecapacitaciondelsur.com/soporte-basico-de-vida-1088737462/</v>
      </c>
    </row>
    <row r="88" spans="1:4" ht="122.25" customHeight="1" x14ac:dyDescent="0.25">
      <c r="A88" s="21" t="str">
        <f>INSCRITOS!O39</f>
        <v>VIOLENCIA SEXUAL</v>
      </c>
      <c r="B88" s="8" t="str">
        <f t="shared" si="0"/>
        <v>https://centrodecapacitaciondelsur.com/violencia-sexual-</v>
      </c>
      <c r="C88" s="10">
        <f>INSCRITOS!B39</f>
        <v>1088737462</v>
      </c>
      <c r="D88" t="str">
        <f t="shared" si="1"/>
        <v>https://centrodecapacitaciondelsur.com/violencia-sexual-1088737462/</v>
      </c>
    </row>
    <row r="89" spans="1:4" ht="122.25" customHeight="1" x14ac:dyDescent="0.25">
      <c r="A89" s="21" t="str">
        <f>INSCRITOS!O40</f>
        <v>QUIMICOS</v>
      </c>
      <c r="B89" s="8" t="str">
        <f t="shared" si="0"/>
        <v>https://centrodecapacitaciondelsur.com/victimas-por-agentes-quimicos-</v>
      </c>
      <c r="C89" s="10">
        <f>INSCRITOS!B40</f>
        <v>1088737462</v>
      </c>
      <c r="D89" t="str">
        <f t="shared" si="1"/>
        <v>https://centrodecapacitaciondelsur.com/victimas-por-agentes-quimicos-1088737462/</v>
      </c>
    </row>
    <row r="90" spans="1:4" ht="122.25" customHeight="1" x14ac:dyDescent="0.25">
      <c r="A90" s="21" t="str">
        <f>INSCRITOS!O41</f>
        <v>AIEPI</v>
      </c>
      <c r="B90" s="8" t="str">
        <f t="shared" si="0"/>
        <v>https://centrodecapacitaciondelsur.com/aiepi-</v>
      </c>
      <c r="C90" s="10">
        <f>INSCRITOS!B41</f>
        <v>1004696103</v>
      </c>
      <c r="D90" t="str">
        <f t="shared" si="1"/>
        <v>https://centrodecapacitaciondelsur.com/aiepi-1004696103/</v>
      </c>
    </row>
    <row r="91" spans="1:4" ht="122.25" customHeight="1" x14ac:dyDescent="0.25">
      <c r="A91" s="21" t="str">
        <f>INSCRITOS!O42</f>
        <v>HUMANIZACION</v>
      </c>
      <c r="B91" s="8" t="str">
        <f t="shared" si="0"/>
        <v>https://centrodecapacitaciondelsur.com/humanizacion-</v>
      </c>
      <c r="C91" s="10">
        <f>INSCRITOS!B42</f>
        <v>1004696103</v>
      </c>
      <c r="D91" t="str">
        <f t="shared" si="1"/>
        <v>https://centrodecapacitaciondelsur.com/humanizacion-1004696103/</v>
      </c>
    </row>
    <row r="92" spans="1:4" ht="122.25" customHeight="1" x14ac:dyDescent="0.25">
      <c r="A92" s="21" t="str">
        <f>INSCRITOS!O43</f>
        <v>ACLS</v>
      </c>
      <c r="B92" s="8" t="str">
        <f t="shared" si="0"/>
        <v>https://centrodecapacitaciondelsur.com/soporte-cardiovascular-avanzado-</v>
      </c>
      <c r="C92" s="10">
        <f>INSCRITOS!B43</f>
        <v>1004696103</v>
      </c>
      <c r="D92" t="str">
        <f t="shared" si="1"/>
        <v>https://centrodecapacitaciondelsur.com/soporte-cardiovascular-avanzado-1004696103/</v>
      </c>
    </row>
    <row r="93" spans="1:4" ht="122.25" customHeight="1" x14ac:dyDescent="0.25">
      <c r="A93" s="21" t="str">
        <f>INSCRITOS!O44</f>
        <v>QUIMICOS</v>
      </c>
      <c r="B93" s="8" t="str">
        <f t="shared" si="0"/>
        <v>https://centrodecapacitaciondelsur.com/victimas-por-agentes-quimicos-</v>
      </c>
      <c r="C93" s="10">
        <f>INSCRITOS!B44</f>
        <v>1004696103</v>
      </c>
      <c r="D93" t="str">
        <f t="shared" si="1"/>
        <v>https://centrodecapacitaciondelsur.com/victimas-por-agentes-quimicos-1004696103/</v>
      </c>
    </row>
    <row r="94" spans="1:4" ht="122.25" customHeight="1" x14ac:dyDescent="0.25">
      <c r="A94" s="21" t="str">
        <f>INSCRITOS!O45</f>
        <v>VIOLENCIA SEXUAL</v>
      </c>
      <c r="B94" s="8" t="str">
        <f t="shared" si="0"/>
        <v>https://centrodecapacitaciondelsur.com/violencia-sexual-</v>
      </c>
      <c r="C94" s="10">
        <f>INSCRITOS!B45</f>
        <v>1004696103</v>
      </c>
      <c r="D94" t="str">
        <f t="shared" si="1"/>
        <v>https://centrodecapacitaciondelsur.com/violencia-sexual-1004696103/</v>
      </c>
    </row>
    <row r="95" spans="1:4" ht="122.25" customHeight="1" x14ac:dyDescent="0.25">
      <c r="A95" s="21" t="str">
        <f>INSCRITOS!O46</f>
        <v>HUMANIZACION</v>
      </c>
      <c r="B95" s="8" t="str">
        <f t="shared" si="0"/>
        <v>https://centrodecapacitaciondelsur.com/humanizacion-</v>
      </c>
      <c r="C95" s="10">
        <f>INSCRITOS!B46</f>
        <v>59395859</v>
      </c>
      <c r="D95" t="str">
        <f t="shared" si="1"/>
        <v>https://centrodecapacitaciondelsur.com/humanizacion-59395859/</v>
      </c>
    </row>
    <row r="96" spans="1:4" ht="122.25" customHeight="1" x14ac:dyDescent="0.25">
      <c r="A96" s="21" t="str">
        <f>INSCRITOS!O47</f>
        <v>VIOLENCIA SEXUAL</v>
      </c>
      <c r="B96" s="8" t="str">
        <f t="shared" si="0"/>
        <v>https://centrodecapacitaciondelsur.com/violencia-sexual-</v>
      </c>
      <c r="C96" s="10">
        <f>INSCRITOS!B47</f>
        <v>1085269667</v>
      </c>
      <c r="D96" t="str">
        <f t="shared" si="1"/>
        <v>https://centrodecapacitaciondelsur.com/violencia-sexual-1085269667/</v>
      </c>
    </row>
    <row r="97" spans="1:4" ht="122.25" customHeight="1" x14ac:dyDescent="0.25">
      <c r="A97" s="21" t="str">
        <f>INSCRITOS!O48</f>
        <v>QUIMICOS</v>
      </c>
      <c r="B97" s="8" t="str">
        <f t="shared" si="0"/>
        <v>https://centrodecapacitaciondelsur.com/victimas-por-agentes-quimicos-</v>
      </c>
      <c r="C97" s="10">
        <f>INSCRITOS!B48</f>
        <v>1085269667</v>
      </c>
      <c r="D97" t="str">
        <f t="shared" si="1"/>
        <v>https://centrodecapacitaciondelsur.com/victimas-por-agentes-quimicos-1085269667/</v>
      </c>
    </row>
    <row r="98" spans="1:4" ht="122.25" customHeight="1" x14ac:dyDescent="0.25">
      <c r="A98" s="21" t="str">
        <f>INSCRITOS!O49</f>
        <v>HUMANIZACION</v>
      </c>
      <c r="B98" s="8" t="str">
        <f t="shared" si="0"/>
        <v>https://centrodecapacitaciondelsur.com/humanizacion-</v>
      </c>
      <c r="C98" s="10">
        <f>INSCRITOS!B49</f>
        <v>1085269667</v>
      </c>
      <c r="D98" t="str">
        <f t="shared" si="1"/>
        <v>https://centrodecapacitaciondelsur.com/humanizacion-1085269667/</v>
      </c>
    </row>
    <row r="99" spans="1:4" ht="122.25" customHeight="1" x14ac:dyDescent="0.25">
      <c r="A99" s="21" t="str">
        <f>INSCRITOS!O50</f>
        <v>PRIMEROS AUXILIOS P</v>
      </c>
      <c r="B99" s="8" t="str">
        <f t="shared" si="0"/>
        <v>https://centrodecapacitaciondelsur.com/primeros-aux-psicologicos-</v>
      </c>
      <c r="C99" s="10">
        <f>INSCRITOS!B50</f>
        <v>1085269667</v>
      </c>
      <c r="D99" t="str">
        <f t="shared" si="1"/>
        <v>https://centrodecapacitaciondelsur.com/primeros-aux-psicologicos-1085269667/</v>
      </c>
    </row>
    <row r="100" spans="1:4" ht="122.25" customHeight="1" x14ac:dyDescent="0.25">
      <c r="A100" s="21" t="str">
        <f>INSCRITOS!O51</f>
        <v>DUELO</v>
      </c>
      <c r="B100" s="8" t="str">
        <f t="shared" si="0"/>
        <v>https://centrodecapacitaciondelsur.com/manejo-del-duelo-</v>
      </c>
      <c r="C100" s="10">
        <f>INSCRITOS!B51</f>
        <v>1085269667</v>
      </c>
      <c r="D100" t="str">
        <f t="shared" si="1"/>
        <v>https://centrodecapacitaciondelsur.com/manejo-del-duelo-1085269667/</v>
      </c>
    </row>
    <row r="101" spans="1:4" ht="122.25" customHeight="1" x14ac:dyDescent="0.25">
      <c r="A101" s="21" t="str">
        <f>INSCRITOS!O52</f>
        <v>ACLS</v>
      </c>
      <c r="B101" s="8" t="str">
        <f t="shared" si="0"/>
        <v>https://centrodecapacitaciondelsur.com/soporte-cardiovascular-avanzado-</v>
      </c>
      <c r="C101" s="10">
        <f>INSCRITOS!B52</f>
        <v>59795680</v>
      </c>
      <c r="D101" t="str">
        <f t="shared" si="1"/>
        <v>https://centrodecapacitaciondelsur.com/soporte-cardiovascular-avanzado-59795680/</v>
      </c>
    </row>
    <row r="102" spans="1:4" ht="122.25" customHeight="1" x14ac:dyDescent="0.25">
      <c r="A102" s="21" t="str">
        <f>INSCRITOS!O53</f>
        <v>QUIMICOS</v>
      </c>
      <c r="B102" s="8" t="str">
        <f t="shared" si="0"/>
        <v>https://centrodecapacitaciondelsur.com/victimas-por-agentes-quimicos-</v>
      </c>
      <c r="C102" s="10">
        <f>INSCRITOS!B53</f>
        <v>59795680</v>
      </c>
      <c r="D102" t="str">
        <f t="shared" si="1"/>
        <v>https://centrodecapacitaciondelsur.com/victimas-por-agentes-quimicos-59795680/</v>
      </c>
    </row>
    <row r="103" spans="1:4" ht="122.25" customHeight="1" x14ac:dyDescent="0.25">
      <c r="A103" s="21" t="str">
        <f>INSCRITOS!O54</f>
        <v>DUELO</v>
      </c>
      <c r="B103" s="8" t="str">
        <f t="shared" si="0"/>
        <v>https://centrodecapacitaciondelsur.com/manejo-del-duelo-</v>
      </c>
      <c r="C103" s="10">
        <f>INSCRITOS!B54</f>
        <v>59795680</v>
      </c>
      <c r="D103" t="str">
        <f t="shared" si="1"/>
        <v>https://centrodecapacitaciondelsur.com/manejo-del-duelo-59795680/</v>
      </c>
    </row>
    <row r="104" spans="1:4" ht="122.25" customHeight="1" x14ac:dyDescent="0.25">
      <c r="A104" s="21" t="str">
        <f>INSCRITOS!O55</f>
        <v>VIOLENCIA SEXUAL</v>
      </c>
      <c r="B104" s="8" t="str">
        <f t="shared" ref="B104:B167" si="2">IF(A104=$H$19,"https://centrodecapacitaciondelsur.com/o-v-e-",IF(A104=$H$2,"https://centrodecapacitaciondelsur.com/aph-",IF(A104=$H$3,"https://centrodecapacitaciondelsur.com/manejo-del-duelo-",IF(A104=$H$4,"https://centrodecapacitaciondelsur.com/victimas-por-agentes-quimicos-",IF(A104=$H$5,"https://centrodecapacitaciondelsur.com/primeros-auxilios-",IF(A104=$H$6,"https://centrodecapacitaciondelsur.com/uci-",IF(A104=$H$8,"https://centrodecapacitaciondelsur.com/humanizacion-",IF(A104=$H$11,"https://centrodecapacitaciondelsur.com/soporte-cardiovascular-avanzado-",IF(A104=$H$12,"https://centrodecapacitaciondelsur.com/camillero-",IF(A104=$H$13,"https://centrodecapacitaciondelsur.com/toma-de-muestras-y-lab-clinico-",IF(A104=$H$14,"https://centrodecapacitaciondelsur.com/soporte-basico-de-vida-",IF(A104=$H$15,"https://centrodecapacitaciondelsur.com/violencia-sexual-",IF(A104=$H$17,"https://centrodecapacitaciondelsur.com/aiepi-",IF(A104=$H$18,"https://centrodecapacitaciondelsur.com/adm-medicamentos-canalizacion-inyectologia-",IF(A104=$H$25,"https://centrodecapacitaciondelsur.com/manejo-del-dolor-y-cuidados-paliativos-",IF(A104=$H$26,"https://centrodecapacitaciondelsur.com/toma-de-muestras-y-lab-clinico-poct-",IF(A104=$H$27,"https://centrodecapacitaciondelsur.com/implante-subdermico-",IF(A104=$H$21,"https://centrodecapacitaciondelsur.com/donante-de-organos-",IF(A104=$H$30,"https://centrodecapacitaciondelsur.com/atencion-a-victimas-del-conflicto-armado-",IF(A104=$H$20,"https://centrodecapacitaciondelsur.com/iami-",IF(A104=$H$22,"https://centrodecapacitaciondelsur.com/violencia-de-genero-",IF(A104=$H$23,"https://centrodecapacitaciondelsur.com/igualdad-de-genero-",IF(A104=$H$16,"https://centrodecapacitaciondelsur.com/pai-",IF(A104=$H$31,"https://centrodecapacitaciondelsur.com/manipulacion-de-alimentos-",IF(A104=$H$32,"https://centrodecapacitaciondelsur.com/atencion-a-personas-con-discapacidad-",IF(A104=$H$33,"https://centrodecapacitaciondelsur.com/atencion-al-adulto-mayor-",IF(A104=$H$34,"https://centrodecapacitaciondelsur.com/manejo-defensivo-",IF(A104=$H$35,"https://centrodecapacitaciondelsur.com/soporte-basico-neonatal-",IF(A104=$H$36,"https://centrodecapacitaciondelsur.com/seguridad-del-paciente-",IF(A104=$H$37,"https://centrodecapacitaciondelsur.com/manejo-de-residuos-hospitalarios-",IF(A104=$H$10,"https://centrodecapacitaciondelsur.com/toma-de-citologia-",IF(A104=$H$29,"https://centrodecapacitaciondelsur.com/primeros-aux-psicologicos-"))))))))))))))))))))))))))))))))</f>
        <v>https://centrodecapacitaciondelsur.com/violencia-sexual-</v>
      </c>
      <c r="C104" s="10">
        <f>INSCRITOS!B55</f>
        <v>59795680</v>
      </c>
      <c r="D104" t="str">
        <f t="shared" ref="D104:D167" si="3">CONCATENATE(B104,C104,"/")</f>
        <v>https://centrodecapacitaciondelsur.com/violencia-sexual-59795680/</v>
      </c>
    </row>
    <row r="105" spans="1:4" ht="122.25" customHeight="1" x14ac:dyDescent="0.25">
      <c r="A105" s="21" t="str">
        <f>INSCRITOS!O56</f>
        <v>HUMANIZACION</v>
      </c>
      <c r="B105" s="8" t="str">
        <f t="shared" si="2"/>
        <v>https://centrodecapacitaciondelsur.com/humanizacion-</v>
      </c>
      <c r="C105" s="10">
        <f>INSCRITOS!B56</f>
        <v>59795680</v>
      </c>
      <c r="D105" t="str">
        <f t="shared" si="3"/>
        <v>https://centrodecapacitaciondelsur.com/humanizacion-59795680/</v>
      </c>
    </row>
    <row r="106" spans="1:4" ht="122.25" customHeight="1" x14ac:dyDescent="0.25">
      <c r="A106" s="21" t="str">
        <f>INSCRITOS!O57</f>
        <v>AIEPI</v>
      </c>
      <c r="B106" s="8" t="str">
        <f t="shared" si="2"/>
        <v>https://centrodecapacitaciondelsur.com/aiepi-</v>
      </c>
      <c r="C106" s="10">
        <f>INSCRITOS!B57</f>
        <v>59795680</v>
      </c>
      <c r="D106" t="str">
        <f t="shared" si="3"/>
        <v>https://centrodecapacitaciondelsur.com/aiepi-59795680/</v>
      </c>
    </row>
    <row r="107" spans="1:4" ht="122.25" customHeight="1" x14ac:dyDescent="0.25">
      <c r="A107" s="21" t="str">
        <f>INSCRITOS!O58</f>
        <v>BLS</v>
      </c>
      <c r="B107" s="8" t="str">
        <f t="shared" si="2"/>
        <v>https://centrodecapacitaciondelsur.com/soporte-basico-de-vida-</v>
      </c>
      <c r="C107" s="10">
        <f>INSCRITOS!B58</f>
        <v>59795680</v>
      </c>
      <c r="D107" t="str">
        <f t="shared" si="3"/>
        <v>https://centrodecapacitaciondelsur.com/soporte-basico-de-vida-59795680/</v>
      </c>
    </row>
    <row r="108" spans="1:4" ht="122.25" customHeight="1" x14ac:dyDescent="0.25">
      <c r="A108" s="21" t="str">
        <f>INSCRITOS!O59</f>
        <v>CONFLICTO ARMADO</v>
      </c>
      <c r="B108" s="8" t="str">
        <f t="shared" si="2"/>
        <v>https://centrodecapacitaciondelsur.com/atencion-a-victimas-del-conflicto-armado-</v>
      </c>
      <c r="C108" s="10">
        <f>INSCRITOS!B59</f>
        <v>1088733829</v>
      </c>
      <c r="D108" t="str">
        <f t="shared" si="3"/>
        <v>https://centrodecapacitaciondelsur.com/atencion-a-victimas-del-conflicto-armado-1088733829/</v>
      </c>
    </row>
    <row r="109" spans="1:4" ht="122.25" customHeight="1" x14ac:dyDescent="0.25">
      <c r="A109" s="21" t="str">
        <f>INSCRITOS!O60</f>
        <v>BLS</v>
      </c>
      <c r="B109" s="8" t="str">
        <f t="shared" si="2"/>
        <v>https://centrodecapacitaciondelsur.com/soporte-basico-de-vida-</v>
      </c>
      <c r="C109" s="10">
        <f>INSCRITOS!B60</f>
        <v>1004696103</v>
      </c>
      <c r="D109" t="str">
        <f t="shared" si="3"/>
        <v>https://centrodecapacitaciondelsur.com/soporte-basico-de-vida-1004696103/</v>
      </c>
    </row>
    <row r="110" spans="1:4" ht="122.25" customHeight="1" x14ac:dyDescent="0.25">
      <c r="A110" s="21" t="str">
        <f>INSCRITOS!O61</f>
        <v>HUMANIZACION</v>
      </c>
      <c r="B110" s="8" t="str">
        <f t="shared" si="2"/>
        <v>https://centrodecapacitaciondelsur.com/humanizacion-</v>
      </c>
      <c r="C110" s="10">
        <f>INSCRITOS!B61</f>
        <v>1233193095</v>
      </c>
      <c r="D110" t="str">
        <f t="shared" si="3"/>
        <v>https://centrodecapacitaciondelsur.com/humanizacion-1233193095/</v>
      </c>
    </row>
    <row r="111" spans="1:4" ht="122.25" customHeight="1" x14ac:dyDescent="0.25">
      <c r="A111" s="21" t="str">
        <f>INSCRITOS!O62</f>
        <v>QUIMICOS</v>
      </c>
      <c r="B111" s="8" t="str">
        <f t="shared" si="2"/>
        <v>https://centrodecapacitaciondelsur.com/victimas-por-agentes-quimicos-</v>
      </c>
      <c r="C111" s="10">
        <f>INSCRITOS!B62</f>
        <v>1233193095</v>
      </c>
      <c r="D111" t="str">
        <f t="shared" si="3"/>
        <v>https://centrodecapacitaciondelsur.com/victimas-por-agentes-quimicos-1233193095/</v>
      </c>
    </row>
    <row r="112" spans="1:4" ht="122.25" customHeight="1" x14ac:dyDescent="0.25">
      <c r="A112" s="21" t="str">
        <f>INSCRITOS!O63</f>
        <v>VIOLENCIA SEXUAL</v>
      </c>
      <c r="B112" s="8" t="str">
        <f t="shared" si="2"/>
        <v>https://centrodecapacitaciondelsur.com/violencia-sexual-</v>
      </c>
      <c r="C112" s="10">
        <f>INSCRITOS!B63</f>
        <v>1233193095</v>
      </c>
      <c r="D112" t="str">
        <f t="shared" si="3"/>
        <v>https://centrodecapacitaciondelsur.com/violencia-sexual-1233193095/</v>
      </c>
    </row>
    <row r="113" spans="1:4" ht="122.25" customHeight="1" x14ac:dyDescent="0.25">
      <c r="A113" s="21" t="str">
        <f>INSCRITOS!O64</f>
        <v>BLS</v>
      </c>
      <c r="B113" s="8" t="str">
        <f t="shared" si="2"/>
        <v>https://centrodecapacitaciondelsur.com/soporte-basico-de-vida-</v>
      </c>
      <c r="C113" s="10">
        <f>INSCRITOS!B64</f>
        <v>59395650</v>
      </c>
      <c r="D113" t="str">
        <f t="shared" si="3"/>
        <v>https://centrodecapacitaciondelsur.com/soporte-basico-de-vida-59395650/</v>
      </c>
    </row>
    <row r="114" spans="1:4" ht="122.25" customHeight="1" x14ac:dyDescent="0.25">
      <c r="A114" s="21" t="str">
        <f>INSCRITOS!O65</f>
        <v>QUIMICOS</v>
      </c>
      <c r="B114" s="8" t="str">
        <f t="shared" si="2"/>
        <v>https://centrodecapacitaciondelsur.com/victimas-por-agentes-quimicos-</v>
      </c>
      <c r="C114" s="10">
        <f>INSCRITOS!B65</f>
        <v>59395650</v>
      </c>
      <c r="D114" t="str">
        <f t="shared" si="3"/>
        <v>https://centrodecapacitaciondelsur.com/victimas-por-agentes-quimicos-59395650/</v>
      </c>
    </row>
    <row r="115" spans="1:4" ht="122.25" customHeight="1" x14ac:dyDescent="0.25">
      <c r="A115" s="21" t="str">
        <f>INSCRITOS!O66</f>
        <v>DUELO</v>
      </c>
      <c r="B115" s="8" t="str">
        <f t="shared" si="2"/>
        <v>https://centrodecapacitaciondelsur.com/manejo-del-duelo-</v>
      </c>
      <c r="C115" s="10">
        <f>INSCRITOS!B66</f>
        <v>59395650</v>
      </c>
      <c r="D115" t="str">
        <f t="shared" si="3"/>
        <v>https://centrodecapacitaciondelsur.com/manejo-del-duelo-59395650/</v>
      </c>
    </row>
    <row r="116" spans="1:4" ht="122.25" customHeight="1" x14ac:dyDescent="0.25">
      <c r="A116" s="21" t="str">
        <f>INSCRITOS!O67</f>
        <v>VIOLENCIA SEXUAL</v>
      </c>
      <c r="B116" s="8" t="str">
        <f t="shared" si="2"/>
        <v>https://centrodecapacitaciondelsur.com/violencia-sexual-</v>
      </c>
      <c r="C116" s="10">
        <f>INSCRITOS!B67</f>
        <v>59395650</v>
      </c>
      <c r="D116" t="str">
        <f t="shared" si="3"/>
        <v>https://centrodecapacitaciondelsur.com/violencia-sexual-59395650/</v>
      </c>
    </row>
    <row r="117" spans="1:4" ht="122.25" customHeight="1" x14ac:dyDescent="0.25">
      <c r="A117" s="21" t="str">
        <f>INSCRITOS!O68</f>
        <v>DUELO</v>
      </c>
      <c r="B117" s="8" t="str">
        <f t="shared" si="2"/>
        <v>https://centrodecapacitaciondelsur.com/manejo-del-duelo-</v>
      </c>
      <c r="C117" s="10">
        <f>INSCRITOS!B68</f>
        <v>1004696103</v>
      </c>
      <c r="D117" t="str">
        <f t="shared" si="3"/>
        <v>https://centrodecapacitaciondelsur.com/manejo-del-duelo-1004696103/</v>
      </c>
    </row>
    <row r="118" spans="1:4" ht="122.25" customHeight="1" x14ac:dyDescent="0.25">
      <c r="A118" s="21" t="str">
        <f>INSCRITOS!O69</f>
        <v>VIOLENCIA SEXUAL</v>
      </c>
      <c r="B118" s="8" t="str">
        <f t="shared" si="2"/>
        <v>https://centrodecapacitaciondelsur.com/violencia-sexual-</v>
      </c>
      <c r="C118" s="10">
        <f>INSCRITOS!B69</f>
        <v>1004696402</v>
      </c>
      <c r="D118" t="str">
        <f t="shared" si="3"/>
        <v>https://centrodecapacitaciondelsur.com/violencia-sexual-1004696402/</v>
      </c>
    </row>
    <row r="119" spans="1:4" ht="122.25" customHeight="1" x14ac:dyDescent="0.25">
      <c r="A119" s="21" t="str">
        <f>INSCRITOS!O70</f>
        <v>DUELO</v>
      </c>
      <c r="B119" s="8" t="str">
        <f t="shared" si="2"/>
        <v>https://centrodecapacitaciondelsur.com/manejo-del-duelo-</v>
      </c>
      <c r="C119" s="10">
        <f>INSCRITOS!B70</f>
        <v>1004696402</v>
      </c>
      <c r="D119" t="str">
        <f t="shared" si="3"/>
        <v>https://centrodecapacitaciondelsur.com/manejo-del-duelo-1004696402/</v>
      </c>
    </row>
    <row r="120" spans="1:4" ht="122.25" customHeight="1" x14ac:dyDescent="0.25">
      <c r="A120" s="21" t="str">
        <f>INSCRITOS!O71</f>
        <v>HUMANIZACION</v>
      </c>
      <c r="B120" s="8" t="str">
        <f t="shared" si="2"/>
        <v>https://centrodecapacitaciondelsur.com/humanizacion-</v>
      </c>
      <c r="C120" s="10">
        <f>INSCRITOS!B71</f>
        <v>1004696402</v>
      </c>
      <c r="D120" t="str">
        <f t="shared" si="3"/>
        <v>https://centrodecapacitaciondelsur.com/humanizacion-1004696402/</v>
      </c>
    </row>
    <row r="121" spans="1:4" ht="122.25" customHeight="1" x14ac:dyDescent="0.25">
      <c r="A121" s="21" t="str">
        <f>INSCRITOS!O72</f>
        <v>QUIMICOS</v>
      </c>
      <c r="B121" s="8" t="str">
        <f t="shared" si="2"/>
        <v>https://centrodecapacitaciondelsur.com/victimas-por-agentes-quimicos-</v>
      </c>
      <c r="C121" s="10">
        <f>INSCRITOS!B72</f>
        <v>1004696402</v>
      </c>
      <c r="D121" t="str">
        <f t="shared" si="3"/>
        <v>https://centrodecapacitaciondelsur.com/victimas-por-agentes-quimicos-1004696402/</v>
      </c>
    </row>
    <row r="122" spans="1:4" ht="122.25" customHeight="1" x14ac:dyDescent="0.25">
      <c r="A122" s="21" t="str">
        <f>INSCRITOS!O73</f>
        <v>ACLS</v>
      </c>
      <c r="B122" s="8" t="str">
        <f t="shared" si="2"/>
        <v>https://centrodecapacitaciondelsur.com/soporte-cardiovascular-avanzado-</v>
      </c>
      <c r="C122" s="10">
        <f>INSCRITOS!B73</f>
        <v>59795157</v>
      </c>
      <c r="D122" t="str">
        <f t="shared" si="3"/>
        <v>https://centrodecapacitaciondelsur.com/soporte-cardiovascular-avanzado-59795157/</v>
      </c>
    </row>
    <row r="123" spans="1:4" ht="122.25" customHeight="1" x14ac:dyDescent="0.25">
      <c r="A123" s="21" t="str">
        <f>INSCRITOS!O74</f>
        <v>AIEPI</v>
      </c>
      <c r="B123" s="8" t="str">
        <f t="shared" si="2"/>
        <v>https://centrodecapacitaciondelsur.com/aiepi-</v>
      </c>
      <c r="C123" s="10">
        <f>INSCRITOS!B74</f>
        <v>59795157</v>
      </c>
      <c r="D123" t="str">
        <f t="shared" si="3"/>
        <v>https://centrodecapacitaciondelsur.com/aiepi-59795157/</v>
      </c>
    </row>
    <row r="124" spans="1:4" ht="122.25" customHeight="1" x14ac:dyDescent="0.25">
      <c r="A124" s="21" t="str">
        <f>INSCRITOS!O75</f>
        <v>VIOLENCIA SEXUAL</v>
      </c>
      <c r="B124" s="8" t="str">
        <f t="shared" si="2"/>
        <v>https://centrodecapacitaciondelsur.com/violencia-sexual-</v>
      </c>
      <c r="C124" s="10">
        <f>INSCRITOS!B75</f>
        <v>59313661</v>
      </c>
      <c r="D124" t="str">
        <f t="shared" si="3"/>
        <v>https://centrodecapacitaciondelsur.com/violencia-sexual-59313661/</v>
      </c>
    </row>
    <row r="125" spans="1:4" ht="122.25" customHeight="1" x14ac:dyDescent="0.25">
      <c r="A125" s="21" t="str">
        <f>INSCRITOS!O76</f>
        <v>BLS</v>
      </c>
      <c r="B125" s="8" t="str">
        <f t="shared" si="2"/>
        <v>https://centrodecapacitaciondelsur.com/soporte-basico-de-vida-</v>
      </c>
      <c r="C125" s="10">
        <f>INSCRITOS!B76</f>
        <v>59795157</v>
      </c>
      <c r="D125" t="str">
        <f t="shared" si="3"/>
        <v>https://centrodecapacitaciondelsur.com/soporte-basico-de-vida-59795157/</v>
      </c>
    </row>
    <row r="126" spans="1:4" ht="122.25" customHeight="1" x14ac:dyDescent="0.25">
      <c r="A126" s="21" t="str">
        <f>INSCRITOS!O77</f>
        <v>ACLS</v>
      </c>
      <c r="B126" s="8" t="str">
        <f t="shared" si="2"/>
        <v>https://centrodecapacitaciondelsur.com/soporte-cardiovascular-avanzado-</v>
      </c>
      <c r="C126" s="10">
        <f>INSCRITOS!B77</f>
        <v>1088731913</v>
      </c>
      <c r="D126" t="str">
        <f t="shared" si="3"/>
        <v>https://centrodecapacitaciondelsur.com/soporte-cardiovascular-avanzado-1088731913/</v>
      </c>
    </row>
    <row r="127" spans="1:4" ht="122.25" customHeight="1" x14ac:dyDescent="0.25">
      <c r="A127" s="21" t="str">
        <f>INSCRITOS!O78</f>
        <v>BLS</v>
      </c>
      <c r="B127" s="8" t="str">
        <f t="shared" si="2"/>
        <v>https://centrodecapacitaciondelsur.com/soporte-basico-de-vida-</v>
      </c>
      <c r="C127" s="10">
        <f>INSCRITOS!B78</f>
        <v>1088731913</v>
      </c>
      <c r="D127" t="str">
        <f t="shared" si="3"/>
        <v>https://centrodecapacitaciondelsur.com/soporte-basico-de-vida-1088731913/</v>
      </c>
    </row>
    <row r="128" spans="1:4" ht="122.25" customHeight="1" x14ac:dyDescent="0.25">
      <c r="A128" s="21" t="str">
        <f>INSCRITOS!O79</f>
        <v>VIOLENCIA SEXUAL</v>
      </c>
      <c r="B128" s="8" t="str">
        <f t="shared" si="2"/>
        <v>https://centrodecapacitaciondelsur.com/violencia-sexual-</v>
      </c>
      <c r="C128" s="10">
        <f>INSCRITOS!B79</f>
        <v>1088731913</v>
      </c>
      <c r="D128" t="str">
        <f t="shared" si="3"/>
        <v>https://centrodecapacitaciondelsur.com/violencia-sexual-1088731913/</v>
      </c>
    </row>
    <row r="129" spans="1:4" ht="122.25" customHeight="1" x14ac:dyDescent="0.25">
      <c r="A129" s="21" t="str">
        <f>INSCRITOS!O80</f>
        <v>QUIMICOS</v>
      </c>
      <c r="B129" s="8" t="str">
        <f t="shared" si="2"/>
        <v>https://centrodecapacitaciondelsur.com/victimas-por-agentes-quimicos-</v>
      </c>
      <c r="C129" s="10">
        <f>INSCRITOS!B80</f>
        <v>1088731913</v>
      </c>
      <c r="D129" t="str">
        <f t="shared" si="3"/>
        <v>https://centrodecapacitaciondelsur.com/victimas-por-agentes-quimicos-1088731913/</v>
      </c>
    </row>
    <row r="130" spans="1:4" ht="122.25" customHeight="1" x14ac:dyDescent="0.25">
      <c r="A130" s="21" t="str">
        <f>INSCRITOS!O81</f>
        <v>AIEPI</v>
      </c>
      <c r="B130" s="8" t="str">
        <f t="shared" si="2"/>
        <v>https://centrodecapacitaciondelsur.com/aiepi-</v>
      </c>
      <c r="C130" s="10">
        <f>INSCRITOS!B81</f>
        <v>1088731913</v>
      </c>
      <c r="D130" t="str">
        <f t="shared" si="3"/>
        <v>https://centrodecapacitaciondelsur.com/aiepi-1088731913/</v>
      </c>
    </row>
    <row r="131" spans="1:4" ht="122.25" customHeight="1" x14ac:dyDescent="0.25">
      <c r="A131" s="21" t="str">
        <f>INSCRITOS!O82</f>
        <v>DUELO</v>
      </c>
      <c r="B131" s="8" t="str">
        <f t="shared" si="2"/>
        <v>https://centrodecapacitaciondelsur.com/manejo-del-duelo-</v>
      </c>
      <c r="C131" s="10">
        <f>INSCRITOS!B82</f>
        <v>1088731913</v>
      </c>
      <c r="D131" t="str">
        <f t="shared" si="3"/>
        <v>https://centrodecapacitaciondelsur.com/manejo-del-duelo-1088731913/</v>
      </c>
    </row>
    <row r="132" spans="1:4" ht="122.25" customHeight="1" x14ac:dyDescent="0.25">
      <c r="A132" s="21" t="str">
        <f>INSCRITOS!O83</f>
        <v>HUMANIZACION</v>
      </c>
      <c r="B132" s="8" t="str">
        <f t="shared" si="2"/>
        <v>https://centrodecapacitaciondelsur.com/humanizacion-</v>
      </c>
      <c r="C132" s="10">
        <f>INSCRITOS!B83</f>
        <v>1088731913</v>
      </c>
      <c r="D132" t="str">
        <f t="shared" si="3"/>
        <v>https://centrodecapacitaciondelsur.com/humanizacion-1088731913/</v>
      </c>
    </row>
    <row r="133" spans="1:4" ht="122.25" customHeight="1" x14ac:dyDescent="0.25">
      <c r="A133" s="21" t="str">
        <f>INSCRITOS!O84</f>
        <v>DUELO</v>
      </c>
      <c r="B133" s="8" t="str">
        <f t="shared" si="2"/>
        <v>https://centrodecapacitaciondelsur.com/manejo-del-duelo-</v>
      </c>
      <c r="C133" s="10">
        <f>INSCRITOS!B84</f>
        <v>1088737462</v>
      </c>
      <c r="D133" t="str">
        <f t="shared" si="3"/>
        <v>https://centrodecapacitaciondelsur.com/manejo-del-duelo-1088737462/</v>
      </c>
    </row>
    <row r="134" spans="1:4" ht="122.25" customHeight="1" x14ac:dyDescent="0.25">
      <c r="A134" s="21" t="str">
        <f>INSCRITOS!O85</f>
        <v>VIOLENCIA SEXUAL</v>
      </c>
      <c r="B134" s="8" t="str">
        <f t="shared" si="2"/>
        <v>https://centrodecapacitaciondelsur.com/violencia-sexual-</v>
      </c>
      <c r="C134" s="10">
        <f>INSCRITOS!B85</f>
        <v>1061798009</v>
      </c>
      <c r="D134" t="str">
        <f t="shared" si="3"/>
        <v>https://centrodecapacitaciondelsur.com/violencia-sexual-1061798009/</v>
      </c>
    </row>
    <row r="135" spans="1:4" ht="122.25" customHeight="1" x14ac:dyDescent="0.25">
      <c r="A135" s="21" t="str">
        <f>INSCRITOS!O86</f>
        <v>VIOLENCIA SEXUAL</v>
      </c>
      <c r="B135" s="8" t="str">
        <f t="shared" si="2"/>
        <v>https://centrodecapacitaciondelsur.com/violencia-sexual-</v>
      </c>
      <c r="C135" s="10">
        <f>INSCRITOS!B86</f>
        <v>1004695565</v>
      </c>
      <c r="D135" t="str">
        <f t="shared" si="3"/>
        <v>https://centrodecapacitaciondelsur.com/violencia-sexual-1004695565/</v>
      </c>
    </row>
    <row r="136" spans="1:4" ht="122.25" customHeight="1" x14ac:dyDescent="0.25">
      <c r="A136" s="21" t="str">
        <f>INSCRITOS!O87</f>
        <v>HUMANIZACION</v>
      </c>
      <c r="B136" s="8" t="str">
        <f t="shared" si="2"/>
        <v>https://centrodecapacitaciondelsur.com/humanizacion-</v>
      </c>
      <c r="C136" s="10">
        <f>INSCRITOS!B87</f>
        <v>1004695565</v>
      </c>
      <c r="D136" t="str">
        <f t="shared" si="3"/>
        <v>https://centrodecapacitaciondelsur.com/humanizacion-1004695565/</v>
      </c>
    </row>
    <row r="137" spans="1:4" ht="122.25" customHeight="1" x14ac:dyDescent="0.25">
      <c r="A137" s="21" t="str">
        <f>INSCRITOS!O88</f>
        <v>DUELO</v>
      </c>
      <c r="B137" s="8" t="str">
        <f t="shared" si="2"/>
        <v>https://centrodecapacitaciondelsur.com/manejo-del-duelo-</v>
      </c>
      <c r="C137" s="10">
        <f>INSCRITOS!B88</f>
        <v>1085688829</v>
      </c>
      <c r="D137" t="str">
        <f t="shared" si="3"/>
        <v>https://centrodecapacitaciondelsur.com/manejo-del-duelo-1085688829/</v>
      </c>
    </row>
    <row r="138" spans="1:4" ht="122.25" customHeight="1" x14ac:dyDescent="0.25">
      <c r="A138" s="21" t="str">
        <f>INSCRITOS!O89</f>
        <v>QUIMICOS</v>
      </c>
      <c r="B138" s="8" t="str">
        <f t="shared" si="2"/>
        <v>https://centrodecapacitaciondelsur.com/victimas-por-agentes-quimicos-</v>
      </c>
      <c r="C138" s="10">
        <f>INSCRITOS!B89</f>
        <v>1085688829</v>
      </c>
      <c r="D138" t="str">
        <f t="shared" si="3"/>
        <v>https://centrodecapacitaciondelsur.com/victimas-por-agentes-quimicos-1085688829/</v>
      </c>
    </row>
    <row r="139" spans="1:4" ht="122.25" customHeight="1" x14ac:dyDescent="0.25">
      <c r="A139" s="21" t="str">
        <f>INSCRITOS!O90</f>
        <v>VIOLENCIA SEXUAL</v>
      </c>
      <c r="B139" s="8" t="str">
        <f t="shared" si="2"/>
        <v>https://centrodecapacitaciondelsur.com/violencia-sexual-</v>
      </c>
      <c r="C139" s="10">
        <f>INSCRITOS!B90</f>
        <v>1085688829</v>
      </c>
      <c r="D139" t="str">
        <f t="shared" si="3"/>
        <v>https://centrodecapacitaciondelsur.com/violencia-sexual-1085688829/</v>
      </c>
    </row>
    <row r="140" spans="1:4" ht="122.25" customHeight="1" x14ac:dyDescent="0.25">
      <c r="A140" s="21" t="str">
        <f>INSCRITOS!O91</f>
        <v>VIOLENCIA SEXUAL</v>
      </c>
      <c r="B140" s="8" t="str">
        <f t="shared" si="2"/>
        <v>https://centrodecapacitaciondelsur.com/violencia-sexual-</v>
      </c>
      <c r="C140" s="10">
        <f>INSCRITOS!B91</f>
        <v>1085259246</v>
      </c>
      <c r="D140" t="str">
        <f t="shared" si="3"/>
        <v>https://centrodecapacitaciondelsur.com/violencia-sexual-1085259246/</v>
      </c>
    </row>
    <row r="141" spans="1:4" ht="122.25" customHeight="1" x14ac:dyDescent="0.25">
      <c r="A141" s="21" t="e">
        <f>INSCRITOS!#REF!</f>
        <v>#REF!</v>
      </c>
      <c r="B141" s="8" t="e">
        <f t="shared" si="2"/>
        <v>#REF!</v>
      </c>
      <c r="C141" s="10" t="e">
        <f>INSCRITOS!#REF!</f>
        <v>#REF!</v>
      </c>
      <c r="D141" t="e">
        <f t="shared" si="3"/>
        <v>#REF!</v>
      </c>
    </row>
    <row r="142" spans="1:4" ht="122.25" customHeight="1" x14ac:dyDescent="0.25">
      <c r="A142" s="21" t="str">
        <f>INSCRITOS!O92</f>
        <v>VIOLENCIA SEXUAL</v>
      </c>
      <c r="B142" s="8" t="str">
        <f t="shared" si="2"/>
        <v>https://centrodecapacitaciondelsur.com/violencia-sexual-</v>
      </c>
      <c r="C142" s="10">
        <f>INSCRITOS!B92</f>
        <v>1020716205</v>
      </c>
      <c r="D142" t="str">
        <f t="shared" si="3"/>
        <v>https://centrodecapacitaciondelsur.com/violencia-sexual-1020716205/</v>
      </c>
    </row>
    <row r="143" spans="1:4" ht="122.25" customHeight="1" x14ac:dyDescent="0.25">
      <c r="A143" s="21" t="str">
        <f>INSCRITOS!O93</f>
        <v>VIOLENCIA SEXUAL</v>
      </c>
      <c r="B143" s="8" t="str">
        <f t="shared" si="2"/>
        <v>https://centrodecapacitaciondelsur.com/violencia-sexual-</v>
      </c>
      <c r="C143" s="10">
        <f>INSCRITOS!B93</f>
        <v>9872812</v>
      </c>
      <c r="D143" t="str">
        <f t="shared" si="3"/>
        <v>https://centrodecapacitaciondelsur.com/violencia-sexual-9872812/</v>
      </c>
    </row>
    <row r="144" spans="1:4" ht="122.25" customHeight="1" x14ac:dyDescent="0.25">
      <c r="A144" s="21" t="str">
        <f>INSCRITOS!O94</f>
        <v>ACLS</v>
      </c>
      <c r="B144" s="8" t="str">
        <f t="shared" si="2"/>
        <v>https://centrodecapacitaciondelsur.com/soporte-cardiovascular-avanzado-</v>
      </c>
      <c r="C144" s="10">
        <f>INSCRITOS!B94</f>
        <v>1085269667</v>
      </c>
      <c r="D144" t="str">
        <f t="shared" si="3"/>
        <v>https://centrodecapacitaciondelsur.com/soporte-cardiovascular-avanzado-1085269667/</v>
      </c>
    </row>
    <row r="145" spans="1:4" ht="122.25" customHeight="1" x14ac:dyDescent="0.25">
      <c r="A145" s="21" t="str">
        <f>INSCRITOS!O95</f>
        <v>AIEPI</v>
      </c>
      <c r="B145" s="8" t="str">
        <f t="shared" si="2"/>
        <v>https://centrodecapacitaciondelsur.com/aiepi-</v>
      </c>
      <c r="C145" s="10">
        <f>INSCRITOS!B95</f>
        <v>1085269667</v>
      </c>
      <c r="D145" t="str">
        <f t="shared" si="3"/>
        <v>https://centrodecapacitaciondelsur.com/aiepi-1085269667/</v>
      </c>
    </row>
    <row r="146" spans="1:4" ht="122.25" customHeight="1" x14ac:dyDescent="0.25">
      <c r="A146" s="21" t="str">
        <f>INSCRITOS!O96</f>
        <v>BLS</v>
      </c>
      <c r="B146" s="8" t="str">
        <f t="shared" si="2"/>
        <v>https://centrodecapacitaciondelsur.com/soporte-basico-de-vida-</v>
      </c>
      <c r="C146" s="10">
        <f>INSCRITOS!B96</f>
        <v>1085269667</v>
      </c>
      <c r="D146" t="str">
        <f t="shared" si="3"/>
        <v>https://centrodecapacitaciondelsur.com/soporte-basico-de-vida-1085269667/</v>
      </c>
    </row>
    <row r="147" spans="1:4" ht="122.25" customHeight="1" x14ac:dyDescent="0.25">
      <c r="A147" s="21" t="str">
        <f>INSCRITOS!O97</f>
        <v>VIOLENCIA DE GENERO</v>
      </c>
      <c r="B147" s="8" t="str">
        <f t="shared" si="2"/>
        <v>https://centrodecapacitaciondelsur.com/violencia-de-genero-</v>
      </c>
      <c r="C147" s="10">
        <f>INSCRITOS!B97</f>
        <v>1003149827</v>
      </c>
      <c r="D147" t="str">
        <f t="shared" si="3"/>
        <v>https://centrodecapacitaciondelsur.com/violencia-de-genero-1003149827/</v>
      </c>
    </row>
    <row r="148" spans="1:4" ht="122.25" customHeight="1" x14ac:dyDescent="0.25">
      <c r="A148" s="21" t="str">
        <f>INSCRITOS!O98</f>
        <v>CONFLICTO ARMADO</v>
      </c>
      <c r="B148" s="8" t="str">
        <f t="shared" si="2"/>
        <v>https://centrodecapacitaciondelsur.com/atencion-a-victimas-del-conflicto-armado-</v>
      </c>
      <c r="C148" s="10">
        <f>INSCRITOS!B98</f>
        <v>1233193095</v>
      </c>
      <c r="D148" t="str">
        <f t="shared" si="3"/>
        <v>https://centrodecapacitaciondelsur.com/atencion-a-victimas-del-conflicto-armado-1233193095/</v>
      </c>
    </row>
    <row r="149" spans="1:4" ht="122.25" customHeight="1" x14ac:dyDescent="0.25">
      <c r="A149" s="21" t="str">
        <f>INSCRITOS!O99</f>
        <v>HUMANIZACION</v>
      </c>
      <c r="B149" s="8" t="str">
        <f t="shared" si="2"/>
        <v>https://centrodecapacitaciondelsur.com/humanizacion-</v>
      </c>
      <c r="C149" s="10">
        <f>INSCRITOS!B99</f>
        <v>12752302</v>
      </c>
      <c r="D149" t="str">
        <f t="shared" si="3"/>
        <v>https://centrodecapacitaciondelsur.com/humanizacion-12752302/</v>
      </c>
    </row>
    <row r="150" spans="1:4" ht="122.25" customHeight="1" x14ac:dyDescent="0.25">
      <c r="A150" s="21" t="str">
        <f>INSCRITOS!O100</f>
        <v>DUELO</v>
      </c>
      <c r="B150" s="8" t="str">
        <f t="shared" si="2"/>
        <v>https://centrodecapacitaciondelsur.com/manejo-del-duelo-</v>
      </c>
      <c r="C150" s="10">
        <f>INSCRITOS!B100</f>
        <v>12752302</v>
      </c>
      <c r="D150" t="str">
        <f t="shared" si="3"/>
        <v>https://centrodecapacitaciondelsur.com/manejo-del-duelo-12752302/</v>
      </c>
    </row>
    <row r="151" spans="1:4" ht="122.25" customHeight="1" x14ac:dyDescent="0.25">
      <c r="A151" s="21" t="str">
        <f>INSCRITOS!O101</f>
        <v>HUMANIZACION</v>
      </c>
      <c r="B151" s="8" t="str">
        <f t="shared" si="2"/>
        <v>https://centrodecapacitaciondelsur.com/humanizacion-</v>
      </c>
      <c r="C151" s="10">
        <f>INSCRITOS!B101</f>
        <v>1088737462</v>
      </c>
      <c r="D151" t="str">
        <f t="shared" si="3"/>
        <v>https://centrodecapacitaciondelsur.com/humanizacion-1088737462/</v>
      </c>
    </row>
    <row r="152" spans="1:4" ht="122.25" customHeight="1" x14ac:dyDescent="0.25">
      <c r="A152" s="21" t="str">
        <f>INSCRITOS!O102</f>
        <v>HUMANIZACION</v>
      </c>
      <c r="B152" s="8" t="str">
        <f t="shared" si="2"/>
        <v>https://centrodecapacitaciondelsur.com/humanizacion-</v>
      </c>
      <c r="C152" s="10">
        <f>INSCRITOS!B102</f>
        <v>59396015</v>
      </c>
      <c r="D152" t="str">
        <f t="shared" si="3"/>
        <v>https://centrodecapacitaciondelsur.com/humanizacion-59396015/</v>
      </c>
    </row>
    <row r="153" spans="1:4" ht="122.25" customHeight="1" x14ac:dyDescent="0.25">
      <c r="A153" s="21" t="str">
        <f>INSCRITOS!O103</f>
        <v>QUIMICOS</v>
      </c>
      <c r="B153" s="8" t="str">
        <f t="shared" si="2"/>
        <v>https://centrodecapacitaciondelsur.com/victimas-por-agentes-quimicos-</v>
      </c>
      <c r="C153" s="10">
        <f>INSCRITOS!B103</f>
        <v>59396015</v>
      </c>
      <c r="D153" t="str">
        <f t="shared" si="3"/>
        <v>https://centrodecapacitaciondelsur.com/victimas-por-agentes-quimicos-59396015/</v>
      </c>
    </row>
    <row r="154" spans="1:4" ht="122.25" customHeight="1" x14ac:dyDescent="0.25">
      <c r="A154" s="21" t="str">
        <f>INSCRITOS!O104</f>
        <v>VIOLENCIA SEXUAL</v>
      </c>
      <c r="B154" s="8" t="str">
        <f t="shared" si="2"/>
        <v>https://centrodecapacitaciondelsur.com/violencia-sexual-</v>
      </c>
      <c r="C154" s="10">
        <f>INSCRITOS!B104</f>
        <v>59396015</v>
      </c>
      <c r="D154" t="str">
        <f t="shared" si="3"/>
        <v>https://centrodecapacitaciondelsur.com/violencia-sexual-59396015/</v>
      </c>
    </row>
    <row r="155" spans="1:4" ht="122.25" customHeight="1" x14ac:dyDescent="0.25">
      <c r="A155" s="21" t="str">
        <f>INSCRITOS!O105</f>
        <v>DUELO</v>
      </c>
      <c r="B155" s="8" t="str">
        <f t="shared" si="2"/>
        <v>https://centrodecapacitaciondelsur.com/manejo-del-duelo-</v>
      </c>
      <c r="C155" s="10">
        <f>INSCRITOS!B105</f>
        <v>59396015</v>
      </c>
      <c r="D155" t="str">
        <f t="shared" si="3"/>
        <v>https://centrodecapacitaciondelsur.com/manejo-del-duelo-59396015/</v>
      </c>
    </row>
    <row r="156" spans="1:4" ht="122.25" customHeight="1" x14ac:dyDescent="0.25">
      <c r="A156" s="21" t="str">
        <f>INSCRITOS!O106</f>
        <v>IAMI</v>
      </c>
      <c r="B156" s="8" t="str">
        <f t="shared" si="2"/>
        <v>https://centrodecapacitaciondelsur.com/iami-</v>
      </c>
      <c r="C156" s="10">
        <f>INSCRITOS!B106</f>
        <v>37124787</v>
      </c>
      <c r="D156" t="str">
        <f t="shared" si="3"/>
        <v>https://centrodecapacitaciondelsur.com/iami-37124787/</v>
      </c>
    </row>
    <row r="157" spans="1:4" ht="122.25" customHeight="1" x14ac:dyDescent="0.25">
      <c r="A157" s="21" t="str">
        <f>INSCRITOS!O107</f>
        <v>VIOLENCIA SEXUAL</v>
      </c>
      <c r="B157" s="8" t="str">
        <f t="shared" si="2"/>
        <v>https://centrodecapacitaciondelsur.com/violencia-sexual-</v>
      </c>
      <c r="C157" s="10">
        <f>INSCRITOS!B107</f>
        <v>37124787</v>
      </c>
      <c r="D157" t="str">
        <f t="shared" si="3"/>
        <v>https://centrodecapacitaciondelsur.com/violencia-sexual-37124787/</v>
      </c>
    </row>
    <row r="158" spans="1:4" ht="122.25" customHeight="1" x14ac:dyDescent="0.25">
      <c r="A158" s="21" t="str">
        <f>INSCRITOS!O108</f>
        <v>HUMANIZACION</v>
      </c>
      <c r="B158" s="8" t="str">
        <f t="shared" si="2"/>
        <v>https://centrodecapacitaciondelsur.com/humanizacion-</v>
      </c>
      <c r="C158" s="10">
        <f>INSCRITOS!B108</f>
        <v>1118474417</v>
      </c>
      <c r="D158" t="str">
        <f t="shared" si="3"/>
        <v>https://centrodecapacitaciondelsur.com/humanizacion-1118474417/</v>
      </c>
    </row>
    <row r="159" spans="1:4" ht="122.25" customHeight="1" x14ac:dyDescent="0.25">
      <c r="A159" s="21" t="str">
        <f>INSCRITOS!O109</f>
        <v>ACLS</v>
      </c>
      <c r="B159" s="8" t="str">
        <f t="shared" si="2"/>
        <v>https://centrodecapacitaciondelsur.com/soporte-cardiovascular-avanzado-</v>
      </c>
      <c r="C159" s="10">
        <f>INSCRITOS!B109</f>
        <v>59396532</v>
      </c>
      <c r="D159" t="str">
        <f t="shared" si="3"/>
        <v>https://centrodecapacitaciondelsur.com/soporte-cardiovascular-avanzado-59396532/</v>
      </c>
    </row>
    <row r="160" spans="1:4" ht="122.25" customHeight="1" x14ac:dyDescent="0.25">
      <c r="A160" s="21" t="str">
        <f>INSCRITOS!O110</f>
        <v>BLS</v>
      </c>
      <c r="B160" s="8" t="str">
        <f t="shared" si="2"/>
        <v>https://centrodecapacitaciondelsur.com/soporte-basico-de-vida-</v>
      </c>
      <c r="C160" s="10">
        <f>INSCRITOS!B110</f>
        <v>59396532</v>
      </c>
      <c r="D160" t="str">
        <f t="shared" si="3"/>
        <v>https://centrodecapacitaciondelsur.com/soporte-basico-de-vida-59396532/</v>
      </c>
    </row>
    <row r="161" spans="1:4" ht="122.25" customHeight="1" x14ac:dyDescent="0.25">
      <c r="A161" s="21" t="str">
        <f>INSCRITOS!O111</f>
        <v>HUMANIZACION</v>
      </c>
      <c r="B161" s="8" t="str">
        <f t="shared" si="2"/>
        <v>https://centrodecapacitaciondelsur.com/humanizacion-</v>
      </c>
      <c r="C161" s="10">
        <f>INSCRITOS!B111</f>
        <v>59396532</v>
      </c>
      <c r="D161" t="str">
        <f t="shared" si="3"/>
        <v>https://centrodecapacitaciondelsur.com/humanizacion-59396532/</v>
      </c>
    </row>
    <row r="162" spans="1:4" ht="122.25" customHeight="1" x14ac:dyDescent="0.25">
      <c r="A162" s="21" t="str">
        <f>INSCRITOS!O112</f>
        <v>VIOLENCIA SEXUAL</v>
      </c>
      <c r="B162" s="8" t="str">
        <f t="shared" si="2"/>
        <v>https://centrodecapacitaciondelsur.com/violencia-sexual-</v>
      </c>
      <c r="C162" s="10">
        <f>INSCRITOS!B112</f>
        <v>59396532</v>
      </c>
      <c r="D162" t="str">
        <f t="shared" si="3"/>
        <v>https://centrodecapacitaciondelsur.com/violencia-sexual-59396532/</v>
      </c>
    </row>
    <row r="163" spans="1:4" ht="122.25" customHeight="1" x14ac:dyDescent="0.25">
      <c r="A163" s="21" t="str">
        <f>INSCRITOS!O113</f>
        <v>DUELO</v>
      </c>
      <c r="B163" s="8" t="str">
        <f t="shared" si="2"/>
        <v>https://centrodecapacitaciondelsur.com/manejo-del-duelo-</v>
      </c>
      <c r="C163" s="10">
        <f>INSCRITOS!B113</f>
        <v>59396532</v>
      </c>
      <c r="D163" t="str">
        <f t="shared" si="3"/>
        <v>https://centrodecapacitaciondelsur.com/manejo-del-duelo-59396532/</v>
      </c>
    </row>
    <row r="164" spans="1:4" ht="122.25" customHeight="1" x14ac:dyDescent="0.25">
      <c r="A164" s="21" t="str">
        <f>INSCRITOS!O114</f>
        <v>QUIMICOS</v>
      </c>
      <c r="B164" s="8" t="str">
        <f t="shared" si="2"/>
        <v>https://centrodecapacitaciondelsur.com/victimas-por-agentes-quimicos-</v>
      </c>
      <c r="C164" s="10">
        <f>INSCRITOS!B114</f>
        <v>59396532</v>
      </c>
      <c r="D164" t="str">
        <f t="shared" si="3"/>
        <v>https://centrodecapacitaciondelsur.com/victimas-por-agentes-quimicos-59396532/</v>
      </c>
    </row>
    <row r="165" spans="1:4" ht="122.25" customHeight="1" x14ac:dyDescent="0.25">
      <c r="A165" s="21" t="str">
        <f>INSCRITOS!O115</f>
        <v>VIOLENCIA SEXUAL</v>
      </c>
      <c r="B165" s="8" t="str">
        <f t="shared" si="2"/>
        <v>https://centrodecapacitaciondelsur.com/violencia-sexual-</v>
      </c>
      <c r="C165" s="10">
        <f>INSCRITOS!B115</f>
        <v>1004697288</v>
      </c>
      <c r="D165" t="str">
        <f t="shared" si="3"/>
        <v>https://centrodecapacitaciondelsur.com/violencia-sexual-1004697288/</v>
      </c>
    </row>
    <row r="166" spans="1:4" ht="122.25" customHeight="1" x14ac:dyDescent="0.25">
      <c r="A166" s="21" t="str">
        <f>INSCRITOS!O116</f>
        <v>QUIMICOS</v>
      </c>
      <c r="B166" s="8" t="str">
        <f t="shared" si="2"/>
        <v>https://centrodecapacitaciondelsur.com/victimas-por-agentes-quimicos-</v>
      </c>
      <c r="C166" s="10">
        <f>INSCRITOS!B116</f>
        <v>1004697288</v>
      </c>
      <c r="D166" t="str">
        <f t="shared" si="3"/>
        <v>https://centrodecapacitaciondelsur.com/victimas-por-agentes-quimicos-1004697288/</v>
      </c>
    </row>
    <row r="167" spans="1:4" ht="122.25" customHeight="1" x14ac:dyDescent="0.25">
      <c r="A167" s="21" t="str">
        <f>INSCRITOS!O117</f>
        <v>DUELO</v>
      </c>
      <c r="B167" s="8" t="str">
        <f t="shared" si="2"/>
        <v>https://centrodecapacitaciondelsur.com/manejo-del-duelo-</v>
      </c>
      <c r="C167" s="10">
        <f>INSCRITOS!B117</f>
        <v>1004697288</v>
      </c>
      <c r="D167" t="str">
        <f t="shared" si="3"/>
        <v>https://centrodecapacitaciondelsur.com/manejo-del-duelo-1004697288/</v>
      </c>
    </row>
    <row r="168" spans="1:4" ht="122.25" customHeight="1" x14ac:dyDescent="0.25">
      <c r="A168" s="21" t="str">
        <f>INSCRITOS!O118</f>
        <v>HUMANIZACION</v>
      </c>
      <c r="B168" s="8" t="str">
        <f t="shared" ref="B168:B213" si="4">IF(A168=$H$19,"https://centrodecapacitaciondelsur.com/o-v-e-",IF(A168=$H$2,"https://centrodecapacitaciondelsur.com/aph-",IF(A168=$H$3,"https://centrodecapacitaciondelsur.com/manejo-del-duelo-",IF(A168=$H$4,"https://centrodecapacitaciondelsur.com/victimas-por-agentes-quimicos-",IF(A168=$H$5,"https://centrodecapacitaciondelsur.com/primeros-auxilios-",IF(A168=$H$6,"https://centrodecapacitaciondelsur.com/uci-",IF(A168=$H$8,"https://centrodecapacitaciondelsur.com/humanizacion-",IF(A168=$H$11,"https://centrodecapacitaciondelsur.com/soporte-cardiovascular-avanzado-",IF(A168=$H$12,"https://centrodecapacitaciondelsur.com/camillero-",IF(A168=$H$13,"https://centrodecapacitaciondelsur.com/toma-de-muestras-y-lab-clinico-",IF(A168=$H$14,"https://centrodecapacitaciondelsur.com/soporte-basico-de-vida-",IF(A168=$H$15,"https://centrodecapacitaciondelsur.com/violencia-sexual-",IF(A168=$H$17,"https://centrodecapacitaciondelsur.com/aiepi-",IF(A168=$H$18,"https://centrodecapacitaciondelsur.com/adm-medicamentos-canalizacion-inyectologia-",IF(A168=$H$25,"https://centrodecapacitaciondelsur.com/manejo-del-dolor-y-cuidados-paliativos-",IF(A168=$H$26,"https://centrodecapacitaciondelsur.com/toma-de-muestras-y-lab-clinico-poct-",IF(A168=$H$27,"https://centrodecapacitaciondelsur.com/implante-subdermico-",IF(A168=$H$21,"https://centrodecapacitaciondelsur.com/donante-de-organos-",IF(A168=$H$30,"https://centrodecapacitaciondelsur.com/atencion-a-victimas-del-conflicto-armado-",IF(A168=$H$20,"https://centrodecapacitaciondelsur.com/iami-",IF(A168=$H$22,"https://centrodecapacitaciondelsur.com/violencia-de-genero-",IF(A168=$H$23,"https://centrodecapacitaciondelsur.com/igualdad-de-genero-",IF(A168=$H$16,"https://centrodecapacitaciondelsur.com/pai-",IF(A168=$H$31,"https://centrodecapacitaciondelsur.com/manipulacion-de-alimentos-",IF(A168=$H$32,"https://centrodecapacitaciondelsur.com/atencion-a-personas-con-discapacidad-",IF(A168=$H$33,"https://centrodecapacitaciondelsur.com/atencion-al-adulto-mayor-",IF(A168=$H$34,"https://centrodecapacitaciondelsur.com/manejo-defensivo-",IF(A168=$H$35,"https://centrodecapacitaciondelsur.com/soporte-basico-neonatal-",IF(A168=$H$36,"https://centrodecapacitaciondelsur.com/seguridad-del-paciente-",IF(A168=$H$37,"https://centrodecapacitaciondelsur.com/manejo-de-residuos-hospitalarios-",IF(A168=$H$10,"https://centrodecapacitaciondelsur.com/toma-de-citologia-",IF(A168=$H$29,"https://centrodecapacitaciondelsur.com/primeros-aux-psicologicos-"))))))))))))))))))))))))))))))))</f>
        <v>https://centrodecapacitaciondelsur.com/humanizacion-</v>
      </c>
      <c r="C168" s="10">
        <f>INSCRITOS!B118</f>
        <v>1004697288</v>
      </c>
      <c r="D168" t="str">
        <f t="shared" ref="D168:D213" si="5">CONCATENATE(B168,C168,"/")</f>
        <v>https://centrodecapacitaciondelsur.com/humanizacion-1004697288/</v>
      </c>
    </row>
    <row r="169" spans="1:4" ht="122.25" customHeight="1" x14ac:dyDescent="0.25">
      <c r="A169" s="21" t="str">
        <f>INSCRITOS!O119</f>
        <v>PRIMEROS AUXILIOS</v>
      </c>
      <c r="B169" s="8" t="str">
        <f t="shared" si="4"/>
        <v>https://centrodecapacitaciondelsur.com/primeros-auxilios-</v>
      </c>
      <c r="C169" s="10">
        <f>INSCRITOS!B119</f>
        <v>1004695877</v>
      </c>
      <c r="D169" t="str">
        <f t="shared" si="5"/>
        <v>https://centrodecapacitaciondelsur.com/primeros-auxilios-1004695877/</v>
      </c>
    </row>
    <row r="170" spans="1:4" ht="122.25" customHeight="1" x14ac:dyDescent="0.25">
      <c r="A170" s="21" t="str">
        <f>INSCRITOS!O120</f>
        <v>AIEPI</v>
      </c>
      <c r="B170" s="8" t="str">
        <f t="shared" si="4"/>
        <v>https://centrodecapacitaciondelsur.com/aiepi-</v>
      </c>
      <c r="C170" s="10">
        <f>INSCRITOS!B120</f>
        <v>59396532</v>
      </c>
      <c r="D170" t="str">
        <f t="shared" si="5"/>
        <v>https://centrodecapacitaciondelsur.com/aiepi-59396532/</v>
      </c>
    </row>
    <row r="171" spans="1:4" ht="122.25" customHeight="1" x14ac:dyDescent="0.25">
      <c r="A171" s="21" t="str">
        <f>INSCRITOS!O121</f>
        <v>AIEPI</v>
      </c>
      <c r="B171" s="8" t="str">
        <f t="shared" si="4"/>
        <v>https://centrodecapacitaciondelsur.com/aiepi-</v>
      </c>
      <c r="C171" s="10">
        <f>INSCRITOS!B121</f>
        <v>1088734549</v>
      </c>
      <c r="D171" t="str">
        <f t="shared" si="5"/>
        <v>https://centrodecapacitaciondelsur.com/aiepi-1088734549/</v>
      </c>
    </row>
    <row r="172" spans="1:4" ht="122.25" customHeight="1" x14ac:dyDescent="0.25">
      <c r="A172" s="21" t="str">
        <f>INSCRITOS!O122</f>
        <v>VIOLENCIA SEXUAL</v>
      </c>
      <c r="B172" s="8" t="str">
        <f t="shared" si="4"/>
        <v>https://centrodecapacitaciondelsur.com/violencia-sexual-</v>
      </c>
      <c r="C172" s="10">
        <f>INSCRITOS!B122</f>
        <v>1085327574</v>
      </c>
      <c r="D172" t="str">
        <f t="shared" si="5"/>
        <v>https://centrodecapacitaciondelsur.com/violencia-sexual-1085327574/</v>
      </c>
    </row>
    <row r="173" spans="1:4" ht="122.25" customHeight="1" x14ac:dyDescent="0.25">
      <c r="A173" s="21" t="str">
        <f>INSCRITOS!O123</f>
        <v>BLS</v>
      </c>
      <c r="B173" s="8" t="str">
        <f t="shared" ref="B173" si="6">IF(A173=$H$19,"https://centrodecapacitaciondelsur.com/o-v-e-",IF(A173=$H$2,"https://centrodecapacitaciondelsur.com/aph-",IF(A173=$H$3,"https://centrodecapacitaciondelsur.com/manejo-del-duelo-",IF(A173=$H$4,"https://centrodecapacitaciondelsur.com/victimas-por-agentes-quimicos-",IF(A173=$H$5,"https://centrodecapacitaciondelsur.com/primeros-auxilios-",IF(A173=$H$6,"https://centrodecapacitaciondelsur.com/uci-",IF(A173=$H$8,"https://centrodecapacitaciondelsur.com/humanizacion-",IF(A173=$H$11,"https://centrodecapacitaciondelsur.com/soporte-cardiovascular-avanzado-",IF(A173=$H$12,"https://centrodecapacitaciondelsur.com/camillero-",IF(A173=$H$13,"https://centrodecapacitaciondelsur.com/toma-de-muestras-y-lab-clinico-",IF(A173=$H$14,"https://centrodecapacitaciondelsur.com/soporte-basico-de-vida-",IF(A173=$H$15,"https://centrodecapacitaciondelsur.com/violencia-sexual-",IF(A173=$H$17,"https://centrodecapacitaciondelsur.com/aiepi-",IF(A173=$H$18,"https://centrodecapacitaciondelsur.com/adm-medicamentos-canalizacion-inyectologia-",IF(A173=$H$25,"https://centrodecapacitaciondelsur.com/manejo-del-dolor-y-cuidados-paliativos-",IF(A173=$H$26,"https://centrodecapacitaciondelsur.com/toma-de-muestras-y-lab-clinico-poct-",IF(A173=$H$27,"https://centrodecapacitaciondelsur.com/implante-subdermico-",IF(A173=$H$21,"https://centrodecapacitaciondelsur.com/donante-de-organos-",IF(A173=$H$30,"https://centrodecapacitaciondelsur.com/atencion-a-victimas-del-conflicto-armado-",IF(A173=$H$20,"https://centrodecapacitaciondelsur.com/iami-",IF(A173=$H$22,"https://centrodecapacitaciondelsur.com/violencia-de-genero-",IF(A173=$H$23,"https://centrodecapacitaciondelsur.com/igualdad-de-genero-",IF(A173=$H$16,"https://centrodecapacitaciondelsur.com/pai-",IF(A173=$H$31,"https://centrodecapacitaciondelsur.com/manipulacion-de-alimentos-",IF(A173=$H$32,"https://centrodecapacitaciondelsur.com/atencion-a-personas-con-discapacidad-",IF(A173=$H$33,"https://centrodecapacitaciondelsur.com/atencion-al-adulto-mayor-",IF(A173=$H$34,"https://centrodecapacitaciondelsur.com/manejo-defensivo-",IF(A173=$H$35,"https://centrodecapacitaciondelsur.com/soporte-basico-neonatal-",IF(A173=$H$36,"https://centrodecapacitaciondelsur.com/seguridad-del-paciente-",IF(A173=$H$37,"https://centrodecapacitaciondelsur.com/manejo-de-residuos-hospitalarios-",IF(A173=$H$10,"https://centrodecapacitaciondelsur.com/toma-de-citologia-",IF(A173=$H$29,"https://centrodecapacitaciondelsur.com/primeros-aux-psicologicos-"))))))))))))))))))))))))))))))))</f>
        <v>https://centrodecapacitaciondelsur.com/soporte-basico-de-vida-</v>
      </c>
      <c r="C173" s="10">
        <f>INSCRITOS!B123</f>
        <v>1085333489</v>
      </c>
      <c r="D173" t="str">
        <f t="shared" ref="D173" si="7">CONCATENATE(B173,C173,"/")</f>
        <v>https://centrodecapacitaciondelsur.com/soporte-basico-de-vida-1085333489/</v>
      </c>
    </row>
    <row r="174" spans="1:4" ht="122.25" customHeight="1" x14ac:dyDescent="0.25">
      <c r="A174" s="21" t="str">
        <f>INSCRITOS!O124</f>
        <v>BLS</v>
      </c>
      <c r="B174" s="8" t="str">
        <f t="shared" si="4"/>
        <v>https://centrodecapacitaciondelsur.com/soporte-basico-de-vida-</v>
      </c>
      <c r="C174" s="10">
        <f>INSCRITOS!B124</f>
        <v>37085908</v>
      </c>
      <c r="D174" t="str">
        <f t="shared" si="5"/>
        <v>https://centrodecapacitaciondelsur.com/soporte-basico-de-vida-37085908/</v>
      </c>
    </row>
    <row r="175" spans="1:4" ht="122.25" customHeight="1" x14ac:dyDescent="0.25">
      <c r="A175" s="21" t="str">
        <f>INSCRITOS!O125</f>
        <v>VIOLENCIA SEXUAL</v>
      </c>
      <c r="B175" s="8" t="str">
        <f t="shared" si="4"/>
        <v>https://centrodecapacitaciondelsur.com/violencia-sexual-</v>
      </c>
      <c r="C175" s="10">
        <f>INSCRITOS!B125</f>
        <v>1085272317</v>
      </c>
      <c r="D175" t="str">
        <f t="shared" si="5"/>
        <v>https://centrodecapacitaciondelsur.com/violencia-sexual-1085272317/</v>
      </c>
    </row>
    <row r="176" spans="1:4" ht="122.25" customHeight="1" x14ac:dyDescent="0.25">
      <c r="A176" s="21" t="str">
        <f>INSCRITOS!O126</f>
        <v>QUIMICOS</v>
      </c>
      <c r="B176" s="8" t="str">
        <f t="shared" si="4"/>
        <v>https://centrodecapacitaciondelsur.com/victimas-por-agentes-quimicos-</v>
      </c>
      <c r="C176" s="10">
        <f>INSCRITOS!B126</f>
        <v>1085272317</v>
      </c>
      <c r="D176" t="str">
        <f t="shared" si="5"/>
        <v>https://centrodecapacitaciondelsur.com/victimas-por-agentes-quimicos-1085272317/</v>
      </c>
    </row>
    <row r="177" spans="1:4" ht="122.25" customHeight="1" x14ac:dyDescent="0.25">
      <c r="A177" s="21" t="str">
        <f>INSCRITOS!O127</f>
        <v>VIOLENCIA DE GENERO</v>
      </c>
      <c r="B177" s="8" t="str">
        <f t="shared" si="4"/>
        <v>https://centrodecapacitaciondelsur.com/violencia-de-genero-</v>
      </c>
      <c r="C177" s="10">
        <f>INSCRITOS!B127</f>
        <v>1085272317</v>
      </c>
      <c r="D177" t="str">
        <f t="shared" si="5"/>
        <v>https://centrodecapacitaciondelsur.com/violencia-de-genero-1085272317/</v>
      </c>
    </row>
    <row r="178" spans="1:4" ht="122.25" customHeight="1" x14ac:dyDescent="0.25">
      <c r="A178" s="21" t="str">
        <f>INSCRITOS!O128</f>
        <v>PALIATIVOS</v>
      </c>
      <c r="B178" s="8" t="str">
        <f t="shared" si="4"/>
        <v>https://centrodecapacitaciondelsur.com/manejo-del-dolor-y-cuidados-paliativos-</v>
      </c>
      <c r="C178" s="10">
        <f>INSCRITOS!B128</f>
        <v>27088512</v>
      </c>
      <c r="D178" t="str">
        <f t="shared" si="5"/>
        <v>https://centrodecapacitaciondelsur.com/manejo-del-dolor-y-cuidados-paliativos-27088512/</v>
      </c>
    </row>
    <row r="179" spans="1:4" ht="122.25" customHeight="1" x14ac:dyDescent="0.25">
      <c r="A179" s="21" t="e">
        <f>INSCRITOS!#REF!</f>
        <v>#REF!</v>
      </c>
      <c r="B179" s="8" t="e">
        <f t="shared" si="4"/>
        <v>#REF!</v>
      </c>
      <c r="C179" s="10" t="e">
        <f>INSCRITOS!#REF!</f>
        <v>#REF!</v>
      </c>
      <c r="D179" t="e">
        <f t="shared" si="5"/>
        <v>#REF!</v>
      </c>
    </row>
    <row r="180" spans="1:4" ht="122.25" customHeight="1" x14ac:dyDescent="0.25">
      <c r="A180" s="21" t="str">
        <f>INSCRITOS!O129</f>
        <v>VIOLENCIA SEXUAL</v>
      </c>
      <c r="B180" s="8" t="str">
        <f t="shared" si="4"/>
        <v>https://centrodecapacitaciondelsur.com/violencia-sexual-</v>
      </c>
      <c r="C180" s="10">
        <f>INSCRITOS!B129</f>
        <v>1004625579</v>
      </c>
      <c r="D180" t="str">
        <f t="shared" si="5"/>
        <v>https://centrodecapacitaciondelsur.com/violencia-sexual-1004625579/</v>
      </c>
    </row>
    <row r="181" spans="1:4" ht="122.25" customHeight="1" x14ac:dyDescent="0.25">
      <c r="A181" s="21" t="str">
        <f>INSCRITOS!O130</f>
        <v>DUELO</v>
      </c>
      <c r="B181" s="8" t="str">
        <f t="shared" si="4"/>
        <v>https://centrodecapacitaciondelsur.com/manejo-del-duelo-</v>
      </c>
      <c r="C181" s="10">
        <f>INSCRITOS!B130</f>
        <v>1004625579</v>
      </c>
      <c r="D181" t="str">
        <f t="shared" si="5"/>
        <v>https://centrodecapacitaciondelsur.com/manejo-del-duelo-1004625579/</v>
      </c>
    </row>
    <row r="182" spans="1:4" ht="122.25" customHeight="1" x14ac:dyDescent="0.25">
      <c r="A182" s="21" t="str">
        <f>INSCRITOS!O131</f>
        <v>QUIMICOS</v>
      </c>
      <c r="B182" s="8" t="str">
        <f t="shared" si="4"/>
        <v>https://centrodecapacitaciondelsur.com/victimas-por-agentes-quimicos-</v>
      </c>
      <c r="C182" s="10">
        <f>INSCRITOS!B131</f>
        <v>1004625579</v>
      </c>
      <c r="D182" t="str">
        <f t="shared" si="5"/>
        <v>https://centrodecapacitaciondelsur.com/victimas-por-agentes-quimicos-1004625579/</v>
      </c>
    </row>
    <row r="183" spans="1:4" ht="122.25" customHeight="1" x14ac:dyDescent="0.25">
      <c r="A183" s="21" t="str">
        <f>INSCRITOS!O132</f>
        <v>ACLS</v>
      </c>
      <c r="B183" s="8" t="str">
        <f t="shared" si="4"/>
        <v>https://centrodecapacitaciondelsur.com/soporte-cardiovascular-avanzado-</v>
      </c>
      <c r="C183" s="10">
        <f>INSCRITOS!B132</f>
        <v>1088734949</v>
      </c>
      <c r="D183" t="str">
        <f t="shared" si="5"/>
        <v>https://centrodecapacitaciondelsur.com/soporte-cardiovascular-avanzado-1088734949/</v>
      </c>
    </row>
    <row r="184" spans="1:4" ht="122.25" customHeight="1" x14ac:dyDescent="0.25">
      <c r="A184" s="21" t="str">
        <f>INSCRITOS!O133</f>
        <v>BLS</v>
      </c>
      <c r="B184" s="8" t="str">
        <f t="shared" si="4"/>
        <v>https://centrodecapacitaciondelsur.com/soporte-basico-de-vida-</v>
      </c>
      <c r="C184" s="10">
        <f>INSCRITOS!B133</f>
        <v>1088734949</v>
      </c>
      <c r="D184" t="str">
        <f t="shared" si="5"/>
        <v>https://centrodecapacitaciondelsur.com/soporte-basico-de-vida-1088734949/</v>
      </c>
    </row>
    <row r="185" spans="1:4" ht="122.25" customHeight="1" x14ac:dyDescent="0.25">
      <c r="A185" s="21" t="str">
        <f>INSCRITOS!O134</f>
        <v>DUELO</v>
      </c>
      <c r="B185" s="8" t="str">
        <f t="shared" si="4"/>
        <v>https://centrodecapacitaciondelsur.com/manejo-del-duelo-</v>
      </c>
      <c r="C185" s="10">
        <f>INSCRITOS!B134</f>
        <v>1088734949</v>
      </c>
      <c r="D185" t="str">
        <f t="shared" si="5"/>
        <v>https://centrodecapacitaciondelsur.com/manejo-del-duelo-1088734949/</v>
      </c>
    </row>
    <row r="186" spans="1:4" ht="122.25" customHeight="1" x14ac:dyDescent="0.25">
      <c r="A186" s="21" t="str">
        <f>INSCRITOS!O135</f>
        <v>HUMANIZACION</v>
      </c>
      <c r="B186" s="8" t="str">
        <f t="shared" si="4"/>
        <v>https://centrodecapacitaciondelsur.com/humanizacion-</v>
      </c>
      <c r="C186" s="10">
        <f>INSCRITOS!B135</f>
        <v>1088734949</v>
      </c>
      <c r="D186" t="str">
        <f t="shared" si="5"/>
        <v>https://centrodecapacitaciondelsur.com/humanizacion-1088734949/</v>
      </c>
    </row>
    <row r="187" spans="1:4" ht="122.25" customHeight="1" x14ac:dyDescent="0.25">
      <c r="A187" s="21" t="str">
        <f>INSCRITOS!O136</f>
        <v>HUMANIZACION</v>
      </c>
      <c r="B187" s="8" t="str">
        <f t="shared" si="4"/>
        <v>https://centrodecapacitaciondelsur.com/humanizacion-</v>
      </c>
      <c r="C187" s="10">
        <f>INSCRITOS!B136</f>
        <v>1004625579</v>
      </c>
      <c r="D187" t="str">
        <f t="shared" si="5"/>
        <v>https://centrodecapacitaciondelsur.com/humanizacion-1004625579/</v>
      </c>
    </row>
    <row r="188" spans="1:4" ht="122.25" customHeight="1" x14ac:dyDescent="0.25">
      <c r="A188" s="21" t="str">
        <f>INSCRITOS!O137</f>
        <v>QUIMICOS</v>
      </c>
      <c r="B188" s="8" t="str">
        <f t="shared" si="4"/>
        <v>https://centrodecapacitaciondelsur.com/victimas-por-agentes-quimicos-</v>
      </c>
      <c r="C188" s="10">
        <f>INSCRITOS!B137</f>
        <v>36758868</v>
      </c>
      <c r="D188" t="str">
        <f t="shared" si="5"/>
        <v>https://centrodecapacitaciondelsur.com/victimas-por-agentes-quimicos-36758868/</v>
      </c>
    </row>
    <row r="189" spans="1:4" ht="122.25" customHeight="1" x14ac:dyDescent="0.25">
      <c r="A189" s="21" t="str">
        <f>INSCRITOS!O138</f>
        <v>QUIMICOS</v>
      </c>
      <c r="B189" s="8" t="str">
        <f t="shared" si="4"/>
        <v>https://centrodecapacitaciondelsur.com/victimas-por-agentes-quimicos-</v>
      </c>
      <c r="C189" s="10">
        <f>INSCRITOS!B138</f>
        <v>1088734949</v>
      </c>
      <c r="D189" t="str">
        <f t="shared" si="5"/>
        <v>https://centrodecapacitaciondelsur.com/victimas-por-agentes-quimicos-1088734949/</v>
      </c>
    </row>
    <row r="190" spans="1:4" ht="122.25" customHeight="1" x14ac:dyDescent="0.25">
      <c r="A190" s="21" t="str">
        <f>INSCRITOS!O139</f>
        <v>BLS</v>
      </c>
      <c r="B190" s="8" t="str">
        <f t="shared" si="4"/>
        <v>https://centrodecapacitaciondelsur.com/soporte-basico-de-vida-</v>
      </c>
      <c r="C190" s="10">
        <f>INSCRITOS!B139</f>
        <v>1085324807</v>
      </c>
      <c r="D190" t="str">
        <f t="shared" si="5"/>
        <v>https://centrodecapacitaciondelsur.com/soporte-basico-de-vida-1085324807/</v>
      </c>
    </row>
    <row r="191" spans="1:4" ht="122.25" customHeight="1" x14ac:dyDescent="0.25">
      <c r="A191" s="21" t="str">
        <f>INSCRITOS!O140</f>
        <v>VIOLENCIA SEXUAL</v>
      </c>
      <c r="B191" s="8" t="str">
        <f t="shared" si="4"/>
        <v>https://centrodecapacitaciondelsur.com/violencia-sexual-</v>
      </c>
      <c r="C191" s="10">
        <f>INSCRITOS!B140</f>
        <v>1085324807</v>
      </c>
      <c r="D191" t="str">
        <f t="shared" si="5"/>
        <v>https://centrodecapacitaciondelsur.com/violencia-sexual-1085324807/</v>
      </c>
    </row>
    <row r="192" spans="1:4" ht="122.25" customHeight="1" x14ac:dyDescent="0.25">
      <c r="A192" s="21" t="str">
        <f>INSCRITOS!O141</f>
        <v>QUIMICOS</v>
      </c>
      <c r="B192" s="8" t="str">
        <f t="shared" si="4"/>
        <v>https://centrodecapacitaciondelsur.com/victimas-por-agentes-quimicos-</v>
      </c>
      <c r="C192" s="10">
        <f>INSCRITOS!B141</f>
        <v>1085324807</v>
      </c>
      <c r="D192" t="str">
        <f t="shared" si="5"/>
        <v>https://centrodecapacitaciondelsur.com/victimas-por-agentes-quimicos-1085324807/</v>
      </c>
    </row>
    <row r="193" spans="1:4" ht="122.25" customHeight="1" x14ac:dyDescent="0.25">
      <c r="A193" s="21" t="str">
        <f>INSCRITOS!O142</f>
        <v>VIOLENCIA SEXUAL</v>
      </c>
      <c r="B193" s="8" t="str">
        <f t="shared" si="4"/>
        <v>https://centrodecapacitaciondelsur.com/violencia-sexual-</v>
      </c>
      <c r="C193" s="10">
        <f>INSCRITOS!B142</f>
        <v>1007282044</v>
      </c>
      <c r="D193" t="str">
        <f t="shared" si="5"/>
        <v>https://centrodecapacitaciondelsur.com/violencia-sexual-1007282044/</v>
      </c>
    </row>
    <row r="194" spans="1:4" ht="122.25" customHeight="1" x14ac:dyDescent="0.25">
      <c r="A194" s="21" t="str">
        <f>INSCRITOS!O143</f>
        <v>QUIMICOS</v>
      </c>
      <c r="B194" s="8" t="str">
        <f t="shared" si="4"/>
        <v>https://centrodecapacitaciondelsur.com/victimas-por-agentes-quimicos-</v>
      </c>
      <c r="C194" s="10">
        <f>INSCRITOS!B143</f>
        <v>1007282044</v>
      </c>
      <c r="D194" t="str">
        <f t="shared" si="5"/>
        <v>https://centrodecapacitaciondelsur.com/victimas-por-agentes-quimicos-1007282044/</v>
      </c>
    </row>
    <row r="195" spans="1:4" ht="122.25" customHeight="1" x14ac:dyDescent="0.25">
      <c r="A195" s="21" t="str">
        <f>INSCRITOS!O144</f>
        <v>DUELO</v>
      </c>
      <c r="B195" s="8" t="str">
        <f t="shared" si="4"/>
        <v>https://centrodecapacitaciondelsur.com/manejo-del-duelo-</v>
      </c>
      <c r="C195" s="10">
        <f>INSCRITOS!B144</f>
        <v>1007282044</v>
      </c>
      <c r="D195" t="str">
        <f t="shared" si="5"/>
        <v>https://centrodecapacitaciondelsur.com/manejo-del-duelo-1007282044/</v>
      </c>
    </row>
    <row r="196" spans="1:4" ht="122.25" customHeight="1" x14ac:dyDescent="0.25">
      <c r="A196" s="21" t="str">
        <f>INSCRITOS!O145</f>
        <v>OVE</v>
      </c>
      <c r="B196" s="8" t="str">
        <f t="shared" si="4"/>
        <v>https://centrodecapacitaciondelsur.com/o-v-e-</v>
      </c>
      <c r="C196" s="10">
        <f>INSCRITOS!B145</f>
        <v>1085275198</v>
      </c>
      <c r="D196" t="str">
        <f t="shared" si="5"/>
        <v>https://centrodecapacitaciondelsur.com/o-v-e-1085275198/</v>
      </c>
    </row>
    <row r="197" spans="1:4" ht="122.25" customHeight="1" x14ac:dyDescent="0.25">
      <c r="A197" s="21" t="str">
        <f>INSCRITOS!O146</f>
        <v>CONFLICTO ARMADO</v>
      </c>
      <c r="B197" s="8" t="str">
        <f t="shared" si="4"/>
        <v>https://centrodecapacitaciondelsur.com/atencion-a-victimas-del-conflicto-armado-</v>
      </c>
      <c r="C197" s="10">
        <f>INSCRITOS!B146</f>
        <v>1085327574</v>
      </c>
      <c r="D197" t="str">
        <f t="shared" si="5"/>
        <v>https://centrodecapacitaciondelsur.com/atencion-a-victimas-del-conflicto-armado-1085327574/</v>
      </c>
    </row>
    <row r="198" spans="1:4" ht="122.25" customHeight="1" x14ac:dyDescent="0.25">
      <c r="A198" s="21" t="str">
        <f>INSCRITOS!O147</f>
        <v>HUMANIZACION</v>
      </c>
      <c r="B198" s="8" t="str">
        <f t="shared" si="4"/>
        <v>https://centrodecapacitaciondelsur.com/humanizacion-</v>
      </c>
      <c r="C198" s="10">
        <f>INSCRITOS!B147</f>
        <v>1085327574</v>
      </c>
      <c r="D198" t="str">
        <f t="shared" si="5"/>
        <v>https://centrodecapacitaciondelsur.com/humanizacion-1085327574/</v>
      </c>
    </row>
    <row r="199" spans="1:4" ht="122.25" customHeight="1" x14ac:dyDescent="0.25">
      <c r="A199" s="21" t="str">
        <f>INSCRITOS!O148</f>
        <v>PRIMEROS AUXILIOS</v>
      </c>
      <c r="B199" s="8" t="str">
        <f t="shared" si="4"/>
        <v>https://centrodecapacitaciondelsur.com/primeros-auxilios-</v>
      </c>
      <c r="C199" s="10">
        <f>INSCRITOS!B148</f>
        <v>1087207090</v>
      </c>
      <c r="D199" t="str">
        <f t="shared" si="5"/>
        <v>https://centrodecapacitaciondelsur.com/primeros-auxilios-1087207090/</v>
      </c>
    </row>
    <row r="200" spans="1:4" ht="122.25" customHeight="1" x14ac:dyDescent="0.25">
      <c r="A200" s="21" t="str">
        <f>INSCRITOS!O149</f>
        <v>ACLS</v>
      </c>
      <c r="B200" s="8" t="str">
        <f t="shared" si="4"/>
        <v>https://centrodecapacitaciondelsur.com/soporte-cardiovascular-avanzado-</v>
      </c>
      <c r="C200" s="10">
        <f>INSCRITOS!B149</f>
        <v>87454773</v>
      </c>
      <c r="D200" t="str">
        <f t="shared" si="5"/>
        <v>https://centrodecapacitaciondelsur.com/soporte-cardiovascular-avanzado-87454773/</v>
      </c>
    </row>
    <row r="201" spans="1:4" ht="122.25" customHeight="1" x14ac:dyDescent="0.25">
      <c r="A201" s="21" t="str">
        <f>INSCRITOS!O150</f>
        <v>VIOLENCIA SEXUAL</v>
      </c>
      <c r="B201" s="8" t="str">
        <f t="shared" si="4"/>
        <v>https://centrodecapacitaciondelsur.com/violencia-sexual-</v>
      </c>
      <c r="C201" s="10">
        <f>INSCRITOS!B150</f>
        <v>87454773</v>
      </c>
      <c r="D201" t="str">
        <f t="shared" si="5"/>
        <v>https://centrodecapacitaciondelsur.com/violencia-sexual-87454773/</v>
      </c>
    </row>
    <row r="202" spans="1:4" ht="122.25" customHeight="1" x14ac:dyDescent="0.25">
      <c r="A202" s="21" t="str">
        <f>INSCRITOS!O151</f>
        <v>QUIMICOS</v>
      </c>
      <c r="B202" s="8" t="str">
        <f t="shared" si="4"/>
        <v>https://centrodecapacitaciondelsur.com/victimas-por-agentes-quimicos-</v>
      </c>
      <c r="C202" s="10">
        <f>INSCRITOS!B151</f>
        <v>87454773</v>
      </c>
      <c r="D202" t="str">
        <f t="shared" si="5"/>
        <v>https://centrodecapacitaciondelsur.com/victimas-por-agentes-quimicos-87454773/</v>
      </c>
    </row>
    <row r="203" spans="1:4" ht="122.25" customHeight="1" x14ac:dyDescent="0.25">
      <c r="A203" s="21" t="str">
        <f>INSCRITOS!O152</f>
        <v>AIEPI</v>
      </c>
      <c r="B203" s="8" t="str">
        <f t="shared" si="4"/>
        <v>https://centrodecapacitaciondelsur.com/aiepi-</v>
      </c>
      <c r="C203" s="10">
        <f>INSCRITOS!B152</f>
        <v>87454773</v>
      </c>
      <c r="D203" t="str">
        <f t="shared" si="5"/>
        <v>https://centrodecapacitaciondelsur.com/aiepi-87454773/</v>
      </c>
    </row>
    <row r="204" spans="1:4" ht="122.25" customHeight="1" x14ac:dyDescent="0.25">
      <c r="A204" s="21" t="str">
        <f>INSCRITOS!O153</f>
        <v>DUELO</v>
      </c>
      <c r="B204" s="8" t="str">
        <f t="shared" si="4"/>
        <v>https://centrodecapacitaciondelsur.com/manejo-del-duelo-</v>
      </c>
      <c r="C204" s="10">
        <f>INSCRITOS!B153</f>
        <v>87454773</v>
      </c>
      <c r="D204" t="str">
        <f t="shared" si="5"/>
        <v>https://centrodecapacitaciondelsur.com/manejo-del-duelo-87454773/</v>
      </c>
    </row>
    <row r="205" spans="1:4" ht="122.25" customHeight="1" x14ac:dyDescent="0.25">
      <c r="A205" s="21" t="str">
        <f>INSCRITOS!O154</f>
        <v>HUMANIZACION</v>
      </c>
      <c r="B205" s="8" t="str">
        <f t="shared" si="4"/>
        <v>https://centrodecapacitaciondelsur.com/humanizacion-</v>
      </c>
      <c r="C205" s="10">
        <f>INSCRITOS!B154</f>
        <v>87454773</v>
      </c>
      <c r="D205" t="str">
        <f t="shared" si="5"/>
        <v>https://centrodecapacitaciondelsur.com/humanizacion-87454773/</v>
      </c>
    </row>
    <row r="206" spans="1:4" ht="122.25" customHeight="1" x14ac:dyDescent="0.25">
      <c r="A206" s="21" t="str">
        <f>INSCRITOS!O155</f>
        <v>BLS</v>
      </c>
      <c r="B206" s="8" t="str">
        <f t="shared" si="4"/>
        <v>https://centrodecapacitaciondelsur.com/soporte-basico-de-vida-</v>
      </c>
      <c r="C206" s="10">
        <f>INSCRITOS!B155</f>
        <v>87454773</v>
      </c>
      <c r="D206" t="str">
        <f t="shared" si="5"/>
        <v>https://centrodecapacitaciondelsur.com/soporte-basico-de-vida-87454773/</v>
      </c>
    </row>
    <row r="207" spans="1:4" ht="122.25" customHeight="1" x14ac:dyDescent="0.25">
      <c r="A207" s="21" t="str">
        <f>INSCRITOS!O156</f>
        <v>PRIMEROS AUXILIOS</v>
      </c>
      <c r="B207" s="8" t="str">
        <f t="shared" si="4"/>
        <v>https://centrodecapacitaciondelsur.com/primeros-auxilios-</v>
      </c>
      <c r="C207" s="10">
        <f>INSCRITOS!B156</f>
        <v>12998816</v>
      </c>
      <c r="D207" t="str">
        <f t="shared" si="5"/>
        <v>https://centrodecapacitaciondelsur.com/primeros-auxilios-12998816/</v>
      </c>
    </row>
    <row r="208" spans="1:4" ht="122.25" customHeight="1" x14ac:dyDescent="0.25">
      <c r="A208" s="21" t="str">
        <f>INSCRITOS!O157</f>
        <v>VIOLENCIA SEXUAL</v>
      </c>
      <c r="B208" s="8" t="str">
        <f t="shared" ref="B208:B211" si="8">IF(A208=$H$19,"https://centrodecapacitaciondelsur.com/o-v-e-",IF(A208=$H$2,"https://centrodecapacitaciondelsur.com/aph-",IF(A208=$H$3,"https://centrodecapacitaciondelsur.com/manejo-del-duelo-",IF(A208=$H$4,"https://centrodecapacitaciondelsur.com/victimas-por-agentes-quimicos-",IF(A208=$H$5,"https://centrodecapacitaciondelsur.com/primeros-auxilios-",IF(A208=$H$6,"https://centrodecapacitaciondelsur.com/uci-",IF(A208=$H$8,"https://centrodecapacitaciondelsur.com/humanizacion-",IF(A208=$H$11,"https://centrodecapacitaciondelsur.com/soporte-cardiovascular-avanzado-",IF(A208=$H$12,"https://centrodecapacitaciondelsur.com/camillero-",IF(A208=$H$13,"https://centrodecapacitaciondelsur.com/toma-de-muestras-y-lab-clinico-",IF(A208=$H$14,"https://centrodecapacitaciondelsur.com/soporte-basico-de-vida-",IF(A208=$H$15,"https://centrodecapacitaciondelsur.com/violencia-sexual-",IF(A208=$H$17,"https://centrodecapacitaciondelsur.com/aiepi-",IF(A208=$H$18,"https://centrodecapacitaciondelsur.com/adm-medicamentos-canalizacion-inyectologia-",IF(A208=$H$25,"https://centrodecapacitaciondelsur.com/manejo-del-dolor-y-cuidados-paliativos-",IF(A208=$H$26,"https://centrodecapacitaciondelsur.com/toma-de-muestras-y-lab-clinico-poct-",IF(A208=$H$27,"https://centrodecapacitaciondelsur.com/implante-subdermico-",IF(A208=$H$21,"https://centrodecapacitaciondelsur.com/donante-de-organos-",IF(A208=$H$30,"https://centrodecapacitaciondelsur.com/atencion-a-victimas-del-conflicto-armado-",IF(A208=$H$20,"https://centrodecapacitaciondelsur.com/iami-",IF(A208=$H$22,"https://centrodecapacitaciondelsur.com/violencia-de-genero-",IF(A208=$H$23,"https://centrodecapacitaciondelsur.com/igualdad-de-genero-",IF(A208=$H$16,"https://centrodecapacitaciondelsur.com/pai-",IF(A208=$H$31,"https://centrodecapacitaciondelsur.com/manipulacion-de-alimentos-",IF(A208=$H$32,"https://centrodecapacitaciondelsur.com/atencion-a-personas-con-discapacidad-",IF(A208=$H$33,"https://centrodecapacitaciondelsur.com/atencion-al-adulto-mayor-",IF(A208=$H$34,"https://centrodecapacitaciondelsur.com/manejo-defensivo-",IF(A208=$H$35,"https://centrodecapacitaciondelsur.com/soporte-basico-neonatal-",IF(A208=$H$36,"https://centrodecapacitaciondelsur.com/seguridad-del-paciente-",IF(A208=$H$37,"https://centrodecapacitaciondelsur.com/manejo-de-residuos-hospitalarios-",IF(A208=$H$10,"https://centrodecapacitaciondelsur.com/toma-de-citologia-",IF(A208=$H$29,"https://centrodecapacitaciondelsur.com/primeros-aux-psicologicos-"))))))))))))))))))))))))))))))))</f>
        <v>https://centrodecapacitaciondelsur.com/violencia-sexual-</v>
      </c>
      <c r="C208" s="10">
        <f>INSCRITOS!B157</f>
        <v>1131084625</v>
      </c>
      <c r="D208" t="str">
        <f t="shared" ref="D208:D211" si="9">CONCATENATE(B208,C208,"/")</f>
        <v>https://centrodecapacitaciondelsur.com/violencia-sexual-1131084625/</v>
      </c>
    </row>
    <row r="209" spans="1:4" ht="122.25" customHeight="1" x14ac:dyDescent="0.25">
      <c r="A209" s="21" t="str">
        <f>INSCRITOS!O158</f>
        <v>VIOLENCIA SEXUAL</v>
      </c>
      <c r="B209" s="8" t="str">
        <f t="shared" si="8"/>
        <v>https://centrodecapacitaciondelsur.com/violencia-sexual-</v>
      </c>
      <c r="C209" s="10">
        <f>INSCRITOS!B158</f>
        <v>13069636</v>
      </c>
      <c r="D209" t="str">
        <f t="shared" si="9"/>
        <v>https://centrodecapacitaciondelsur.com/violencia-sexual-13069636/</v>
      </c>
    </row>
    <row r="210" spans="1:4" ht="122.25" customHeight="1" x14ac:dyDescent="0.25">
      <c r="A210" s="21" t="str">
        <f>INSCRITOS!O159</f>
        <v>VIOLENCIA SEXUAL</v>
      </c>
      <c r="B210" s="8" t="str">
        <f t="shared" si="8"/>
        <v>https://centrodecapacitaciondelsur.com/violencia-sexual-</v>
      </c>
      <c r="C210" s="10">
        <f>INSCRITOS!B159</f>
        <v>1085268999</v>
      </c>
      <c r="D210" t="str">
        <f t="shared" si="9"/>
        <v>https://centrodecapacitaciondelsur.com/violencia-sexual-1085268999/</v>
      </c>
    </row>
    <row r="211" spans="1:4" ht="122.25" customHeight="1" x14ac:dyDescent="0.25">
      <c r="A211" s="21" t="str">
        <f>INSCRITOS!O160</f>
        <v>BLS</v>
      </c>
      <c r="B211" s="8" t="str">
        <f t="shared" si="8"/>
        <v>https://centrodecapacitaciondelsur.com/soporte-basico-de-vida-</v>
      </c>
      <c r="C211" s="10">
        <f>INSCRITOS!B160</f>
        <v>59796384</v>
      </c>
      <c r="D211" t="str">
        <f t="shared" si="9"/>
        <v>https://centrodecapacitaciondelsur.com/soporte-basico-de-vida-59796384/</v>
      </c>
    </row>
    <row r="212" spans="1:4" ht="122.25" customHeight="1" x14ac:dyDescent="0.25">
      <c r="A212" s="21" t="str">
        <f>INSCRITOS!O161</f>
        <v>QUIMICOS</v>
      </c>
      <c r="B212" s="8" t="str">
        <f t="shared" si="4"/>
        <v>https://centrodecapacitaciondelsur.com/victimas-por-agentes-quimicos-</v>
      </c>
      <c r="C212" s="10">
        <f>INSCRITOS!B161</f>
        <v>1085256426</v>
      </c>
      <c r="D212" t="str">
        <f t="shared" si="5"/>
        <v>https://centrodecapacitaciondelsur.com/victimas-por-agentes-quimicos-1085256426/</v>
      </c>
    </row>
    <row r="213" spans="1:4" ht="122.25" customHeight="1" x14ac:dyDescent="0.25">
      <c r="A213" s="21" t="str">
        <f>INSCRITOS!O162</f>
        <v>VIOLENCIA SEXUAL</v>
      </c>
      <c r="B213" s="8" t="str">
        <f t="shared" si="4"/>
        <v>https://centrodecapacitaciondelsur.com/violencia-sexual-</v>
      </c>
      <c r="C213" s="10">
        <f>INSCRITOS!B162</f>
        <v>1085256426</v>
      </c>
      <c r="D213" t="str">
        <f t="shared" si="5"/>
        <v>https://centrodecapacitaciondelsur.com/violencia-sexual-1085256426/</v>
      </c>
    </row>
    <row r="214" spans="1:4" ht="122.25" customHeight="1" x14ac:dyDescent="0.25">
      <c r="A214" s="21" t="str">
        <f>INSCRITOS!O163</f>
        <v>DUELO</v>
      </c>
      <c r="B214" s="8" t="str">
        <f t="shared" ref="B214:B277" si="10">IF(A214=$H$19,"https://centrodecapacitaciondelsur.com/o-v-e-",IF(A214=$H$2,"https://centrodecapacitaciondelsur.com/aph-",IF(A214=$H$3,"https://centrodecapacitaciondelsur.com/manejo-del-duelo-",IF(A214=$H$4,"https://centrodecapacitaciondelsur.com/victimas-por-agentes-quimicos-",IF(A214=$H$5,"https://centrodecapacitaciondelsur.com/primeros-auxilios-",IF(A214=$H$6,"https://centrodecapacitaciondelsur.com/uci-",IF(A214=$H$8,"https://centrodecapacitaciondelsur.com/humanizacion-",IF(A214=$H$11,"https://centrodecapacitaciondelsur.com/soporte-cardiovascular-avanzado-",IF(A214=$H$12,"https://centrodecapacitaciondelsur.com/camillero-",IF(A214=$H$13,"https://centrodecapacitaciondelsur.com/toma-de-muestras-y-lab-clinico-",IF(A214=$H$14,"https://centrodecapacitaciondelsur.com/soporte-basico-de-vida-",IF(A214=$H$15,"https://centrodecapacitaciondelsur.com/violencia-sexual-",IF(A214=$H$17,"https://centrodecapacitaciondelsur.com/aiepi-",IF(A214=$H$18,"https://centrodecapacitaciondelsur.com/adm-medicamentos-canalizacion-inyectologia-",IF(A214=$H$25,"https://centrodecapacitaciondelsur.com/manejo-del-dolor-y-cuidados-paliativos-",IF(A214=$H$26,"https://centrodecapacitaciondelsur.com/toma-de-muestras-y-lab-clinico-poct-",IF(A214=$H$27,"https://centrodecapacitaciondelsur.com/implante-subdermico-",IF(A214=$H$21,"https://centrodecapacitaciondelsur.com/donante-de-organos-",IF(A214=$H$30,"https://centrodecapacitaciondelsur.com/atencion-a-victimas-del-conflicto-armado-",IF(A214=$H$20,"https://centrodecapacitaciondelsur.com/iami-",IF(A214=$H$22,"https://centrodecapacitaciondelsur.com/violencia-de-genero-",IF(A214=$H$23,"https://centrodecapacitaciondelsur.com/igualdad-de-genero-",IF(A214=$H$16,"https://centrodecapacitaciondelsur.com/pai-",IF(A214=$H$31,"https://centrodecapacitaciondelsur.com/manipulacion-de-alimentos-",IF(A214=$H$32,"https://centrodecapacitaciondelsur.com/atencion-a-personas-con-discapacidad-",IF(A214=$H$33,"https://centrodecapacitaciondelsur.com/atencion-al-adulto-mayor-",IF(A214=$H$34,"https://centrodecapacitaciondelsur.com/manejo-defensivo-",IF(A214=$H$35,"https://centrodecapacitaciondelsur.com/soporte-basico-neonatal-",IF(A214=$H$36,"https://centrodecapacitaciondelsur.com/seguridad-del-paciente-",IF(A214=$H$37,"https://centrodecapacitaciondelsur.com/manejo-de-residuos-hospitalarios-",IF(A214=$H$10,"https://centrodecapacitaciondelsur.com/toma-de-citologia-",IF(A214=$H$29,"https://centrodecapacitaciondelsur.com/primeros-aux-psicologicos-"))))))))))))))))))))))))))))))))</f>
        <v>https://centrodecapacitaciondelsur.com/manejo-del-duelo-</v>
      </c>
      <c r="C214" s="10">
        <f>INSCRITOS!B163</f>
        <v>1085256426</v>
      </c>
      <c r="D214" t="str">
        <f t="shared" ref="D214:D277" si="11">CONCATENATE(B214,C214,"/")</f>
        <v>https://centrodecapacitaciondelsur.com/manejo-del-duelo-1085256426/</v>
      </c>
    </row>
    <row r="215" spans="1:4" ht="122.25" customHeight="1" x14ac:dyDescent="0.25">
      <c r="A215" s="21" t="str">
        <f>INSCRITOS!O164</f>
        <v>HUMANIZACION</v>
      </c>
      <c r="B215" s="8" t="str">
        <f t="shared" si="10"/>
        <v>https://centrodecapacitaciondelsur.com/humanizacion-</v>
      </c>
      <c r="C215" s="10">
        <f>INSCRITOS!B164</f>
        <v>1085301199</v>
      </c>
      <c r="D215" t="str">
        <f t="shared" si="11"/>
        <v>https://centrodecapacitaciondelsur.com/humanizacion-1085301199/</v>
      </c>
    </row>
    <row r="216" spans="1:4" ht="122.25" customHeight="1" x14ac:dyDescent="0.25">
      <c r="A216" s="21" t="str">
        <f>INSCRITOS!O165</f>
        <v>DUELO</v>
      </c>
      <c r="B216" s="8" t="str">
        <f t="shared" si="10"/>
        <v>https://centrodecapacitaciondelsur.com/manejo-del-duelo-</v>
      </c>
      <c r="C216" s="10">
        <f>INSCRITOS!B165</f>
        <v>13069636</v>
      </c>
      <c r="D216" t="str">
        <f t="shared" si="11"/>
        <v>https://centrodecapacitaciondelsur.com/manejo-del-duelo-13069636/</v>
      </c>
    </row>
    <row r="217" spans="1:4" ht="122.25" customHeight="1" x14ac:dyDescent="0.25">
      <c r="A217" s="21" t="str">
        <f>INSCRITOS!O166</f>
        <v>ACLS</v>
      </c>
      <c r="B217" s="8" t="str">
        <f t="shared" si="10"/>
        <v>https://centrodecapacitaciondelsur.com/soporte-cardiovascular-avanzado-</v>
      </c>
      <c r="C217" s="10">
        <f>INSCRITOS!B166</f>
        <v>1087027997</v>
      </c>
      <c r="D217" t="str">
        <f t="shared" si="11"/>
        <v>https://centrodecapacitaciondelsur.com/soporte-cardiovascular-avanzado-1087027997/</v>
      </c>
    </row>
    <row r="218" spans="1:4" ht="122.25" customHeight="1" x14ac:dyDescent="0.25">
      <c r="A218" s="21" t="str">
        <f>INSCRITOS!O167</f>
        <v>BLS</v>
      </c>
      <c r="B218" s="8" t="str">
        <f t="shared" si="10"/>
        <v>https://centrodecapacitaciondelsur.com/soporte-basico-de-vida-</v>
      </c>
      <c r="C218" s="10">
        <f>INSCRITOS!B167</f>
        <v>1087027997</v>
      </c>
      <c r="D218" t="str">
        <f t="shared" si="11"/>
        <v>https://centrodecapacitaciondelsur.com/soporte-basico-de-vida-1087027997/</v>
      </c>
    </row>
    <row r="219" spans="1:4" ht="122.25" customHeight="1" x14ac:dyDescent="0.25">
      <c r="A219" s="21" t="str">
        <f>INSCRITOS!O168</f>
        <v>VIOLENCIA SEXUAL</v>
      </c>
      <c r="B219" s="8" t="str">
        <f t="shared" si="10"/>
        <v>https://centrodecapacitaciondelsur.com/violencia-sexual-</v>
      </c>
      <c r="C219" s="10">
        <f>INSCRITOS!B168</f>
        <v>1087027997</v>
      </c>
      <c r="D219" t="str">
        <f t="shared" si="11"/>
        <v>https://centrodecapacitaciondelsur.com/violencia-sexual-1087027997/</v>
      </c>
    </row>
    <row r="220" spans="1:4" ht="122.25" customHeight="1" x14ac:dyDescent="0.25">
      <c r="A220" s="21" t="str">
        <f>INSCRITOS!O169</f>
        <v>DUELO</v>
      </c>
      <c r="B220" s="8" t="str">
        <f t="shared" si="10"/>
        <v>https://centrodecapacitaciondelsur.com/manejo-del-duelo-</v>
      </c>
      <c r="C220" s="10">
        <f>INSCRITOS!B169</f>
        <v>1087027997</v>
      </c>
      <c r="D220" t="str">
        <f t="shared" si="11"/>
        <v>https://centrodecapacitaciondelsur.com/manejo-del-duelo-1087027997/</v>
      </c>
    </row>
    <row r="221" spans="1:4" ht="122.25" customHeight="1" x14ac:dyDescent="0.25">
      <c r="A221" s="21" t="str">
        <f>INSCRITOS!O170</f>
        <v>HUMANIZACION</v>
      </c>
      <c r="B221" s="8" t="str">
        <f t="shared" si="10"/>
        <v>https://centrodecapacitaciondelsur.com/humanizacion-</v>
      </c>
      <c r="C221" s="10">
        <f>INSCRITOS!B170</f>
        <v>1087027997</v>
      </c>
      <c r="D221" t="str">
        <f t="shared" si="11"/>
        <v>https://centrodecapacitaciondelsur.com/humanizacion-1087027997/</v>
      </c>
    </row>
    <row r="222" spans="1:4" ht="122.25" customHeight="1" x14ac:dyDescent="0.25">
      <c r="A222" s="21" t="str">
        <f>INSCRITOS!O171</f>
        <v>QUIMICOS</v>
      </c>
      <c r="B222" s="8" t="str">
        <f t="shared" si="10"/>
        <v>https://centrodecapacitaciondelsur.com/victimas-por-agentes-quimicos-</v>
      </c>
      <c r="C222" s="10">
        <f>INSCRITOS!B171</f>
        <v>1087027997</v>
      </c>
      <c r="D222" t="str">
        <f t="shared" si="11"/>
        <v>https://centrodecapacitaciondelsur.com/victimas-por-agentes-quimicos-1087027997/</v>
      </c>
    </row>
    <row r="223" spans="1:4" ht="122.25" customHeight="1" x14ac:dyDescent="0.25">
      <c r="A223" s="21" t="str">
        <f>INSCRITOS!O172</f>
        <v>AIEPI</v>
      </c>
      <c r="B223" s="8" t="str">
        <f t="shared" si="10"/>
        <v>https://centrodecapacitaciondelsur.com/aiepi-</v>
      </c>
      <c r="C223" s="10">
        <f>INSCRITOS!B172</f>
        <v>1087027997</v>
      </c>
      <c r="D223" t="str">
        <f t="shared" si="11"/>
        <v>https://centrodecapacitaciondelsur.com/aiepi-1087027997/</v>
      </c>
    </row>
    <row r="224" spans="1:4" ht="122.25" customHeight="1" x14ac:dyDescent="0.25">
      <c r="A224" s="21" t="str">
        <f>INSCRITOS!O173</f>
        <v>PALIATIVOS</v>
      </c>
      <c r="B224" s="8" t="str">
        <f t="shared" si="10"/>
        <v>https://centrodecapacitaciondelsur.com/manejo-del-dolor-y-cuidados-paliativos-</v>
      </c>
      <c r="C224" s="10">
        <f>INSCRITOS!B173</f>
        <v>1085335985</v>
      </c>
      <c r="D224" t="str">
        <f t="shared" si="11"/>
        <v>https://centrodecapacitaciondelsur.com/manejo-del-dolor-y-cuidados-paliativos-1085335985/</v>
      </c>
    </row>
    <row r="225" spans="1:4" ht="122.25" customHeight="1" x14ac:dyDescent="0.25">
      <c r="A225" s="21" t="str">
        <f>INSCRITOS!O174</f>
        <v>ADMON DE MEDICAMENTOS</v>
      </c>
      <c r="B225" s="8" t="str">
        <f t="shared" si="10"/>
        <v>https://centrodecapacitaciondelsur.com/adm-medicamentos-canalizacion-inyectologia-</v>
      </c>
      <c r="C225" s="10">
        <f>INSCRITOS!B174</f>
        <v>1193482338</v>
      </c>
      <c r="D225" t="str">
        <f t="shared" si="11"/>
        <v>https://centrodecapacitaciondelsur.com/adm-medicamentos-canalizacion-inyectologia-1193482338/</v>
      </c>
    </row>
    <row r="226" spans="1:4" ht="122.25" customHeight="1" x14ac:dyDescent="0.25">
      <c r="A226" s="21" t="str">
        <f>INSCRITOS!O175</f>
        <v>PRIMEROS AUXILIOS P</v>
      </c>
      <c r="B226" s="8" t="str">
        <f t="shared" si="10"/>
        <v>https://centrodecapacitaciondelsur.com/primeros-aux-psicologicos-</v>
      </c>
      <c r="C226" s="10">
        <f>INSCRITOS!B175</f>
        <v>1085280790</v>
      </c>
      <c r="D226" t="str">
        <f t="shared" si="11"/>
        <v>https://centrodecapacitaciondelsur.com/primeros-aux-psicologicos-1085280790/</v>
      </c>
    </row>
    <row r="227" spans="1:4" ht="122.25" customHeight="1" x14ac:dyDescent="0.25">
      <c r="A227" s="21" t="str">
        <f>INSCRITOS!O176</f>
        <v>SALUD MENTAL</v>
      </c>
      <c r="B227" s="8" t="s">
        <v>410</v>
      </c>
      <c r="C227" s="10">
        <f>INSCRITOS!B176</f>
        <v>1085280790</v>
      </c>
      <c r="D227" t="str">
        <f t="shared" si="11"/>
        <v>https://centrodecapacitaciondelsur.com/salud-mental-1085280790/</v>
      </c>
    </row>
    <row r="228" spans="1:4" ht="122.25" customHeight="1" x14ac:dyDescent="0.25">
      <c r="A228" s="21" t="str">
        <f>INSCRITOS!O177</f>
        <v>AIEPI</v>
      </c>
      <c r="B228" s="8" t="str">
        <f t="shared" si="10"/>
        <v>https://centrodecapacitaciondelsur.com/aiepi-</v>
      </c>
      <c r="C228" s="10">
        <f>INSCRITOS!B177</f>
        <v>27081932</v>
      </c>
      <c r="D228" t="str">
        <f t="shared" si="11"/>
        <v>https://centrodecapacitaciondelsur.com/aiepi-27081932/</v>
      </c>
    </row>
    <row r="229" spans="1:4" ht="122.25" customHeight="1" x14ac:dyDescent="0.25">
      <c r="A229" s="21" t="str">
        <f>INSCRITOS!O178</f>
        <v>IAMI</v>
      </c>
      <c r="B229" s="8" t="str">
        <f t="shared" si="10"/>
        <v>https://centrodecapacitaciondelsur.com/iami-</v>
      </c>
      <c r="C229" s="10">
        <f>INSCRITOS!B178</f>
        <v>27081932</v>
      </c>
      <c r="D229" t="str">
        <f t="shared" si="11"/>
        <v>https://centrodecapacitaciondelsur.com/iami-27081932/</v>
      </c>
    </row>
    <row r="230" spans="1:4" ht="122.25" customHeight="1" x14ac:dyDescent="0.25">
      <c r="A230" s="21" t="str">
        <f>INSCRITOS!O179</f>
        <v>ADMON DE MEDICAMENTOS</v>
      </c>
      <c r="B230" s="8" t="str">
        <f t="shared" si="10"/>
        <v>https://centrodecapacitaciondelsur.com/adm-medicamentos-canalizacion-inyectologia-</v>
      </c>
      <c r="C230" s="10">
        <f>INSCRITOS!B179</f>
        <v>1016071454</v>
      </c>
      <c r="D230" t="str">
        <f t="shared" si="11"/>
        <v>https://centrodecapacitaciondelsur.com/adm-medicamentos-canalizacion-inyectologia-1016071454/</v>
      </c>
    </row>
    <row r="231" spans="1:4" ht="122.25" customHeight="1" x14ac:dyDescent="0.25">
      <c r="A231" s="21" t="str">
        <f>INSCRITOS!O180</f>
        <v>PRIMEROS AUXILIOS</v>
      </c>
      <c r="B231" s="8" t="str">
        <f t="shared" si="10"/>
        <v>https://centrodecapacitaciondelsur.com/primeros-auxilios-</v>
      </c>
      <c r="C231" s="10">
        <f>INSCRITOS!B180</f>
        <v>1088730531</v>
      </c>
      <c r="D231" t="str">
        <f t="shared" si="11"/>
        <v>https://centrodecapacitaciondelsur.com/primeros-auxilios-1088730531/</v>
      </c>
    </row>
    <row r="232" spans="1:4" ht="122.25" customHeight="1" x14ac:dyDescent="0.25">
      <c r="A232" s="21" t="str">
        <f>INSCRITOS!O181</f>
        <v>BLS</v>
      </c>
      <c r="B232" s="8" t="str">
        <f t="shared" si="10"/>
        <v>https://centrodecapacitaciondelsur.com/soporte-basico-de-vida-</v>
      </c>
      <c r="C232" s="10">
        <f>INSCRITOS!B181</f>
        <v>1088730531</v>
      </c>
      <c r="D232" t="str">
        <f t="shared" si="11"/>
        <v>https://centrodecapacitaciondelsur.com/soporte-basico-de-vida-1088730531/</v>
      </c>
    </row>
    <row r="233" spans="1:4" ht="122.25" customHeight="1" x14ac:dyDescent="0.25">
      <c r="A233" s="21" t="str">
        <f>INSCRITOS!O182</f>
        <v>HUMANIZACION</v>
      </c>
      <c r="B233" s="8" t="str">
        <f t="shared" si="10"/>
        <v>https://centrodecapacitaciondelsur.com/humanizacion-</v>
      </c>
      <c r="C233" s="10">
        <f>INSCRITOS!B182</f>
        <v>1006997979</v>
      </c>
      <c r="D233" t="str">
        <f t="shared" si="11"/>
        <v>https://centrodecapacitaciondelsur.com/humanizacion-1006997979/</v>
      </c>
    </row>
    <row r="234" spans="1:4" ht="122.25" customHeight="1" x14ac:dyDescent="0.25">
      <c r="A234" s="21" t="str">
        <f>INSCRITOS!O183</f>
        <v>VIOLENCIA SEXUAL</v>
      </c>
      <c r="B234" s="8" t="str">
        <f t="shared" si="10"/>
        <v>https://centrodecapacitaciondelsur.com/violencia-sexual-</v>
      </c>
      <c r="C234" s="10">
        <f>INSCRITOS!B183</f>
        <v>1088735393</v>
      </c>
      <c r="D234" t="str">
        <f t="shared" si="11"/>
        <v>https://centrodecapacitaciondelsur.com/violencia-sexual-1088735393/</v>
      </c>
    </row>
    <row r="235" spans="1:4" ht="122.25" customHeight="1" x14ac:dyDescent="0.25">
      <c r="A235" s="21" t="str">
        <f>INSCRITOS!O184</f>
        <v>QUIMICOS</v>
      </c>
      <c r="B235" s="8" t="str">
        <f t="shared" si="10"/>
        <v>https://centrodecapacitaciondelsur.com/victimas-por-agentes-quimicos-</v>
      </c>
      <c r="C235" s="10">
        <f>INSCRITOS!B184</f>
        <v>1088735393</v>
      </c>
      <c r="D235" t="str">
        <f t="shared" si="11"/>
        <v>https://centrodecapacitaciondelsur.com/victimas-por-agentes-quimicos-1088735393/</v>
      </c>
    </row>
    <row r="236" spans="1:4" ht="122.25" customHeight="1" x14ac:dyDescent="0.25">
      <c r="A236" s="21" t="str">
        <f>INSCRITOS!O185</f>
        <v>DUELO</v>
      </c>
      <c r="B236" s="8" t="str">
        <f t="shared" si="10"/>
        <v>https://centrodecapacitaciondelsur.com/manejo-del-duelo-</v>
      </c>
      <c r="C236" s="10">
        <f>INSCRITOS!B185</f>
        <v>1088735393</v>
      </c>
      <c r="D236" t="str">
        <f t="shared" si="11"/>
        <v>https://centrodecapacitaciondelsur.com/manejo-del-duelo-1088735393/</v>
      </c>
    </row>
    <row r="237" spans="1:4" ht="122.25" customHeight="1" x14ac:dyDescent="0.25">
      <c r="A237" s="21" t="str">
        <f>INSCRITOS!O186</f>
        <v>HUMANIZACION</v>
      </c>
      <c r="B237" s="8" t="str">
        <f t="shared" si="10"/>
        <v>https://centrodecapacitaciondelsur.com/humanizacion-</v>
      </c>
      <c r="C237" s="10">
        <f>INSCRITOS!B186</f>
        <v>1088735393</v>
      </c>
      <c r="D237" t="str">
        <f t="shared" si="11"/>
        <v>https://centrodecapacitaciondelsur.com/humanizacion-1088735393/</v>
      </c>
    </row>
    <row r="238" spans="1:4" ht="122.25" customHeight="1" x14ac:dyDescent="0.25">
      <c r="A238" s="21" t="str">
        <f>INSCRITOS!O187</f>
        <v>VIOLENCIA SEXUAL</v>
      </c>
      <c r="B238" s="8" t="str">
        <f t="shared" si="10"/>
        <v>https://centrodecapacitaciondelsur.com/violencia-sexual-</v>
      </c>
      <c r="C238" s="10">
        <f>INSCRITOS!B187</f>
        <v>1088730010</v>
      </c>
      <c r="D238" t="str">
        <f t="shared" si="11"/>
        <v>https://centrodecapacitaciondelsur.com/violencia-sexual-1088730010/</v>
      </c>
    </row>
    <row r="239" spans="1:4" ht="122.25" customHeight="1" x14ac:dyDescent="0.25">
      <c r="A239" s="21" t="str">
        <f>INSCRITOS!O188</f>
        <v>QUIMICOS</v>
      </c>
      <c r="B239" s="8" t="str">
        <f t="shared" si="10"/>
        <v>https://centrodecapacitaciondelsur.com/victimas-por-agentes-quimicos-</v>
      </c>
      <c r="C239" s="10">
        <f>INSCRITOS!B188</f>
        <v>1088730010</v>
      </c>
      <c r="D239" t="str">
        <f t="shared" si="11"/>
        <v>https://centrodecapacitaciondelsur.com/victimas-por-agentes-quimicos-1088730010/</v>
      </c>
    </row>
    <row r="240" spans="1:4" ht="122.25" customHeight="1" x14ac:dyDescent="0.25">
      <c r="A240" s="21" t="str">
        <f>INSCRITOS!O189</f>
        <v>HUMANIZACION</v>
      </c>
      <c r="B240" s="8" t="str">
        <f t="shared" si="10"/>
        <v>https://centrodecapacitaciondelsur.com/humanizacion-</v>
      </c>
      <c r="C240" s="10">
        <f>INSCRITOS!B189</f>
        <v>1088730010</v>
      </c>
      <c r="D240" t="str">
        <f t="shared" si="11"/>
        <v>https://centrodecapacitaciondelsur.com/humanizacion-1088730010/</v>
      </c>
    </row>
    <row r="241" spans="1:4" ht="122.25" customHeight="1" x14ac:dyDescent="0.25">
      <c r="A241" s="21" t="str">
        <f>INSCRITOS!O190</f>
        <v>VIOLENCIA SEXUAL</v>
      </c>
      <c r="B241" s="8" t="str">
        <f t="shared" si="10"/>
        <v>https://centrodecapacitaciondelsur.com/violencia-sexual-</v>
      </c>
      <c r="C241" s="10">
        <f>INSCRITOS!B190</f>
        <v>1085300597</v>
      </c>
      <c r="D241" t="str">
        <f t="shared" si="11"/>
        <v>https://centrodecapacitaciondelsur.com/violencia-sexual-1085300597/</v>
      </c>
    </row>
    <row r="242" spans="1:4" ht="122.25" customHeight="1" x14ac:dyDescent="0.25">
      <c r="A242" s="21" t="str">
        <f>INSCRITOS!O191</f>
        <v>AIEPI</v>
      </c>
      <c r="B242" s="8" t="str">
        <f t="shared" si="10"/>
        <v>https://centrodecapacitaciondelsur.com/aiepi-</v>
      </c>
      <c r="C242" s="10">
        <f>INSCRITOS!B191</f>
        <v>1085322474</v>
      </c>
      <c r="D242" t="str">
        <f t="shared" si="11"/>
        <v>https://centrodecapacitaciondelsur.com/aiepi-1085322474/</v>
      </c>
    </row>
    <row r="243" spans="1:4" ht="122.25" customHeight="1" x14ac:dyDescent="0.25">
      <c r="A243" s="21" t="str">
        <f>INSCRITOS!O192</f>
        <v>IAMI</v>
      </c>
      <c r="B243" s="8" t="str">
        <f t="shared" si="10"/>
        <v>https://centrodecapacitaciondelsur.com/iami-</v>
      </c>
      <c r="C243" s="10">
        <f>INSCRITOS!B192</f>
        <v>1085322474</v>
      </c>
      <c r="D243" t="str">
        <f t="shared" si="11"/>
        <v>https://centrodecapacitaciondelsur.com/iami-1085322474/</v>
      </c>
    </row>
    <row r="244" spans="1:4" ht="122.25" customHeight="1" x14ac:dyDescent="0.25">
      <c r="A244" s="21" t="str">
        <f>INSCRITOS!O193</f>
        <v>AIEPI</v>
      </c>
      <c r="B244" s="8" t="str">
        <f t="shared" si="10"/>
        <v>https://centrodecapacitaciondelsur.com/aiepi-</v>
      </c>
      <c r="C244" s="10">
        <f>INSCRITOS!B193</f>
        <v>1085262542</v>
      </c>
      <c r="D244" t="str">
        <f t="shared" si="11"/>
        <v>https://centrodecapacitaciondelsur.com/aiepi-1085262542/</v>
      </c>
    </row>
    <row r="245" spans="1:4" ht="122.25" customHeight="1" x14ac:dyDescent="0.25">
      <c r="A245" s="21" t="str">
        <f>INSCRITOS!O194</f>
        <v>IAMI</v>
      </c>
      <c r="B245" s="8" t="str">
        <f t="shared" si="10"/>
        <v>https://centrodecapacitaciondelsur.com/iami-</v>
      </c>
      <c r="C245" s="10">
        <f>INSCRITOS!B194</f>
        <v>1085262542</v>
      </c>
      <c r="D245" t="str">
        <f t="shared" si="11"/>
        <v>https://centrodecapacitaciondelsur.com/iami-1085262542/</v>
      </c>
    </row>
    <row r="246" spans="1:4" ht="122.25" customHeight="1" x14ac:dyDescent="0.25">
      <c r="A246" s="21" t="str">
        <f>INSCRITOS!O195</f>
        <v>BLS</v>
      </c>
      <c r="B246" s="8" t="str">
        <f t="shared" si="10"/>
        <v>https://centrodecapacitaciondelsur.com/soporte-basico-de-vida-</v>
      </c>
      <c r="C246" s="10">
        <f>INSCRITOS!B195</f>
        <v>1233188551</v>
      </c>
      <c r="D246" t="str">
        <f t="shared" si="11"/>
        <v>https://centrodecapacitaciondelsur.com/soporte-basico-de-vida-1233188551/</v>
      </c>
    </row>
    <row r="247" spans="1:4" ht="122.25" customHeight="1" x14ac:dyDescent="0.25">
      <c r="A247" s="21" t="str">
        <f>INSCRITOS!O196</f>
        <v>HUMANIZACION</v>
      </c>
      <c r="B247" s="8" t="str">
        <f t="shared" si="10"/>
        <v>https://centrodecapacitaciondelsur.com/humanizacion-</v>
      </c>
      <c r="C247" s="10">
        <f>INSCRITOS!B196</f>
        <v>1193469735</v>
      </c>
      <c r="D247" t="str">
        <f t="shared" si="11"/>
        <v>https://centrodecapacitaciondelsur.com/humanizacion-1193469735/</v>
      </c>
    </row>
    <row r="248" spans="1:4" ht="122.25" customHeight="1" x14ac:dyDescent="0.25">
      <c r="A248" s="21" t="str">
        <f>INSCRITOS!O197</f>
        <v>QUIMICOS</v>
      </c>
      <c r="B248" s="8" t="str">
        <f t="shared" si="10"/>
        <v>https://centrodecapacitaciondelsur.com/victimas-por-agentes-quimicos-</v>
      </c>
      <c r="C248" s="10">
        <f>INSCRITOS!B197</f>
        <v>1193469735</v>
      </c>
      <c r="D248" t="str">
        <f t="shared" si="11"/>
        <v>https://centrodecapacitaciondelsur.com/victimas-por-agentes-quimicos-1193469735/</v>
      </c>
    </row>
    <row r="249" spans="1:4" ht="122.25" customHeight="1" x14ac:dyDescent="0.25">
      <c r="A249" s="21" t="str">
        <f>INSCRITOS!O198</f>
        <v>VIOLENCIA SEXUAL</v>
      </c>
      <c r="B249" s="8" t="str">
        <f t="shared" si="10"/>
        <v>https://centrodecapacitaciondelsur.com/violencia-sexual-</v>
      </c>
      <c r="C249" s="10">
        <f>INSCRITOS!B198</f>
        <v>1193469735</v>
      </c>
      <c r="D249" t="str">
        <f t="shared" si="11"/>
        <v>https://centrodecapacitaciondelsur.com/violencia-sexual-1193469735/</v>
      </c>
    </row>
    <row r="250" spans="1:4" ht="122.25" customHeight="1" x14ac:dyDescent="0.25">
      <c r="A250" s="21" t="str">
        <f>INSCRITOS!O199</f>
        <v>BLS</v>
      </c>
      <c r="B250" s="8" t="str">
        <f t="shared" si="10"/>
        <v>https://centrodecapacitaciondelsur.com/soporte-basico-de-vida-</v>
      </c>
      <c r="C250" s="10">
        <f>INSCRITOS!B199</f>
        <v>1193469735</v>
      </c>
      <c r="D250" t="str">
        <f t="shared" si="11"/>
        <v>https://centrodecapacitaciondelsur.com/soporte-basico-de-vida-1193469735/</v>
      </c>
    </row>
    <row r="251" spans="1:4" ht="122.25" customHeight="1" x14ac:dyDescent="0.25">
      <c r="A251" s="21" t="str">
        <f>INSCRITOS!O200</f>
        <v>PALIATIVOS</v>
      </c>
      <c r="B251" s="8" t="str">
        <f t="shared" si="10"/>
        <v>https://centrodecapacitaciondelsur.com/manejo-del-dolor-y-cuidados-paliativos-</v>
      </c>
      <c r="C251" s="10">
        <f>INSCRITOS!B200</f>
        <v>1193469735</v>
      </c>
      <c r="D251" t="str">
        <f t="shared" si="11"/>
        <v>https://centrodecapacitaciondelsur.com/manejo-del-dolor-y-cuidados-paliativos-1193469735/</v>
      </c>
    </row>
    <row r="252" spans="1:4" ht="122.25" customHeight="1" x14ac:dyDescent="0.25">
      <c r="A252" s="21" t="str">
        <f>INSCRITOS!O201</f>
        <v>VACUNACION</v>
      </c>
      <c r="B252" s="8" t="s">
        <v>449</v>
      </c>
      <c r="C252" s="10">
        <f>INSCRITOS!B201</f>
        <v>1193469735</v>
      </c>
      <c r="D252" t="str">
        <f t="shared" si="11"/>
        <v>https://centrodecapacitaciondelsur.com/vacunacion-1193469735/</v>
      </c>
    </row>
    <row r="253" spans="1:4" ht="122.25" customHeight="1" x14ac:dyDescent="0.25">
      <c r="A253" s="21" t="str">
        <f>INSCRITOS!O202</f>
        <v>ADMON DE MEDICAMENTOS</v>
      </c>
      <c r="B253" s="8" t="str">
        <f t="shared" si="10"/>
        <v>https://centrodecapacitaciondelsur.com/adm-medicamentos-canalizacion-inyectologia-</v>
      </c>
      <c r="C253" s="10">
        <f>INSCRITOS!B202</f>
        <v>1061742614</v>
      </c>
      <c r="D253" t="str">
        <f t="shared" si="11"/>
        <v>https://centrodecapacitaciondelsur.com/adm-medicamentos-canalizacion-inyectologia-1061742614/</v>
      </c>
    </row>
    <row r="254" spans="1:4" ht="122.25" customHeight="1" x14ac:dyDescent="0.25">
      <c r="A254" s="21" t="str">
        <f>INSCRITOS!O203</f>
        <v>DUELO</v>
      </c>
      <c r="B254" s="8" t="str">
        <f t="shared" si="10"/>
        <v>https://centrodecapacitaciondelsur.com/manejo-del-duelo-</v>
      </c>
      <c r="C254" s="10">
        <f>INSCRITOS!B203</f>
        <v>1087027493</v>
      </c>
      <c r="D254" t="str">
        <f t="shared" si="11"/>
        <v>https://centrodecapacitaciondelsur.com/manejo-del-duelo-1087027493/</v>
      </c>
    </row>
    <row r="255" spans="1:4" ht="122.25" customHeight="1" x14ac:dyDescent="0.25">
      <c r="A255" s="21" t="str">
        <f>INSCRITOS!O204</f>
        <v>HUMANIZACION</v>
      </c>
      <c r="B255" s="8" t="str">
        <f t="shared" si="10"/>
        <v>https://centrodecapacitaciondelsur.com/humanizacion-</v>
      </c>
      <c r="C255" s="10">
        <f>INSCRITOS!B204</f>
        <v>1088733829</v>
      </c>
      <c r="D255" t="str">
        <f t="shared" si="11"/>
        <v>https://centrodecapacitaciondelsur.com/humanizacion-1088733829/</v>
      </c>
    </row>
    <row r="256" spans="1:4" ht="122.25" customHeight="1" x14ac:dyDescent="0.25">
      <c r="A256" s="21" t="str">
        <f>INSCRITOS!O205</f>
        <v>QUIMICOS</v>
      </c>
      <c r="B256" s="8" t="str">
        <f t="shared" si="10"/>
        <v>https://centrodecapacitaciondelsur.com/victimas-por-agentes-quimicos-</v>
      </c>
      <c r="C256" s="10">
        <f>INSCRITOS!B205</f>
        <v>1088733829</v>
      </c>
      <c r="D256" t="str">
        <f t="shared" si="11"/>
        <v>https://centrodecapacitaciondelsur.com/victimas-por-agentes-quimicos-1088733829/</v>
      </c>
    </row>
    <row r="257" spans="1:4" ht="122.25" customHeight="1" x14ac:dyDescent="0.25">
      <c r="A257" s="21" t="str">
        <f>INSCRITOS!O206</f>
        <v>AIEPI</v>
      </c>
      <c r="B257" s="8" t="str">
        <f t="shared" si="10"/>
        <v>https://centrodecapacitaciondelsur.com/aiepi-</v>
      </c>
      <c r="C257" s="10">
        <f>INSCRITOS!B206</f>
        <v>1085324807</v>
      </c>
      <c r="D257" t="str">
        <f t="shared" si="11"/>
        <v>https://centrodecapacitaciondelsur.com/aiepi-1085324807/</v>
      </c>
    </row>
    <row r="258" spans="1:4" ht="122.25" customHeight="1" x14ac:dyDescent="0.25">
      <c r="A258" s="21" t="str">
        <f>INSCRITOS!O207</f>
        <v>DUELO</v>
      </c>
      <c r="B258" s="8" t="str">
        <f t="shared" si="10"/>
        <v>https://centrodecapacitaciondelsur.com/manejo-del-duelo-</v>
      </c>
      <c r="C258" s="10">
        <f>INSCRITOS!B207</f>
        <v>1085324807</v>
      </c>
      <c r="D258" t="str">
        <f t="shared" si="11"/>
        <v>https://centrodecapacitaciondelsur.com/manejo-del-duelo-1085324807/</v>
      </c>
    </row>
    <row r="259" spans="1:4" ht="122.25" customHeight="1" x14ac:dyDescent="0.25">
      <c r="A259" s="21" t="str">
        <f>INSCRITOS!O208</f>
        <v>HUMANIZACION</v>
      </c>
      <c r="B259" s="8" t="str">
        <f t="shared" si="10"/>
        <v>https://centrodecapacitaciondelsur.com/humanizacion-</v>
      </c>
      <c r="C259" s="10">
        <f>INSCRITOS!B208</f>
        <v>1085324807</v>
      </c>
      <c r="D259" t="str">
        <f t="shared" si="11"/>
        <v>https://centrodecapacitaciondelsur.com/humanizacion-1085324807/</v>
      </c>
    </row>
    <row r="260" spans="1:4" ht="122.25" customHeight="1" x14ac:dyDescent="0.25">
      <c r="A260" s="21" t="str">
        <f>INSCRITOS!O209</f>
        <v>TOMA DE MUESTRAS</v>
      </c>
      <c r="B260" s="8" t="str">
        <f t="shared" si="10"/>
        <v>https://centrodecapacitaciondelsur.com/toma-de-muestras-y-lab-clinico-</v>
      </c>
      <c r="C260" s="10">
        <f>INSCRITOS!B209</f>
        <v>12747445</v>
      </c>
      <c r="D260" t="str">
        <f t="shared" si="11"/>
        <v>https://centrodecapacitaciondelsur.com/toma-de-muestras-y-lab-clinico-12747445/</v>
      </c>
    </row>
    <row r="261" spans="1:4" ht="122.25" customHeight="1" x14ac:dyDescent="0.25">
      <c r="A261" s="21" t="str">
        <f>INSCRITOS!O210</f>
        <v>DUELO</v>
      </c>
      <c r="B261" s="8" t="str">
        <f t="shared" si="10"/>
        <v>https://centrodecapacitaciondelsur.com/manejo-del-duelo-</v>
      </c>
      <c r="C261" s="10">
        <f>INSCRITOS!B210</f>
        <v>1088737329</v>
      </c>
      <c r="D261" t="str">
        <f t="shared" si="11"/>
        <v>https://centrodecapacitaciondelsur.com/manejo-del-duelo-1088737329/</v>
      </c>
    </row>
    <row r="262" spans="1:4" ht="122.25" customHeight="1" x14ac:dyDescent="0.25">
      <c r="A262" s="21" t="str">
        <f>INSCRITOS!O211</f>
        <v>HUMANIZACION</v>
      </c>
      <c r="B262" s="8" t="str">
        <f t="shared" si="10"/>
        <v>https://centrodecapacitaciondelsur.com/humanizacion-</v>
      </c>
      <c r="C262" s="10">
        <f>INSCRITOS!B211</f>
        <v>1088737329</v>
      </c>
      <c r="D262" t="str">
        <f t="shared" si="11"/>
        <v>https://centrodecapacitaciondelsur.com/humanizacion-1088737329/</v>
      </c>
    </row>
    <row r="263" spans="1:4" ht="122.25" customHeight="1" x14ac:dyDescent="0.25">
      <c r="A263" s="21" t="str">
        <f>INSCRITOS!O212</f>
        <v>VIOLENCIA SEXUAL</v>
      </c>
      <c r="B263" s="8" t="str">
        <f t="shared" si="10"/>
        <v>https://centrodecapacitaciondelsur.com/violencia-sexual-</v>
      </c>
      <c r="C263" s="10">
        <f>INSCRITOS!B212</f>
        <v>1088737329</v>
      </c>
      <c r="D263" t="str">
        <f t="shared" si="11"/>
        <v>https://centrodecapacitaciondelsur.com/violencia-sexual-1088737329/</v>
      </c>
    </row>
    <row r="264" spans="1:4" ht="122.25" customHeight="1" x14ac:dyDescent="0.25">
      <c r="A264" s="21" t="str">
        <f>INSCRITOS!O213</f>
        <v>QUIMICOS</v>
      </c>
      <c r="B264" s="8" t="str">
        <f t="shared" si="10"/>
        <v>https://centrodecapacitaciondelsur.com/victimas-por-agentes-quimicos-</v>
      </c>
      <c r="C264" s="10">
        <f>INSCRITOS!B213</f>
        <v>1088737329</v>
      </c>
      <c r="D264" t="str">
        <f t="shared" si="11"/>
        <v>https://centrodecapacitaciondelsur.com/victimas-por-agentes-quimicos-1088737329/</v>
      </c>
    </row>
    <row r="265" spans="1:4" ht="122.25" customHeight="1" x14ac:dyDescent="0.25">
      <c r="A265" s="21" t="str">
        <f>INSCRITOS!O214</f>
        <v>HUMANIZACION</v>
      </c>
      <c r="B265" s="8" t="str">
        <f t="shared" si="10"/>
        <v>https://centrodecapacitaciondelsur.com/humanizacion-</v>
      </c>
      <c r="C265" s="10">
        <f>INSCRITOS!B214</f>
        <v>1084228524</v>
      </c>
      <c r="D265" t="str">
        <f t="shared" si="11"/>
        <v>https://centrodecapacitaciondelsur.com/humanizacion-1084228524/</v>
      </c>
    </row>
    <row r="266" spans="1:4" ht="122.25" customHeight="1" x14ac:dyDescent="0.25">
      <c r="A266" s="21" t="str">
        <f>INSCRITOS!O215</f>
        <v>VIOLENCIA SEXUAL</v>
      </c>
      <c r="B266" s="8" t="str">
        <f t="shared" si="10"/>
        <v>https://centrodecapacitaciondelsur.com/violencia-sexual-</v>
      </c>
      <c r="C266" s="10">
        <f>INSCRITOS!B215</f>
        <v>1084228524</v>
      </c>
      <c r="D266" t="str">
        <f t="shared" si="11"/>
        <v>https://centrodecapacitaciondelsur.com/violencia-sexual-1084228524/</v>
      </c>
    </row>
    <row r="267" spans="1:4" ht="122.25" customHeight="1" x14ac:dyDescent="0.25">
      <c r="A267" s="21" t="str">
        <f>INSCRITOS!O216</f>
        <v>CONFLICTO ARMADO</v>
      </c>
      <c r="B267" s="8" t="str">
        <f t="shared" si="10"/>
        <v>https://centrodecapacitaciondelsur.com/atencion-a-victimas-del-conflicto-armado-</v>
      </c>
      <c r="C267" s="10">
        <f>INSCRITOS!B216</f>
        <v>1084228524</v>
      </c>
      <c r="D267" t="str">
        <f t="shared" si="11"/>
        <v>https://centrodecapacitaciondelsur.com/atencion-a-victimas-del-conflicto-armado-1084228524/</v>
      </c>
    </row>
    <row r="268" spans="1:4" ht="122.25" customHeight="1" x14ac:dyDescent="0.25">
      <c r="A268" s="21" t="str">
        <f>INSCRITOS!O217</f>
        <v>PACIENTE</v>
      </c>
      <c r="B268" s="8" t="str">
        <f t="shared" si="10"/>
        <v>https://centrodecapacitaciondelsur.com/seguridad-del-paciente-</v>
      </c>
      <c r="C268" s="10">
        <f>INSCRITOS!B217</f>
        <v>1086528078</v>
      </c>
      <c r="D268" t="str">
        <f t="shared" si="11"/>
        <v>https://centrodecapacitaciondelsur.com/seguridad-del-paciente-1086528078/</v>
      </c>
    </row>
    <row r="269" spans="1:4" ht="122.25" customHeight="1" x14ac:dyDescent="0.25">
      <c r="A269" s="21" t="str">
        <f>INSCRITOS!O218</f>
        <v>HUMANIZACION</v>
      </c>
      <c r="B269" s="8" t="str">
        <f t="shared" si="10"/>
        <v>https://centrodecapacitaciondelsur.com/humanizacion-</v>
      </c>
      <c r="C269" s="10">
        <f>INSCRITOS!B218</f>
        <v>1086528078</v>
      </c>
      <c r="D269" t="str">
        <f t="shared" si="11"/>
        <v>https://centrodecapacitaciondelsur.com/humanizacion-1086528078/</v>
      </c>
    </row>
    <row r="270" spans="1:4" ht="122.25" customHeight="1" x14ac:dyDescent="0.25">
      <c r="A270" s="21" t="str">
        <f>INSCRITOS!O219</f>
        <v>VIOLENCIA SEXUAL</v>
      </c>
      <c r="B270" s="8" t="str">
        <f t="shared" si="10"/>
        <v>https://centrodecapacitaciondelsur.com/violencia-sexual-</v>
      </c>
      <c r="C270" s="10">
        <f>INSCRITOS!B219</f>
        <v>1086980956</v>
      </c>
      <c r="D270" t="str">
        <f t="shared" si="11"/>
        <v>https://centrodecapacitaciondelsur.com/violencia-sexual-1086980956/</v>
      </c>
    </row>
    <row r="271" spans="1:4" ht="122.25" customHeight="1" x14ac:dyDescent="0.25">
      <c r="A271" s="21" t="str">
        <f>INSCRITOS!O220</f>
        <v>QUIMICOS</v>
      </c>
      <c r="B271" s="8" t="str">
        <f t="shared" si="10"/>
        <v>https://centrodecapacitaciondelsur.com/victimas-por-agentes-quimicos-</v>
      </c>
      <c r="C271" s="10">
        <f>INSCRITOS!B220</f>
        <v>1086980956</v>
      </c>
      <c r="D271" t="str">
        <f t="shared" si="11"/>
        <v>https://centrodecapacitaciondelsur.com/victimas-por-agentes-quimicos-1086980956/</v>
      </c>
    </row>
    <row r="272" spans="1:4" ht="122.25" customHeight="1" x14ac:dyDescent="0.25">
      <c r="A272" s="21" t="str">
        <f>INSCRITOS!O221</f>
        <v>DUELO</v>
      </c>
      <c r="B272" s="8" t="str">
        <f t="shared" si="10"/>
        <v>https://centrodecapacitaciondelsur.com/manejo-del-duelo-</v>
      </c>
      <c r="C272" s="10">
        <f>INSCRITOS!B221</f>
        <v>1086980956</v>
      </c>
      <c r="D272" t="str">
        <f t="shared" si="11"/>
        <v>https://centrodecapacitaciondelsur.com/manejo-del-duelo-1086980956/</v>
      </c>
    </row>
    <row r="273" spans="1:5" ht="122.25" customHeight="1" x14ac:dyDescent="0.25">
      <c r="A273" s="21" t="str">
        <f>INSCRITOS!O222</f>
        <v>HUMANIZACION</v>
      </c>
      <c r="B273" s="8" t="str">
        <f t="shared" si="10"/>
        <v>https://centrodecapacitaciondelsur.com/humanizacion-</v>
      </c>
      <c r="C273" s="10">
        <f>INSCRITOS!B222</f>
        <v>1086980956</v>
      </c>
      <c r="D273" t="str">
        <f t="shared" si="11"/>
        <v>https://centrodecapacitaciondelsur.com/humanizacion-1086980956/</v>
      </c>
    </row>
    <row r="274" spans="1:5" ht="122.25" customHeight="1" x14ac:dyDescent="0.25">
      <c r="A274" s="21" t="str">
        <f>INSCRITOS!O223</f>
        <v>ADMON DE MEDICAMENTOS</v>
      </c>
      <c r="B274" s="8" t="str">
        <f t="shared" si="10"/>
        <v>https://centrodecapacitaciondelsur.com/adm-medicamentos-canalizacion-inyectologia-</v>
      </c>
      <c r="C274" s="10">
        <f>INSCRITOS!B223</f>
        <v>37082040</v>
      </c>
      <c r="D274" t="str">
        <f t="shared" si="11"/>
        <v>https://centrodecapacitaciondelsur.com/adm-medicamentos-canalizacion-inyectologia-37082040/</v>
      </c>
    </row>
    <row r="275" spans="1:5" ht="122.25" customHeight="1" x14ac:dyDescent="0.25">
      <c r="A275" s="21" t="str">
        <f>INSCRITOS!O224</f>
        <v>HUMANIZACION</v>
      </c>
      <c r="B275" s="8" t="str">
        <f t="shared" si="10"/>
        <v>https://centrodecapacitaciondelsur.com/humanizacion-</v>
      </c>
      <c r="C275" s="10">
        <f>INSCRITOS!B224</f>
        <v>1088738571</v>
      </c>
      <c r="D275" t="str">
        <f t="shared" si="11"/>
        <v>https://centrodecapacitaciondelsur.com/humanizacion-1088738571/</v>
      </c>
    </row>
    <row r="276" spans="1:5" ht="122.25" customHeight="1" x14ac:dyDescent="0.25">
      <c r="A276" s="21" t="str">
        <f>INSCRITOS!O225</f>
        <v>PACIENTE</v>
      </c>
      <c r="B276" s="8" t="str">
        <f t="shared" si="10"/>
        <v>https://centrodecapacitaciondelsur.com/seguridad-del-paciente-</v>
      </c>
      <c r="C276" s="10">
        <f>INSCRITOS!B225</f>
        <v>1088738571</v>
      </c>
      <c r="D276" t="str">
        <f t="shared" si="11"/>
        <v>https://centrodecapacitaciondelsur.com/seguridad-del-paciente-1088738571/</v>
      </c>
    </row>
    <row r="277" spans="1:5" ht="122.25" customHeight="1" x14ac:dyDescent="0.25">
      <c r="A277" s="21" t="str">
        <f>INSCRITOS!O226</f>
        <v>QUIMICOS</v>
      </c>
      <c r="B277" s="8" t="str">
        <f t="shared" si="10"/>
        <v>https://centrodecapacitaciondelsur.com/victimas-por-agentes-quimicos-</v>
      </c>
      <c r="C277" s="10">
        <f>INSCRITOS!B226</f>
        <v>1088738571</v>
      </c>
      <c r="D277" t="str">
        <f t="shared" si="11"/>
        <v>https://centrodecapacitaciondelsur.com/victimas-por-agentes-quimicos-1088738571/</v>
      </c>
    </row>
    <row r="278" spans="1:5" ht="122.25" customHeight="1" x14ac:dyDescent="0.25">
      <c r="A278" s="21" t="str">
        <f>INSCRITOS!O227</f>
        <v>VIOLENCIA SEXUAL</v>
      </c>
      <c r="B278" s="8" t="str">
        <f t="shared" ref="B278:B279" si="12">IF(A278=$H$19,"https://centrodecapacitaciondelsur.com/o-v-e-",IF(A278=$H$2,"https://centrodecapacitaciondelsur.com/aph-",IF(A278=$H$3,"https://centrodecapacitaciondelsur.com/manejo-del-duelo-",IF(A278=$H$4,"https://centrodecapacitaciondelsur.com/victimas-por-agentes-quimicos-",IF(A278=$H$5,"https://centrodecapacitaciondelsur.com/primeros-auxilios-",IF(A278=$H$6,"https://centrodecapacitaciondelsur.com/uci-",IF(A278=$H$8,"https://centrodecapacitaciondelsur.com/humanizacion-",IF(A278=$H$11,"https://centrodecapacitaciondelsur.com/soporte-cardiovascular-avanzado-",IF(A278=$H$12,"https://centrodecapacitaciondelsur.com/camillero-",IF(A278=$H$13,"https://centrodecapacitaciondelsur.com/toma-de-muestras-y-lab-clinico-",IF(A278=$H$14,"https://centrodecapacitaciondelsur.com/soporte-basico-de-vida-",IF(A278=$H$15,"https://centrodecapacitaciondelsur.com/violencia-sexual-",IF(A278=$H$17,"https://centrodecapacitaciondelsur.com/aiepi-",IF(A278=$H$18,"https://centrodecapacitaciondelsur.com/adm-medicamentos-canalizacion-inyectologia-",IF(A278=$H$25,"https://centrodecapacitaciondelsur.com/manejo-del-dolor-y-cuidados-paliativos-",IF(A278=$H$26,"https://centrodecapacitaciondelsur.com/toma-de-muestras-y-lab-clinico-poct-",IF(A278=$H$27,"https://centrodecapacitaciondelsur.com/implante-subdermico-",IF(A278=$H$21,"https://centrodecapacitaciondelsur.com/donante-de-organos-",IF(A278=$H$30,"https://centrodecapacitaciondelsur.com/atencion-a-victimas-del-conflicto-armado-",IF(A278=$H$20,"https://centrodecapacitaciondelsur.com/iami-",IF(A278=$H$22,"https://centrodecapacitaciondelsur.com/violencia-de-genero-",IF(A278=$H$23,"https://centrodecapacitaciondelsur.com/igualdad-de-genero-",IF(A278=$H$16,"https://centrodecapacitaciondelsur.com/pai-",IF(A278=$H$31,"https://centrodecapacitaciondelsur.com/manipulacion-de-alimentos-",IF(A278=$H$32,"https://centrodecapacitaciondelsur.com/atencion-a-personas-con-discapacidad-",IF(A278=$H$33,"https://centrodecapacitaciondelsur.com/atencion-al-adulto-mayor-",IF(A278=$H$34,"https://centrodecapacitaciondelsur.com/manejo-defensivo-",IF(A278=$H$35,"https://centrodecapacitaciondelsur.com/soporte-basico-neonatal-",IF(A278=$H$36,"https://centrodecapacitaciondelsur.com/seguridad-del-paciente-",IF(A278=$H$37,"https://centrodecapacitaciondelsur.com/manejo-de-residuos-hospitalarios-",IF(A278=$H$10,"https://centrodecapacitaciondelsur.com/toma-de-citologia-",IF(A278=$H$29,"https://centrodecapacitaciondelsur.com/primeros-aux-psicologicos-"))))))))))))))))))))))))))))))))</f>
        <v>https://centrodecapacitaciondelsur.com/violencia-sexual-</v>
      </c>
      <c r="C278" s="10">
        <f>INSCRITOS!B227</f>
        <v>1088738571</v>
      </c>
      <c r="D278" t="str">
        <f t="shared" ref="D278:D279" si="13">CONCATENATE(B278,C278,"/")</f>
        <v>https://centrodecapacitaciondelsur.com/violencia-sexual-1088738571/</v>
      </c>
    </row>
    <row r="279" spans="1:5" ht="122.25" customHeight="1" x14ac:dyDescent="0.25">
      <c r="A279" s="21" t="str">
        <f>INSCRITOS!O228</f>
        <v>DUELO</v>
      </c>
      <c r="B279" s="8" t="str">
        <f t="shared" si="12"/>
        <v>https://centrodecapacitaciondelsur.com/manejo-del-duelo-</v>
      </c>
      <c r="C279" s="10">
        <f>INSCRITOS!B228</f>
        <v>1088738571</v>
      </c>
      <c r="D279" t="str">
        <f t="shared" si="13"/>
        <v>https://centrodecapacitaciondelsur.com/manejo-del-duelo-1088738571/</v>
      </c>
    </row>
    <row r="280" spans="1:5" ht="122.25" customHeight="1" x14ac:dyDescent="0.25">
      <c r="A280" s="21" t="str">
        <f>INSCRITOS!O229</f>
        <v>AIEPI</v>
      </c>
      <c r="B280" s="8" t="str">
        <f t="shared" ref="B280:B343" si="14">IF(A280=$H$19,"https://centrodecapacitaciondelsur.com/o-v-e-",IF(A280=$H$2,"https://centrodecapacitaciondelsur.com/aph-",IF(A280=$H$3,"https://centrodecapacitaciondelsur.com/manejo-del-duelo-",IF(A280=$H$4,"https://centrodecapacitaciondelsur.com/victimas-por-agentes-quimicos-",IF(A280=$H$5,"https://centrodecapacitaciondelsur.com/primeros-auxilios-",IF(A280=$H$6,"https://centrodecapacitaciondelsur.com/uci-",IF(A280=$H$8,"https://centrodecapacitaciondelsur.com/humanizacion-",IF(A280=$H$11,"https://centrodecapacitaciondelsur.com/soporte-cardiovascular-avanzado-",IF(A280=$H$12,"https://centrodecapacitaciondelsur.com/camillero-",IF(A280=$H$13,"https://centrodecapacitaciondelsur.com/toma-de-muestras-y-lab-clinico-",IF(A280=$H$14,"https://centrodecapacitaciondelsur.com/soporte-basico-de-vida-",IF(A280=$H$15,"https://centrodecapacitaciondelsur.com/violencia-sexual-",IF(A280=$H$17,"https://centrodecapacitaciondelsur.com/aiepi-",IF(A280=$H$18,"https://centrodecapacitaciondelsur.com/adm-medicamentos-canalizacion-inyectologia-",IF(A280=$H$25,"https://centrodecapacitaciondelsur.com/manejo-del-dolor-y-cuidados-paliativos-",IF(A280=$H$26,"https://centrodecapacitaciondelsur.com/toma-de-muestras-y-lab-clinico-poct-",IF(A280=$H$27,"https://centrodecapacitaciondelsur.com/implante-subdermico-",IF(A280=$H$21,"https://centrodecapacitaciondelsur.com/donante-de-organos-",IF(A280=$H$30,"https://centrodecapacitaciondelsur.com/atencion-a-victimas-del-conflicto-armado-",IF(A280=$H$20,"https://centrodecapacitaciondelsur.com/iami-",IF(A280=$H$22,"https://centrodecapacitaciondelsur.com/violencia-de-genero-",IF(A280=$H$23,"https://centrodecapacitaciondelsur.com/igualdad-de-genero-",IF(A280=$H$16,"https://centrodecapacitaciondelsur.com/pai-",IF(A280=$H$31,"https://centrodecapacitaciondelsur.com/manipulacion-de-alimentos-",IF(A280=$H$32,"https://centrodecapacitaciondelsur.com/atencion-a-personas-con-discapacidad-",IF(A280=$H$33,"https://centrodecapacitaciondelsur.com/atencion-al-adulto-mayor-",IF(A280=$H$34,"https://centrodecapacitaciondelsur.com/manejo-defensivo-",IF(A280=$H$35,"https://centrodecapacitaciondelsur.com/soporte-basico-neonatal-",IF(A280=$H$36,"https://centrodecapacitaciondelsur.com/seguridad-del-paciente-",IF(A280=$H$37,"https://centrodecapacitaciondelsur.com/manejo-de-residuos-hospitalarios-",IF(A280=$H$10,"https://centrodecapacitaciondelsur.com/toma-de-citologia-",IF(A280=$H$29,"https://centrodecapacitaciondelsur.com/primeros-aux-psicologicos-"))))))))))))))))))))))))))))))))</f>
        <v>https://centrodecapacitaciondelsur.com/aiepi-</v>
      </c>
      <c r="C280" s="10">
        <f>INSCRITOS!B229</f>
        <v>1087413838</v>
      </c>
      <c r="D280" t="str">
        <f t="shared" ref="D280:D343" si="15">CONCATENATE(B280,C280,"/")</f>
        <v>https://centrodecapacitaciondelsur.com/aiepi-1087413838/</v>
      </c>
    </row>
    <row r="281" spans="1:5" ht="122.25" customHeight="1" x14ac:dyDescent="0.25">
      <c r="A281" s="21" t="str">
        <f>INSCRITOS!O230</f>
        <v>QUIMICOS</v>
      </c>
      <c r="B281" s="8" t="str">
        <f t="shared" si="14"/>
        <v>https://centrodecapacitaciondelsur.com/victimas-por-agentes-quimicos-</v>
      </c>
      <c r="C281" s="10">
        <f>INSCRITOS!B230</f>
        <v>13069636</v>
      </c>
      <c r="D281" t="str">
        <f t="shared" si="15"/>
        <v>https://centrodecapacitaciondelsur.com/victimas-por-agentes-quimicos-13069636/</v>
      </c>
    </row>
    <row r="282" spans="1:5" ht="122.25" customHeight="1" x14ac:dyDescent="0.25">
      <c r="A282" s="21" t="str">
        <f>INSCRITOS!O231</f>
        <v>DUELO</v>
      </c>
      <c r="B282" s="8" t="str">
        <f t="shared" si="14"/>
        <v>https://centrodecapacitaciondelsur.com/manejo-del-duelo-</v>
      </c>
      <c r="C282" s="10">
        <f>INSCRITOS!B231</f>
        <v>13069636</v>
      </c>
      <c r="D282" t="str">
        <f t="shared" si="15"/>
        <v>https://centrodecapacitaciondelsur.com/manejo-del-duelo-13069636/</v>
      </c>
    </row>
    <row r="283" spans="1:5" ht="122.25" customHeight="1" x14ac:dyDescent="0.25">
      <c r="A283" s="21" t="str">
        <f>INSCRITOS!O232</f>
        <v>BLS</v>
      </c>
      <c r="B283" s="8" t="str">
        <f t="shared" si="14"/>
        <v>https://centrodecapacitaciondelsur.com/soporte-basico-de-vida-</v>
      </c>
      <c r="C283" s="10">
        <f>INSCRITOS!B232</f>
        <v>18195429</v>
      </c>
      <c r="D283" t="str">
        <f t="shared" si="15"/>
        <v>https://centrodecapacitaciondelsur.com/soporte-basico-de-vida-18195429/</v>
      </c>
    </row>
    <row r="284" spans="1:5" ht="122.25" customHeight="1" x14ac:dyDescent="0.25">
      <c r="A284" s="21" t="str">
        <f>INSCRITOS!O233</f>
        <v>ACLS</v>
      </c>
      <c r="B284" s="8" t="str">
        <f t="shared" si="14"/>
        <v>https://centrodecapacitaciondelsur.com/soporte-cardiovascular-avanzado-</v>
      </c>
      <c r="C284" s="10">
        <f>INSCRITOS!B233</f>
        <v>1085323518</v>
      </c>
      <c r="D284" t="str">
        <f t="shared" si="15"/>
        <v>https://centrodecapacitaciondelsur.com/soporte-cardiovascular-avanzado-1085323518/</v>
      </c>
    </row>
    <row r="285" spans="1:5" ht="122.25" customHeight="1" x14ac:dyDescent="0.25">
      <c r="A285" s="21" t="str">
        <f>INSCRITOS!O234</f>
        <v>ACLS</v>
      </c>
      <c r="B285" s="8" t="str">
        <f t="shared" si="14"/>
        <v>https://centrodecapacitaciondelsur.com/soporte-cardiovascular-avanzado-</v>
      </c>
      <c r="C285" s="10">
        <f>INSCRITOS!B234</f>
        <v>1085339869</v>
      </c>
      <c r="D285" t="str">
        <f t="shared" si="15"/>
        <v>https://centrodecapacitaciondelsur.com/soporte-cardiovascular-avanzado-1085339869/</v>
      </c>
    </row>
    <row r="286" spans="1:5" ht="122.25" customHeight="1" x14ac:dyDescent="0.25">
      <c r="A286" s="21" t="str">
        <f>INSCRITOS!O235</f>
        <v>BLS</v>
      </c>
      <c r="B286" s="8" t="str">
        <f t="shared" si="14"/>
        <v>https://centrodecapacitaciondelsur.com/soporte-basico-de-vida-</v>
      </c>
      <c r="C286" s="10">
        <f>INSCRITOS!B235</f>
        <v>1085339869</v>
      </c>
      <c r="D286" t="str">
        <f t="shared" si="15"/>
        <v>https://centrodecapacitaciondelsur.com/soporte-basico-de-vida-1085339869/</v>
      </c>
    </row>
    <row r="287" spans="1:5" ht="122.25" customHeight="1" x14ac:dyDescent="0.25">
      <c r="A287" s="21" t="str">
        <f>INSCRITOS!O236</f>
        <v>BLS</v>
      </c>
      <c r="B287" s="8" t="str">
        <f t="shared" si="14"/>
        <v>https://centrodecapacitaciondelsur.com/soporte-basico-de-vida-</v>
      </c>
      <c r="C287" s="10">
        <f>INSCRITOS!B236</f>
        <v>1085323518</v>
      </c>
      <c r="D287" t="str">
        <f t="shared" si="15"/>
        <v>https://centrodecapacitaciondelsur.com/soporte-basico-de-vida-1085323518/</v>
      </c>
    </row>
    <row r="288" spans="1:5" ht="122.25" customHeight="1" x14ac:dyDescent="0.25">
      <c r="A288" s="21" t="str">
        <f>INSCRITOS!O237</f>
        <v>BLS</v>
      </c>
      <c r="B288" s="8" t="str">
        <f t="shared" si="14"/>
        <v>https://centrodecapacitaciondelsur.com/soporte-basico-de-vida-</v>
      </c>
      <c r="C288" s="10">
        <f>INSCRITOS!B237</f>
        <v>1088734431</v>
      </c>
      <c r="D288" t="str">
        <f t="shared" si="15"/>
        <v>https://centrodecapacitaciondelsur.com/soporte-basico-de-vida-1088734431/</v>
      </c>
      <c r="E288" t="str" cm="1">
        <f t="array" ref="E288">+CodigoQr(D288)</f>
        <v/>
      </c>
    </row>
    <row r="289" spans="1:5" ht="122.25" customHeight="1" x14ac:dyDescent="0.25">
      <c r="A289" s="21" t="str">
        <f>INSCRITOS!O238</f>
        <v>QUIMICOS</v>
      </c>
      <c r="B289" s="8" t="str">
        <f t="shared" si="14"/>
        <v>https://centrodecapacitaciondelsur.com/victimas-por-agentes-quimicos-</v>
      </c>
      <c r="C289" s="10">
        <f>INSCRITOS!B238</f>
        <v>1088734431</v>
      </c>
      <c r="D289" t="str">
        <f t="shared" si="15"/>
        <v>https://centrodecapacitaciondelsur.com/victimas-por-agentes-quimicos-1088734431/</v>
      </c>
      <c r="E289" t="str" cm="1">
        <f t="array" ref="E289">+CodigoQr(D289)</f>
        <v/>
      </c>
    </row>
    <row r="290" spans="1:5" ht="122.25" customHeight="1" x14ac:dyDescent="0.25">
      <c r="A290" s="21" t="str">
        <f>INSCRITOS!O239</f>
        <v>VIOLENCIA SEXUAL</v>
      </c>
      <c r="B290" s="8" t="str">
        <f t="shared" si="14"/>
        <v>https://centrodecapacitaciondelsur.com/violencia-sexual-</v>
      </c>
      <c r="C290" s="10">
        <f>INSCRITOS!B239</f>
        <v>1088734431</v>
      </c>
      <c r="D290" t="str">
        <f t="shared" si="15"/>
        <v>https://centrodecapacitaciondelsur.com/violencia-sexual-1088734431/</v>
      </c>
      <c r="E290" t="str" cm="1">
        <f t="array" ref="E290">+CodigoQr(D290)</f>
        <v/>
      </c>
    </row>
    <row r="291" spans="1:5" ht="122.25" customHeight="1" x14ac:dyDescent="0.25">
      <c r="A291" s="21">
        <f>INSCRITOS!O240</f>
        <v>0</v>
      </c>
      <c r="B291" s="8" t="b">
        <f t="shared" si="14"/>
        <v>0</v>
      </c>
      <c r="C291" s="10">
        <f>INSCRITOS!B240</f>
        <v>0</v>
      </c>
      <c r="D291" t="str">
        <f t="shared" si="15"/>
        <v>FALSO0/</v>
      </c>
    </row>
    <row r="292" spans="1:5" ht="122.25" customHeight="1" x14ac:dyDescent="0.25">
      <c r="A292" s="21">
        <f>INSCRITOS!O241</f>
        <v>0</v>
      </c>
      <c r="B292" s="8" t="b">
        <f t="shared" si="14"/>
        <v>0</v>
      </c>
      <c r="C292" s="10">
        <f>INSCRITOS!B241</f>
        <v>0</v>
      </c>
      <c r="D292" t="str">
        <f t="shared" si="15"/>
        <v>FALSO0/</v>
      </c>
    </row>
    <row r="293" spans="1:5" ht="122.25" customHeight="1" x14ac:dyDescent="0.25">
      <c r="A293" s="21">
        <f>INSCRITOS!O242</f>
        <v>0</v>
      </c>
      <c r="B293" s="8" t="b">
        <f t="shared" si="14"/>
        <v>0</v>
      </c>
      <c r="C293" s="10">
        <f>INSCRITOS!B242</f>
        <v>0</v>
      </c>
      <c r="D293" t="str">
        <f t="shared" si="15"/>
        <v>FALSO0/</v>
      </c>
    </row>
    <row r="294" spans="1:5" ht="122.25" customHeight="1" x14ac:dyDescent="0.25">
      <c r="A294" s="21">
        <f>INSCRITOS!O243</f>
        <v>0</v>
      </c>
      <c r="B294" s="8" t="b">
        <f t="shared" si="14"/>
        <v>0</v>
      </c>
      <c r="C294" s="10">
        <f>INSCRITOS!B243</f>
        <v>0</v>
      </c>
      <c r="D294" t="str">
        <f t="shared" si="15"/>
        <v>FALSO0/</v>
      </c>
    </row>
    <row r="295" spans="1:5" ht="122.25" customHeight="1" x14ac:dyDescent="0.25">
      <c r="A295" s="21">
        <f>INSCRITOS!O244</f>
        <v>0</v>
      </c>
      <c r="B295" s="8" t="b">
        <f t="shared" si="14"/>
        <v>0</v>
      </c>
      <c r="C295" s="10">
        <f>INSCRITOS!B244</f>
        <v>0</v>
      </c>
      <c r="D295" t="str">
        <f t="shared" si="15"/>
        <v>FALSO0/</v>
      </c>
    </row>
    <row r="296" spans="1:5" ht="122.25" customHeight="1" x14ac:dyDescent="0.25">
      <c r="A296" s="21">
        <f>INSCRITOS!O245</f>
        <v>0</v>
      </c>
      <c r="B296" s="8" t="b">
        <f t="shared" si="14"/>
        <v>0</v>
      </c>
      <c r="C296" s="10">
        <f>INSCRITOS!B245</f>
        <v>0</v>
      </c>
      <c r="D296" t="str">
        <f t="shared" si="15"/>
        <v>FALSO0/</v>
      </c>
    </row>
    <row r="297" spans="1:5" ht="122.25" customHeight="1" x14ac:dyDescent="0.25">
      <c r="A297" s="21">
        <f>INSCRITOS!O246</f>
        <v>0</v>
      </c>
      <c r="B297" s="8" t="b">
        <f t="shared" si="14"/>
        <v>0</v>
      </c>
      <c r="C297" s="10">
        <f>INSCRITOS!B246</f>
        <v>0</v>
      </c>
      <c r="D297" t="str">
        <f t="shared" si="15"/>
        <v>FALSO0/</v>
      </c>
    </row>
    <row r="298" spans="1:5" ht="122.25" customHeight="1" x14ac:dyDescent="0.25">
      <c r="A298" s="21">
        <f>INSCRITOS!O247</f>
        <v>0</v>
      </c>
      <c r="B298" s="8" t="b">
        <f t="shared" si="14"/>
        <v>0</v>
      </c>
      <c r="C298" s="10">
        <f>INSCRITOS!B247</f>
        <v>0</v>
      </c>
      <c r="D298" t="str">
        <f t="shared" si="15"/>
        <v>FALSO0/</v>
      </c>
    </row>
    <row r="299" spans="1:5" ht="122.25" customHeight="1" x14ac:dyDescent="0.25">
      <c r="A299" s="21">
        <f>INSCRITOS!O248</f>
        <v>0</v>
      </c>
      <c r="B299" s="8" t="b">
        <f t="shared" si="14"/>
        <v>0</v>
      </c>
      <c r="C299" s="10">
        <f>INSCRITOS!B248</f>
        <v>0</v>
      </c>
      <c r="D299" t="str">
        <f t="shared" si="15"/>
        <v>FALSO0/</v>
      </c>
    </row>
    <row r="300" spans="1:5" ht="122.25" customHeight="1" x14ac:dyDescent="0.25">
      <c r="A300" s="21">
        <f>INSCRITOS!O249</f>
        <v>0</v>
      </c>
      <c r="B300" s="8" t="b">
        <f t="shared" si="14"/>
        <v>0</v>
      </c>
      <c r="C300" s="10">
        <f>INSCRITOS!B249</f>
        <v>0</v>
      </c>
      <c r="D300" t="str">
        <f t="shared" si="15"/>
        <v>FALSO0/</v>
      </c>
    </row>
    <row r="301" spans="1:5" ht="122.25" customHeight="1" x14ac:dyDescent="0.25">
      <c r="A301" s="21">
        <f>INSCRITOS!O250</f>
        <v>0</v>
      </c>
      <c r="B301" s="8" t="b">
        <f t="shared" si="14"/>
        <v>0</v>
      </c>
      <c r="C301" s="10">
        <f>INSCRITOS!B250</f>
        <v>0</v>
      </c>
      <c r="D301" t="str">
        <f t="shared" si="15"/>
        <v>FALSO0/</v>
      </c>
    </row>
    <row r="302" spans="1:5" ht="122.25" customHeight="1" x14ac:dyDescent="0.25">
      <c r="A302" s="21">
        <f>INSCRITOS!O251</f>
        <v>0</v>
      </c>
      <c r="B302" s="8" t="b">
        <f t="shared" si="14"/>
        <v>0</v>
      </c>
      <c r="C302" s="10">
        <f>INSCRITOS!B251</f>
        <v>0</v>
      </c>
      <c r="D302" t="str">
        <f t="shared" si="15"/>
        <v>FALSO0/</v>
      </c>
    </row>
    <row r="303" spans="1:5" ht="122.25" customHeight="1" x14ac:dyDescent="0.25">
      <c r="A303" s="21">
        <f>INSCRITOS!O252</f>
        <v>0</v>
      </c>
      <c r="B303" s="8" t="b">
        <f t="shared" si="14"/>
        <v>0</v>
      </c>
      <c r="C303" s="10">
        <f>INSCRITOS!B252</f>
        <v>0</v>
      </c>
      <c r="D303" t="str">
        <f t="shared" si="15"/>
        <v>FALSO0/</v>
      </c>
    </row>
    <row r="304" spans="1:5" ht="122.25" customHeight="1" x14ac:dyDescent="0.25">
      <c r="A304" s="21">
        <f>INSCRITOS!O253</f>
        <v>0</v>
      </c>
      <c r="B304" s="8" t="b">
        <f t="shared" si="14"/>
        <v>0</v>
      </c>
      <c r="C304" s="10">
        <f>INSCRITOS!B253</f>
        <v>0</v>
      </c>
      <c r="D304" t="str">
        <f t="shared" si="15"/>
        <v>FALSO0/</v>
      </c>
    </row>
    <row r="305" spans="1:4" ht="122.25" customHeight="1" x14ac:dyDescent="0.25">
      <c r="A305" s="21">
        <f>INSCRITOS!O254</f>
        <v>0</v>
      </c>
      <c r="B305" s="8" t="b">
        <f t="shared" si="14"/>
        <v>0</v>
      </c>
      <c r="C305" s="10">
        <f>INSCRITOS!B254</f>
        <v>0</v>
      </c>
      <c r="D305" t="str">
        <f t="shared" si="15"/>
        <v>FALSO0/</v>
      </c>
    </row>
    <row r="306" spans="1:4" ht="122.25" customHeight="1" x14ac:dyDescent="0.25">
      <c r="A306" s="21">
        <f>INSCRITOS!O255</f>
        <v>0</v>
      </c>
      <c r="B306" s="8" t="b">
        <f t="shared" si="14"/>
        <v>0</v>
      </c>
      <c r="C306" s="10">
        <f>INSCRITOS!B255</f>
        <v>0</v>
      </c>
      <c r="D306" t="str">
        <f t="shared" si="15"/>
        <v>FALSO0/</v>
      </c>
    </row>
    <row r="307" spans="1:4" ht="122.25" customHeight="1" x14ac:dyDescent="0.25">
      <c r="A307" s="21">
        <f>INSCRITOS!O256</f>
        <v>0</v>
      </c>
      <c r="B307" s="8" t="b">
        <f t="shared" si="14"/>
        <v>0</v>
      </c>
      <c r="C307" s="10">
        <f>INSCRITOS!B256</f>
        <v>0</v>
      </c>
      <c r="D307" t="str">
        <f t="shared" si="15"/>
        <v>FALSO0/</v>
      </c>
    </row>
    <row r="308" spans="1:4" ht="122.25" customHeight="1" x14ac:dyDescent="0.25">
      <c r="A308" s="21">
        <f>INSCRITOS!O257</f>
        <v>0</v>
      </c>
      <c r="B308" s="8" t="b">
        <f t="shared" si="14"/>
        <v>0</v>
      </c>
      <c r="C308" s="10">
        <f>INSCRITOS!B257</f>
        <v>0</v>
      </c>
      <c r="D308" t="str">
        <f t="shared" si="15"/>
        <v>FALSO0/</v>
      </c>
    </row>
    <row r="309" spans="1:4" ht="122.25" customHeight="1" x14ac:dyDescent="0.25">
      <c r="A309" s="21">
        <f>INSCRITOS!O258</f>
        <v>0</v>
      </c>
      <c r="B309" s="8" t="b">
        <f t="shared" si="14"/>
        <v>0</v>
      </c>
      <c r="C309" s="10">
        <f>INSCRITOS!B258</f>
        <v>0</v>
      </c>
      <c r="D309" t="str">
        <f t="shared" si="15"/>
        <v>FALSO0/</v>
      </c>
    </row>
    <row r="310" spans="1:4" ht="122.25" customHeight="1" x14ac:dyDescent="0.25">
      <c r="A310" s="21">
        <f>INSCRITOS!O259</f>
        <v>0</v>
      </c>
      <c r="B310" s="8" t="b">
        <f t="shared" si="14"/>
        <v>0</v>
      </c>
      <c r="C310" s="10">
        <f>INSCRITOS!B259</f>
        <v>0</v>
      </c>
      <c r="D310" t="str">
        <f t="shared" si="15"/>
        <v>FALSO0/</v>
      </c>
    </row>
    <row r="311" spans="1:4" ht="122.25" customHeight="1" x14ac:dyDescent="0.25">
      <c r="A311" s="21">
        <f>INSCRITOS!O260</f>
        <v>0</v>
      </c>
      <c r="B311" s="8" t="b">
        <f t="shared" si="14"/>
        <v>0</v>
      </c>
      <c r="C311" s="10">
        <f>INSCRITOS!B260</f>
        <v>0</v>
      </c>
      <c r="D311" t="str">
        <f t="shared" si="15"/>
        <v>FALSO0/</v>
      </c>
    </row>
    <row r="312" spans="1:4" ht="122.25" customHeight="1" x14ac:dyDescent="0.25">
      <c r="A312" s="21">
        <f>INSCRITOS!O261</f>
        <v>0</v>
      </c>
      <c r="B312" s="8" t="b">
        <f t="shared" si="14"/>
        <v>0</v>
      </c>
      <c r="C312" s="10">
        <f>INSCRITOS!B261</f>
        <v>0</v>
      </c>
      <c r="D312" t="str">
        <f t="shared" si="15"/>
        <v>FALSO0/</v>
      </c>
    </row>
    <row r="313" spans="1:4" ht="122.25" customHeight="1" x14ac:dyDescent="0.25">
      <c r="A313" s="21">
        <f>INSCRITOS!O262</f>
        <v>0</v>
      </c>
      <c r="B313" s="8" t="b">
        <f t="shared" si="14"/>
        <v>0</v>
      </c>
      <c r="C313" s="10">
        <f>INSCRITOS!B262</f>
        <v>0</v>
      </c>
      <c r="D313" t="str">
        <f t="shared" si="15"/>
        <v>FALSO0/</v>
      </c>
    </row>
    <row r="314" spans="1:4" ht="122.25" customHeight="1" x14ac:dyDescent="0.25">
      <c r="A314" s="21">
        <f>INSCRITOS!O263</f>
        <v>0</v>
      </c>
      <c r="B314" s="8" t="b">
        <f t="shared" si="14"/>
        <v>0</v>
      </c>
      <c r="C314" s="10">
        <f>INSCRITOS!B263</f>
        <v>0</v>
      </c>
      <c r="D314" t="str">
        <f t="shared" si="15"/>
        <v>FALSO0/</v>
      </c>
    </row>
    <row r="315" spans="1:4" ht="122.25" customHeight="1" x14ac:dyDescent="0.25">
      <c r="A315" s="21">
        <f>INSCRITOS!O264</f>
        <v>0</v>
      </c>
      <c r="B315" s="8" t="b">
        <f t="shared" si="14"/>
        <v>0</v>
      </c>
      <c r="C315" s="10">
        <f>INSCRITOS!B264</f>
        <v>0</v>
      </c>
      <c r="D315" t="str">
        <f t="shared" si="15"/>
        <v>FALSO0/</v>
      </c>
    </row>
    <row r="316" spans="1:4" ht="122.25" customHeight="1" x14ac:dyDescent="0.25">
      <c r="A316" s="21">
        <f>INSCRITOS!O265</f>
        <v>0</v>
      </c>
      <c r="B316" s="8" t="b">
        <f t="shared" si="14"/>
        <v>0</v>
      </c>
      <c r="C316" s="10">
        <f>INSCRITOS!B265</f>
        <v>0</v>
      </c>
      <c r="D316" t="str">
        <f t="shared" si="15"/>
        <v>FALSO0/</v>
      </c>
    </row>
    <row r="317" spans="1:4" ht="122.25" customHeight="1" x14ac:dyDescent="0.25">
      <c r="A317" s="21">
        <f>INSCRITOS!O266</f>
        <v>0</v>
      </c>
      <c r="B317" s="8" t="b">
        <f t="shared" si="14"/>
        <v>0</v>
      </c>
      <c r="C317" s="10">
        <f>INSCRITOS!B266</f>
        <v>0</v>
      </c>
      <c r="D317" t="str">
        <f t="shared" si="15"/>
        <v>FALSO0/</v>
      </c>
    </row>
    <row r="318" spans="1:4" ht="122.25" customHeight="1" x14ac:dyDescent="0.25">
      <c r="A318" s="21">
        <f>INSCRITOS!O267</f>
        <v>0</v>
      </c>
      <c r="B318" s="8" t="b">
        <f t="shared" si="14"/>
        <v>0</v>
      </c>
      <c r="C318" s="10">
        <f>INSCRITOS!B267</f>
        <v>0</v>
      </c>
      <c r="D318" t="str">
        <f t="shared" si="15"/>
        <v>FALSO0/</v>
      </c>
    </row>
    <row r="319" spans="1:4" ht="122.25" customHeight="1" x14ac:dyDescent="0.25">
      <c r="A319" s="21">
        <f>INSCRITOS!O268</f>
        <v>0</v>
      </c>
      <c r="B319" s="8" t="b">
        <f t="shared" si="14"/>
        <v>0</v>
      </c>
      <c r="C319" s="10">
        <f>INSCRITOS!B268</f>
        <v>0</v>
      </c>
      <c r="D319" t="str">
        <f t="shared" si="15"/>
        <v>FALSO0/</v>
      </c>
    </row>
    <row r="320" spans="1:4" ht="122.25" customHeight="1" x14ac:dyDescent="0.25">
      <c r="A320" s="21">
        <f>INSCRITOS!O269</f>
        <v>0</v>
      </c>
      <c r="B320" s="8" t="b">
        <f t="shared" si="14"/>
        <v>0</v>
      </c>
      <c r="C320" s="10">
        <f>INSCRITOS!B269</f>
        <v>0</v>
      </c>
      <c r="D320" t="str">
        <f t="shared" si="15"/>
        <v>FALSO0/</v>
      </c>
    </row>
    <row r="321" spans="1:4" ht="122.25" customHeight="1" x14ac:dyDescent="0.25">
      <c r="A321" s="21">
        <f>INSCRITOS!O270</f>
        <v>0</v>
      </c>
      <c r="B321" s="8" t="b">
        <f t="shared" si="14"/>
        <v>0</v>
      </c>
      <c r="C321" s="10">
        <f>INSCRITOS!B270</f>
        <v>0</v>
      </c>
      <c r="D321" t="str">
        <f t="shared" si="15"/>
        <v>FALSO0/</v>
      </c>
    </row>
    <row r="322" spans="1:4" ht="122.25" customHeight="1" x14ac:dyDescent="0.25">
      <c r="A322" s="21">
        <f>INSCRITOS!O271</f>
        <v>0</v>
      </c>
      <c r="B322" s="8" t="b">
        <f t="shared" si="14"/>
        <v>0</v>
      </c>
      <c r="C322" s="10">
        <f>INSCRITOS!B271</f>
        <v>0</v>
      </c>
      <c r="D322" t="str">
        <f t="shared" si="15"/>
        <v>FALSO0/</v>
      </c>
    </row>
    <row r="323" spans="1:4" ht="122.25" customHeight="1" x14ac:dyDescent="0.25">
      <c r="A323" s="21">
        <f>INSCRITOS!O272</f>
        <v>0</v>
      </c>
      <c r="B323" s="8" t="b">
        <f t="shared" si="14"/>
        <v>0</v>
      </c>
      <c r="C323" s="10">
        <f>INSCRITOS!B272</f>
        <v>0</v>
      </c>
      <c r="D323" t="str">
        <f t="shared" si="15"/>
        <v>FALSO0/</v>
      </c>
    </row>
    <row r="324" spans="1:4" ht="122.25" customHeight="1" x14ac:dyDescent="0.25">
      <c r="A324" s="21">
        <f>INSCRITOS!O273</f>
        <v>0</v>
      </c>
      <c r="B324" s="8" t="b">
        <f t="shared" si="14"/>
        <v>0</v>
      </c>
      <c r="C324" s="10">
        <f>INSCRITOS!B273</f>
        <v>0</v>
      </c>
      <c r="D324" t="str">
        <f t="shared" si="15"/>
        <v>FALSO0/</v>
      </c>
    </row>
    <row r="325" spans="1:4" ht="122.25" customHeight="1" x14ac:dyDescent="0.25">
      <c r="A325" s="21">
        <f>INSCRITOS!O274</f>
        <v>0</v>
      </c>
      <c r="B325" s="8" t="b">
        <f t="shared" si="14"/>
        <v>0</v>
      </c>
      <c r="C325" s="10">
        <f>INSCRITOS!B274</f>
        <v>0</v>
      </c>
      <c r="D325" t="str">
        <f t="shared" si="15"/>
        <v>FALSO0/</v>
      </c>
    </row>
    <row r="326" spans="1:4" ht="122.25" customHeight="1" x14ac:dyDescent="0.25">
      <c r="A326" s="21">
        <f>INSCRITOS!O275</f>
        <v>0</v>
      </c>
      <c r="B326" s="8" t="b">
        <f t="shared" si="14"/>
        <v>0</v>
      </c>
      <c r="C326" s="10">
        <f>INSCRITOS!B275</f>
        <v>0</v>
      </c>
      <c r="D326" t="str">
        <f t="shared" si="15"/>
        <v>FALSO0/</v>
      </c>
    </row>
    <row r="327" spans="1:4" ht="122.25" customHeight="1" x14ac:dyDescent="0.25">
      <c r="A327" s="21">
        <f>INSCRITOS!O276</f>
        <v>0</v>
      </c>
      <c r="B327" s="8" t="b">
        <f t="shared" si="14"/>
        <v>0</v>
      </c>
      <c r="C327" s="10">
        <f>INSCRITOS!B276</f>
        <v>0</v>
      </c>
      <c r="D327" t="str">
        <f t="shared" si="15"/>
        <v>FALSO0/</v>
      </c>
    </row>
    <row r="328" spans="1:4" ht="122.25" customHeight="1" x14ac:dyDescent="0.25">
      <c r="A328" s="21">
        <f>INSCRITOS!O277</f>
        <v>0</v>
      </c>
      <c r="B328" s="8" t="b">
        <f t="shared" si="14"/>
        <v>0</v>
      </c>
      <c r="C328" s="10">
        <f>INSCRITOS!B277</f>
        <v>0</v>
      </c>
      <c r="D328" t="str">
        <f t="shared" si="15"/>
        <v>FALSO0/</v>
      </c>
    </row>
    <row r="329" spans="1:4" ht="122.25" customHeight="1" x14ac:dyDescent="0.25">
      <c r="A329" s="21">
        <f>INSCRITOS!O278</f>
        <v>0</v>
      </c>
      <c r="B329" s="8" t="b">
        <f t="shared" si="14"/>
        <v>0</v>
      </c>
      <c r="C329" s="10">
        <f>INSCRITOS!B278</f>
        <v>0</v>
      </c>
      <c r="D329" t="str">
        <f t="shared" si="15"/>
        <v>FALSO0/</v>
      </c>
    </row>
    <row r="330" spans="1:4" ht="122.25" customHeight="1" x14ac:dyDescent="0.25">
      <c r="A330" s="21">
        <f>INSCRITOS!O279</f>
        <v>0</v>
      </c>
      <c r="B330" s="8" t="b">
        <f t="shared" si="14"/>
        <v>0</v>
      </c>
      <c r="C330" s="10">
        <f>INSCRITOS!B279</f>
        <v>0</v>
      </c>
      <c r="D330" t="str">
        <f t="shared" si="15"/>
        <v>FALSO0/</v>
      </c>
    </row>
    <row r="331" spans="1:4" ht="122.25" customHeight="1" x14ac:dyDescent="0.25">
      <c r="A331" s="21">
        <f>INSCRITOS!O280</f>
        <v>0</v>
      </c>
      <c r="B331" s="8" t="b">
        <f t="shared" si="14"/>
        <v>0</v>
      </c>
      <c r="C331" s="10">
        <f>INSCRITOS!B280</f>
        <v>0</v>
      </c>
      <c r="D331" t="str">
        <f t="shared" si="15"/>
        <v>FALSO0/</v>
      </c>
    </row>
    <row r="332" spans="1:4" ht="122.25" customHeight="1" x14ac:dyDescent="0.25">
      <c r="A332" s="21">
        <f>INSCRITOS!O281</f>
        <v>0</v>
      </c>
      <c r="B332" s="8" t="b">
        <f t="shared" si="14"/>
        <v>0</v>
      </c>
      <c r="C332" s="10">
        <f>INSCRITOS!B281</f>
        <v>0</v>
      </c>
      <c r="D332" t="str">
        <f t="shared" si="15"/>
        <v>FALSO0/</v>
      </c>
    </row>
    <row r="333" spans="1:4" ht="122.25" customHeight="1" x14ac:dyDescent="0.25">
      <c r="A333" s="21">
        <f>INSCRITOS!O282</f>
        <v>0</v>
      </c>
      <c r="B333" s="8" t="b">
        <f t="shared" si="14"/>
        <v>0</v>
      </c>
      <c r="C333" s="10">
        <f>INSCRITOS!B282</f>
        <v>0</v>
      </c>
      <c r="D333" t="str">
        <f t="shared" si="15"/>
        <v>FALSO0/</v>
      </c>
    </row>
    <row r="334" spans="1:4" ht="122.25" customHeight="1" x14ac:dyDescent="0.25">
      <c r="A334" s="21">
        <f>INSCRITOS!O283</f>
        <v>0</v>
      </c>
      <c r="B334" s="8" t="b">
        <f t="shared" si="14"/>
        <v>0</v>
      </c>
      <c r="C334" s="10">
        <f>INSCRITOS!B283</f>
        <v>0</v>
      </c>
      <c r="D334" t="str">
        <f t="shared" si="15"/>
        <v>FALSO0/</v>
      </c>
    </row>
    <row r="335" spans="1:4" ht="122.25" customHeight="1" x14ac:dyDescent="0.25">
      <c r="A335" s="21">
        <f>INSCRITOS!O284</f>
        <v>0</v>
      </c>
      <c r="B335" s="8" t="b">
        <f t="shared" si="14"/>
        <v>0</v>
      </c>
      <c r="C335" s="10">
        <f>INSCRITOS!B284</f>
        <v>0</v>
      </c>
      <c r="D335" t="str">
        <f t="shared" si="15"/>
        <v>FALSO0/</v>
      </c>
    </row>
    <row r="336" spans="1:4" ht="122.25" customHeight="1" x14ac:dyDescent="0.25">
      <c r="A336" s="21">
        <f>INSCRITOS!O285</f>
        <v>0</v>
      </c>
      <c r="B336" s="8" t="b">
        <f t="shared" si="14"/>
        <v>0</v>
      </c>
      <c r="C336" s="10">
        <f>INSCRITOS!B285</f>
        <v>0</v>
      </c>
      <c r="D336" t="str">
        <f t="shared" si="15"/>
        <v>FALSO0/</v>
      </c>
    </row>
    <row r="337" spans="1:4" ht="122.25" customHeight="1" x14ac:dyDescent="0.25">
      <c r="A337" s="21">
        <f>INSCRITOS!O286</f>
        <v>0</v>
      </c>
      <c r="B337" s="8" t="b">
        <f t="shared" si="14"/>
        <v>0</v>
      </c>
      <c r="C337" s="10">
        <f>INSCRITOS!B286</f>
        <v>0</v>
      </c>
      <c r="D337" t="str">
        <f t="shared" si="15"/>
        <v>FALSO0/</v>
      </c>
    </row>
    <row r="338" spans="1:4" ht="122.25" customHeight="1" x14ac:dyDescent="0.25">
      <c r="A338" s="21">
        <f>INSCRITOS!O287</f>
        <v>0</v>
      </c>
      <c r="B338" s="8" t="b">
        <f t="shared" si="14"/>
        <v>0</v>
      </c>
      <c r="C338" s="10">
        <f>INSCRITOS!B287</f>
        <v>0</v>
      </c>
      <c r="D338" t="str">
        <f t="shared" si="15"/>
        <v>FALSO0/</v>
      </c>
    </row>
    <row r="339" spans="1:4" ht="122.25" customHeight="1" x14ac:dyDescent="0.25">
      <c r="A339" s="21">
        <f>INSCRITOS!O288</f>
        <v>0</v>
      </c>
      <c r="B339" s="8" t="b">
        <f t="shared" si="14"/>
        <v>0</v>
      </c>
      <c r="C339" s="10">
        <f>INSCRITOS!B288</f>
        <v>0</v>
      </c>
      <c r="D339" t="str">
        <f t="shared" si="15"/>
        <v>FALSO0/</v>
      </c>
    </row>
    <row r="340" spans="1:4" ht="122.25" customHeight="1" x14ac:dyDescent="0.25">
      <c r="A340" s="21">
        <f>INSCRITOS!O289</f>
        <v>0</v>
      </c>
      <c r="B340" s="8" t="b">
        <f t="shared" si="14"/>
        <v>0</v>
      </c>
      <c r="C340" s="10">
        <f>INSCRITOS!B289</f>
        <v>0</v>
      </c>
      <c r="D340" t="str">
        <f t="shared" si="15"/>
        <v>FALSO0/</v>
      </c>
    </row>
    <row r="341" spans="1:4" ht="122.25" customHeight="1" x14ac:dyDescent="0.25">
      <c r="A341" s="21">
        <f>INSCRITOS!O290</f>
        <v>0</v>
      </c>
      <c r="B341" s="8" t="b">
        <f t="shared" si="14"/>
        <v>0</v>
      </c>
      <c r="C341" s="10">
        <f>INSCRITOS!B290</f>
        <v>0</v>
      </c>
      <c r="D341" t="str">
        <f t="shared" si="15"/>
        <v>FALSO0/</v>
      </c>
    </row>
    <row r="342" spans="1:4" ht="122.25" customHeight="1" x14ac:dyDescent="0.25">
      <c r="A342" s="21">
        <f>INSCRITOS!O291</f>
        <v>0</v>
      </c>
      <c r="B342" s="8" t="b">
        <f t="shared" si="14"/>
        <v>0</v>
      </c>
      <c r="C342" s="10">
        <f>INSCRITOS!B291</f>
        <v>0</v>
      </c>
      <c r="D342" t="str">
        <f t="shared" si="15"/>
        <v>FALSO0/</v>
      </c>
    </row>
    <row r="343" spans="1:4" ht="122.25" customHeight="1" x14ac:dyDescent="0.25">
      <c r="A343" s="21">
        <f>INSCRITOS!O292</f>
        <v>0</v>
      </c>
      <c r="B343" s="8" t="b">
        <f t="shared" si="14"/>
        <v>0</v>
      </c>
      <c r="C343" s="10">
        <f>INSCRITOS!B292</f>
        <v>0</v>
      </c>
      <c r="D343" t="str">
        <f t="shared" si="15"/>
        <v>FALSO0/</v>
      </c>
    </row>
    <row r="344" spans="1:4" ht="122.25" customHeight="1" x14ac:dyDescent="0.25">
      <c r="A344" s="21">
        <f>INSCRITOS!O293</f>
        <v>0</v>
      </c>
      <c r="B344" s="8" t="b">
        <f t="shared" ref="B344:B355" si="16">IF(A344=$H$19,"https://centrodecapacitaciondelsur.com/o-v-e-",IF(A344=$H$2,"https://centrodecapacitaciondelsur.com/aph-",IF(A344=$H$3,"https://centrodecapacitaciondelsur.com/manejo-del-duelo-",IF(A344=$H$4,"https://centrodecapacitaciondelsur.com/victimas-por-agentes-quimicos-",IF(A344=$H$5,"https://centrodecapacitaciondelsur.com/primeros-auxilios-",IF(A344=$H$6,"https://centrodecapacitaciondelsur.com/uci-",IF(A344=$H$8,"https://centrodecapacitaciondelsur.com/humanizacion-",IF(A344=$H$11,"https://centrodecapacitaciondelsur.com/soporte-cardiovascular-avanzado-",IF(A344=$H$12,"https://centrodecapacitaciondelsur.com/camillero-",IF(A344=$H$13,"https://centrodecapacitaciondelsur.com/toma-de-muestras-y-lab-clinico-",IF(A344=$H$14,"https://centrodecapacitaciondelsur.com/soporte-basico-de-vida-",IF(A344=$H$15,"https://centrodecapacitaciondelsur.com/violencia-sexual-",IF(A344=$H$17,"https://centrodecapacitaciondelsur.com/aiepi-",IF(A344=$H$18,"https://centrodecapacitaciondelsur.com/adm-medicamentos-canalizacion-inyectologia-",IF(A344=$H$25,"https://centrodecapacitaciondelsur.com/manejo-del-dolor-y-cuidados-paliativos-",IF(A344=$H$26,"https://centrodecapacitaciondelsur.com/toma-de-muestras-y-lab-clinico-poct-",IF(A344=$H$27,"https://centrodecapacitaciondelsur.com/implante-subdermico-",IF(A344=$H$21,"https://centrodecapacitaciondelsur.com/donante-de-organos-",IF(A344=$H$30,"https://centrodecapacitaciondelsur.com/atencion-a-victimas-del-conflicto-armado-",IF(A344=$H$20,"https://centrodecapacitaciondelsur.com/iami-",IF(A344=$H$22,"https://centrodecapacitaciondelsur.com/violencia-de-genero-",IF(A344=$H$23,"https://centrodecapacitaciondelsur.com/igualdad-de-genero-",IF(A344=$H$16,"https://centrodecapacitaciondelsur.com/pai-",IF(A344=$H$31,"https://centrodecapacitaciondelsur.com/manipulacion-de-alimentos-",IF(A344=$H$32,"https://centrodecapacitaciondelsur.com/atencion-a-personas-con-discapacidad-",IF(A344=$H$33,"https://centrodecapacitaciondelsur.com/atencion-al-adulto-mayor-",IF(A344=$H$34,"https://centrodecapacitaciondelsur.com/manejo-defensivo-",IF(A344=$H$35,"https://centrodecapacitaciondelsur.com/soporte-basico-neonatal-",IF(A344=$H$36,"https://centrodecapacitaciondelsur.com/seguridad-del-paciente-",IF(A344=$H$37,"https://centrodecapacitaciondelsur.com/manejo-de-residuos-hospitalarios-",IF(A344=$H$10,"https://centrodecapacitaciondelsur.com/toma-de-citologia-",IF(A344=$H$29,"https://centrodecapacitaciondelsur.com/primeros-aux-psicologicos-"))))))))))))))))))))))))))))))))</f>
        <v>0</v>
      </c>
      <c r="C344" s="10">
        <f>INSCRITOS!B293</f>
        <v>0</v>
      </c>
      <c r="D344" t="str">
        <f t="shared" ref="D344:D355" si="17">CONCATENATE(B344,C344,"/")</f>
        <v>FALSO0/</v>
      </c>
    </row>
    <row r="345" spans="1:4" ht="122.25" customHeight="1" x14ac:dyDescent="0.25">
      <c r="A345" s="21">
        <f>INSCRITOS!O294</f>
        <v>0</v>
      </c>
      <c r="B345" s="8" t="b">
        <f t="shared" si="16"/>
        <v>0</v>
      </c>
      <c r="C345" s="10">
        <f>INSCRITOS!B294</f>
        <v>0</v>
      </c>
      <c r="D345" t="str">
        <f t="shared" si="17"/>
        <v>FALSO0/</v>
      </c>
    </row>
    <row r="346" spans="1:4" ht="122.25" customHeight="1" x14ac:dyDescent="0.25">
      <c r="A346" s="21">
        <f>INSCRITOS!O295</f>
        <v>0</v>
      </c>
      <c r="B346" s="8" t="b">
        <f t="shared" si="16"/>
        <v>0</v>
      </c>
      <c r="C346" s="10">
        <f>INSCRITOS!B295</f>
        <v>0</v>
      </c>
      <c r="D346" t="str">
        <f t="shared" si="17"/>
        <v>FALSO0/</v>
      </c>
    </row>
    <row r="347" spans="1:4" ht="122.25" customHeight="1" x14ac:dyDescent="0.25">
      <c r="A347" s="21">
        <f>INSCRITOS!O296</f>
        <v>0</v>
      </c>
      <c r="B347" s="8" t="b">
        <f t="shared" si="16"/>
        <v>0</v>
      </c>
      <c r="C347" s="10">
        <f>INSCRITOS!B296</f>
        <v>0</v>
      </c>
      <c r="D347" t="str">
        <f t="shared" si="17"/>
        <v>FALSO0/</v>
      </c>
    </row>
    <row r="348" spans="1:4" ht="122.25" customHeight="1" x14ac:dyDescent="0.25">
      <c r="A348" s="21">
        <f>INSCRITOS!O297</f>
        <v>0</v>
      </c>
      <c r="B348" s="8" t="b">
        <f t="shared" si="16"/>
        <v>0</v>
      </c>
      <c r="C348" s="10">
        <f>INSCRITOS!B297</f>
        <v>0</v>
      </c>
      <c r="D348" t="str">
        <f t="shared" si="17"/>
        <v>FALSO0/</v>
      </c>
    </row>
    <row r="349" spans="1:4" ht="122.25" customHeight="1" x14ac:dyDescent="0.25">
      <c r="A349" s="21">
        <f>INSCRITOS!O298</f>
        <v>0</v>
      </c>
      <c r="B349" s="8" t="b">
        <f t="shared" si="16"/>
        <v>0</v>
      </c>
      <c r="C349" s="10">
        <f>INSCRITOS!B298</f>
        <v>0</v>
      </c>
      <c r="D349" t="str">
        <f t="shared" si="17"/>
        <v>FALSO0/</v>
      </c>
    </row>
    <row r="350" spans="1:4" ht="122.25" customHeight="1" x14ac:dyDescent="0.25">
      <c r="A350" s="21">
        <f>INSCRITOS!O299</f>
        <v>0</v>
      </c>
      <c r="B350" s="8" t="b">
        <f t="shared" si="16"/>
        <v>0</v>
      </c>
      <c r="C350" s="10">
        <f>INSCRITOS!B299</f>
        <v>0</v>
      </c>
      <c r="D350" t="str">
        <f t="shared" si="17"/>
        <v>FALSO0/</v>
      </c>
    </row>
    <row r="351" spans="1:4" ht="122.25" customHeight="1" x14ac:dyDescent="0.25">
      <c r="A351" s="21">
        <f>INSCRITOS!O300</f>
        <v>0</v>
      </c>
      <c r="B351" s="8" t="b">
        <f t="shared" si="16"/>
        <v>0</v>
      </c>
      <c r="C351" s="10">
        <f>INSCRITOS!B300</f>
        <v>0</v>
      </c>
      <c r="D351" t="str">
        <f t="shared" si="17"/>
        <v>FALSO0/</v>
      </c>
    </row>
    <row r="352" spans="1:4" ht="122.25" customHeight="1" x14ac:dyDescent="0.25">
      <c r="A352" s="21">
        <f>INSCRITOS!O301</f>
        <v>0</v>
      </c>
      <c r="B352" s="8" t="b">
        <f t="shared" si="16"/>
        <v>0</v>
      </c>
      <c r="C352" s="10">
        <f>INSCRITOS!B301</f>
        <v>0</v>
      </c>
      <c r="D352" t="str">
        <f t="shared" si="17"/>
        <v>FALSO0/</v>
      </c>
    </row>
    <row r="353" spans="1:4" ht="122.25" customHeight="1" x14ac:dyDescent="0.25">
      <c r="A353" s="21">
        <f>INSCRITOS!O302</f>
        <v>0</v>
      </c>
      <c r="B353" s="8" t="b">
        <f t="shared" si="16"/>
        <v>0</v>
      </c>
      <c r="C353" s="10">
        <f>INSCRITOS!B302</f>
        <v>0</v>
      </c>
      <c r="D353" t="str">
        <f t="shared" si="17"/>
        <v>FALSO0/</v>
      </c>
    </row>
    <row r="354" spans="1:4" ht="122.25" customHeight="1" x14ac:dyDescent="0.25">
      <c r="A354" s="21">
        <f>INSCRITOS!O303</f>
        <v>0</v>
      </c>
      <c r="B354" s="8" t="b">
        <f t="shared" si="16"/>
        <v>0</v>
      </c>
      <c r="C354" s="10">
        <f>INSCRITOS!B303</f>
        <v>0</v>
      </c>
      <c r="D354" t="str">
        <f t="shared" si="17"/>
        <v>FALSO0/</v>
      </c>
    </row>
    <row r="355" spans="1:4" ht="122.25" customHeight="1" x14ac:dyDescent="0.25">
      <c r="A355" s="21">
        <f>INSCRITOS!O304</f>
        <v>0</v>
      </c>
      <c r="B355" s="8" t="b">
        <f t="shared" si="16"/>
        <v>0</v>
      </c>
      <c r="C355" s="10">
        <f>INSCRITOS!B304</f>
        <v>0</v>
      </c>
      <c r="D355" t="str">
        <f t="shared" si="17"/>
        <v>FALSO0/</v>
      </c>
    </row>
  </sheetData>
  <hyperlinks>
    <hyperlink ref="B39" r:id="rId1" display="https://centrodecapacitaciondelsur.com/soporte-basico-de-vida-" xr:uid="{00000000-0004-0000-0200-000000000000}"/>
    <hyperlink ref="D32" r:id="rId2" xr:uid="{00000000-0004-0000-0200-000001000000}"/>
    <hyperlink ref="D83" r:id="rId3" xr:uid="{00000000-0004-0000-0200-000002000000}"/>
    <hyperlink ref="B173" r:id="rId4" display="https://centrodecapacitaciondelsur.com/soporte-basico-de-vida-" xr:uid="{00000000-0004-0000-0200-000003000000}"/>
    <hyperlink ref="B208" r:id="rId5" display="https://centrodecapacitaciondelsur.com/soporte-basico-de-vida-" xr:uid="{00000000-0004-0000-0200-000004000000}"/>
    <hyperlink ref="B209" r:id="rId6" display="https://centrodecapacitaciondelsur.com/soporte-basico-de-vida-" xr:uid="{00000000-0004-0000-0200-000005000000}"/>
    <hyperlink ref="B210" r:id="rId7" display="https://centrodecapacitaciondelsur.com/soporte-basico-de-vida-" xr:uid="{00000000-0004-0000-0200-000006000000}"/>
    <hyperlink ref="B211" r:id="rId8" display="https://centrodecapacitaciondelsur.com/soporte-basico-de-vida-" xr:uid="{00000000-0004-0000-0200-000007000000}"/>
    <hyperlink ref="B214" r:id="rId9" display="https://centrodecapacitaciondelsur.com/soporte-basico-de-vida-" xr:uid="{00000000-0004-0000-0200-000008000000}"/>
    <hyperlink ref="B215" r:id="rId10" display="https://centrodecapacitaciondelsur.com/soporte-basico-de-vida-" xr:uid="{00000000-0004-0000-0200-000009000000}"/>
    <hyperlink ref="B216" r:id="rId11" display="https://centrodecapacitaciondelsur.com/soporte-basico-de-vida-" xr:uid="{00000000-0004-0000-0200-00000A000000}"/>
    <hyperlink ref="B217" r:id="rId12" display="https://centrodecapacitaciondelsur.com/soporte-basico-de-vida-" xr:uid="{00000000-0004-0000-0200-00000B000000}"/>
    <hyperlink ref="B218" r:id="rId13" display="https://centrodecapacitaciondelsur.com/soporte-basico-de-vida-" xr:uid="{00000000-0004-0000-0200-00000C000000}"/>
    <hyperlink ref="B219" r:id="rId14" display="https://centrodecapacitaciondelsur.com/soporte-basico-de-vida-" xr:uid="{00000000-0004-0000-0200-00000D000000}"/>
    <hyperlink ref="B220" r:id="rId15" display="https://centrodecapacitaciondelsur.com/soporte-basico-de-vida-" xr:uid="{00000000-0004-0000-0200-00000E000000}"/>
    <hyperlink ref="B221" r:id="rId16" display="https://centrodecapacitaciondelsur.com/soporte-basico-de-vida-" xr:uid="{00000000-0004-0000-0200-00000F000000}"/>
    <hyperlink ref="B222" r:id="rId17" display="https://centrodecapacitaciondelsur.com/soporte-basico-de-vida-" xr:uid="{00000000-0004-0000-0200-000010000000}"/>
    <hyperlink ref="B223" r:id="rId18" display="https://centrodecapacitaciondelsur.com/soporte-basico-de-vida-" xr:uid="{00000000-0004-0000-0200-000011000000}"/>
    <hyperlink ref="B224" r:id="rId19" display="https://centrodecapacitaciondelsur.com/soporte-basico-de-vida-" xr:uid="{00000000-0004-0000-0200-000012000000}"/>
    <hyperlink ref="B225" r:id="rId20" display="https://centrodecapacitaciondelsur.com/soporte-basico-de-vida-" xr:uid="{00000000-0004-0000-0200-000013000000}"/>
    <hyperlink ref="B226" r:id="rId21" display="https://centrodecapacitaciondelsur.com/soporte-basico-de-vida-" xr:uid="{00000000-0004-0000-0200-000014000000}"/>
    <hyperlink ref="B228" r:id="rId22" display="https://centrodecapacitaciondelsur.com/soporte-basico-de-vida-" xr:uid="{00000000-0004-0000-0200-000015000000}"/>
    <hyperlink ref="B229" r:id="rId23" display="https://centrodecapacitaciondelsur.com/soporte-basico-de-vida-" xr:uid="{00000000-0004-0000-0200-000016000000}"/>
    <hyperlink ref="B230" r:id="rId24" display="https://centrodecapacitaciondelsur.com/soporte-basico-de-vida-" xr:uid="{00000000-0004-0000-0200-000017000000}"/>
    <hyperlink ref="B231" r:id="rId25" display="https://centrodecapacitaciondelsur.com/soporte-basico-de-vida-" xr:uid="{00000000-0004-0000-0200-000018000000}"/>
    <hyperlink ref="B232" r:id="rId26" display="https://centrodecapacitaciondelsur.com/soporte-basico-de-vida-" xr:uid="{00000000-0004-0000-0200-000019000000}"/>
    <hyperlink ref="B233" r:id="rId27" display="https://centrodecapacitaciondelsur.com/soporte-basico-de-vida-" xr:uid="{00000000-0004-0000-0200-00001A000000}"/>
    <hyperlink ref="B234" r:id="rId28" display="https://centrodecapacitaciondelsur.com/soporte-basico-de-vida-" xr:uid="{00000000-0004-0000-0200-00001B000000}"/>
    <hyperlink ref="B235" r:id="rId29" display="https://centrodecapacitaciondelsur.com/soporte-basico-de-vida-" xr:uid="{00000000-0004-0000-0200-00001C000000}"/>
    <hyperlink ref="B236" r:id="rId30" display="https://centrodecapacitaciondelsur.com/soporte-basico-de-vida-" xr:uid="{00000000-0004-0000-0200-00001D000000}"/>
    <hyperlink ref="B237" r:id="rId31" display="https://centrodecapacitaciondelsur.com/soporte-basico-de-vida-" xr:uid="{00000000-0004-0000-0200-00001E000000}"/>
    <hyperlink ref="B238" r:id="rId32" display="https://centrodecapacitaciondelsur.com/soporte-basico-de-vida-" xr:uid="{00000000-0004-0000-0200-00001F000000}"/>
    <hyperlink ref="B239" r:id="rId33" display="https://centrodecapacitaciondelsur.com/soporte-basico-de-vida-" xr:uid="{00000000-0004-0000-0200-000020000000}"/>
    <hyperlink ref="B240" r:id="rId34" display="https://centrodecapacitaciondelsur.com/soporte-basico-de-vida-" xr:uid="{00000000-0004-0000-0200-000021000000}"/>
    <hyperlink ref="B241" r:id="rId35" display="https://centrodecapacitaciondelsur.com/soporte-basico-de-vida-" xr:uid="{00000000-0004-0000-0200-000022000000}"/>
    <hyperlink ref="B242" r:id="rId36" display="https://centrodecapacitaciondelsur.com/soporte-basico-de-vida-" xr:uid="{00000000-0004-0000-0200-000023000000}"/>
    <hyperlink ref="B243" r:id="rId37" display="https://centrodecapacitaciondelsur.com/soporte-basico-de-vida-" xr:uid="{00000000-0004-0000-0200-000024000000}"/>
    <hyperlink ref="B244" r:id="rId38" display="https://centrodecapacitaciondelsur.com/soporte-basico-de-vida-" xr:uid="{00000000-0004-0000-0200-000025000000}"/>
    <hyperlink ref="B245" r:id="rId39" display="https://centrodecapacitaciondelsur.com/soporte-basico-de-vida-" xr:uid="{00000000-0004-0000-0200-000026000000}"/>
    <hyperlink ref="B246" r:id="rId40" display="https://centrodecapacitaciondelsur.com/soporte-basico-de-vida-" xr:uid="{00000000-0004-0000-0200-000027000000}"/>
    <hyperlink ref="B247" r:id="rId41" display="https://centrodecapacitaciondelsur.com/soporte-basico-de-vida-" xr:uid="{00000000-0004-0000-0200-000028000000}"/>
    <hyperlink ref="B248" r:id="rId42" display="https://centrodecapacitaciondelsur.com/soporte-basico-de-vida-" xr:uid="{00000000-0004-0000-0200-000029000000}"/>
    <hyperlink ref="B249" r:id="rId43" display="https://centrodecapacitaciondelsur.com/soporte-basico-de-vida-" xr:uid="{00000000-0004-0000-0200-00002A000000}"/>
    <hyperlink ref="B250" r:id="rId44" display="https://centrodecapacitaciondelsur.com/soporte-basico-de-vida-" xr:uid="{00000000-0004-0000-0200-00002B000000}"/>
    <hyperlink ref="B251" r:id="rId45" display="https://centrodecapacitaciondelsur.com/soporte-basico-de-vida-" xr:uid="{00000000-0004-0000-0200-00002C000000}"/>
    <hyperlink ref="B253" r:id="rId46" display="https://centrodecapacitaciondelsur.com/soporte-basico-de-vida-" xr:uid="{00000000-0004-0000-0200-00002D000000}"/>
    <hyperlink ref="B254" r:id="rId47" display="https://centrodecapacitaciondelsur.com/soporte-basico-de-vida-" xr:uid="{00000000-0004-0000-0200-00002E000000}"/>
    <hyperlink ref="B255" r:id="rId48" display="https://centrodecapacitaciondelsur.com/soporte-basico-de-vida-" xr:uid="{00000000-0004-0000-0200-00002F000000}"/>
    <hyperlink ref="B256" r:id="rId49" display="https://centrodecapacitaciondelsur.com/soporte-basico-de-vida-" xr:uid="{00000000-0004-0000-0200-000030000000}"/>
    <hyperlink ref="B257" r:id="rId50" display="https://centrodecapacitaciondelsur.com/soporte-basico-de-vida-" xr:uid="{00000000-0004-0000-0200-000031000000}"/>
    <hyperlink ref="B258" r:id="rId51" display="https://centrodecapacitaciondelsur.com/soporte-basico-de-vida-" xr:uid="{00000000-0004-0000-0200-000032000000}"/>
    <hyperlink ref="B259" r:id="rId52" display="https://centrodecapacitaciondelsur.com/soporte-basico-de-vida-" xr:uid="{00000000-0004-0000-0200-000033000000}"/>
    <hyperlink ref="B260" r:id="rId53" display="https://centrodecapacitaciondelsur.com/soporte-basico-de-vida-" xr:uid="{00000000-0004-0000-0200-000034000000}"/>
    <hyperlink ref="B261" r:id="rId54" display="https://centrodecapacitaciondelsur.com/soporte-basico-de-vida-" xr:uid="{00000000-0004-0000-0200-000035000000}"/>
    <hyperlink ref="B262" r:id="rId55" display="https://centrodecapacitaciondelsur.com/soporte-basico-de-vida-" xr:uid="{00000000-0004-0000-0200-000036000000}"/>
    <hyperlink ref="B263" r:id="rId56" display="https://centrodecapacitaciondelsur.com/soporte-basico-de-vida-" xr:uid="{00000000-0004-0000-0200-000037000000}"/>
    <hyperlink ref="B264" r:id="rId57" display="https://centrodecapacitaciondelsur.com/soporte-basico-de-vida-" xr:uid="{00000000-0004-0000-0200-000038000000}"/>
    <hyperlink ref="B265" r:id="rId58" display="https://centrodecapacitaciondelsur.com/soporte-basico-de-vida-" xr:uid="{00000000-0004-0000-0200-000039000000}"/>
    <hyperlink ref="B266" r:id="rId59" display="https://centrodecapacitaciondelsur.com/soporte-basico-de-vida-" xr:uid="{00000000-0004-0000-0200-00003A000000}"/>
    <hyperlink ref="B267" r:id="rId60" display="https://centrodecapacitaciondelsur.com/soporte-basico-de-vida-" xr:uid="{00000000-0004-0000-0200-00003B000000}"/>
    <hyperlink ref="B268" r:id="rId61" display="https://centrodecapacitaciondelsur.com/soporte-basico-de-vida-" xr:uid="{00000000-0004-0000-0200-00003C000000}"/>
    <hyperlink ref="B269" r:id="rId62" display="https://centrodecapacitaciondelsur.com/soporte-basico-de-vida-" xr:uid="{00000000-0004-0000-0200-00003D000000}"/>
    <hyperlink ref="B270" r:id="rId63" display="https://centrodecapacitaciondelsur.com/soporte-basico-de-vida-" xr:uid="{00000000-0004-0000-0200-00003E000000}"/>
    <hyperlink ref="B271" r:id="rId64" display="https://centrodecapacitaciondelsur.com/soporte-basico-de-vida-" xr:uid="{00000000-0004-0000-0200-00003F000000}"/>
    <hyperlink ref="B272" r:id="rId65" display="https://centrodecapacitaciondelsur.com/soporte-basico-de-vida-" xr:uid="{00000000-0004-0000-0200-000040000000}"/>
    <hyperlink ref="B273" r:id="rId66" display="https://centrodecapacitaciondelsur.com/soporte-basico-de-vida-" xr:uid="{00000000-0004-0000-0200-000041000000}"/>
    <hyperlink ref="B274" r:id="rId67" display="https://centrodecapacitaciondelsur.com/soporte-basico-de-vida-" xr:uid="{00000000-0004-0000-0200-000042000000}"/>
    <hyperlink ref="B275" r:id="rId68" display="https://centrodecapacitaciondelsur.com/soporte-basico-de-vida-" xr:uid="{00000000-0004-0000-0200-000043000000}"/>
    <hyperlink ref="B276" r:id="rId69" display="https://centrodecapacitaciondelsur.com/soporte-basico-de-vida-" xr:uid="{00000000-0004-0000-0200-000044000000}"/>
    <hyperlink ref="B277" r:id="rId70" display="https://centrodecapacitaciondelsur.com/soporte-basico-de-vida-" xr:uid="{00000000-0004-0000-0200-000045000000}"/>
    <hyperlink ref="B278" r:id="rId71" display="https://centrodecapacitaciondelsur.com/soporte-basico-de-vida-" xr:uid="{00000000-0004-0000-0200-000046000000}"/>
    <hyperlink ref="B279" r:id="rId72" display="https://centrodecapacitaciondelsur.com/soporte-basico-de-vida-" xr:uid="{00000000-0004-0000-0200-000047000000}"/>
    <hyperlink ref="B280" r:id="rId73" display="https://centrodecapacitaciondelsur.com/soporte-basico-de-vida-" xr:uid="{92A54394-F9AD-4C1D-904F-CEA455BC3554}"/>
    <hyperlink ref="B281" r:id="rId74" display="https://centrodecapacitaciondelsur.com/soporte-basico-de-vida-" xr:uid="{286E9F74-A822-48A0-92F1-56D05B8FE303}"/>
    <hyperlink ref="B282" r:id="rId75" display="https://centrodecapacitaciondelsur.com/soporte-basico-de-vida-" xr:uid="{C07F538C-C6D6-4EFC-A9AE-8F3F1E3F6245}"/>
    <hyperlink ref="B283" r:id="rId76" display="https://centrodecapacitaciondelsur.com/soporte-basico-de-vida-" xr:uid="{0C9E7660-186B-4BAB-A0A9-F56DA492E37A}"/>
    <hyperlink ref="B284" r:id="rId77" display="https://centrodecapacitaciondelsur.com/soporte-basico-de-vida-" xr:uid="{AEF056C7-B55B-4D60-A5DB-8CC0C0BF696C}"/>
    <hyperlink ref="B285" r:id="rId78" display="https://centrodecapacitaciondelsur.com/soporte-basico-de-vida-" xr:uid="{4FDF6437-EBAB-4FA4-82C1-19F6F5E45248}"/>
    <hyperlink ref="B286" r:id="rId79" display="https://centrodecapacitaciondelsur.com/soporte-basico-de-vida-" xr:uid="{1FEBA446-FCE1-43FD-9DBD-30869F16A1A5}"/>
    <hyperlink ref="B287" r:id="rId80" display="https://centrodecapacitaciondelsur.com/soporte-basico-de-vida-" xr:uid="{4F709838-F976-4449-8906-24AF108DCCC5}"/>
    <hyperlink ref="B288" r:id="rId81" display="https://centrodecapacitaciondelsur.com/soporte-basico-de-vida-" xr:uid="{569AEC1F-4D20-409A-83DA-7924FAEE0509}"/>
    <hyperlink ref="B289" r:id="rId82" display="https://centrodecapacitaciondelsur.com/soporte-basico-de-vida-" xr:uid="{89585B6F-A658-4A7B-89DB-8989E1249B36}"/>
    <hyperlink ref="B290" r:id="rId83" display="https://centrodecapacitaciondelsur.com/soporte-basico-de-vida-" xr:uid="{21FC4742-1753-4E73-8100-47D357227405}"/>
    <hyperlink ref="B291" r:id="rId84" display="https://centrodecapacitaciondelsur.com/soporte-basico-de-vida-" xr:uid="{84A556EA-DA55-43CD-A59A-FF1C5B2EB2ED}"/>
    <hyperlink ref="B292" r:id="rId85" display="https://centrodecapacitaciondelsur.com/soporte-basico-de-vida-" xr:uid="{1DD816BC-00D7-46EF-89D2-8DF566095EC7}"/>
    <hyperlink ref="B293" r:id="rId86" display="https://centrodecapacitaciondelsur.com/soporte-basico-de-vida-" xr:uid="{B73178A6-02F9-440F-8A37-E50466856CE0}"/>
    <hyperlink ref="B294" r:id="rId87" display="https://centrodecapacitaciondelsur.com/soporte-basico-de-vida-" xr:uid="{63BF588D-378B-4BAB-8815-012448DC37FD}"/>
    <hyperlink ref="B295" r:id="rId88" display="https://centrodecapacitaciondelsur.com/soporte-basico-de-vida-" xr:uid="{43D77C51-0206-4F75-B251-916D0D64479A}"/>
    <hyperlink ref="B296" r:id="rId89" display="https://centrodecapacitaciondelsur.com/soporte-basico-de-vida-" xr:uid="{8DA6149C-54CC-4695-B8EC-7AC399F2A054}"/>
    <hyperlink ref="B297" r:id="rId90" display="https://centrodecapacitaciondelsur.com/soporte-basico-de-vida-" xr:uid="{F3D42D64-D620-40E8-A926-E246BC8FCB3A}"/>
    <hyperlink ref="B298" r:id="rId91" display="https://centrodecapacitaciondelsur.com/soporte-basico-de-vida-" xr:uid="{AEC039DE-7758-487A-8A7F-4C485C34258E}"/>
    <hyperlink ref="B299" r:id="rId92" display="https://centrodecapacitaciondelsur.com/soporte-basico-de-vida-" xr:uid="{94AD7CE2-F2C1-4D93-A345-AC4B13CDFDA4}"/>
    <hyperlink ref="B300" r:id="rId93" display="https://centrodecapacitaciondelsur.com/soporte-basico-de-vida-" xr:uid="{81C54A6C-9796-47F4-9CF4-AAD0EF6FEC7F}"/>
    <hyperlink ref="B301" r:id="rId94" display="https://centrodecapacitaciondelsur.com/soporte-basico-de-vida-" xr:uid="{1D494F9B-B22F-4312-87D6-DBCD8C06185F}"/>
    <hyperlink ref="B302" r:id="rId95" display="https://centrodecapacitaciondelsur.com/soporte-basico-de-vida-" xr:uid="{847D5BD0-F366-4E77-B9E2-3FF23BEAB8D5}"/>
    <hyperlink ref="B303" r:id="rId96" display="https://centrodecapacitaciondelsur.com/soporte-basico-de-vida-" xr:uid="{C53DEE6D-AC97-44D8-981F-C2B36883A358}"/>
    <hyperlink ref="B304" r:id="rId97" display="https://centrodecapacitaciondelsur.com/soporte-basico-de-vida-" xr:uid="{5980642F-67E0-403B-A09A-F42A8704DFAD}"/>
    <hyperlink ref="B305" r:id="rId98" display="https://centrodecapacitaciondelsur.com/soporte-basico-de-vida-" xr:uid="{58621027-CD4D-4147-949B-DE56F7372389}"/>
    <hyperlink ref="B306" r:id="rId99" display="https://centrodecapacitaciondelsur.com/soporte-basico-de-vida-" xr:uid="{DD925E1F-D436-4417-988F-FF7EF246A00A}"/>
    <hyperlink ref="B307" r:id="rId100" display="https://centrodecapacitaciondelsur.com/soporte-basico-de-vida-" xr:uid="{F228EC09-2B71-4587-A028-F5443D770DB6}"/>
    <hyperlink ref="B308" r:id="rId101" display="https://centrodecapacitaciondelsur.com/soporte-basico-de-vida-" xr:uid="{8B741EF6-4102-40A7-8D1E-C21E047CF4A6}"/>
    <hyperlink ref="B309" r:id="rId102" display="https://centrodecapacitaciondelsur.com/soporte-basico-de-vida-" xr:uid="{7FDD3794-48E1-4824-9DB5-2812F4A9AB2C}"/>
    <hyperlink ref="B310" r:id="rId103" display="https://centrodecapacitaciondelsur.com/soporte-basico-de-vida-" xr:uid="{8EE5CC67-356C-4A11-9EE8-E5E8A037DE6B}"/>
    <hyperlink ref="B311" r:id="rId104" display="https://centrodecapacitaciondelsur.com/soporte-basico-de-vida-" xr:uid="{AF445777-0F90-4479-B369-DA87C916B06E}"/>
    <hyperlink ref="B312" r:id="rId105" display="https://centrodecapacitaciondelsur.com/soporte-basico-de-vida-" xr:uid="{61DEA73A-9972-495B-80DB-ABFB0CA53599}"/>
    <hyperlink ref="B313" r:id="rId106" display="https://centrodecapacitaciondelsur.com/soporte-basico-de-vida-" xr:uid="{E13FDC3F-B1D5-4BE0-BEFF-947DB27DCB9A}"/>
    <hyperlink ref="B314" r:id="rId107" display="https://centrodecapacitaciondelsur.com/soporte-basico-de-vida-" xr:uid="{7AACCBEA-4087-4399-9EEC-6954903608F3}"/>
    <hyperlink ref="B315" r:id="rId108" display="https://centrodecapacitaciondelsur.com/soporte-basico-de-vida-" xr:uid="{C1D09A5E-43FE-42A0-A47B-C8AAC2A893C7}"/>
    <hyperlink ref="B316" r:id="rId109" display="https://centrodecapacitaciondelsur.com/soporte-basico-de-vida-" xr:uid="{7279D338-2C3F-4936-8B91-8F5ACABE248A}"/>
    <hyperlink ref="B317" r:id="rId110" display="https://centrodecapacitaciondelsur.com/soporte-basico-de-vida-" xr:uid="{6E3EE9BD-74ED-44A7-B1C6-A98526F09726}"/>
    <hyperlink ref="B318" r:id="rId111" display="https://centrodecapacitaciondelsur.com/soporte-basico-de-vida-" xr:uid="{85168E5E-B7BB-4AE6-BE4E-DAFF729C9D0F}"/>
    <hyperlink ref="B319" r:id="rId112" display="https://centrodecapacitaciondelsur.com/soporte-basico-de-vida-" xr:uid="{FA2C90D6-678C-4A7D-AC2D-577DCEB0EEEC}"/>
    <hyperlink ref="B320" r:id="rId113" display="https://centrodecapacitaciondelsur.com/soporte-basico-de-vida-" xr:uid="{1EFF5C6D-A07C-44AF-9593-CB7DFC2BF928}"/>
    <hyperlink ref="B321" r:id="rId114" display="https://centrodecapacitaciondelsur.com/soporte-basico-de-vida-" xr:uid="{12F6AE72-0A91-4F68-A8B8-AC11EB9F878F}"/>
    <hyperlink ref="B322" r:id="rId115" display="https://centrodecapacitaciondelsur.com/soporte-basico-de-vida-" xr:uid="{6DD43155-6F48-4996-A770-691DC7C2696C}"/>
    <hyperlink ref="B323" r:id="rId116" display="https://centrodecapacitaciondelsur.com/soporte-basico-de-vida-" xr:uid="{B20103D6-F7FA-4210-A577-BD4E9DC4434D}"/>
    <hyperlink ref="B324" r:id="rId117" display="https://centrodecapacitaciondelsur.com/soporte-basico-de-vida-" xr:uid="{83448B76-7F63-44AE-8B5A-84176E668AAC}"/>
    <hyperlink ref="B325" r:id="rId118" display="https://centrodecapacitaciondelsur.com/soporte-basico-de-vida-" xr:uid="{257310B9-67B5-4163-83EA-A3ECB69A79DB}"/>
    <hyperlink ref="B326" r:id="rId119" display="https://centrodecapacitaciondelsur.com/soporte-basico-de-vida-" xr:uid="{618641B4-77AA-4816-A00E-37943074A9A4}"/>
    <hyperlink ref="B327" r:id="rId120" display="https://centrodecapacitaciondelsur.com/soporte-basico-de-vida-" xr:uid="{1F7E93B3-4502-4E92-B0E9-6AB2FBD03718}"/>
    <hyperlink ref="B328" r:id="rId121" display="https://centrodecapacitaciondelsur.com/soporte-basico-de-vida-" xr:uid="{7D33FA10-B442-466B-BE3B-49739F4653E1}"/>
    <hyperlink ref="B329" r:id="rId122" display="https://centrodecapacitaciondelsur.com/soporte-basico-de-vida-" xr:uid="{92A93ED3-FCA2-4442-8A6B-82242B1A598E}"/>
    <hyperlink ref="B330" r:id="rId123" display="https://centrodecapacitaciondelsur.com/soporte-basico-de-vida-" xr:uid="{9C4B505E-F12E-4C58-9AE7-3D608FE84F4B}"/>
    <hyperlink ref="B331" r:id="rId124" display="https://centrodecapacitaciondelsur.com/soporte-basico-de-vida-" xr:uid="{333AEF6C-5A6E-47BF-861C-46F468F95A27}"/>
    <hyperlink ref="B332" r:id="rId125" display="https://centrodecapacitaciondelsur.com/soporte-basico-de-vida-" xr:uid="{86012635-E4C1-4B56-AFBC-663B32D6D2E8}"/>
    <hyperlink ref="B333" r:id="rId126" display="https://centrodecapacitaciondelsur.com/soporte-basico-de-vida-" xr:uid="{C899FA89-6D09-47F3-9A39-DBCEBF38F377}"/>
    <hyperlink ref="B334" r:id="rId127" display="https://centrodecapacitaciondelsur.com/soporte-basico-de-vida-" xr:uid="{E4426500-5819-4DB5-BD8A-5D2AD42AA8E0}"/>
    <hyperlink ref="B335" r:id="rId128" display="https://centrodecapacitaciondelsur.com/soporte-basico-de-vida-" xr:uid="{53A87E03-007D-4556-99E4-79BF9F1372B6}"/>
    <hyperlink ref="B336" r:id="rId129" display="https://centrodecapacitaciondelsur.com/soporte-basico-de-vida-" xr:uid="{08192A32-8C75-4778-9057-AC684CFB0388}"/>
    <hyperlink ref="B337" r:id="rId130" display="https://centrodecapacitaciondelsur.com/soporte-basico-de-vida-" xr:uid="{E6A03F60-E669-486D-84DE-6F5574BF95BD}"/>
    <hyperlink ref="B338" r:id="rId131" display="https://centrodecapacitaciondelsur.com/soporte-basico-de-vida-" xr:uid="{5D245477-1AD3-4390-A35C-9D1188EBA742}"/>
    <hyperlink ref="B339" r:id="rId132" display="https://centrodecapacitaciondelsur.com/soporte-basico-de-vida-" xr:uid="{C58BB9FA-4971-482A-BA40-9B32F78C2343}"/>
    <hyperlink ref="B340" r:id="rId133" display="https://centrodecapacitaciondelsur.com/soporte-basico-de-vida-" xr:uid="{0BF31B0D-A707-4D30-A8F8-84A01A4F77A8}"/>
    <hyperlink ref="B341" r:id="rId134" display="https://centrodecapacitaciondelsur.com/soporte-basico-de-vida-" xr:uid="{F1330C2F-FFCC-4E01-8589-6C745F649B2E}"/>
    <hyperlink ref="B342" r:id="rId135" display="https://centrodecapacitaciondelsur.com/soporte-basico-de-vida-" xr:uid="{78A9CDAE-3F57-4716-8C5B-7119521A8E2D}"/>
    <hyperlink ref="B343" r:id="rId136" display="https://centrodecapacitaciondelsur.com/soporte-basico-de-vida-" xr:uid="{9DD3A86D-85D6-4091-940E-07741AFE7E4F}"/>
    <hyperlink ref="B344" r:id="rId137" display="https://centrodecapacitaciondelsur.com/soporte-basico-de-vida-" xr:uid="{AB78B6C2-7391-4D1F-A3D4-A8D0193B7693}"/>
    <hyperlink ref="B345" r:id="rId138" display="https://centrodecapacitaciondelsur.com/soporte-basico-de-vida-" xr:uid="{BD48EAF7-4591-4D13-8E80-0D4A25C299EC}"/>
    <hyperlink ref="B346" r:id="rId139" display="https://centrodecapacitaciondelsur.com/soporte-basico-de-vida-" xr:uid="{308A90F0-7F77-4E35-A9EF-8430167F95B2}"/>
    <hyperlink ref="B347" r:id="rId140" display="https://centrodecapacitaciondelsur.com/soporte-basico-de-vida-" xr:uid="{558570CD-9282-4B0A-B100-ADF63D55C8E8}"/>
    <hyperlink ref="B348" r:id="rId141" display="https://centrodecapacitaciondelsur.com/soporte-basico-de-vida-" xr:uid="{290D4FF1-4526-4FEB-8E7E-69F35C243C66}"/>
    <hyperlink ref="B349" r:id="rId142" display="https://centrodecapacitaciondelsur.com/soporte-basico-de-vida-" xr:uid="{B2924646-6D84-43F4-9BB7-3571AB657963}"/>
    <hyperlink ref="B350" r:id="rId143" display="https://centrodecapacitaciondelsur.com/soporte-basico-de-vida-" xr:uid="{FCE2CBF7-A5C2-4BC8-BFAD-5013B9EE16FF}"/>
    <hyperlink ref="B351" r:id="rId144" display="https://centrodecapacitaciondelsur.com/soporte-basico-de-vida-" xr:uid="{A84AD7EC-733C-4927-91FF-6F6D260EAC33}"/>
    <hyperlink ref="B352" r:id="rId145" display="https://centrodecapacitaciondelsur.com/soporte-basico-de-vida-" xr:uid="{3BDCFF10-30FD-46DB-BCB1-3CEA0550E6C3}"/>
    <hyperlink ref="B353" r:id="rId146" display="https://centrodecapacitaciondelsur.com/soporte-basico-de-vida-" xr:uid="{27582328-D66F-434F-9F60-5FBFBEE03C38}"/>
    <hyperlink ref="B354" r:id="rId147" display="https://centrodecapacitaciondelsur.com/soporte-basico-de-vida-" xr:uid="{BA729007-5589-436A-950F-FD71BF36D3DC}"/>
    <hyperlink ref="B355" r:id="rId148" display="https://centrodecapacitaciondelsur.com/soporte-basico-de-vida-" xr:uid="{4F8CCCED-3DCA-4148-8851-2BAD84F88753}"/>
  </hyperlinks>
  <pageMargins left="0.7" right="0.7" top="0.75" bottom="0.75" header="0.3" footer="0.3"/>
  <pageSetup orientation="portrait" r:id="rId149"/>
  <drawing r:id="rId15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INSCRITOS</vt:lpstr>
      <vt:lpstr>CURSOS</vt:lpstr>
      <vt:lpstr>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NICOLAS ROSERO</cp:lastModifiedBy>
  <cp:lastPrinted>2023-10-09T20:56:18Z</cp:lastPrinted>
  <dcterms:created xsi:type="dcterms:W3CDTF">2023-09-02T16:45:54Z</dcterms:created>
  <dcterms:modified xsi:type="dcterms:W3CDTF">2025-03-28T14:55:41Z</dcterms:modified>
</cp:coreProperties>
</file>